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esktop\work\repovault\quant\data\argentine\byma\"/>
    </mc:Choice>
  </mc:AlternateContent>
  <xr:revisionPtr revIDLastSave="0" documentId="13_ncr:1_{B4ADC5A5-42E4-4D71-A7BB-5ED0CFB12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01" r:id="rId1"/>
    <sheet name="Hoja1" sheetId="154" r:id="rId2"/>
    <sheet name="Multi-mercado" sheetId="98" r:id="rId3"/>
    <sheet name="Indices BYMA" sheetId="153" r:id="rId4"/>
    <sheet name="Opciones" sheetId="121" r:id="rId5"/>
    <sheet name="Caucho" sheetId="100" r:id="rId6"/>
    <sheet name="ONs Argentina" sheetId="2" r:id="rId7"/>
    <sheet name="TY30P" sheetId="152" r:id="rId8"/>
    <sheet name="T30J7" sheetId="150" r:id="rId9"/>
    <sheet name="T31Y7" sheetId="149" r:id="rId10"/>
    <sheet name="T30A7" sheetId="148" r:id="rId11"/>
    <sheet name="T15E7" sheetId="147" r:id="rId12"/>
    <sheet name="S30N6" sheetId="146" r:id="rId13"/>
    <sheet name="S30O6" sheetId="145" r:id="rId14"/>
    <sheet name="S31G6" sheetId="144" r:id="rId15"/>
    <sheet name="S31L6" sheetId="143" r:id="rId16"/>
    <sheet name="T30J6" sheetId="142" r:id="rId17"/>
    <sheet name="S29Y6" sheetId="141" r:id="rId18"/>
    <sheet name="S30A6" sheetId="140" r:id="rId19"/>
    <sheet name="S17A6" sheetId="139" r:id="rId20"/>
    <sheet name="S16M6" sheetId="138" r:id="rId21"/>
    <sheet name="S27F6" sheetId="137" r:id="rId22"/>
    <sheet name="T13F6" sheetId="136" r:id="rId23"/>
    <sheet name="GD41D" sheetId="133" r:id="rId24"/>
    <sheet name="AL41D" sheetId="128" r:id="rId25"/>
    <sheet name="GD38D" sheetId="132" r:id="rId26"/>
    <sheet name="AE38D" sheetId="127" r:id="rId27"/>
    <sheet name="GD35D" sheetId="131" r:id="rId28"/>
    <sheet name="AL35D" sheetId="126" r:id="rId29"/>
    <sheet name="GD30D" sheetId="130" r:id="rId30"/>
    <sheet name="AL30D" sheetId="125" r:id="rId31"/>
    <sheet name="GD29D" sheetId="129" r:id="rId32"/>
    <sheet name="AL29D" sheetId="124" r:id="rId33"/>
    <sheet name="MCC2D" sheetId="120" r:id="rId34"/>
    <sheet name="PFC2D" sheetId="119" r:id="rId35"/>
    <sheet name="YM38D" sheetId="118" r:id="rId36"/>
    <sheet name="PN38D" sheetId="117" r:id="rId37"/>
    <sheet name="SBC1D" sheetId="116" r:id="rId38"/>
    <sheet name="TTCBD" sheetId="115" r:id="rId39"/>
    <sheet name="TLCOD" sheetId="114" r:id="rId40"/>
    <sheet name="PLC3D" sheetId="113" r:id="rId41"/>
    <sheet name="OLC5D" sheetId="112" r:id="rId42"/>
    <sheet name="CICAD" sheetId="111" r:id="rId43"/>
    <sheet name="YM40D" sheetId="110" r:id="rId44"/>
    <sheet name="LMS7D" sheetId="109" r:id="rId45"/>
    <sheet name="VSCPD" sheetId="108" r:id="rId46"/>
    <sheet name="OLC6D" sheetId="106" r:id="rId47"/>
    <sheet name="NPCCD" sheetId="105" r:id="rId48"/>
    <sheet name="PN41D" sheetId="104" r:id="rId49"/>
    <sheet name="PN35D" sheetId="103" r:id="rId50"/>
    <sheet name="IRCOD" sheetId="102" r:id="rId51"/>
    <sheet name="TTC9D" sheetId="97" r:id="rId52"/>
    <sheet name="OT42D" sheetId="96" r:id="rId53"/>
    <sheet name="PLC2D" sheetId="95" r:id="rId54"/>
    <sheet name="PQCSD" sheetId="94" r:id="rId55"/>
    <sheet name="VSCRD" sheetId="93" r:id="rId56"/>
    <sheet name="PN36D" sheetId="92" r:id="rId57"/>
    <sheet name="HJCID" sheetId="89" r:id="rId58"/>
    <sheet name="PNDCD" sheetId="43" r:id="rId59"/>
    <sheet name="TLCTD" sheetId="91" r:id="rId60"/>
    <sheet name="CIC9D" sheetId="88" r:id="rId61"/>
    <sheet name="RCCRD" sheetId="87" r:id="rId62"/>
    <sheet name="YM37D" sheetId="86" r:id="rId63"/>
    <sheet name="OTS2D" sheetId="85" r:id="rId64"/>
    <sheet name="PN42D" sheetId="84" r:id="rId65"/>
    <sheet name="VSCWD" sheetId="83" r:id="rId66"/>
    <sheet name="LMS8D" sheetId="82" r:id="rId67"/>
    <sheet name="IRCJDD" sheetId="81" r:id="rId68"/>
    <sheet name="ZZC1D" sheetId="80" r:id="rId69"/>
    <sheet name="YM41D" sheetId="79" r:id="rId70"/>
    <sheet name="DNC3D" sheetId="78" r:id="rId71"/>
    <sheet name="RC2CD" sheetId="77" r:id="rId72"/>
    <sheet name="YMCVD" sheetId="75" r:id="rId73"/>
    <sheet name="GN49D" sheetId="73" r:id="rId74"/>
    <sheet name="PLC5D" sheetId="72" r:id="rId75"/>
    <sheet name="TTCDD" sheetId="71" r:id="rId76"/>
    <sheet name="MGCRD" sheetId="70" r:id="rId77"/>
    <sheet name="TSC4D" sheetId="69" r:id="rId78"/>
    <sheet name="VSCVD" sheetId="5" r:id="rId79"/>
    <sheet name="YM39D" sheetId="3" r:id="rId80"/>
    <sheet name="PLC4D" sheetId="4" r:id="rId81"/>
    <sheet name="BACGD" sheetId="6" r:id="rId82"/>
    <sheet name="TLCPD" sheetId="7" r:id="rId83"/>
    <sheet name="YCAMO" sheetId="8" r:id="rId84"/>
    <sheet name="IRCPD" sheetId="9" r:id="rId85"/>
    <sheet name="DNC5D" sheetId="10" r:id="rId86"/>
    <sheet name="NBS1D" sheetId="11" r:id="rId87"/>
    <sheet name="TTC7D" sheetId="12" r:id="rId88"/>
    <sheet name="CP34D" sheetId="13" r:id="rId89"/>
    <sheet name="GN40D" sheetId="14" r:id="rId90"/>
    <sheet name="CS38D" sheetId="15" r:id="rId91"/>
    <sheet name="IRCHO" sheetId="16" r:id="rId92"/>
    <sheet name="MGCJD" sheetId="17" r:id="rId93"/>
    <sheet name="NPCAD" sheetId="18" r:id="rId94"/>
    <sheet name="LOC3D" sheetId="19" r:id="rId95"/>
    <sheet name="LOC2D" sheetId="20" r:id="rId96"/>
    <sheet name="RCCMD" sheetId="21" r:id="rId97"/>
    <sheet name="MGCHD" sheetId="22" r:id="rId98"/>
    <sheet name="YMCQD" sheetId="23" r:id="rId99"/>
    <sheet name="TN63D" sheetId="24" r:id="rId100"/>
    <sheet name="CWC6D" sheetId="25" r:id="rId101"/>
    <sheet name="MTCGD" sheetId="26" r:id="rId102"/>
    <sheet name="YMCID" sheetId="27" r:id="rId103"/>
    <sheet name="PNXCD" sheetId="28" r:id="rId104"/>
    <sheet name="YFCJD" sheetId="29" r:id="rId105"/>
    <sheet name="YM34D" sheetId="30" r:id="rId106"/>
    <sheet name="MGCOD" sheetId="31" r:id="rId107"/>
    <sheet name="MRCAD" sheetId="32" r:id="rId108"/>
    <sheet name="TLC50" sheetId="33" r:id="rId109"/>
    <sheet name="DNC7D" sheetId="34" r:id="rId110"/>
    <sheet name="TSC3D" sheetId="35" r:id="rId111"/>
    <sheet name="VSCTD" sheetId="36" r:id="rId112"/>
    <sheet name="BYCHD" sheetId="37" r:id="rId113"/>
    <sheet name="YCAMD" sheetId="38" r:id="rId114"/>
    <sheet name="YMCJD" sheetId="39" r:id="rId115"/>
    <sheet name="YMCHO" sheetId="40" r:id="rId116"/>
    <sheet name="TTCAD" sheetId="41" r:id="rId117"/>
    <sheet name="YMCXD" sheetId="42" r:id="rId118"/>
    <sheet name="PQCSO" sheetId="44" r:id="rId119"/>
    <sheet name="YMCIO" sheetId="45" r:id="rId120"/>
    <sheet name="TLCMD" sheetId="46" r:id="rId121"/>
    <sheet name="IRCJD" sheetId="47" r:id="rId122"/>
    <sheet name="IRCFD" sheetId="48" r:id="rId123"/>
    <sheet name="CS44D" sheetId="49" r:id="rId124"/>
    <sheet name="MGCMD" sheetId="50" r:id="rId125"/>
    <sheet name="MGC9D" sheetId="51" r:id="rId126"/>
    <sheet name="RCCJD" sheetId="52" r:id="rId127"/>
    <sheet name="ARC1D" sheetId="53" r:id="rId128"/>
    <sheet name="CAC5D" sheetId="54" r:id="rId129"/>
    <sheet name="VSCRD " sheetId="55" r:id="rId130"/>
    <sheet name="RUCDD" sheetId="56" r:id="rId131"/>
    <sheet name="GNCXD" sheetId="57" r:id="rId132"/>
    <sheet name="EA3D" sheetId="58" r:id="rId133"/>
    <sheet name="YMCVO" sheetId="59" r:id="rId134"/>
  </sheets>
  <externalReferences>
    <externalReference r:id="rId135"/>
  </externalReferences>
  <definedNames>
    <definedName name="_xlnm._FilterDatabase" localSheetId="5" hidden="1">Caucho!$A$1:$N$1</definedName>
    <definedName name="_xlnm._FilterDatabase" localSheetId="0" hidden="1">Main!$J$26:$M$26</definedName>
    <definedName name="_xlnm._FilterDatabase" localSheetId="4" hidden="1">Opciones!$A$1:$S$4949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01" l="1"/>
  <c r="E3" i="58"/>
  <c r="B3" i="58"/>
  <c r="E12" i="58" s="1"/>
  <c r="C12" i="2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AF5" i="2"/>
  <c r="AE5" i="2"/>
  <c r="AC5" i="2"/>
  <c r="AA5" i="2"/>
  <c r="Z5" i="2"/>
  <c r="Y5" i="2"/>
  <c r="X5" i="2" s="1"/>
  <c r="W5" i="2"/>
  <c r="AG5" i="2" s="1"/>
  <c r="M32" i="153"/>
  <c r="M31" i="153"/>
  <c r="M30" i="153"/>
  <c r="M29" i="153"/>
  <c r="M28" i="153"/>
  <c r="M27" i="153"/>
  <c r="M26" i="153"/>
  <c r="M25" i="153"/>
  <c r="M24" i="153"/>
  <c r="M23" i="153"/>
  <c r="K16" i="98"/>
  <c r="K17" i="98" s="1"/>
  <c r="J16" i="98"/>
  <c r="J17" i="98" s="1"/>
  <c r="B15" i="98"/>
  <c r="T51" i="101"/>
  <c r="T50" i="101"/>
  <c r="T49" i="101"/>
  <c r="T48" i="101"/>
  <c r="T47" i="101"/>
  <c r="U46" i="101"/>
  <c r="U47" i="101" s="1"/>
  <c r="U48" i="101" s="1"/>
  <c r="U49" i="101" s="1"/>
  <c r="U50" i="101" s="1"/>
  <c r="U51" i="101" s="1"/>
  <c r="U52" i="101" s="1"/>
  <c r="U53" i="101" s="1"/>
  <c r="U54" i="101" s="1"/>
  <c r="U55" i="101" s="1"/>
  <c r="U56" i="101" s="1"/>
  <c r="U57" i="101" s="1"/>
  <c r="U58" i="101" s="1"/>
  <c r="U59" i="101" s="1"/>
  <c r="U60" i="101" s="1"/>
  <c r="U61" i="101" s="1"/>
  <c r="U62" i="101" s="1"/>
  <c r="U63" i="101" s="1"/>
  <c r="U64" i="101" s="1"/>
  <c r="U65" i="101" s="1"/>
  <c r="U66" i="101" s="1"/>
  <c r="U67" i="101" s="1"/>
  <c r="U68" i="101" s="1"/>
  <c r="U69" i="101" s="1"/>
  <c r="U70" i="101" s="1"/>
  <c r="U71" i="101" s="1"/>
  <c r="U72" i="101" s="1"/>
  <c r="U73" i="101" s="1"/>
  <c r="U74" i="101" s="1"/>
  <c r="U75" i="101" s="1"/>
  <c r="U76" i="101" s="1"/>
  <c r="U77" i="101" s="1"/>
  <c r="U78" i="101" s="1"/>
  <c r="U79" i="101" s="1"/>
  <c r="U80" i="101" s="1"/>
  <c r="U81" i="101" s="1"/>
  <c r="U82" i="101" s="1"/>
  <c r="U83" i="101" s="1"/>
  <c r="U84" i="101" s="1"/>
  <c r="U85" i="101" s="1"/>
  <c r="U86" i="101" s="1"/>
  <c r="U87" i="101" s="1"/>
  <c r="U88" i="101" s="1"/>
  <c r="U89" i="101" s="1"/>
  <c r="U90" i="101" s="1"/>
  <c r="U91" i="101" s="1"/>
  <c r="U92" i="101" s="1"/>
  <c r="U93" i="101" s="1"/>
  <c r="U94" i="101" s="1"/>
  <c r="U95" i="101" s="1"/>
  <c r="U96" i="101" s="1"/>
  <c r="U97" i="101" s="1"/>
  <c r="U98" i="101" s="1"/>
  <c r="U99" i="101" s="1"/>
  <c r="U100" i="101" s="1"/>
  <c r="U101" i="101" s="1"/>
  <c r="U102" i="101" s="1"/>
  <c r="U103" i="101" s="1"/>
  <c r="U104" i="101" s="1"/>
  <c r="T46" i="101"/>
  <c r="T45" i="101"/>
  <c r="V45" i="101" s="1"/>
  <c r="V46" i="101" s="1"/>
  <c r="V47" i="101" s="1"/>
  <c r="V48" i="101" s="1"/>
  <c r="V49" i="101" s="1"/>
  <c r="V50" i="101" s="1"/>
  <c r="V51" i="101" s="1"/>
  <c r="V52" i="101" s="1"/>
  <c r="V53" i="101" s="1"/>
  <c r="V54" i="101" s="1"/>
  <c r="V55" i="101" s="1"/>
  <c r="V56" i="101" s="1"/>
  <c r="V57" i="101" s="1"/>
  <c r="V58" i="101" s="1"/>
  <c r="V59" i="101" s="1"/>
  <c r="V60" i="101" s="1"/>
  <c r="V61" i="101" s="1"/>
  <c r="V62" i="101" s="1"/>
  <c r="V63" i="101" s="1"/>
  <c r="V64" i="101" s="1"/>
  <c r="V65" i="101" s="1"/>
  <c r="V66" i="101" s="1"/>
  <c r="V67" i="101" s="1"/>
  <c r="V68" i="101" s="1"/>
  <c r="V69" i="101" s="1"/>
  <c r="V70" i="101" s="1"/>
  <c r="V71" i="101" s="1"/>
  <c r="V72" i="101" s="1"/>
  <c r="V73" i="101" s="1"/>
  <c r="V74" i="101" s="1"/>
  <c r="F20" i="101"/>
  <c r="L22" i="101"/>
  <c r="I10" i="101"/>
  <c r="H10" i="101"/>
  <c r="G10" i="101"/>
  <c r="F10" i="101"/>
  <c r="I9" i="101"/>
  <c r="H9" i="101"/>
  <c r="G9" i="101"/>
  <c r="F9" i="101"/>
  <c r="I8" i="101"/>
  <c r="H8" i="101"/>
  <c r="G8" i="101"/>
  <c r="E23" i="101" s="1"/>
  <c r="F8" i="101"/>
  <c r="I7" i="101"/>
  <c r="H7" i="101"/>
  <c r="G7" i="101"/>
  <c r="F7" i="101"/>
  <c r="I6" i="101"/>
  <c r="H6" i="101"/>
  <c r="G6" i="101"/>
  <c r="F6" i="101"/>
  <c r="I5" i="101"/>
  <c r="H5" i="101"/>
  <c r="G5" i="101"/>
  <c r="F5" i="101"/>
  <c r="W1" i="101"/>
  <c r="Q21" i="101" s="1"/>
  <c r="V75" i="101" l="1"/>
  <c r="V77" i="101" s="1"/>
  <c r="V79" i="101" s="1"/>
  <c r="V81" i="101" s="1"/>
  <c r="V83" i="101" s="1"/>
  <c r="V85" i="101" s="1"/>
  <c r="V87" i="101" s="1"/>
  <c r="V89" i="101" s="1"/>
  <c r="V91" i="101" s="1"/>
  <c r="V93" i="101" s="1"/>
  <c r="V95" i="101" s="1"/>
  <c r="V97" i="101" s="1"/>
  <c r="V99" i="101" s="1"/>
  <c r="V101" i="101" s="1"/>
  <c r="V103" i="101" s="1"/>
  <c r="V76" i="101"/>
  <c r="V78" i="101" s="1"/>
  <c r="V80" i="101" s="1"/>
  <c r="V82" i="101" s="1"/>
  <c r="V84" i="101" s="1"/>
  <c r="V86" i="101" s="1"/>
  <c r="V88" i="101" s="1"/>
  <c r="V90" i="101" s="1"/>
  <c r="V92" i="101" s="1"/>
  <c r="V94" i="101" s="1"/>
  <c r="V96" i="101" s="1"/>
  <c r="V98" i="101" s="1"/>
  <c r="V100" i="101" s="1"/>
  <c r="V102" i="101" s="1"/>
  <c r="V104" i="101" s="1"/>
  <c r="B2" i="59"/>
  <c r="B2" i="42"/>
  <c r="B2" i="57"/>
  <c r="B2" i="52"/>
  <c r="B2" i="40"/>
  <c r="B2" i="35"/>
  <c r="B2" i="54"/>
  <c r="B2" i="39"/>
  <c r="B2" i="36"/>
  <c r="B2" i="34"/>
  <c r="B2" i="30"/>
  <c r="B2" i="28"/>
  <c r="B2" i="22"/>
  <c r="B2" i="51"/>
  <c r="B2" i="27"/>
  <c r="B2" i="24"/>
  <c r="B2" i="32"/>
  <c r="B2" i="55"/>
  <c r="B2" i="53"/>
  <c r="B2" i="49"/>
  <c r="B2" i="45"/>
  <c r="B2" i="44"/>
  <c r="B2" i="19"/>
  <c r="B2" i="17"/>
  <c r="B2" i="41"/>
  <c r="B2" i="15"/>
  <c r="B2" i="29"/>
  <c r="B2" i="56"/>
  <c r="B2" i="3"/>
  <c r="B2" i="23"/>
  <c r="B2" i="14"/>
  <c r="B2" i="9"/>
  <c r="B2" i="72"/>
  <c r="B2" i="75"/>
  <c r="B2" i="48"/>
  <c r="B2" i="10"/>
  <c r="B2" i="50"/>
  <c r="B2" i="46"/>
  <c r="B2" i="37"/>
  <c r="B2" i="13"/>
  <c r="B2" i="21"/>
  <c r="B2" i="11"/>
  <c r="B2" i="69"/>
  <c r="B2" i="20"/>
  <c r="B2" i="16"/>
  <c r="E3" i="16" s="1"/>
  <c r="B2" i="7"/>
  <c r="B2" i="5"/>
  <c r="B2" i="33"/>
  <c r="B2" i="70"/>
  <c r="B2" i="71"/>
  <c r="B2" i="77"/>
  <c r="B2" i="6"/>
  <c r="B2" i="80"/>
  <c r="B2" i="82"/>
  <c r="B2" i="25"/>
  <c r="B2" i="87"/>
  <c r="B2" i="89"/>
  <c r="B2" i="8"/>
  <c r="B2" i="78"/>
  <c r="B2" i="94"/>
  <c r="B2" i="84"/>
  <c r="B2" i="88"/>
  <c r="B2" i="47"/>
  <c r="B2" i="26"/>
  <c r="B2" i="18"/>
  <c r="B2" i="12"/>
  <c r="B2" i="95"/>
  <c r="B2" i="81"/>
  <c r="B2" i="86"/>
  <c r="B2" i="43"/>
  <c r="B2" i="92"/>
  <c r="B2" i="96"/>
  <c r="B2" i="109"/>
  <c r="B2" i="124"/>
  <c r="B2" i="126"/>
  <c r="B2" i="127"/>
  <c r="B2" i="31"/>
  <c r="B2" i="79"/>
  <c r="B2" i="103"/>
  <c r="B2" i="91"/>
  <c r="B2" i="97"/>
  <c r="B2" i="106"/>
  <c r="B2" i="113"/>
  <c r="B2" i="83"/>
  <c r="B2" i="110"/>
  <c r="B2" i="116"/>
  <c r="B2" i="102"/>
  <c r="B2" i="118"/>
  <c r="B2" i="119"/>
  <c r="B2" i="120"/>
  <c r="B2" i="130"/>
  <c r="B2" i="132"/>
  <c r="B2" i="104"/>
  <c r="B2" i="117"/>
  <c r="B2" i="112"/>
  <c r="B2" i="85"/>
  <c r="B2" i="125"/>
  <c r="B2" i="131"/>
  <c r="B2" i="138"/>
  <c r="E3" i="138" s="1"/>
  <c r="B2" i="142"/>
  <c r="E3" i="142" s="1"/>
  <c r="B2" i="146"/>
  <c r="E3" i="146" s="1"/>
  <c r="B2" i="150"/>
  <c r="E3" i="150" s="1"/>
  <c r="B2" i="105"/>
  <c r="B2" i="129"/>
  <c r="B2" i="128"/>
  <c r="B2" i="115"/>
  <c r="B2" i="137"/>
  <c r="E3" i="137" s="1"/>
  <c r="B2" i="141"/>
  <c r="E3" i="141" s="1"/>
  <c r="B2" i="145"/>
  <c r="E3" i="145" s="1"/>
  <c r="B2" i="149"/>
  <c r="E3" i="149" s="1"/>
  <c r="B2" i="108"/>
  <c r="B2" i="4"/>
  <c r="B2" i="93"/>
  <c r="B2" i="111"/>
  <c r="B2" i="136"/>
  <c r="E3" i="136" s="1"/>
  <c r="B2" i="144"/>
  <c r="E3" i="144" s="1"/>
  <c r="B2" i="139"/>
  <c r="E3" i="139" s="1"/>
  <c r="B2" i="147"/>
  <c r="E3" i="147" s="1"/>
  <c r="B2" i="114"/>
  <c r="H2" i="2"/>
  <c r="B2" i="152"/>
  <c r="B2" i="73"/>
  <c r="B2" i="143"/>
  <c r="E3" i="143" s="1"/>
  <c r="B2" i="148"/>
  <c r="E3" i="148" s="1"/>
  <c r="B2" i="140"/>
  <c r="E3" i="140" s="1"/>
  <c r="B2" i="133"/>
  <c r="M44" i="101" a="1"/>
  <c r="AH7" i="101" a="1"/>
  <c r="E263" i="101" a="1"/>
  <c r="F323" i="101" a="1"/>
  <c r="E18" i="98" a="1"/>
  <c r="G193" i="101" a="1"/>
  <c r="V11" i="101" a="1"/>
  <c r="K42" i="101" a="1"/>
  <c r="M77" i="101" a="1"/>
  <c r="AH11" i="101" a="1"/>
  <c r="AV21" i="101" a="1"/>
  <c r="E269" i="101" a="1"/>
  <c r="F275" i="101" a="1"/>
  <c r="E212" i="101" a="1"/>
  <c r="G165" i="101" a="1"/>
  <c r="E71" i="101" a="1"/>
  <c r="E204" i="101" a="1"/>
  <c r="F77" i="101" a="1"/>
  <c r="F253" i="101" a="1"/>
  <c r="W15" i="101" a="1"/>
  <c r="E2" i="37" a="1"/>
  <c r="G320" i="101" a="1"/>
  <c r="G276" i="101" a="1"/>
  <c r="G196" i="101" a="1"/>
  <c r="G98" i="101" a="1"/>
  <c r="V14" i="101" a="1"/>
  <c r="AX21" i="101" a="1"/>
  <c r="E334" i="101" a="1"/>
  <c r="F269" i="101" a="1"/>
  <c r="F190" i="101" a="1"/>
  <c r="G54" i="101" a="1"/>
  <c r="K58" i="101" a="1"/>
  <c r="AV23" i="101" a="1"/>
  <c r="G107" i="101" a="1"/>
  <c r="E161" i="101" a="1"/>
  <c r="AX12" i="101" a="1"/>
  <c r="E2" i="25" a="1"/>
  <c r="G415" i="101" a="1"/>
  <c r="F164" i="101" a="1"/>
  <c r="G429" i="101" a="1"/>
  <c r="E376" i="101" a="1"/>
  <c r="G375" i="101" a="1"/>
  <c r="S11" i="101" a="1"/>
  <c r="E2" i="16" a="1"/>
  <c r="G362" i="101" a="1"/>
  <c r="G410" i="101" a="1"/>
  <c r="G245" i="101" a="1"/>
  <c r="G252" i="101" a="1"/>
  <c r="AL9" i="101" a="1"/>
  <c r="AM14" i="101" a="1"/>
  <c r="E401" i="101" a="1"/>
  <c r="E115" i="101" a="1"/>
  <c r="G3" i="98" a="1"/>
  <c r="G367" i="101" a="1"/>
  <c r="W14" i="101" a="1"/>
  <c r="E224" i="101" a="1"/>
  <c r="E307" i="101" a="1"/>
  <c r="E281" i="101" a="1"/>
  <c r="J36" i="2" a="1"/>
  <c r="F333" i="101" a="1"/>
  <c r="E177" i="101" a="1"/>
  <c r="I30" i="2" a="1"/>
  <c r="I10" i="2" a="1"/>
  <c r="M78" i="101" a="1"/>
  <c r="AJ7" i="101" a="1"/>
  <c r="L66" i="101" a="1"/>
  <c r="E2" i="30" a="1"/>
  <c r="M41" i="101" a="1"/>
  <c r="E287" i="101" a="1"/>
  <c r="M122" i="101" a="1"/>
  <c r="F383" i="101" a="1"/>
  <c r="L116" i="101" a="1"/>
  <c r="E70" i="101" a="1"/>
  <c r="E54" i="101" a="1"/>
  <c r="E62" i="101" a="1"/>
  <c r="F255" i="101" a="1"/>
  <c r="E2" i="109" a="1"/>
  <c r="E163" i="101" a="1"/>
  <c r="E231" i="101" a="1"/>
  <c r="E370" i="101" a="1"/>
  <c r="W18" i="101" a="1"/>
  <c r="G256" i="101" a="1"/>
  <c r="G354" i="101" a="1"/>
  <c r="G268" i="101" a="1"/>
  <c r="F412" i="101" a="1"/>
  <c r="G393" i="101" a="1"/>
  <c r="E414" i="101" a="1"/>
  <c r="F68" i="101" a="1"/>
  <c r="M82" i="101" a="1"/>
  <c r="G282" i="101" a="1"/>
  <c r="G191" i="101" a="1"/>
  <c r="G392" i="101" a="1"/>
  <c r="M123" i="101" a="1"/>
  <c r="G293" i="101" a="1"/>
  <c r="K115" i="101" a="1"/>
  <c r="G182" i="101" a="1"/>
  <c r="AL5" i="101" a="1"/>
  <c r="E2" i="34" a="1"/>
  <c r="F430" i="101" a="1"/>
  <c r="G116" i="101" a="1"/>
  <c r="F334" i="101" a="1"/>
  <c r="K80" i="101" a="1"/>
  <c r="L121" i="101" a="1"/>
  <c r="AT32" i="101" a="1"/>
  <c r="F240" i="101" a="1"/>
  <c r="E2" i="127" a="1"/>
  <c r="F33" i="2" a="1"/>
  <c r="AT36" i="101" a="1"/>
  <c r="AV27" i="101" a="1"/>
  <c r="G309" i="101" a="1"/>
  <c r="E367" i="101" a="1"/>
  <c r="E36" i="101" a="1"/>
  <c r="AT15" i="101" a="1"/>
  <c r="M58" i="101" a="1"/>
  <c r="L62" i="101" a="1"/>
  <c r="I49" i="2" a="1"/>
  <c r="J29" i="2" a="1"/>
  <c r="AW22" i="101" a="1"/>
  <c r="X8" i="101" a="1"/>
  <c r="G236" i="101" a="1"/>
  <c r="E255" i="101" a="1"/>
  <c r="G344" i="101" a="1"/>
  <c r="E101" i="101" a="1"/>
  <c r="E208" i="101" a="1"/>
  <c r="G395" i="101" a="1"/>
  <c r="E94" i="101" a="1"/>
  <c r="F402" i="101" a="1"/>
  <c r="K125" i="101" a="1"/>
  <c r="G70" i="101" a="1"/>
  <c r="E2" i="18" a="1"/>
  <c r="M74" i="101" a="1"/>
  <c r="F162" i="101" a="1"/>
  <c r="I35" i="2" a="1"/>
  <c r="E2" i="106" a="1"/>
  <c r="E2" i="143" a="1"/>
  <c r="G157" i="101" a="1"/>
  <c r="K85" i="101" a="1"/>
  <c r="F123" i="101" a="1"/>
  <c r="E72" i="101" a="1"/>
  <c r="E2" i="108" a="1"/>
  <c r="F276" i="101" a="1"/>
  <c r="F116" i="101" a="1"/>
  <c r="K55" i="101" a="1"/>
  <c r="S12" i="101" a="1"/>
  <c r="L72" i="101" a="1"/>
  <c r="F42" i="2" a="1"/>
  <c r="G99" i="101" a="1"/>
  <c r="E314" i="101" a="1"/>
  <c r="M129" i="101" a="1"/>
  <c r="F248" i="101" a="1"/>
  <c r="I39" i="2" a="1"/>
  <c r="G231" i="101" a="1"/>
  <c r="I41" i="2" a="1"/>
  <c r="E20" i="101" a="1"/>
  <c r="K40" i="101" a="1"/>
  <c r="G129" i="101" a="1"/>
  <c r="F155" i="101" a="1"/>
  <c r="F168" i="101" a="1"/>
  <c r="G405" i="101" a="1"/>
  <c r="G45" i="101" a="1"/>
  <c r="K44" i="101" a="1"/>
  <c r="G113" i="101" a="1"/>
  <c r="E2" i="48" a="1"/>
  <c r="F408" i="101" a="1"/>
  <c r="F366" i="101" a="1"/>
  <c r="G278" i="101" a="1"/>
  <c r="G302" i="101" a="1"/>
  <c r="E112" i="101" a="1"/>
  <c r="F101" i="101" a="1"/>
  <c r="F389" i="101" a="1"/>
  <c r="E41" i="101" a="1"/>
  <c r="E320" i="101" a="1"/>
  <c r="F310" i="101" a="1"/>
  <c r="E127" i="101" a="1"/>
  <c r="G120" i="101" a="1"/>
  <c r="F399" i="101" a="1"/>
  <c r="E109" i="101" a="1"/>
  <c r="AM10" i="101" a="1"/>
  <c r="G112" i="101" a="1"/>
  <c r="G240" i="101" a="1"/>
  <c r="L109" i="101" a="1"/>
  <c r="E380" i="101" a="1"/>
  <c r="E2" i="147" a="1"/>
  <c r="G166" i="101" a="1"/>
  <c r="AY34" i="101" a="1"/>
  <c r="M38" i="101" a="1"/>
  <c r="J18" i="2" a="1"/>
  <c r="E358" i="101" a="1"/>
  <c r="F11" i="2" a="1"/>
  <c r="K71" i="101" a="1"/>
  <c r="E381" i="101" a="1"/>
  <c r="Z11" i="101" a="1"/>
  <c r="F228" i="101" a="1"/>
  <c r="E2" i="139" a="1"/>
  <c r="K78" i="101" a="1"/>
  <c r="F173" i="101" a="1"/>
  <c r="G18" i="98" a="1"/>
  <c r="E2" i="71" a="1"/>
  <c r="S16" i="101" a="1"/>
  <c r="E157" i="101" a="1"/>
  <c r="E2" i="104" a="1"/>
  <c r="G303" i="101" a="1"/>
  <c r="L84" i="101" a="1"/>
  <c r="L88" i="101" a="1"/>
  <c r="AH6" i="101" a="1"/>
  <c r="AV33" i="101" a="1"/>
  <c r="V10" i="101" a="1"/>
  <c r="E343" i="101" a="1"/>
  <c r="F195" i="101" a="1"/>
  <c r="AI9" i="101" a="1"/>
  <c r="G85" i="101" a="1"/>
  <c r="K32" i="101" a="1"/>
  <c r="E123" i="101" a="1"/>
  <c r="AL8" i="101" a="1"/>
  <c r="E266" i="101" a="1"/>
  <c r="W11" i="101" a="1"/>
  <c r="E349" i="101" a="1"/>
  <c r="E272" i="101" a="1"/>
  <c r="R10" i="101" a="1"/>
  <c r="G179" i="101" a="1"/>
  <c r="G269" i="101" a="1"/>
  <c r="AH9" i="101" a="1"/>
  <c r="E92" i="101" a="1"/>
  <c r="L131" i="101" a="1"/>
  <c r="J26" i="2" a="1"/>
  <c r="E40" i="101" a="1"/>
  <c r="G275" i="101" a="1"/>
  <c r="J40" i="2" a="1"/>
  <c r="G255" i="101" a="1"/>
  <c r="F37" i="101" a="1"/>
  <c r="E382" i="101" a="1"/>
  <c r="E426" i="101" a="1"/>
  <c r="G249" i="101" a="1"/>
  <c r="G27" i="101" a="1"/>
  <c r="Y18" i="101" a="1"/>
  <c r="AT27" i="101" a="1"/>
  <c r="E291" i="101" a="1"/>
  <c r="G334" i="101" a="1"/>
  <c r="E194" i="101" a="1"/>
  <c r="AJ10" i="101" a="1"/>
  <c r="F187" i="101" a="1"/>
  <c r="F199" i="101" a="1"/>
  <c r="Y13" i="101" a="1"/>
  <c r="E2" i="144" a="1"/>
  <c r="R7" i="101" a="1"/>
  <c r="D20" i="101" a="1"/>
  <c r="G74" i="101" a="1"/>
  <c r="G322" i="101" a="1"/>
  <c r="G181" i="101" a="1"/>
  <c r="J52" i="2" a="1"/>
  <c r="M108" i="101" a="1"/>
  <c r="G188" i="101" a="1"/>
  <c r="K128" i="101" a="1"/>
  <c r="E150" i="101" a="1"/>
  <c r="E341" i="101" a="1"/>
  <c r="E365" i="101" a="1"/>
  <c r="G424" i="101" a="1"/>
  <c r="F47" i="101" a="1"/>
  <c r="G263" i="101" a="1"/>
  <c r="F259" i="101" a="1"/>
  <c r="F431" i="101" a="1"/>
  <c r="J51" i="2" a="1"/>
  <c r="F125" i="101" a="1"/>
  <c r="E147" i="101" a="1"/>
  <c r="E232" i="101" a="1"/>
  <c r="M96" i="101" a="1"/>
  <c r="F46" i="2" a="1"/>
  <c r="F130" i="101" a="1"/>
  <c r="G155" i="101" a="1"/>
  <c r="E218" i="101" a="1"/>
  <c r="F295" i="101" a="1"/>
  <c r="F416" i="101" a="1"/>
  <c r="I14" i="2" a="1"/>
  <c r="E193" i="101" a="1"/>
  <c r="AV22" i="101" a="1"/>
  <c r="Z15" i="101" a="1"/>
  <c r="E130" i="101" a="1"/>
  <c r="AL7" i="101" a="1"/>
  <c r="F327" i="101" a="1"/>
  <c r="F36" i="2" a="1"/>
  <c r="AU28" i="101" a="1"/>
  <c r="AT35" i="101" a="1"/>
  <c r="G40" i="101" a="1"/>
  <c r="E305" i="101" a="1"/>
  <c r="E2" i="40" a="1"/>
  <c r="E2" i="17" a="1"/>
  <c r="E143" i="101" a="1"/>
  <c r="M70" i="101" a="1"/>
  <c r="M42" i="101" a="1"/>
  <c r="E65" i="101" a="1"/>
  <c r="G261" i="101" a="1"/>
  <c r="F368" i="101" a="1"/>
  <c r="M112" i="101" a="1"/>
  <c r="F80" i="101" a="1"/>
  <c r="G203" i="101" a="1"/>
  <c r="F79" i="101" a="1"/>
  <c r="F234" i="101" a="1"/>
  <c r="I44" i="2" a="1"/>
  <c r="AU21" i="101" a="1"/>
  <c r="F144" i="101" a="1"/>
  <c r="G285" i="101" a="1"/>
  <c r="G251" i="101" a="1"/>
  <c r="E223" i="101" a="1"/>
  <c r="J32" i="2" a="1"/>
  <c r="G62" i="101" a="1"/>
  <c r="G416" i="101" a="1"/>
  <c r="F311" i="101" a="1"/>
  <c r="G297" i="101" a="1"/>
  <c r="J27" i="2" a="1"/>
  <c r="AW7" i="101" a="1"/>
  <c r="E37" i="101" a="1"/>
  <c r="L31" i="101" a="1"/>
  <c r="F169" i="101" a="1"/>
  <c r="E403" i="101" a="1"/>
  <c r="G101" i="101" a="1"/>
  <c r="G348" i="101" a="1"/>
  <c r="AV16" i="101" a="1"/>
  <c r="AT26" i="101" a="1"/>
  <c r="G173" i="101" a="1"/>
  <c r="E256" i="101" a="1"/>
  <c r="F204" i="101" a="1"/>
  <c r="AW16" i="101" a="1"/>
  <c r="S10" i="101" a="1"/>
  <c r="G198" i="101" a="1"/>
  <c r="E228" i="101" a="1"/>
  <c r="E118" i="101" a="1"/>
  <c r="L122" i="101" a="1"/>
  <c r="L21" i="101" a="1"/>
  <c r="L115" i="101" a="1"/>
  <c r="E372" i="101" a="1"/>
  <c r="F390" i="101" a="1"/>
  <c r="E279" i="101" a="1"/>
  <c r="G87" i="101" a="1"/>
  <c r="E31" i="101" a="1"/>
  <c r="AW23" i="101" a="1"/>
  <c r="E394" i="101" a="1"/>
  <c r="E2" i="29" a="1"/>
  <c r="G423" i="101" a="1"/>
  <c r="F272" i="101" a="1"/>
  <c r="E81" i="101" a="1"/>
  <c r="E85" i="101" a="1"/>
  <c r="E242" i="101" a="1"/>
  <c r="E53" i="101" a="1"/>
  <c r="F298" i="101" a="1"/>
  <c r="G51" i="101" a="1"/>
  <c r="AT25" i="101" a="1"/>
  <c r="E385" i="101" a="1"/>
  <c r="AU15" i="101" a="1"/>
  <c r="F297" i="101" a="1"/>
  <c r="L118" i="101" a="1"/>
  <c r="AK11" i="101" a="1"/>
  <c r="E17" i="98" a="1"/>
  <c r="E189" i="101" a="1"/>
  <c r="F363" i="101" a="1"/>
  <c r="L78" i="101" a="1"/>
  <c r="E160" i="101" a="1"/>
  <c r="AI10" i="101" a="1"/>
  <c r="X15" i="101" a="1"/>
  <c r="F410" i="101" a="1"/>
  <c r="F236" i="101" a="1"/>
  <c r="E347" i="101" a="1"/>
  <c r="F54" i="101" a="1"/>
  <c r="AU25" i="101" a="1"/>
  <c r="X18" i="101" a="1"/>
  <c r="K43" i="101" a="1"/>
  <c r="F242" i="101" a="1"/>
  <c r="E2" i="152" a="1"/>
  <c r="F72" i="101" a="1"/>
  <c r="K129" i="101" a="1"/>
  <c r="E395" i="101" a="1"/>
  <c r="E230" i="101" a="1"/>
  <c r="G48" i="101" a="1"/>
  <c r="G356" i="101" a="1"/>
  <c r="J39" i="2" a="1"/>
  <c r="F394" i="101" a="1"/>
  <c r="G83" i="101" a="1"/>
  <c r="F19" i="2" a="1"/>
  <c r="L47" i="101" a="1"/>
  <c r="F287" i="101" a="1"/>
  <c r="W10" i="101" a="1"/>
  <c r="E195" i="101" a="1"/>
  <c r="F318" i="101" a="1"/>
  <c r="M115" i="101" a="1"/>
  <c r="E2" i="41" a="1"/>
  <c r="Z9" i="101" a="1"/>
  <c r="AW32" i="101" a="1"/>
  <c r="F252" i="101" a="1"/>
  <c r="F137" i="101" a="1"/>
  <c r="K39" i="101" a="1"/>
  <c r="E153" i="101" a="1"/>
  <c r="AV8" i="101" a="1"/>
  <c r="AU9" i="101" a="1"/>
  <c r="E368" i="101" a="1"/>
  <c r="E415" i="101" a="1"/>
  <c r="X12" i="101" a="1"/>
  <c r="G311" i="101" a="1"/>
  <c r="K119" i="101" a="1"/>
  <c r="E2" i="44" a="1"/>
  <c r="AV36" i="101" a="1"/>
  <c r="G35" i="101" a="1"/>
  <c r="I32" i="2" a="1"/>
  <c r="AT11" i="101" a="1"/>
  <c r="F65" i="101" a="1"/>
  <c r="E51" i="101" a="1"/>
  <c r="Z12" i="101" a="1"/>
  <c r="L76" i="101" a="1"/>
  <c r="G156" i="101" a="1"/>
  <c r="F25" i="2" a="1"/>
  <c r="G355" i="101" a="1"/>
  <c r="M55" i="101" a="1"/>
  <c r="G64" i="101" a="1"/>
  <c r="AU23" i="101" a="1"/>
  <c r="J34" i="2" a="1"/>
  <c r="R18" i="101" a="1"/>
  <c r="F118" i="101" a="1"/>
  <c r="G208" i="101" a="1"/>
  <c r="E344" i="101" a="1"/>
  <c r="G43" i="101" a="1"/>
  <c r="AU6" i="101" a="1"/>
  <c r="K41" i="101" a="1"/>
  <c r="AX5" i="101" a="1"/>
  <c r="Y6" i="101" a="1"/>
  <c r="G398" i="101" a="1"/>
  <c r="G388" i="101" a="1"/>
  <c r="G201" i="101" a="1"/>
  <c r="L71" i="101" a="1"/>
  <c r="AT23" i="101" a="1"/>
  <c r="E238" i="101" a="1"/>
  <c r="F378" i="101" a="1"/>
  <c r="F97" i="101" a="1"/>
  <c r="G36" i="101" a="1"/>
  <c r="G291" i="101" a="1"/>
  <c r="E251" i="101" a="1"/>
  <c r="G284" i="101" a="1"/>
  <c r="G148" i="101" a="1"/>
  <c r="AX6" i="101" a="1"/>
  <c r="L13" i="101" a="1"/>
  <c r="E423" i="101" a="1"/>
  <c r="G257" i="101" a="1"/>
  <c r="E2" i="138" a="1"/>
  <c r="E262" i="101" a="1"/>
  <c r="G159" i="101" a="1"/>
  <c r="G227" i="101" a="1"/>
  <c r="K60" i="101" a="1"/>
  <c r="F91" i="101" a="1"/>
  <c r="AV15" i="101" a="1"/>
  <c r="G399" i="101" a="1"/>
  <c r="K122" i="101" a="1"/>
  <c r="E2" i="81" a="1"/>
  <c r="I22" i="2" a="1"/>
  <c r="G167" i="101" a="1"/>
  <c r="F235" i="101" a="1"/>
  <c r="E203" i="101" a="1"/>
  <c r="G296" i="101" a="1"/>
  <c r="F23" i="2" a="1"/>
  <c r="F219" i="101" a="1"/>
  <c r="F279" i="101" a="1"/>
  <c r="E359" i="101" a="1"/>
  <c r="G229" i="101" a="1"/>
  <c r="G384" i="101" a="1"/>
  <c r="G91" i="101" a="1"/>
  <c r="F74" i="101" a="1"/>
  <c r="E97" i="101" a="1"/>
  <c r="J17" i="2" a="1"/>
  <c r="G90" i="101" a="1"/>
  <c r="F273" i="101" a="1"/>
  <c r="W13" i="101" a="1"/>
  <c r="E388" i="101" a="1"/>
  <c r="M47" i="101" a="1"/>
  <c r="E170" i="101" a="1"/>
  <c r="F203" i="101" a="1"/>
  <c r="E188" i="101" a="1"/>
  <c r="E2" i="89" a="1"/>
  <c r="E244" i="101" a="1"/>
  <c r="F358" i="101" a="1"/>
  <c r="L57" i="101" a="1"/>
  <c r="K73" i="101" a="1"/>
  <c r="AY10" i="101" a="1"/>
  <c r="E323" i="101" a="1"/>
  <c r="E43" i="101" a="1"/>
  <c r="F320" i="101" a="1"/>
  <c r="F76" i="101" a="1"/>
  <c r="G224" i="101" a="1"/>
  <c r="AM7" i="101" a="1"/>
  <c r="AK13" i="101" a="1"/>
  <c r="E397" i="101" a="1"/>
  <c r="E32" i="101" a="1"/>
  <c r="AW5" i="101" a="1"/>
  <c r="G428" i="101" a="1"/>
  <c r="F282" i="101" a="1"/>
  <c r="G111" i="101" a="1"/>
  <c r="G34" i="101" a="1"/>
  <c r="G396" i="101" a="1"/>
  <c r="M116" i="101" a="1"/>
  <c r="F36" i="101" a="1"/>
  <c r="G377" i="101" a="1"/>
  <c r="E258" i="101" a="1"/>
  <c r="F344" i="101" a="1"/>
  <c r="K47" i="101" a="1"/>
  <c r="M75" i="101" a="1"/>
  <c r="E402" i="101" a="1"/>
  <c r="E361" i="101" a="1"/>
  <c r="M36" i="101" a="1"/>
  <c r="E235" i="101" a="1"/>
  <c r="E274" i="101" a="1"/>
  <c r="F401" i="101" a="1"/>
  <c r="G307" i="101" a="1"/>
  <c r="E156" i="101" a="1"/>
  <c r="L10" i="101" a="1"/>
  <c r="G306" i="101" a="1"/>
  <c r="E2" i="133" a="1"/>
  <c r="AW12" i="101" a="1"/>
  <c r="G221" i="101" a="1"/>
  <c r="E73" i="101" a="1"/>
  <c r="L18" i="101" a="1"/>
  <c r="AX22" i="101" a="1"/>
  <c r="E318" i="101" a="1"/>
  <c r="E292" i="101" a="1"/>
  <c r="AU12" i="101" a="1"/>
  <c r="E391" i="101" a="1"/>
  <c r="AX7" i="101" a="1"/>
  <c r="E2" i="92" a="1"/>
  <c r="AY32" i="101" a="1"/>
  <c r="C4" i="98" a="1"/>
  <c r="M59" i="101" a="1"/>
  <c r="W16" i="101" a="1"/>
  <c r="AU13" i="101" a="1"/>
  <c r="F160" i="101" a="1"/>
  <c r="E316" i="101" a="1"/>
  <c r="G37" i="101" a="1"/>
  <c r="G211" i="101" a="1"/>
  <c r="E337" i="101" a="1"/>
  <c r="F120" i="101" a="1"/>
  <c r="M65" i="101" a="1"/>
  <c r="G313" i="101" a="1"/>
  <c r="S18" i="101" a="1"/>
  <c r="E342" i="101" a="1"/>
  <c r="J24" i="2" a="1"/>
  <c r="G123" i="101" a="1"/>
  <c r="E66" i="101" a="1"/>
  <c r="G53" i="101" a="1"/>
  <c r="M79" i="101" a="1"/>
  <c r="F86" i="101" a="1"/>
  <c r="E295" i="101" a="1"/>
  <c r="F322" i="101" a="1"/>
  <c r="F142" i="101" a="1"/>
  <c r="F114" i="101" a="1"/>
  <c r="E270" i="101" a="1"/>
  <c r="E42" i="101" a="1"/>
  <c r="G144" i="101" a="1"/>
  <c r="F129" i="101" a="1"/>
  <c r="F361" i="101" a="1"/>
  <c r="E2" i="115" a="1"/>
  <c r="E119" i="101" a="1"/>
  <c r="Z8" i="101" a="1"/>
  <c r="V7" i="101" a="1"/>
  <c r="F357" i="101" a="1"/>
  <c r="AV9" i="101" a="1"/>
  <c r="E60" i="101" a="1"/>
  <c r="G202" i="101" a="1"/>
  <c r="E187" i="101" a="1"/>
  <c r="E2" i="137" a="1"/>
  <c r="E293" i="101" a="1"/>
  <c r="E2" i="102" a="1"/>
  <c r="F335" i="101" a="1"/>
  <c r="Y12" i="101" a="1"/>
  <c r="G225" i="101" a="1"/>
  <c r="F278" i="101" a="1"/>
  <c r="E3" i="98" a="1"/>
  <c r="AI5" i="101" a="1"/>
  <c r="E2" i="113" a="1"/>
  <c r="E174" i="101" a="1"/>
  <c r="AY25" i="101" a="1"/>
  <c r="E28" i="101" a="1"/>
  <c r="F216" i="101" a="1"/>
  <c r="B6" i="98" a="1"/>
  <c r="L19" i="101" a="1"/>
  <c r="V16" i="101" a="1"/>
  <c r="G78" i="101" a="1"/>
  <c r="L67" i="101" a="1"/>
  <c r="I7" i="2" a="1"/>
  <c r="G363" i="101" a="1"/>
  <c r="AU24" i="101" a="1"/>
  <c r="F102" i="101" a="1"/>
  <c r="G194" i="101" a="1"/>
  <c r="E167" i="101" a="1"/>
  <c r="F151" i="101" a="1"/>
  <c r="E2" i="57" a="1"/>
  <c r="F73" i="101" a="1"/>
  <c r="G333" i="101" a="1"/>
  <c r="F32" i="2" a="1"/>
  <c r="I43" i="2" a="1"/>
  <c r="E93" i="101" a="1"/>
  <c r="G364" i="101" a="1"/>
  <c r="E33" i="101" a="1"/>
  <c r="L60" i="101" a="1"/>
  <c r="F35" i="101" a="1"/>
  <c r="E35" i="101" a="1"/>
  <c r="B20" i="98" a="1"/>
  <c r="E200" i="101" a="1"/>
  <c r="F330" i="101" a="1"/>
  <c r="F260" i="101" a="1"/>
  <c r="F285" i="101" a="1"/>
  <c r="F163" i="101" a="1"/>
  <c r="F362" i="101" a="1"/>
  <c r="F237" i="101" a="1"/>
  <c r="E30" i="101" a="1"/>
  <c r="G126" i="101" a="1"/>
  <c r="M67" i="101" a="1"/>
  <c r="F64" i="101" a="1"/>
  <c r="F145" i="101" a="1"/>
  <c r="F5" i="2" a="1"/>
  <c r="F14" i="2" a="1"/>
  <c r="L112" i="101" a="1"/>
  <c r="F267" i="101" a="1"/>
  <c r="E430" i="101" a="1"/>
  <c r="G200" i="101" a="1"/>
  <c r="I45" i="2" a="1"/>
  <c r="G69" i="101" a="1"/>
  <c r="AV17" i="101" a="1"/>
  <c r="F44" i="101" a="1"/>
  <c r="I23" i="2" a="1"/>
  <c r="E2" i="53" a="1"/>
  <c r="G205" i="101" a="1"/>
  <c r="G84" i="101" a="1"/>
  <c r="M95" i="101" a="1"/>
  <c r="E2" i="80" a="1"/>
  <c r="F9" i="2" a="1"/>
  <c r="E2" i="20" a="1"/>
  <c r="E76" i="101" a="1"/>
  <c r="L36" i="101" a="1"/>
  <c r="AM13" i="101" a="1"/>
  <c r="AI13" i="101" a="1"/>
  <c r="L93" i="101" a="1"/>
  <c r="A1" i="100" a="1"/>
  <c r="AT17" i="101" a="1"/>
  <c r="L68" i="101" a="1"/>
  <c r="G336" i="101" a="1"/>
  <c r="F305" i="101" a="1"/>
  <c r="Y16" i="101" a="1"/>
  <c r="E63" i="101" a="1"/>
  <c r="AQ35" i="101" a="1"/>
  <c r="F59" i="101" a="1"/>
  <c r="AL11" i="101" a="1"/>
  <c r="E2" i="110" a="1"/>
  <c r="G17" i="98" a="1"/>
  <c r="F56" i="101" a="1"/>
  <c r="AR35" i="101" a="1"/>
  <c r="F49" i="101" a="1"/>
  <c r="L92" i="101" a="1"/>
  <c r="J41" i="2" a="1"/>
  <c r="F205" i="101" a="1"/>
  <c r="K33" i="101" a="1"/>
  <c r="E2" i="96" a="1"/>
  <c r="A7" i="98" a="1"/>
  <c r="F261" i="101" a="1"/>
  <c r="AV25" i="101" a="1"/>
  <c r="E151" i="101" a="1"/>
  <c r="F63" i="101" a="1"/>
  <c r="F226" i="101" a="1"/>
  <c r="K123" i="101" a="1"/>
  <c r="G397" i="101" a="1"/>
  <c r="M113" i="101" a="1"/>
  <c r="E64" i="101" a="1"/>
  <c r="E243" i="101" a="1"/>
  <c r="E146" i="101" a="1"/>
  <c r="F194" i="101" a="1"/>
  <c r="F266" i="101" a="1"/>
  <c r="R11" i="101" a="1"/>
  <c r="AU17" i="101" a="1"/>
  <c r="E52" i="101" a="1"/>
  <c r="J49" i="2" a="1"/>
  <c r="E2" i="4" a="1"/>
  <c r="E215" i="101" a="1"/>
  <c r="G175" i="101" a="1"/>
  <c r="G237" i="101" a="1"/>
  <c r="F395" i="101" a="1"/>
  <c r="G376" i="101" a="1"/>
  <c r="G114" i="101" a="1"/>
  <c r="AJ8" i="101" a="1"/>
  <c r="E165" i="101" a="1"/>
  <c r="E46" i="101" a="1"/>
  <c r="F202" i="101" a="1"/>
  <c r="S13" i="101" a="1"/>
  <c r="G185" i="101" a="1"/>
  <c r="E75" i="101" a="1"/>
  <c r="G103" i="101" a="1"/>
  <c r="E246" i="101" a="1"/>
  <c r="E83" i="101" a="1"/>
  <c r="J30" i="2" a="1"/>
  <c r="E417" i="101" a="1"/>
  <c r="E373" i="101" a="1"/>
  <c r="K124" i="101" a="1"/>
  <c r="AX19" i="101" a="1"/>
  <c r="L124" i="101" a="1"/>
  <c r="F313" i="101" a="1"/>
  <c r="G351" i="101" a="1"/>
  <c r="E2" i="117" a="1"/>
  <c r="G314" i="101" a="1"/>
  <c r="K30" i="101" a="1"/>
  <c r="E2" i="12" a="1"/>
  <c r="E149" i="101" a="1"/>
  <c r="F94" i="101" a="1"/>
  <c r="AT14" i="101" a="1"/>
  <c r="AY23" i="101" a="1"/>
  <c r="E148" i="101" a="1"/>
  <c r="G338" i="101" a="1"/>
  <c r="E131" i="101" a="1"/>
  <c r="E135" i="101" a="1"/>
  <c r="AV28" i="101" a="1"/>
  <c r="AU22" i="101" a="1"/>
  <c r="J8" i="2" a="1"/>
  <c r="F47" i="2" a="1"/>
  <c r="E252" i="101" a="1"/>
  <c r="G373" i="101" a="1"/>
  <c r="M80" i="101" a="1"/>
  <c r="E289" i="101" a="1"/>
  <c r="L125" i="101" a="1"/>
  <c r="F429" i="101" a="1"/>
  <c r="F53" i="101" a="1"/>
  <c r="E364" i="101" a="1"/>
  <c r="G298" i="101" a="1"/>
  <c r="E202" i="101" a="1"/>
  <c r="G305" i="101" a="1"/>
  <c r="E280" i="101" a="1"/>
  <c r="G131" i="101" a="1"/>
  <c r="I40" i="2" a="1"/>
  <c r="X9" i="101" a="1"/>
  <c r="M93" i="101" a="1"/>
  <c r="K90" i="101" a="1"/>
  <c r="F26" i="2" a="1"/>
  <c r="AW13" i="101" a="1"/>
  <c r="F227" i="101" a="1"/>
  <c r="AY26" i="101" a="1"/>
  <c r="G281" i="101" a="1"/>
  <c r="E286" i="101" a="1"/>
  <c r="AT5" i="101" a="1"/>
  <c r="F18" i="2" a="1"/>
  <c r="R19" i="101" a="1"/>
  <c r="AY14" i="101" a="1"/>
  <c r="L14" i="101" a="1"/>
  <c r="F413" i="101" a="1"/>
  <c r="G372" i="101" a="1"/>
  <c r="J9" i="2" a="1"/>
  <c r="F40" i="2" a="1"/>
  <c r="M29" i="101" a="1"/>
  <c r="AW25" i="101" a="1"/>
  <c r="AT24" i="101" a="1"/>
  <c r="F139" i="101" a="1"/>
  <c r="E379" i="101" a="1"/>
  <c r="F396" i="101" a="1"/>
  <c r="G164" i="101" a="1"/>
  <c r="L35" i="101" a="1"/>
  <c r="M46" i="101" a="1"/>
  <c r="F206" i="101" a="1"/>
  <c r="Y8" i="101" a="1"/>
  <c r="E2" i="140" a="1"/>
  <c r="G332" i="101" a="1"/>
  <c r="AX35" i="101" a="1"/>
  <c r="AI12" i="101" a="1"/>
  <c r="AW17" i="101" a="1"/>
  <c r="AL12" i="101" a="1"/>
  <c r="E2" i="28" a="1"/>
  <c r="F375" i="101" a="1"/>
  <c r="AY21" i="101" a="1"/>
  <c r="F39" i="2" a="1"/>
  <c r="AX29" i="101" a="1"/>
  <c r="AY15" i="101" a="1"/>
  <c r="Z17" i="101" a="1"/>
  <c r="L45" i="101" a="1"/>
  <c r="F161" i="101" a="1"/>
  <c r="AY31" i="101" a="1"/>
  <c r="AW21" i="101" a="1"/>
  <c r="G86" i="101" a="1"/>
  <c r="R13" i="101" a="1"/>
  <c r="M32" i="101" a="1"/>
  <c r="F238" i="101" a="1"/>
  <c r="M62" i="101" a="1"/>
  <c r="K83" i="101" a="1"/>
  <c r="G178" i="101" a="1"/>
  <c r="L77" i="101" a="1"/>
  <c r="E345" i="101" a="1"/>
  <c r="G147" i="101" a="1"/>
  <c r="E2" i="114" a="1"/>
  <c r="Z10" i="101" a="1"/>
  <c r="E390" i="101" a="1"/>
  <c r="F43" i="101" a="1"/>
  <c r="M83" i="101" a="1"/>
  <c r="G382" i="101" a="1"/>
  <c r="E183" i="101" a="1"/>
  <c r="W19" i="101" a="1"/>
  <c r="G241" i="101" a="1"/>
  <c r="M45" i="101" a="1"/>
  <c r="E162" i="101" a="1"/>
  <c r="E90" i="101" a="1"/>
  <c r="E166" i="101" a="1"/>
  <c r="G109" i="101" a="1"/>
  <c r="F136" i="101" a="1"/>
  <c r="AU32" i="101" a="1"/>
  <c r="G417" i="101" a="1"/>
  <c r="AV20" i="101" a="1"/>
  <c r="G207" i="101" a="1"/>
  <c r="G110" i="101" a="1"/>
  <c r="AY27" i="101" a="1"/>
  <c r="E285" i="101" a="1"/>
  <c r="E265" i="101" a="1"/>
  <c r="F119" i="101" a="1"/>
  <c r="F277" i="101" a="1"/>
  <c r="F154" i="101" a="1"/>
  <c r="E2" i="97" a="1"/>
  <c r="G102" i="101" a="1"/>
  <c r="K86" i="101" a="1"/>
  <c r="I51" i="2" a="1"/>
  <c r="M111" i="101" a="1"/>
  <c r="L54" i="101" a="1"/>
  <c r="E420" i="101" a="1"/>
  <c r="J14" i="2" a="1"/>
  <c r="G368" i="101" a="1"/>
  <c r="E2" i="116" a="1"/>
  <c r="W8" i="101" a="1"/>
  <c r="E155" i="101" a="1"/>
  <c r="G238" i="101" a="1"/>
  <c r="E357" i="101" a="1"/>
  <c r="E406" i="101" a="1"/>
  <c r="G117" i="101" a="1"/>
  <c r="G115" i="101" a="1"/>
  <c r="AK8" i="101" a="1"/>
  <c r="G170" i="101" a="1"/>
  <c r="F249" i="101" a="1"/>
  <c r="G253" i="101" a="1"/>
  <c r="L9" i="101" a="1"/>
  <c r="AK9" i="101" a="1"/>
  <c r="L11" i="101" a="1"/>
  <c r="G138" i="101" a="1"/>
  <c r="R17" i="101" a="1"/>
  <c r="E198" i="101" a="1"/>
  <c r="AT6" i="101" a="1"/>
  <c r="AX33" i="101" a="1"/>
  <c r="AU20" i="101" a="1"/>
  <c r="F221" i="101" a="1"/>
  <c r="AX18" i="101" a="1"/>
  <c r="G317" i="101" a="1"/>
  <c r="G414" i="101" a="1"/>
  <c r="E336" i="101" a="1"/>
  <c r="F115" i="101" a="1"/>
  <c r="G421" i="101" a="1"/>
  <c r="F138" i="101" a="1"/>
  <c r="G59" i="101" a="1"/>
  <c r="F367" i="101" a="1"/>
  <c r="AY30" i="101" a="1"/>
  <c r="E132" i="101" a="1"/>
  <c r="E2" i="54" a="1"/>
  <c r="G277" i="101" a="1"/>
  <c r="AU8" i="101" a="1"/>
  <c r="E2" i="51" a="1"/>
  <c r="E354" i="101" a="1"/>
  <c r="E180" i="101" a="1"/>
  <c r="E125" i="101" a="1"/>
  <c r="AT10" i="101" a="1"/>
  <c r="M127" i="101" a="1"/>
  <c r="AI11" i="101" a="1"/>
  <c r="L113" i="101" a="1"/>
  <c r="E416" i="101" a="1"/>
  <c r="F384" i="101" a="1"/>
  <c r="F13" i="2" a="1"/>
  <c r="K65" i="101" a="1"/>
  <c r="M85" i="101" a="1"/>
  <c r="S14" i="101" a="1"/>
  <c r="F403" i="101" a="1"/>
  <c r="F351" i="101" a="1"/>
  <c r="E190" i="101" a="1"/>
  <c r="F405" i="101" a="1"/>
  <c r="AU26" i="101" a="1"/>
  <c r="AW19" i="101" a="1"/>
  <c r="F46" i="101" a="1"/>
  <c r="G136" i="101" a="1"/>
  <c r="F38" i="101" a="1"/>
  <c r="E2" i="118" a="1"/>
  <c r="E2" i="52" a="1"/>
  <c r="F398" i="101" a="1"/>
  <c r="E107" i="101" a="1"/>
  <c r="E351" i="101" a="1"/>
  <c r="K46" i="101" a="1"/>
  <c r="E45" i="101" a="1"/>
  <c r="F223" i="101" a="1"/>
  <c r="E325" i="101" a="1"/>
  <c r="J44" i="2" a="1"/>
  <c r="G61" i="101" a="1"/>
  <c r="F263" i="101" a="1"/>
  <c r="F300" i="101" a="1"/>
  <c r="M60" i="101" a="1"/>
  <c r="X11" i="101" a="1"/>
  <c r="M109" i="101" a="1"/>
  <c r="G108" i="101" a="1"/>
  <c r="F89" i="101" a="1"/>
  <c r="G228" i="101" a="1"/>
  <c r="G407" i="101" a="1"/>
  <c r="E2" i="22" a="1"/>
  <c r="G387" i="101" a="1"/>
  <c r="AV5" i="101" a="1"/>
  <c r="E217" i="101" a="1"/>
  <c r="F172" i="101" a="1"/>
  <c r="G176" i="101" a="1"/>
  <c r="E2" i="49" a="1"/>
  <c r="AI6" i="101" a="1"/>
  <c r="F44" i="2" a="1"/>
  <c r="S8" i="101" a="1"/>
  <c r="G295" i="101" a="1"/>
  <c r="E328" i="101" a="1"/>
  <c r="F257" i="101" a="1"/>
  <c r="F28" i="101" a="1"/>
  <c r="G130" i="101" a="1"/>
  <c r="E88" i="101" a="1"/>
  <c r="AK12" i="101" a="1"/>
  <c r="E2" i="70" a="1"/>
  <c r="G258" i="101" a="1"/>
  <c r="F110" i="101" a="1"/>
  <c r="E317" i="101" a="1"/>
  <c r="F167" i="101" a="1"/>
  <c r="F179" i="101" a="1"/>
  <c r="E329" i="101" a="1"/>
  <c r="F132" i="101" a="1"/>
  <c r="I21" i="2" a="1"/>
  <c r="E182" i="101" a="1"/>
  <c r="G137" i="101" a="1"/>
  <c r="E2" i="11" a="1"/>
  <c r="AM5" i="101" a="1"/>
  <c r="E312" i="101" a="1"/>
  <c r="E2" i="73" a="1"/>
  <c r="V12" i="101" a="1"/>
  <c r="K121" i="101" a="1"/>
  <c r="F127" i="101" a="1"/>
  <c r="G352" i="101" a="1"/>
  <c r="F425" i="101" a="1"/>
  <c r="F374" i="101" a="1"/>
  <c r="F177" i="101" a="1"/>
  <c r="F291" i="101" a="1"/>
  <c r="F158" i="101" a="1"/>
  <c r="F307" i="101" a="1"/>
  <c r="E333" i="101" a="1"/>
  <c r="E424" i="101" a="1"/>
  <c r="E297" i="101" a="1"/>
  <c r="E2" i="128" a="1"/>
  <c r="F183" i="101" a="1"/>
  <c r="E108" i="101" a="1"/>
  <c r="M57" i="101" a="1"/>
  <c r="L80" i="101" a="1"/>
  <c r="AF20" i="101" a="1"/>
  <c r="C12" i="101" a="1"/>
  <c r="G94" i="101" a="1"/>
  <c r="E264" i="101" a="1"/>
  <c r="E389" i="101" a="1"/>
  <c r="I36" i="2" a="1"/>
  <c r="F360" i="101" a="1"/>
  <c r="F341" i="101" a="1"/>
  <c r="E105" i="101" a="1"/>
  <c r="E128" i="101" a="1"/>
  <c r="E335" i="101" a="1"/>
  <c r="E197" i="101" a="1"/>
  <c r="G360" i="101" a="1"/>
  <c r="F39" i="101" a="1"/>
  <c r="E2" i="46" a="1"/>
  <c r="G383" i="101" a="1"/>
  <c r="G294" i="101" a="1"/>
  <c r="E404" i="101" a="1"/>
  <c r="E257" i="101" a="1"/>
  <c r="J25" i="2" a="1"/>
  <c r="G244" i="101" a="1"/>
  <c r="F122" i="101" a="1"/>
  <c r="F355" i="101" a="1"/>
  <c r="L130" i="101" a="1"/>
  <c r="G420" i="101" a="1"/>
  <c r="L114" i="101" a="1"/>
  <c r="F339" i="101" a="1"/>
  <c r="F229" i="101" a="1"/>
  <c r="G385" i="101" a="1"/>
  <c r="I16" i="2" a="1"/>
  <c r="F198" i="101" a="1"/>
  <c r="AV24" i="101" a="1"/>
  <c r="AW31" i="101" a="1"/>
  <c r="F247" i="101" a="1"/>
  <c r="AU35" i="101" a="1"/>
  <c r="F220" i="101" a="1"/>
  <c r="L59" i="101" a="1"/>
  <c r="E399" i="101" a="1"/>
  <c r="F121" i="101" a="1"/>
  <c r="E2" i="85" a="1"/>
  <c r="AT21" i="101" a="1"/>
  <c r="E58" i="101" a="1"/>
  <c r="F271" i="101" a="1"/>
  <c r="I38" i="2" a="1"/>
  <c r="G271" i="101" a="1"/>
  <c r="Y11" i="101" a="1"/>
  <c r="G292" i="101" a="1"/>
  <c r="E422" i="101" a="1"/>
  <c r="K108" i="101" a="1"/>
  <c r="F147" i="101" a="1"/>
  <c r="J37" i="2" a="1"/>
  <c r="F126" i="101" a="1"/>
  <c r="F337" i="101" a="1"/>
  <c r="G180" i="101" a="1"/>
  <c r="G326" i="101" a="1"/>
  <c r="G133" i="101" a="1"/>
  <c r="M131" i="101" a="1"/>
  <c r="G65" i="101" a="1"/>
  <c r="L65" i="101" a="1"/>
  <c r="F302" i="101" a="1"/>
  <c r="G345" i="101" a="1"/>
  <c r="F364" i="101" a="1"/>
  <c r="E178" i="101" a="1"/>
  <c r="F128" i="101" a="1"/>
  <c r="AU7" i="101" a="1"/>
  <c r="G406" i="101" a="1"/>
  <c r="G327" i="101" a="1"/>
  <c r="F165" i="101" a="1"/>
  <c r="V13" i="101" a="1"/>
  <c r="F428" i="101" a="1"/>
  <c r="G273" i="101" a="1"/>
  <c r="E38" i="101" a="1"/>
  <c r="AU31" i="101" a="1"/>
  <c r="F308" i="101" a="1"/>
  <c r="E114" i="101" a="1"/>
  <c r="M63" i="101" a="1"/>
  <c r="G426" i="101" a="1"/>
  <c r="L37" i="101" a="1"/>
  <c r="L70" i="101" a="1"/>
  <c r="F325" i="101" a="1"/>
  <c r="J19" i="2" a="1"/>
  <c r="E111" i="101" a="1"/>
  <c r="E96" i="101" a="1"/>
  <c r="F103" i="101" a="1"/>
  <c r="F400" i="101" a="1"/>
  <c r="F414" i="101" a="1"/>
  <c r="E2" i="3" a="1"/>
  <c r="E315" i="101" a="1"/>
  <c r="F343" i="101" a="1"/>
  <c r="F75" i="101" a="1"/>
  <c r="L87" i="101" a="1"/>
  <c r="F197" i="101" a="1"/>
  <c r="G219" i="101" a="1"/>
  <c r="AX10" i="101" a="1"/>
  <c r="F49" i="2" a="1"/>
  <c r="I29" i="2" a="1"/>
  <c r="E102" i="101" a="1"/>
  <c r="AW28" i="101" a="1"/>
  <c r="E110" i="101" a="1"/>
  <c r="E227" i="101" a="1"/>
  <c r="G243" i="101" a="1"/>
  <c r="K89" i="101" a="1"/>
  <c r="M126" i="101" a="1"/>
  <c r="M76" i="101" a="1"/>
  <c r="E301" i="101" a="1"/>
  <c r="E2" i="112" a="1"/>
  <c r="C18" i="98" a="1"/>
  <c r="AX27" i="101" a="1"/>
  <c r="F34" i="101" a="1"/>
  <c r="AY16" i="101" a="1"/>
  <c r="G142" i="101" a="1"/>
  <c r="E2" i="131" a="1"/>
  <c r="E2" i="42" a="1"/>
  <c r="E133" i="101" a="1"/>
  <c r="AX34" i="101" a="1"/>
  <c r="G325" i="101" a="1"/>
  <c r="R9" i="101" a="1"/>
  <c r="F192" i="101" a="1"/>
  <c r="E2" i="72" a="1"/>
  <c r="K92" i="101" a="1"/>
  <c r="E355" i="101" a="1"/>
  <c r="F222" i="101" a="1"/>
  <c r="F392" i="101" a="1"/>
  <c r="G63" i="101" a="1"/>
  <c r="I9" i="2" a="1"/>
  <c r="M130" i="101" a="1"/>
  <c r="M90" i="101" a="1"/>
  <c r="K112" i="101" a="1"/>
  <c r="F329" i="101" a="1"/>
  <c r="I8" i="2" a="1"/>
  <c r="F370" i="101" a="1"/>
  <c r="E2" i="50" a="1"/>
  <c r="G427" i="101" a="1"/>
  <c r="F371" i="101" a="1"/>
  <c r="F30" i="2" a="1"/>
  <c r="E2" i="126" a="1"/>
  <c r="E27" i="101" a="1"/>
  <c r="G230" i="101" a="1"/>
  <c r="F316" i="101" a="1"/>
  <c r="G184" i="101" a="1"/>
  <c r="AU30" i="101" a="1"/>
  <c r="F191" i="101" a="1"/>
  <c r="E410" i="101" a="1"/>
  <c r="M34" i="101" a="1"/>
  <c r="F369" i="101" a="1"/>
  <c r="E273" i="101" a="1"/>
  <c r="G235" i="101" a="1"/>
  <c r="E2" i="95" a="1"/>
  <c r="F312" i="101" a="1"/>
  <c r="G44" i="101" a="1"/>
  <c r="E225" i="101" a="1"/>
  <c r="G29" i="101" a="1"/>
  <c r="F27" i="2" a="1"/>
  <c r="E152" i="101" a="1"/>
  <c r="E120" i="101" a="1"/>
  <c r="K27" i="101" a="1"/>
  <c r="E2" i="150" a="1"/>
  <c r="F224" i="101" a="1"/>
  <c r="F111" i="101" a="1"/>
  <c r="L24" i="101" a="1"/>
  <c r="Z14" i="101" a="1"/>
  <c r="E330" i="101" a="1"/>
  <c r="G233" i="101" a="1"/>
  <c r="F420" i="101" a="1"/>
  <c r="E34" i="101" a="1"/>
  <c r="W17" i="101" a="1"/>
  <c r="S7" i="101" a="1"/>
  <c r="G391" i="101" a="1"/>
  <c r="AY5" i="101" a="1"/>
  <c r="AW30" i="101" a="1"/>
  <c r="E348" i="101" a="1"/>
  <c r="V8" i="101" a="1"/>
  <c r="AU27" i="101" a="1"/>
  <c r="G160" i="101" a="1"/>
  <c r="F304" i="101" a="1"/>
  <c r="G4" i="98" a="1"/>
  <c r="K56" i="101" a="1"/>
  <c r="M66" i="101" a="1"/>
  <c r="W12" i="101" a="1"/>
  <c r="G55" i="101" a="1"/>
  <c r="E374" i="101" a="1"/>
  <c r="E245" i="101" a="1"/>
  <c r="F60" i="101" a="1"/>
  <c r="G330" i="101" a="1"/>
  <c r="E171" i="101" a="1"/>
  <c r="E413" i="101" a="1"/>
  <c r="F283" i="101" a="1"/>
  <c r="R6" i="101" a="1"/>
  <c r="G30" i="101" a="1"/>
  <c r="L129" i="101" a="1"/>
  <c r="F48" i="2" a="1"/>
  <c r="E61" i="101" a="1"/>
  <c r="AV31" i="101" a="1"/>
  <c r="F326" i="101" a="1"/>
  <c r="A21" i="98" a="1"/>
  <c r="AT13" i="101" a="1"/>
  <c r="G321" i="101" a="1"/>
  <c r="G324" i="101" a="1"/>
  <c r="F48" i="101" a="1"/>
  <c r="G190" i="101" a="1"/>
  <c r="F113" i="101" a="1"/>
  <c r="AL6" i="101" a="1"/>
  <c r="K110" i="101" a="1"/>
  <c r="F176" i="101" a="1"/>
  <c r="K131" i="101" a="1"/>
  <c r="G72" i="101" a="1"/>
  <c r="E29" i="101" a="1"/>
  <c r="F409" i="101" a="1"/>
  <c r="AW8" i="101" a="1"/>
  <c r="F153" i="101" a="1"/>
  <c r="M39" i="101" a="1"/>
  <c r="E67" i="101" a="1"/>
  <c r="F40" i="101" a="1"/>
  <c r="J15" i="2" a="1"/>
  <c r="F29" i="101" a="1"/>
  <c r="E116" i="101" a="1"/>
  <c r="F140" i="101" a="1"/>
  <c r="E253" i="101" a="1"/>
  <c r="F62" i="101" a="1"/>
  <c r="F88" i="101" a="1"/>
  <c r="F377" i="101" a="1"/>
  <c r="F427" i="101" a="1"/>
  <c r="E2" i="91" a="1"/>
  <c r="AH10" i="101" a="1"/>
  <c r="G232" i="101" a="1"/>
  <c r="L33" i="101" a="1"/>
  <c r="E240" i="101" a="1"/>
  <c r="R14" i="101" a="1"/>
  <c r="E239" i="101" a="1"/>
  <c r="AM8" i="101" a="1"/>
  <c r="F95" i="101" a="1"/>
  <c r="F391" i="101" a="1"/>
  <c r="F180" i="101" a="1"/>
  <c r="F293" i="101" a="1"/>
  <c r="Y15" i="101" a="1"/>
  <c r="B3" i="153" a="1"/>
  <c r="F306" i="101" a="1"/>
  <c r="G259" i="101" a="1"/>
  <c r="F41" i="2" a="1"/>
  <c r="E2" i="86" a="1"/>
  <c r="L30" i="101" a="1"/>
  <c r="E69" i="101" a="1"/>
  <c r="I27" i="2" a="1"/>
  <c r="AV10" i="101" a="1"/>
  <c r="E407" i="101" a="1"/>
  <c r="F353" i="101" a="1"/>
  <c r="AT22" i="101" a="1"/>
  <c r="G371" i="101" a="1"/>
  <c r="E164" i="101" a="1"/>
  <c r="G161" i="101" a="1"/>
  <c r="L38" i="101" a="1"/>
  <c r="E356" i="101" a="1"/>
  <c r="E49" i="101" a="1"/>
  <c r="G323" i="101" a="1"/>
  <c r="K37" i="101" a="1"/>
  <c r="F170" i="101" a="1"/>
  <c r="G154" i="101" a="1"/>
  <c r="F52" i="2" a="1"/>
  <c r="F6" i="2" a="1"/>
  <c r="AV29" i="101" a="1"/>
  <c r="E222" i="101" a="1"/>
  <c r="J5" i="2" a="1"/>
  <c r="F193" i="101" a="1"/>
  <c r="AT18" i="101" a="1"/>
  <c r="Y14" i="101" a="1"/>
  <c r="E296" i="101" a="1"/>
  <c r="M84" i="101" a="1"/>
  <c r="E4" i="98" a="1"/>
  <c r="J16" i="2" a="1"/>
  <c r="M117" i="101" a="1"/>
  <c r="G47" i="101" a="1"/>
  <c r="M114" i="101" a="1"/>
  <c r="G39" i="101" a="1"/>
  <c r="E113" i="101" a="1"/>
  <c r="J48" i="2" a="1"/>
  <c r="E124" i="101" a="1"/>
  <c r="M43" i="101" a="1"/>
  <c r="L46" i="101" a="1"/>
  <c r="F166" i="101" a="1"/>
  <c r="F290" i="101" a="1"/>
  <c r="E48" i="101" a="1"/>
  <c r="I17" i="2" a="1"/>
  <c r="G81" i="101" a="1"/>
  <c r="E79" i="101" a="1"/>
  <c r="F359" i="101" a="1"/>
  <c r="L81" i="101" a="1"/>
  <c r="G274" i="101" a="1"/>
  <c r="AW18" i="101" a="1"/>
  <c r="AW20" i="101" a="1"/>
  <c r="G380" i="101" a="1"/>
  <c r="AV35" i="101" a="1"/>
  <c r="G266" i="101" a="1"/>
  <c r="L58" i="101" a="1"/>
  <c r="AY8" i="101" a="1"/>
  <c r="E199" i="101" a="1"/>
  <c r="AU5" i="101" a="1"/>
  <c r="L94" i="101" a="1"/>
  <c r="AM12" i="101" a="1"/>
  <c r="G96" i="101" a="1"/>
  <c r="E2" i="59" a="1"/>
  <c r="AK14" i="101" a="1"/>
  <c r="F188" i="101" a="1"/>
  <c r="I11" i="2" a="1"/>
  <c r="E91" i="101" a="1"/>
  <c r="E100" i="101" a="1"/>
  <c r="K111" i="101" a="1"/>
  <c r="G408" i="101" a="1"/>
  <c r="E339" i="101" a="1"/>
  <c r="V18" i="101" a="1"/>
  <c r="G301" i="101" a="1"/>
  <c r="F35" i="2" a="1"/>
  <c r="AY29" i="101" a="1"/>
  <c r="F133" i="101" a="1"/>
  <c r="AV18" i="101" a="1"/>
  <c r="F356" i="101" a="1"/>
  <c r="G146" i="101" a="1"/>
  <c r="G206" i="101" a="1"/>
  <c r="AU18" i="101" a="1"/>
  <c r="E2" i="145" a="1"/>
  <c r="AY35" i="101" a="1"/>
  <c r="F186" i="101" a="1"/>
  <c r="AY19" i="101" a="1"/>
  <c r="E2" i="32" a="1"/>
  <c r="G50" i="101" a="1"/>
  <c r="E173" i="101" a="1"/>
  <c r="G339" i="101" a="1"/>
  <c r="AW9" i="101" a="1"/>
  <c r="G174" i="101" a="1"/>
  <c r="K84" i="101" a="1"/>
  <c r="E144" i="101" a="1"/>
  <c r="G402" i="101" a="1"/>
  <c r="G141" i="101" a="1"/>
  <c r="F270" i="101" a="1"/>
  <c r="M121" i="101" a="1"/>
  <c r="F241" i="101" a="1"/>
  <c r="Y9" i="101" a="1"/>
  <c r="M54" i="101" a="1"/>
  <c r="G217" i="101" a="1"/>
  <c r="E353" i="101" a="1"/>
  <c r="G153" i="101" a="1"/>
  <c r="M94" i="101" a="1"/>
  <c r="F22" i="2" a="1"/>
  <c r="L32" i="101" a="1"/>
  <c r="AV13" i="101" a="1"/>
  <c r="E117" i="101" a="1"/>
  <c r="E172" i="101" a="1"/>
  <c r="AV6" i="101" a="1"/>
  <c r="I18" i="2" a="1"/>
  <c r="M118" i="101" a="1"/>
  <c r="E87" i="101" a="1"/>
  <c r="M125" i="101" a="1"/>
  <c r="AV19" i="101" a="1"/>
  <c r="E80" i="101" a="1"/>
  <c r="G379" i="101" a="1"/>
  <c r="F159" i="101" a="1"/>
  <c r="G308" i="101" a="1"/>
  <c r="E2" i="93" a="1"/>
  <c r="F299" i="101" a="1"/>
  <c r="E363" i="101" a="1"/>
  <c r="E50" i="101" a="1"/>
  <c r="F314" i="101" a="1"/>
  <c r="AL13" i="101" a="1"/>
  <c r="E319" i="101" a="1"/>
  <c r="E2" i="125" a="1"/>
  <c r="G409" i="101" a="1"/>
  <c r="E175" i="101" a="1"/>
  <c r="G265" i="101" a="1"/>
  <c r="L29" i="101" a="1"/>
  <c r="AX23" i="101" a="1"/>
  <c r="F184" i="101" a="1"/>
  <c r="E405" i="101" a="1"/>
  <c r="F292" i="101" a="1"/>
  <c r="E321" i="101" a="1"/>
  <c r="K127" i="101" a="1"/>
  <c r="AX32" i="101" a="1"/>
  <c r="F382" i="101" a="1"/>
  <c r="E290" i="101" a="1"/>
  <c r="E409" i="101" a="1"/>
  <c r="E428" i="101" a="1"/>
  <c r="E2" i="87" a="1"/>
  <c r="E74" i="101" a="1"/>
  <c r="F407" i="101" a="1"/>
  <c r="E233" i="101" a="1"/>
  <c r="F96" i="101" a="1"/>
  <c r="W9" i="101" a="1"/>
  <c r="Z7" i="101" a="1"/>
  <c r="G33" i="101" a="1"/>
  <c r="G422" i="101" a="1"/>
  <c r="F217" i="101" a="1"/>
  <c r="I20" i="2" a="1"/>
  <c r="M72" i="101" a="1"/>
  <c r="F31" i="101" a="1"/>
  <c r="AJ13" i="101" a="1"/>
  <c r="G97" i="101" a="1"/>
  <c r="E6" i="98" a="1"/>
  <c r="G310" i="101" a="1"/>
  <c r="G329" i="101" a="1"/>
  <c r="K29" i="101" a="1"/>
  <c r="AL14" i="101" a="1"/>
  <c r="F406" i="101" a="1"/>
  <c r="G52" i="101" a="1"/>
  <c r="G68" i="101" a="1"/>
  <c r="M30" i="101" a="1"/>
  <c r="F385" i="101" a="1"/>
  <c r="G95" i="101" a="1"/>
  <c r="F379" i="101" a="1"/>
  <c r="E213" i="101" a="1"/>
  <c r="F150" i="101" a="1"/>
  <c r="F286" i="101" a="1"/>
  <c r="G56" i="101" a="1"/>
  <c r="Z16" i="101" a="1"/>
  <c r="E68" i="101" a="1"/>
  <c r="F92" i="101" a="1"/>
  <c r="G215" i="101" a="1"/>
  <c r="G353" i="101" a="1"/>
  <c r="F100" i="101" a="1"/>
  <c r="G212" i="101" a="1"/>
  <c r="J23" i="2" a="1"/>
  <c r="L75" i="101" a="1"/>
  <c r="Y19" i="101" a="1"/>
  <c r="G89" i="101" a="1"/>
  <c r="Z13" i="101" a="1"/>
  <c r="E311" i="101" a="1"/>
  <c r="F10" i="2" a="1"/>
  <c r="G88" i="101" a="1"/>
  <c r="E254" i="101" a="1"/>
  <c r="E2" i="31" a="1"/>
  <c r="AH13" i="101" a="1"/>
  <c r="AJ14" i="101" a="1"/>
  <c r="F254" i="101" a="1"/>
  <c r="F30" i="101" a="1"/>
  <c r="E260" i="101" a="1"/>
  <c r="E159" i="101" a="1"/>
  <c r="E360" i="101" a="1"/>
  <c r="AW10" i="101" a="1"/>
  <c r="E138" i="101" a="1"/>
  <c r="G168" i="101" a="1"/>
  <c r="E2" i="36" a="1"/>
  <c r="AT34" i="101" a="1"/>
  <c r="G46" i="101" a="1"/>
  <c r="E196" i="101" a="1"/>
  <c r="E179" i="101" a="1"/>
  <c r="K77" i="101" a="1"/>
  <c r="F268" i="101" a="1"/>
  <c r="X7" i="101" a="1"/>
  <c r="F411" i="101" a="1"/>
  <c r="M61" i="101" a="1"/>
  <c r="L23" i="101" a="1"/>
  <c r="G318" i="101" a="1"/>
  <c r="L16" i="101" a="1"/>
  <c r="G163" i="101" a="1"/>
  <c r="F419" i="101" a="1"/>
  <c r="L119" i="101" a="1"/>
  <c r="G419" i="101" a="1"/>
  <c r="I12" i="2" a="1"/>
  <c r="E2" i="27" a="1"/>
  <c r="F51" i="2" a="1"/>
  <c r="G328" i="101" a="1"/>
  <c r="J22" i="2" a="1"/>
  <c r="E154" i="101" a="1"/>
  <c r="E2" i="23" a="1"/>
  <c r="F404" i="101" a="1"/>
  <c r="L20" i="101" a="1"/>
  <c r="G270" i="101" a="1"/>
  <c r="F386" i="101" a="1"/>
  <c r="AX8" i="101" a="1"/>
  <c r="C3" i="98" a="1"/>
  <c r="K45" i="101" a="1"/>
  <c r="G222" i="101" a="1"/>
  <c r="M110" i="101" a="1"/>
  <c r="AT8" i="101" a="1"/>
  <c r="K113" i="101" a="1"/>
  <c r="E284" i="101" a="1"/>
  <c r="E294" i="101" a="1"/>
  <c r="I5" i="2" a="1"/>
  <c r="AF21" i="101" a="1"/>
  <c r="F207" i="101" a="1"/>
  <c r="G209" i="101" a="1"/>
  <c r="E2" i="10" a="1"/>
  <c r="F352" i="101" a="1"/>
  <c r="G80" i="101" a="1"/>
  <c r="E371" i="101" a="1"/>
  <c r="F423" i="101" a="1"/>
  <c r="J42" i="2" a="1"/>
  <c r="G287" i="101" a="1"/>
  <c r="E327" i="101" a="1"/>
  <c r="F109" i="101" a="1"/>
  <c r="F332" i="101" a="1"/>
  <c r="E191" i="101" a="1"/>
  <c r="E176" i="101" a="1"/>
  <c r="K76" i="101" a="1"/>
  <c r="E192" i="101" a="1"/>
  <c r="G189" i="101" a="1"/>
  <c r="F301" i="101" a="1"/>
  <c r="F225" i="101" a="1"/>
  <c r="F251" i="101" a="1"/>
  <c r="AK6" i="101" a="1"/>
  <c r="L39" i="101" a="1"/>
  <c r="AW35" i="101" a="1"/>
  <c r="G214" i="101" a="1"/>
  <c r="E207" i="101" a="1"/>
  <c r="E210" i="101" a="1"/>
  <c r="G342" i="101" a="1"/>
  <c r="F381" i="101" a="1"/>
  <c r="F174" i="101" a="1"/>
  <c r="J13" i="2" a="1"/>
  <c r="F24" i="2" a="1"/>
  <c r="E247" i="101" a="1"/>
  <c r="G204" i="101" a="1"/>
  <c r="F239" i="101" a="1"/>
  <c r="F345" i="101" a="1"/>
  <c r="S9" i="101" a="1"/>
  <c r="F324" i="101" a="1"/>
  <c r="E2" i="88" a="1"/>
  <c r="F112" i="101" a="1"/>
  <c r="K118" i="101" a="1"/>
  <c r="F246" i="101" a="1"/>
  <c r="K130" i="101" a="1"/>
  <c r="AY9" i="101" a="1"/>
  <c r="G145" i="101" a="1"/>
  <c r="G312" i="101" a="1"/>
  <c r="E121" i="101" a="1"/>
  <c r="E332" i="101" a="1"/>
  <c r="F211" i="101" a="1"/>
  <c r="F280" i="101" a="1"/>
  <c r="E377" i="101" a="1"/>
  <c r="G386" i="101" a="1"/>
  <c r="F421" i="101" a="1"/>
  <c r="G60" i="101" a="1"/>
  <c r="AY20" i="101" a="1"/>
  <c r="E259" i="101" a="1"/>
  <c r="F182" i="101" a="1"/>
  <c r="F8" i="2" a="1"/>
  <c r="F321" i="101" a="1"/>
  <c r="L41" i="101" a="1"/>
  <c r="V9" i="101" a="1"/>
  <c r="G73" i="101" a="1"/>
  <c r="G248" i="101" a="1"/>
  <c r="F231" i="101" a="1"/>
  <c r="G32" i="101" a="1"/>
  <c r="AI14" i="101" a="1"/>
  <c r="F20" i="2" a="1"/>
  <c r="G290" i="101" a="1"/>
  <c r="K61" i="101" a="1"/>
  <c r="F141" i="101" a="1"/>
  <c r="G366" i="101" a="1"/>
  <c r="F331" i="101" a="1"/>
  <c r="AJ11" i="101" a="1"/>
  <c r="E378" i="101" a="1"/>
  <c r="F350" i="101" a="1"/>
  <c r="G118" i="101" a="1"/>
  <c r="AV7" i="101" a="1"/>
  <c r="F376" i="101" a="1"/>
  <c r="E278" i="101" a="1"/>
  <c r="Y7" i="101" a="1"/>
  <c r="E2" i="146" a="1"/>
  <c r="M69" i="101" a="1"/>
  <c r="F85" i="101" a="1"/>
  <c r="AM11" i="101" a="1"/>
  <c r="E2" i="83" a="1"/>
  <c r="E261" i="101" a="1"/>
  <c r="F33" i="101" a="1"/>
  <c r="G128" i="101" a="1"/>
  <c r="G374" i="101" a="1"/>
  <c r="J50" i="2" a="1"/>
  <c r="AF17" i="101" a="1"/>
  <c r="K95" i="101" a="1"/>
  <c r="E326" i="101" a="1"/>
  <c r="Y10" i="101" a="1"/>
  <c r="E2" i="45" a="1"/>
  <c r="F131" i="101" a="1"/>
  <c r="E236" i="101" a="1"/>
  <c r="E268" i="101" a="1"/>
  <c r="M71" i="101" a="1"/>
  <c r="X16" i="101" a="1"/>
  <c r="E2" i="47" a="1"/>
  <c r="J21" i="2" a="1"/>
  <c r="F87" i="101" a="1"/>
  <c r="E412" i="101" a="1"/>
  <c r="G350" i="101" a="1"/>
  <c r="AH12" i="101" a="1"/>
  <c r="AU11" i="101" a="1"/>
  <c r="AX11" i="101" a="1"/>
  <c r="F21" i="2" a="1"/>
  <c r="G127" i="101" a="1"/>
  <c r="J20" i="2" a="1"/>
  <c r="G121" i="101" a="1"/>
  <c r="F104" i="101" a="1"/>
  <c r="R15" i="101" a="1"/>
  <c r="G403" i="101" a="1"/>
  <c r="K66" i="101" a="1"/>
  <c r="F146" i="101" a="1"/>
  <c r="F143" i="101" a="1"/>
  <c r="F274" i="101" a="1"/>
  <c r="G140" i="101" a="1"/>
  <c r="K63" i="101" a="1"/>
  <c r="L85" i="101" a="1"/>
  <c r="E2" i="13" a="1"/>
  <c r="E350" i="101" a="1"/>
  <c r="E201" i="101" a="1"/>
  <c r="Z6" i="101" a="1"/>
  <c r="K57" i="101" a="1"/>
  <c r="AX26" i="101" a="1"/>
  <c r="G250" i="101" a="1"/>
  <c r="F16" i="2" a="1"/>
  <c r="F54" i="2" a="1"/>
  <c r="E2" i="19" a="1"/>
  <c r="AW34" i="101" a="1"/>
  <c r="AX14" i="101" a="1"/>
  <c r="AX31" i="101" a="1"/>
  <c r="E2" i="84" a="1"/>
  <c r="K67" i="101" a="1"/>
  <c r="AU29" i="101" a="1"/>
  <c r="J46" i="2" a="1"/>
  <c r="F124" i="101" a="1"/>
  <c r="E137" i="101" a="1"/>
  <c r="E106" i="101" a="1"/>
  <c r="R12" i="101" a="1"/>
  <c r="AX28" i="101" a="1"/>
  <c r="L120" i="101" a="1"/>
  <c r="F262" i="101" a="1"/>
  <c r="L111" i="101" a="1"/>
  <c r="F218" i="101" a="1"/>
  <c r="J45" i="2" a="1"/>
  <c r="AW24" i="101" a="1"/>
  <c r="M28" i="101" a="1"/>
  <c r="I31" i="2" a="1"/>
  <c r="E2" i="124" a="1"/>
  <c r="F152" i="101" a="1"/>
  <c r="E282" i="101" a="1"/>
  <c r="K68" i="101" a="1"/>
  <c r="G162" i="101" a="1"/>
  <c r="F171" i="101" a="1"/>
  <c r="G280" i="101" a="1"/>
  <c r="J31" i="2" a="1"/>
  <c r="G365" i="101" a="1"/>
  <c r="AJ6" i="101" a="1"/>
  <c r="E249" i="101" a="1"/>
  <c r="I48" i="2" a="1"/>
  <c r="E2" i="149" a="1"/>
  <c r="G234" i="101" a="1"/>
  <c r="E211" i="101" a="1"/>
  <c r="AL10" i="101" a="1"/>
  <c r="G267" i="101" a="1"/>
  <c r="E104" i="101" a="1"/>
  <c r="F34" i="2" a="1"/>
  <c r="E2" i="111" a="1"/>
  <c r="E2" i="75" a="1"/>
  <c r="F185" i="101" a="1"/>
  <c r="E126" i="101" a="1"/>
  <c r="G283" i="101" a="1"/>
  <c r="G152" i="101" a="1"/>
  <c r="E2" i="9" a="1"/>
  <c r="AU36" i="101" a="1"/>
  <c r="L27" i="101" a="1"/>
  <c r="E248" i="101" a="1"/>
  <c r="E47" i="101" a="1"/>
  <c r="F156" i="101" a="1"/>
  <c r="F70" i="101" a="1"/>
  <c r="M119" i="101" a="1"/>
  <c r="E134" i="101" a="1"/>
  <c r="K117" i="101" a="1"/>
  <c r="E2" i="24" a="1"/>
  <c r="F418" i="101" a="1"/>
  <c r="G262" i="101" a="1"/>
  <c r="E186" i="101" a="1"/>
  <c r="AV14" i="101" a="1"/>
  <c r="E267" i="101" a="1"/>
  <c r="AT33" i="101" a="1"/>
  <c r="I54" i="2" a="1"/>
  <c r="F58" i="101" a="1"/>
  <c r="G343" i="101" a="1"/>
  <c r="G304" i="101" a="1"/>
  <c r="K93" i="101" a="1"/>
  <c r="K72" i="101" a="1"/>
  <c r="K59" i="101" a="1"/>
  <c r="M56" i="101" a="1"/>
  <c r="F51" i="101" a="1"/>
  <c r="F71" i="101" a="1"/>
  <c r="E392" i="101" a="1"/>
  <c r="AW29" i="101" a="1"/>
  <c r="AW15" i="101" a="1"/>
  <c r="K116" i="101" a="1"/>
  <c r="L42" i="101" a="1"/>
  <c r="E206" i="101" a="1"/>
  <c r="F83" i="101" a="1"/>
  <c r="Z19" i="101" a="1"/>
  <c r="E2" i="8" a="1"/>
  <c r="G186" i="101" a="1"/>
  <c r="M40" i="101" a="1"/>
  <c r="V15" i="101" a="1"/>
  <c r="F230" i="101" a="1"/>
  <c r="E2" i="14" a="1"/>
  <c r="AY24" i="101" a="1"/>
  <c r="E142" i="101" a="1"/>
  <c r="E2" i="15" a="1"/>
  <c r="AX15" i="101" a="1"/>
  <c r="J11" i="2" a="1"/>
  <c r="L127" i="101" a="1"/>
  <c r="G316" i="101" a="1"/>
  <c r="F181" i="101" a="1"/>
  <c r="L34" i="101" a="1"/>
  <c r="E2" i="79" a="1"/>
  <c r="F38" i="2" a="1"/>
  <c r="E2" i="142" a="1"/>
  <c r="F328" i="101" a="1"/>
  <c r="I26" i="2" a="1"/>
  <c r="G106" i="101" a="1"/>
  <c r="G369" i="101" a="1"/>
  <c r="E2" i="132" a="1"/>
  <c r="L126" i="101" a="1"/>
  <c r="K69" i="101" a="1"/>
  <c r="K94" i="101" a="1"/>
  <c r="F17" i="2" a="1"/>
  <c r="G216" i="101" a="1"/>
  <c r="L64" i="101" a="1"/>
  <c r="E214" i="101" a="1"/>
  <c r="AW27" i="101" a="1"/>
  <c r="G171" i="101" a="1"/>
  <c r="AX17" i="101" a="1"/>
  <c r="G389" i="101" a="1"/>
  <c r="X6" i="101" a="1"/>
  <c r="K28" i="101" a="1"/>
  <c r="J35" i="2" a="1"/>
  <c r="F415" i="101" a="1"/>
  <c r="F45" i="101" a="1"/>
  <c r="F213" i="101" a="1"/>
  <c r="E139" i="101" a="1"/>
  <c r="G124" i="101" a="1"/>
  <c r="AT29" i="101" a="1"/>
  <c r="G260" i="101" a="1"/>
  <c r="L83" i="101" a="1"/>
  <c r="S17" i="101" a="1"/>
  <c r="E122" i="101" a="1"/>
  <c r="F349" i="101" a="1"/>
  <c r="AJ9" i="101" a="1"/>
  <c r="L73" i="101" a="1"/>
  <c r="G425" i="101" a="1"/>
  <c r="E2" i="82" a="1"/>
  <c r="E398" i="101" a="1"/>
  <c r="E308" i="101" a="1"/>
  <c r="F135" i="101" a="1"/>
  <c r="E2" i="33" a="1"/>
  <c r="F296" i="101" a="1"/>
  <c r="E237" i="101" a="1"/>
  <c r="E77" i="101" a="1"/>
  <c r="F57" i="101" a="1"/>
  <c r="AV12" i="101" a="1"/>
  <c r="E2" i="7" a="1"/>
  <c r="AI8" i="101" a="1"/>
  <c r="G122" i="101" a="1"/>
  <c r="F157" i="101" a="1"/>
  <c r="F380" i="101" a="1"/>
  <c r="AU19" i="101" a="1"/>
  <c r="E99" i="101" a="1"/>
  <c r="E2" i="55" a="1"/>
  <c r="G100" i="101" a="1"/>
  <c r="V19" i="101" a="1"/>
  <c r="K31" i="101" a="1"/>
  <c r="E241" i="101" a="1"/>
  <c r="F417" i="101" a="1"/>
  <c r="E431" i="101" a="1"/>
  <c r="M87" i="101" a="1"/>
  <c r="AW26" i="101" a="1"/>
  <c r="F149" i="101" a="1"/>
  <c r="G357" i="101" a="1"/>
  <c r="G289" i="101" a="1"/>
  <c r="C22" i="153" a="1"/>
  <c r="L56" i="101" a="1"/>
  <c r="G139" i="101" a="1"/>
  <c r="E145" i="101" a="1"/>
  <c r="K62" i="101" a="1"/>
  <c r="G359" i="101" a="1"/>
  <c r="L61" i="101" a="1"/>
  <c r="E98" i="101" a="1"/>
  <c r="L69" i="101" a="1"/>
  <c r="J28" i="2" a="1"/>
  <c r="G272" i="101" a="1"/>
  <c r="E369" i="101" a="1"/>
  <c r="G57" i="101" a="1"/>
  <c r="F7" i="2" a="1"/>
  <c r="F200" i="101" a="1"/>
  <c r="E425" i="101" a="1"/>
  <c r="E298" i="101" a="1"/>
  <c r="AY22" i="101" a="1"/>
  <c r="AX36" i="101" a="1"/>
  <c r="E226" i="101" a="1"/>
  <c r="J54" i="2" a="1"/>
  <c r="L117" i="101" a="1"/>
  <c r="E84" i="101" a="1"/>
  <c r="F99" i="101" a="1"/>
  <c r="E216" i="101" a="1"/>
  <c r="G169" i="101" a="1"/>
  <c r="G239" i="101" a="1"/>
  <c r="G300" i="101" a="1"/>
  <c r="G41" i="101" a="1"/>
  <c r="M91" i="101" a="1"/>
  <c r="AW36" i="101" a="1"/>
  <c r="G347" i="101" a="1"/>
  <c r="AW11" i="101" a="1"/>
  <c r="AX30" i="101" a="1"/>
  <c r="E56" i="101" a="1"/>
  <c r="G92" i="101" a="1"/>
  <c r="M35" i="101" a="1"/>
  <c r="J43" i="2" a="1"/>
  <c r="K82" i="101" a="1"/>
  <c r="AV11" i="101" a="1"/>
  <c r="E140" i="101" a="1"/>
  <c r="E181" i="101" a="1"/>
  <c r="F289" i="101" a="1"/>
  <c r="E303" i="101" a="1"/>
  <c r="G31" i="101" a="1"/>
  <c r="F348" i="101" a="1"/>
  <c r="F388" i="101" a="1"/>
  <c r="AY12" i="101" a="1"/>
  <c r="AJ5" i="101" a="1"/>
  <c r="F258" i="101" a="1"/>
  <c r="F208" i="101" a="1"/>
  <c r="G132" i="101" a="1"/>
  <c r="E310" i="101" a="1"/>
  <c r="G187" i="101" a="1"/>
  <c r="F347" i="101" a="1"/>
  <c r="J10" i="2" a="1"/>
  <c r="E59" i="101" a="1"/>
  <c r="A1" i="121"/>
  <c r="F232" i="101" a="1"/>
  <c r="M128" i="101" a="1"/>
  <c r="F346" i="101" a="1"/>
  <c r="G299" i="101" a="1"/>
  <c r="F78" i="101" a="1"/>
  <c r="F317" i="101" a="1"/>
  <c r="E82" i="101" a="1"/>
  <c r="E362" i="101" a="1"/>
  <c r="E141" i="101" a="1"/>
  <c r="AX13" i="101" a="1"/>
  <c r="F27" i="101" a="1"/>
  <c r="L89" i="101" a="1"/>
  <c r="E2" i="21" a="1"/>
  <c r="E309" i="101" a="1"/>
  <c r="M89" i="101" a="1"/>
  <c r="AF18" i="101" a="1"/>
  <c r="G286" i="101" a="1"/>
  <c r="E86" i="101" a="1"/>
  <c r="F354" i="101" a="1"/>
  <c r="E276" i="101" a="1"/>
  <c r="AW33" i="101" a="1"/>
  <c r="K70" i="101" a="1"/>
  <c r="E209" i="101" a="1"/>
  <c r="AY6" i="101" a="1"/>
  <c r="G82" i="101" a="1"/>
  <c r="F69" i="101" a="1"/>
  <c r="G390" i="101" a="1"/>
  <c r="E2" i="69" a="1"/>
  <c r="F397" i="101" a="1"/>
  <c r="G58" i="101" a="1"/>
  <c r="E221" i="101" a="1"/>
  <c r="F52" i="101" a="1"/>
  <c r="AX9" i="101" a="1"/>
  <c r="E2" i="26" a="1"/>
  <c r="E400" i="101" a="1"/>
  <c r="E304" i="101" a="1"/>
  <c r="E324" i="101" a="1"/>
  <c r="G71" i="101" a="1"/>
  <c r="F309" i="101" a="1"/>
  <c r="E2" i="141" a="1"/>
  <c r="J6" i="2" a="1"/>
  <c r="AY17" i="101" a="1"/>
  <c r="G42" i="101" a="1"/>
  <c r="G361" i="101" a="1"/>
  <c r="G413" i="101" a="1"/>
  <c r="G242" i="101" a="1"/>
  <c r="E103" i="101" a="1"/>
  <c r="X10" i="101" a="1"/>
  <c r="AW14" i="101" a="1"/>
  <c r="E2" i="105" a="1"/>
  <c r="G400" i="101" a="1"/>
  <c r="I6" i="2" a="1"/>
  <c r="G254" i="101" a="1"/>
  <c r="Z18" i="101" a="1"/>
  <c r="F319" i="101" a="1"/>
  <c r="K126" i="101" a="1"/>
  <c r="I37" i="2" a="1"/>
  <c r="G192" i="101" a="1"/>
  <c r="F212" i="101" a="1"/>
  <c r="F303" i="101" a="1"/>
  <c r="AT20" i="101" a="1"/>
  <c r="AT12" i="101" a="1"/>
  <c r="F233" i="101" a="1"/>
  <c r="M92" i="101" a="1"/>
  <c r="E78" i="101" a="1"/>
  <c r="L86" i="101" a="1"/>
  <c r="E408" i="101" a="1"/>
  <c r="M64" i="101" a="1"/>
  <c r="F201" i="101" a="1"/>
  <c r="E158" i="101" a="1"/>
  <c r="I15" i="2" a="1"/>
  <c r="Y17" i="101" a="1"/>
  <c r="G93" i="101" a="1"/>
  <c r="X17" i="101" a="1"/>
  <c r="G76" i="101" a="1"/>
  <c r="K88" i="101" a="1"/>
  <c r="K36" i="101" a="1"/>
  <c r="F84" i="101" a="1"/>
  <c r="E346" i="101" a="1"/>
  <c r="E168" i="101" a="1"/>
  <c r="E2" i="56" a="1"/>
  <c r="F55" i="101" a="1"/>
  <c r="G247" i="101" a="1"/>
  <c r="F106" i="101" a="1"/>
  <c r="F67" i="101" a="1"/>
  <c r="K114" i="101" a="1"/>
  <c r="J33" i="2" a="1"/>
  <c r="G151" i="101" a="1"/>
  <c r="E2" i="39" a="1"/>
  <c r="E331" i="101" a="1"/>
  <c r="E386" i="101" a="1"/>
  <c r="G195" i="101" a="1"/>
  <c r="K81" i="101" a="1"/>
  <c r="E384" i="101" a="1"/>
  <c r="F134" i="101" a="1"/>
  <c r="G125" i="101" a="1"/>
  <c r="E2" i="130" a="1"/>
  <c r="L43" i="101" a="1"/>
  <c r="E421" i="101" a="1"/>
  <c r="E2" i="77" a="1"/>
  <c r="AY13" i="101" a="1"/>
  <c r="X13" i="101" a="1"/>
  <c r="AY36" i="101" a="1"/>
  <c r="AJ12" i="101" a="1"/>
  <c r="F189" i="101" a="1"/>
  <c r="AY18" i="101" a="1"/>
  <c r="I19" i="2" a="1"/>
  <c r="M124" i="101" a="1"/>
  <c r="E2" i="6" a="1"/>
  <c r="F256" i="101" a="1"/>
  <c r="F294" i="101" a="1"/>
  <c r="E95" i="101" a="1"/>
  <c r="F422" i="101" a="1"/>
  <c r="E2" i="5" a="1"/>
  <c r="G315" i="101" a="1"/>
  <c r="AT19" i="101" a="1"/>
  <c r="E427" i="101" a="1"/>
  <c r="I25" i="2" a="1"/>
  <c r="J7" i="2" a="1"/>
  <c r="AF19" i="101" a="1"/>
  <c r="G337" i="101" a="1"/>
  <c r="AM6" i="101" a="1"/>
  <c r="F105" i="101" a="1"/>
  <c r="F243" i="101" a="1"/>
  <c r="F50" i="2" a="1"/>
  <c r="F210" i="101" a="1"/>
  <c r="E299" i="101" a="1"/>
  <c r="AU34" i="101" a="1"/>
  <c r="F42" i="101" a="1"/>
  <c r="F178" i="101" a="1"/>
  <c r="E2" i="35" a="1"/>
  <c r="F342" i="101" a="1"/>
  <c r="K74" i="101" a="1"/>
  <c r="G104" i="101" a="1"/>
  <c r="G77" i="101" a="1"/>
  <c r="AT16" i="101" a="1"/>
  <c r="E302" i="101" a="1"/>
  <c r="R8" i="101" a="1"/>
  <c r="E2" i="148" a="1"/>
  <c r="G28" i="101" a="1"/>
  <c r="AV26" i="101" a="1"/>
  <c r="AV30" i="101" a="1"/>
  <c r="G210" i="101" a="1"/>
  <c r="E275" i="101" a="1"/>
  <c r="G49" i="101" a="1"/>
  <c r="F175" i="101" a="1"/>
  <c r="G199" i="101" a="1"/>
  <c r="G223" i="101" a="1"/>
  <c r="E283" i="101" a="1"/>
  <c r="I13" i="2" a="1"/>
  <c r="L40" i="101" a="1"/>
  <c r="E205" i="101" a="1"/>
  <c r="E44" i="101" a="1"/>
  <c r="J38" i="2" a="1"/>
  <c r="F37" i="2" a="1"/>
  <c r="I50" i="2" a="1"/>
  <c r="E288" i="101" a="1"/>
  <c r="L79" i="101" a="1"/>
  <c r="E39" i="101" a="1"/>
  <c r="AT9" i="101" a="1"/>
  <c r="L123" i="101" a="1"/>
  <c r="E393" i="101" a="1"/>
  <c r="K109" i="101" a="1"/>
  <c r="X19" i="101" a="1"/>
  <c r="G75" i="101" a="1"/>
  <c r="F284" i="101" a="1"/>
  <c r="G340" i="101" a="1"/>
  <c r="AW6" i="101" a="1"/>
  <c r="W6" i="101" a="1"/>
  <c r="G220" i="101" a="1"/>
  <c r="G67" i="101" a="1"/>
  <c r="AK10" i="101" a="1"/>
  <c r="M33" i="101" a="1"/>
  <c r="E55" i="101" a="1"/>
  <c r="E2" i="94" a="1"/>
  <c r="I24" i="2" a="1"/>
  <c r="E2" i="103" a="1"/>
  <c r="F393" i="101" a="1"/>
  <c r="F373" i="101" a="1"/>
  <c r="G411" i="101" a="1"/>
  <c r="E340" i="101" a="1"/>
  <c r="F215" i="101" a="1"/>
  <c r="S19" i="101" a="1"/>
  <c r="F250" i="101" a="1"/>
  <c r="G394" i="101" a="1"/>
  <c r="F41" i="101" a="1"/>
  <c r="F244" i="101" a="1"/>
  <c r="AY33" i="101" a="1"/>
  <c r="G134" i="101" a="1"/>
  <c r="G279" i="101" a="1"/>
  <c r="F336" i="101" a="1"/>
  <c r="F424" i="101" a="1"/>
  <c r="E387" i="101" a="1"/>
  <c r="V6" i="101" a="1"/>
  <c r="X14" i="101" a="1"/>
  <c r="M31" i="101" a="1"/>
  <c r="G38" i="101" a="1"/>
  <c r="G401" i="101" a="1"/>
  <c r="F50" i="101" a="1"/>
  <c r="F66" i="101" a="1"/>
  <c r="L28" i="101" a="1"/>
  <c r="G378" i="101" a="1"/>
  <c r="AH8" i="101" a="1"/>
  <c r="J12" i="2" a="1"/>
  <c r="L90" i="101" a="1"/>
  <c r="K120" i="101" a="1"/>
  <c r="F15" i="2" a="1"/>
  <c r="G246" i="101" a="1"/>
  <c r="F45" i="2" a="1"/>
  <c r="AM9" i="101" a="1"/>
  <c r="R16" i="101" a="1"/>
  <c r="F387" i="101" a="1"/>
  <c r="E366" i="101" a="1"/>
  <c r="AU16" i="101" a="1"/>
  <c r="AX24" i="101" a="1"/>
  <c r="F93" i="101" a="1"/>
  <c r="E136" i="101" a="1"/>
  <c r="G418" i="101" a="1"/>
  <c r="F340" i="101" a="1"/>
  <c r="G349" i="101" a="1"/>
  <c r="L74" i="101" a="1"/>
  <c r="E250" i="101" a="1"/>
  <c r="F117" i="101" a="1"/>
  <c r="G177" i="101" a="1"/>
  <c r="V17" i="101" a="1"/>
  <c r="M68" i="101" a="1"/>
  <c r="G149" i="101" a="1"/>
  <c r="AT30" i="101" a="1"/>
  <c r="E219" i="101" a="1"/>
  <c r="I33" i="2" a="1"/>
  <c r="L110" i="101" a="1"/>
  <c r="E300" i="101" a="1"/>
  <c r="G197" i="101" a="1"/>
  <c r="F372" i="101" a="1"/>
  <c r="AV34" i="101" a="1"/>
  <c r="F43" i="2" a="1"/>
  <c r="E220" i="101" a="1"/>
  <c r="G135" i="101" a="1"/>
  <c r="E57" i="101" a="1"/>
  <c r="AT7" i="101" a="1"/>
  <c r="AY7" i="101" a="1"/>
  <c r="AY11" i="101" a="1"/>
  <c r="E429" i="101" a="1"/>
  <c r="F209" i="101" a="1"/>
  <c r="F98" i="101" a="1"/>
  <c r="E129" i="101" a="1"/>
  <c r="F281" i="101" a="1"/>
  <c r="K96" i="101" a="1"/>
  <c r="S15" i="101" a="1"/>
  <c r="G79" i="101" a="1"/>
  <c r="F12" i="2" a="1"/>
  <c r="K64" i="101" a="1"/>
  <c r="G381" i="101" a="1"/>
  <c r="L44" i="101" a="1"/>
  <c r="AX16" i="101" a="1"/>
  <c r="F148" i="101" a="1"/>
  <c r="I46" i="2" a="1"/>
  <c r="F426" i="101" a="1"/>
  <c r="F245" i="101" a="1"/>
  <c r="G172" i="101" a="1"/>
  <c r="G150" i="101" a="1"/>
  <c r="E306" i="101" a="1"/>
  <c r="E271" i="101" a="1"/>
  <c r="F288" i="101" a="1"/>
  <c r="F81" i="101" a="1"/>
  <c r="F90" i="101" a="1"/>
  <c r="F365" i="101" a="1"/>
  <c r="F61" i="101" a="1"/>
  <c r="G288" i="101" a="1"/>
  <c r="F214" i="101" a="1"/>
  <c r="M27" i="101" a="1"/>
  <c r="AH5" i="101" a="1"/>
  <c r="M120" i="101" a="1"/>
  <c r="M88" i="101" a="1"/>
  <c r="AU10" i="101" a="1"/>
  <c r="E383" i="101" a="1"/>
  <c r="M81" i="101" a="1"/>
  <c r="AI7" i="101" a="1"/>
  <c r="AV32" i="101" a="1"/>
  <c r="I52" i="2" a="1"/>
  <c r="L82" i="101" a="1"/>
  <c r="F264" i="101" a="1"/>
  <c r="G430" i="101" a="1"/>
  <c r="F265" i="101" a="1"/>
  <c r="K79" i="101" a="1"/>
  <c r="E419" i="101" a="1"/>
  <c r="E229" i="101" a="1"/>
  <c r="E185" i="101" a="1"/>
  <c r="F107" i="101" a="1"/>
  <c r="L96" i="101" a="1"/>
  <c r="I28" i="2" a="1"/>
  <c r="L63" i="101" a="1"/>
  <c r="W7" i="101" a="1"/>
  <c r="K87" i="101" a="1"/>
  <c r="I42" i="2" a="1"/>
  <c r="G341" i="101" a="1"/>
  <c r="L91" i="101" a="1"/>
  <c r="G158" i="101" a="1"/>
  <c r="E418" i="101" a="1"/>
  <c r="L95" i="101" a="1"/>
  <c r="E169" i="101" a="1"/>
  <c r="L108" i="101" a="1"/>
  <c r="L128" i="101" a="1"/>
  <c r="G264" i="101" a="1"/>
  <c r="AH14" i="101" a="1"/>
  <c r="G218" i="101" a="1"/>
  <c r="AU33" i="101" a="1"/>
  <c r="S6" i="101" a="1"/>
  <c r="AK5" i="101" a="1"/>
  <c r="AY28" i="101" a="1"/>
  <c r="F338" i="101" a="1"/>
  <c r="E2" i="136" a="1"/>
  <c r="M86" i="101" a="1"/>
  <c r="M37" i="101" a="1"/>
  <c r="F31" i="2" a="1"/>
  <c r="G335" i="101" a="1"/>
  <c r="F315" i="101" a="1"/>
  <c r="G346" i="101" a="1"/>
  <c r="AT31" i="101" a="1"/>
  <c r="AU14" i="101" a="1"/>
  <c r="E20" i="98" a="1"/>
  <c r="G213" i="101" a="1"/>
  <c r="G226" i="101" a="1"/>
  <c r="G105" i="101" a="1"/>
  <c r="E234" i="101" a="1"/>
  <c r="C17" i="98" a="1"/>
  <c r="G319" i="101" a="1"/>
  <c r="F82" i="101" a="1"/>
  <c r="AT28" i="101" a="1"/>
  <c r="F29" i="2" a="1"/>
  <c r="E184" i="101" a="1"/>
  <c r="E396" i="101" a="1"/>
  <c r="J47" i="2" a="1"/>
  <c r="G143" i="101" a="1"/>
  <c r="L55" i="101" a="1"/>
  <c r="I34" i="2" a="1"/>
  <c r="G412" i="101" a="1"/>
  <c r="AK7" i="101" a="1"/>
  <c r="K35" i="101" a="1"/>
  <c r="E89" i="101" a="1"/>
  <c r="E411" i="101" a="1"/>
  <c r="AX25" i="101" a="1"/>
  <c r="F32" i="101" a="1"/>
  <c r="G404" i="101" a="1"/>
  <c r="G183" i="101" a="1"/>
  <c r="K34" i="101" a="1"/>
  <c r="G119" i="101" a="1"/>
  <c r="E2" i="78" a="1"/>
  <c r="K54" i="101" a="1"/>
  <c r="G66" i="101" a="1"/>
  <c r="M73" i="101" a="1"/>
  <c r="E277" i="101" a="1"/>
  <c r="F196" i="101" a="1"/>
  <c r="E2" i="129" a="1"/>
  <c r="L8" i="101" a="1"/>
  <c r="G370" i="101" a="1"/>
  <c r="AX20" i="101" a="1"/>
  <c r="F108" i="101" a="1"/>
  <c r="K38" i="101" a="1"/>
  <c r="K75" i="101" a="1"/>
  <c r="K91" i="101" a="1"/>
  <c r="E352" i="101" a="1"/>
  <c r="F28" i="2" a="1"/>
  <c r="G358" i="101" a="1"/>
  <c r="E338" i="101" a="1"/>
  <c r="E2" i="43" a="1"/>
  <c r="E375" i="101" a="1"/>
  <c r="E313" i="101" a="1"/>
  <c r="L17" i="101" a="1"/>
  <c r="I47" i="2" a="1"/>
  <c r="E322" i="101" a="1"/>
  <c r="G331" i="101" a="1"/>
  <c r="G331" i="101" l="1"/>
  <c r="E322" i="101"/>
  <c r="I47" i="2"/>
  <c r="L17" i="101"/>
  <c r="E313" i="101"/>
  <c r="E375" i="101"/>
  <c r="E2" i="43"/>
  <c r="E338" i="101"/>
  <c r="G358" i="101"/>
  <c r="F28" i="2"/>
  <c r="E28" i="2" s="1"/>
  <c r="E352" i="101"/>
  <c r="K91" i="101"/>
  <c r="K75" i="101"/>
  <c r="K38" i="101"/>
  <c r="F108" i="101"/>
  <c r="AX20" i="101"/>
  <c r="G370" i="101"/>
  <c r="L8" i="101"/>
  <c r="E2" i="129"/>
  <c r="F196" i="101"/>
  <c r="E277" i="101"/>
  <c r="M73" i="101"/>
  <c r="G66" i="101"/>
  <c r="K54" i="101"/>
  <c r="E2" i="78"/>
  <c r="G119" i="101"/>
  <c r="K34" i="101"/>
  <c r="G183" i="101"/>
  <c r="G404" i="101"/>
  <c r="F32" i="101"/>
  <c r="AX25" i="101"/>
  <c r="E411" i="101"/>
  <c r="E89" i="101"/>
  <c r="K35" i="101"/>
  <c r="AK7" i="101"/>
  <c r="G412" i="101"/>
  <c r="I34" i="2"/>
  <c r="L55" i="101"/>
  <c r="G143" i="101"/>
  <c r="J47" i="2"/>
  <c r="E396" i="101"/>
  <c r="E184" i="101"/>
  <c r="F29" i="2"/>
  <c r="E29" i="2" s="1"/>
  <c r="AT28" i="101"/>
  <c r="F82" i="101"/>
  <c r="G319" i="101"/>
  <c r="C17" i="98"/>
  <c r="E234" i="101"/>
  <c r="G105" i="101"/>
  <c r="G226" i="101"/>
  <c r="G213" i="101"/>
  <c r="E20" i="98"/>
  <c r="AU14" i="101"/>
  <c r="AT31" i="101"/>
  <c r="G346" i="101"/>
  <c r="F315" i="101"/>
  <c r="G335" i="101"/>
  <c r="F31" i="2"/>
  <c r="E31" i="2" s="1"/>
  <c r="M37" i="101"/>
  <c r="M86" i="101"/>
  <c r="E2" i="136"/>
  <c r="J5" i="136" s="1"/>
  <c r="F338" i="101"/>
  <c r="AY28" i="101"/>
  <c r="AK5" i="101"/>
  <c r="S6" i="101"/>
  <c r="AU33" i="101"/>
  <c r="G218" i="101"/>
  <c r="AH14" i="101"/>
  <c r="G264" i="101"/>
  <c r="L128" i="101"/>
  <c r="L108" i="101"/>
  <c r="E169" i="101"/>
  <c r="L95" i="101"/>
  <c r="E418" i="101"/>
  <c r="G158" i="101"/>
  <c r="L91" i="101"/>
  <c r="G341" i="101"/>
  <c r="I42" i="2"/>
  <c r="K87" i="101"/>
  <c r="W7" i="101"/>
  <c r="L63" i="101"/>
  <c r="I28" i="2"/>
  <c r="L96" i="101"/>
  <c r="F107" i="101"/>
  <c r="E185" i="101"/>
  <c r="E229" i="101"/>
  <c r="E419" i="101"/>
  <c r="K79" i="101"/>
  <c r="F265" i="101"/>
  <c r="G430" i="101"/>
  <c r="F264" i="101"/>
  <c r="L82" i="101"/>
  <c r="I52" i="2"/>
  <c r="AV32" i="101"/>
  <c r="AI7" i="101"/>
  <c r="M81" i="101"/>
  <c r="E383" i="101"/>
  <c r="AU10" i="101"/>
  <c r="M88" i="101"/>
  <c r="M120" i="101"/>
  <c r="O120" i="101" s="1"/>
  <c r="AH5" i="101"/>
  <c r="M27" i="101"/>
  <c r="F214" i="101"/>
  <c r="G288" i="101"/>
  <c r="F61" i="101"/>
  <c r="F365" i="101"/>
  <c r="F90" i="101"/>
  <c r="F81" i="101"/>
  <c r="F288" i="101"/>
  <c r="E271" i="101"/>
  <c r="E306" i="101"/>
  <c r="G150" i="101"/>
  <c r="G172" i="101"/>
  <c r="F245" i="101"/>
  <c r="F426" i="101"/>
  <c r="I46" i="2"/>
  <c r="F148" i="101"/>
  <c r="AX16" i="101"/>
  <c r="L44" i="101"/>
  <c r="G381" i="101"/>
  <c r="K64" i="101"/>
  <c r="F12" i="2"/>
  <c r="E12" i="2" s="1"/>
  <c r="G79" i="101"/>
  <c r="S15" i="101"/>
  <c r="K96" i="101"/>
  <c r="F281" i="101"/>
  <c r="E129" i="101"/>
  <c r="F98" i="101"/>
  <c r="F209" i="101"/>
  <c r="E429" i="101"/>
  <c r="AY11" i="101"/>
  <c r="AY7" i="101"/>
  <c r="AT7" i="101"/>
  <c r="E57" i="101"/>
  <c r="G135" i="101"/>
  <c r="E220" i="101"/>
  <c r="F43" i="2"/>
  <c r="E43" i="2" s="1"/>
  <c r="AV34" i="101"/>
  <c r="F372" i="101"/>
  <c r="G197" i="101"/>
  <c r="E300" i="101"/>
  <c r="L110" i="101"/>
  <c r="I33" i="2"/>
  <c r="E219" i="101"/>
  <c r="AT30" i="101"/>
  <c r="G149" i="101"/>
  <c r="M68" i="101"/>
  <c r="V17" i="101"/>
  <c r="G177" i="101"/>
  <c r="F117" i="101"/>
  <c r="E250" i="101"/>
  <c r="L74" i="101"/>
  <c r="G349" i="101"/>
  <c r="F340" i="101"/>
  <c r="G418" i="101"/>
  <c r="E136" i="101"/>
  <c r="F93" i="101"/>
  <c r="AX24" i="101"/>
  <c r="AU16" i="101"/>
  <c r="E366" i="101"/>
  <c r="F387" i="101"/>
  <c r="R16" i="101"/>
  <c r="U16" i="101" s="1"/>
  <c r="AM9" i="101"/>
  <c r="F45" i="2"/>
  <c r="E45" i="2" s="1"/>
  <c r="G246" i="101"/>
  <c r="F15" i="2"/>
  <c r="E15" i="2" s="1"/>
  <c r="K120" i="101"/>
  <c r="L90" i="101"/>
  <c r="J12" i="2"/>
  <c r="AH8" i="101"/>
  <c r="G378" i="101"/>
  <c r="L28" i="101"/>
  <c r="F66" i="101"/>
  <c r="F50" i="101"/>
  <c r="G401" i="101"/>
  <c r="G38" i="101"/>
  <c r="M31" i="101"/>
  <c r="X14" i="101"/>
  <c r="V6" i="101"/>
  <c r="E387" i="101"/>
  <c r="F424" i="101"/>
  <c r="F336" i="101"/>
  <c r="G279" i="101"/>
  <c r="G134" i="101"/>
  <c r="AY33" i="101"/>
  <c r="F244" i="101"/>
  <c r="F41" i="101"/>
  <c r="G394" i="101"/>
  <c r="F250" i="101"/>
  <c r="S19" i="101"/>
  <c r="F215" i="101"/>
  <c r="E340" i="101"/>
  <c r="G411" i="101"/>
  <c r="F373" i="101"/>
  <c r="F393" i="101"/>
  <c r="E2" i="103"/>
  <c r="I24" i="2"/>
  <c r="E2" i="94"/>
  <c r="E55" i="101"/>
  <c r="M33" i="101"/>
  <c r="AK10" i="101"/>
  <c r="G67" i="101"/>
  <c r="G220" i="101"/>
  <c r="W6" i="101"/>
  <c r="AW6" i="101"/>
  <c r="G340" i="101"/>
  <c r="F284" i="101"/>
  <c r="G75" i="101"/>
  <c r="X19" i="101"/>
  <c r="K109" i="101"/>
  <c r="E393" i="101"/>
  <c r="L123" i="101"/>
  <c r="AT9" i="101"/>
  <c r="E39" i="101"/>
  <c r="L79" i="101"/>
  <c r="E288" i="101"/>
  <c r="I50" i="2"/>
  <c r="F37" i="2"/>
  <c r="E37" i="2" s="1"/>
  <c r="J38" i="2"/>
  <c r="E44" i="101"/>
  <c r="E205" i="101"/>
  <c r="L40" i="101"/>
  <c r="I13" i="2"/>
  <c r="E283" i="101"/>
  <c r="G223" i="101"/>
  <c r="G199" i="101"/>
  <c r="F175" i="101"/>
  <c r="G49" i="101"/>
  <c r="E275" i="101"/>
  <c r="G210" i="101"/>
  <c r="AV30" i="101"/>
  <c r="AV26" i="101"/>
  <c r="G28" i="101"/>
  <c r="E2" i="148"/>
  <c r="J5" i="148" s="1"/>
  <c r="R8" i="101"/>
  <c r="U8" i="101" s="1"/>
  <c r="E302" i="101"/>
  <c r="AT16" i="101"/>
  <c r="G77" i="101"/>
  <c r="G104" i="101"/>
  <c r="K74" i="101"/>
  <c r="F342" i="101"/>
  <c r="E2" i="35"/>
  <c r="F178" i="101"/>
  <c r="F42" i="101"/>
  <c r="AU34" i="101"/>
  <c r="E299" i="101"/>
  <c r="F210" i="101"/>
  <c r="F50" i="2"/>
  <c r="E50" i="2" s="1"/>
  <c r="F243" i="101"/>
  <c r="F105" i="101"/>
  <c r="AM6" i="101"/>
  <c r="G337" i="101"/>
  <c r="AF19" i="101"/>
  <c r="J7" i="2"/>
  <c r="I25" i="2"/>
  <c r="E427" i="101"/>
  <c r="AT19" i="101"/>
  <c r="G315" i="101"/>
  <c r="E2" i="5"/>
  <c r="F422" i="101"/>
  <c r="E95" i="101"/>
  <c r="F294" i="101"/>
  <c r="F256" i="101"/>
  <c r="E2" i="6"/>
  <c r="M124" i="101"/>
  <c r="O124" i="101" s="1"/>
  <c r="I19" i="2"/>
  <c r="AY18" i="101"/>
  <c r="F189" i="101"/>
  <c r="AJ12" i="101"/>
  <c r="AY36" i="101"/>
  <c r="X13" i="101"/>
  <c r="AY13" i="101"/>
  <c r="E2" i="77"/>
  <c r="E421" i="101"/>
  <c r="L43" i="101"/>
  <c r="E2" i="130"/>
  <c r="G125" i="101"/>
  <c r="F134" i="101"/>
  <c r="E384" i="101"/>
  <c r="K81" i="101"/>
  <c r="G195" i="101"/>
  <c r="E386" i="101"/>
  <c r="E331" i="101"/>
  <c r="E2" i="39"/>
  <c r="G151" i="101"/>
  <c r="J33" i="2"/>
  <c r="K114" i="101"/>
  <c r="F67" i="101"/>
  <c r="F106" i="101"/>
  <c r="G247" i="101"/>
  <c r="F55" i="101"/>
  <c r="E2" i="56"/>
  <c r="E168" i="101"/>
  <c r="E346" i="101"/>
  <c r="F84" i="101"/>
  <c r="K36" i="101"/>
  <c r="K88" i="101"/>
  <c r="G76" i="101"/>
  <c r="X17" i="101"/>
  <c r="G93" i="101"/>
  <c r="Y17" i="101"/>
  <c r="I15" i="2"/>
  <c r="E158" i="101"/>
  <c r="F201" i="101"/>
  <c r="M64" i="101"/>
  <c r="E408" i="101"/>
  <c r="L86" i="101"/>
  <c r="E78" i="101"/>
  <c r="M92" i="101"/>
  <c r="F233" i="101"/>
  <c r="AT12" i="101"/>
  <c r="AT20" i="101"/>
  <c r="F303" i="101"/>
  <c r="F212" i="101"/>
  <c r="G192" i="101"/>
  <c r="I37" i="2"/>
  <c r="K126" i="101"/>
  <c r="F319" i="101"/>
  <c r="Z18" i="101"/>
  <c r="G254" i="101"/>
  <c r="I6" i="2"/>
  <c r="G400" i="101"/>
  <c r="E2" i="105"/>
  <c r="AW14" i="101"/>
  <c r="X10" i="101"/>
  <c r="E103" i="101"/>
  <c r="G242" i="101"/>
  <c r="G413" i="101"/>
  <c r="G361" i="101"/>
  <c r="G42" i="101"/>
  <c r="AY17" i="101"/>
  <c r="J6" i="2"/>
  <c r="E2" i="141"/>
  <c r="F3" i="141" s="1"/>
  <c r="K3" i="141" s="1"/>
  <c r="F309" i="101"/>
  <c r="G71" i="101"/>
  <c r="E324" i="101"/>
  <c r="E304" i="101"/>
  <c r="E400" i="101"/>
  <c r="E2" i="26"/>
  <c r="AX9" i="101"/>
  <c r="F52" i="101"/>
  <c r="E221" i="101"/>
  <c r="G58" i="101"/>
  <c r="F397" i="101"/>
  <c r="E2" i="69"/>
  <c r="G390" i="101"/>
  <c r="F69" i="101"/>
  <c r="G82" i="101"/>
  <c r="AY6" i="101"/>
  <c r="E209" i="101"/>
  <c r="K70" i="101"/>
  <c r="AW33" i="101"/>
  <c r="E276" i="101"/>
  <c r="F354" i="101"/>
  <c r="E86" i="101"/>
  <c r="G286" i="101"/>
  <c r="AF18" i="101"/>
  <c r="M89" i="101"/>
  <c r="E309" i="101"/>
  <c r="E2" i="21"/>
  <c r="L89" i="101"/>
  <c r="F27" i="101"/>
  <c r="AX13" i="101"/>
  <c r="E141" i="101"/>
  <c r="E362" i="101"/>
  <c r="E82" i="101"/>
  <c r="F317" i="101"/>
  <c r="F78" i="101"/>
  <c r="G299" i="101"/>
  <c r="F346" i="101"/>
  <c r="M128" i="101"/>
  <c r="O128" i="101" s="1"/>
  <c r="F232" i="101"/>
  <c r="E59" i="101"/>
  <c r="J10" i="2"/>
  <c r="F347" i="101"/>
  <c r="G187" i="101"/>
  <c r="E310" i="101"/>
  <c r="G132" i="101"/>
  <c r="F208" i="101"/>
  <c r="F258" i="101"/>
  <c r="AJ5" i="101"/>
  <c r="AY12" i="101"/>
  <c r="F388" i="101"/>
  <c r="F348" i="101"/>
  <c r="G31" i="101"/>
  <c r="E303" i="101"/>
  <c r="F289" i="101"/>
  <c r="E181" i="101"/>
  <c r="E140" i="101"/>
  <c r="AV11" i="101"/>
  <c r="K82" i="101"/>
  <c r="J43" i="2"/>
  <c r="M35" i="101"/>
  <c r="G92" i="101"/>
  <c r="E56" i="101"/>
  <c r="AX30" i="101"/>
  <c r="AW11" i="101"/>
  <c r="G347" i="101"/>
  <c r="AW36" i="101"/>
  <c r="M91" i="101"/>
  <c r="G41" i="101"/>
  <c r="G300" i="101"/>
  <c r="G239" i="101"/>
  <c r="G169" i="101"/>
  <c r="E216" i="101"/>
  <c r="F99" i="101"/>
  <c r="E84" i="101"/>
  <c r="L117" i="101"/>
  <c r="J54" i="2"/>
  <c r="E226" i="101"/>
  <c r="AX36" i="101"/>
  <c r="AY22" i="101"/>
  <c r="E298" i="101"/>
  <c r="E425" i="101"/>
  <c r="F200" i="101"/>
  <c r="F7" i="2"/>
  <c r="E7" i="2" s="1"/>
  <c r="G57" i="101"/>
  <c r="E369" i="101"/>
  <c r="G272" i="101"/>
  <c r="J28" i="2"/>
  <c r="L69" i="101"/>
  <c r="E98" i="101"/>
  <c r="L61" i="101"/>
  <c r="G359" i="101"/>
  <c r="K62" i="101"/>
  <c r="E145" i="101"/>
  <c r="G139" i="101"/>
  <c r="L56" i="101"/>
  <c r="C22" i="153"/>
  <c r="G289" i="101"/>
  <c r="G357" i="101"/>
  <c r="F149" i="101"/>
  <c r="AW26" i="101"/>
  <c r="M87" i="101"/>
  <c r="E431" i="101"/>
  <c r="F417" i="101"/>
  <c r="E241" i="101"/>
  <c r="K31" i="101"/>
  <c r="V19" i="101"/>
  <c r="G100" i="101"/>
  <c r="E2" i="55"/>
  <c r="E99" i="101"/>
  <c r="AU19" i="101"/>
  <c r="F380" i="101"/>
  <c r="F157" i="101"/>
  <c r="G122" i="101"/>
  <c r="AI8" i="101"/>
  <c r="E2" i="7"/>
  <c r="AV12" i="101"/>
  <c r="F57" i="101"/>
  <c r="E77" i="101"/>
  <c r="E237" i="101"/>
  <c r="F296" i="101"/>
  <c r="E2" i="33"/>
  <c r="F135" i="101"/>
  <c r="E308" i="101"/>
  <c r="E398" i="101"/>
  <c r="E2" i="82"/>
  <c r="G425" i="101"/>
  <c r="L73" i="101"/>
  <c r="AJ9" i="101"/>
  <c r="F349" i="101"/>
  <c r="E122" i="101"/>
  <c r="S17" i="101"/>
  <c r="L83" i="101"/>
  <c r="G260" i="101"/>
  <c r="AT29" i="101"/>
  <c r="G124" i="101"/>
  <c r="E139" i="101"/>
  <c r="F213" i="101"/>
  <c r="F45" i="101"/>
  <c r="F415" i="101"/>
  <c r="J35" i="2"/>
  <c r="K28" i="101"/>
  <c r="X6" i="101"/>
  <c r="G389" i="101"/>
  <c r="AX17" i="101"/>
  <c r="G171" i="101"/>
  <c r="AW27" i="101"/>
  <c r="E214" i="101"/>
  <c r="L64" i="101"/>
  <c r="G216" i="101"/>
  <c r="F17" i="2"/>
  <c r="E17" i="2" s="1"/>
  <c r="K94" i="101"/>
  <c r="K69" i="101"/>
  <c r="L126" i="101"/>
  <c r="E2" i="132"/>
  <c r="G369" i="101"/>
  <c r="G106" i="101"/>
  <c r="I26" i="2"/>
  <c r="F328" i="101"/>
  <c r="E2" i="142"/>
  <c r="J5" i="142" s="1"/>
  <c r="F38" i="2"/>
  <c r="E38" i="2" s="1"/>
  <c r="E2" i="79"/>
  <c r="L34" i="101"/>
  <c r="F181" i="101"/>
  <c r="G316" i="101"/>
  <c r="L127" i="101"/>
  <c r="J11" i="2"/>
  <c r="AX15" i="101"/>
  <c r="E2" i="15"/>
  <c r="E142" i="101"/>
  <c r="AY24" i="101"/>
  <c r="E2" i="14"/>
  <c r="F230" i="101"/>
  <c r="V15" i="101"/>
  <c r="M40" i="101"/>
  <c r="G186" i="101"/>
  <c r="E2" i="8"/>
  <c r="Z19" i="101"/>
  <c r="F83" i="101"/>
  <c r="E206" i="101"/>
  <c r="L42" i="101"/>
  <c r="K116" i="101"/>
  <c r="AW15" i="101"/>
  <c r="AW29" i="101"/>
  <c r="E392" i="101"/>
  <c r="F71" i="101"/>
  <c r="F51" i="101"/>
  <c r="M56" i="101"/>
  <c r="K59" i="101"/>
  <c r="K72" i="101"/>
  <c r="K93" i="101"/>
  <c r="G304" i="101"/>
  <c r="G343" i="101"/>
  <c r="F58" i="101"/>
  <c r="I54" i="2"/>
  <c r="AT33" i="101"/>
  <c r="E267" i="101"/>
  <c r="AV14" i="101"/>
  <c r="E186" i="101"/>
  <c r="G262" i="101"/>
  <c r="F418" i="101"/>
  <c r="E2" i="24"/>
  <c r="K117" i="101"/>
  <c r="E134" i="101"/>
  <c r="M119" i="101"/>
  <c r="O119" i="101" s="1"/>
  <c r="F70" i="101"/>
  <c r="F156" i="101"/>
  <c r="E47" i="101"/>
  <c r="E248" i="101"/>
  <c r="L27" i="101"/>
  <c r="AU36" i="101"/>
  <c r="E2" i="9"/>
  <c r="G152" i="101"/>
  <c r="G283" i="101"/>
  <c r="E126" i="101"/>
  <c r="F185" i="101"/>
  <c r="E2" i="75"/>
  <c r="E2" i="111"/>
  <c r="F34" i="2"/>
  <c r="E34" i="2" s="1"/>
  <c r="E104" i="101"/>
  <c r="G267" i="101"/>
  <c r="AL10" i="101"/>
  <c r="E211" i="101"/>
  <c r="G234" i="101"/>
  <c r="E2" i="149"/>
  <c r="F3" i="149" s="1"/>
  <c r="K3" i="149" s="1"/>
  <c r="I48" i="2"/>
  <c r="E249" i="101"/>
  <c r="AJ6" i="101"/>
  <c r="G365" i="101"/>
  <c r="J31" i="2"/>
  <c r="G280" i="101"/>
  <c r="F171" i="101"/>
  <c r="G162" i="101"/>
  <c r="K68" i="101"/>
  <c r="E282" i="101"/>
  <c r="F152" i="101"/>
  <c r="E2" i="124"/>
  <c r="I31" i="2"/>
  <c r="M28" i="101"/>
  <c r="AW24" i="101"/>
  <c r="J45" i="2"/>
  <c r="F218" i="101"/>
  <c r="L111" i="101"/>
  <c r="F262" i="101"/>
  <c r="L120" i="101"/>
  <c r="AX28" i="101"/>
  <c r="R12" i="101"/>
  <c r="U12" i="101" s="1"/>
  <c r="E106" i="101"/>
  <c r="E137" i="101"/>
  <c r="F124" i="101"/>
  <c r="J46" i="2"/>
  <c r="AU29" i="101"/>
  <c r="K67" i="101"/>
  <c r="E2" i="84"/>
  <c r="AX31" i="101"/>
  <c r="AX14" i="101"/>
  <c r="AW34" i="101"/>
  <c r="E2" i="19"/>
  <c r="F54" i="2"/>
  <c r="E54" i="2" s="1"/>
  <c r="F16" i="2"/>
  <c r="E16" i="2" s="1"/>
  <c r="G250" i="101"/>
  <c r="AX26" i="101"/>
  <c r="K57" i="101"/>
  <c r="Z6" i="101"/>
  <c r="E201" i="101"/>
  <c r="E350" i="101"/>
  <c r="E2" i="13"/>
  <c r="L85" i="101"/>
  <c r="K63" i="101"/>
  <c r="G140" i="101"/>
  <c r="F274" i="101"/>
  <c r="F143" i="101"/>
  <c r="F146" i="101"/>
  <c r="K66" i="101"/>
  <c r="G403" i="101"/>
  <c r="R15" i="101"/>
  <c r="U15" i="101" s="1"/>
  <c r="F104" i="101"/>
  <c r="G121" i="101"/>
  <c r="J20" i="2"/>
  <c r="G127" i="101"/>
  <c r="F21" i="2"/>
  <c r="E21" i="2" s="1"/>
  <c r="AX11" i="101"/>
  <c r="AU11" i="101"/>
  <c r="AH12" i="101"/>
  <c r="G350" i="101"/>
  <c r="E412" i="101"/>
  <c r="F87" i="101"/>
  <c r="J21" i="2"/>
  <c r="E2" i="47"/>
  <c r="X16" i="101"/>
  <c r="M71" i="101"/>
  <c r="E268" i="101"/>
  <c r="E236" i="101"/>
  <c r="F131" i="101"/>
  <c r="E2" i="45"/>
  <c r="Y10" i="101"/>
  <c r="E326" i="101"/>
  <c r="K95" i="101"/>
  <c r="AF17" i="101"/>
  <c r="J50" i="2"/>
  <c r="G374" i="101"/>
  <c r="G128" i="101"/>
  <c r="F33" i="101"/>
  <c r="E261" i="101"/>
  <c r="E2" i="83"/>
  <c r="AM11" i="101"/>
  <c r="F85" i="101"/>
  <c r="M69" i="101"/>
  <c r="E2" i="146"/>
  <c r="Y7" i="101"/>
  <c r="E278" i="101"/>
  <c r="F376" i="101"/>
  <c r="AV7" i="101"/>
  <c r="G118" i="101"/>
  <c r="F350" i="101"/>
  <c r="E378" i="101"/>
  <c r="AJ11" i="101"/>
  <c r="F331" i="101"/>
  <c r="G366" i="101"/>
  <c r="F141" i="101"/>
  <c r="K61" i="101"/>
  <c r="G290" i="101"/>
  <c r="F20" i="2"/>
  <c r="E20" i="2" s="1"/>
  <c r="AI14" i="101"/>
  <c r="G32" i="101"/>
  <c r="F231" i="101"/>
  <c r="G248" i="101"/>
  <c r="G73" i="101"/>
  <c r="V9" i="101"/>
  <c r="L41" i="101"/>
  <c r="F321" i="101"/>
  <c r="F8" i="2"/>
  <c r="E8" i="2" s="1"/>
  <c r="F182" i="101"/>
  <c r="E259" i="101"/>
  <c r="AY20" i="101"/>
  <c r="G60" i="101"/>
  <c r="F421" i="101"/>
  <c r="G386" i="101"/>
  <c r="E377" i="101"/>
  <c r="F280" i="101"/>
  <c r="F211" i="101"/>
  <c r="E332" i="101"/>
  <c r="E121" i="101"/>
  <c r="G312" i="101"/>
  <c r="G145" i="101"/>
  <c r="AY9" i="101"/>
  <c r="K130" i="101"/>
  <c r="F246" i="101"/>
  <c r="K118" i="101"/>
  <c r="F112" i="101"/>
  <c r="E2" i="88"/>
  <c r="F324" i="101"/>
  <c r="S9" i="101"/>
  <c r="F345" i="101"/>
  <c r="F239" i="101"/>
  <c r="G204" i="101"/>
  <c r="E247" i="101"/>
  <c r="F24" i="2"/>
  <c r="E24" i="2" s="1"/>
  <c r="J13" i="2"/>
  <c r="F174" i="101"/>
  <c r="F381" i="101"/>
  <c r="G342" i="101"/>
  <c r="E210" i="101"/>
  <c r="E207" i="101"/>
  <c r="G214" i="101"/>
  <c r="AW35" i="101"/>
  <c r="L39" i="101"/>
  <c r="AK6" i="101"/>
  <c r="F251" i="101"/>
  <c r="F225" i="101"/>
  <c r="F301" i="101"/>
  <c r="G189" i="101"/>
  <c r="E192" i="101"/>
  <c r="K76" i="101"/>
  <c r="E176" i="101"/>
  <c r="E191" i="101"/>
  <c r="F332" i="101"/>
  <c r="F109" i="101"/>
  <c r="E327" i="101"/>
  <c r="G287" i="101"/>
  <c r="J42" i="2"/>
  <c r="F423" i="101"/>
  <c r="E371" i="101"/>
  <c r="G80" i="101"/>
  <c r="F352" i="101"/>
  <c r="E2" i="10"/>
  <c r="G209" i="101"/>
  <c r="F207" i="101"/>
  <c r="AF21" i="101"/>
  <c r="I5" i="2"/>
  <c r="E294" i="101"/>
  <c r="E284" i="101"/>
  <c r="K113" i="101"/>
  <c r="AT8" i="101"/>
  <c r="M110" i="101"/>
  <c r="O110" i="101" s="1"/>
  <c r="G222" i="101"/>
  <c r="K45" i="101"/>
  <c r="C3" i="98"/>
  <c r="AX8" i="101"/>
  <c r="F386" i="101"/>
  <c r="G270" i="101"/>
  <c r="L20" i="101"/>
  <c r="F404" i="101"/>
  <c r="E2" i="23"/>
  <c r="E154" i="101"/>
  <c r="J22" i="2"/>
  <c r="G328" i="101"/>
  <c r="F51" i="2"/>
  <c r="E51" i="2" s="1"/>
  <c r="E2" i="27"/>
  <c r="I12" i="2"/>
  <c r="G419" i="101"/>
  <c r="L119" i="101"/>
  <c r="F419" i="101"/>
  <c r="G163" i="101"/>
  <c r="L16" i="101"/>
  <c r="G318" i="101"/>
  <c r="L23" i="101"/>
  <c r="M61" i="101"/>
  <c r="F411" i="101"/>
  <c r="X7" i="101"/>
  <c r="F268" i="101"/>
  <c r="K77" i="101"/>
  <c r="E179" i="101"/>
  <c r="E196" i="101"/>
  <c r="G46" i="101"/>
  <c r="AT34" i="101"/>
  <c r="E2" i="36"/>
  <c r="G168" i="101"/>
  <c r="E138" i="101"/>
  <c r="AW10" i="101"/>
  <c r="E360" i="101"/>
  <c r="E159" i="101"/>
  <c r="E260" i="101"/>
  <c r="F30" i="101"/>
  <c r="F254" i="101"/>
  <c r="AJ14" i="101"/>
  <c r="AH13" i="101"/>
  <c r="E2" i="31"/>
  <c r="E254" i="101"/>
  <c r="G88" i="101"/>
  <c r="F10" i="2"/>
  <c r="E10" i="2" s="1"/>
  <c r="E311" i="101"/>
  <c r="Z13" i="101"/>
  <c r="G89" i="101"/>
  <c r="Y19" i="101"/>
  <c r="L75" i="101"/>
  <c r="J23" i="2"/>
  <c r="G212" i="101"/>
  <c r="F100" i="101"/>
  <c r="G353" i="101"/>
  <c r="G215" i="101"/>
  <c r="F92" i="101"/>
  <c r="E68" i="101"/>
  <c r="Z16" i="101"/>
  <c r="G56" i="101"/>
  <c r="F286" i="101"/>
  <c r="F150" i="101"/>
  <c r="E213" i="101"/>
  <c r="F379" i="101"/>
  <c r="G95" i="101"/>
  <c r="F385" i="101"/>
  <c r="M30" i="101"/>
  <c r="G68" i="101"/>
  <c r="G52" i="101"/>
  <c r="F406" i="101"/>
  <c r="AL14" i="101"/>
  <c r="K29" i="101"/>
  <c r="G329" i="101"/>
  <c r="G310" i="101"/>
  <c r="E6" i="98"/>
  <c r="G97" i="101"/>
  <c r="AJ13" i="101"/>
  <c r="F31" i="101"/>
  <c r="M72" i="101"/>
  <c r="I20" i="2"/>
  <c r="F217" i="101"/>
  <c r="G422" i="101"/>
  <c r="G33" i="101"/>
  <c r="Z7" i="101"/>
  <c r="W9" i="101"/>
  <c r="F96" i="101"/>
  <c r="E233" i="101"/>
  <c r="F407" i="101"/>
  <c r="E74" i="101"/>
  <c r="E2" i="87"/>
  <c r="E428" i="101"/>
  <c r="E409" i="101"/>
  <c r="E290" i="101"/>
  <c r="F382" i="101"/>
  <c r="AX32" i="101"/>
  <c r="K127" i="101"/>
  <c r="E321" i="101"/>
  <c r="F292" i="101"/>
  <c r="E405" i="101"/>
  <c r="F184" i="101"/>
  <c r="AX23" i="101"/>
  <c r="L29" i="101"/>
  <c r="G265" i="101"/>
  <c r="E175" i="101"/>
  <c r="G409" i="101"/>
  <c r="E2" i="125"/>
  <c r="E319" i="101"/>
  <c r="AL13" i="101"/>
  <c r="F314" i="101"/>
  <c r="E50" i="101"/>
  <c r="E363" i="101"/>
  <c r="F299" i="101"/>
  <c r="E2" i="93"/>
  <c r="G308" i="101"/>
  <c r="F159" i="101"/>
  <c r="G379" i="101"/>
  <c r="E80" i="101"/>
  <c r="AV19" i="101"/>
  <c r="M125" i="101"/>
  <c r="O125" i="101" s="1"/>
  <c r="E87" i="101"/>
  <c r="M118" i="101"/>
  <c r="O118" i="101" s="1"/>
  <c r="I18" i="2"/>
  <c r="AV6" i="101"/>
  <c r="E172" i="101"/>
  <c r="E117" i="101"/>
  <c r="AV13" i="101"/>
  <c r="L32" i="101"/>
  <c r="F22" i="2"/>
  <c r="E22" i="2" s="1"/>
  <c r="M94" i="101"/>
  <c r="G153" i="101"/>
  <c r="E353" i="101"/>
  <c r="G217" i="101"/>
  <c r="M54" i="101"/>
  <c r="Y9" i="101"/>
  <c r="F241" i="101"/>
  <c r="M121" i="101"/>
  <c r="O121" i="101" s="1"/>
  <c r="F270" i="101"/>
  <c r="G141" i="101"/>
  <c r="G402" i="101"/>
  <c r="E144" i="101"/>
  <c r="K84" i="101"/>
  <c r="G174" i="101"/>
  <c r="AW9" i="101"/>
  <c r="G339" i="101"/>
  <c r="E173" i="101"/>
  <c r="G50" i="101"/>
  <c r="E2" i="32"/>
  <c r="AY19" i="101"/>
  <c r="F186" i="101"/>
  <c r="AY35" i="101"/>
  <c r="E2" i="145"/>
  <c r="J4" i="145" s="1"/>
  <c r="J6" i="145" s="1"/>
  <c r="AU18" i="101"/>
  <c r="G206" i="101"/>
  <c r="G146" i="101"/>
  <c r="F356" i="101"/>
  <c r="AV18" i="101"/>
  <c r="F133" i="101"/>
  <c r="AY29" i="101"/>
  <c r="F35" i="2"/>
  <c r="E35" i="2" s="1"/>
  <c r="G301" i="101"/>
  <c r="V18" i="101"/>
  <c r="E339" i="101"/>
  <c r="G408" i="101"/>
  <c r="K111" i="101"/>
  <c r="E100" i="101"/>
  <c r="E91" i="101"/>
  <c r="I11" i="2"/>
  <c r="F188" i="101"/>
  <c r="AK14" i="101"/>
  <c r="E2" i="59"/>
  <c r="G96" i="101"/>
  <c r="AM12" i="101"/>
  <c r="L94" i="101"/>
  <c r="AU5" i="101"/>
  <c r="E199" i="101"/>
  <c r="AY8" i="101"/>
  <c r="L58" i="101"/>
  <c r="G266" i="101"/>
  <c r="AV35" i="101"/>
  <c r="G380" i="101"/>
  <c r="AW20" i="101"/>
  <c r="AW18" i="101"/>
  <c r="G274" i="101"/>
  <c r="L81" i="101"/>
  <c r="F359" i="101"/>
  <c r="E79" i="101"/>
  <c r="G81" i="101"/>
  <c r="I17" i="2"/>
  <c r="E48" i="101"/>
  <c r="F290" i="101"/>
  <c r="F166" i="101"/>
  <c r="L46" i="101"/>
  <c r="M43" i="101"/>
  <c r="E124" i="101"/>
  <c r="J48" i="2"/>
  <c r="E113" i="101"/>
  <c r="G39" i="101"/>
  <c r="M114" i="101"/>
  <c r="O114" i="101" s="1"/>
  <c r="G47" i="101"/>
  <c r="M117" i="101"/>
  <c r="O117" i="101" s="1"/>
  <c r="J16" i="2"/>
  <c r="E4" i="98"/>
  <c r="M84" i="101"/>
  <c r="E296" i="101"/>
  <c r="Y14" i="101"/>
  <c r="AT18" i="101"/>
  <c r="F193" i="101"/>
  <c r="J5" i="2"/>
  <c r="E222" i="101"/>
  <c r="AV29" i="101"/>
  <c r="F6" i="2"/>
  <c r="E6" i="2" s="1"/>
  <c r="F52" i="2"/>
  <c r="E52" i="2" s="1"/>
  <c r="G154" i="101"/>
  <c r="F170" i="101"/>
  <c r="K37" i="101"/>
  <c r="G323" i="101"/>
  <c r="E49" i="101"/>
  <c r="E356" i="101"/>
  <c r="L38" i="101"/>
  <c r="G161" i="101"/>
  <c r="E164" i="101"/>
  <c r="G371" i="101"/>
  <c r="AT22" i="101"/>
  <c r="F353" i="101"/>
  <c r="E407" i="101"/>
  <c r="AV10" i="101"/>
  <c r="I27" i="2"/>
  <c r="E69" i="101"/>
  <c r="L30" i="101"/>
  <c r="E2" i="86"/>
  <c r="F41" i="2"/>
  <c r="E41" i="2" s="1"/>
  <c r="G259" i="101"/>
  <c r="F306" i="101"/>
  <c r="B3" i="153"/>
  <c r="Y15" i="101"/>
  <c r="F293" i="101"/>
  <c r="F180" i="101"/>
  <c r="F391" i="101"/>
  <c r="F95" i="101"/>
  <c r="AM8" i="101"/>
  <c r="E239" i="101"/>
  <c r="R14" i="101"/>
  <c r="U14" i="101" s="1"/>
  <c r="E240" i="101"/>
  <c r="L33" i="101"/>
  <c r="G232" i="101"/>
  <c r="AH10" i="101"/>
  <c r="E2" i="91"/>
  <c r="F427" i="101"/>
  <c r="F377" i="101"/>
  <c r="F88" i="101"/>
  <c r="F62" i="101"/>
  <c r="E253" i="101"/>
  <c r="F140" i="101"/>
  <c r="E116" i="101"/>
  <c r="F29" i="101"/>
  <c r="J15" i="2"/>
  <c r="F40" i="101"/>
  <c r="E67" i="101"/>
  <c r="M39" i="101"/>
  <c r="F153" i="101"/>
  <c r="AW8" i="101"/>
  <c r="F409" i="101"/>
  <c r="E29" i="101"/>
  <c r="G72" i="101"/>
  <c r="K131" i="101"/>
  <c r="F176" i="101"/>
  <c r="K110" i="101"/>
  <c r="AL6" i="101"/>
  <c r="F113" i="101"/>
  <c r="G190" i="101"/>
  <c r="F48" i="101"/>
  <c r="G324" i="101"/>
  <c r="G321" i="101"/>
  <c r="AT13" i="101"/>
  <c r="A21" i="98"/>
  <c r="F326" i="101"/>
  <c r="AV31" i="101"/>
  <c r="E61" i="101"/>
  <c r="F48" i="2"/>
  <c r="E48" i="2" s="1"/>
  <c r="L129" i="101"/>
  <c r="G30" i="101"/>
  <c r="R6" i="101"/>
  <c r="U6" i="101" s="1"/>
  <c r="F283" i="101"/>
  <c r="E413" i="101"/>
  <c r="E171" i="101"/>
  <c r="G330" i="101"/>
  <c r="F60" i="101"/>
  <c r="E245" i="101"/>
  <c r="E374" i="101"/>
  <c r="G55" i="101"/>
  <c r="W12" i="101"/>
  <c r="M66" i="101"/>
  <c r="K56" i="101"/>
  <c r="G4" i="98"/>
  <c r="F304" i="101"/>
  <c r="G160" i="101"/>
  <c r="AU27" i="101"/>
  <c r="V8" i="101"/>
  <c r="E348" i="101"/>
  <c r="AW30" i="101"/>
  <c r="AY5" i="101"/>
  <c r="G391" i="101"/>
  <c r="S7" i="101"/>
  <c r="W17" i="101"/>
  <c r="E34" i="101"/>
  <c r="F420" i="101"/>
  <c r="G233" i="101"/>
  <c r="E330" i="101"/>
  <c r="Z14" i="101"/>
  <c r="L24" i="101"/>
  <c r="F111" i="101"/>
  <c r="F224" i="101"/>
  <c r="E2" i="150"/>
  <c r="J5" i="150" s="1"/>
  <c r="K27" i="101"/>
  <c r="E120" i="101"/>
  <c r="E152" i="101"/>
  <c r="F27" i="2"/>
  <c r="E27" i="2" s="1"/>
  <c r="E2" i="119" s="1"/>
  <c r="G29" i="101"/>
  <c r="E225" i="101"/>
  <c r="G44" i="101"/>
  <c r="F312" i="101"/>
  <c r="E2" i="95"/>
  <c r="G235" i="101"/>
  <c r="E273" i="101"/>
  <c r="F369" i="101"/>
  <c r="M34" i="101"/>
  <c r="E410" i="101"/>
  <c r="F191" i="101"/>
  <c r="AU30" i="101"/>
  <c r="G184" i="101"/>
  <c r="F316" i="101"/>
  <c r="G230" i="101"/>
  <c r="E27" i="101"/>
  <c r="E2" i="126"/>
  <c r="F30" i="2"/>
  <c r="E30" i="2" s="1"/>
  <c r="F371" i="101"/>
  <c r="G427" i="101"/>
  <c r="E2" i="50"/>
  <c r="F370" i="101"/>
  <c r="I8" i="2"/>
  <c r="F329" i="101"/>
  <c r="K112" i="101"/>
  <c r="M90" i="101"/>
  <c r="M130" i="101"/>
  <c r="O130" i="101" s="1"/>
  <c r="I9" i="2"/>
  <c r="G63" i="101"/>
  <c r="F392" i="101"/>
  <c r="F222" i="101"/>
  <c r="E355" i="101"/>
  <c r="K92" i="101"/>
  <c r="E2" i="72"/>
  <c r="F192" i="101"/>
  <c r="R9" i="101"/>
  <c r="U9" i="101" s="1"/>
  <c r="G325" i="101"/>
  <c r="AX34" i="101"/>
  <c r="E133" i="101"/>
  <c r="E2" i="42"/>
  <c r="E2" i="131"/>
  <c r="G142" i="101"/>
  <c r="AY16" i="101"/>
  <c r="F34" i="101"/>
  <c r="AX27" i="101"/>
  <c r="C18" i="98"/>
  <c r="E2" i="112"/>
  <c r="E301" i="101"/>
  <c r="M76" i="101"/>
  <c r="M126" i="101"/>
  <c r="O126" i="101" s="1"/>
  <c r="K89" i="101"/>
  <c r="G243" i="101"/>
  <c r="E227" i="101"/>
  <c r="E110" i="101"/>
  <c r="AW28" i="101"/>
  <c r="E102" i="101"/>
  <c r="I29" i="2"/>
  <c r="F49" i="2"/>
  <c r="E49" i="2" s="1"/>
  <c r="AX10" i="101"/>
  <c r="G219" i="101"/>
  <c r="F197" i="101"/>
  <c r="L87" i="101"/>
  <c r="F75" i="101"/>
  <c r="F343" i="101"/>
  <c r="E315" i="101"/>
  <c r="E2" i="3"/>
  <c r="F414" i="101"/>
  <c r="F400" i="101"/>
  <c r="F103" i="101"/>
  <c r="E96" i="101"/>
  <c r="E111" i="101"/>
  <c r="J19" i="2"/>
  <c r="F325" i="101"/>
  <c r="L70" i="101"/>
  <c r="L37" i="101"/>
  <c r="G426" i="101"/>
  <c r="M63" i="101"/>
  <c r="E114" i="101"/>
  <c r="F308" i="101"/>
  <c r="AU31" i="101"/>
  <c r="E38" i="101"/>
  <c r="G273" i="101"/>
  <c r="F428" i="101"/>
  <c r="V13" i="101"/>
  <c r="F165" i="101"/>
  <c r="G327" i="101"/>
  <c r="G406" i="101"/>
  <c r="AU7" i="101"/>
  <c r="F128" i="101"/>
  <c r="E178" i="101"/>
  <c r="F364" i="101"/>
  <c r="G345" i="101"/>
  <c r="F302" i="101"/>
  <c r="L65" i="101"/>
  <c r="G65" i="101"/>
  <c r="M131" i="101"/>
  <c r="O131" i="101" s="1"/>
  <c r="G133" i="101"/>
  <c r="G326" i="101"/>
  <c r="G180" i="101"/>
  <c r="F337" i="101"/>
  <c r="F126" i="101"/>
  <c r="J37" i="2"/>
  <c r="F147" i="101"/>
  <c r="K108" i="101"/>
  <c r="E422" i="101"/>
  <c r="G292" i="101"/>
  <c r="Y11" i="101"/>
  <c r="G271" i="101"/>
  <c r="I38" i="2"/>
  <c r="F271" i="101"/>
  <c r="E58" i="101"/>
  <c r="AT21" i="101"/>
  <c r="E2" i="85"/>
  <c r="F121" i="101"/>
  <c r="E399" i="101"/>
  <c r="L59" i="101"/>
  <c r="F220" i="101"/>
  <c r="AU35" i="101"/>
  <c r="F247" i="101"/>
  <c r="AW31" i="101"/>
  <c r="AV24" i="101"/>
  <c r="F198" i="101"/>
  <c r="I16" i="2"/>
  <c r="G385" i="101"/>
  <c r="F229" i="101"/>
  <c r="F339" i="101"/>
  <c r="L114" i="101"/>
  <c r="G420" i="101"/>
  <c r="L130" i="101"/>
  <c r="F355" i="101"/>
  <c r="F122" i="101"/>
  <c r="G244" i="101"/>
  <c r="J25" i="2"/>
  <c r="E257" i="101"/>
  <c r="E404" i="101"/>
  <c r="G294" i="101"/>
  <c r="G383" i="101"/>
  <c r="E2" i="46"/>
  <c r="F39" i="101"/>
  <c r="G360" i="101"/>
  <c r="E197" i="101"/>
  <c r="E335" i="101"/>
  <c r="E128" i="101"/>
  <c r="E105" i="101"/>
  <c r="F341" i="101"/>
  <c r="F360" i="101"/>
  <c r="I36" i="2"/>
  <c r="E389" i="101"/>
  <c r="E264" i="101"/>
  <c r="G94" i="101"/>
  <c r="C12" i="101"/>
  <c r="AF20" i="101"/>
  <c r="L80" i="101"/>
  <c r="M57" i="101"/>
  <c r="E108" i="101"/>
  <c r="F183" i="101"/>
  <c r="E2" i="128"/>
  <c r="E297" i="101"/>
  <c r="E424" i="101"/>
  <c r="E333" i="101"/>
  <c r="F307" i="101"/>
  <c r="F158" i="101"/>
  <c r="F291" i="101"/>
  <c r="F177" i="101"/>
  <c r="F374" i="101"/>
  <c r="F425" i="101"/>
  <c r="G352" i="101"/>
  <c r="F127" i="101"/>
  <c r="K121" i="101"/>
  <c r="V12" i="101"/>
  <c r="E2" i="73"/>
  <c r="E312" i="101"/>
  <c r="AM5" i="101"/>
  <c r="E2" i="11"/>
  <c r="G137" i="101"/>
  <c r="E182" i="101"/>
  <c r="I21" i="2"/>
  <c r="F132" i="101"/>
  <c r="E329" i="101"/>
  <c r="F179" i="101"/>
  <c r="F167" i="101"/>
  <c r="E317" i="101"/>
  <c r="F110" i="101"/>
  <c r="G258" i="101"/>
  <c r="E2" i="70"/>
  <c r="AK12" i="101"/>
  <c r="E88" i="101"/>
  <c r="G130" i="101"/>
  <c r="F28" i="101"/>
  <c r="F257" i="101"/>
  <c r="E328" i="101"/>
  <c r="G295" i="101"/>
  <c r="S8" i="101"/>
  <c r="F44" i="2"/>
  <c r="E44" i="2" s="1"/>
  <c r="AI6" i="101"/>
  <c r="E2" i="49"/>
  <c r="G176" i="101"/>
  <c r="F172" i="101"/>
  <c r="E217" i="101"/>
  <c r="AV5" i="101"/>
  <c r="G387" i="101"/>
  <c r="E2" i="22"/>
  <c r="K4" i="22" s="1"/>
  <c r="G407" i="101"/>
  <c r="G228" i="101"/>
  <c r="F89" i="101"/>
  <c r="G108" i="101"/>
  <c r="M109" i="101"/>
  <c r="O109" i="101" s="1"/>
  <c r="X11" i="101"/>
  <c r="M60" i="101"/>
  <c r="F300" i="101"/>
  <c r="F263" i="101"/>
  <c r="G61" i="101"/>
  <c r="J44" i="2"/>
  <c r="E325" i="101"/>
  <c r="F223" i="101"/>
  <c r="E45" i="101"/>
  <c r="K46" i="101"/>
  <c r="E351" i="101"/>
  <c r="E107" i="101"/>
  <c r="F398" i="101"/>
  <c r="E2" i="52"/>
  <c r="E2" i="118"/>
  <c r="F38" i="101"/>
  <c r="G136" i="101"/>
  <c r="F46" i="101"/>
  <c r="AW19" i="101"/>
  <c r="AU26" i="101"/>
  <c r="F405" i="101"/>
  <c r="E190" i="101"/>
  <c r="F351" i="101"/>
  <c r="F403" i="101"/>
  <c r="S14" i="101"/>
  <c r="M85" i="101"/>
  <c r="K65" i="101"/>
  <c r="F13" i="2"/>
  <c r="E13" i="2" s="1"/>
  <c r="F384" i="101"/>
  <c r="E416" i="101"/>
  <c r="L113" i="101"/>
  <c r="AI11" i="101"/>
  <c r="M127" i="101"/>
  <c r="O127" i="101" s="1"/>
  <c r="AT10" i="101"/>
  <c r="E125" i="101"/>
  <c r="E180" i="101"/>
  <c r="E354" i="101"/>
  <c r="E2" i="51"/>
  <c r="AU8" i="101"/>
  <c r="G277" i="101"/>
  <c r="E2" i="54"/>
  <c r="E132" i="101"/>
  <c r="AY30" i="101"/>
  <c r="F367" i="101"/>
  <c r="G59" i="101"/>
  <c r="F138" i="101"/>
  <c r="G421" i="101"/>
  <c r="F115" i="101"/>
  <c r="E336" i="101"/>
  <c r="G414" i="101"/>
  <c r="G317" i="101"/>
  <c r="AX18" i="101"/>
  <c r="F221" i="101"/>
  <c r="AU20" i="101"/>
  <c r="AX33" i="101"/>
  <c r="AT6" i="101"/>
  <c r="E198" i="101"/>
  <c r="R17" i="101"/>
  <c r="U17" i="101" s="1"/>
  <c r="G138" i="101"/>
  <c r="L11" i="101"/>
  <c r="AK9" i="101"/>
  <c r="L9" i="101"/>
  <c r="G253" i="101"/>
  <c r="F249" i="101"/>
  <c r="G170" i="101"/>
  <c r="AK8" i="101"/>
  <c r="G115" i="101"/>
  <c r="G117" i="101"/>
  <c r="E406" i="101"/>
  <c r="E357" i="101"/>
  <c r="G238" i="101"/>
  <c r="E155" i="101"/>
  <c r="W8" i="101"/>
  <c r="E2" i="116"/>
  <c r="G368" i="101"/>
  <c r="J14" i="2"/>
  <c r="E420" i="101"/>
  <c r="L54" i="101"/>
  <c r="M111" i="101"/>
  <c r="O111" i="101" s="1"/>
  <c r="I51" i="2"/>
  <c r="K86" i="101"/>
  <c r="G102" i="101"/>
  <c r="E2" i="97"/>
  <c r="F154" i="101"/>
  <c r="F277" i="101"/>
  <c r="F119" i="101"/>
  <c r="E265" i="101"/>
  <c r="E285" i="101"/>
  <c r="AY27" i="101"/>
  <c r="G110" i="101"/>
  <c r="G207" i="101"/>
  <c r="AV20" i="101"/>
  <c r="G417" i="101"/>
  <c r="AU32" i="101"/>
  <c r="F136" i="101"/>
  <c r="G109" i="101"/>
  <c r="E166" i="101"/>
  <c r="E90" i="101"/>
  <c r="E162" i="101"/>
  <c r="M45" i="101"/>
  <c r="G241" i="101"/>
  <c r="W19" i="101"/>
  <c r="E183" i="101"/>
  <c r="G382" i="101"/>
  <c r="M83" i="101"/>
  <c r="F43" i="101"/>
  <c r="E390" i="101"/>
  <c r="Z10" i="101"/>
  <c r="E2" i="114"/>
  <c r="G147" i="101"/>
  <c r="E345" i="101"/>
  <c r="L77" i="101"/>
  <c r="G178" i="101"/>
  <c r="K83" i="101"/>
  <c r="M62" i="101"/>
  <c r="F238" i="101"/>
  <c r="M32" i="101"/>
  <c r="R13" i="101"/>
  <c r="U13" i="101" s="1"/>
  <c r="G86" i="101"/>
  <c r="AW21" i="101"/>
  <c r="AY31" i="101"/>
  <c r="F161" i="101"/>
  <c r="L45" i="101"/>
  <c r="Z17" i="101"/>
  <c r="AY15" i="101"/>
  <c r="AX29" i="101"/>
  <c r="F39" i="2"/>
  <c r="E39" i="2" s="1"/>
  <c r="AY21" i="101"/>
  <c r="F375" i="101"/>
  <c r="E2" i="28"/>
  <c r="AL12" i="101"/>
  <c r="AW17" i="101"/>
  <c r="AI12" i="101"/>
  <c r="AX35" i="101"/>
  <c r="G332" i="101"/>
  <c r="E2" i="140"/>
  <c r="J5" i="140" s="1"/>
  <c r="Y8" i="101"/>
  <c r="F206" i="101"/>
  <c r="M46" i="101"/>
  <c r="L35" i="101"/>
  <c r="G164" i="101"/>
  <c r="F396" i="101"/>
  <c r="E379" i="101"/>
  <c r="F139" i="101"/>
  <c r="AT24" i="101"/>
  <c r="AW25" i="101"/>
  <c r="M29" i="101"/>
  <c r="F40" i="2"/>
  <c r="E40" i="2" s="1"/>
  <c r="J9" i="2"/>
  <c r="G372" i="101"/>
  <c r="F413" i="101"/>
  <c r="L14" i="101"/>
  <c r="AY14" i="101"/>
  <c r="R19" i="101"/>
  <c r="U19" i="101" s="1"/>
  <c r="F18" i="2"/>
  <c r="E18" i="2" s="1"/>
  <c r="AT5" i="101"/>
  <c r="E286" i="101"/>
  <c r="G281" i="101"/>
  <c r="AY26" i="101"/>
  <c r="F227" i="101"/>
  <c r="AW13" i="101"/>
  <c r="F26" i="2"/>
  <c r="E26" i="2" s="1"/>
  <c r="K90" i="101"/>
  <c r="M93" i="101"/>
  <c r="X9" i="101"/>
  <c r="I40" i="2"/>
  <c r="G131" i="101"/>
  <c r="E280" i="101"/>
  <c r="G305" i="101"/>
  <c r="E202" i="101"/>
  <c r="G298" i="101"/>
  <c r="E364" i="101"/>
  <c r="F53" i="101"/>
  <c r="F429" i="101"/>
  <c r="L125" i="101"/>
  <c r="E289" i="101"/>
  <c r="M80" i="101"/>
  <c r="G373" i="101"/>
  <c r="E252" i="101"/>
  <c r="F47" i="2"/>
  <c r="E47" i="2" s="1"/>
  <c r="J8" i="2"/>
  <c r="AU22" i="101"/>
  <c r="AV28" i="101"/>
  <c r="E135" i="101"/>
  <c r="E131" i="101"/>
  <c r="G338" i="101"/>
  <c r="E148" i="101"/>
  <c r="AY23" i="101"/>
  <c r="AT14" i="101"/>
  <c r="F94" i="101"/>
  <c r="E149" i="101"/>
  <c r="E2" i="12"/>
  <c r="K30" i="101"/>
  <c r="G314" i="101"/>
  <c r="E2" i="117"/>
  <c r="G351" i="101"/>
  <c r="F313" i="101"/>
  <c r="L124" i="101"/>
  <c r="AX19" i="101"/>
  <c r="K124" i="101"/>
  <c r="E373" i="101"/>
  <c r="E417" i="101"/>
  <c r="J30" i="2"/>
  <c r="E83" i="101"/>
  <c r="E246" i="101"/>
  <c r="G103" i="101"/>
  <c r="E75" i="101"/>
  <c r="G185" i="101"/>
  <c r="S13" i="101"/>
  <c r="F202" i="101"/>
  <c r="E46" i="101"/>
  <c r="E165" i="101"/>
  <c r="AJ8" i="101"/>
  <c r="G114" i="101"/>
  <c r="G376" i="101"/>
  <c r="F395" i="101"/>
  <c r="G237" i="101"/>
  <c r="G175" i="101"/>
  <c r="E215" i="101"/>
  <c r="E2" i="4"/>
  <c r="J49" i="2"/>
  <c r="E52" i="101"/>
  <c r="AU17" i="101"/>
  <c r="R11" i="101"/>
  <c r="U11" i="101" s="1"/>
  <c r="F266" i="101"/>
  <c r="F194" i="101"/>
  <c r="E146" i="101"/>
  <c r="E243" i="101"/>
  <c r="E64" i="101"/>
  <c r="M113" i="101"/>
  <c r="O113" i="101" s="1"/>
  <c r="G397" i="101"/>
  <c r="K123" i="101"/>
  <c r="F226" i="101"/>
  <c r="F63" i="101"/>
  <c r="E151" i="101"/>
  <c r="AV25" i="101"/>
  <c r="F261" i="101"/>
  <c r="A7" i="98"/>
  <c r="E2" i="96"/>
  <c r="K33" i="101"/>
  <c r="F205" i="101"/>
  <c r="J41" i="2"/>
  <c r="L92" i="101"/>
  <c r="F49" i="101"/>
  <c r="AR35" i="101"/>
  <c r="F56" i="101"/>
  <c r="G17" i="98"/>
  <c r="E2" i="110"/>
  <c r="AL11" i="101"/>
  <c r="F59" i="101"/>
  <c r="AQ35" i="101"/>
  <c r="E63" i="101"/>
  <c r="Y16" i="101"/>
  <c r="F305" i="101"/>
  <c r="G336" i="101"/>
  <c r="L68" i="101"/>
  <c r="AT17" i="101"/>
  <c r="A1" i="100"/>
  <c r="L93" i="101"/>
  <c r="AI13" i="101"/>
  <c r="AM13" i="101"/>
  <c r="L36" i="101"/>
  <c r="E76" i="101"/>
  <c r="E2" i="20"/>
  <c r="K4" i="20" s="1"/>
  <c r="F9" i="2"/>
  <c r="E9" i="2" s="1"/>
  <c r="E2" i="80"/>
  <c r="M95" i="101"/>
  <c r="G84" i="101"/>
  <c r="G205" i="101"/>
  <c r="E2" i="53"/>
  <c r="I23" i="2"/>
  <c r="F44" i="101"/>
  <c r="AV17" i="101"/>
  <c r="G69" i="101"/>
  <c r="I45" i="2"/>
  <c r="G200" i="101"/>
  <c r="E430" i="101"/>
  <c r="F267" i="101"/>
  <c r="L112" i="101"/>
  <c r="F14" i="2"/>
  <c r="E14" i="2" s="1"/>
  <c r="F5" i="2"/>
  <c r="E5" i="2" s="1"/>
  <c r="F145" i="101"/>
  <c r="F64" i="101"/>
  <c r="M67" i="101"/>
  <c r="G126" i="101"/>
  <c r="E30" i="101"/>
  <c r="F237" i="101"/>
  <c r="F362" i="101"/>
  <c r="F163" i="101"/>
  <c r="F285" i="101"/>
  <c r="F260" i="101"/>
  <c r="F330" i="101"/>
  <c r="E200" i="101"/>
  <c r="B20" i="98"/>
  <c r="E35" i="101"/>
  <c r="F35" i="101"/>
  <c r="L60" i="101"/>
  <c r="E33" i="101"/>
  <c r="G364" i="101"/>
  <c r="E93" i="101"/>
  <c r="I43" i="2"/>
  <c r="F32" i="2"/>
  <c r="E32" i="2" s="1"/>
  <c r="G333" i="101"/>
  <c r="F73" i="101"/>
  <c r="E2" i="57"/>
  <c r="F151" i="101"/>
  <c r="E167" i="101"/>
  <c r="G194" i="101"/>
  <c r="F102" i="101"/>
  <c r="AU24" i="101"/>
  <c r="G363" i="101"/>
  <c r="I7" i="2"/>
  <c r="L67" i="101"/>
  <c r="G78" i="101"/>
  <c r="V16" i="101"/>
  <c r="L19" i="101"/>
  <c r="B6" i="98"/>
  <c r="F216" i="101"/>
  <c r="E28" i="101"/>
  <c r="AY25" i="101"/>
  <c r="E174" i="101"/>
  <c r="E2" i="113"/>
  <c r="AI5" i="101"/>
  <c r="E3" i="98"/>
  <c r="F278" i="101"/>
  <c r="G225" i="101"/>
  <c r="Y12" i="101"/>
  <c r="F335" i="101"/>
  <c r="E2" i="102"/>
  <c r="E293" i="101"/>
  <c r="E2" i="137"/>
  <c r="J5" i="137" s="1"/>
  <c r="E187" i="101"/>
  <c r="G202" i="101"/>
  <c r="E60" i="101"/>
  <c r="AV9" i="101"/>
  <c r="F357" i="101"/>
  <c r="V7" i="101"/>
  <c r="Z8" i="101"/>
  <c r="E119" i="101"/>
  <c r="E2" i="115"/>
  <c r="F361" i="101"/>
  <c r="F129" i="101"/>
  <c r="G144" i="101"/>
  <c r="E42" i="101"/>
  <c r="E270" i="101"/>
  <c r="F114" i="101"/>
  <c r="F142" i="101"/>
  <c r="F322" i="101"/>
  <c r="E295" i="101"/>
  <c r="F86" i="101"/>
  <c r="M79" i="101"/>
  <c r="G53" i="101"/>
  <c r="E66" i="101"/>
  <c r="G123" i="101"/>
  <c r="J24" i="2"/>
  <c r="E342" i="101"/>
  <c r="S18" i="101"/>
  <c r="G313" i="101"/>
  <c r="M65" i="101"/>
  <c r="F120" i="101"/>
  <c r="E337" i="101"/>
  <c r="G211" i="101"/>
  <c r="G37" i="101"/>
  <c r="E316" i="101"/>
  <c r="F160" i="101"/>
  <c r="AU13" i="101"/>
  <c r="W16" i="101"/>
  <c r="M59" i="101"/>
  <c r="C4" i="98"/>
  <c r="AY32" i="101"/>
  <c r="E2" i="92"/>
  <c r="AX7" i="101"/>
  <c r="E391" i="101"/>
  <c r="AU12" i="101"/>
  <c r="E292" i="101"/>
  <c r="E318" i="101"/>
  <c r="AX22" i="101"/>
  <c r="L18" i="101"/>
  <c r="E73" i="101"/>
  <c r="G221" i="101"/>
  <c r="AW12" i="101"/>
  <c r="E2" i="133"/>
  <c r="G306" i="101"/>
  <c r="L10" i="101"/>
  <c r="E156" i="101"/>
  <c r="G307" i="101"/>
  <c r="F401" i="101"/>
  <c r="E274" i="101"/>
  <c r="E235" i="101"/>
  <c r="M36" i="101"/>
  <c r="E361" i="101"/>
  <c r="E402" i="101"/>
  <c r="M75" i="101"/>
  <c r="K47" i="101"/>
  <c r="F344" i="101"/>
  <c r="E258" i="101"/>
  <c r="G377" i="101"/>
  <c r="F36" i="101"/>
  <c r="M116" i="101"/>
  <c r="O116" i="101" s="1"/>
  <c r="G396" i="101"/>
  <c r="G34" i="101"/>
  <c r="G111" i="101"/>
  <c r="F282" i="101"/>
  <c r="G428" i="101"/>
  <c r="AW5" i="101"/>
  <c r="E32" i="101"/>
  <c r="E397" i="101"/>
  <c r="AK13" i="101"/>
  <c r="AM7" i="101"/>
  <c r="G224" i="101"/>
  <c r="F76" i="101"/>
  <c r="F320" i="101"/>
  <c r="E43" i="101"/>
  <c r="E323" i="101"/>
  <c r="AY10" i="101"/>
  <c r="K73" i="101"/>
  <c r="L57" i="101"/>
  <c r="F358" i="101"/>
  <c r="E244" i="101"/>
  <c r="E2" i="89"/>
  <c r="E188" i="101"/>
  <c r="F203" i="101"/>
  <c r="E170" i="101"/>
  <c r="M47" i="101"/>
  <c r="E388" i="101"/>
  <c r="W13" i="101"/>
  <c r="F273" i="101"/>
  <c r="G90" i="101"/>
  <c r="J17" i="2"/>
  <c r="E97" i="101"/>
  <c r="F74" i="101"/>
  <c r="G91" i="101"/>
  <c r="G384" i="101"/>
  <c r="G229" i="101"/>
  <c r="E359" i="101"/>
  <c r="F279" i="101"/>
  <c r="F219" i="101"/>
  <c r="F23" i="2"/>
  <c r="E23" i="2" s="1"/>
  <c r="G296" i="101"/>
  <c r="E203" i="101"/>
  <c r="F235" i="101"/>
  <c r="G167" i="101"/>
  <c r="I22" i="2"/>
  <c r="E2" i="81"/>
  <c r="K122" i="101"/>
  <c r="G399" i="101"/>
  <c r="AV15" i="101"/>
  <c r="F91" i="101"/>
  <c r="K60" i="101"/>
  <c r="G227" i="101"/>
  <c r="G159" i="101"/>
  <c r="E262" i="101"/>
  <c r="E2" i="138"/>
  <c r="J5" i="138" s="1"/>
  <c r="G257" i="101"/>
  <c r="E423" i="101"/>
  <c r="L13" i="101"/>
  <c r="AX6" i="101"/>
  <c r="G148" i="101"/>
  <c r="G284" i="101"/>
  <c r="E251" i="101"/>
  <c r="G291" i="101"/>
  <c r="G36" i="101"/>
  <c r="F97" i="101"/>
  <c r="F378" i="101"/>
  <c r="E238" i="101"/>
  <c r="AT23" i="101"/>
  <c r="L71" i="101"/>
  <c r="G201" i="101"/>
  <c r="G388" i="101"/>
  <c r="G398" i="101"/>
  <c r="Y6" i="101"/>
  <c r="AX5" i="101"/>
  <c r="K41" i="101"/>
  <c r="AU6" i="101"/>
  <c r="G43" i="101"/>
  <c r="E344" i="101"/>
  <c r="G208" i="101"/>
  <c r="F118" i="101"/>
  <c r="R18" i="101"/>
  <c r="U18" i="101" s="1"/>
  <c r="J34" i="2"/>
  <c r="AU23" i="101"/>
  <c r="G64" i="101"/>
  <c r="M55" i="101"/>
  <c r="G355" i="101"/>
  <c r="F25" i="2"/>
  <c r="E25" i="2" s="1"/>
  <c r="G156" i="101"/>
  <c r="L76" i="101"/>
  <c r="Z12" i="101"/>
  <c r="E51" i="101"/>
  <c r="F65" i="101"/>
  <c r="AT11" i="101"/>
  <c r="I32" i="2"/>
  <c r="G35" i="101"/>
  <c r="AV36" i="101"/>
  <c r="E2" i="44"/>
  <c r="K119" i="101"/>
  <c r="G311" i="101"/>
  <c r="X12" i="101"/>
  <c r="E415" i="101"/>
  <c r="E368" i="101"/>
  <c r="AU9" i="101"/>
  <c r="AV8" i="101"/>
  <c r="E153" i="101"/>
  <c r="K39" i="101"/>
  <c r="F137" i="101"/>
  <c r="F252" i="101"/>
  <c r="AW32" i="101"/>
  <c r="Z9" i="101"/>
  <c r="E2" i="41"/>
  <c r="M115" i="101"/>
  <c r="O115" i="101" s="1"/>
  <c r="F318" i="101"/>
  <c r="E195" i="101"/>
  <c r="W10" i="101"/>
  <c r="F287" i="101"/>
  <c r="L47" i="101"/>
  <c r="F19" i="2"/>
  <c r="E19" i="2" s="1"/>
  <c r="G83" i="101"/>
  <c r="F394" i="101"/>
  <c r="J39" i="2"/>
  <c r="G356" i="101"/>
  <c r="G48" i="101"/>
  <c r="E230" i="101"/>
  <c r="E395" i="101"/>
  <c r="K129" i="101"/>
  <c r="F72" i="101"/>
  <c r="E2" i="152"/>
  <c r="F242" i="101"/>
  <c r="K43" i="101"/>
  <c r="X18" i="101"/>
  <c r="AU25" i="101"/>
  <c r="F54" i="101"/>
  <c r="E347" i="101"/>
  <c r="F236" i="101"/>
  <c r="F410" i="101"/>
  <c r="X15" i="101"/>
  <c r="AI10" i="101"/>
  <c r="E160" i="101"/>
  <c r="L78" i="101"/>
  <c r="F363" i="101"/>
  <c r="E189" i="101"/>
  <c r="E17" i="98"/>
  <c r="AK11" i="101"/>
  <c r="L118" i="101"/>
  <c r="F297" i="101"/>
  <c r="AU15" i="101"/>
  <c r="E385" i="101"/>
  <c r="AT25" i="101"/>
  <c r="G51" i="101"/>
  <c r="F298" i="101"/>
  <c r="E53" i="101"/>
  <c r="E242" i="101"/>
  <c r="E85" i="101"/>
  <c r="E81" i="101"/>
  <c r="F272" i="101"/>
  <c r="G423" i="101"/>
  <c r="E2" i="29"/>
  <c r="E394" i="101"/>
  <c r="AW23" i="101"/>
  <c r="E31" i="101"/>
  <c r="G87" i="101"/>
  <c r="E279" i="101"/>
  <c r="F390" i="101"/>
  <c r="E372" i="101"/>
  <c r="L115" i="101"/>
  <c r="L21" i="101"/>
  <c r="L122" i="101"/>
  <c r="E118" i="101"/>
  <c r="E228" i="101"/>
  <c r="G198" i="101"/>
  <c r="S10" i="101"/>
  <c r="AW16" i="101"/>
  <c r="F204" i="101"/>
  <c r="E256" i="101"/>
  <c r="G173" i="101"/>
  <c r="AT26" i="101"/>
  <c r="AV16" i="101"/>
  <c r="G348" i="101"/>
  <c r="G101" i="101"/>
  <c r="E403" i="101"/>
  <c r="F169" i="101"/>
  <c r="L31" i="101"/>
  <c r="E37" i="101"/>
  <c r="AW7" i="101"/>
  <c r="J27" i="2"/>
  <c r="G297" i="101"/>
  <c r="F311" i="101"/>
  <c r="G416" i="101"/>
  <c r="G62" i="101"/>
  <c r="J32" i="2"/>
  <c r="E223" i="101"/>
  <c r="G251" i="101"/>
  <c r="G285" i="101"/>
  <c r="F144" i="101"/>
  <c r="AU21" i="101"/>
  <c r="I44" i="2"/>
  <c r="F234" i="101"/>
  <c r="F79" i="101"/>
  <c r="G203" i="101"/>
  <c r="F80" i="101"/>
  <c r="M112" i="101"/>
  <c r="O112" i="101" s="1"/>
  <c r="F368" i="101"/>
  <c r="G261" i="101"/>
  <c r="E65" i="101"/>
  <c r="M42" i="101"/>
  <c r="M70" i="101"/>
  <c r="E143" i="101"/>
  <c r="E2" i="17"/>
  <c r="E2" i="40"/>
  <c r="E305" i="101"/>
  <c r="G40" i="101"/>
  <c r="AT35" i="101"/>
  <c r="AU28" i="101"/>
  <c r="F36" i="2"/>
  <c r="E36" i="2" s="1"/>
  <c r="F327" i="101"/>
  <c r="AL7" i="101"/>
  <c r="E130" i="101"/>
  <c r="Z15" i="101"/>
  <c r="AV22" i="101"/>
  <c r="E193" i="101"/>
  <c r="I14" i="2"/>
  <c r="F416" i="101"/>
  <c r="F295" i="101"/>
  <c r="E218" i="101"/>
  <c r="G155" i="101"/>
  <c r="F130" i="101"/>
  <c r="F46" i="2"/>
  <c r="E46" i="2" s="1"/>
  <c r="M96" i="101"/>
  <c r="E232" i="101"/>
  <c r="E147" i="101"/>
  <c r="F125" i="101"/>
  <c r="J51" i="2"/>
  <c r="F431" i="101"/>
  <c r="F259" i="101"/>
  <c r="G263" i="101"/>
  <c r="F47" i="101"/>
  <c r="G424" i="101"/>
  <c r="E365" i="101"/>
  <c r="E341" i="101"/>
  <c r="E150" i="101"/>
  <c r="K128" i="101"/>
  <c r="G188" i="101"/>
  <c r="M108" i="101"/>
  <c r="O108" i="101" s="1"/>
  <c r="J52" i="2"/>
  <c r="G181" i="101"/>
  <c r="G322" i="101"/>
  <c r="G74" i="101"/>
  <c r="D20" i="101"/>
  <c r="L15" i="101" s="1"/>
  <c r="R7" i="101"/>
  <c r="U7" i="101" s="1"/>
  <c r="E2" i="144"/>
  <c r="J5" i="144" s="1"/>
  <c r="Y13" i="101"/>
  <c r="F199" i="101"/>
  <c r="F187" i="101"/>
  <c r="AJ10" i="101"/>
  <c r="E194" i="101"/>
  <c r="G334" i="101"/>
  <c r="E291" i="101"/>
  <c r="AT27" i="101"/>
  <c r="Y18" i="101"/>
  <c r="G27" i="101"/>
  <c r="G249" i="101"/>
  <c r="E426" i="101"/>
  <c r="E382" i="101"/>
  <c r="F37" i="101"/>
  <c r="G255" i="101"/>
  <c r="J40" i="2"/>
  <c r="G275" i="101"/>
  <c r="E40" i="101"/>
  <c r="J26" i="2"/>
  <c r="L131" i="101"/>
  <c r="E92" i="101"/>
  <c r="AH9" i="101"/>
  <c r="G269" i="101"/>
  <c r="G179" i="101"/>
  <c r="R10" i="101"/>
  <c r="U10" i="101" s="1"/>
  <c r="E272" i="101"/>
  <c r="E349" i="101"/>
  <c r="W11" i="101"/>
  <c r="E266" i="101"/>
  <c r="AL8" i="101"/>
  <c r="E123" i="101"/>
  <c r="K32" i="101"/>
  <c r="G85" i="101"/>
  <c r="AI9" i="101"/>
  <c r="F195" i="101"/>
  <c r="E343" i="101"/>
  <c r="V10" i="101"/>
  <c r="AV33" i="101"/>
  <c r="AH6" i="101"/>
  <c r="L88" i="101"/>
  <c r="L84" i="101"/>
  <c r="G303" i="101"/>
  <c r="E2" i="104"/>
  <c r="E157" i="101"/>
  <c r="S16" i="101"/>
  <c r="E2" i="71"/>
  <c r="G18" i="98"/>
  <c r="F173" i="101"/>
  <c r="K78" i="101"/>
  <c r="E2" i="139"/>
  <c r="J5" i="139" s="1"/>
  <c r="F228" i="101"/>
  <c r="Z11" i="101"/>
  <c r="E381" i="101"/>
  <c r="K71" i="101"/>
  <c r="F11" i="2"/>
  <c r="E11" i="2" s="1"/>
  <c r="E2" i="120" s="1"/>
  <c r="E358" i="101"/>
  <c r="J18" i="2"/>
  <c r="M38" i="101"/>
  <c r="AY34" i="101"/>
  <c r="G166" i="101"/>
  <c r="E2" i="147"/>
  <c r="J4" i="147" s="1"/>
  <c r="J6" i="147" s="1"/>
  <c r="E380" i="101"/>
  <c r="L109" i="101"/>
  <c r="G240" i="101"/>
  <c r="G112" i="101"/>
  <c r="AM10" i="101"/>
  <c r="E109" i="101"/>
  <c r="F399" i="101"/>
  <c r="G120" i="101"/>
  <c r="E127" i="101"/>
  <c r="F310" i="101"/>
  <c r="E320" i="101"/>
  <c r="E41" i="101"/>
  <c r="F389" i="101"/>
  <c r="F101" i="101"/>
  <c r="E112" i="101"/>
  <c r="G302" i="101"/>
  <c r="G278" i="101"/>
  <c r="F366" i="101"/>
  <c r="F408" i="101"/>
  <c r="E2" i="48"/>
  <c r="G113" i="101"/>
  <c r="K44" i="101"/>
  <c r="G45" i="101"/>
  <c r="G405" i="101"/>
  <c r="F168" i="101"/>
  <c r="F155" i="101"/>
  <c r="G129" i="101"/>
  <c r="K40" i="101"/>
  <c r="E20" i="101"/>
  <c r="I41" i="2"/>
  <c r="G231" i="101"/>
  <c r="I39" i="2"/>
  <c r="F248" i="101"/>
  <c r="M129" i="101"/>
  <c r="O129" i="101" s="1"/>
  <c r="E314" i="101"/>
  <c r="G99" i="101"/>
  <c r="F42" i="2"/>
  <c r="E42" i="2" s="1"/>
  <c r="L72" i="101"/>
  <c r="S12" i="101"/>
  <c r="K55" i="101"/>
  <c r="F116" i="101"/>
  <c r="F276" i="101"/>
  <c r="E2" i="108"/>
  <c r="E72" i="101"/>
  <c r="F123" i="101"/>
  <c r="K85" i="101"/>
  <c r="G157" i="101"/>
  <c r="E2" i="143"/>
  <c r="E2" i="106"/>
  <c r="I35" i="2"/>
  <c r="F162" i="101"/>
  <c r="M74" i="101"/>
  <c r="E2" i="18"/>
  <c r="G70" i="101"/>
  <c r="K125" i="101"/>
  <c r="F402" i="101"/>
  <c r="E94" i="101"/>
  <c r="G395" i="101"/>
  <c r="E208" i="101"/>
  <c r="E101" i="101"/>
  <c r="G344" i="101"/>
  <c r="E255" i="101"/>
  <c r="G236" i="101"/>
  <c r="X8" i="101"/>
  <c r="AW22" i="101"/>
  <c r="J29" i="2"/>
  <c r="I49" i="2"/>
  <c r="L62" i="101"/>
  <c r="M58" i="101"/>
  <c r="AT15" i="101"/>
  <c r="E36" i="101"/>
  <c r="E367" i="101"/>
  <c r="G309" i="101"/>
  <c r="AV27" i="101"/>
  <c r="AT36" i="101"/>
  <c r="F33" i="2"/>
  <c r="E33" i="2" s="1"/>
  <c r="E2" i="127"/>
  <c r="F240" i="101"/>
  <c r="AT32" i="101"/>
  <c r="L121" i="101"/>
  <c r="K80" i="101"/>
  <c r="F334" i="101"/>
  <c r="G116" i="101"/>
  <c r="F430" i="101"/>
  <c r="E2" i="34"/>
  <c r="AL5" i="101"/>
  <c r="G182" i="101"/>
  <c r="K115" i="101"/>
  <c r="G293" i="101"/>
  <c r="M123" i="101"/>
  <c r="O123" i="101" s="1"/>
  <c r="G392" i="101"/>
  <c r="G191" i="101"/>
  <c r="G282" i="101"/>
  <c r="M82" i="101"/>
  <c r="F68" i="101"/>
  <c r="E414" i="101"/>
  <c r="G393" i="101"/>
  <c r="F412" i="101"/>
  <c r="G268" i="101"/>
  <c r="G354" i="101"/>
  <c r="G256" i="101"/>
  <c r="W18" i="101"/>
  <c r="E370" i="101"/>
  <c r="E231" i="101"/>
  <c r="E163" i="101"/>
  <c r="E2" i="109"/>
  <c r="F255" i="101"/>
  <c r="E62" i="101"/>
  <c r="E54" i="101"/>
  <c r="E70" i="101"/>
  <c r="L116" i="101"/>
  <c r="F383" i="101"/>
  <c r="M122" i="101"/>
  <c r="O122" i="101" s="1"/>
  <c r="E287" i="101"/>
  <c r="M41" i="101"/>
  <c r="E2" i="30"/>
  <c r="L66" i="101"/>
  <c r="AJ7" i="101"/>
  <c r="M78" i="101"/>
  <c r="I10" i="2"/>
  <c r="I30" i="2"/>
  <c r="E177" i="101"/>
  <c r="F333" i="101"/>
  <c r="J36" i="2"/>
  <c r="E281" i="101"/>
  <c r="E307" i="101"/>
  <c r="E224" i="101"/>
  <c r="W14" i="101"/>
  <c r="G367" i="101"/>
  <c r="G3" i="98"/>
  <c r="E115" i="101"/>
  <c r="E401" i="101"/>
  <c r="AM14" i="101"/>
  <c r="AL9" i="101"/>
  <c r="G252" i="101"/>
  <c r="G245" i="101"/>
  <c r="G410" i="101"/>
  <c r="G362" i="101"/>
  <c r="E2" i="16"/>
  <c r="K4" i="16" s="1"/>
  <c r="F3" i="16" s="1"/>
  <c r="K3" i="16" s="1"/>
  <c r="S11" i="101"/>
  <c r="G375" i="101"/>
  <c r="E376" i="101"/>
  <c r="G429" i="101"/>
  <c r="F164" i="101"/>
  <c r="G415" i="101"/>
  <c r="E2" i="25"/>
  <c r="AX12" i="101"/>
  <c r="E161" i="101"/>
  <c r="G107" i="101"/>
  <c r="AV23" i="101"/>
  <c r="K58" i="101"/>
  <c r="G54" i="101"/>
  <c r="F190" i="101"/>
  <c r="F269" i="101"/>
  <c r="E334" i="101"/>
  <c r="AX21" i="101"/>
  <c r="V14" i="101"/>
  <c r="G98" i="101"/>
  <c r="G196" i="101"/>
  <c r="G276" i="101"/>
  <c r="G320" i="101"/>
  <c r="E2" i="37"/>
  <c r="W15" i="101"/>
  <c r="F253" i="101"/>
  <c r="F77" i="101"/>
  <c r="E204" i="101"/>
  <c r="E71" i="101"/>
  <c r="G165" i="101"/>
  <c r="E212" i="101"/>
  <c r="F275" i="101"/>
  <c r="E269" i="101"/>
  <c r="AV21" i="101"/>
  <c r="AH11" i="101"/>
  <c r="M77" i="101"/>
  <c r="K42" i="101"/>
  <c r="V11" i="101"/>
  <c r="G193" i="101"/>
  <c r="E18" i="98"/>
  <c r="F323" i="101"/>
  <c r="E263" i="101"/>
  <c r="AH7" i="101"/>
  <c r="M44" i="101"/>
  <c r="K4" i="49"/>
  <c r="K4" i="55"/>
  <c r="K4" i="14"/>
  <c r="K4" i="52"/>
  <c r="K4" i="33"/>
  <c r="E29" i="133"/>
  <c r="E23" i="133"/>
  <c r="E17" i="133"/>
  <c r="E11" i="133"/>
  <c r="E5" i="133"/>
  <c r="E28" i="133"/>
  <c r="E22" i="133"/>
  <c r="E16" i="133"/>
  <c r="E10" i="133"/>
  <c r="E4" i="133"/>
  <c r="E33" i="133"/>
  <c r="E27" i="133"/>
  <c r="E21" i="133"/>
  <c r="E15" i="133"/>
  <c r="E9" i="133"/>
  <c r="E25" i="133"/>
  <c r="E12" i="133"/>
  <c r="E8" i="133"/>
  <c r="E24" i="133"/>
  <c r="E20" i="133"/>
  <c r="E7" i="133"/>
  <c r="E32" i="133"/>
  <c r="E19" i="133"/>
  <c r="E6" i="133"/>
  <c r="E3" i="133"/>
  <c r="E26" i="133"/>
  <c r="E13" i="133"/>
  <c r="E31" i="133"/>
  <c r="E30" i="133"/>
  <c r="E18" i="133"/>
  <c r="E14" i="133"/>
  <c r="E4" i="114"/>
  <c r="E8" i="114"/>
  <c r="E3" i="114"/>
  <c r="E5" i="114"/>
  <c r="E7" i="114"/>
  <c r="E6" i="114"/>
  <c r="E6" i="112"/>
  <c r="E5" i="112"/>
  <c r="E4" i="112"/>
  <c r="E7" i="112"/>
  <c r="E3" i="112"/>
  <c r="E7" i="113"/>
  <c r="E6" i="113"/>
  <c r="E5" i="113"/>
  <c r="E3" i="113"/>
  <c r="E4" i="113"/>
  <c r="E11" i="92"/>
  <c r="E5" i="92"/>
  <c r="E17" i="92"/>
  <c r="E10" i="92"/>
  <c r="E16" i="92"/>
  <c r="E4" i="92"/>
  <c r="E13" i="92"/>
  <c r="E7" i="92"/>
  <c r="E14" i="92"/>
  <c r="E3" i="92"/>
  <c r="E12" i="92"/>
  <c r="E9" i="92"/>
  <c r="E18" i="92"/>
  <c r="E15" i="92"/>
  <c r="E8" i="92"/>
  <c r="E6" i="92"/>
  <c r="E17" i="78"/>
  <c r="E16" i="78"/>
  <c r="E13" i="78"/>
  <c r="E12" i="78"/>
  <c r="E18" i="78"/>
  <c r="E3" i="78"/>
  <c r="E15" i="78"/>
  <c r="E14" i="78"/>
  <c r="E11" i="78"/>
  <c r="E10" i="78"/>
  <c r="E4" i="78"/>
  <c r="E9" i="78"/>
  <c r="E8" i="78"/>
  <c r="E16" i="5"/>
  <c r="E10" i="5"/>
  <c r="E24" i="5"/>
  <c r="E4" i="5"/>
  <c r="E23" i="5"/>
  <c r="E15" i="5"/>
  <c r="E9" i="5"/>
  <c r="E22" i="5"/>
  <c r="E21" i="5"/>
  <c r="E14" i="5"/>
  <c r="E8" i="5"/>
  <c r="E3" i="5"/>
  <c r="E20" i="5"/>
  <c r="E19" i="5"/>
  <c r="E18" i="5"/>
  <c r="E5" i="5"/>
  <c r="E17" i="5"/>
  <c r="E13" i="5"/>
  <c r="E7" i="5"/>
  <c r="E6" i="5"/>
  <c r="E12" i="5"/>
  <c r="E11" i="5"/>
  <c r="E22" i="48"/>
  <c r="E10" i="48"/>
  <c r="E21" i="48"/>
  <c r="E4" i="48"/>
  <c r="E19" i="48"/>
  <c r="E17" i="48"/>
  <c r="E23" i="48"/>
  <c r="E11" i="48"/>
  <c r="E12" i="48"/>
  <c r="E9" i="48"/>
  <c r="E8" i="48"/>
  <c r="E7" i="48"/>
  <c r="E24" i="48"/>
  <c r="E6" i="48"/>
  <c r="E18" i="48"/>
  <c r="E5" i="48"/>
  <c r="E16" i="48"/>
  <c r="E15" i="48"/>
  <c r="E3" i="48"/>
  <c r="E13" i="48"/>
  <c r="E20" i="48"/>
  <c r="E14" i="48"/>
  <c r="E24" i="19"/>
  <c r="E12" i="19"/>
  <c r="E23" i="19"/>
  <c r="E11" i="19"/>
  <c r="E3" i="19"/>
  <c r="E22" i="19"/>
  <c r="E10" i="19"/>
  <c r="E20" i="19"/>
  <c r="E8" i="19"/>
  <c r="E19" i="19"/>
  <c r="E7" i="19"/>
  <c r="E17" i="19"/>
  <c r="E5" i="19"/>
  <c r="E14" i="19"/>
  <c r="E13" i="19"/>
  <c r="E9" i="19"/>
  <c r="E6" i="19"/>
  <c r="E4" i="19"/>
  <c r="E15" i="19"/>
  <c r="E18" i="19"/>
  <c r="E16" i="19"/>
  <c r="E21" i="19"/>
  <c r="E20" i="30"/>
  <c r="E14" i="30"/>
  <c r="E24" i="30"/>
  <c r="E23" i="30"/>
  <c r="E13" i="30"/>
  <c r="E6" i="30"/>
  <c r="E22" i="30"/>
  <c r="E12" i="30"/>
  <c r="E21" i="30"/>
  <c r="E11" i="30"/>
  <c r="E5" i="30"/>
  <c r="E19" i="30"/>
  <c r="E10" i="30"/>
  <c r="E17" i="30"/>
  <c r="E9" i="30"/>
  <c r="E16" i="30"/>
  <c r="E15" i="30"/>
  <c r="E8" i="30"/>
  <c r="E7" i="30"/>
  <c r="E4" i="30"/>
  <c r="E3" i="30"/>
  <c r="E18" i="30"/>
  <c r="J5" i="147"/>
  <c r="E4" i="115"/>
  <c r="E3" i="115"/>
  <c r="E5" i="115"/>
  <c r="E6" i="115"/>
  <c r="E5" i="117"/>
  <c r="E4" i="117"/>
  <c r="E9" i="117"/>
  <c r="E6" i="117"/>
  <c r="E8" i="117"/>
  <c r="E7" i="117"/>
  <c r="E3" i="117"/>
  <c r="E7" i="106"/>
  <c r="E6" i="106"/>
  <c r="E5" i="106"/>
  <c r="E8" i="106"/>
  <c r="E3" i="106"/>
  <c r="E9" i="106"/>
  <c r="E4" i="106"/>
  <c r="E15" i="43"/>
  <c r="E14" i="43"/>
  <c r="E5" i="43"/>
  <c r="E24" i="43"/>
  <c r="E12" i="43"/>
  <c r="E23" i="43"/>
  <c r="E11" i="43"/>
  <c r="E4" i="43"/>
  <c r="E18" i="43"/>
  <c r="E7" i="43"/>
  <c r="E17" i="43"/>
  <c r="E6" i="43"/>
  <c r="E22" i="43"/>
  <c r="E21" i="43"/>
  <c r="E20" i="43"/>
  <c r="E3" i="43"/>
  <c r="E19" i="43"/>
  <c r="E9" i="43"/>
  <c r="E8" i="43"/>
  <c r="E13" i="43"/>
  <c r="E10" i="43"/>
  <c r="E16" i="43"/>
  <c r="E15" i="8"/>
  <c r="E14" i="8"/>
  <c r="E5" i="8"/>
  <c r="E13" i="8"/>
  <c r="E24" i="8"/>
  <c r="E12" i="8"/>
  <c r="E23" i="8"/>
  <c r="E11" i="8"/>
  <c r="E4" i="8"/>
  <c r="E22" i="8"/>
  <c r="E10" i="8"/>
  <c r="E20" i="8"/>
  <c r="E8" i="8"/>
  <c r="E3" i="8"/>
  <c r="E21" i="8"/>
  <c r="E19" i="8"/>
  <c r="E18" i="8"/>
  <c r="E17" i="8"/>
  <c r="E6" i="8"/>
  <c r="E9" i="8"/>
  <c r="E7" i="8"/>
  <c r="E16" i="8"/>
  <c r="E23" i="7"/>
  <c r="E22" i="7"/>
  <c r="E15" i="7"/>
  <c r="E11" i="7"/>
  <c r="E7" i="7"/>
  <c r="E21" i="7"/>
  <c r="E20" i="7"/>
  <c r="E3" i="7"/>
  <c r="E19" i="7"/>
  <c r="E14" i="7"/>
  <c r="E10" i="7"/>
  <c r="E6" i="7"/>
  <c r="E13" i="7"/>
  <c r="E9" i="7"/>
  <c r="E5" i="7"/>
  <c r="E12" i="7"/>
  <c r="E24" i="7"/>
  <c r="E18" i="7"/>
  <c r="E16" i="7"/>
  <c r="E8" i="7"/>
  <c r="E17" i="7"/>
  <c r="E4" i="7"/>
  <c r="E10" i="75"/>
  <c r="E9" i="75"/>
  <c r="E8" i="75"/>
  <c r="E18" i="75"/>
  <c r="E6" i="75"/>
  <c r="E17" i="75"/>
  <c r="E5" i="75"/>
  <c r="E14" i="75"/>
  <c r="E13" i="75"/>
  <c r="E12" i="75"/>
  <c r="E11" i="75"/>
  <c r="E7" i="75"/>
  <c r="E16" i="75"/>
  <c r="E3" i="75"/>
  <c r="E15" i="75"/>
  <c r="E4" i="75"/>
  <c r="E19" i="44"/>
  <c r="E11" i="44"/>
  <c r="E5" i="44"/>
  <c r="E18" i="44"/>
  <c r="E16" i="44"/>
  <c r="E4" i="44"/>
  <c r="E20" i="44"/>
  <c r="E13" i="44"/>
  <c r="E3" i="44"/>
  <c r="E12" i="44"/>
  <c r="E10" i="44"/>
  <c r="E24" i="44"/>
  <c r="E9" i="44"/>
  <c r="E22" i="44"/>
  <c r="E21" i="44"/>
  <c r="E7" i="44"/>
  <c r="E17" i="44"/>
  <c r="E23" i="44"/>
  <c r="E15" i="44"/>
  <c r="E14" i="44"/>
  <c r="E8" i="44"/>
  <c r="E6" i="44"/>
  <c r="E16" i="34"/>
  <c r="E4" i="34"/>
  <c r="E15" i="34"/>
  <c r="E9" i="34"/>
  <c r="E14" i="34"/>
  <c r="E8" i="34"/>
  <c r="E3" i="34"/>
  <c r="E23" i="34"/>
  <c r="E13" i="34"/>
  <c r="E7" i="34"/>
  <c r="E17" i="34"/>
  <c r="E10" i="34"/>
  <c r="E11" i="34"/>
  <c r="E24" i="34"/>
  <c r="E22" i="34"/>
  <c r="E21" i="34"/>
  <c r="E20" i="34"/>
  <c r="E19" i="34"/>
  <c r="E6" i="34"/>
  <c r="E5" i="34"/>
  <c r="E18" i="34"/>
  <c r="E12" i="34"/>
  <c r="E30" i="128"/>
  <c r="E24" i="128"/>
  <c r="E18" i="128"/>
  <c r="E29" i="128"/>
  <c r="E23" i="128"/>
  <c r="E17" i="128"/>
  <c r="E28" i="128"/>
  <c r="E22" i="128"/>
  <c r="E25" i="128"/>
  <c r="E14" i="128"/>
  <c r="E8" i="128"/>
  <c r="E3" i="128"/>
  <c r="E13" i="128"/>
  <c r="E7" i="128"/>
  <c r="E33" i="128"/>
  <c r="E21" i="128"/>
  <c r="E12" i="128"/>
  <c r="E6" i="128"/>
  <c r="E32" i="128"/>
  <c r="E20" i="128"/>
  <c r="E31" i="128"/>
  <c r="E19" i="128"/>
  <c r="E11" i="128"/>
  <c r="E5" i="128"/>
  <c r="E27" i="128"/>
  <c r="E4" i="128"/>
  <c r="E26" i="128"/>
  <c r="E16" i="128"/>
  <c r="E15" i="128"/>
  <c r="E9" i="128"/>
  <c r="E10" i="128"/>
  <c r="E5" i="104"/>
  <c r="E10" i="104"/>
  <c r="E4" i="104"/>
  <c r="E9" i="104"/>
  <c r="E6" i="104"/>
  <c r="E8" i="104"/>
  <c r="E7" i="104"/>
  <c r="E3" i="104"/>
  <c r="E10" i="97"/>
  <c r="E8" i="97"/>
  <c r="E3" i="97"/>
  <c r="E5" i="97"/>
  <c r="E9" i="97"/>
  <c r="E7" i="97"/>
  <c r="E6" i="97"/>
  <c r="E4" i="97"/>
  <c r="E14" i="86"/>
  <c r="E13" i="86"/>
  <c r="E5" i="86"/>
  <c r="E11" i="86"/>
  <c r="E10" i="86"/>
  <c r="E4" i="86"/>
  <c r="E17" i="86"/>
  <c r="E7" i="86"/>
  <c r="E16" i="86"/>
  <c r="E8" i="86"/>
  <c r="E6" i="86"/>
  <c r="E12" i="86"/>
  <c r="E9" i="86"/>
  <c r="E18" i="86"/>
  <c r="E15" i="86"/>
  <c r="E3" i="86"/>
  <c r="E17" i="89"/>
  <c r="E7" i="89"/>
  <c r="E16" i="89"/>
  <c r="E14" i="89"/>
  <c r="E13" i="89"/>
  <c r="E5" i="89"/>
  <c r="E8" i="89"/>
  <c r="E3" i="89"/>
  <c r="E10" i="89"/>
  <c r="E9" i="89"/>
  <c r="E6" i="89"/>
  <c r="E4" i="89"/>
  <c r="E12" i="89"/>
  <c r="E11" i="89"/>
  <c r="E18" i="89"/>
  <c r="E15" i="89"/>
  <c r="E13" i="72"/>
  <c r="E7" i="72"/>
  <c r="E11" i="72"/>
  <c r="E5" i="72"/>
  <c r="E10" i="72"/>
  <c r="E3" i="72"/>
  <c r="E12" i="72"/>
  <c r="E9" i="72"/>
  <c r="E4" i="72"/>
  <c r="E6" i="72"/>
  <c r="E8" i="72"/>
  <c r="E19" i="45"/>
  <c r="E4" i="45"/>
  <c r="E18" i="45"/>
  <c r="E9" i="45"/>
  <c r="E16" i="45"/>
  <c r="E8" i="45"/>
  <c r="E3" i="45"/>
  <c r="E14" i="45"/>
  <c r="E7" i="45"/>
  <c r="E20" i="45"/>
  <c r="E10" i="45"/>
  <c r="E15" i="45"/>
  <c r="K4" i="45"/>
  <c r="E13" i="45"/>
  <c r="E12" i="45"/>
  <c r="E11" i="45"/>
  <c r="E24" i="45"/>
  <c r="E23" i="45"/>
  <c r="E22" i="45"/>
  <c r="E6" i="45"/>
  <c r="E21" i="45"/>
  <c r="E17" i="45"/>
  <c r="E5" i="45"/>
  <c r="E24" i="36"/>
  <c r="E18" i="36"/>
  <c r="E12" i="36"/>
  <c r="E6" i="36"/>
  <c r="E4" i="36"/>
  <c r="E22" i="36"/>
  <c r="E13" i="36"/>
  <c r="E3" i="36"/>
  <c r="E21" i="36"/>
  <c r="E11" i="36"/>
  <c r="E10" i="36"/>
  <c r="E20" i="36"/>
  <c r="E9" i="36"/>
  <c r="E19" i="36"/>
  <c r="E8" i="36"/>
  <c r="E16" i="36"/>
  <c r="E7" i="36"/>
  <c r="E15" i="36"/>
  <c r="E5" i="36"/>
  <c r="E23" i="36"/>
  <c r="E17" i="36"/>
  <c r="E14" i="36"/>
  <c r="E4" i="129"/>
  <c r="E9" i="129"/>
  <c r="E5" i="129"/>
  <c r="E3" i="129"/>
  <c r="E8" i="129"/>
  <c r="E7" i="129"/>
  <c r="E6" i="129"/>
  <c r="E21" i="132"/>
  <c r="E15" i="132"/>
  <c r="E9" i="132"/>
  <c r="E26" i="132"/>
  <c r="E20" i="132"/>
  <c r="E14" i="132"/>
  <c r="E8" i="132"/>
  <c r="E3" i="132"/>
  <c r="E22" i="132"/>
  <c r="E16" i="132"/>
  <c r="E10" i="132"/>
  <c r="E4" i="132"/>
  <c r="E25" i="132"/>
  <c r="E13" i="132"/>
  <c r="E24" i="132"/>
  <c r="E12" i="132"/>
  <c r="E23" i="132"/>
  <c r="E11" i="132"/>
  <c r="E19" i="132"/>
  <c r="E7" i="132"/>
  <c r="E18" i="132"/>
  <c r="E17" i="132"/>
  <c r="E6" i="132"/>
  <c r="E5" i="132"/>
  <c r="E19" i="91"/>
  <c r="E13" i="91"/>
  <c r="E7" i="91"/>
  <c r="E18" i="91"/>
  <c r="E12" i="91"/>
  <c r="E6" i="91"/>
  <c r="E21" i="91"/>
  <c r="E15" i="91"/>
  <c r="E9" i="91"/>
  <c r="E14" i="91"/>
  <c r="E3" i="91"/>
  <c r="E24" i="91"/>
  <c r="E11" i="91"/>
  <c r="E22" i="91"/>
  <c r="E10" i="91"/>
  <c r="E20" i="91"/>
  <c r="E8" i="91"/>
  <c r="E16" i="91"/>
  <c r="E4" i="91"/>
  <c r="E17" i="91"/>
  <c r="E5" i="91"/>
  <c r="E18" i="81"/>
  <c r="E5" i="81"/>
  <c r="E16" i="81"/>
  <c r="E15" i="81"/>
  <c r="E4" i="81"/>
  <c r="E10" i="81"/>
  <c r="E9" i="81"/>
  <c r="E17" i="81"/>
  <c r="E14" i="81"/>
  <c r="E13" i="81"/>
  <c r="E12" i="81"/>
  <c r="E11" i="81"/>
  <c r="E8" i="81"/>
  <c r="E3" i="81"/>
  <c r="E17" i="87"/>
  <c r="E7" i="87"/>
  <c r="E16" i="87"/>
  <c r="E14" i="87"/>
  <c r="E13" i="87"/>
  <c r="E5" i="87"/>
  <c r="E8" i="87"/>
  <c r="E3" i="87"/>
  <c r="E12" i="87"/>
  <c r="E11" i="87"/>
  <c r="E10" i="87"/>
  <c r="E9" i="87"/>
  <c r="E6" i="87"/>
  <c r="E18" i="87"/>
  <c r="E15" i="87"/>
  <c r="E4" i="87"/>
  <c r="E19" i="20"/>
  <c r="E7" i="20"/>
  <c r="E18" i="20"/>
  <c r="E6" i="20"/>
  <c r="E17" i="20"/>
  <c r="E5" i="20"/>
  <c r="E16" i="20"/>
  <c r="E15" i="20"/>
  <c r="E14" i="20"/>
  <c r="E4" i="20"/>
  <c r="E24" i="20"/>
  <c r="E12" i="20"/>
  <c r="E10" i="20"/>
  <c r="E9" i="20"/>
  <c r="E8" i="20"/>
  <c r="E3" i="20"/>
  <c r="E23" i="20"/>
  <c r="E22" i="20"/>
  <c r="E21" i="20"/>
  <c r="E20" i="20"/>
  <c r="E13" i="20"/>
  <c r="E11" i="20"/>
  <c r="E19" i="9"/>
  <c r="E13" i="9"/>
  <c r="E7" i="9"/>
  <c r="E18" i="9"/>
  <c r="E12" i="9"/>
  <c r="E6" i="9"/>
  <c r="E24" i="9"/>
  <c r="E23" i="9"/>
  <c r="E17" i="9"/>
  <c r="E11" i="9"/>
  <c r="E5" i="9"/>
  <c r="E22" i="9"/>
  <c r="E16" i="9"/>
  <c r="E10" i="9"/>
  <c r="E15" i="9"/>
  <c r="E3" i="9"/>
  <c r="E14" i="9"/>
  <c r="E9" i="9"/>
  <c r="E21" i="9"/>
  <c r="E20" i="9"/>
  <c r="E8" i="9"/>
  <c r="E4" i="9"/>
  <c r="E15" i="49"/>
  <c r="E5" i="49"/>
  <c r="E14" i="49"/>
  <c r="E24" i="49"/>
  <c r="E12" i="49"/>
  <c r="E4" i="49"/>
  <c r="E22" i="49"/>
  <c r="E10" i="49"/>
  <c r="E18" i="49"/>
  <c r="E16" i="49"/>
  <c r="E21" i="49"/>
  <c r="E20" i="49"/>
  <c r="E3" i="49"/>
  <c r="E19" i="49"/>
  <c r="E17" i="49"/>
  <c r="E13" i="49"/>
  <c r="E11" i="49"/>
  <c r="E8" i="49"/>
  <c r="E7" i="49"/>
  <c r="E23" i="49"/>
  <c r="E9" i="49"/>
  <c r="E6" i="49"/>
  <c r="E18" i="39"/>
  <c r="E12" i="39"/>
  <c r="E6" i="39"/>
  <c r="E23" i="39"/>
  <c r="E4" i="39"/>
  <c r="E22" i="39"/>
  <c r="E11" i="39"/>
  <c r="E21" i="39"/>
  <c r="E10" i="39"/>
  <c r="E20" i="39"/>
  <c r="E9" i="39"/>
  <c r="E19" i="39"/>
  <c r="E8" i="39"/>
  <c r="E17" i="39"/>
  <c r="E15" i="39"/>
  <c r="E5" i="39"/>
  <c r="E14" i="39"/>
  <c r="E24" i="39"/>
  <c r="E16" i="39"/>
  <c r="E13" i="39"/>
  <c r="E7" i="39"/>
  <c r="E3" i="39"/>
  <c r="E10" i="105"/>
  <c r="E4" i="105"/>
  <c r="E9" i="105"/>
  <c r="E8" i="105"/>
  <c r="E3" i="105"/>
  <c r="E7" i="105"/>
  <c r="E5" i="105"/>
  <c r="E6" i="105"/>
  <c r="E9" i="130"/>
  <c r="E8" i="130"/>
  <c r="E3" i="130"/>
  <c r="E10" i="130"/>
  <c r="E4" i="130"/>
  <c r="E11" i="130"/>
  <c r="E7" i="130"/>
  <c r="E6" i="130"/>
  <c r="E5" i="130"/>
  <c r="E7" i="103"/>
  <c r="E6" i="103"/>
  <c r="E5" i="103"/>
  <c r="E10" i="103"/>
  <c r="E8" i="103"/>
  <c r="E3" i="103"/>
  <c r="E9" i="103"/>
  <c r="E4" i="103"/>
  <c r="E11" i="95"/>
  <c r="E5" i="95"/>
  <c r="E4" i="95"/>
  <c r="E18" i="95"/>
  <c r="E9" i="95"/>
  <c r="E6" i="95"/>
  <c r="E17" i="95"/>
  <c r="E16" i="95"/>
  <c r="E3" i="95"/>
  <c r="E15" i="95"/>
  <c r="E10" i="95"/>
  <c r="E8" i="95"/>
  <c r="E7" i="95"/>
  <c r="E24" i="25"/>
  <c r="E12" i="25"/>
  <c r="E23" i="25"/>
  <c r="E11" i="25"/>
  <c r="E22" i="25"/>
  <c r="E10" i="25"/>
  <c r="E4" i="25"/>
  <c r="E21" i="25"/>
  <c r="E9" i="25"/>
  <c r="E20" i="25"/>
  <c r="E19" i="25"/>
  <c r="E8" i="25"/>
  <c r="E3" i="25"/>
  <c r="E17" i="25"/>
  <c r="E7" i="25"/>
  <c r="E15" i="25"/>
  <c r="E14" i="25"/>
  <c r="E13" i="25"/>
  <c r="E6" i="25"/>
  <c r="E5" i="25"/>
  <c r="E18" i="25"/>
  <c r="E16" i="25"/>
  <c r="E25" i="25"/>
  <c r="E21" i="69"/>
  <c r="E15" i="69"/>
  <c r="E9" i="69"/>
  <c r="E20" i="69"/>
  <c r="E14" i="69"/>
  <c r="E8" i="69"/>
  <c r="E3" i="69"/>
  <c r="E19" i="69"/>
  <c r="E13" i="69"/>
  <c r="E7" i="69"/>
  <c r="E12" i="69"/>
  <c r="E11" i="69"/>
  <c r="E24" i="69"/>
  <c r="E10" i="69"/>
  <c r="E4" i="69"/>
  <c r="E16" i="69"/>
  <c r="E17" i="69"/>
  <c r="E6" i="69"/>
  <c r="E5" i="69"/>
  <c r="E18" i="69"/>
  <c r="E22" i="69"/>
  <c r="E18" i="14"/>
  <c r="E6" i="14"/>
  <c r="E17" i="14"/>
  <c r="E5" i="14"/>
  <c r="E16" i="14"/>
  <c r="E14" i="14"/>
  <c r="E13" i="14"/>
  <c r="E23" i="14"/>
  <c r="E11" i="14"/>
  <c r="E3" i="14"/>
  <c r="E21" i="14"/>
  <c r="E20" i="14"/>
  <c r="E19" i="14"/>
  <c r="E15" i="14"/>
  <c r="E12" i="14"/>
  <c r="E10" i="14"/>
  <c r="E9" i="14"/>
  <c r="E8" i="14"/>
  <c r="E24" i="14"/>
  <c r="E22" i="14"/>
  <c r="E7" i="14"/>
  <c r="E4" i="14"/>
  <c r="E4" i="53"/>
  <c r="E27" i="53"/>
  <c r="E21" i="53"/>
  <c r="E15" i="53"/>
  <c r="E9" i="53"/>
  <c r="E26" i="53"/>
  <c r="E20" i="53"/>
  <c r="E14" i="53"/>
  <c r="E8" i="53"/>
  <c r="E3" i="53"/>
  <c r="E25" i="53"/>
  <c r="E19" i="53"/>
  <c r="E13" i="53"/>
  <c r="E7" i="53"/>
  <c r="E23" i="53"/>
  <c r="E17" i="53"/>
  <c r="E11" i="53"/>
  <c r="E5" i="53"/>
  <c r="E28" i="53"/>
  <c r="E22" i="53"/>
  <c r="E16" i="53"/>
  <c r="E10" i="53"/>
  <c r="E24" i="53"/>
  <c r="E12" i="53"/>
  <c r="E18" i="53"/>
  <c r="E6" i="53"/>
  <c r="E24" i="54"/>
  <c r="E12" i="54"/>
  <c r="E5" i="54"/>
  <c r="E23" i="54"/>
  <c r="E11" i="54"/>
  <c r="E21" i="54"/>
  <c r="E4" i="54"/>
  <c r="E19" i="54"/>
  <c r="E27" i="54"/>
  <c r="E15" i="54"/>
  <c r="E25" i="54"/>
  <c r="E13" i="54"/>
  <c r="E14" i="54"/>
  <c r="E10" i="54"/>
  <c r="E9" i="54"/>
  <c r="E8" i="54"/>
  <c r="E28" i="54"/>
  <c r="E7" i="54"/>
  <c r="E22" i="54"/>
  <c r="E20" i="54"/>
  <c r="E18" i="54"/>
  <c r="E3" i="54"/>
  <c r="E6" i="54"/>
  <c r="E17" i="54"/>
  <c r="E16" i="54"/>
  <c r="E26" i="54"/>
  <c r="E4" i="111"/>
  <c r="E8" i="111"/>
  <c r="E3" i="111"/>
  <c r="E5" i="111"/>
  <c r="E7" i="111"/>
  <c r="E6" i="111"/>
  <c r="E4" i="120"/>
  <c r="E3" i="120"/>
  <c r="E9" i="120"/>
  <c r="E5" i="120"/>
  <c r="E10" i="79"/>
  <c r="E9" i="79"/>
  <c r="E8" i="79"/>
  <c r="E18" i="79"/>
  <c r="E6" i="79"/>
  <c r="E17" i="79"/>
  <c r="E12" i="79"/>
  <c r="E11" i="79"/>
  <c r="E16" i="79"/>
  <c r="E15" i="79"/>
  <c r="E14" i="79"/>
  <c r="E13" i="79"/>
  <c r="E5" i="79"/>
  <c r="E3" i="79"/>
  <c r="E4" i="79"/>
  <c r="E17" i="12"/>
  <c r="E16" i="12"/>
  <c r="E5" i="12"/>
  <c r="E15" i="12"/>
  <c r="E14" i="12"/>
  <c r="E13" i="12"/>
  <c r="E4" i="12"/>
  <c r="E24" i="12"/>
  <c r="E12" i="12"/>
  <c r="E22" i="12"/>
  <c r="E10" i="12"/>
  <c r="E3" i="12"/>
  <c r="E19" i="12"/>
  <c r="E18" i="12"/>
  <c r="E11" i="12"/>
  <c r="E9" i="12"/>
  <c r="E8" i="12"/>
  <c r="E7" i="12"/>
  <c r="E21" i="12"/>
  <c r="E20" i="12"/>
  <c r="E23" i="12"/>
  <c r="E6" i="12"/>
  <c r="E17" i="82"/>
  <c r="E16" i="82"/>
  <c r="E6" i="82"/>
  <c r="E14" i="82"/>
  <c r="E5" i="82"/>
  <c r="E13" i="82"/>
  <c r="E8" i="82"/>
  <c r="E3" i="82"/>
  <c r="E18" i="82"/>
  <c r="E15" i="82"/>
  <c r="E12" i="82"/>
  <c r="E11" i="82"/>
  <c r="E10" i="82"/>
  <c r="E9" i="82"/>
  <c r="E4" i="82"/>
  <c r="E7" i="82"/>
  <c r="E23" i="11"/>
  <c r="E11" i="11"/>
  <c r="E22" i="11"/>
  <c r="E10" i="11"/>
  <c r="E21" i="11"/>
  <c r="E9" i="11"/>
  <c r="E3" i="11"/>
  <c r="E20" i="11"/>
  <c r="E8" i="11"/>
  <c r="E19" i="11"/>
  <c r="E7" i="11"/>
  <c r="E18" i="11"/>
  <c r="E16" i="11"/>
  <c r="E17" i="11"/>
  <c r="E15" i="11"/>
  <c r="E14" i="11"/>
  <c r="E13" i="11"/>
  <c r="E12" i="11"/>
  <c r="E6" i="11"/>
  <c r="E24" i="11"/>
  <c r="E5" i="11"/>
  <c r="E4" i="11"/>
  <c r="E15" i="23"/>
  <c r="E14" i="23"/>
  <c r="E13" i="23"/>
  <c r="E4" i="23"/>
  <c r="E24" i="23"/>
  <c r="E12" i="23"/>
  <c r="E23" i="23"/>
  <c r="E11" i="23"/>
  <c r="E22" i="23"/>
  <c r="E10" i="23"/>
  <c r="E3" i="23"/>
  <c r="E20" i="23"/>
  <c r="E8" i="23"/>
  <c r="E21" i="23"/>
  <c r="E19" i="23"/>
  <c r="E18" i="23"/>
  <c r="E17" i="23"/>
  <c r="E16" i="23"/>
  <c r="E9" i="23"/>
  <c r="E5" i="23"/>
  <c r="E7" i="23"/>
  <c r="E6" i="23"/>
  <c r="E27" i="55"/>
  <c r="E16" i="55"/>
  <c r="E10" i="55"/>
  <c r="E26" i="55"/>
  <c r="E4" i="55"/>
  <c r="E24" i="55"/>
  <c r="E22" i="55"/>
  <c r="E21" i="55"/>
  <c r="E13" i="55"/>
  <c r="E7" i="55"/>
  <c r="E18" i="55"/>
  <c r="E28" i="55"/>
  <c r="E20" i="55"/>
  <c r="E5" i="55"/>
  <c r="E19" i="55"/>
  <c r="E17" i="55"/>
  <c r="E3" i="55"/>
  <c r="E15" i="55"/>
  <c r="E14" i="55"/>
  <c r="E11" i="55"/>
  <c r="E9" i="55"/>
  <c r="E8" i="55"/>
  <c r="E25" i="55"/>
  <c r="E23" i="55"/>
  <c r="E12" i="55"/>
  <c r="E6" i="55"/>
  <c r="E24" i="35"/>
  <c r="E14" i="35"/>
  <c r="E8" i="35"/>
  <c r="E3" i="35"/>
  <c r="E23" i="35"/>
  <c r="E21" i="35"/>
  <c r="E19" i="35"/>
  <c r="E11" i="35"/>
  <c r="E10" i="35"/>
  <c r="E22" i="35"/>
  <c r="E20" i="35"/>
  <c r="E9" i="35"/>
  <c r="E18" i="35"/>
  <c r="E7" i="35"/>
  <c r="E16" i="35"/>
  <c r="E5" i="35"/>
  <c r="E15" i="35"/>
  <c r="E17" i="35"/>
  <c r="E13" i="35"/>
  <c r="E12" i="35"/>
  <c r="E6" i="35"/>
  <c r="E4" i="35"/>
  <c r="E17" i="93"/>
  <c r="E10" i="93"/>
  <c r="E16" i="93"/>
  <c r="E4" i="93"/>
  <c r="E14" i="93"/>
  <c r="E8" i="93"/>
  <c r="E3" i="93"/>
  <c r="E11" i="93"/>
  <c r="E5" i="93"/>
  <c r="E7" i="93"/>
  <c r="E6" i="93"/>
  <c r="E18" i="93"/>
  <c r="E15" i="93"/>
  <c r="E9" i="93"/>
  <c r="E13" i="93"/>
  <c r="E12" i="93"/>
  <c r="J5" i="146"/>
  <c r="F3" i="146"/>
  <c r="K3" i="146" s="1"/>
  <c r="J4" i="146"/>
  <c r="J6" i="146" s="1"/>
  <c r="E4" i="119"/>
  <c r="E3" i="119"/>
  <c r="E9" i="119"/>
  <c r="E5" i="119"/>
  <c r="E4" i="31"/>
  <c r="E21" i="31"/>
  <c r="E15" i="31"/>
  <c r="E9" i="31"/>
  <c r="E20" i="31"/>
  <c r="E14" i="31"/>
  <c r="E8" i="31"/>
  <c r="E3" i="31"/>
  <c r="E19" i="31"/>
  <c r="E13" i="31"/>
  <c r="E7" i="31"/>
  <c r="E17" i="31"/>
  <c r="E16" i="31"/>
  <c r="E6" i="31"/>
  <c r="E24" i="31"/>
  <c r="E23" i="31"/>
  <c r="E5" i="31"/>
  <c r="E22" i="31"/>
  <c r="E12" i="31"/>
  <c r="E11" i="31"/>
  <c r="E10" i="31"/>
  <c r="E18" i="31"/>
  <c r="E17" i="18"/>
  <c r="E5" i="18"/>
  <c r="E16" i="18"/>
  <c r="E15" i="18"/>
  <c r="E13" i="18"/>
  <c r="E24" i="18"/>
  <c r="E12" i="18"/>
  <c r="E22" i="18"/>
  <c r="E10" i="18"/>
  <c r="E19" i="18"/>
  <c r="E18" i="18"/>
  <c r="E14" i="18"/>
  <c r="E11" i="18"/>
  <c r="E9" i="18"/>
  <c r="E8" i="18"/>
  <c r="E7" i="18"/>
  <c r="E6" i="18"/>
  <c r="E23" i="18"/>
  <c r="E21" i="18"/>
  <c r="E20" i="18"/>
  <c r="E4" i="18"/>
  <c r="E3" i="18"/>
  <c r="E9" i="80"/>
  <c r="E8" i="80"/>
  <c r="E18" i="80"/>
  <c r="E5" i="80"/>
  <c r="E17" i="80"/>
  <c r="E12" i="80"/>
  <c r="E3" i="80"/>
  <c r="E11" i="80"/>
  <c r="E16" i="80"/>
  <c r="E15" i="80"/>
  <c r="E14" i="80"/>
  <c r="E13" i="80"/>
  <c r="E10" i="80"/>
  <c r="E4" i="80"/>
  <c r="E14" i="21"/>
  <c r="E4" i="21"/>
  <c r="E13" i="21"/>
  <c r="E24" i="21"/>
  <c r="E12" i="21"/>
  <c r="E23" i="21"/>
  <c r="E11" i="21"/>
  <c r="E3" i="21"/>
  <c r="E22" i="21"/>
  <c r="E10" i="21"/>
  <c r="E21" i="21"/>
  <c r="E9" i="21"/>
  <c r="E19" i="21"/>
  <c r="E7" i="21"/>
  <c r="E5" i="21"/>
  <c r="K4" i="21"/>
  <c r="E20" i="21"/>
  <c r="E18" i="21"/>
  <c r="E17" i="21"/>
  <c r="E8" i="21"/>
  <c r="E6" i="21"/>
  <c r="E16" i="21"/>
  <c r="E15" i="21"/>
  <c r="E24" i="3"/>
  <c r="E23" i="3"/>
  <c r="E12" i="3"/>
  <c r="E6" i="3"/>
  <c r="E22" i="3"/>
  <c r="E21" i="3"/>
  <c r="E11" i="3"/>
  <c r="E5" i="3"/>
  <c r="E20" i="3"/>
  <c r="E19" i="3"/>
  <c r="E10" i="3"/>
  <c r="E17" i="3"/>
  <c r="E9" i="3"/>
  <c r="E14" i="3"/>
  <c r="E13" i="3"/>
  <c r="E8" i="3"/>
  <c r="E16" i="3"/>
  <c r="E15" i="3"/>
  <c r="E4" i="3"/>
  <c r="E3" i="3"/>
  <c r="E18" i="3"/>
  <c r="E7" i="3"/>
  <c r="E23" i="32"/>
  <c r="E11" i="32"/>
  <c r="E22" i="32"/>
  <c r="E10" i="32"/>
  <c r="E4" i="32"/>
  <c r="E20" i="32"/>
  <c r="E18" i="32"/>
  <c r="E15" i="32"/>
  <c r="E14" i="32"/>
  <c r="E3" i="32"/>
  <c r="E13" i="32"/>
  <c r="E12" i="32"/>
  <c r="E9" i="32"/>
  <c r="E8" i="32"/>
  <c r="E24" i="32"/>
  <c r="E19" i="32"/>
  <c r="E17" i="32"/>
  <c r="E16" i="32"/>
  <c r="E7" i="32"/>
  <c r="E6" i="32"/>
  <c r="E5" i="32"/>
  <c r="E21" i="32"/>
  <c r="E21" i="40"/>
  <c r="E9" i="40"/>
  <c r="E3" i="40"/>
  <c r="E20" i="40"/>
  <c r="E8" i="40"/>
  <c r="E18" i="40"/>
  <c r="E16" i="40"/>
  <c r="E22" i="40"/>
  <c r="E10" i="40"/>
  <c r="E13" i="40"/>
  <c r="E12" i="40"/>
  <c r="E11" i="40"/>
  <c r="E7" i="40"/>
  <c r="E6" i="40"/>
  <c r="E5" i="40"/>
  <c r="E23" i="40"/>
  <c r="E19" i="40"/>
  <c r="E4" i="40"/>
  <c r="E17" i="40"/>
  <c r="E24" i="40"/>
  <c r="E15" i="40"/>
  <c r="E14" i="40"/>
  <c r="E19" i="4"/>
  <c r="E12" i="4"/>
  <c r="E6" i="4"/>
  <c r="E18" i="4"/>
  <c r="E17" i="4"/>
  <c r="E11" i="4"/>
  <c r="E5" i="4"/>
  <c r="E16" i="4"/>
  <c r="E10" i="4"/>
  <c r="E4" i="4"/>
  <c r="E24" i="4"/>
  <c r="E8" i="4"/>
  <c r="E23" i="4"/>
  <c r="E7" i="4"/>
  <c r="E22" i="4"/>
  <c r="E21" i="4"/>
  <c r="E20" i="4"/>
  <c r="E3" i="4"/>
  <c r="E9" i="4"/>
  <c r="E15" i="4"/>
  <c r="E14" i="4"/>
  <c r="E13" i="4"/>
  <c r="E9" i="118"/>
  <c r="E8" i="118"/>
  <c r="E3" i="118"/>
  <c r="E7" i="118"/>
  <c r="E4" i="118"/>
  <c r="E6" i="118"/>
  <c r="E5" i="118"/>
  <c r="E24" i="127"/>
  <c r="E18" i="127"/>
  <c r="E12" i="127"/>
  <c r="E6" i="127"/>
  <c r="E23" i="127"/>
  <c r="E17" i="127"/>
  <c r="E11" i="127"/>
  <c r="E5" i="127"/>
  <c r="E22" i="127"/>
  <c r="E16" i="127"/>
  <c r="E10" i="127"/>
  <c r="E25" i="127"/>
  <c r="E19" i="127"/>
  <c r="E13" i="127"/>
  <c r="E7" i="127"/>
  <c r="E14" i="127"/>
  <c r="E26" i="127"/>
  <c r="E9" i="127"/>
  <c r="E21" i="127"/>
  <c r="E8" i="127"/>
  <c r="E3" i="127"/>
  <c r="E20" i="127"/>
  <c r="E15" i="127"/>
  <c r="E4" i="127"/>
  <c r="E15" i="26"/>
  <c r="E14" i="26"/>
  <c r="E5" i="26"/>
  <c r="E13" i="26"/>
  <c r="E24" i="26"/>
  <c r="E12" i="26"/>
  <c r="E23" i="26"/>
  <c r="E11" i="26"/>
  <c r="E4" i="26"/>
  <c r="E22" i="26"/>
  <c r="E10" i="26"/>
  <c r="E20" i="26"/>
  <c r="E8" i="26"/>
  <c r="E3" i="26"/>
  <c r="E9" i="26"/>
  <c r="E7" i="26"/>
  <c r="E6" i="26"/>
  <c r="E21" i="26"/>
  <c r="E19" i="26"/>
  <c r="E18" i="26"/>
  <c r="E17" i="26"/>
  <c r="E16" i="26"/>
  <c r="E20" i="6"/>
  <c r="E4" i="6"/>
  <c r="E19" i="6"/>
  <c r="E9" i="6"/>
  <c r="E18" i="6"/>
  <c r="E17" i="6"/>
  <c r="E8" i="6"/>
  <c r="E3" i="6"/>
  <c r="E16" i="6"/>
  <c r="E15" i="6"/>
  <c r="E7" i="6"/>
  <c r="E13" i="6"/>
  <c r="E6" i="6"/>
  <c r="E22" i="6"/>
  <c r="E21" i="6"/>
  <c r="E14" i="6"/>
  <c r="E12" i="6"/>
  <c r="E11" i="6"/>
  <c r="E24" i="6"/>
  <c r="E23" i="6"/>
  <c r="E5" i="6"/>
  <c r="E10" i="6"/>
  <c r="E23" i="13"/>
  <c r="E22" i="13"/>
  <c r="E18" i="13"/>
  <c r="E12" i="13"/>
  <c r="E11" i="13"/>
  <c r="E3" i="13"/>
  <c r="E10" i="13"/>
  <c r="E24" i="13"/>
  <c r="E9" i="13"/>
  <c r="E21" i="13"/>
  <c r="E8" i="13"/>
  <c r="E20" i="13"/>
  <c r="E7" i="13"/>
  <c r="E19" i="13"/>
  <c r="E6" i="13"/>
  <c r="E17" i="13"/>
  <c r="E5" i="13"/>
  <c r="E16" i="13"/>
  <c r="E15" i="13"/>
  <c r="E14" i="13"/>
  <c r="E13" i="13"/>
  <c r="E4" i="13"/>
  <c r="E20" i="56"/>
  <c r="E19" i="56"/>
  <c r="E11" i="56"/>
  <c r="E5" i="56"/>
  <c r="E17" i="56"/>
  <c r="E10" i="56"/>
  <c r="E27" i="56"/>
  <c r="E15" i="56"/>
  <c r="E9" i="56"/>
  <c r="E26" i="56"/>
  <c r="E23" i="56"/>
  <c r="E13" i="56"/>
  <c r="E7" i="56"/>
  <c r="E21" i="56"/>
  <c r="E12" i="56"/>
  <c r="E6" i="56"/>
  <c r="E8" i="56"/>
  <c r="E28" i="56"/>
  <c r="E25" i="56"/>
  <c r="E24" i="56"/>
  <c r="E22" i="56"/>
  <c r="E4" i="56"/>
  <c r="E16" i="56"/>
  <c r="E14" i="56"/>
  <c r="E3" i="56"/>
  <c r="E18" i="56"/>
  <c r="E21" i="24"/>
  <c r="E9" i="24"/>
  <c r="E20" i="24"/>
  <c r="E8" i="24"/>
  <c r="E19" i="24"/>
  <c r="E7" i="24"/>
  <c r="E18" i="24"/>
  <c r="E6" i="24"/>
  <c r="E17" i="24"/>
  <c r="E16" i="24"/>
  <c r="E5" i="24"/>
  <c r="E14" i="24"/>
  <c r="E23" i="24"/>
  <c r="E22" i="24"/>
  <c r="E15" i="24"/>
  <c r="E13" i="24"/>
  <c r="E12" i="24"/>
  <c r="E11" i="24"/>
  <c r="E10" i="24"/>
  <c r="K4" i="24"/>
  <c r="E24" i="24"/>
  <c r="E4" i="24"/>
  <c r="E3" i="24"/>
  <c r="E19" i="52"/>
  <c r="E8" i="52"/>
  <c r="E3" i="52"/>
  <c r="E18" i="52"/>
  <c r="E16" i="52"/>
  <c r="E14" i="52"/>
  <c r="E22" i="52"/>
  <c r="E10" i="52"/>
  <c r="E4" i="52"/>
  <c r="E20" i="52"/>
  <c r="E11" i="52"/>
  <c r="E9" i="52"/>
  <c r="E7" i="52"/>
  <c r="E6" i="52"/>
  <c r="E5" i="52"/>
  <c r="E24" i="52"/>
  <c r="E21" i="52"/>
  <c r="E17" i="52"/>
  <c r="E15" i="52"/>
  <c r="E13" i="52"/>
  <c r="E12" i="52"/>
  <c r="E23" i="52"/>
  <c r="K4" i="44"/>
  <c r="J5" i="143"/>
  <c r="J4" i="143"/>
  <c r="J6" i="143" s="1"/>
  <c r="F3" i="143"/>
  <c r="K3" i="143" s="1"/>
  <c r="E5" i="108"/>
  <c r="E4" i="108"/>
  <c r="E9" i="108"/>
  <c r="E6" i="108"/>
  <c r="E7" i="108"/>
  <c r="E3" i="108"/>
  <c r="E8" i="108"/>
  <c r="F3" i="138"/>
  <c r="K3" i="138" s="1"/>
  <c r="E10" i="102"/>
  <c r="E4" i="102"/>
  <c r="E3" i="102"/>
  <c r="E9" i="102"/>
  <c r="E8" i="102"/>
  <c r="E5" i="102"/>
  <c r="E7" i="102"/>
  <c r="E6" i="102"/>
  <c r="E18" i="126"/>
  <c r="E12" i="126"/>
  <c r="E6" i="126"/>
  <c r="E17" i="126"/>
  <c r="E11" i="126"/>
  <c r="E5" i="126"/>
  <c r="E16" i="126"/>
  <c r="E10" i="126"/>
  <c r="E19" i="126"/>
  <c r="E13" i="126"/>
  <c r="E7" i="126"/>
  <c r="E21" i="126"/>
  <c r="E8" i="126"/>
  <c r="E20" i="126"/>
  <c r="E4" i="126"/>
  <c r="E15" i="126"/>
  <c r="E3" i="126"/>
  <c r="E14" i="126"/>
  <c r="E9" i="126"/>
  <c r="E20" i="47"/>
  <c r="E8" i="47"/>
  <c r="E19" i="47"/>
  <c r="E7" i="47"/>
  <c r="E17" i="47"/>
  <c r="E6" i="47"/>
  <c r="E15" i="47"/>
  <c r="E5" i="47"/>
  <c r="E21" i="47"/>
  <c r="E9" i="47"/>
  <c r="E3" i="47"/>
  <c r="E24" i="47"/>
  <c r="K4" i="47"/>
  <c r="E23" i="47"/>
  <c r="E22" i="47"/>
  <c r="E4" i="47"/>
  <c r="E18" i="47"/>
  <c r="E16" i="47"/>
  <c r="E14" i="47"/>
  <c r="E12" i="47"/>
  <c r="E11" i="47"/>
  <c r="E10" i="47"/>
  <c r="E13" i="47"/>
  <c r="E9" i="77"/>
  <c r="E8" i="77"/>
  <c r="E17" i="77"/>
  <c r="E4" i="77"/>
  <c r="E16" i="77"/>
  <c r="E18" i="77"/>
  <c r="E15" i="77"/>
  <c r="E14" i="77"/>
  <c r="E13" i="77"/>
  <c r="E12" i="77"/>
  <c r="E11" i="77"/>
  <c r="E10" i="77"/>
  <c r="E3" i="77"/>
  <c r="E24" i="37"/>
  <c r="E12" i="37"/>
  <c r="E23" i="37"/>
  <c r="E11" i="37"/>
  <c r="E5" i="37"/>
  <c r="E21" i="37"/>
  <c r="E10" i="37"/>
  <c r="E19" i="37"/>
  <c r="E9" i="37"/>
  <c r="E13" i="37"/>
  <c r="E6" i="37"/>
  <c r="E8" i="37"/>
  <c r="E22" i="37"/>
  <c r="E7" i="37"/>
  <c r="E20" i="37"/>
  <c r="E18" i="37"/>
  <c r="E17" i="37"/>
  <c r="E4" i="37"/>
  <c r="E15" i="37"/>
  <c r="E3" i="37"/>
  <c r="E14" i="37"/>
  <c r="E16" i="37"/>
  <c r="E16" i="29"/>
  <c r="E10" i="29"/>
  <c r="E24" i="29"/>
  <c r="E4" i="29"/>
  <c r="E23" i="29"/>
  <c r="E15" i="29"/>
  <c r="E9" i="29"/>
  <c r="E22" i="29"/>
  <c r="E21" i="29"/>
  <c r="E14" i="29"/>
  <c r="E8" i="29"/>
  <c r="E3" i="29"/>
  <c r="E20" i="29"/>
  <c r="E6" i="29"/>
  <c r="E19" i="29"/>
  <c r="E18" i="29"/>
  <c r="E5" i="29"/>
  <c r="E17" i="29"/>
  <c r="E13" i="29"/>
  <c r="E12" i="29"/>
  <c r="E7" i="29"/>
  <c r="E11" i="29"/>
  <c r="E14" i="27"/>
  <c r="E13" i="27"/>
  <c r="E7" i="27"/>
  <c r="E24" i="27"/>
  <c r="E12" i="27"/>
  <c r="E23" i="27"/>
  <c r="E6" i="27"/>
  <c r="E22" i="27"/>
  <c r="E21" i="27"/>
  <c r="E11" i="27"/>
  <c r="E5" i="27"/>
  <c r="E19" i="27"/>
  <c r="E10" i="27"/>
  <c r="E20" i="27"/>
  <c r="E4" i="27"/>
  <c r="E18" i="27"/>
  <c r="E17" i="27"/>
  <c r="E16" i="27"/>
  <c r="E3" i="27"/>
  <c r="E15" i="27"/>
  <c r="E8" i="27"/>
  <c r="E9" i="27"/>
  <c r="E20" i="57"/>
  <c r="E8" i="57"/>
  <c r="E3" i="57"/>
  <c r="E19" i="57"/>
  <c r="E18" i="57"/>
  <c r="E7" i="57"/>
  <c r="E17" i="57"/>
  <c r="E27" i="57"/>
  <c r="E15" i="57"/>
  <c r="E26" i="57"/>
  <c r="E14" i="57"/>
  <c r="E5" i="57"/>
  <c r="E23" i="57"/>
  <c r="E11" i="57"/>
  <c r="E4" i="57"/>
  <c r="E21" i="57"/>
  <c r="E9" i="57"/>
  <c r="E28" i="57"/>
  <c r="E25" i="57"/>
  <c r="E24" i="57"/>
  <c r="E22" i="57"/>
  <c r="E16" i="57"/>
  <c r="E12" i="57"/>
  <c r="E10" i="57"/>
  <c r="E6" i="57"/>
  <c r="E13" i="57"/>
  <c r="E14" i="73"/>
  <c r="E8" i="73"/>
  <c r="E3" i="73"/>
  <c r="E13" i="73"/>
  <c r="E7" i="73"/>
  <c r="E18" i="73"/>
  <c r="E12" i="73"/>
  <c r="E6" i="73"/>
  <c r="E9" i="73"/>
  <c r="E17" i="73"/>
  <c r="E5" i="73"/>
  <c r="E16" i="73"/>
  <c r="E4" i="73"/>
  <c r="E10" i="73"/>
  <c r="E15" i="73"/>
  <c r="E11" i="73"/>
  <c r="E16" i="131"/>
  <c r="E10" i="131"/>
  <c r="E4" i="131"/>
  <c r="E21" i="131"/>
  <c r="E15" i="131"/>
  <c r="E9" i="131"/>
  <c r="E17" i="131"/>
  <c r="E11" i="131"/>
  <c r="E5" i="131"/>
  <c r="E14" i="131"/>
  <c r="E13" i="131"/>
  <c r="E12" i="131"/>
  <c r="E8" i="131"/>
  <c r="E7" i="131"/>
  <c r="E6" i="131"/>
  <c r="E3" i="131"/>
  <c r="E18" i="131"/>
  <c r="E19" i="131"/>
  <c r="E20" i="131"/>
  <c r="E8" i="116"/>
  <c r="E3" i="116"/>
  <c r="E7" i="116"/>
  <c r="E6" i="116"/>
  <c r="E9" i="116"/>
  <c r="E5" i="116"/>
  <c r="E4" i="116"/>
  <c r="E6" i="124"/>
  <c r="E5" i="124"/>
  <c r="E7" i="124"/>
  <c r="E8" i="124"/>
  <c r="E4" i="124"/>
  <c r="E3" i="124"/>
  <c r="E9" i="124"/>
  <c r="E8" i="88"/>
  <c r="E3" i="88"/>
  <c r="E17" i="88"/>
  <c r="E7" i="88"/>
  <c r="E16" i="88"/>
  <c r="E11" i="88"/>
  <c r="E10" i="88"/>
  <c r="E4" i="88"/>
  <c r="E18" i="88"/>
  <c r="E15" i="88"/>
  <c r="E14" i="88"/>
  <c r="E13" i="88"/>
  <c r="E12" i="88"/>
  <c r="E9" i="88"/>
  <c r="E5" i="88"/>
  <c r="E6" i="88"/>
  <c r="E12" i="71"/>
  <c r="E6" i="71"/>
  <c r="E11" i="71"/>
  <c r="E5" i="71"/>
  <c r="E10" i="71"/>
  <c r="E4" i="71"/>
  <c r="E9" i="71"/>
  <c r="E8" i="71"/>
  <c r="E7" i="71"/>
  <c r="E3" i="71"/>
  <c r="E4" i="46"/>
  <c r="E15" i="46"/>
  <c r="E9" i="46"/>
  <c r="E24" i="46"/>
  <c r="E14" i="46"/>
  <c r="E8" i="46"/>
  <c r="E3" i="46"/>
  <c r="E22" i="46"/>
  <c r="E13" i="46"/>
  <c r="E7" i="46"/>
  <c r="E16" i="46"/>
  <c r="E10" i="46"/>
  <c r="E17" i="46"/>
  <c r="E5" i="46"/>
  <c r="E12" i="46"/>
  <c r="E23" i="46"/>
  <c r="E21" i="46"/>
  <c r="E20" i="46"/>
  <c r="E6" i="46"/>
  <c r="E18" i="46"/>
  <c r="E11" i="46"/>
  <c r="E19" i="46"/>
  <c r="E24" i="15"/>
  <c r="E12" i="15"/>
  <c r="E23" i="15"/>
  <c r="E11" i="15"/>
  <c r="E22" i="15"/>
  <c r="E10" i="15"/>
  <c r="E3" i="15"/>
  <c r="E20" i="15"/>
  <c r="E8" i="15"/>
  <c r="E19" i="15"/>
  <c r="E7" i="15"/>
  <c r="E17" i="15"/>
  <c r="E14" i="15"/>
  <c r="E13" i="15"/>
  <c r="E9" i="15"/>
  <c r="E6" i="15"/>
  <c r="E5" i="15"/>
  <c r="E4" i="15"/>
  <c r="E18" i="15"/>
  <c r="E16" i="15"/>
  <c r="E15" i="15"/>
  <c r="E21" i="15"/>
  <c r="E16" i="51"/>
  <c r="E15" i="51"/>
  <c r="E5" i="51"/>
  <c r="E13" i="51"/>
  <c r="E23" i="51"/>
  <c r="E11" i="51"/>
  <c r="E19" i="51"/>
  <c r="E7" i="51"/>
  <c r="E17" i="51"/>
  <c r="E6" i="51"/>
  <c r="E20" i="51"/>
  <c r="E18" i="51"/>
  <c r="E14" i="51"/>
  <c r="E12" i="51"/>
  <c r="E10" i="51"/>
  <c r="E9" i="51"/>
  <c r="E24" i="51"/>
  <c r="E4" i="51"/>
  <c r="E22" i="51"/>
  <c r="E21" i="51"/>
  <c r="E8" i="51"/>
  <c r="E3" i="51"/>
  <c r="E22" i="42"/>
  <c r="E13" i="42"/>
  <c r="E7" i="42"/>
  <c r="E21" i="42"/>
  <c r="E19" i="42"/>
  <c r="E17" i="42"/>
  <c r="E23" i="42"/>
  <c r="E14" i="42"/>
  <c r="E12" i="42"/>
  <c r="E11" i="42"/>
  <c r="E3" i="42"/>
  <c r="E10" i="42"/>
  <c r="E24" i="42"/>
  <c r="E9" i="42"/>
  <c r="E18" i="42"/>
  <c r="E8" i="42"/>
  <c r="E16" i="42"/>
  <c r="E6" i="42"/>
  <c r="E5" i="42"/>
  <c r="E4" i="42"/>
  <c r="E20" i="42"/>
  <c r="E15" i="42"/>
  <c r="E28" i="152"/>
  <c r="E22" i="152"/>
  <c r="E16" i="152"/>
  <c r="E10" i="152"/>
  <c r="E4" i="152"/>
  <c r="E33" i="152"/>
  <c r="E27" i="152"/>
  <c r="E21" i="152"/>
  <c r="E15" i="152"/>
  <c r="E9" i="152"/>
  <c r="E32" i="152"/>
  <c r="E26" i="152"/>
  <c r="E20" i="152"/>
  <c r="E14" i="152"/>
  <c r="E8" i="152"/>
  <c r="E3" i="152"/>
  <c r="E29" i="152"/>
  <c r="E25" i="152"/>
  <c r="E12" i="152"/>
  <c r="E24" i="152"/>
  <c r="E11" i="152"/>
  <c r="E7" i="152"/>
  <c r="E23" i="152"/>
  <c r="E19" i="152"/>
  <c r="E6" i="152"/>
  <c r="E30" i="152"/>
  <c r="E17" i="152"/>
  <c r="E13" i="152"/>
  <c r="E18" i="152"/>
  <c r="E5" i="152"/>
  <c r="E31" i="152"/>
  <c r="E4" i="125"/>
  <c r="E9" i="125"/>
  <c r="E8" i="125"/>
  <c r="E3" i="125"/>
  <c r="E7" i="125"/>
  <c r="E10" i="125"/>
  <c r="E11" i="125"/>
  <c r="E6" i="125"/>
  <c r="E5" i="125"/>
  <c r="E8" i="110"/>
  <c r="E3" i="110"/>
  <c r="E13" i="110"/>
  <c r="E7" i="110"/>
  <c r="E12" i="110"/>
  <c r="E6" i="110"/>
  <c r="E9" i="110"/>
  <c r="E11" i="110"/>
  <c r="E10" i="110"/>
  <c r="E5" i="110"/>
  <c r="E4" i="110"/>
  <c r="E12" i="109"/>
  <c r="E6" i="109"/>
  <c r="E11" i="109"/>
  <c r="E5" i="109"/>
  <c r="E10" i="109"/>
  <c r="E13" i="109"/>
  <c r="E7" i="109"/>
  <c r="E3" i="109"/>
  <c r="E9" i="109"/>
  <c r="E8" i="109"/>
  <c r="E4" i="109"/>
  <c r="E9" i="84"/>
  <c r="E8" i="84"/>
  <c r="E3" i="84"/>
  <c r="E18" i="84"/>
  <c r="E7" i="84"/>
  <c r="E17" i="84"/>
  <c r="E12" i="84"/>
  <c r="E11" i="84"/>
  <c r="E4" i="84"/>
  <c r="E5" i="84"/>
  <c r="E16" i="84"/>
  <c r="E15" i="84"/>
  <c r="E14" i="84"/>
  <c r="E6" i="84"/>
  <c r="E13" i="84"/>
  <c r="E10" i="84"/>
  <c r="E23" i="70"/>
  <c r="E17" i="70"/>
  <c r="E11" i="70"/>
  <c r="E5" i="70"/>
  <c r="E22" i="70"/>
  <c r="E16" i="70"/>
  <c r="E10" i="70"/>
  <c r="E4" i="70"/>
  <c r="E21" i="70"/>
  <c r="E15" i="70"/>
  <c r="E9" i="70"/>
  <c r="E26" i="70"/>
  <c r="E20" i="70"/>
  <c r="E14" i="70"/>
  <c r="E8" i="70"/>
  <c r="E3" i="70"/>
  <c r="E13" i="70"/>
  <c r="E25" i="70"/>
  <c r="E12" i="70"/>
  <c r="E24" i="70"/>
  <c r="E18" i="70"/>
  <c r="E6" i="70"/>
  <c r="E7" i="70"/>
  <c r="E19" i="70"/>
  <c r="E23" i="50"/>
  <c r="E22" i="50"/>
  <c r="E13" i="50"/>
  <c r="E7" i="50"/>
  <c r="E20" i="50"/>
  <c r="E12" i="50"/>
  <c r="E6" i="50"/>
  <c r="E18" i="50"/>
  <c r="E11" i="50"/>
  <c r="E5" i="50"/>
  <c r="E15" i="50"/>
  <c r="E9" i="50"/>
  <c r="E24" i="50"/>
  <c r="E14" i="50"/>
  <c r="E8" i="50"/>
  <c r="E3" i="50"/>
  <c r="E10" i="50"/>
  <c r="E21" i="50"/>
  <c r="E19" i="50"/>
  <c r="E17" i="50"/>
  <c r="E4" i="50"/>
  <c r="E16" i="50"/>
  <c r="E16" i="41"/>
  <c r="E10" i="41"/>
  <c r="E23" i="41"/>
  <c r="E15" i="41"/>
  <c r="E9" i="41"/>
  <c r="E21" i="41"/>
  <c r="E14" i="41"/>
  <c r="E8" i="41"/>
  <c r="E3" i="41"/>
  <c r="E17" i="41"/>
  <c r="E11" i="41"/>
  <c r="E5" i="41"/>
  <c r="E4" i="41"/>
  <c r="E13" i="41"/>
  <c r="E24" i="41"/>
  <c r="E12" i="41"/>
  <c r="E22" i="41"/>
  <c r="E19" i="41"/>
  <c r="E18" i="41"/>
  <c r="E7" i="41"/>
  <c r="E20" i="41"/>
  <c r="E6" i="41"/>
  <c r="E21" i="22"/>
  <c r="E9" i="22"/>
  <c r="E20" i="22"/>
  <c r="E8" i="22"/>
  <c r="E19" i="22"/>
  <c r="E7" i="22"/>
  <c r="E18" i="22"/>
  <c r="E6" i="22"/>
  <c r="E17" i="22"/>
  <c r="E5" i="22"/>
  <c r="E16" i="22"/>
  <c r="E14" i="22"/>
  <c r="E4" i="22"/>
  <c r="E3" i="22"/>
  <c r="E24" i="22"/>
  <c r="E23" i="22"/>
  <c r="E22" i="22"/>
  <c r="E15" i="22"/>
  <c r="E13" i="22"/>
  <c r="E12" i="22"/>
  <c r="E11" i="22"/>
  <c r="E10" i="22"/>
  <c r="E28" i="59"/>
  <c r="E16" i="59"/>
  <c r="E27" i="59"/>
  <c r="E15" i="59"/>
  <c r="E6" i="59"/>
  <c r="E26" i="59"/>
  <c r="E14" i="59"/>
  <c r="E25" i="59"/>
  <c r="E13" i="59"/>
  <c r="E5" i="59"/>
  <c r="E23" i="59"/>
  <c r="E11" i="59"/>
  <c r="E22" i="59"/>
  <c r="E10" i="59"/>
  <c r="E4" i="59"/>
  <c r="E21" i="59"/>
  <c r="E19" i="59"/>
  <c r="E8" i="59"/>
  <c r="E3" i="59"/>
  <c r="E18" i="59"/>
  <c r="E17" i="59"/>
  <c r="E7" i="59"/>
  <c r="E24" i="59"/>
  <c r="E20" i="59"/>
  <c r="E12" i="59"/>
  <c r="E9" i="59"/>
  <c r="E11" i="85"/>
  <c r="E10" i="85"/>
  <c r="E4" i="85"/>
  <c r="E8" i="85"/>
  <c r="E3" i="85"/>
  <c r="E14" i="85"/>
  <c r="E13" i="85"/>
  <c r="E5" i="85"/>
  <c r="E7" i="85"/>
  <c r="E6" i="85"/>
  <c r="E18" i="85"/>
  <c r="E17" i="85"/>
  <c r="E9" i="85"/>
  <c r="E16" i="85"/>
  <c r="E15" i="85"/>
  <c r="E12" i="85"/>
  <c r="E18" i="83"/>
  <c r="E7" i="83"/>
  <c r="E16" i="83"/>
  <c r="E6" i="83"/>
  <c r="E15" i="83"/>
  <c r="E10" i="83"/>
  <c r="E9" i="83"/>
  <c r="E4" i="83"/>
  <c r="E3" i="83"/>
  <c r="E17" i="83"/>
  <c r="E14" i="83"/>
  <c r="E13" i="83"/>
  <c r="E12" i="83"/>
  <c r="E11" i="83"/>
  <c r="E5" i="83"/>
  <c r="E8" i="83"/>
  <c r="E17" i="96"/>
  <c r="E11" i="96"/>
  <c r="E5" i="96"/>
  <c r="E16" i="96"/>
  <c r="E4" i="96"/>
  <c r="E13" i="96"/>
  <c r="E7" i="96"/>
  <c r="E10" i="96"/>
  <c r="E9" i="96"/>
  <c r="E8" i="96"/>
  <c r="E18" i="96"/>
  <c r="E6" i="96"/>
  <c r="E15" i="96"/>
  <c r="E12" i="96"/>
  <c r="E3" i="96"/>
  <c r="E14" i="96"/>
  <c r="E8" i="94"/>
  <c r="E3" i="94"/>
  <c r="E12" i="94"/>
  <c r="E6" i="94"/>
  <c r="E17" i="94"/>
  <c r="E4" i="94"/>
  <c r="E16" i="94"/>
  <c r="E9" i="94"/>
  <c r="E11" i="94"/>
  <c r="E10" i="94"/>
  <c r="E7" i="94"/>
  <c r="E15" i="94"/>
  <c r="E13" i="94"/>
  <c r="E18" i="94"/>
  <c r="E5" i="94"/>
  <c r="E19" i="33"/>
  <c r="E7" i="33"/>
  <c r="E18" i="33"/>
  <c r="E6" i="33"/>
  <c r="E16" i="33"/>
  <c r="E14" i="33"/>
  <c r="E20" i="33"/>
  <c r="E8" i="33"/>
  <c r="E5" i="33"/>
  <c r="E24" i="33"/>
  <c r="E4" i="33"/>
  <c r="E23" i="33"/>
  <c r="E22" i="33"/>
  <c r="E3" i="33"/>
  <c r="E21" i="33"/>
  <c r="E17" i="33"/>
  <c r="E13" i="33"/>
  <c r="E11" i="33"/>
  <c r="E15" i="33"/>
  <c r="E12" i="33"/>
  <c r="E10" i="33"/>
  <c r="E9" i="33"/>
  <c r="E18" i="10"/>
  <c r="E8" i="10"/>
  <c r="E3" i="10"/>
  <c r="E17" i="10"/>
  <c r="E16" i="10"/>
  <c r="E7" i="10"/>
  <c r="E15" i="10"/>
  <c r="E14" i="10"/>
  <c r="E6" i="10"/>
  <c r="E13" i="10"/>
  <c r="E23" i="10"/>
  <c r="E11" i="10"/>
  <c r="E24" i="10"/>
  <c r="E4" i="10"/>
  <c r="E22" i="10"/>
  <c r="E21" i="10"/>
  <c r="E20" i="10"/>
  <c r="E19" i="10"/>
  <c r="E12" i="10"/>
  <c r="E9" i="10"/>
  <c r="E5" i="10"/>
  <c r="E10" i="10"/>
  <c r="E3" i="17"/>
  <c r="K4" i="17"/>
  <c r="E20" i="28"/>
  <c r="E13" i="28"/>
  <c r="E7" i="28"/>
  <c r="E19" i="28"/>
  <c r="E18" i="28"/>
  <c r="E12" i="28"/>
  <c r="E6" i="28"/>
  <c r="E17" i="28"/>
  <c r="E11" i="28"/>
  <c r="E5" i="28"/>
  <c r="E4" i="28"/>
  <c r="E14" i="28"/>
  <c r="E10" i="28"/>
  <c r="E9" i="28"/>
  <c r="E24" i="28"/>
  <c r="E8" i="28"/>
  <c r="E23" i="28"/>
  <c r="E22" i="28"/>
  <c r="E15" i="28"/>
  <c r="E3" i="28"/>
  <c r="E21" i="28"/>
  <c r="E16" i="28"/>
  <c r="T11" i="101" a="1"/>
  <c r="T6" i="101" a="1"/>
  <c r="Q14" i="101" a="1"/>
  <c r="T16" i="101" a="1"/>
  <c r="Q15" i="101" a="1"/>
  <c r="T12" i="101" a="1"/>
  <c r="T15" i="101" a="1"/>
  <c r="T19" i="101" a="1"/>
  <c r="Q16" i="101" a="1"/>
  <c r="T9" i="101" a="1"/>
  <c r="T7" i="101" a="1"/>
  <c r="T8" i="101" a="1"/>
  <c r="T13" i="101" a="1"/>
  <c r="T17" i="101" a="1"/>
  <c r="Q12" i="101" a="1"/>
  <c r="L6" i="101" l="1"/>
  <c r="O132" i="101"/>
  <c r="L12" i="101" s="1"/>
  <c r="J5" i="149"/>
  <c r="J5" i="141"/>
  <c r="J4" i="141"/>
  <c r="J6" i="141" s="1"/>
  <c r="F3" i="136"/>
  <c r="K3" i="136" s="1"/>
  <c r="J4" i="149"/>
  <c r="J6" i="149" s="1"/>
  <c r="J4" i="138"/>
  <c r="J6" i="138" s="1"/>
  <c r="F5" i="55"/>
  <c r="F6" i="55"/>
  <c r="F7" i="55"/>
  <c r="F12" i="55"/>
  <c r="F13" i="55"/>
  <c r="F8" i="55"/>
  <c r="F9" i="55"/>
  <c r="F4" i="55"/>
  <c r="F11" i="55"/>
  <c r="F14" i="55"/>
  <c r="F10" i="55"/>
  <c r="F15" i="55"/>
  <c r="F16" i="55"/>
  <c r="F3" i="55"/>
  <c r="K3" i="55" s="1"/>
  <c r="F3" i="147"/>
  <c r="K3" i="147" s="1"/>
  <c r="J4" i="136"/>
  <c r="J6" i="136" s="1"/>
  <c r="F3" i="140"/>
  <c r="K3" i="140" s="1"/>
  <c r="J4" i="140"/>
  <c r="J6" i="140" s="1"/>
  <c r="F3" i="145"/>
  <c r="K3" i="145" s="1"/>
  <c r="F3" i="148"/>
  <c r="K3" i="148" s="1"/>
  <c r="J4" i="148"/>
  <c r="J6" i="148" s="1"/>
  <c r="F3" i="150"/>
  <c r="K3" i="150" s="1"/>
  <c r="F3" i="142"/>
  <c r="K3" i="142" s="1"/>
  <c r="J4" i="150"/>
  <c r="J6" i="150" s="1"/>
  <c r="J4" i="142"/>
  <c r="J6" i="142" s="1"/>
  <c r="F3" i="144"/>
  <c r="K3" i="144" s="1"/>
  <c r="J4" i="144"/>
  <c r="J6" i="144" s="1"/>
  <c r="J5" i="145"/>
  <c r="F3" i="52"/>
  <c r="K3" i="52" s="1"/>
  <c r="F5" i="52"/>
  <c r="L7" i="101"/>
  <c r="L5" i="101"/>
  <c r="F6" i="49"/>
  <c r="F4" i="49"/>
  <c r="K3" i="49" s="1"/>
  <c r="F5" i="49"/>
  <c r="F3" i="49"/>
  <c r="F3" i="137"/>
  <c r="K3" i="137" s="1"/>
  <c r="F3" i="139"/>
  <c r="K3" i="139" s="1"/>
  <c r="J4" i="139"/>
  <c r="J6" i="139" s="1"/>
  <c r="J4" i="137"/>
  <c r="J6" i="137" s="1"/>
  <c r="F3" i="22"/>
  <c r="K3" i="22" s="1"/>
  <c r="F4" i="22"/>
  <c r="F6" i="52"/>
  <c r="F8" i="52"/>
  <c r="F7" i="52"/>
  <c r="F4" i="52"/>
  <c r="K4" i="19"/>
  <c r="D50" i="2" s="1"/>
  <c r="F4" i="14"/>
  <c r="K3" i="14" s="1"/>
  <c r="F3" i="14"/>
  <c r="F3" i="20"/>
  <c r="K3" i="20" s="1"/>
  <c r="F4" i="20"/>
  <c r="F3" i="33"/>
  <c r="K3" i="33" s="1"/>
  <c r="K4" i="119"/>
  <c r="D27" i="2" s="1"/>
  <c r="K4" i="114"/>
  <c r="D28" i="2" s="1"/>
  <c r="K4" i="81"/>
  <c r="D43" i="2" s="1"/>
  <c r="F5" i="47"/>
  <c r="K4" i="10"/>
  <c r="D9" i="2" s="1"/>
  <c r="K4" i="120"/>
  <c r="D11" i="2" s="1"/>
  <c r="K4" i="103"/>
  <c r="D21" i="2" s="1"/>
  <c r="K4" i="108"/>
  <c r="D29" i="2" s="1"/>
  <c r="K4" i="82"/>
  <c r="D46" i="2" s="1"/>
  <c r="K4" i="104"/>
  <c r="D30" i="2" s="1"/>
  <c r="K4" i="105"/>
  <c r="D22" i="2" s="1"/>
  <c r="K4" i="124"/>
  <c r="F7" i="124" s="1"/>
  <c r="K4" i="126"/>
  <c r="F3" i="126" s="1"/>
  <c r="K4" i="111"/>
  <c r="D8" i="2" s="1"/>
  <c r="K4" i="25"/>
  <c r="F7" i="25" s="1"/>
  <c r="K4" i="84"/>
  <c r="D42" i="2" s="1"/>
  <c r="K4" i="27"/>
  <c r="F10" i="27" s="1"/>
  <c r="K4" i="13"/>
  <c r="D49" i="2" s="1"/>
  <c r="K4" i="26"/>
  <c r="F7" i="26" s="1"/>
  <c r="K4" i="93"/>
  <c r="D24" i="2" s="1"/>
  <c r="K4" i="95"/>
  <c r="D16" i="2" s="1"/>
  <c r="K4" i="132"/>
  <c r="F12" i="132" s="1"/>
  <c r="K4" i="106"/>
  <c r="D14" i="2" s="1"/>
  <c r="K4" i="116"/>
  <c r="D33" i="2" s="1"/>
  <c r="K4" i="29"/>
  <c r="F9" i="29" s="1"/>
  <c r="K4" i="35"/>
  <c r="F10" i="35" s="1"/>
  <c r="K4" i="53"/>
  <c r="K4" i="43"/>
  <c r="F6" i="43" s="1"/>
  <c r="K4" i="127"/>
  <c r="F10" i="127" s="1"/>
  <c r="K4" i="118"/>
  <c r="D34" i="2" s="1"/>
  <c r="K4" i="80"/>
  <c r="D38" i="2" s="1"/>
  <c r="K4" i="75"/>
  <c r="D48" i="2" s="1"/>
  <c r="K4" i="115"/>
  <c r="D39" i="2" s="1"/>
  <c r="K4" i="77"/>
  <c r="D45" i="2" s="1"/>
  <c r="K4" i="32"/>
  <c r="F3" i="32" s="1"/>
  <c r="K4" i="9"/>
  <c r="F5" i="9" s="1"/>
  <c r="K4" i="110"/>
  <c r="D25" i="2" s="1"/>
  <c r="K4" i="83"/>
  <c r="D40" i="2" s="1"/>
  <c r="K4" i="102"/>
  <c r="D18" i="2" s="1"/>
  <c r="K4" i="4"/>
  <c r="F15" i="4" s="1"/>
  <c r="K4" i="34"/>
  <c r="F4" i="34" s="1"/>
  <c r="K4" i="113"/>
  <c r="D26" i="2" s="1"/>
  <c r="K4" i="94"/>
  <c r="D7" i="2" s="1"/>
  <c r="K4" i="79"/>
  <c r="D36" i="2" s="1"/>
  <c r="K4" i="87"/>
  <c r="D32" i="2" s="1"/>
  <c r="K4" i="129"/>
  <c r="F7" i="129" s="1"/>
  <c r="K4" i="117"/>
  <c r="D44" i="2" s="1"/>
  <c r="K4" i="133"/>
  <c r="F18" i="133" s="1"/>
  <c r="K4" i="109"/>
  <c r="D35" i="2" s="1"/>
  <c r="K4" i="125"/>
  <c r="F8" i="125" s="1"/>
  <c r="K4" i="71"/>
  <c r="K4" i="73"/>
  <c r="F8" i="73" s="1"/>
  <c r="K4" i="11"/>
  <c r="D41" i="2" s="1"/>
  <c r="K4" i="97"/>
  <c r="D23" i="2" s="1"/>
  <c r="K4" i="78"/>
  <c r="D15" i="2" s="1"/>
  <c r="K4" i="89"/>
  <c r="D17" i="2" s="1"/>
  <c r="K4" i="128"/>
  <c r="F24" i="128" s="1"/>
  <c r="K4" i="85"/>
  <c r="D31" i="2" s="1"/>
  <c r="K4" i="88"/>
  <c r="D13" i="2" s="1"/>
  <c r="K4" i="131"/>
  <c r="F5" i="131" s="1"/>
  <c r="K4" i="72"/>
  <c r="F4" i="72" s="1"/>
  <c r="K4" i="30"/>
  <c r="F17" i="30" s="1"/>
  <c r="K4" i="69"/>
  <c r="F15" i="69" s="1"/>
  <c r="K4" i="57"/>
  <c r="F7" i="57" s="1"/>
  <c r="F6" i="47"/>
  <c r="K4" i="86"/>
  <c r="D37" i="2" s="1"/>
  <c r="K4" i="56"/>
  <c r="F14" i="56" s="1"/>
  <c r="K4" i="96"/>
  <c r="D10" i="2" s="1"/>
  <c r="K4" i="59"/>
  <c r="D47" i="2" s="1"/>
  <c r="K4" i="51"/>
  <c r="F6" i="51" s="1"/>
  <c r="K4" i="130"/>
  <c r="F9" i="130" s="1"/>
  <c r="K4" i="91"/>
  <c r="F19" i="91" s="1"/>
  <c r="K4" i="8"/>
  <c r="F4" i="8" s="1"/>
  <c r="K4" i="5"/>
  <c r="F7" i="5" s="1"/>
  <c r="K4" i="92"/>
  <c r="D19" i="2" s="1"/>
  <c r="K4" i="39"/>
  <c r="F5" i="39" s="1"/>
  <c r="K4" i="6"/>
  <c r="F9" i="6" s="1"/>
  <c r="K4" i="41"/>
  <c r="F16" i="41" s="1"/>
  <c r="K4" i="36"/>
  <c r="F15" i="36" s="1"/>
  <c r="K4" i="40"/>
  <c r="F4" i="40" s="1"/>
  <c r="K3" i="40" s="1"/>
  <c r="K4" i="112"/>
  <c r="D20" i="2" s="1"/>
  <c r="K4" i="7"/>
  <c r="F10" i="7" s="1"/>
  <c r="K4" i="15"/>
  <c r="D51" i="2" s="1"/>
  <c r="K4" i="70"/>
  <c r="F21" i="70" s="1"/>
  <c r="K4" i="152"/>
  <c r="F9" i="152" s="1"/>
  <c r="K4" i="18"/>
  <c r="D5" i="2" s="1"/>
  <c r="K4" i="31"/>
  <c r="F11" i="31" s="1"/>
  <c r="K4" i="23"/>
  <c r="D52" i="2" s="1"/>
  <c r="K4" i="54"/>
  <c r="F5" i="54" s="1"/>
  <c r="K4" i="48"/>
  <c r="F6" i="48" s="1"/>
  <c r="K4" i="3"/>
  <c r="D12" i="2" s="1"/>
  <c r="K4" i="28"/>
  <c r="F4" i="28" s="1"/>
  <c r="K4" i="46"/>
  <c r="F6" i="46" s="1"/>
  <c r="K4" i="37"/>
  <c r="F5" i="37" s="1"/>
  <c r="K4" i="50"/>
  <c r="F12" i="50" s="1"/>
  <c r="K4" i="42"/>
  <c r="F10" i="42" s="1"/>
  <c r="K4" i="12"/>
  <c r="D6" i="2" s="1"/>
  <c r="F4" i="24"/>
  <c r="F4" i="47"/>
  <c r="F4" i="21"/>
  <c r="F5" i="45"/>
  <c r="F10" i="45"/>
  <c r="F3" i="47"/>
  <c r="K3" i="47" s="1"/>
  <c r="F3" i="21"/>
  <c r="K3" i="21" s="1"/>
  <c r="Q12" i="101"/>
  <c r="Q16" i="101"/>
  <c r="T12" i="101"/>
  <c r="T16" i="101"/>
  <c r="Q14" i="101"/>
  <c r="T7" i="101"/>
  <c r="T6" i="101"/>
  <c r="T13" i="101"/>
  <c r="T8" i="101"/>
  <c r="T11" i="101"/>
  <c r="T9" i="101"/>
  <c r="T17" i="101"/>
  <c r="Q15" i="101"/>
  <c r="T19" i="101"/>
  <c r="T15" i="101"/>
  <c r="F4" i="45"/>
  <c r="F5" i="44"/>
  <c r="F3" i="24"/>
  <c r="K3" i="24" s="1"/>
  <c r="F5" i="24"/>
  <c r="F11" i="44"/>
  <c r="F9" i="44"/>
  <c r="F3" i="17"/>
  <c r="K3" i="17" s="1"/>
  <c r="F10" i="44"/>
  <c r="F7" i="45"/>
  <c r="F6" i="44"/>
  <c r="F12" i="44"/>
  <c r="F6" i="45"/>
  <c r="F8" i="44"/>
  <c r="F3" i="44"/>
  <c r="K3" i="44" s="1"/>
  <c r="F3" i="45"/>
  <c r="K3" i="45" s="1"/>
  <c r="F14" i="44"/>
  <c r="F13" i="44"/>
  <c r="F8" i="45"/>
  <c r="F4" i="44"/>
  <c r="F11" i="45"/>
  <c r="F9" i="45"/>
  <c r="F7" i="44"/>
  <c r="T18" i="101" a="1"/>
  <c r="T10" i="101" a="1"/>
  <c r="Q10" i="101" a="1"/>
  <c r="Q18" i="101" a="1"/>
  <c r="Q7" i="101" a="1"/>
  <c r="Q9" i="101" a="1"/>
  <c r="Q17" i="101" a="1"/>
  <c r="Q19" i="101" a="1"/>
  <c r="Q11" i="101" a="1"/>
  <c r="Q13" i="101" a="1"/>
  <c r="T14" i="101" a="1"/>
  <c r="AQ10" i="101" a="1"/>
  <c r="AQ28" i="101" a="1"/>
  <c r="AQ11" i="101" a="1"/>
  <c r="AF13" i="101" a="1"/>
  <c r="AF5" i="101" a="1"/>
  <c r="AQ14" i="101" a="1"/>
  <c r="AQ7" i="101" a="1"/>
  <c r="AQ22" i="101" a="1"/>
  <c r="AQ12" i="101" a="1"/>
  <c r="AF7" i="101" a="1"/>
  <c r="Q8" i="101" a="1"/>
  <c r="AF11" i="101" a="1"/>
  <c r="AQ6" i="101" a="1"/>
  <c r="AQ29" i="101" a="1"/>
  <c r="AQ18" i="101" a="1"/>
  <c r="Q6" i="101" a="1"/>
  <c r="AQ31" i="101" a="1"/>
  <c r="AQ30" i="101" a="1"/>
  <c r="AF9" i="101" a="1"/>
  <c r="AQ27" i="101" a="1"/>
  <c r="AQ32" i="101" a="1"/>
  <c r="AQ17" i="101" a="1"/>
  <c r="AQ33" i="101" a="1"/>
  <c r="AQ9" i="101" a="1"/>
  <c r="AQ34" i="101" a="1"/>
  <c r="AQ21" i="101" a="1"/>
  <c r="AF8" i="101" a="1"/>
  <c r="AQ5" i="101" a="1"/>
  <c r="AQ16" i="101" a="1"/>
  <c r="AQ26" i="101" a="1"/>
  <c r="AQ20" i="101" a="1"/>
  <c r="AQ25" i="101" a="1"/>
  <c r="AQ24" i="101" a="1"/>
  <c r="AQ8" i="101" a="1"/>
  <c r="AQ36" i="101" a="1"/>
  <c r="AQ15" i="101" a="1"/>
  <c r="AF10" i="101" a="1"/>
  <c r="AF12" i="101" a="1"/>
  <c r="AF14" i="101" a="1"/>
  <c r="AF6" i="101" a="1"/>
  <c r="AQ13" i="101" a="1"/>
  <c r="AQ19" i="101" a="1"/>
  <c r="AQ23" i="101" a="1"/>
  <c r="T18" i="101" l="1"/>
  <c r="Q18" i="101"/>
  <c r="Q10" i="101"/>
  <c r="T10" i="101"/>
  <c r="Q7" i="101"/>
  <c r="Q9" i="101"/>
  <c r="Q17" i="101"/>
  <c r="Q13" i="101"/>
  <c r="Q11" i="101"/>
  <c r="Q19" i="101"/>
  <c r="F4" i="19"/>
  <c r="T14" i="101"/>
  <c r="AA14" i="101" s="1"/>
  <c r="Q6" i="101"/>
  <c r="Q8" i="101"/>
  <c r="F3" i="19"/>
  <c r="F9" i="119"/>
  <c r="F5" i="119"/>
  <c r="F5" i="10"/>
  <c r="F7" i="10"/>
  <c r="F6" i="10"/>
  <c r="F15" i="126"/>
  <c r="F13" i="126"/>
  <c r="F7" i="29"/>
  <c r="F17" i="29"/>
  <c r="F9" i="10"/>
  <c r="F4" i="29"/>
  <c r="F18" i="29"/>
  <c r="F4" i="114"/>
  <c r="F20" i="126"/>
  <c r="F12" i="110"/>
  <c r="F15" i="29"/>
  <c r="F11" i="110"/>
  <c r="F10" i="126"/>
  <c r="F3" i="119"/>
  <c r="F7" i="126"/>
  <c r="F21" i="126"/>
  <c r="F14" i="29"/>
  <c r="F9" i="126"/>
  <c r="F6" i="114"/>
  <c r="F4" i="35"/>
  <c r="F19" i="126"/>
  <c r="F11" i="126"/>
  <c r="F12" i="35"/>
  <c r="F3" i="114"/>
  <c r="F10" i="29"/>
  <c r="F5" i="111"/>
  <c r="F8" i="111"/>
  <c r="F17" i="126"/>
  <c r="F6" i="29"/>
  <c r="F5" i="35"/>
  <c r="F11" i="35"/>
  <c r="F4" i="119"/>
  <c r="F4" i="126"/>
  <c r="F3" i="29"/>
  <c r="F13" i="35"/>
  <c r="F14" i="126"/>
  <c r="F18" i="126"/>
  <c r="F12" i="29"/>
  <c r="F6" i="126"/>
  <c r="F5" i="29"/>
  <c r="F8" i="126"/>
  <c r="F4" i="110"/>
  <c r="F4" i="81"/>
  <c r="F5" i="81"/>
  <c r="F8" i="114"/>
  <c r="F3" i="35"/>
  <c r="F7" i="114"/>
  <c r="F6" i="111"/>
  <c r="F5" i="114"/>
  <c r="F3" i="111"/>
  <c r="F3" i="81"/>
  <c r="F15" i="35"/>
  <c r="F9" i="35"/>
  <c r="F7" i="35"/>
  <c r="F6" i="35"/>
  <c r="F14" i="35"/>
  <c r="F8" i="35"/>
  <c r="F4" i="25"/>
  <c r="F7" i="111"/>
  <c r="F7" i="83"/>
  <c r="F4" i="111"/>
  <c r="F4" i="84"/>
  <c r="F11" i="27"/>
  <c r="F8" i="27"/>
  <c r="F6" i="27"/>
  <c r="F9" i="27"/>
  <c r="F3" i="10"/>
  <c r="F4" i="10"/>
  <c r="F3" i="27"/>
  <c r="F3" i="34"/>
  <c r="F5" i="27"/>
  <c r="F8" i="10"/>
  <c r="F7" i="27"/>
  <c r="F4" i="27"/>
  <c r="F3" i="118"/>
  <c r="F3" i="84"/>
  <c r="F3" i="13"/>
  <c r="F3" i="11"/>
  <c r="F7" i="34"/>
  <c r="F5" i="11"/>
  <c r="F6" i="34"/>
  <c r="F11" i="34"/>
  <c r="F8" i="29"/>
  <c r="F16" i="29"/>
  <c r="F13" i="29"/>
  <c r="F11" i="29"/>
  <c r="F12" i="126"/>
  <c r="F7" i="110"/>
  <c r="F5" i="126"/>
  <c r="F16" i="126"/>
  <c r="F13" i="34"/>
  <c r="F4" i="11"/>
  <c r="F12" i="34"/>
  <c r="F4" i="83"/>
  <c r="F6" i="83"/>
  <c r="F5" i="83"/>
  <c r="F6" i="125"/>
  <c r="F22" i="127"/>
  <c r="F11" i="127"/>
  <c r="F9" i="34"/>
  <c r="F21" i="127"/>
  <c r="F16" i="127"/>
  <c r="F7" i="127"/>
  <c r="F20" i="127"/>
  <c r="F3" i="127"/>
  <c r="F25" i="127"/>
  <c r="F15" i="127"/>
  <c r="F14" i="34"/>
  <c r="F5" i="34"/>
  <c r="F18" i="127"/>
  <c r="F9" i="127"/>
  <c r="F23" i="127"/>
  <c r="F6" i="127"/>
  <c r="F24" i="127"/>
  <c r="F19" i="127"/>
  <c r="F5" i="127"/>
  <c r="F14" i="127"/>
  <c r="F17" i="127"/>
  <c r="F13" i="127"/>
  <c r="F26" i="127"/>
  <c r="F10" i="34"/>
  <c r="F6" i="11"/>
  <c r="F4" i="127"/>
  <c r="F12" i="127"/>
  <c r="F8" i="127"/>
  <c r="F13" i="4"/>
  <c r="F7" i="73"/>
  <c r="F9" i="73"/>
  <c r="F4" i="73"/>
  <c r="F3" i="43"/>
  <c r="F7" i="43"/>
  <c r="F5" i="43"/>
  <c r="F9" i="97"/>
  <c r="F5" i="118"/>
  <c r="F9" i="103"/>
  <c r="F5" i="103"/>
  <c r="F4" i="80"/>
  <c r="F3" i="83"/>
  <c r="F10" i="109"/>
  <c r="F14" i="94"/>
  <c r="F3" i="109"/>
  <c r="F11" i="73"/>
  <c r="F7" i="84"/>
  <c r="F13" i="73"/>
  <c r="F15" i="73"/>
  <c r="F9" i="4"/>
  <c r="F18" i="73"/>
  <c r="F14" i="73"/>
  <c r="F3" i="94"/>
  <c r="F5" i="57"/>
  <c r="F5" i="84"/>
  <c r="F4" i="4"/>
  <c r="F3" i="57"/>
  <c r="K3" i="57" s="1"/>
  <c r="F4" i="57"/>
  <c r="F3" i="73"/>
  <c r="F16" i="73"/>
  <c r="F6" i="84"/>
  <c r="F12" i="73"/>
  <c r="F17" i="73"/>
  <c r="F5" i="73"/>
  <c r="F10" i="73"/>
  <c r="F6" i="57"/>
  <c r="F12" i="4"/>
  <c r="F6" i="73"/>
  <c r="F4" i="43"/>
  <c r="F3" i="95"/>
  <c r="F14" i="95"/>
  <c r="F11" i="109"/>
  <c r="F6" i="82"/>
  <c r="F5" i="95"/>
  <c r="F4" i="118"/>
  <c r="F9" i="118"/>
  <c r="F4" i="95"/>
  <c r="F5" i="120"/>
  <c r="F5" i="97"/>
  <c r="F9" i="120"/>
  <c r="F11" i="95"/>
  <c r="F9" i="95"/>
  <c r="F3" i="120"/>
  <c r="F3" i="113"/>
  <c r="F3" i="82"/>
  <c r="F4" i="13"/>
  <c r="K3" i="13" s="1"/>
  <c r="G49" i="2" s="1"/>
  <c r="F8" i="118"/>
  <c r="F7" i="118"/>
  <c r="F6" i="118"/>
  <c r="F7" i="95"/>
  <c r="F6" i="113"/>
  <c r="F4" i="120"/>
  <c r="F5" i="113"/>
  <c r="F7" i="103"/>
  <c r="F6" i="103"/>
  <c r="F8" i="103"/>
  <c r="F3" i="103"/>
  <c r="F10" i="103"/>
  <c r="F9" i="94"/>
  <c r="F4" i="103"/>
  <c r="F14" i="93"/>
  <c r="F3" i="80"/>
  <c r="F3" i="26"/>
  <c r="F5" i="26"/>
  <c r="F13" i="95"/>
  <c r="F4" i="82"/>
  <c r="F8" i="95"/>
  <c r="F5" i="82"/>
  <c r="F7" i="82"/>
  <c r="F12" i="95"/>
  <c r="F6" i="95"/>
  <c r="F10" i="95"/>
  <c r="F3" i="108"/>
  <c r="F3" i="75"/>
  <c r="F4" i="108"/>
  <c r="F10" i="4"/>
  <c r="F5" i="4"/>
  <c r="F6" i="115"/>
  <c r="F3" i="115"/>
  <c r="F5" i="115"/>
  <c r="F4" i="115"/>
  <c r="F6" i="26"/>
  <c r="F4" i="26"/>
  <c r="F6" i="4"/>
  <c r="F7" i="4"/>
  <c r="F14" i="4"/>
  <c r="F11" i="4"/>
  <c r="F16" i="4"/>
  <c r="F8" i="4"/>
  <c r="F3" i="4"/>
  <c r="F5" i="30"/>
  <c r="F10" i="30"/>
  <c r="F4" i="30"/>
  <c r="F11" i="30"/>
  <c r="F12" i="94"/>
  <c r="F6" i="97"/>
  <c r="F4" i="97"/>
  <c r="F6" i="8"/>
  <c r="F5" i="8"/>
  <c r="F7" i="8"/>
  <c r="F5" i="72"/>
  <c r="F7" i="97"/>
  <c r="F9" i="109"/>
  <c r="F5" i="108"/>
  <c r="F9" i="108"/>
  <c r="F3" i="86"/>
  <c r="F8" i="94"/>
  <c r="F3" i="125"/>
  <c r="F4" i="105"/>
  <c r="F6" i="105"/>
  <c r="F3" i="105"/>
  <c r="F10" i="105"/>
  <c r="F7" i="113"/>
  <c r="F4" i="113"/>
  <c r="F4" i="32"/>
  <c r="F8" i="106"/>
  <c r="F5" i="128"/>
  <c r="F7" i="128"/>
  <c r="F4" i="125"/>
  <c r="F21" i="132"/>
  <c r="F13" i="132"/>
  <c r="F4" i="132"/>
  <c r="F25" i="132"/>
  <c r="F15" i="132"/>
  <c r="F9" i="129"/>
  <c r="F5" i="51"/>
  <c r="F3" i="97"/>
  <c r="F5" i="80"/>
  <c r="F7" i="72"/>
  <c r="F8" i="97"/>
  <c r="F4" i="86"/>
  <c r="F3" i="110"/>
  <c r="F7" i="86"/>
  <c r="F13" i="109"/>
  <c r="F7" i="109"/>
  <c r="F9" i="125"/>
  <c r="F6" i="109"/>
  <c r="F17" i="132"/>
  <c r="F11" i="132"/>
  <c r="F3" i="104"/>
  <c r="F16" i="132"/>
  <c r="F5" i="85"/>
  <c r="F6" i="88"/>
  <c r="F22" i="132"/>
  <c r="F10" i="132"/>
  <c r="F10" i="104"/>
  <c r="F3" i="129"/>
  <c r="F18" i="132"/>
  <c r="F6" i="132"/>
  <c r="F9" i="104"/>
  <c r="F8" i="129"/>
  <c r="F13" i="72"/>
  <c r="F9" i="132"/>
  <c r="F7" i="104"/>
  <c r="F3" i="132"/>
  <c r="F3" i="77"/>
  <c r="F24" i="132"/>
  <c r="F4" i="77"/>
  <c r="F4" i="129"/>
  <c r="F6" i="104"/>
  <c r="F11" i="72"/>
  <c r="F10" i="97"/>
  <c r="F5" i="104"/>
  <c r="F5" i="94"/>
  <c r="F5" i="109"/>
  <c r="F7" i="132"/>
  <c r="F5" i="110"/>
  <c r="F20" i="132"/>
  <c r="F5" i="129"/>
  <c r="F4" i="104"/>
  <c r="F23" i="132"/>
  <c r="F5" i="132"/>
  <c r="F14" i="132"/>
  <c r="F8" i="132"/>
  <c r="F8" i="104"/>
  <c r="F26" i="132"/>
  <c r="F19" i="132"/>
  <c r="F6" i="129"/>
  <c r="F5" i="5"/>
  <c r="F11" i="125"/>
  <c r="F5" i="125"/>
  <c r="F6" i="85"/>
  <c r="F5" i="86"/>
  <c r="F10" i="125"/>
  <c r="F8" i="59"/>
  <c r="F10" i="72"/>
  <c r="F7" i="125"/>
  <c r="F8" i="109"/>
  <c r="F17" i="5"/>
  <c r="F8" i="86"/>
  <c r="F6" i="86"/>
  <c r="F3" i="85"/>
  <c r="F6" i="110"/>
  <c r="F9" i="110"/>
  <c r="F8" i="72"/>
  <c r="F8" i="105"/>
  <c r="F5" i="93"/>
  <c r="F7" i="93"/>
  <c r="F7" i="88"/>
  <c r="F10" i="5"/>
  <c r="F4" i="5"/>
  <c r="F12" i="93"/>
  <c r="F8" i="88"/>
  <c r="F5" i="88"/>
  <c r="F8" i="89"/>
  <c r="F7" i="130"/>
  <c r="F6" i="106"/>
  <c r="F6" i="32"/>
  <c r="F5" i="79"/>
  <c r="F7" i="117"/>
  <c r="F4" i="117"/>
  <c r="F9" i="105"/>
  <c r="F7" i="105"/>
  <c r="F5" i="89"/>
  <c r="F7" i="106"/>
  <c r="F13" i="93"/>
  <c r="F5" i="130"/>
  <c r="F6" i="93"/>
  <c r="F9" i="106"/>
  <c r="F15" i="96"/>
  <c r="F13" i="96"/>
  <c r="F7" i="96"/>
  <c r="F4" i="93"/>
  <c r="F4" i="79"/>
  <c r="F12" i="96"/>
  <c r="F5" i="106"/>
  <c r="F7" i="89"/>
  <c r="F8" i="32"/>
  <c r="F13" i="94"/>
  <c r="F7" i="32"/>
  <c r="F8" i="117"/>
  <c r="F4" i="75"/>
  <c r="F8" i="130"/>
  <c r="F8" i="34"/>
  <c r="F3" i="117"/>
  <c r="F17" i="128"/>
  <c r="F3" i="72"/>
  <c r="F9" i="72"/>
  <c r="F6" i="108"/>
  <c r="F7" i="108"/>
  <c r="F3" i="79"/>
  <c r="F6" i="89"/>
  <c r="F3" i="88"/>
  <c r="F10" i="110"/>
  <c r="F13" i="110"/>
  <c r="F3" i="51"/>
  <c r="K3" i="51" s="1"/>
  <c r="F8" i="93"/>
  <c r="F3" i="93"/>
  <c r="F8" i="108"/>
  <c r="F6" i="79"/>
  <c r="F9" i="93"/>
  <c r="F9" i="117"/>
  <c r="F5" i="32"/>
  <c r="F10" i="93"/>
  <c r="F4" i="106"/>
  <c r="F5" i="105"/>
  <c r="F3" i="106"/>
  <c r="F3" i="89"/>
  <c r="F11" i="93"/>
  <c r="F4" i="96"/>
  <c r="F21" i="91"/>
  <c r="F3" i="116"/>
  <c r="F4" i="59"/>
  <c r="F13" i="9"/>
  <c r="F16" i="96"/>
  <c r="F3" i="30"/>
  <c r="F14" i="5"/>
  <c r="F12" i="72"/>
  <c r="F6" i="72"/>
  <c r="F8" i="85"/>
  <c r="F4" i="51"/>
  <c r="F7" i="85"/>
  <c r="F4" i="9"/>
  <c r="F29" i="128"/>
  <c r="F16" i="133"/>
  <c r="F11" i="5"/>
  <c r="F5" i="117"/>
  <c r="F28" i="133"/>
  <c r="F6" i="96"/>
  <c r="F4" i="109"/>
  <c r="F8" i="110"/>
  <c r="F10" i="130"/>
  <c r="F20" i="133"/>
  <c r="F13" i="5"/>
  <c r="F11" i="130"/>
  <c r="F4" i="85"/>
  <c r="F12" i="109"/>
  <c r="F4" i="88"/>
  <c r="F4" i="130"/>
  <c r="F6" i="117"/>
  <c r="F21" i="9"/>
  <c r="F30" i="133"/>
  <c r="F9" i="9"/>
  <c r="F19" i="133"/>
  <c r="F15" i="9"/>
  <c r="F13" i="41"/>
  <c r="F3" i="5"/>
  <c r="F27" i="128"/>
  <c r="F4" i="124"/>
  <c r="F8" i="124"/>
  <c r="F14" i="131"/>
  <c r="F5" i="124"/>
  <c r="F11" i="3"/>
  <c r="F18" i="30"/>
  <c r="F15" i="30"/>
  <c r="F11" i="131"/>
  <c r="F18" i="131"/>
  <c r="F21" i="128"/>
  <c r="F13" i="128"/>
  <c r="F22" i="133"/>
  <c r="F26" i="128"/>
  <c r="F11" i="96"/>
  <c r="F8" i="87"/>
  <c r="F22" i="128"/>
  <c r="F6" i="94"/>
  <c r="F14" i="128"/>
  <c r="F15" i="131"/>
  <c r="F8" i="128"/>
  <c r="F17" i="133"/>
  <c r="F7" i="87"/>
  <c r="F12" i="91"/>
  <c r="F22" i="91"/>
  <c r="F18" i="91"/>
  <c r="F12" i="30"/>
  <c r="F3" i="8"/>
  <c r="F4" i="56"/>
  <c r="F5" i="87"/>
  <c r="F24" i="133"/>
  <c r="F20" i="128"/>
  <c r="F3" i="131"/>
  <c r="F9" i="133"/>
  <c r="F19" i="9"/>
  <c r="F6" i="9"/>
  <c r="F11" i="9"/>
  <c r="F22" i="9"/>
  <c r="F14" i="41"/>
  <c r="F12" i="128"/>
  <c r="F32" i="128"/>
  <c r="F10" i="128"/>
  <c r="F6" i="124"/>
  <c r="F16" i="131"/>
  <c r="F17" i="9"/>
  <c r="F3" i="87"/>
  <c r="F23" i="128"/>
  <c r="F28" i="128"/>
  <c r="F3" i="91"/>
  <c r="F29" i="133"/>
  <c r="F19" i="128"/>
  <c r="F10" i="133"/>
  <c r="F13" i="133"/>
  <c r="F16" i="9"/>
  <c r="F5" i="112"/>
  <c r="F16" i="128"/>
  <c r="F7" i="133"/>
  <c r="F23" i="133"/>
  <c r="F33" i="128"/>
  <c r="F12" i="9"/>
  <c r="F20" i="9"/>
  <c r="F11" i="56"/>
  <c r="F4" i="87"/>
  <c r="F11" i="94"/>
  <c r="F9" i="56"/>
  <c r="F9" i="5"/>
  <c r="F3" i="59"/>
  <c r="F4" i="116"/>
  <c r="F15" i="133"/>
  <c r="F18" i="5"/>
  <c r="F11" i="133"/>
  <c r="F4" i="128"/>
  <c r="F13" i="131"/>
  <c r="F3" i="9"/>
  <c r="F9" i="116"/>
  <c r="F14" i="9"/>
  <c r="F5" i="116"/>
  <c r="F17" i="131"/>
  <c r="F12" i="5"/>
  <c r="F4" i="133"/>
  <c r="F5" i="59"/>
  <c r="F31" i="128"/>
  <c r="F26" i="133"/>
  <c r="F25" i="133"/>
  <c r="F5" i="133"/>
  <c r="F4" i="94"/>
  <c r="F6" i="116"/>
  <c r="F19" i="131"/>
  <c r="F4" i="41"/>
  <c r="F12" i="41"/>
  <c r="F8" i="41"/>
  <c r="F8" i="30"/>
  <c r="F14" i="133"/>
  <c r="F7" i="116"/>
  <c r="F21" i="133"/>
  <c r="F18" i="128"/>
  <c r="F15" i="91"/>
  <c r="F10" i="131"/>
  <c r="F8" i="9"/>
  <c r="F3" i="124"/>
  <c r="F9" i="128"/>
  <c r="F3" i="133"/>
  <c r="F11" i="91"/>
  <c r="F8" i="116"/>
  <c r="F18" i="9"/>
  <c r="F12" i="131"/>
  <c r="F8" i="131"/>
  <c r="F12" i="56"/>
  <c r="F15" i="41"/>
  <c r="F6" i="91"/>
  <c r="F10" i="94"/>
  <c r="F32" i="133"/>
  <c r="F33" i="133"/>
  <c r="F7" i="94"/>
  <c r="F3" i="128"/>
  <c r="F31" i="133"/>
  <c r="F12" i="133"/>
  <c r="F9" i="124"/>
  <c r="F7" i="91"/>
  <c r="F3" i="78"/>
  <c r="F10" i="41"/>
  <c r="F7" i="56"/>
  <c r="F8" i="133"/>
  <c r="F4" i="131"/>
  <c r="F21" i="131"/>
  <c r="F27" i="133"/>
  <c r="F10" i="9"/>
  <c r="F4" i="91"/>
  <c r="F6" i="128"/>
  <c r="F9" i="91"/>
  <c r="F6" i="133"/>
  <c r="F6" i="87"/>
  <c r="F7" i="9"/>
  <c r="F4" i="78"/>
  <c r="F7" i="131"/>
  <c r="F6" i="131"/>
  <c r="F9" i="131"/>
  <c r="F3" i="56"/>
  <c r="AF6" i="101"/>
  <c r="AF12" i="101"/>
  <c r="F5" i="25"/>
  <c r="F3" i="25"/>
  <c r="F20" i="91"/>
  <c r="F6" i="56"/>
  <c r="F8" i="56"/>
  <c r="F6" i="25"/>
  <c r="F20" i="70"/>
  <c r="F16" i="91"/>
  <c r="F6" i="59"/>
  <c r="F10" i="91"/>
  <c r="F8" i="96"/>
  <c r="F18" i="96"/>
  <c r="F13" i="91"/>
  <c r="F9" i="96"/>
  <c r="F4" i="6"/>
  <c r="F8" i="25"/>
  <c r="F16" i="30"/>
  <c r="F6" i="130"/>
  <c r="F15" i="128"/>
  <c r="F7" i="112"/>
  <c r="F14" i="91"/>
  <c r="F7" i="59"/>
  <c r="F25" i="128"/>
  <c r="F10" i="96"/>
  <c r="F11" i="128"/>
  <c r="F30" i="128"/>
  <c r="F17" i="96"/>
  <c r="F4" i="89"/>
  <c r="F3" i="130"/>
  <c r="F20" i="131"/>
  <c r="F10" i="6"/>
  <c r="F10" i="56"/>
  <c r="F13" i="56"/>
  <c r="F4" i="48"/>
  <c r="F8" i="46"/>
  <c r="F11" i="41"/>
  <c r="AQ29" i="101"/>
  <c r="AQ10" i="101"/>
  <c r="AF9" i="101"/>
  <c r="AQ24" i="101"/>
  <c r="AQ23" i="101"/>
  <c r="AQ14" i="101"/>
  <c r="AQ15" i="101"/>
  <c r="AQ19" i="101"/>
  <c r="AQ7" i="101"/>
  <c r="AF10" i="101"/>
  <c r="AF8" i="101"/>
  <c r="AQ12" i="101"/>
  <c r="AQ11" i="101"/>
  <c r="AF13" i="101"/>
  <c r="AF14" i="101"/>
  <c r="AF11" i="101"/>
  <c r="AF7" i="101"/>
  <c r="AQ5" i="101"/>
  <c r="AQ34" i="101"/>
  <c r="AQ6" i="101"/>
  <c r="AF5" i="101"/>
  <c r="AQ31" i="101"/>
  <c r="AQ20" i="101"/>
  <c r="AQ16" i="101"/>
  <c r="AQ36" i="101"/>
  <c r="F7" i="69"/>
  <c r="F14" i="69"/>
  <c r="F6" i="53"/>
  <c r="F20" i="53"/>
  <c r="F12" i="92"/>
  <c r="F4" i="102"/>
  <c r="F3" i="23"/>
  <c r="F13" i="69"/>
  <c r="F8" i="3"/>
  <c r="F20" i="69"/>
  <c r="F5" i="91"/>
  <c r="F8" i="5"/>
  <c r="F12" i="69"/>
  <c r="F15" i="5"/>
  <c r="F3" i="53"/>
  <c r="F19" i="69"/>
  <c r="F9" i="102"/>
  <c r="F3" i="96"/>
  <c r="F14" i="96"/>
  <c r="F28" i="53"/>
  <c r="F3" i="102"/>
  <c r="F11" i="92"/>
  <c r="F5" i="56"/>
  <c r="F5" i="12"/>
  <c r="F7" i="48"/>
  <c r="F3" i="6"/>
  <c r="F21" i="69"/>
  <c r="F3" i="69"/>
  <c r="F10" i="53"/>
  <c r="F13" i="53"/>
  <c r="F17" i="69"/>
  <c r="F18" i="69"/>
  <c r="F8" i="69"/>
  <c r="F4" i="92"/>
  <c r="F5" i="69"/>
  <c r="F15" i="53"/>
  <c r="F12" i="53"/>
  <c r="F5" i="92"/>
  <c r="F4" i="69"/>
  <c r="F6" i="5"/>
  <c r="F16" i="5"/>
  <c r="F22" i="69"/>
  <c r="F8" i="91"/>
  <c r="F17" i="91"/>
  <c r="F5" i="96"/>
  <c r="F27" i="53"/>
  <c r="F8" i="102"/>
  <c r="F6" i="71"/>
  <c r="F22" i="53"/>
  <c r="F16" i="53"/>
  <c r="F16" i="69"/>
  <c r="F7" i="92"/>
  <c r="F3" i="42"/>
  <c r="F5" i="6"/>
  <c r="F9" i="41"/>
  <c r="F18" i="41"/>
  <c r="F3" i="41"/>
  <c r="F12" i="46"/>
  <c r="F4" i="50"/>
  <c r="F8" i="71"/>
  <c r="F14" i="53"/>
  <c r="F8" i="53"/>
  <c r="F13" i="92"/>
  <c r="F6" i="69"/>
  <c r="F3" i="71"/>
  <c r="F9" i="53"/>
  <c r="F5" i="71"/>
  <c r="F7" i="53"/>
  <c r="F26" i="53"/>
  <c r="F10" i="102"/>
  <c r="F11" i="69"/>
  <c r="F14" i="92"/>
  <c r="F3" i="12"/>
  <c r="K3" i="12" s="1"/>
  <c r="G6" i="2" s="1"/>
  <c r="F11" i="42"/>
  <c r="F17" i="70"/>
  <c r="F17" i="28"/>
  <c r="F9" i="30"/>
  <c r="F5" i="15"/>
  <c r="F24" i="53"/>
  <c r="F9" i="92"/>
  <c r="F4" i="53"/>
  <c r="F25" i="53"/>
  <c r="F10" i="92"/>
  <c r="F18" i="53"/>
  <c r="F8" i="28"/>
  <c r="F3" i="28"/>
  <c r="F15" i="42"/>
  <c r="F17" i="41"/>
  <c r="F23" i="53"/>
  <c r="F11" i="53"/>
  <c r="F8" i="92"/>
  <c r="F5" i="102"/>
  <c r="F11" i="71"/>
  <c r="F12" i="28"/>
  <c r="F3" i="3"/>
  <c r="F15" i="70"/>
  <c r="F6" i="41"/>
  <c r="F3" i="92"/>
  <c r="F5" i="53"/>
  <c r="F17" i="53"/>
  <c r="F12" i="71"/>
  <c r="F10" i="71"/>
  <c r="F7" i="102"/>
  <c r="F5" i="48"/>
  <c r="F19" i="30"/>
  <c r="F9" i="48"/>
  <c r="F7" i="30"/>
  <c r="F9" i="69"/>
  <c r="F9" i="71"/>
  <c r="F4" i="71"/>
  <c r="F6" i="92"/>
  <c r="F19" i="53"/>
  <c r="F7" i="71"/>
  <c r="F21" i="53"/>
  <c r="F10" i="69"/>
  <c r="F6" i="102"/>
  <c r="F20" i="30"/>
  <c r="F14" i="30"/>
  <c r="F13" i="30"/>
  <c r="F6" i="30"/>
  <c r="AQ8" i="101"/>
  <c r="AQ25" i="101"/>
  <c r="AQ9" i="101"/>
  <c r="AQ21" i="101"/>
  <c r="AQ18" i="101"/>
  <c r="AQ22" i="101"/>
  <c r="AQ30" i="101"/>
  <c r="AQ13" i="101"/>
  <c r="AQ28" i="101"/>
  <c r="AQ32" i="101"/>
  <c r="AQ17" i="101"/>
  <c r="AQ27" i="101"/>
  <c r="AQ33" i="101"/>
  <c r="AQ26" i="101"/>
  <c r="F16" i="36"/>
  <c r="F29" i="152"/>
  <c r="F18" i="31"/>
  <c r="F12" i="152"/>
  <c r="F9" i="39"/>
  <c r="F4" i="37"/>
  <c r="F12" i="39"/>
  <c r="F10" i="37"/>
  <c r="F12" i="36"/>
  <c r="F4" i="39"/>
  <c r="F18" i="152"/>
  <c r="F22" i="70"/>
  <c r="F17" i="7"/>
  <c r="F31" i="152"/>
  <c r="F14" i="28"/>
  <c r="F21" i="31"/>
  <c r="F5" i="152"/>
  <c r="F11" i="7"/>
  <c r="F17" i="39"/>
  <c r="F12" i="7"/>
  <c r="F8" i="36"/>
  <c r="F3" i="40"/>
  <c r="F13" i="70"/>
  <c r="F13" i="36"/>
  <c r="F16" i="70"/>
  <c r="F14" i="7"/>
  <c r="F21" i="36"/>
  <c r="F8" i="6"/>
  <c r="F10" i="28"/>
  <c r="F6" i="31"/>
  <c r="F18" i="70"/>
  <c r="F7" i="7"/>
  <c r="F17" i="152"/>
  <c r="F7" i="36"/>
  <c r="F7" i="152"/>
  <c r="F7" i="50"/>
  <c r="F7" i="37"/>
  <c r="F14" i="70"/>
  <c r="F14" i="39"/>
  <c r="F7" i="46"/>
  <c r="F9" i="7"/>
  <c r="F3" i="50"/>
  <c r="F20" i="31"/>
  <c r="F3" i="46"/>
  <c r="F11" i="28"/>
  <c r="F18" i="36"/>
  <c r="F5" i="42"/>
  <c r="F6" i="6"/>
  <c r="F14" i="50"/>
  <c r="F6" i="54"/>
  <c r="F7" i="42"/>
  <c r="F5" i="70"/>
  <c r="F3" i="70"/>
  <c r="F5" i="40"/>
  <c r="F10" i="50"/>
  <c r="F5" i="36"/>
  <c r="F25" i="70"/>
  <c r="F4" i="7"/>
  <c r="F17" i="36"/>
  <c r="F9" i="46"/>
  <c r="F9" i="28"/>
  <c r="F6" i="3"/>
  <c r="F11" i="50"/>
  <c r="F3" i="54"/>
  <c r="F9" i="37"/>
  <c r="F13" i="7"/>
  <c r="F8" i="39"/>
  <c r="F19" i="152"/>
  <c r="F4" i="3"/>
  <c r="F28" i="152"/>
  <c r="F15" i="39"/>
  <c r="F14" i="46"/>
  <c r="F13" i="46"/>
  <c r="F6" i="28"/>
  <c r="F3" i="152"/>
  <c r="F32" i="152"/>
  <c r="F10" i="3"/>
  <c r="F6" i="50"/>
  <c r="F8" i="7"/>
  <c r="F5" i="28"/>
  <c r="F9" i="3"/>
  <c r="F7" i="41"/>
  <c r="F23" i="36"/>
  <c r="F5" i="41"/>
  <c r="F8" i="54"/>
  <c r="F14" i="42"/>
  <c r="F13" i="28"/>
  <c r="F10" i="152"/>
  <c r="F19" i="31"/>
  <c r="F18" i="39"/>
  <c r="F26" i="152"/>
  <c r="F17" i="31"/>
  <c r="F3" i="31"/>
  <c r="F4" i="54"/>
  <c r="F9" i="70"/>
  <c r="F15" i="7"/>
  <c r="F20" i="152"/>
  <c r="F24" i="152"/>
  <c r="F3" i="37"/>
  <c r="F11" i="46"/>
  <c r="F15" i="28"/>
  <c r="F13" i="152"/>
  <c r="F6" i="70"/>
  <c r="F6" i="40"/>
  <c r="F22" i="36"/>
  <c r="F16" i="28"/>
  <c r="F10" i="39"/>
  <c r="F4" i="12"/>
  <c r="F4" i="42"/>
  <c r="F10" i="31"/>
  <c r="F5" i="46"/>
  <c r="F3" i="7"/>
  <c r="F7" i="31"/>
  <c r="F3" i="39"/>
  <c r="F5" i="23"/>
  <c r="F7" i="70"/>
  <c r="F5" i="7"/>
  <c r="F6" i="152"/>
  <c r="F10" i="70"/>
  <c r="F14" i="31"/>
  <c r="F22" i="152"/>
  <c r="F8" i="31"/>
  <c r="F13" i="42"/>
  <c r="F6" i="112"/>
  <c r="F3" i="18"/>
  <c r="K3" i="18" s="1"/>
  <c r="G5" i="2" s="1"/>
  <c r="F11" i="70"/>
  <c r="F6" i="37"/>
  <c r="F3" i="15"/>
  <c r="F8" i="37"/>
  <c r="F4" i="23"/>
  <c r="F7" i="39"/>
  <c r="F3" i="112"/>
  <c r="F4" i="31"/>
  <c r="F15" i="152"/>
  <c r="F3" i="36"/>
  <c r="F22" i="31"/>
  <c r="F14" i="152"/>
  <c r="F3" i="48"/>
  <c r="F12" i="31"/>
  <c r="F9" i="42"/>
  <c r="F7" i="3"/>
  <c r="F8" i="70"/>
  <c r="F23" i="152"/>
  <c r="F11" i="39"/>
  <c r="F10" i="46"/>
  <c r="F15" i="46"/>
  <c r="F4" i="46"/>
  <c r="F10" i="36"/>
  <c r="F21" i="152"/>
  <c r="F16" i="31"/>
  <c r="F11" i="152"/>
  <c r="F6" i="7"/>
  <c r="F4" i="15"/>
  <c r="F13" i="39"/>
  <c r="F6" i="39"/>
  <c r="F4" i="112"/>
  <c r="F9" i="31"/>
  <c r="F15" i="50"/>
  <c r="F24" i="36"/>
  <c r="F26" i="70"/>
  <c r="F9" i="36"/>
  <c r="F7" i="6"/>
  <c r="F19" i="70"/>
  <c r="F5" i="3"/>
  <c r="F30" i="152"/>
  <c r="F4" i="18"/>
  <c r="F16" i="152"/>
  <c r="F18" i="7"/>
  <c r="F13" i="50"/>
  <c r="F16" i="7"/>
  <c r="F8" i="42"/>
  <c r="F5" i="50"/>
  <c r="F16" i="39"/>
  <c r="F33" i="152"/>
  <c r="F8" i="48"/>
  <c r="F6" i="42"/>
  <c r="F7" i="54"/>
  <c r="F12" i="70"/>
  <c r="F12" i="3"/>
  <c r="F4" i="70"/>
  <c r="F11" i="36"/>
  <c r="F12" i="42"/>
  <c r="F20" i="36"/>
  <c r="F19" i="39"/>
  <c r="F5" i="31"/>
  <c r="F9" i="54"/>
  <c r="F19" i="36"/>
  <c r="F15" i="31"/>
  <c r="F9" i="50"/>
  <c r="F23" i="70"/>
  <c r="F8" i="152"/>
  <c r="F6" i="36"/>
  <c r="F8" i="50"/>
  <c r="F4" i="36"/>
  <c r="F4" i="152"/>
  <c r="F7" i="28"/>
  <c r="F13" i="31"/>
  <c r="F25" i="152"/>
  <c r="F27" i="152"/>
  <c r="F24" i="70"/>
  <c r="F14" i="36"/>
  <c r="AA7" i="101"/>
  <c r="AB7" i="101"/>
  <c r="AB13" i="101"/>
  <c r="AA13" i="101"/>
  <c r="AB17" i="101"/>
  <c r="AA17" i="101"/>
  <c r="AA15" i="101"/>
  <c r="AB15" i="101"/>
  <c r="AB19" i="101"/>
  <c r="AA19" i="101"/>
  <c r="AB16" i="101"/>
  <c r="AA16" i="101"/>
  <c r="AB18" i="101"/>
  <c r="AA18" i="101"/>
  <c r="AB9" i="101"/>
  <c r="AA9" i="101"/>
  <c r="AA12" i="101"/>
  <c r="AB12" i="101"/>
  <c r="AA11" i="101"/>
  <c r="AB11" i="101"/>
  <c r="AB10" i="101"/>
  <c r="AA10" i="101"/>
  <c r="AB8" i="101"/>
  <c r="AA8" i="101"/>
  <c r="F23" i="101"/>
  <c r="AB6" i="101"/>
  <c r="AA6" i="101"/>
  <c r="K3" i="19" l="1"/>
  <c r="G50" i="2" s="1"/>
  <c r="M5" i="101"/>
  <c r="AB14" i="101"/>
  <c r="X33" i="101" s="1"/>
  <c r="K3" i="119"/>
  <c r="G27" i="2" s="1"/>
  <c r="K3" i="114"/>
  <c r="G28" i="2" s="1"/>
  <c r="K3" i="81"/>
  <c r="G43" i="2" s="1"/>
  <c r="K3" i="111"/>
  <c r="G8" i="2" s="1"/>
  <c r="K3" i="10"/>
  <c r="G9" i="2" s="1"/>
  <c r="K3" i="35"/>
  <c r="K3" i="27"/>
  <c r="K3" i="29"/>
  <c r="K3" i="126"/>
  <c r="K3" i="11"/>
  <c r="G41" i="2" s="1"/>
  <c r="K3" i="83"/>
  <c r="G40" i="2" s="1"/>
  <c r="K3" i="127"/>
  <c r="K3" i="34"/>
  <c r="K3" i="43"/>
  <c r="K3" i="84"/>
  <c r="G42" i="2" s="1"/>
  <c r="K3" i="118"/>
  <c r="G34" i="2" s="1"/>
  <c r="K3" i="73"/>
  <c r="K3" i="95"/>
  <c r="G16" i="2" s="1"/>
  <c r="K3" i="8"/>
  <c r="K3" i="120"/>
  <c r="G11" i="2" s="1"/>
  <c r="K3" i="103"/>
  <c r="G21" i="2" s="1"/>
  <c r="K3" i="4"/>
  <c r="K3" i="115"/>
  <c r="G39" i="2" s="1"/>
  <c r="K3" i="82"/>
  <c r="G46" i="2" s="1"/>
  <c r="K3" i="88"/>
  <c r="G13" i="2" s="1"/>
  <c r="K3" i="26"/>
  <c r="K3" i="80"/>
  <c r="G38" i="2" s="1"/>
  <c r="K3" i="75"/>
  <c r="G48" i="2" s="1"/>
  <c r="K3" i="113"/>
  <c r="G26" i="2" s="1"/>
  <c r="K3" i="129"/>
  <c r="K3" i="78"/>
  <c r="G15" i="2" s="1"/>
  <c r="K3" i="108"/>
  <c r="G29" i="2" s="1"/>
  <c r="K3" i="97"/>
  <c r="G23" i="2" s="1"/>
  <c r="K3" i="132"/>
  <c r="K3" i="110"/>
  <c r="G25" i="2" s="1"/>
  <c r="K3" i="109"/>
  <c r="G35" i="2" s="1"/>
  <c r="K3" i="105"/>
  <c r="G22" i="2" s="1"/>
  <c r="K3" i="32"/>
  <c r="K3" i="125"/>
  <c r="K3" i="104"/>
  <c r="G30" i="2" s="1"/>
  <c r="K3" i="94"/>
  <c r="G7" i="2" s="1"/>
  <c r="K3" i="77"/>
  <c r="G45" i="2" s="1"/>
  <c r="K3" i="89"/>
  <c r="G17" i="2" s="1"/>
  <c r="K3" i="86"/>
  <c r="G37" i="2" s="1"/>
  <c r="K3" i="15"/>
  <c r="G51" i="2" s="1"/>
  <c r="K3" i="72"/>
  <c r="K3" i="130"/>
  <c r="K3" i="79"/>
  <c r="G36" i="2" s="1"/>
  <c r="K3" i="93"/>
  <c r="G24" i="2" s="1"/>
  <c r="K3" i="106"/>
  <c r="G14" i="2" s="1"/>
  <c r="K3" i="117"/>
  <c r="G44" i="2" s="1"/>
  <c r="K3" i="56"/>
  <c r="K3" i="5"/>
  <c r="K3" i="131"/>
  <c r="K3" i="85"/>
  <c r="G31" i="2" s="1"/>
  <c r="K3" i="133"/>
  <c r="K3" i="9"/>
  <c r="K3" i="96"/>
  <c r="G10" i="2" s="1"/>
  <c r="K3" i="25"/>
  <c r="K3" i="124"/>
  <c r="K3" i="116"/>
  <c r="G33" i="2" s="1"/>
  <c r="K3" i="87"/>
  <c r="G32" i="2" s="1"/>
  <c r="K3" i="30"/>
  <c r="K3" i="128"/>
  <c r="K3" i="71"/>
  <c r="K3" i="59"/>
  <c r="G47" i="2" s="1"/>
  <c r="K3" i="23"/>
  <c r="G52" i="2" s="1"/>
  <c r="K3" i="53"/>
  <c r="K3" i="92"/>
  <c r="G19" i="2" s="1"/>
  <c r="K3" i="102"/>
  <c r="G18" i="2" s="1"/>
  <c r="K3" i="91"/>
  <c r="K3" i="6"/>
  <c r="K3" i="3"/>
  <c r="G12" i="2" s="1"/>
  <c r="M6" i="101"/>
  <c r="K3" i="69"/>
  <c r="K3" i="42"/>
  <c r="K3" i="28"/>
  <c r="K3" i="48"/>
  <c r="K3" i="41"/>
  <c r="K3" i="112"/>
  <c r="G20" i="2" s="1"/>
  <c r="K3" i="70"/>
  <c r="K3" i="39"/>
  <c r="K3" i="54"/>
  <c r="K3" i="7"/>
  <c r="K3" i="31"/>
  <c r="K3" i="37"/>
  <c r="K3" i="36"/>
  <c r="K3" i="46"/>
  <c r="M7" i="101"/>
  <c r="K3" i="50"/>
  <c r="K3" i="152"/>
  <c r="V33" i="101"/>
  <c r="U33" i="101"/>
  <c r="R25" i="101"/>
  <c r="Z25" i="101"/>
  <c r="Y25" i="101"/>
  <c r="X25" i="101"/>
  <c r="W25" i="101"/>
  <c r="T25" i="101"/>
  <c r="U25" i="101"/>
  <c r="S25" i="101"/>
  <c r="V25" i="101"/>
  <c r="Z27" i="101"/>
  <c r="Y27" i="101"/>
  <c r="X27" i="101"/>
  <c r="W27" i="101"/>
  <c r="V27" i="101"/>
  <c r="U27" i="101"/>
  <c r="R27" i="101"/>
  <c r="S27" i="101"/>
  <c r="T27" i="101"/>
  <c r="Z28" i="101"/>
  <c r="Y28" i="101"/>
  <c r="X28" i="101"/>
  <c r="W28" i="101"/>
  <c r="V28" i="101"/>
  <c r="U28" i="101"/>
  <c r="T28" i="101"/>
  <c r="S28" i="101"/>
  <c r="R28" i="101"/>
  <c r="R37" i="101"/>
  <c r="Z37" i="101"/>
  <c r="Y37" i="101"/>
  <c r="X37" i="101"/>
  <c r="W37" i="101"/>
  <c r="T37" i="101"/>
  <c r="S37" i="101"/>
  <c r="U37" i="101"/>
  <c r="V37" i="101"/>
  <c r="Z26" i="101"/>
  <c r="Y26" i="101"/>
  <c r="X26" i="101"/>
  <c r="W26" i="101"/>
  <c r="V26" i="101"/>
  <c r="S26" i="101"/>
  <c r="U26" i="101"/>
  <c r="T26" i="101"/>
  <c r="R26" i="101"/>
  <c r="Y30" i="101"/>
  <c r="X30" i="101"/>
  <c r="W30" i="101"/>
  <c r="V30" i="101"/>
  <c r="U30" i="101"/>
  <c r="T30" i="101"/>
  <c r="S30" i="101"/>
  <c r="R30" i="101"/>
  <c r="Z30" i="101"/>
  <c r="S36" i="101"/>
  <c r="R36" i="101"/>
  <c r="Z36" i="101"/>
  <c r="Y36" i="101"/>
  <c r="X36" i="101"/>
  <c r="U36" i="101"/>
  <c r="W36" i="101"/>
  <c r="V36" i="101"/>
  <c r="T36" i="101"/>
  <c r="W32" i="101"/>
  <c r="V32" i="101"/>
  <c r="U32" i="101"/>
  <c r="T32" i="101"/>
  <c r="S32" i="101"/>
  <c r="R32" i="101"/>
  <c r="Y32" i="101"/>
  <c r="Z32" i="101"/>
  <c r="X32" i="101"/>
  <c r="Z29" i="101"/>
  <c r="Y29" i="101"/>
  <c r="X29" i="101"/>
  <c r="W29" i="101"/>
  <c r="V29" i="101"/>
  <c r="U29" i="101"/>
  <c r="T29" i="101"/>
  <c r="S29" i="101"/>
  <c r="R29" i="101"/>
  <c r="U38" i="101"/>
  <c r="T38" i="101"/>
  <c r="S38" i="101"/>
  <c r="R38" i="101"/>
  <c r="Z38" i="101"/>
  <c r="W38" i="101"/>
  <c r="V38" i="101"/>
  <c r="X38" i="101"/>
  <c r="Y38" i="101"/>
  <c r="U34" i="101"/>
  <c r="T34" i="101"/>
  <c r="S34" i="101"/>
  <c r="R34" i="101"/>
  <c r="Z34" i="101"/>
  <c r="W34" i="101"/>
  <c r="V34" i="101"/>
  <c r="Y34" i="101"/>
  <c r="X34" i="101"/>
  <c r="T35" i="101"/>
  <c r="S35" i="101"/>
  <c r="R35" i="101"/>
  <c r="Z35" i="101"/>
  <c r="Y35" i="101"/>
  <c r="V35" i="101"/>
  <c r="X35" i="101"/>
  <c r="W35" i="101"/>
  <c r="U35" i="101"/>
  <c r="X31" i="101"/>
  <c r="W31" i="101"/>
  <c r="V31" i="101"/>
  <c r="U31" i="101"/>
  <c r="T31" i="101"/>
  <c r="S31" i="101"/>
  <c r="R31" i="101"/>
  <c r="Z31" i="101"/>
  <c r="Y31" i="101"/>
  <c r="AG14" i="101" a="1"/>
  <c r="AR28" i="101" a="1"/>
  <c r="AG7" i="101" a="1"/>
  <c r="AG5" i="101" a="1"/>
  <c r="AR5" i="101" a="1"/>
  <c r="AR31" i="101" a="1"/>
  <c r="AR15" i="101" a="1"/>
  <c r="AR18" i="101" a="1"/>
  <c r="AR16" i="101" a="1"/>
  <c r="AR20" i="101" a="1"/>
  <c r="AG6" i="101" a="1"/>
  <c r="AR25" i="101" a="1"/>
  <c r="AR33" i="101" a="1"/>
  <c r="AR29" i="101" a="1"/>
  <c r="AR26" i="101" a="1"/>
  <c r="AR21" i="101" a="1"/>
  <c r="AR27" i="101" a="1"/>
  <c r="AR14" i="101" a="1"/>
  <c r="AR32" i="101" a="1"/>
  <c r="AR11" i="101" a="1"/>
  <c r="AG10" i="101" a="1"/>
  <c r="AR12" i="101" a="1"/>
  <c r="AG13" i="101" a="1"/>
  <c r="AR8" i="101" a="1"/>
  <c r="AG8" i="101" a="1"/>
  <c r="AR7" i="101" a="1"/>
  <c r="AR36" i="101" a="1"/>
  <c r="AG11" i="101" a="1"/>
  <c r="AR22" i="101" a="1"/>
  <c r="AR17" i="101" a="1"/>
  <c r="AR6" i="101" a="1"/>
  <c r="AR10" i="101" a="1"/>
  <c r="AG9" i="101" a="1"/>
  <c r="AR19" i="101" a="1"/>
  <c r="AR30" i="101" a="1"/>
  <c r="AR34" i="101" a="1"/>
  <c r="AG12" i="101" a="1"/>
  <c r="AR9" i="101" a="1"/>
  <c r="AR23" i="101" a="1"/>
  <c r="AR24" i="101" a="1"/>
  <c r="AR13" i="101" a="1"/>
  <c r="R33" i="101" l="1"/>
  <c r="T33" i="101"/>
  <c r="S33" i="101"/>
  <c r="W33" i="101"/>
  <c r="Y33" i="101"/>
  <c r="Z33" i="101"/>
  <c r="AR24" i="101"/>
  <c r="AR31" i="101"/>
  <c r="AR19" i="101"/>
  <c r="AG6" i="101"/>
  <c r="AG5" i="101"/>
  <c r="AR6" i="101"/>
  <c r="AR36" i="101"/>
  <c r="AR20" i="101"/>
  <c r="AR16" i="101"/>
  <c r="AR34" i="101"/>
  <c r="AG14" i="101"/>
  <c r="AG11" i="101"/>
  <c r="AG9" i="101"/>
  <c r="AG13" i="101"/>
  <c r="AR15" i="101"/>
  <c r="AG10" i="101"/>
  <c r="AR14" i="101"/>
  <c r="AR5" i="101"/>
  <c r="AR10" i="101"/>
  <c r="AG7" i="101"/>
  <c r="AG12" i="101"/>
  <c r="AR12" i="101"/>
  <c r="AG8" i="101"/>
  <c r="AR23" i="101"/>
  <c r="AR28" i="101"/>
  <c r="AR7" i="101"/>
  <c r="AR29" i="101"/>
  <c r="AR26" i="101"/>
  <c r="AR32" i="101"/>
  <c r="AR27" i="101"/>
  <c r="AR18" i="101"/>
  <c r="AR11" i="101"/>
  <c r="AR33" i="101"/>
  <c r="AR9" i="101"/>
  <c r="AR8" i="101"/>
  <c r="AR25" i="101"/>
  <c r="AR30" i="101"/>
  <c r="AR22" i="101"/>
  <c r="AR21" i="101"/>
  <c r="AR13" i="101"/>
  <c r="AR17" i="10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<sst xmlns="http://schemas.openxmlformats.org/spreadsheetml/2006/main" count="18229" uniqueCount="6306">
  <si>
    <t>Comision</t>
  </si>
  <si>
    <t>Dia de liquidacion</t>
  </si>
  <si>
    <t>Empresa</t>
  </si>
  <si>
    <t>Ticker</t>
  </si>
  <si>
    <t>TIR</t>
  </si>
  <si>
    <t>Precio</t>
  </si>
  <si>
    <t>Sin comision</t>
  </si>
  <si>
    <t>MD</t>
  </si>
  <si>
    <t>Vto</t>
  </si>
  <si>
    <t>Ley</t>
  </si>
  <si>
    <t>Periodicidad</t>
  </si>
  <si>
    <t>Lamina minima</t>
  </si>
  <si>
    <t>Tipo</t>
  </si>
  <si>
    <t>YPF</t>
  </si>
  <si>
    <t>YMCHD</t>
  </si>
  <si>
    <t>MTCGD</t>
  </si>
  <si>
    <t>MGC9D</t>
  </si>
  <si>
    <t>Pan American</t>
  </si>
  <si>
    <t>PNDCD</t>
  </si>
  <si>
    <t>YCAMD</t>
  </si>
  <si>
    <t>Genneia</t>
  </si>
  <si>
    <t>GNCXD</t>
  </si>
  <si>
    <t>Arcor</t>
  </si>
  <si>
    <t>IRCFD</t>
  </si>
  <si>
    <t>CAC5D</t>
  </si>
  <si>
    <t>BYCHD</t>
  </si>
  <si>
    <t>BACGD</t>
  </si>
  <si>
    <t>YMCID</t>
  </si>
  <si>
    <t>Edenor</t>
  </si>
  <si>
    <t>DNC7D</t>
  </si>
  <si>
    <t>RUCDD</t>
  </si>
  <si>
    <t>Telecom</t>
  </si>
  <si>
    <t>TLCMD</t>
  </si>
  <si>
    <t>TSC3D</t>
  </si>
  <si>
    <t>ARC1D</t>
  </si>
  <si>
    <t>MGCMD</t>
  </si>
  <si>
    <t>YMCXD</t>
  </si>
  <si>
    <t>PNXCD</t>
  </si>
  <si>
    <t>Pluspetrol</t>
  </si>
  <si>
    <t>PLC4D</t>
  </si>
  <si>
    <t>YFCJD</t>
  </si>
  <si>
    <t>Tecpetrol</t>
  </si>
  <si>
    <t>TTCAD</t>
  </si>
  <si>
    <t>TLCPD</t>
  </si>
  <si>
    <t>Vista Energy</t>
  </si>
  <si>
    <t>VSCVD</t>
  </si>
  <si>
    <t>YMCJD</t>
  </si>
  <si>
    <t>YM34D</t>
  </si>
  <si>
    <t>MGCOD</t>
  </si>
  <si>
    <t>IRSA</t>
  </si>
  <si>
    <t>IRCPD</t>
  </si>
  <si>
    <t>VSCTD</t>
  </si>
  <si>
    <t>TSC4D</t>
  </si>
  <si>
    <t>MGCRD</t>
  </si>
  <si>
    <t>TTCDD</t>
  </si>
  <si>
    <t>PLC5D</t>
  </si>
  <si>
    <t>GN49D</t>
  </si>
  <si>
    <t>GN40D</t>
  </si>
  <si>
    <t>Argentina</t>
  </si>
  <si>
    <t>IRCHD</t>
  </si>
  <si>
    <t>MGCJD</t>
  </si>
  <si>
    <t>MGCHD</t>
  </si>
  <si>
    <t>RCCMD</t>
  </si>
  <si>
    <t>TN63D</t>
  </si>
  <si>
    <t>Loma Negra</t>
  </si>
  <si>
    <t>LOC2D</t>
  </si>
  <si>
    <t>YMCQD</t>
  </si>
  <si>
    <t>CGC</t>
  </si>
  <si>
    <t>CP34D</t>
  </si>
  <si>
    <t>Cresud</t>
  </si>
  <si>
    <t>CS38D</t>
  </si>
  <si>
    <t>LOC3D</t>
  </si>
  <si>
    <t>Central Puerto</t>
  </si>
  <si>
    <t>NPCAD</t>
  </si>
  <si>
    <t>TTC7D</t>
  </si>
  <si>
    <t>YMCVD</t>
  </si>
  <si>
    <t>Balanz</t>
  </si>
  <si>
    <t>NBS1D</t>
  </si>
  <si>
    <t>DNC5D</t>
  </si>
  <si>
    <t>YM39D</t>
  </si>
  <si>
    <t>Fecha de Pago</t>
  </si>
  <si>
    <t>Interés</t>
  </si>
  <si>
    <t>Amortización</t>
  </si>
  <si>
    <t>Total</t>
  </si>
  <si>
    <t>Periodo de intereses</t>
  </si>
  <si>
    <t>MDUR</t>
  </si>
  <si>
    <t>ONS</t>
  </si>
  <si>
    <t>#</t>
  </si>
  <si>
    <t>ONS!I2</t>
  </si>
  <si>
    <t>ONs Argentina</t>
  </si>
  <si>
    <t>CWC6D</t>
  </si>
  <si>
    <t>MRCAD</t>
  </si>
  <si>
    <t>TLC5D</t>
  </si>
  <si>
    <t>rccjd</t>
  </si>
  <si>
    <t>VSCRO - Cashflow en USD</t>
  </si>
  <si>
    <t>EAC3O - Cashflow en USD</t>
  </si>
  <si>
    <t>MEP</t>
  </si>
  <si>
    <t/>
  </si>
  <si>
    <t>Ask volume</t>
  </si>
  <si>
    <t>Total volume</t>
  </si>
  <si>
    <t>RC2CD</t>
  </si>
  <si>
    <t>DNC3D</t>
  </si>
  <si>
    <t>YM41D</t>
  </si>
  <si>
    <t>ZZC1D</t>
  </si>
  <si>
    <t>IRCJD</t>
  </si>
  <si>
    <t>LMS8D</t>
  </si>
  <si>
    <t>VSCWD</t>
  </si>
  <si>
    <t>PN42D</t>
  </si>
  <si>
    <t>OTS2D</t>
  </si>
  <si>
    <t>YM37D</t>
  </si>
  <si>
    <t>RCCRD</t>
  </si>
  <si>
    <t>CIC9D</t>
  </si>
  <si>
    <t>HJCID</t>
  </si>
  <si>
    <t>MCC2D</t>
  </si>
  <si>
    <t>PFC2D</t>
  </si>
  <si>
    <t>YM38D</t>
  </si>
  <si>
    <t>PN38D</t>
  </si>
  <si>
    <t>SBC1D</t>
  </si>
  <si>
    <t>TTCBD</t>
  </si>
  <si>
    <t>TLCOD</t>
  </si>
  <si>
    <t>PLC3D</t>
  </si>
  <si>
    <t>OLC5D</t>
  </si>
  <si>
    <t>CICAD</t>
  </si>
  <si>
    <t>YM40D</t>
  </si>
  <si>
    <t>LMS7D</t>
  </si>
  <si>
    <t>PECGD</t>
  </si>
  <si>
    <t>VSCPD</t>
  </si>
  <si>
    <t>OLC6D</t>
  </si>
  <si>
    <t>NPCCD</t>
  </si>
  <si>
    <t>PN41D</t>
  </si>
  <si>
    <t>PN35D</t>
  </si>
  <si>
    <t>IRCOD</t>
  </si>
  <si>
    <t>TTC9D</t>
  </si>
  <si>
    <t>OT42D</t>
  </si>
  <si>
    <t>PLC2D</t>
  </si>
  <si>
    <t>PQCSD</t>
  </si>
  <si>
    <t>VSCRD</t>
  </si>
  <si>
    <t>PN36D</t>
  </si>
  <si>
    <t>TLCTD</t>
  </si>
  <si>
    <t>Camuzzi</t>
  </si>
  <si>
    <t>Aluar</t>
  </si>
  <si>
    <t>OilTanking</t>
  </si>
  <si>
    <t>CNH Industrial</t>
  </si>
  <si>
    <t>John Deere</t>
  </si>
  <si>
    <t>MMM</t>
  </si>
  <si>
    <t>ABT</t>
  </si>
  <si>
    <t>ABBV</t>
  </si>
  <si>
    <t>ANF</t>
  </si>
  <si>
    <t>ACN</t>
  </si>
  <si>
    <t>ADGO</t>
  </si>
  <si>
    <t>ADS</t>
  </si>
  <si>
    <t>ADBE</t>
  </si>
  <si>
    <t>JMIA</t>
  </si>
  <si>
    <t>AAP</t>
  </si>
  <si>
    <t>AMD</t>
  </si>
  <si>
    <t>AEG</t>
  </si>
  <si>
    <t>AEM</t>
  </si>
  <si>
    <t>ABNB</t>
  </si>
  <si>
    <t>BABA</t>
  </si>
  <si>
    <t>GOOGL</t>
  </si>
  <si>
    <t>AABA</t>
  </si>
  <si>
    <t>MO</t>
  </si>
  <si>
    <t>AOCA</t>
  </si>
  <si>
    <t>AMZN</t>
  </si>
  <si>
    <t>ABEV</t>
  </si>
  <si>
    <t>ABEV3</t>
  </si>
  <si>
    <t>AMX</t>
  </si>
  <si>
    <t>AAL</t>
  </si>
  <si>
    <t>AXP</t>
  </si>
  <si>
    <t>AIG</t>
  </si>
  <si>
    <t>AMGN</t>
  </si>
  <si>
    <t>ADI</t>
  </si>
  <si>
    <t>AAPL</t>
  </si>
  <si>
    <t>AMAT</t>
  </si>
  <si>
    <t>ARCO</t>
  </si>
  <si>
    <t>ARKK</t>
  </si>
  <si>
    <t>ARM</t>
  </si>
  <si>
    <t>ASML</t>
  </si>
  <si>
    <t>ASTS</t>
  </si>
  <si>
    <t>ALAB</t>
  </si>
  <si>
    <t>AZN</t>
  </si>
  <si>
    <t>T</t>
  </si>
  <si>
    <t>TEAM</t>
  </si>
  <si>
    <t>ADP</t>
  </si>
  <si>
    <t>AVY</t>
  </si>
  <si>
    <t>CAR</t>
  </si>
  <si>
    <t>BIDU</t>
  </si>
  <si>
    <t>BKR</t>
  </si>
  <si>
    <t>BBD</t>
  </si>
  <si>
    <t>BBDC3</t>
  </si>
  <si>
    <t>BPA11</t>
  </si>
  <si>
    <t>BBAS3</t>
  </si>
  <si>
    <t>ITUB3</t>
  </si>
  <si>
    <t>BSBR</t>
  </si>
  <si>
    <t>SAN</t>
  </si>
  <si>
    <t>BA.C</t>
  </si>
  <si>
    <t>BCS</t>
  </si>
  <si>
    <t>B</t>
  </si>
  <si>
    <t>BAS</t>
  </si>
  <si>
    <t>BAYN</t>
  </si>
  <si>
    <t>BRKB</t>
  </si>
  <si>
    <t>BHP</t>
  </si>
  <si>
    <t>BBV</t>
  </si>
  <si>
    <t>BIOX</t>
  </si>
  <si>
    <t>BIIB</t>
  </si>
  <si>
    <t>BITF</t>
  </si>
  <si>
    <t>BMNR</t>
  </si>
  <si>
    <t>BB</t>
  </si>
  <si>
    <t>BX</t>
  </si>
  <si>
    <t>BKNG</t>
  </si>
  <si>
    <t>BP</t>
  </si>
  <si>
    <t>LND</t>
  </si>
  <si>
    <t>BAK</t>
  </si>
  <si>
    <t>BRFS</t>
  </si>
  <si>
    <t>BMY</t>
  </si>
  <si>
    <t>AVGO</t>
  </si>
  <si>
    <t>BNG</t>
  </si>
  <si>
    <t>AI</t>
  </si>
  <si>
    <t>CAJ</t>
  </si>
  <si>
    <t>CAH</t>
  </si>
  <si>
    <t>CCL</t>
  </si>
  <si>
    <t>CAT</t>
  </si>
  <si>
    <t>CLS</t>
  </si>
  <si>
    <t>CX</t>
  </si>
  <si>
    <t>EBR</t>
  </si>
  <si>
    <t>SCHW</t>
  </si>
  <si>
    <t>CVX</t>
  </si>
  <si>
    <t>LFC</t>
  </si>
  <si>
    <t>SNP</t>
  </si>
  <si>
    <t>SBSP3</t>
  </si>
  <si>
    <t>CSCO</t>
  </si>
  <si>
    <t>C</t>
  </si>
  <si>
    <t>KOFM</t>
  </si>
  <si>
    <t>CDE</t>
  </si>
  <si>
    <t>COIN</t>
  </si>
  <si>
    <t>CL</t>
  </si>
  <si>
    <t>CBRD</t>
  </si>
  <si>
    <t>SBS</t>
  </si>
  <si>
    <t>ELP</t>
  </si>
  <si>
    <t>SID</t>
  </si>
  <si>
    <t>CSNA3</t>
  </si>
  <si>
    <t>CEG</t>
  </si>
  <si>
    <t>CRWV</t>
  </si>
  <si>
    <t>GLW</t>
  </si>
  <si>
    <t>CAAP</t>
  </si>
  <si>
    <t>COST</t>
  </si>
  <si>
    <t>CS</t>
  </si>
  <si>
    <t>CVS</t>
  </si>
  <si>
    <t>DHR</t>
  </si>
  <si>
    <t>BSN</t>
  </si>
  <si>
    <t>DECK</t>
  </si>
  <si>
    <t>DE</t>
  </si>
  <si>
    <t>DAL</t>
  </si>
  <si>
    <t>DTEA</t>
  </si>
  <si>
    <t>DEO</t>
  </si>
  <si>
    <t>SPXL</t>
  </si>
  <si>
    <t>DOCU</t>
  </si>
  <si>
    <t>DOW</t>
  </si>
  <si>
    <t>DD</t>
  </si>
  <si>
    <t>EOAN</t>
  </si>
  <si>
    <t>EBAY</t>
  </si>
  <si>
    <t>ECL</t>
  </si>
  <si>
    <t>EA</t>
  </si>
  <si>
    <t>LLY</t>
  </si>
  <si>
    <t>AKO.B</t>
  </si>
  <si>
    <t>XLE</t>
  </si>
  <si>
    <t>E</t>
  </si>
  <si>
    <t>EFX</t>
  </si>
  <si>
    <t>EQNR</t>
  </si>
  <si>
    <t>GLD</t>
  </si>
  <si>
    <t>ETSY</t>
  </si>
  <si>
    <t>XOM</t>
  </si>
  <si>
    <t>FNMA</t>
  </si>
  <si>
    <t>FDX</t>
  </si>
  <si>
    <t>RACE</t>
  </si>
  <si>
    <t>XLF</t>
  </si>
  <si>
    <t>FSLR</t>
  </si>
  <si>
    <t>CIBR</t>
  </si>
  <si>
    <t>FMX</t>
  </si>
  <si>
    <t>F</t>
  </si>
  <si>
    <t>FMCC</t>
  </si>
  <si>
    <t>FCX</t>
  </si>
  <si>
    <t>GRMN</t>
  </si>
  <si>
    <t>GE</t>
  </si>
  <si>
    <t>GM</t>
  </si>
  <si>
    <t>GPRK</t>
  </si>
  <si>
    <t>GGB</t>
  </si>
  <si>
    <t>GILD</t>
  </si>
  <si>
    <t>COPX</t>
  </si>
  <si>
    <t>URA</t>
  </si>
  <si>
    <t>GLOB</t>
  </si>
  <si>
    <t>GFI</t>
  </si>
  <si>
    <t>GT</t>
  </si>
  <si>
    <t>PAC</t>
  </si>
  <si>
    <t>ASR</t>
  </si>
  <si>
    <t>TV</t>
  </si>
  <si>
    <t>GSK</t>
  </si>
  <si>
    <t>HAL</t>
  </si>
  <si>
    <t>HAPV3</t>
  </si>
  <si>
    <t>HOG</t>
  </si>
  <si>
    <t>HMY</t>
  </si>
  <si>
    <t>HDB</t>
  </si>
  <si>
    <t>HL</t>
  </si>
  <si>
    <t>HHPD</t>
  </si>
  <si>
    <t>HMC</t>
  </si>
  <si>
    <t>HON</t>
  </si>
  <si>
    <t>HWM</t>
  </si>
  <si>
    <t>HPQ</t>
  </si>
  <si>
    <t>HSBC</t>
  </si>
  <si>
    <t>HNPIY</t>
  </si>
  <si>
    <t>HUT</t>
  </si>
  <si>
    <t>IBN</t>
  </si>
  <si>
    <t>INFY</t>
  </si>
  <si>
    <t>ING</t>
  </si>
  <si>
    <t>INTC</t>
  </si>
  <si>
    <t>IBM</t>
  </si>
  <si>
    <t>IFF</t>
  </si>
  <si>
    <t>IP</t>
  </si>
  <si>
    <t>ISRG</t>
  </si>
  <si>
    <t>QQQ</t>
  </si>
  <si>
    <t>VXX</t>
  </si>
  <si>
    <t>IREN</t>
  </si>
  <si>
    <t>IBIT</t>
  </si>
  <si>
    <t>FXI</t>
  </si>
  <si>
    <t>IEMG</t>
  </si>
  <si>
    <t>IEUR</t>
  </si>
  <si>
    <t>IWDA</t>
  </si>
  <si>
    <t>IVV</t>
  </si>
  <si>
    <t>IJH</t>
  </si>
  <si>
    <t>ESGU</t>
  </si>
  <si>
    <t>ETHA</t>
  </si>
  <si>
    <t>ILF</t>
  </si>
  <si>
    <t>ACWI</t>
  </si>
  <si>
    <t>EWZ</t>
  </si>
  <si>
    <t>EFA</t>
  </si>
  <si>
    <t>EEM</t>
  </si>
  <si>
    <t>EWJ</t>
  </si>
  <si>
    <t>IBB</t>
  </si>
  <si>
    <t>IVW</t>
  </si>
  <si>
    <t>IVE</t>
  </si>
  <si>
    <t>SLV</t>
  </si>
  <si>
    <t>IWM</t>
  </si>
  <si>
    <t>ITA</t>
  </si>
  <si>
    <t>ITUB</t>
  </si>
  <si>
    <t>JPM</t>
  </si>
  <si>
    <t>JD</t>
  </si>
  <si>
    <t>JNJ</t>
  </si>
  <si>
    <t>JCI</t>
  </si>
  <si>
    <t>JOYY</t>
  </si>
  <si>
    <t>KB</t>
  </si>
  <si>
    <t>KMB</t>
  </si>
  <si>
    <t>KGC</t>
  </si>
  <si>
    <t>PHG</t>
  </si>
  <si>
    <t>KEP</t>
  </si>
  <si>
    <t>LRCX</t>
  </si>
  <si>
    <t>LVS</t>
  </si>
  <si>
    <t>LAR</t>
  </si>
  <si>
    <t>LAC</t>
  </si>
  <si>
    <t>LYG</t>
  </si>
  <si>
    <t>ERIC</t>
  </si>
  <si>
    <t>RENT3</t>
  </si>
  <si>
    <t>LMT</t>
  </si>
  <si>
    <t>LREN3</t>
  </si>
  <si>
    <t>MGLU3</t>
  </si>
  <si>
    <t>MMC</t>
  </si>
  <si>
    <t>MRVL</t>
  </si>
  <si>
    <t>MA</t>
  </si>
  <si>
    <t>MCD</t>
  </si>
  <si>
    <t>MUX</t>
  </si>
  <si>
    <t>MDT</t>
  </si>
  <si>
    <t>MELI</t>
  </si>
  <si>
    <t>MBG</t>
  </si>
  <si>
    <t>MRK</t>
  </si>
  <si>
    <t>META</t>
  </si>
  <si>
    <t>MU</t>
  </si>
  <si>
    <t>MSFT</t>
  </si>
  <si>
    <t>MSTR</t>
  </si>
  <si>
    <t>MUFG</t>
  </si>
  <si>
    <t>MFG</t>
  </si>
  <si>
    <t>MBT</t>
  </si>
  <si>
    <t>MRNA</t>
  </si>
  <si>
    <t>MDLZ</t>
  </si>
  <si>
    <t>MSI</t>
  </si>
  <si>
    <t>NGG</t>
  </si>
  <si>
    <t>NTCO</t>
  </si>
  <si>
    <t>NTCO3</t>
  </si>
  <si>
    <t>NEC1</t>
  </si>
  <si>
    <t>NTES</t>
  </si>
  <si>
    <t>NFLX</t>
  </si>
  <si>
    <t>NEM</t>
  </si>
  <si>
    <t>NXE</t>
  </si>
  <si>
    <t>NKE</t>
  </si>
  <si>
    <t>NIO</t>
  </si>
  <si>
    <t>NSAN</t>
  </si>
  <si>
    <t>NOKA</t>
  </si>
  <si>
    <t>NMR</t>
  </si>
  <si>
    <t>NG</t>
  </si>
  <si>
    <t>NVS</t>
  </si>
  <si>
    <t>NLM</t>
  </si>
  <si>
    <t>NU</t>
  </si>
  <si>
    <t>NUE</t>
  </si>
  <si>
    <t>NVDA</t>
  </si>
  <si>
    <t>OXY</t>
  </si>
  <si>
    <t>OKLO</t>
  </si>
  <si>
    <t>ORCL</t>
  </si>
  <si>
    <t>ORAN</t>
  </si>
  <si>
    <t>ORLY</t>
  </si>
  <si>
    <t>PCAR</t>
  </si>
  <si>
    <t>PAGS</t>
  </si>
  <si>
    <t>PLTR</t>
  </si>
  <si>
    <t>PANW</t>
  </si>
  <si>
    <t>PAAS</t>
  </si>
  <si>
    <t>PCRF</t>
  </si>
  <si>
    <t>PYPL</t>
  </si>
  <si>
    <t>PDD</t>
  </si>
  <si>
    <t>PSO</t>
  </si>
  <si>
    <t>PEP</t>
  </si>
  <si>
    <t>PRIO3</t>
  </si>
  <si>
    <t>PETR3</t>
  </si>
  <si>
    <t>PBR</t>
  </si>
  <si>
    <t>PTR</t>
  </si>
  <si>
    <t>PFE</t>
  </si>
  <si>
    <t>PM</t>
  </si>
  <si>
    <t>PSX</t>
  </si>
  <si>
    <t>PINS</t>
  </si>
  <si>
    <t>PBI</t>
  </si>
  <si>
    <t>OGZD</t>
  </si>
  <si>
    <t>LKOD</t>
  </si>
  <si>
    <t>ATAD</t>
  </si>
  <si>
    <t>PKS</t>
  </si>
  <si>
    <t>PG</t>
  </si>
  <si>
    <t>SH</t>
  </si>
  <si>
    <t>PSQ</t>
  </si>
  <si>
    <t>TQQQ</t>
  </si>
  <si>
    <t>QCOM</t>
  </si>
  <si>
    <t>RTX</t>
  </si>
  <si>
    <t>RGTI</t>
  </si>
  <si>
    <t>RIO</t>
  </si>
  <si>
    <t>RIOT</t>
  </si>
  <si>
    <t>HOOD</t>
  </si>
  <si>
    <t>RBLX</t>
  </si>
  <si>
    <t>RKLB</t>
  </si>
  <si>
    <t>ROKU</t>
  </si>
  <si>
    <t>ROST</t>
  </si>
  <si>
    <t>SHEL</t>
  </si>
  <si>
    <t>SPGI</t>
  </si>
  <si>
    <t>CRM</t>
  </si>
  <si>
    <t>SMSN</t>
  </si>
  <si>
    <t>SAP</t>
  </si>
  <si>
    <t>SATL</t>
  </si>
  <si>
    <t>SLB</t>
  </si>
  <si>
    <t>SE</t>
  </si>
  <si>
    <t>NOW</t>
  </si>
  <si>
    <t>SHPW</t>
  </si>
  <si>
    <t>SHOP</t>
  </si>
  <si>
    <t>SIEGY</t>
  </si>
  <si>
    <t>SI</t>
  </si>
  <si>
    <t>SWKS</t>
  </si>
  <si>
    <t>SNAP</t>
  </si>
  <si>
    <t>SNA</t>
  </si>
  <si>
    <t>SNOW</t>
  </si>
  <si>
    <t>SONY</t>
  </si>
  <si>
    <t>SCCO</t>
  </si>
  <si>
    <t>DIA</t>
  </si>
  <si>
    <t>SPY</t>
  </si>
  <si>
    <t>SPOT</t>
  </si>
  <si>
    <t>XYZ</t>
  </si>
  <si>
    <t>SBUX</t>
  </si>
  <si>
    <t>STLA</t>
  </si>
  <si>
    <t>STNE</t>
  </si>
  <si>
    <t>SDA</t>
  </si>
  <si>
    <t>SUZ</t>
  </si>
  <si>
    <t>SUZB3</t>
  </si>
  <si>
    <t>SYY</t>
  </si>
  <si>
    <t>TSM</t>
  </si>
  <si>
    <t>TGT</t>
  </si>
  <si>
    <t>TTM</t>
  </si>
  <si>
    <t>RCTB4</t>
  </si>
  <si>
    <t>TIIAY</t>
  </si>
  <si>
    <t>VIV</t>
  </si>
  <si>
    <t>VIVT3</t>
  </si>
  <si>
    <t>TEFO</t>
  </si>
  <si>
    <t>TEM</t>
  </si>
  <si>
    <t>TEN</t>
  </si>
  <si>
    <t>TXR</t>
  </si>
  <si>
    <t>TSLA</t>
  </si>
  <si>
    <t>TXN</t>
  </si>
  <si>
    <t>BK</t>
  </si>
  <si>
    <t>BA</t>
  </si>
  <si>
    <t>KO</t>
  </si>
  <si>
    <t>XLC</t>
  </si>
  <si>
    <t>XLY</t>
  </si>
  <si>
    <t>XLP</t>
  </si>
  <si>
    <t>GS</t>
  </si>
  <si>
    <t>XLV</t>
  </si>
  <si>
    <t>HSY</t>
  </si>
  <si>
    <t>HD</t>
  </si>
  <si>
    <t>XLI</t>
  </si>
  <si>
    <t>XLB</t>
  </si>
  <si>
    <t>MOS</t>
  </si>
  <si>
    <t>XLRE</t>
  </si>
  <si>
    <t>XLK</t>
  </si>
  <si>
    <t>TRVV</t>
  </si>
  <si>
    <t>DISN</t>
  </si>
  <si>
    <t>TMO</t>
  </si>
  <si>
    <t>TIMB</t>
  </si>
  <si>
    <t>TIMS3</t>
  </si>
  <si>
    <t>TJX</t>
  </si>
  <si>
    <t>TMUS</t>
  </si>
  <si>
    <t>TTE</t>
  </si>
  <si>
    <t>TM</t>
  </si>
  <si>
    <t>TCOM</t>
  </si>
  <si>
    <t>TRIP</t>
  </si>
  <si>
    <t>TWLO</t>
  </si>
  <si>
    <t>USB</t>
  </si>
  <si>
    <t>UBER</t>
  </si>
  <si>
    <t>PATH</t>
  </si>
  <si>
    <t>UGP</t>
  </si>
  <si>
    <t>UL</t>
  </si>
  <si>
    <t>UNP</t>
  </si>
  <si>
    <t>UAL</t>
  </si>
  <si>
    <t>USO</t>
  </si>
  <si>
    <t>UNH</t>
  </si>
  <si>
    <t>UPST</t>
  </si>
  <si>
    <t>URBN</t>
  </si>
  <si>
    <t>XLU</t>
  </si>
  <si>
    <t>VALE</t>
  </si>
  <si>
    <t>VALE3</t>
  </si>
  <si>
    <t>GDX</t>
  </si>
  <si>
    <t>SMH</t>
  </si>
  <si>
    <t>VIG</t>
  </si>
  <si>
    <t>VEA</t>
  </si>
  <si>
    <t>VRSN</t>
  </si>
  <si>
    <t>VZ</t>
  </si>
  <si>
    <t>VRTX</t>
  </si>
  <si>
    <t>SPCE</t>
  </si>
  <si>
    <t>V</t>
  </si>
  <si>
    <t>VIST</t>
  </si>
  <si>
    <t>VST</t>
  </si>
  <si>
    <t>VOD</t>
  </si>
  <si>
    <t>WBA</t>
  </si>
  <si>
    <t>WMT</t>
  </si>
  <si>
    <t>WEGE3</t>
  </si>
  <si>
    <t>WBO</t>
  </si>
  <si>
    <t>WFC</t>
  </si>
  <si>
    <t>XROX</t>
  </si>
  <si>
    <t>XP</t>
  </si>
  <si>
    <t>XPEV</t>
  </si>
  <si>
    <t>YELP</t>
  </si>
  <si>
    <t>PCR</t>
  </si>
  <si>
    <t>Oiltanking</t>
  </si>
  <si>
    <t>Cierre</t>
  </si>
  <si>
    <t>Vwap</t>
  </si>
  <si>
    <t>USD</t>
  </si>
  <si>
    <t>Último</t>
  </si>
  <si>
    <t>ORD.</t>
  </si>
  <si>
    <t>CANT.</t>
  </si>
  <si>
    <t>PRECIO</t>
  </si>
  <si>
    <t>Var</t>
  </si>
  <si>
    <t>CI</t>
  </si>
  <si>
    <t>Monto $</t>
  </si>
  <si>
    <t>Nominales</t>
  </si>
  <si>
    <t>MONEDA</t>
  </si>
  <si>
    <t>ARS</t>
  </si>
  <si>
    <t>Variación</t>
  </si>
  <si>
    <t>Arbitraje</t>
  </si>
  <si>
    <t>TNA</t>
  </si>
  <si>
    <t>Pase</t>
  </si>
  <si>
    <t>Venta CI - Compra T1</t>
  </si>
  <si>
    <t>Compra CI - Venta T1</t>
  </si>
  <si>
    <t>SIMBOLO</t>
  </si>
  <si>
    <t>ESPECIE</t>
  </si>
  <si>
    <t>PLAZO</t>
  </si>
  <si>
    <t>VTO.</t>
  </si>
  <si>
    <t>TASA</t>
  </si>
  <si>
    <t>CANT.OPER</t>
  </si>
  <si>
    <t>MONTO</t>
  </si>
  <si>
    <t>M.TOM</t>
  </si>
  <si>
    <t>T.TOM</t>
  </si>
  <si>
    <t>T.COL</t>
  </si>
  <si>
    <t>M.COL</t>
  </si>
  <si>
    <t>VWAP</t>
  </si>
  <si>
    <t>2026-03-02</t>
  </si>
  <si>
    <t>DOLAR-0206-U-CT-USD</t>
  </si>
  <si>
    <t>2026-06-02</t>
  </si>
  <si>
    <t>DOLAR-0303-U-CT-USD</t>
  </si>
  <si>
    <t>2026-03-03</t>
  </si>
  <si>
    <t>DOLAR-0403-U-CT-USD</t>
  </si>
  <si>
    <t>2026-03-04</t>
  </si>
  <si>
    <t>DOLAR-0405-U-CT-USD</t>
  </si>
  <si>
    <t>2026-05-04</t>
  </si>
  <si>
    <t>DOLAR-0505-U-CT-USD</t>
  </si>
  <si>
    <t>2026-05-05</t>
  </si>
  <si>
    <t>DOLAR-0603-U-CT-USD</t>
  </si>
  <si>
    <t>2026-03-06</t>
  </si>
  <si>
    <t>DOLAR-0604-U-CT-USD</t>
  </si>
  <si>
    <t>2026-04-06</t>
  </si>
  <si>
    <t>DOLAR-0605-U-CT-USD</t>
  </si>
  <si>
    <t>2026-05-06</t>
  </si>
  <si>
    <t>DOLAR-0704-U-CT-USD</t>
  </si>
  <si>
    <t>2026-04-07</t>
  </si>
  <si>
    <t>DOLAR-0705-U-CT-USD</t>
  </si>
  <si>
    <t>2026-05-07</t>
  </si>
  <si>
    <t>DOLAR-0804-U-CT-USD</t>
  </si>
  <si>
    <t>2026-04-08</t>
  </si>
  <si>
    <t>DOLAR-0805-U-CT-USD</t>
  </si>
  <si>
    <t>2026-05-08</t>
  </si>
  <si>
    <t>2026-02-09</t>
  </si>
  <si>
    <t>DOLAR-0903-U-CT-USD</t>
  </si>
  <si>
    <t>2026-03-09</t>
  </si>
  <si>
    <t>DOLAR-0904-U-CT-USD</t>
  </si>
  <si>
    <t>2026-04-09</t>
  </si>
  <si>
    <t>DOLAR-1003-U-CT-USD</t>
  </si>
  <si>
    <t>2026-03-10</t>
  </si>
  <si>
    <t>DOLAR-1004-U-CT-USD</t>
  </si>
  <si>
    <t>2026-04-10</t>
  </si>
  <si>
    <t>DOLAR-1205-U-CT-USD</t>
  </si>
  <si>
    <t>2026-05-12</t>
  </si>
  <si>
    <t>DOLAR-1302-U-CT-USD</t>
  </si>
  <si>
    <t>2026-02-13</t>
  </si>
  <si>
    <t>DOLAR-1304-U-CT-USD</t>
  </si>
  <si>
    <t>2026-04-13</t>
  </si>
  <si>
    <t>DOLAR-1305-U-CT-USD</t>
  </si>
  <si>
    <t>2026-05-13</t>
  </si>
  <si>
    <t>DOLAR-1404-U-CT-USD</t>
  </si>
  <si>
    <t>2026-04-14</t>
  </si>
  <si>
    <t>DOLAR-1405-U-CT-USD</t>
  </si>
  <si>
    <t>2026-05-14</t>
  </si>
  <si>
    <t>DOLAR-1505-U-CT-USD</t>
  </si>
  <si>
    <t>2026-05-15</t>
  </si>
  <si>
    <t>DOLAR-1603-U-CT-USD</t>
  </si>
  <si>
    <t>2026-03-16</t>
  </si>
  <si>
    <t>DOLAR-1604-U-CT-USD</t>
  </si>
  <si>
    <t>2026-04-16</t>
  </si>
  <si>
    <t>DOLAR-1703-U-CT-USD</t>
  </si>
  <si>
    <t>2026-03-17</t>
  </si>
  <si>
    <t>DOLAR-1802-U-CT-USD</t>
  </si>
  <si>
    <t>2026-02-18</t>
  </si>
  <si>
    <t>DOLAR-1902-U-CT-USD</t>
  </si>
  <si>
    <t>2026-02-19</t>
  </si>
  <si>
    <t>DOLAR-1905-U-CT-USD</t>
  </si>
  <si>
    <t>2026-05-19</t>
  </si>
  <si>
    <t>DOLAR-2002-U-CT-USD</t>
  </si>
  <si>
    <t>2026-02-20</t>
  </si>
  <si>
    <t>DOLAR-2003-U-CT-USD</t>
  </si>
  <si>
    <t>2026-03-20</t>
  </si>
  <si>
    <t>DOLAR-2004-U-CT-USD</t>
  </si>
  <si>
    <t>2026-04-20</t>
  </si>
  <si>
    <t>DOLAR-2005-U-CT-USD</t>
  </si>
  <si>
    <t>2026-05-20</t>
  </si>
  <si>
    <t>DOLAR-2104-U-CT-USD</t>
  </si>
  <si>
    <t>2026-04-21</t>
  </si>
  <si>
    <t>DOLAR-2105-U-CT-USD</t>
  </si>
  <si>
    <t>2026-05-21</t>
  </si>
  <si>
    <t>DOLAR-2204-U-CT-USD</t>
  </si>
  <si>
    <t>2026-04-22</t>
  </si>
  <si>
    <t>DOLAR-2205-U-CT-USD</t>
  </si>
  <si>
    <t>2026-05-22</t>
  </si>
  <si>
    <t>DOLAR-2302-U-CT-USD</t>
  </si>
  <si>
    <t>2026-02-23</t>
  </si>
  <si>
    <t>DOLAR-2304-U-CT-USD</t>
  </si>
  <si>
    <t>2026-04-23</t>
  </si>
  <si>
    <t>DOLAR-2402-U-CT-USD</t>
  </si>
  <si>
    <t>2026-02-24</t>
  </si>
  <si>
    <t>DOLAR-2502-U-CT-USD</t>
  </si>
  <si>
    <t>2026-02-25</t>
  </si>
  <si>
    <t>DOLAR-2503-U-CT-USD</t>
  </si>
  <si>
    <t>2026-03-25</t>
  </si>
  <si>
    <t>DOLAR-2602-U-CT-USD</t>
  </si>
  <si>
    <t>2026-02-26</t>
  </si>
  <si>
    <t>DOLAR-2605-U-CT-USD</t>
  </si>
  <si>
    <t>2026-05-26</t>
  </si>
  <si>
    <t>DOLAR-2702-U-CT-USD</t>
  </si>
  <si>
    <t>2026-02-27</t>
  </si>
  <si>
    <t>DOLAR-2703-U-CT-USD</t>
  </si>
  <si>
    <t>2026-03-27</t>
  </si>
  <si>
    <t>DOLAR-2704-U-CT-USD</t>
  </si>
  <si>
    <t>2026-04-27</t>
  </si>
  <si>
    <t>DOLAR-2705-U-CT-USD</t>
  </si>
  <si>
    <t>2026-05-27</t>
  </si>
  <si>
    <t>DOLAR-2804-U-CT-USD</t>
  </si>
  <si>
    <t>2026-04-28</t>
  </si>
  <si>
    <t>DOLAR-2805-U-CT-USD</t>
  </si>
  <si>
    <t>2026-05-28</t>
  </si>
  <si>
    <t>DOLAR-2904-U-CT-USD</t>
  </si>
  <si>
    <t>2026-04-29</t>
  </si>
  <si>
    <t>DOLAR-2905-U-CT-USD</t>
  </si>
  <si>
    <t>2026-05-29</t>
  </si>
  <si>
    <t>DOLAR-3003-U-CT-USD</t>
  </si>
  <si>
    <t>2026-03-30</t>
  </si>
  <si>
    <t>DOLAR-3004-U-CT-USD</t>
  </si>
  <si>
    <t>2026-04-30</t>
  </si>
  <si>
    <t>DOLAR-3103-U-CT-USD</t>
  </si>
  <si>
    <t>2026-03-31</t>
  </si>
  <si>
    <t>PESOS-0104-U-CT-ARS</t>
  </si>
  <si>
    <t>PESOS</t>
  </si>
  <si>
    <t>2026-04-01</t>
  </si>
  <si>
    <t>PESOS-0203-U-CT-ARS</t>
  </si>
  <si>
    <t>PESOS-0206-U-CT-ARS</t>
  </si>
  <si>
    <t>PESOS-0303-U-CT-ARS</t>
  </si>
  <si>
    <t>PESOS-0403-U-CT-ARS</t>
  </si>
  <si>
    <t>PESOS-0405-U-CT-ARS</t>
  </si>
  <si>
    <t>PESOS-0503-U-CT-ARS</t>
  </si>
  <si>
    <t>2026-03-05</t>
  </si>
  <si>
    <t>PESOS-0505-U-CT-ARS</t>
  </si>
  <si>
    <t>PESOS-0603-U-CT-ARS</t>
  </si>
  <si>
    <t>PESOS-0604-U-CT-ARS</t>
  </si>
  <si>
    <t>PESOS-0605-U-CT-ARS</t>
  </si>
  <si>
    <t>PESOS-0704-U-CT-ARS</t>
  </si>
  <si>
    <t>PESOS-0705-U-CT-ARS</t>
  </si>
  <si>
    <t>PESOS-0804-U-CT-ARS</t>
  </si>
  <si>
    <t>PESOS-0903-U-CT-ARS</t>
  </si>
  <si>
    <t>PESOS-0904-U-CT-ARS</t>
  </si>
  <si>
    <t>PESOS-1003-U-CT-ARS</t>
  </si>
  <si>
    <t>PESOS-1004-U-CT-ARS</t>
  </si>
  <si>
    <t>PESOS-1103-U-CT-ARS</t>
  </si>
  <si>
    <t>2026-03-11</t>
  </si>
  <si>
    <t>PESOS-1203-U-CT-ARS</t>
  </si>
  <si>
    <t>2026-03-12</t>
  </si>
  <si>
    <t>PESOS-1205-U-CT-ARS</t>
  </si>
  <si>
    <t>PESOS-1302-U-CT-ARS</t>
  </si>
  <si>
    <t>PESOS-1303-U-CT-ARS</t>
  </si>
  <si>
    <t>2026-03-13</t>
  </si>
  <si>
    <t>PESOS-1304-U-CT-ARS</t>
  </si>
  <si>
    <t>PESOS-1305-U-CT-ARS</t>
  </si>
  <si>
    <t>PESOS-1404-U-CT-ARS</t>
  </si>
  <si>
    <t>PESOS-1405-U-CT-ARS</t>
  </si>
  <si>
    <t>PESOS-1504-U-CT-ARS</t>
  </si>
  <si>
    <t>2026-04-15</t>
  </si>
  <si>
    <t>PESOS-1505-U-CT-ARS</t>
  </si>
  <si>
    <t>PESOS-1603-U-CT-ARS</t>
  </si>
  <si>
    <t>PESOS-1604-U-CT-ARS</t>
  </si>
  <si>
    <t>PESOS-1703-U-CT-ARS</t>
  </si>
  <si>
    <t>PESOS-1704-U-CT-ARS</t>
  </si>
  <si>
    <t>2026-04-17</t>
  </si>
  <si>
    <t>PESOS-1802-U-CT-ARS</t>
  </si>
  <si>
    <t>PESOS-1803-U-CT-ARS</t>
  </si>
  <si>
    <t>2026-03-18</t>
  </si>
  <si>
    <t>PESOS-1805-U-CT-ARS</t>
  </si>
  <si>
    <t>2026-05-18</t>
  </si>
  <si>
    <t>PESOS-1902-U-CT-ARS</t>
  </si>
  <si>
    <t>PESOS-1903-U-CT-ARS</t>
  </si>
  <si>
    <t>2026-03-19</t>
  </si>
  <si>
    <t>PESOS-1905-U-CT-ARS</t>
  </si>
  <si>
    <t>PESOS-2002-U-CT-ARS</t>
  </si>
  <si>
    <t>PESOS-2003-U-CT-ARS</t>
  </si>
  <si>
    <t>PESOS-2004-U-CT-ARS</t>
  </si>
  <si>
    <t>PESOS-2005-U-CT-ARS</t>
  </si>
  <si>
    <t>PESOS-2104-U-CT-ARS</t>
  </si>
  <si>
    <t>PESOS-2105-U-CT-ARS</t>
  </si>
  <si>
    <t>PESOS-2204-U-CT-ARS</t>
  </si>
  <si>
    <t>PESOS-2205-U-CT-ARS</t>
  </si>
  <si>
    <t>PESOS-2302-U-CT-ARS</t>
  </si>
  <si>
    <t>PESOS-2304-U-CT-ARS</t>
  </si>
  <si>
    <t>PESOS-2402-U-CT-ARS</t>
  </si>
  <si>
    <t>PESOS-2404-U-CT-ARS</t>
  </si>
  <si>
    <t>2026-04-24</t>
  </si>
  <si>
    <t>PESOS-2502-U-CT-ARS</t>
  </si>
  <si>
    <t>PESOS-2503-U-CT-ARS</t>
  </si>
  <si>
    <t>PESOS-2602-U-CT-ARS</t>
  </si>
  <si>
    <t>PESOS-2603-U-CT-ARS</t>
  </si>
  <si>
    <t>2026-03-26</t>
  </si>
  <si>
    <t>PESOS-2605-U-CT-ARS</t>
  </si>
  <si>
    <t>PESOS-2702-U-CT-ARS</t>
  </si>
  <si>
    <t>PESOS-2703-U-CT-ARS</t>
  </si>
  <si>
    <t>PESOS-2704-U-CT-ARS</t>
  </si>
  <si>
    <t>PESOS-2705-U-CT-ARS</t>
  </si>
  <si>
    <t>PESOS-2804-U-CT-ARS</t>
  </si>
  <si>
    <t>PESOS-2805-U-CT-ARS</t>
  </si>
  <si>
    <t>PESOS-2904-U-CT-ARS</t>
  </si>
  <si>
    <t>PESOS-2905-U-CT-ARS</t>
  </si>
  <si>
    <t>PESOS-3003-U-CT-ARS</t>
  </si>
  <si>
    <t>PESOS-3004-U-CT-ARS</t>
  </si>
  <si>
    <t>PESOS-3103-U-CT-ARS</t>
  </si>
  <si>
    <t>Plazo</t>
  </si>
  <si>
    <t>Moneda</t>
  </si>
  <si>
    <t>Tasa</t>
  </si>
  <si>
    <t>Bid</t>
  </si>
  <si>
    <t>Ask</t>
  </si>
  <si>
    <t>Caución</t>
  </si>
  <si>
    <t>VENCIMIENTO</t>
  </si>
  <si>
    <t>COMPRA</t>
  </si>
  <si>
    <t>VENTA</t>
  </si>
  <si>
    <t>ULTIMO</t>
  </si>
  <si>
    <t>GD30/GD30C</t>
  </si>
  <si>
    <t>GD30/GD30C (CI)</t>
  </si>
  <si>
    <t>GD30/GD30D</t>
  </si>
  <si>
    <t>GD30/GD30D (CI)</t>
  </si>
  <si>
    <t>MAE</t>
  </si>
  <si>
    <t xml:space="preserve">Dolar Mayorista Bancos - Argentina    </t>
  </si>
  <si>
    <t xml:space="preserve">Dolar Banco Nacion Billete - Argentina    </t>
  </si>
  <si>
    <t xml:space="preserve">Dolar x Peso Argentino BNA    </t>
  </si>
  <si>
    <t>BBAR</t>
  </si>
  <si>
    <t>YPFD</t>
  </si>
  <si>
    <t>ALUA</t>
  </si>
  <si>
    <t>BMA</t>
  </si>
  <si>
    <t>BYMA</t>
  </si>
  <si>
    <t>CEPU</t>
  </si>
  <si>
    <t>COME</t>
  </si>
  <si>
    <t>CRES</t>
  </si>
  <si>
    <t>GGAL</t>
  </si>
  <si>
    <t>LOMA</t>
  </si>
  <si>
    <t>METR</t>
  </si>
  <si>
    <t>PAMP</t>
  </si>
  <si>
    <t>SUPV</t>
  </si>
  <si>
    <t>TGNO4</t>
  </si>
  <si>
    <t>TGSU2</t>
  </si>
  <si>
    <t>TRAN</t>
  </si>
  <si>
    <t>TXAR</t>
  </si>
  <si>
    <t>VALO</t>
  </si>
  <si>
    <t>DOLAR-0503-U-CT-USD</t>
  </si>
  <si>
    <t>Plazo fijo</t>
  </si>
  <si>
    <t>Oleoductos del Valle</t>
  </si>
  <si>
    <t>Fecha de liq</t>
  </si>
  <si>
    <t>PESOS-0106-U-CT-ARS</t>
  </si>
  <si>
    <t>2026-06-01</t>
  </si>
  <si>
    <t>PESOS-0306-U-CT-ARS</t>
  </si>
  <si>
    <t>2026-06-03</t>
  </si>
  <si>
    <t xml:space="preserve">Scania </t>
  </si>
  <si>
    <t>2026-06-04</t>
  </si>
  <si>
    <t>DOLAR-0406-U-CT-USD</t>
  </si>
  <si>
    <t>Profertil</t>
  </si>
  <si>
    <t xml:space="preserve">Pecom </t>
  </si>
  <si>
    <t>C.CPRA.</t>
  </si>
  <si>
    <t>P.CPRA.</t>
  </si>
  <si>
    <t>P.VTA.</t>
  </si>
  <si>
    <t>C.VTA.</t>
  </si>
  <si>
    <t>APERTURA</t>
  </si>
  <si>
    <t>MINIMO</t>
  </si>
  <si>
    <t>MAXIMO</t>
  </si>
  <si>
    <t>CIERRE ANT.</t>
  </si>
  <si>
    <t>VAR.</t>
  </si>
  <si>
    <t>VOLUMEN</t>
  </si>
  <si>
    <t>VOL.MONTO</t>
  </si>
  <si>
    <t>CIERRE</t>
  </si>
  <si>
    <t>HORA</t>
  </si>
  <si>
    <t>24hs</t>
  </si>
  <si>
    <t>A30C90000A</t>
  </si>
  <si>
    <t>A30C90000F</t>
  </si>
  <si>
    <t>A30C90000M</t>
  </si>
  <si>
    <t>A30C92000A</t>
  </si>
  <si>
    <t>A30C92000F</t>
  </si>
  <si>
    <t>A30C92000M</t>
  </si>
  <si>
    <t>A30V90000A</t>
  </si>
  <si>
    <t>A30V90000F</t>
  </si>
  <si>
    <t>A30V90000M</t>
  </si>
  <si>
    <t>A30V92000A</t>
  </si>
  <si>
    <t>A30V92000F</t>
  </si>
  <si>
    <t>A30V92000M</t>
  </si>
  <si>
    <t>A35C82000A</t>
  </si>
  <si>
    <t>A35C82000F</t>
  </si>
  <si>
    <t>A35C82000M</t>
  </si>
  <si>
    <t>A35C84000A</t>
  </si>
  <si>
    <t>A35C84000F</t>
  </si>
  <si>
    <t>A35C84000M</t>
  </si>
  <si>
    <t>A35C86000A</t>
  </si>
  <si>
    <t>A35C86000F</t>
  </si>
  <si>
    <t>A35C86000M</t>
  </si>
  <si>
    <t>A35C88000A</t>
  </si>
  <si>
    <t>A35C88000F</t>
  </si>
  <si>
    <t>A35C88000M</t>
  </si>
  <si>
    <t>A35V82000A</t>
  </si>
  <si>
    <t>A35V82000F</t>
  </si>
  <si>
    <t>A35V82000M</t>
  </si>
  <si>
    <t>A35V84000A</t>
  </si>
  <si>
    <t>A35V84000F</t>
  </si>
  <si>
    <t>A35V84000M</t>
  </si>
  <si>
    <t>A35V86000A</t>
  </si>
  <si>
    <t>A35V86000F</t>
  </si>
  <si>
    <t>A35V86000M</t>
  </si>
  <si>
    <t>A35V88000A</t>
  </si>
  <si>
    <t>A35V88000F</t>
  </si>
  <si>
    <t>A35V88000M</t>
  </si>
  <si>
    <t>A38C82000A</t>
  </si>
  <si>
    <t>A38C82000F</t>
  </si>
  <si>
    <t>A38C82000M</t>
  </si>
  <si>
    <t>A38C84000A</t>
  </si>
  <si>
    <t>A38C84000F</t>
  </si>
  <si>
    <t>A38C84000M</t>
  </si>
  <si>
    <t>A38C86000A</t>
  </si>
  <si>
    <t>A38C86000F</t>
  </si>
  <si>
    <t>A38C86000M</t>
  </si>
  <si>
    <t>A38C88000A</t>
  </si>
  <si>
    <t>A38C88000F</t>
  </si>
  <si>
    <t>A38C88000M</t>
  </si>
  <si>
    <t>A38V82000A</t>
  </si>
  <si>
    <t>A38V82000F</t>
  </si>
  <si>
    <t>A38V82000M</t>
  </si>
  <si>
    <t>A38V84000A</t>
  </si>
  <si>
    <t>A38V84000F</t>
  </si>
  <si>
    <t>A38V84000M</t>
  </si>
  <si>
    <t>A38V86000A</t>
  </si>
  <si>
    <t>A38V86000F</t>
  </si>
  <si>
    <t>A38V86000M</t>
  </si>
  <si>
    <t>A38V88000A</t>
  </si>
  <si>
    <t>A38V88000F</t>
  </si>
  <si>
    <t>A38V88000M</t>
  </si>
  <si>
    <t>AGRC12.0AB</t>
  </si>
  <si>
    <t>AGRC12.0FE</t>
  </si>
  <si>
    <t>AGRC17.0AB</t>
  </si>
  <si>
    <t>AGRC17.0AG</t>
  </si>
  <si>
    <t>AGRC17.0JU</t>
  </si>
  <si>
    <t>AGRC20.0OC</t>
  </si>
  <si>
    <t>AGRC24.0AG</t>
  </si>
  <si>
    <t>AGRC24.0OC</t>
  </si>
  <si>
    <t>AGRC26.0AG</t>
  </si>
  <si>
    <t>AGRC26.0OC</t>
  </si>
  <si>
    <t>AGRC28.0AG</t>
  </si>
  <si>
    <t>AGRC28.0OC</t>
  </si>
  <si>
    <t>AGRC28.0SE</t>
  </si>
  <si>
    <t>AGRC29.0OC</t>
  </si>
  <si>
    <t>AGRV12.0AB</t>
  </si>
  <si>
    <t>AIGC23000A</t>
  </si>
  <si>
    <t>AIGC23000F</t>
  </si>
  <si>
    <t>AIGC24000A</t>
  </si>
  <si>
    <t>AIGC24000F</t>
  </si>
  <si>
    <t>AIGC25000A</t>
  </si>
  <si>
    <t>AIGC25000F</t>
  </si>
  <si>
    <t>ALUC1000AB</t>
  </si>
  <si>
    <t>ALUC1000FE</t>
  </si>
  <si>
    <t>ALUC1047AB</t>
  </si>
  <si>
    <t>ALUC1047FE</t>
  </si>
  <si>
    <t>ALUC1050AB</t>
  </si>
  <si>
    <t>ALUC1050FE</t>
  </si>
  <si>
    <t>ALUC1050JU</t>
  </si>
  <si>
    <t>ALUC1097AB</t>
  </si>
  <si>
    <t>ALUC1097FE</t>
  </si>
  <si>
    <t>ALUC1100AB</t>
  </si>
  <si>
    <t>ALUC1100FE</t>
  </si>
  <si>
    <t>ALUC1100JU</t>
  </si>
  <si>
    <t>ALUC1150AB</t>
  </si>
  <si>
    <t>ALUC1150FE</t>
  </si>
  <si>
    <t>ALUC1150JU</t>
  </si>
  <si>
    <t>ALUC1197FE</t>
  </si>
  <si>
    <t>ALUC1200AB</t>
  </si>
  <si>
    <t>ALUC1200FE</t>
  </si>
  <si>
    <t>ALUC1200JU</t>
  </si>
  <si>
    <t>ALUC1247FE</t>
  </si>
  <si>
    <t>ALUC1250AB</t>
  </si>
  <si>
    <t>ALUC1250FE</t>
  </si>
  <si>
    <t>ALUC1250JU</t>
  </si>
  <si>
    <t>ALUC1297AB</t>
  </si>
  <si>
    <t>ALUC1297FE</t>
  </si>
  <si>
    <t>ALUC1300AB</t>
  </si>
  <si>
    <t>ALUC1300FE</t>
  </si>
  <si>
    <t>ALUC1300JU</t>
  </si>
  <si>
    <t>ALUC1347AB</t>
  </si>
  <si>
    <t>ALUC1347FE</t>
  </si>
  <si>
    <t>ALUC1350AB</t>
  </si>
  <si>
    <t>ALUC1350FE</t>
  </si>
  <si>
    <t>ALUC1350JU</t>
  </si>
  <si>
    <t>ALUC1400AB</t>
  </si>
  <si>
    <t>ALUC1400FE</t>
  </si>
  <si>
    <t>ALUC1450AB</t>
  </si>
  <si>
    <t>ALUC1450FE</t>
  </si>
  <si>
    <t>ALUC1500AB</t>
  </si>
  <si>
    <t>ALUC1500FE</t>
  </si>
  <si>
    <t>ALUC31.0AB</t>
  </si>
  <si>
    <t>ALUC31.0AG</t>
  </si>
  <si>
    <t>ALUC31.0JU</t>
  </si>
  <si>
    <t>ALUC31.0OC</t>
  </si>
  <si>
    <t>ALUC33.0AG</t>
  </si>
  <si>
    <t>ALUC33.0JU</t>
  </si>
  <si>
    <t>ALUC35.0AB</t>
  </si>
  <si>
    <t>ALUC35.0AG</t>
  </si>
  <si>
    <t>ALUC35.0FE</t>
  </si>
  <si>
    <t>ALUC35.0JU</t>
  </si>
  <si>
    <t>ALUC39704F</t>
  </si>
  <si>
    <t>ALUC400.AB</t>
  </si>
  <si>
    <t>ALUC400.FE</t>
  </si>
  <si>
    <t>ALUC41.0AB</t>
  </si>
  <si>
    <t>ALUC41.0AG</t>
  </si>
  <si>
    <t>ALUC41.0FE</t>
  </si>
  <si>
    <t>ALUC41.0JU</t>
  </si>
  <si>
    <t>ALUC43.0AB</t>
  </si>
  <si>
    <t>ALUC43.0AG</t>
  </si>
  <si>
    <t>ALUC43.0JU</t>
  </si>
  <si>
    <t>ALUC43.0OC</t>
  </si>
  <si>
    <t>ALUC45.0AB</t>
  </si>
  <si>
    <t>ALUC45.0AG</t>
  </si>
  <si>
    <t>ALUC45.0JU</t>
  </si>
  <si>
    <t>ALUC450.AB</t>
  </si>
  <si>
    <t>ALUC47.0AB</t>
  </si>
  <si>
    <t>ALUC47.0AG</t>
  </si>
  <si>
    <t>ALUC47.0JU</t>
  </si>
  <si>
    <t>ALUC47.0OC</t>
  </si>
  <si>
    <t>ALUC49.0AB</t>
  </si>
  <si>
    <t>ALUC49.0AG</t>
  </si>
  <si>
    <t>ALUC49.0JU</t>
  </si>
  <si>
    <t>ALUC500.FE</t>
  </si>
  <si>
    <t>ALUC51.0AB</t>
  </si>
  <si>
    <t>ALUC51.0AG</t>
  </si>
  <si>
    <t>ALUC51.0OC</t>
  </si>
  <si>
    <t>ALUC53.0AG</t>
  </si>
  <si>
    <t>ALUC53.0JU</t>
  </si>
  <si>
    <t>ALUC53.0OC</t>
  </si>
  <si>
    <t>ALUC55.0AG</t>
  </si>
  <si>
    <t>ALUC57.0AG</t>
  </si>
  <si>
    <t>ALUC57.0JU</t>
  </si>
  <si>
    <t>ALUC57.0OC</t>
  </si>
  <si>
    <t>ALUC59.0AG</t>
  </si>
  <si>
    <t>ALUC61.0AG</t>
  </si>
  <si>
    <t>ALUC61.0OC</t>
  </si>
  <si>
    <t>ALUC63.0AG</t>
  </si>
  <si>
    <t>ALUC63.0OC</t>
  </si>
  <si>
    <t>ALUC64704F</t>
  </si>
  <si>
    <t>ALUC650.FE</t>
  </si>
  <si>
    <t>ALUC700.FE</t>
  </si>
  <si>
    <t>ALUC750.FE</t>
  </si>
  <si>
    <t>ALUC79704A</t>
  </si>
  <si>
    <t>ALUC79704F</t>
  </si>
  <si>
    <t>ALUC800.AB</t>
  </si>
  <si>
    <t>ALUC800.FE</t>
  </si>
  <si>
    <t>ALUC800.JU</t>
  </si>
  <si>
    <t>ALUC84704A</t>
  </si>
  <si>
    <t>ALUC84704F</t>
  </si>
  <si>
    <t>ALUC850.AB</t>
  </si>
  <si>
    <t>ALUC850.FE</t>
  </si>
  <si>
    <t>ALUC89704F</t>
  </si>
  <si>
    <t>ALUC900.AB</t>
  </si>
  <si>
    <t>ALUC900.FE</t>
  </si>
  <si>
    <t>ALUC94704F</t>
  </si>
  <si>
    <t>ALUC950.AB</t>
  </si>
  <si>
    <t>ALUC950.FE</t>
  </si>
  <si>
    <t>ALUC950.MA</t>
  </si>
  <si>
    <t>ALUC99704A</t>
  </si>
  <si>
    <t>ALUC99704F</t>
  </si>
  <si>
    <t>ALUV1000AB</t>
  </si>
  <si>
    <t>ALUV1000FE</t>
  </si>
  <si>
    <t>ALUV1000JU</t>
  </si>
  <si>
    <t>ALUV1047AB</t>
  </si>
  <si>
    <t>ALUV1047FE</t>
  </si>
  <si>
    <t>ALUV1050AB</t>
  </si>
  <si>
    <t>ALUV1050FE</t>
  </si>
  <si>
    <t>ALUV1050JU</t>
  </si>
  <si>
    <t>ALUV1097AB</t>
  </si>
  <si>
    <t>ALUV1097FE</t>
  </si>
  <si>
    <t>ALUV1100AB</t>
  </si>
  <si>
    <t>ALUV1100FE</t>
  </si>
  <si>
    <t>ALUV1100JU</t>
  </si>
  <si>
    <t>ALUV1150AB</t>
  </si>
  <si>
    <t>ALUV1150FE</t>
  </si>
  <si>
    <t>ALUV1197FE</t>
  </si>
  <si>
    <t>ALUV1200AB</t>
  </si>
  <si>
    <t>ALUV1200FE</t>
  </si>
  <si>
    <t>ALUV1247FE</t>
  </si>
  <si>
    <t>ALUV1250AB</t>
  </si>
  <si>
    <t>ALUV1250FE</t>
  </si>
  <si>
    <t>ALUV1297AB</t>
  </si>
  <si>
    <t>ALUV1297FE</t>
  </si>
  <si>
    <t>ALUV1300AB</t>
  </si>
  <si>
    <t>ALUV1300FE</t>
  </si>
  <si>
    <t>ALUV1347AB</t>
  </si>
  <si>
    <t>ALUV1347FE</t>
  </si>
  <si>
    <t>ALUV1450AB</t>
  </si>
  <si>
    <t>ALUV1450FE</t>
  </si>
  <si>
    <t>ALUV1500AB</t>
  </si>
  <si>
    <t>ALUV31.0AB</t>
  </si>
  <si>
    <t>ALUV31.0AG</t>
  </si>
  <si>
    <t>ALUV31.0JU</t>
  </si>
  <si>
    <t>ALUV31.0OC</t>
  </si>
  <si>
    <t>ALUV35.0AG</t>
  </si>
  <si>
    <t>ALUV37.0JU</t>
  </si>
  <si>
    <t>ALUV39.0JU</t>
  </si>
  <si>
    <t>ALUV39704F</t>
  </si>
  <si>
    <t>ALUV400.AB</t>
  </si>
  <si>
    <t>ALUV400.FE</t>
  </si>
  <si>
    <t>ALUV41.0AG</t>
  </si>
  <si>
    <t>ALUV41.0FE</t>
  </si>
  <si>
    <t>ALUV41.0JU</t>
  </si>
  <si>
    <t>ALUV43.0AG</t>
  </si>
  <si>
    <t>ALUV43.0JU</t>
  </si>
  <si>
    <t>ALUV45.0AB</t>
  </si>
  <si>
    <t>ALUV45.0AG</t>
  </si>
  <si>
    <t>ALUV45.0JU</t>
  </si>
  <si>
    <t>ALUV450.AB</t>
  </si>
  <si>
    <t>ALUV47.0AG</t>
  </si>
  <si>
    <t>ALUV500.FE</t>
  </si>
  <si>
    <t>ALUV51.0OC</t>
  </si>
  <si>
    <t>ALUV53.0OC</t>
  </si>
  <si>
    <t>ALUV550.FE</t>
  </si>
  <si>
    <t>ALUV57.0AG</t>
  </si>
  <si>
    <t>ALUV57.0OC</t>
  </si>
  <si>
    <t>ALUV600.FE</t>
  </si>
  <si>
    <t>ALUV61.0AG</t>
  </si>
  <si>
    <t>ALUV61.0OC</t>
  </si>
  <si>
    <t>ALUV63.0AG</t>
  </si>
  <si>
    <t>ALUV63.0OC</t>
  </si>
  <si>
    <t>ALUV64704F</t>
  </si>
  <si>
    <t>ALUV650.FE</t>
  </si>
  <si>
    <t>ALUV700.FE</t>
  </si>
  <si>
    <t>ALUV750.FE</t>
  </si>
  <si>
    <t>ALUV79704A</t>
  </si>
  <si>
    <t>ALUV79704F</t>
  </si>
  <si>
    <t>ALUV800.AB</t>
  </si>
  <si>
    <t>ALUV800.FE</t>
  </si>
  <si>
    <t>ALUV800.JU</t>
  </si>
  <si>
    <t>ALUV84704A</t>
  </si>
  <si>
    <t>ALUV84704F</t>
  </si>
  <si>
    <t>ALUV850.AB</t>
  </si>
  <si>
    <t>ALUV850.FE</t>
  </si>
  <si>
    <t>ALUV850.JU</t>
  </si>
  <si>
    <t>ALUV89704F</t>
  </si>
  <si>
    <t>ALUV900.AB</t>
  </si>
  <si>
    <t>ALUV900.FE</t>
  </si>
  <si>
    <t>ALUV900.JU</t>
  </si>
  <si>
    <t>ALUV94704F</t>
  </si>
  <si>
    <t>ALUV950.AB</t>
  </si>
  <si>
    <t>ALUV950.FE</t>
  </si>
  <si>
    <t>ALUV950.JU</t>
  </si>
  <si>
    <t>ALUV99704A</t>
  </si>
  <si>
    <t>ALUV99704F</t>
  </si>
  <si>
    <t>AMZC2300AB</t>
  </si>
  <si>
    <t>AMZC2300FE</t>
  </si>
  <si>
    <t>AMZC2300JU</t>
  </si>
  <si>
    <t>AMZC2300MA</t>
  </si>
  <si>
    <t>AMZC2400AB</t>
  </si>
  <si>
    <t>AMZC2400FE</t>
  </si>
  <si>
    <t>AMZC2400JU</t>
  </si>
  <si>
    <t>AMZC2400MA</t>
  </si>
  <si>
    <t>AMZC3050AB</t>
  </si>
  <si>
    <t>AMZC3200AB</t>
  </si>
  <si>
    <t>AMZC3200FE</t>
  </si>
  <si>
    <t>AMZC3400AB</t>
  </si>
  <si>
    <t>AMZC3400MA</t>
  </si>
  <si>
    <t>AMZC3450AB</t>
  </si>
  <si>
    <t>AMZC3450AG</t>
  </si>
  <si>
    <t>AMZC3550AB</t>
  </si>
  <si>
    <t>AMZC3550FE</t>
  </si>
  <si>
    <t>AMZC3550MA</t>
  </si>
  <si>
    <t>AMZC3600MY</t>
  </si>
  <si>
    <t>AMZV2300AB</t>
  </si>
  <si>
    <t>AMZV2300FE</t>
  </si>
  <si>
    <t>AMZV2300JU</t>
  </si>
  <si>
    <t>AMZV2300MA</t>
  </si>
  <si>
    <t>AMZV2400AB</t>
  </si>
  <si>
    <t>AMZV2400FE</t>
  </si>
  <si>
    <t>AMZV2400JU</t>
  </si>
  <si>
    <t>AMZV2400MA</t>
  </si>
  <si>
    <t>APLC16979G</t>
  </si>
  <si>
    <t>APLC16979J</t>
  </si>
  <si>
    <t>APLC16982A</t>
  </si>
  <si>
    <t>APLC16982F</t>
  </si>
  <si>
    <t>APLC1700AB</t>
  </si>
  <si>
    <t>APLC1700AG</t>
  </si>
  <si>
    <t>APLC1700FE</t>
  </si>
  <si>
    <t>APLC1700JU</t>
  </si>
  <si>
    <t>APLC1700OC</t>
  </si>
  <si>
    <t>APLC1800JU</t>
  </si>
  <si>
    <t>APLC18979J</t>
  </si>
  <si>
    <t>APLC18982F</t>
  </si>
  <si>
    <t>APLC1900AB</t>
  </si>
  <si>
    <t>APLC1900AG</t>
  </si>
  <si>
    <t>APLC1900FE</t>
  </si>
  <si>
    <t>APLC1900JU</t>
  </si>
  <si>
    <t>APLC20000A</t>
  </si>
  <si>
    <t>APLC20000F</t>
  </si>
  <si>
    <t>APLC20000J</t>
  </si>
  <si>
    <t>APLC20000M</t>
  </si>
  <si>
    <t>APLC2000AB</t>
  </si>
  <si>
    <t>APLC2000AG</t>
  </si>
  <si>
    <t>APLC2000FE</t>
  </si>
  <si>
    <t>APLC20979J</t>
  </si>
  <si>
    <t>APLC20979Y</t>
  </si>
  <si>
    <t>APLC20982F</t>
  </si>
  <si>
    <t>APLC21000A</t>
  </si>
  <si>
    <t>APLC21000F</t>
  </si>
  <si>
    <t>APLC21000J</t>
  </si>
  <si>
    <t>APLC21000M</t>
  </si>
  <si>
    <t>APLC2100AB</t>
  </si>
  <si>
    <t>APLC2100AG</t>
  </si>
  <si>
    <t>APLC2100DI</t>
  </si>
  <si>
    <t>APLC2100FE</t>
  </si>
  <si>
    <t>APLC2100JU</t>
  </si>
  <si>
    <t>APLC2100MA</t>
  </si>
  <si>
    <t>APLC2100MY</t>
  </si>
  <si>
    <t>APLC21979J</t>
  </si>
  <si>
    <t>APLC22000A</t>
  </si>
  <si>
    <t>APLC22000F</t>
  </si>
  <si>
    <t>APLC22000J</t>
  </si>
  <si>
    <t>APLC22000M</t>
  </si>
  <si>
    <t>APLC2200AB</t>
  </si>
  <si>
    <t>APLC2200AG</t>
  </si>
  <si>
    <t>APLC2200FE</t>
  </si>
  <si>
    <t>APLC2200JU</t>
  </si>
  <si>
    <t>APLC22979J</t>
  </si>
  <si>
    <t>APLC2300AG</t>
  </si>
  <si>
    <t>APLC2700OC</t>
  </si>
  <si>
    <t>APLC2700SE</t>
  </si>
  <si>
    <t>APLV20000A</t>
  </si>
  <si>
    <t>APLV20000F</t>
  </si>
  <si>
    <t>APLV20000J</t>
  </si>
  <si>
    <t>APLV20000M</t>
  </si>
  <si>
    <t>APLV21000A</t>
  </si>
  <si>
    <t>APLV21000F</t>
  </si>
  <si>
    <t>APLV21000J</t>
  </si>
  <si>
    <t>APLV21000M</t>
  </si>
  <si>
    <t>APLV22000A</t>
  </si>
  <si>
    <t>APLV22000F</t>
  </si>
  <si>
    <t>APLV22000J</t>
  </si>
  <si>
    <t>APLV22000M</t>
  </si>
  <si>
    <t>APLV2200AG</t>
  </si>
  <si>
    <t>APLV2300AG</t>
  </si>
  <si>
    <t>AUSC116.DI</t>
  </si>
  <si>
    <t>BACC19000A</t>
  </si>
  <si>
    <t>BACC19000F</t>
  </si>
  <si>
    <t>BACC19000J</t>
  </si>
  <si>
    <t>BACC19000M</t>
  </si>
  <si>
    <t>BACC20000A</t>
  </si>
  <si>
    <t>BACC20000F</t>
  </si>
  <si>
    <t>BACC20000J</t>
  </si>
  <si>
    <t>BACC20000M</t>
  </si>
  <si>
    <t>BACC2000FE</t>
  </si>
  <si>
    <t>BACC21000A</t>
  </si>
  <si>
    <t>BACC21000F</t>
  </si>
  <si>
    <t>BACC21000J</t>
  </si>
  <si>
    <t>BACC21000M</t>
  </si>
  <si>
    <t>BACC2100AB</t>
  </si>
  <si>
    <t>BACC22000A</t>
  </si>
  <si>
    <t>BACC22000F</t>
  </si>
  <si>
    <t>BACC22000J</t>
  </si>
  <si>
    <t>BACC22000M</t>
  </si>
  <si>
    <t>BACC2200AB</t>
  </si>
  <si>
    <t>BACC2700JU</t>
  </si>
  <si>
    <t>BACC3000AG</t>
  </si>
  <si>
    <t>BBAC110.FE</t>
  </si>
  <si>
    <t>BBAC130.AB</t>
  </si>
  <si>
    <t>BBAC130.AG</t>
  </si>
  <si>
    <t>BBAC140.FE</t>
  </si>
  <si>
    <t>BBAC150.AB</t>
  </si>
  <si>
    <t>BBAC160.AB</t>
  </si>
  <si>
    <t>BBAC170.AG</t>
  </si>
  <si>
    <t>BBAC4400FE</t>
  </si>
  <si>
    <t>BBAC4800FE</t>
  </si>
  <si>
    <t>BBAC5200FE</t>
  </si>
  <si>
    <t>BBAC55261F</t>
  </si>
  <si>
    <t>BBAC55453F</t>
  </si>
  <si>
    <t>BBAC5564FE</t>
  </si>
  <si>
    <t>BBAC55822F</t>
  </si>
  <si>
    <t>BBAC5600FE</t>
  </si>
  <si>
    <t>BBAC6200FE</t>
  </si>
  <si>
    <t>BBAC6600AB</t>
  </si>
  <si>
    <t>BBAC6600FE</t>
  </si>
  <si>
    <t>BBAC8200FE</t>
  </si>
  <si>
    <t>BBAC8600FE</t>
  </si>
  <si>
    <t>BBAC9000AB</t>
  </si>
  <si>
    <t>BBAC9000FE</t>
  </si>
  <si>
    <t>BBAC93808F</t>
  </si>
  <si>
    <t>BBAC9400AB</t>
  </si>
  <si>
    <t>BBAC9400FE</t>
  </si>
  <si>
    <t>BBAC9400JU</t>
  </si>
  <si>
    <t>BBAC9400MA</t>
  </si>
  <si>
    <t>BBAV130.AB</t>
  </si>
  <si>
    <t>BBAV130.AG</t>
  </si>
  <si>
    <t>BBAV130.FE</t>
  </si>
  <si>
    <t>BBAV130.JU</t>
  </si>
  <si>
    <t>BBAV140.DI</t>
  </si>
  <si>
    <t>BBAV160.OC</t>
  </si>
  <si>
    <t>BBAV3600FE</t>
  </si>
  <si>
    <t>BBAV4000FE</t>
  </si>
  <si>
    <t>BBAV4400FE</t>
  </si>
  <si>
    <t>BBAV4800AB</t>
  </si>
  <si>
    <t>BBAV4800FE</t>
  </si>
  <si>
    <t>BBAV5200AB</t>
  </si>
  <si>
    <t>BBAV5200FE</t>
  </si>
  <si>
    <t>BBAV55261F</t>
  </si>
  <si>
    <t>BBAV55453F</t>
  </si>
  <si>
    <t>BBAV5564FE</t>
  </si>
  <si>
    <t>BBAV55822F</t>
  </si>
  <si>
    <t>BBAV5600AB</t>
  </si>
  <si>
    <t>BBAV5600FE</t>
  </si>
  <si>
    <t>BBAV6200AB</t>
  </si>
  <si>
    <t>BBAV6200FE</t>
  </si>
  <si>
    <t>BBAV6600AB</t>
  </si>
  <si>
    <t>BBAV6600FE</t>
  </si>
  <si>
    <t>BBAV6600JU</t>
  </si>
  <si>
    <t>BBAV7000AB</t>
  </si>
  <si>
    <t>BBAV7000FE</t>
  </si>
  <si>
    <t>BBAV7000JU</t>
  </si>
  <si>
    <t>BBAV7400AB</t>
  </si>
  <si>
    <t>BBAV7400JU</t>
  </si>
  <si>
    <t>BBAV7800AB</t>
  </si>
  <si>
    <t>BBAV7800FE</t>
  </si>
  <si>
    <t>BBAV7800JU</t>
  </si>
  <si>
    <t>BBAV8200AB</t>
  </si>
  <si>
    <t>BBAV8200FE</t>
  </si>
  <si>
    <t>BBAV8200JU</t>
  </si>
  <si>
    <t>BBAV8600AB</t>
  </si>
  <si>
    <t>BBAV8600FE</t>
  </si>
  <si>
    <t>BBAV8600JU</t>
  </si>
  <si>
    <t>BBAV9000AB</t>
  </si>
  <si>
    <t>BBAV9000FE</t>
  </si>
  <si>
    <t>BBAV9000JU</t>
  </si>
  <si>
    <t>BBAV93808F</t>
  </si>
  <si>
    <t>BBAV9400AB</t>
  </si>
  <si>
    <t>BBAV9400FE</t>
  </si>
  <si>
    <t>BBAV9400JU</t>
  </si>
  <si>
    <t>BBAV9400MA</t>
  </si>
  <si>
    <t>BHIC13413F</t>
  </si>
  <si>
    <t>BHIC13907A</t>
  </si>
  <si>
    <t>BHIC13957F</t>
  </si>
  <si>
    <t>BHIC14451A</t>
  </si>
  <si>
    <t>BHIC14486F</t>
  </si>
  <si>
    <t>BHIC1498AB</t>
  </si>
  <si>
    <t>BHIC15002F</t>
  </si>
  <si>
    <t>BHIC15496A</t>
  </si>
  <si>
    <t>BHIC15506F</t>
  </si>
  <si>
    <t>BHIC160.AB</t>
  </si>
  <si>
    <t>BHIC160.FE</t>
  </si>
  <si>
    <t>BHIC180.AB</t>
  </si>
  <si>
    <t>BHIC180.FE</t>
  </si>
  <si>
    <t>BHIC220.FE</t>
  </si>
  <si>
    <t>BHIC240.FE</t>
  </si>
  <si>
    <t>BHIC25907F</t>
  </si>
  <si>
    <t>BHIC260.FE</t>
  </si>
  <si>
    <t>BHIC26451F</t>
  </si>
  <si>
    <t>BHIC2698FE</t>
  </si>
  <si>
    <t>BHIC27496F</t>
  </si>
  <si>
    <t>BHIC280.AB</t>
  </si>
  <si>
    <t>BHIC280.FE</t>
  </si>
  <si>
    <t>BHIC28927J</t>
  </si>
  <si>
    <t>BHIC29471J</t>
  </si>
  <si>
    <t>BHIC300.AB</t>
  </si>
  <si>
    <t>BHIC300.FE</t>
  </si>
  <si>
    <t>BHIC300.JU</t>
  </si>
  <si>
    <t>BHIC300.MA</t>
  </si>
  <si>
    <t>BHIC31456A</t>
  </si>
  <si>
    <t>BHIC320.AB</t>
  </si>
  <si>
    <t>BHIC320.FE</t>
  </si>
  <si>
    <t>BHIC320.MA</t>
  </si>
  <si>
    <t>BHIC33456A</t>
  </si>
  <si>
    <t>BHIC340.FE</t>
  </si>
  <si>
    <t>BHIC340.MA</t>
  </si>
  <si>
    <t>BHIC35456A</t>
  </si>
  <si>
    <t>BHIC360.AB</t>
  </si>
  <si>
    <t>BHIC360.FE</t>
  </si>
  <si>
    <t>BHIC360.MA</t>
  </si>
  <si>
    <t>BHIC37496F</t>
  </si>
  <si>
    <t>BHIC380.AB</t>
  </si>
  <si>
    <t>BHIC380.FE</t>
  </si>
  <si>
    <t>BHIC380.MA</t>
  </si>
  <si>
    <t>BHIC38411A</t>
  </si>
  <si>
    <t>BHIC38411F</t>
  </si>
  <si>
    <t>BHIC38955A</t>
  </si>
  <si>
    <t>BHIC38955F</t>
  </si>
  <si>
    <t>BHIC39484A</t>
  </si>
  <si>
    <t>BHIC39484F</t>
  </si>
  <si>
    <t>BHIC400.AB</t>
  </si>
  <si>
    <t>BHIC400.FE</t>
  </si>
  <si>
    <t>BHIC400.MA</t>
  </si>
  <si>
    <t>BHIC420.AB</t>
  </si>
  <si>
    <t>BHIC420.MA</t>
  </si>
  <si>
    <t>BHIC440.AB</t>
  </si>
  <si>
    <t>BHIC440.MA</t>
  </si>
  <si>
    <t>BHIC460.AB</t>
  </si>
  <si>
    <t>BHIC460.FE</t>
  </si>
  <si>
    <t>BHIC460.MA</t>
  </si>
  <si>
    <t>BHIC46411A</t>
  </si>
  <si>
    <t>BHIC46955A</t>
  </si>
  <si>
    <t>BHIC47456J</t>
  </si>
  <si>
    <t>BHIC47484A</t>
  </si>
  <si>
    <t>BHIC480.AB</t>
  </si>
  <si>
    <t>BHIC480.FE</t>
  </si>
  <si>
    <t>BHIC480.JU</t>
  </si>
  <si>
    <t>BHIC480.MA</t>
  </si>
  <si>
    <t>BHIC500.JU</t>
  </si>
  <si>
    <t>BHIC500.MA</t>
  </si>
  <si>
    <t>BHIC520.FE</t>
  </si>
  <si>
    <t>BHIC520.JU</t>
  </si>
  <si>
    <t>BHIC520.MA</t>
  </si>
  <si>
    <t>BHIC52927J</t>
  </si>
  <si>
    <t>BHIC53471J</t>
  </si>
  <si>
    <t>BHIC540.JU</t>
  </si>
  <si>
    <t>BHIV13413F</t>
  </si>
  <si>
    <t>BHIV13907A</t>
  </si>
  <si>
    <t>BHIV13957F</t>
  </si>
  <si>
    <t>BHIV14451A</t>
  </si>
  <si>
    <t>BHIV14486F</t>
  </si>
  <si>
    <t>BHIV1498AB</t>
  </si>
  <si>
    <t>BHIV15002F</t>
  </si>
  <si>
    <t>BHIV15496A</t>
  </si>
  <si>
    <t>BHIV15506F</t>
  </si>
  <si>
    <t>BHIV160.AB</t>
  </si>
  <si>
    <t>BHIV160.FE</t>
  </si>
  <si>
    <t>BHIV180.AB</t>
  </si>
  <si>
    <t>BHIV180.FE</t>
  </si>
  <si>
    <t>BHIV200.AB</t>
  </si>
  <si>
    <t>BHIV200.FE</t>
  </si>
  <si>
    <t>BHIV220.AB</t>
  </si>
  <si>
    <t>BHIV220.FE</t>
  </si>
  <si>
    <t>BHIV240.AB</t>
  </si>
  <si>
    <t>BHIV240.FE</t>
  </si>
  <si>
    <t>BHIV25907F</t>
  </si>
  <si>
    <t>BHIV260.AB</t>
  </si>
  <si>
    <t>BHIV260.FE</t>
  </si>
  <si>
    <t>BHIV26451F</t>
  </si>
  <si>
    <t>BHIV2698FE</t>
  </si>
  <si>
    <t>BHIV27496F</t>
  </si>
  <si>
    <t>BHIV280.AB</t>
  </si>
  <si>
    <t>BHIV280.FE</t>
  </si>
  <si>
    <t>BHIV28927J</t>
  </si>
  <si>
    <t>BHIV29471J</t>
  </si>
  <si>
    <t>BHIV300.AB</t>
  </si>
  <si>
    <t>BHIV300.FE</t>
  </si>
  <si>
    <t>BHIV300.JU</t>
  </si>
  <si>
    <t>BHIV300.MA</t>
  </si>
  <si>
    <t>BHIV31456A</t>
  </si>
  <si>
    <t>BHIV320.AB</t>
  </si>
  <si>
    <t>BHIV320.FE</t>
  </si>
  <si>
    <t>BHIV320.JU</t>
  </si>
  <si>
    <t>BHIV320.MA</t>
  </si>
  <si>
    <t>BHIV33456A</t>
  </si>
  <si>
    <t>BHIV340.AB</t>
  </si>
  <si>
    <t>BHIV340.FE</t>
  </si>
  <si>
    <t>BHIV340.JU</t>
  </si>
  <si>
    <t>BHIV340.MA</t>
  </si>
  <si>
    <t>BHIV35456A</t>
  </si>
  <si>
    <t>BHIV360.AB</t>
  </si>
  <si>
    <t>BHIV360.FE</t>
  </si>
  <si>
    <t>BHIV360.JU</t>
  </si>
  <si>
    <t>BHIV360.MA</t>
  </si>
  <si>
    <t>BHIV37496F</t>
  </si>
  <si>
    <t>BHIV380.AB</t>
  </si>
  <si>
    <t>BHIV380.FE</t>
  </si>
  <si>
    <t>BHIV380.JU</t>
  </si>
  <si>
    <t>BHIV380.MA</t>
  </si>
  <si>
    <t>BHIV38411A</t>
  </si>
  <si>
    <t>BHIV38411F</t>
  </si>
  <si>
    <t>BHIV38955A</t>
  </si>
  <si>
    <t>BHIV38955F</t>
  </si>
  <si>
    <t>BHIV39484A</t>
  </si>
  <si>
    <t>BHIV39484F</t>
  </si>
  <si>
    <t>BHIV400.AB</t>
  </si>
  <si>
    <t>BHIV400.FE</t>
  </si>
  <si>
    <t>BHIV400.JU</t>
  </si>
  <si>
    <t>BHIV400.MA</t>
  </si>
  <si>
    <t>BHIV420.AB</t>
  </si>
  <si>
    <t>BHIV420.FE</t>
  </si>
  <si>
    <t>BHIV420.JU</t>
  </si>
  <si>
    <t>BHIV420.MA</t>
  </si>
  <si>
    <t>BHIV440.AB</t>
  </si>
  <si>
    <t>BHIV440.FE</t>
  </si>
  <si>
    <t>BHIV440.JU</t>
  </si>
  <si>
    <t>BHIV440.MA</t>
  </si>
  <si>
    <t>BHIV460.AB</t>
  </si>
  <si>
    <t>BHIV460.FE</t>
  </si>
  <si>
    <t>BHIV460.JU</t>
  </si>
  <si>
    <t>BHIV460.MA</t>
  </si>
  <si>
    <t>BHIV46411A</t>
  </si>
  <si>
    <t>BHIV46955A</t>
  </si>
  <si>
    <t>BHIV47456J</t>
  </si>
  <si>
    <t>BHIV47484A</t>
  </si>
  <si>
    <t>BHIV480.AB</t>
  </si>
  <si>
    <t>BHIV480.FE</t>
  </si>
  <si>
    <t>BHIV480.JU</t>
  </si>
  <si>
    <t>BHIV480.MA</t>
  </si>
  <si>
    <t>BHIV500.FE</t>
  </si>
  <si>
    <t>BHIV500.JU</t>
  </si>
  <si>
    <t>BHIV500.MA</t>
  </si>
  <si>
    <t>BHIV520.FE</t>
  </si>
  <si>
    <t>BHIV520.JU</t>
  </si>
  <si>
    <t>BHIV520.MA</t>
  </si>
  <si>
    <t>BHIV52927J</t>
  </si>
  <si>
    <t>BHIV53471J</t>
  </si>
  <si>
    <t>BHIV540.FE</t>
  </si>
  <si>
    <t>BHIV540.JU</t>
  </si>
  <si>
    <t>BHPC160.FE</t>
  </si>
  <si>
    <t>BHPC180.FE</t>
  </si>
  <si>
    <t>BHPC200.FE</t>
  </si>
  <si>
    <t>BHPC220.FE</t>
  </si>
  <si>
    <t>BHPC240.FE</t>
  </si>
  <si>
    <t>BHPC260.FE</t>
  </si>
  <si>
    <t>BHPC280.FE</t>
  </si>
  <si>
    <t>BHPC300.FE</t>
  </si>
  <si>
    <t>BHPV160.FE</t>
  </si>
  <si>
    <t>BHPV180.FE</t>
  </si>
  <si>
    <t>BHPV200.FE</t>
  </si>
  <si>
    <t>BHPV220.FE</t>
  </si>
  <si>
    <t>BHPV240.FE</t>
  </si>
  <si>
    <t>BHPV260.FE</t>
  </si>
  <si>
    <t>BHPV280.FE</t>
  </si>
  <si>
    <t>BHPV300.FE</t>
  </si>
  <si>
    <t>BMAC10000F</t>
  </si>
  <si>
    <t>BMAC11600A</t>
  </si>
  <si>
    <t>BMAC12000A</t>
  </si>
  <si>
    <t>BMAC12400A</t>
  </si>
  <si>
    <t>BMAC12400M</t>
  </si>
  <si>
    <t>BMAC12800A</t>
  </si>
  <si>
    <t>BMAC12800F</t>
  </si>
  <si>
    <t>BMAC12800M</t>
  </si>
  <si>
    <t>BMAC13200A</t>
  </si>
  <si>
    <t>BMAC13200F</t>
  </si>
  <si>
    <t>BMAC13200M</t>
  </si>
  <si>
    <t>BMAC13600A</t>
  </si>
  <si>
    <t>BMAC13600F</t>
  </si>
  <si>
    <t>BMAC180.AG</t>
  </si>
  <si>
    <t>BMAC180.JU</t>
  </si>
  <si>
    <t>BMAC190.AB</t>
  </si>
  <si>
    <t>BMAC190.AG</t>
  </si>
  <si>
    <t>BMAC190.JU</t>
  </si>
  <si>
    <t>BMAC200.AB</t>
  </si>
  <si>
    <t>BMAC200.FE</t>
  </si>
  <si>
    <t>BMAC200.JU</t>
  </si>
  <si>
    <t>BMAC210.JU</t>
  </si>
  <si>
    <t>BMAC220.JU</t>
  </si>
  <si>
    <t>BMAC220.MY</t>
  </si>
  <si>
    <t>BMAC230.MY</t>
  </si>
  <si>
    <t>BMAC250.AG</t>
  </si>
  <si>
    <t>BMAC250.JU</t>
  </si>
  <si>
    <t>BMAC250.OC</t>
  </si>
  <si>
    <t>BMAC5200FE</t>
  </si>
  <si>
    <t>BMAC5600FE</t>
  </si>
  <si>
    <t>BMAC57625F</t>
  </si>
  <si>
    <t>BMAC58242F</t>
  </si>
  <si>
    <t>BMAC58842F</t>
  </si>
  <si>
    <t>BMAC59428F</t>
  </si>
  <si>
    <t>BMAC6000FE</t>
  </si>
  <si>
    <t>BMAC61625F</t>
  </si>
  <si>
    <t>BMAC62242F</t>
  </si>
  <si>
    <t>BMAC62842F</t>
  </si>
  <si>
    <t>BMAC63428F</t>
  </si>
  <si>
    <t>BMAC6400AB</t>
  </si>
  <si>
    <t>BMAC8000FE</t>
  </si>
  <si>
    <t>BMAC8400FE</t>
  </si>
  <si>
    <t>BMAC8800FE</t>
  </si>
  <si>
    <t>BMAC9200FE</t>
  </si>
  <si>
    <t>BMAC9600FE</t>
  </si>
  <si>
    <t>BMAV10000A</t>
  </si>
  <si>
    <t>BMAV10000J</t>
  </si>
  <si>
    <t>BMAV10400A</t>
  </si>
  <si>
    <t>BMAV10400J</t>
  </si>
  <si>
    <t>BMAV10800A</t>
  </si>
  <si>
    <t>BMAV10800F</t>
  </si>
  <si>
    <t>BMAV10800J</t>
  </si>
  <si>
    <t>BMAV11200A</t>
  </si>
  <si>
    <t>BMAV11200J</t>
  </si>
  <si>
    <t>BMAV11600A</t>
  </si>
  <si>
    <t>BMAV11600J</t>
  </si>
  <si>
    <t>BMAV12000A</t>
  </si>
  <si>
    <t>BMAV12000J</t>
  </si>
  <si>
    <t>BMAV12400A</t>
  </si>
  <si>
    <t>BMAV12400J</t>
  </si>
  <si>
    <t>BMAV12800A</t>
  </si>
  <si>
    <t>BMAV12800F</t>
  </si>
  <si>
    <t>BMAV12800J</t>
  </si>
  <si>
    <t>BMAV12800M</t>
  </si>
  <si>
    <t>BMAV13200A</t>
  </si>
  <si>
    <t>BMAV13200F</t>
  </si>
  <si>
    <t>BMAV13200J</t>
  </si>
  <si>
    <t>BMAV13200M</t>
  </si>
  <si>
    <t>BMAV13600A</t>
  </si>
  <si>
    <t>BMAV13600F</t>
  </si>
  <si>
    <t>BMAV13600J</t>
  </si>
  <si>
    <t>BMAV180.AB</t>
  </si>
  <si>
    <t>BMAV180.AG</t>
  </si>
  <si>
    <t>BMAV180.JU</t>
  </si>
  <si>
    <t>BMAV190.AG</t>
  </si>
  <si>
    <t>BMAV200.AB</t>
  </si>
  <si>
    <t>BMAV200.JU</t>
  </si>
  <si>
    <t>BMAV250.OC</t>
  </si>
  <si>
    <t>BMAV5200FE</t>
  </si>
  <si>
    <t>BMAV5600FE</t>
  </si>
  <si>
    <t>BMAV57625F</t>
  </si>
  <si>
    <t>BMAV58242F</t>
  </si>
  <si>
    <t>BMAV58842F</t>
  </si>
  <si>
    <t>BMAV59428F</t>
  </si>
  <si>
    <t>BMAV6000FE</t>
  </si>
  <si>
    <t>BMAV61625F</t>
  </si>
  <si>
    <t>BMAV62242F</t>
  </si>
  <si>
    <t>BMAV62842F</t>
  </si>
  <si>
    <t>BMAV63428F</t>
  </si>
  <si>
    <t>BMAV6400AB</t>
  </si>
  <si>
    <t>BMAV6400FE</t>
  </si>
  <si>
    <t>BMAV6800FE</t>
  </si>
  <si>
    <t>BMAV7200FE</t>
  </si>
  <si>
    <t>BMAV7600AB</t>
  </si>
  <si>
    <t>BMAV7600FE</t>
  </si>
  <si>
    <t>BMAV8000AB</t>
  </si>
  <si>
    <t>BMAV8000FE</t>
  </si>
  <si>
    <t>BMAV8400FE</t>
  </si>
  <si>
    <t>BMAV8800FE</t>
  </si>
  <si>
    <t>BMAV9200FE</t>
  </si>
  <si>
    <t>BMAV9600FE</t>
  </si>
  <si>
    <t>BOLC2.60JU</t>
  </si>
  <si>
    <t>BOLC3.00AG</t>
  </si>
  <si>
    <t>BOLC3.00JU</t>
  </si>
  <si>
    <t>BOLC3.00MY</t>
  </si>
  <si>
    <t>BOLC3.20AB</t>
  </si>
  <si>
    <t>BOLC3.20AG</t>
  </si>
  <si>
    <t>BOLC3.20JU</t>
  </si>
  <si>
    <t>BOLC3.20OC</t>
  </si>
  <si>
    <t>BOLC3.40AB</t>
  </si>
  <si>
    <t>BOLC3.40AG</t>
  </si>
  <si>
    <t>BOLC3.40JU</t>
  </si>
  <si>
    <t>BOLC3.60AB</t>
  </si>
  <si>
    <t>BOLC3.60JU</t>
  </si>
  <si>
    <t>BOLC3.80AB</t>
  </si>
  <si>
    <t>BOLC3.80JU</t>
  </si>
  <si>
    <t>BOLC5.00AB</t>
  </si>
  <si>
    <t>BVAC250.AB</t>
  </si>
  <si>
    <t>BVAC250.FE</t>
  </si>
  <si>
    <t>BVAV250.AB</t>
  </si>
  <si>
    <t>BVAV250.FE</t>
  </si>
  <si>
    <t>BVAV260.AB</t>
  </si>
  <si>
    <t>BVAV260.FE</t>
  </si>
  <si>
    <t>BVAV270.AB</t>
  </si>
  <si>
    <t>BVAV270.FE</t>
  </si>
  <si>
    <t>BVAV280.AB</t>
  </si>
  <si>
    <t>BVAV280.FE</t>
  </si>
  <si>
    <t>BVAV290.AB</t>
  </si>
  <si>
    <t>BVAV290.FE</t>
  </si>
  <si>
    <t>BVAV300.AB</t>
  </si>
  <si>
    <t>BVAV300.FE</t>
  </si>
  <si>
    <t>BYMC180.AB</t>
  </si>
  <si>
    <t>BYMC180.FE</t>
  </si>
  <si>
    <t>BYMC190.AB</t>
  </si>
  <si>
    <t>BYMC190.FE</t>
  </si>
  <si>
    <t>BYMC200.FE</t>
  </si>
  <si>
    <t>BYMC210.FE</t>
  </si>
  <si>
    <t>BYMC220.FE</t>
  </si>
  <si>
    <t>BYMC230.FE</t>
  </si>
  <si>
    <t>BYMC240.FE</t>
  </si>
  <si>
    <t>BYMC250.FE</t>
  </si>
  <si>
    <t>BYMC260.AB</t>
  </si>
  <si>
    <t>BYMC260.FE</t>
  </si>
  <si>
    <t>BYMC270.AB</t>
  </si>
  <si>
    <t>BYMC270.FE</t>
  </si>
  <si>
    <t>BYMC280.AB</t>
  </si>
  <si>
    <t>BYMC280.FE</t>
  </si>
  <si>
    <t>BYMC290.AB</t>
  </si>
  <si>
    <t>BYMC290.FE</t>
  </si>
  <si>
    <t>BYMC300.AB</t>
  </si>
  <si>
    <t>BYMC300.FE</t>
  </si>
  <si>
    <t>BYMC300.JU</t>
  </si>
  <si>
    <t>BYMC310.AB</t>
  </si>
  <si>
    <t>BYMC310.FE</t>
  </si>
  <si>
    <t>BYMC320.AB</t>
  </si>
  <si>
    <t>BYMC320.FE</t>
  </si>
  <si>
    <t>BYMC320.JU</t>
  </si>
  <si>
    <t>BYMC330.AB</t>
  </si>
  <si>
    <t>BYMC330.FE</t>
  </si>
  <si>
    <t>BYMC340.AB</t>
  </si>
  <si>
    <t>BYMC340.FE</t>
  </si>
  <si>
    <t>BYMC340.JU</t>
  </si>
  <si>
    <t>BYMC340.MA</t>
  </si>
  <si>
    <t>BYMC350.AB</t>
  </si>
  <si>
    <t>BYMC350.FE</t>
  </si>
  <si>
    <t>BYMC350.JU</t>
  </si>
  <si>
    <t>BYMC350.MA</t>
  </si>
  <si>
    <t>BYMC360.AB</t>
  </si>
  <si>
    <t>BYMC360.FE</t>
  </si>
  <si>
    <t>BYMC360.JU</t>
  </si>
  <si>
    <t>BYMC360.MA</t>
  </si>
  <si>
    <t>BYMC370.AB</t>
  </si>
  <si>
    <t>BYMC370.JU</t>
  </si>
  <si>
    <t>BYMC370.MA</t>
  </si>
  <si>
    <t>BYMC380.AB</t>
  </si>
  <si>
    <t>BYMC380.FE</t>
  </si>
  <si>
    <t>BYMC380.JU</t>
  </si>
  <si>
    <t>BYMC380.MA</t>
  </si>
  <si>
    <t>BYMC390.AB</t>
  </si>
  <si>
    <t>BYMC390.JU</t>
  </si>
  <si>
    <t>BYMC390.MA</t>
  </si>
  <si>
    <t>BYMC400.AB</t>
  </si>
  <si>
    <t>BYMC400.JU</t>
  </si>
  <si>
    <t>BYMC54028J</t>
  </si>
  <si>
    <t>BYMC550.JU</t>
  </si>
  <si>
    <t>BYMC56017J</t>
  </si>
  <si>
    <t>BYMC570.JU</t>
  </si>
  <si>
    <t>BYMC610.AG</t>
  </si>
  <si>
    <t>BYMC610.JU</t>
  </si>
  <si>
    <t>BYMC670.AG</t>
  </si>
  <si>
    <t>BYMC670.OC</t>
  </si>
  <si>
    <t>BYMC699.4J</t>
  </si>
  <si>
    <t>BYMC730.JU</t>
  </si>
  <si>
    <t>BYMC790.AG</t>
  </si>
  <si>
    <t>BYMV180.AB</t>
  </si>
  <si>
    <t>BYMV180.FE</t>
  </si>
  <si>
    <t>BYMV190.AB</t>
  </si>
  <si>
    <t>BYMV190.FE</t>
  </si>
  <si>
    <t>BYMV200.FE</t>
  </si>
  <si>
    <t>BYMV210.FE</t>
  </si>
  <si>
    <t>BYMV220.FE</t>
  </si>
  <si>
    <t>BYMV230.FE</t>
  </si>
  <si>
    <t>BYMV240.FE</t>
  </si>
  <si>
    <t>BYMV250.FE</t>
  </si>
  <si>
    <t>BYMV260.FE</t>
  </si>
  <si>
    <t>BYMV270.AB</t>
  </si>
  <si>
    <t>BYMV270.FE</t>
  </si>
  <si>
    <t>BYMV270.JU</t>
  </si>
  <si>
    <t>BYMV280.AB</t>
  </si>
  <si>
    <t>BYMV280.FE</t>
  </si>
  <si>
    <t>BYMV280.JU</t>
  </si>
  <si>
    <t>BYMV290.AB</t>
  </si>
  <si>
    <t>BYMV290.FE</t>
  </si>
  <si>
    <t>BYMV290.JU</t>
  </si>
  <si>
    <t>BYMV290.MA</t>
  </si>
  <si>
    <t>BYMV300.AB</t>
  </si>
  <si>
    <t>BYMV300.FE</t>
  </si>
  <si>
    <t>BYMV300.JU</t>
  </si>
  <si>
    <t>BYMV310.AB</t>
  </si>
  <si>
    <t>BYMV310.FE</t>
  </si>
  <si>
    <t>BYMV310.JU</t>
  </si>
  <si>
    <t>BYMV320.AB</t>
  </si>
  <si>
    <t>BYMV320.FE</t>
  </si>
  <si>
    <t>BYMV320.JU</t>
  </si>
  <si>
    <t>BYMV330.AB</t>
  </si>
  <si>
    <t>BYMV330.FE</t>
  </si>
  <si>
    <t>BYMV330.JU</t>
  </si>
  <si>
    <t>BYMV330.MA</t>
  </si>
  <si>
    <t>BYMV340.AB</t>
  </si>
  <si>
    <t>BYMV340.FE</t>
  </si>
  <si>
    <t>BYMV340.JU</t>
  </si>
  <si>
    <t>BYMV340.MA</t>
  </si>
  <si>
    <t>BYMV350.AB</t>
  </si>
  <si>
    <t>BYMV350.FE</t>
  </si>
  <si>
    <t>BYMV350.JU</t>
  </si>
  <si>
    <t>BYMV350.MA</t>
  </si>
  <si>
    <t>BYMV360.AB</t>
  </si>
  <si>
    <t>BYMV360.FE</t>
  </si>
  <si>
    <t>BYMV360.JU</t>
  </si>
  <si>
    <t>BYMV360.MA</t>
  </si>
  <si>
    <t>BYMV370.MA</t>
  </si>
  <si>
    <t>BYMV380.MA</t>
  </si>
  <si>
    <t>BYMV390.AB</t>
  </si>
  <si>
    <t>BYMV390.MA</t>
  </si>
  <si>
    <t>BYMV550.JU</t>
  </si>
  <si>
    <t>BYMV570.AG</t>
  </si>
  <si>
    <t>BYMV570.JU</t>
  </si>
  <si>
    <t>BYMV670.AG</t>
  </si>
  <si>
    <t>CARC1.80JU</t>
  </si>
  <si>
    <t>CECC13.0JU</t>
  </si>
  <si>
    <t>CECC16.0AB</t>
  </si>
  <si>
    <t>CECC260.MA</t>
  </si>
  <si>
    <t>CECC280.JU</t>
  </si>
  <si>
    <t>CECC280.MA</t>
  </si>
  <si>
    <t>CECC300.JU</t>
  </si>
  <si>
    <t>CECC300.MA</t>
  </si>
  <si>
    <t>CECC320.JU</t>
  </si>
  <si>
    <t>CECC320.MA</t>
  </si>
  <si>
    <t>CECC340.FE</t>
  </si>
  <si>
    <t>CECC360.FE</t>
  </si>
  <si>
    <t>CECC380.FE</t>
  </si>
  <si>
    <t>CECC380.MA</t>
  </si>
  <si>
    <t>CECC400.AB</t>
  </si>
  <si>
    <t>CECC400.FE</t>
  </si>
  <si>
    <t>CECC400.MA</t>
  </si>
  <si>
    <t>CECC420.AB</t>
  </si>
  <si>
    <t>CECC420.FE</t>
  </si>
  <si>
    <t>CEPC1300FE</t>
  </si>
  <si>
    <t>CEPC1400FE</t>
  </si>
  <si>
    <t>CEPC1500FE</t>
  </si>
  <si>
    <t>CEPC1600FE</t>
  </si>
  <si>
    <t>CEPC1700FE</t>
  </si>
  <si>
    <t>CEPC1800AB</t>
  </si>
  <si>
    <t>CEPC1800FE</t>
  </si>
  <si>
    <t>CEPC1900FE</t>
  </si>
  <si>
    <t>CEPC2000AB</t>
  </si>
  <si>
    <t>CEPC2000FE</t>
  </si>
  <si>
    <t>CEPC2100AB</t>
  </si>
  <si>
    <t>CEPC2100FE</t>
  </si>
  <si>
    <t>CEPC2100JU</t>
  </si>
  <si>
    <t>CEPC2100MA</t>
  </si>
  <si>
    <t>CEPC2200AB</t>
  </si>
  <si>
    <t>CEPC2200FE</t>
  </si>
  <si>
    <t>CEPC2200JU</t>
  </si>
  <si>
    <t>CEPC2200MA</t>
  </si>
  <si>
    <t>CEPC2300AB</t>
  </si>
  <si>
    <t>CEPC2300FE</t>
  </si>
  <si>
    <t>CEPC2300JU</t>
  </si>
  <si>
    <t>CEPC2300MA</t>
  </si>
  <si>
    <t>CEPC2400AB</t>
  </si>
  <si>
    <t>CEPC2400FE</t>
  </si>
  <si>
    <t>CEPC2400JU</t>
  </si>
  <si>
    <t>CEPC2400MA</t>
  </si>
  <si>
    <t>CEPC2500AB</t>
  </si>
  <si>
    <t>CEPC2500FE</t>
  </si>
  <si>
    <t>CEPC2500JU</t>
  </si>
  <si>
    <t>CEPC2500MA</t>
  </si>
  <si>
    <t>CEPC26.0JU</t>
  </si>
  <si>
    <t>CEPC2600AB</t>
  </si>
  <si>
    <t>CEPC2600FE</t>
  </si>
  <si>
    <t>CEPC2600JU</t>
  </si>
  <si>
    <t>CEPC2600MA</t>
  </si>
  <si>
    <t>CEPC2700AB</t>
  </si>
  <si>
    <t>CEPC2700FE</t>
  </si>
  <si>
    <t>CEPC2700JU</t>
  </si>
  <si>
    <t>CEPC2700MA</t>
  </si>
  <si>
    <t>CEPC2800AB</t>
  </si>
  <si>
    <t>CEPC2800FE</t>
  </si>
  <si>
    <t>CEPC2800JU</t>
  </si>
  <si>
    <t>CEPC2800MA</t>
  </si>
  <si>
    <t>CEPC30.0AG</t>
  </si>
  <si>
    <t>CEPC32.0JU</t>
  </si>
  <si>
    <t>CEPC34.0AB</t>
  </si>
  <si>
    <t>CEPC34.0AG</t>
  </si>
  <si>
    <t>CEPC34.0JU</t>
  </si>
  <si>
    <t>CEPC36.0AB</t>
  </si>
  <si>
    <t>CEPC36.0AG</t>
  </si>
  <si>
    <t>CEPC36.0JU</t>
  </si>
  <si>
    <t>CEPC36.0OC</t>
  </si>
  <si>
    <t>CEPC38.0AB</t>
  </si>
  <si>
    <t>CEPC38.0AG</t>
  </si>
  <si>
    <t>CEPC38.0FE</t>
  </si>
  <si>
    <t>CEPC38.0JU</t>
  </si>
  <si>
    <t>CEPC40.0AB</t>
  </si>
  <si>
    <t>CEPC40.0AG</t>
  </si>
  <si>
    <t>CEPC40.0FE</t>
  </si>
  <si>
    <t>CEPC42.0AG</t>
  </si>
  <si>
    <t>CEPC42.0JU</t>
  </si>
  <si>
    <t>CEPC42.0OC</t>
  </si>
  <si>
    <t>CEPC44.0OC</t>
  </si>
  <si>
    <t>CEPC46.0AG</t>
  </si>
  <si>
    <t>CEPC48.0OC</t>
  </si>
  <si>
    <t>CEPC50.0OC</t>
  </si>
  <si>
    <t>CEPV1000FE</t>
  </si>
  <si>
    <t>CEPV1100FE</t>
  </si>
  <si>
    <t>CEPV1200FE</t>
  </si>
  <si>
    <t>CEPV1300FE</t>
  </si>
  <si>
    <t>CEPV1400FE</t>
  </si>
  <si>
    <t>CEPV1500FE</t>
  </si>
  <si>
    <t>CEPV1600FE</t>
  </si>
  <si>
    <t>CEPV1700FE</t>
  </si>
  <si>
    <t>CEPV1800AB</t>
  </si>
  <si>
    <t>CEPV1800FE</t>
  </si>
  <si>
    <t>CEPV1800JU</t>
  </si>
  <si>
    <t>CEPV1900AB</t>
  </si>
  <si>
    <t>CEPV1900FE</t>
  </si>
  <si>
    <t>CEPV1900JU</t>
  </si>
  <si>
    <t>CEPV2000AB</t>
  </si>
  <si>
    <t>CEPV2000FE</t>
  </si>
  <si>
    <t>CEPV2000JU</t>
  </si>
  <si>
    <t>CEPV2100AB</t>
  </si>
  <si>
    <t>CEPV2100FE</t>
  </si>
  <si>
    <t>CEPV2100JU</t>
  </si>
  <si>
    <t>CEPV2100MA</t>
  </si>
  <si>
    <t>CEPV2200AB</t>
  </si>
  <si>
    <t>CEPV2200FE</t>
  </si>
  <si>
    <t>CEPV2200JU</t>
  </si>
  <si>
    <t>CEPV2200MA</t>
  </si>
  <si>
    <t>CEPV2300AB</t>
  </si>
  <si>
    <t>CEPV2300FE</t>
  </si>
  <si>
    <t>CEPV2300JU</t>
  </si>
  <si>
    <t>CEPV2300MA</t>
  </si>
  <si>
    <t>CEPV2400AB</t>
  </si>
  <si>
    <t>CEPV2400FE</t>
  </si>
  <si>
    <t>CEPV2400JU</t>
  </si>
  <si>
    <t>CEPV2400MA</t>
  </si>
  <si>
    <t>CEPV2500AB</t>
  </si>
  <si>
    <t>CEPV2500FE</t>
  </si>
  <si>
    <t>CEPV2500JU</t>
  </si>
  <si>
    <t>CEPV2500MA</t>
  </si>
  <si>
    <t>CEPV2600AB</t>
  </si>
  <si>
    <t>CEPV2600FE</t>
  </si>
  <si>
    <t>CEPV2600JU</t>
  </si>
  <si>
    <t>CEPV2600MA</t>
  </si>
  <si>
    <t>CEPV2700AB</t>
  </si>
  <si>
    <t>CEPV2700FE</t>
  </si>
  <si>
    <t>CEPV2700JU</t>
  </si>
  <si>
    <t>CEPV2700MA</t>
  </si>
  <si>
    <t>CEPV2800AB</t>
  </si>
  <si>
    <t>CEPV2800FE</t>
  </si>
  <si>
    <t>CEPV2800JU</t>
  </si>
  <si>
    <t>CEPV2800MA</t>
  </si>
  <si>
    <t>CEPV34.0AB</t>
  </si>
  <si>
    <t>COMC1.19AG</t>
  </si>
  <si>
    <t>COMC1.19JU</t>
  </si>
  <si>
    <t>COMC1.19OC</t>
  </si>
  <si>
    <t>COMC1.30FE</t>
  </si>
  <si>
    <t>COMC1.30JU</t>
  </si>
  <si>
    <t>COMC1.40FE</t>
  </si>
  <si>
    <t>COMC1.40JU</t>
  </si>
  <si>
    <t>COMC1.50FE</t>
  </si>
  <si>
    <t>COMC1.60FE</t>
  </si>
  <si>
    <t>COMC1.60JU</t>
  </si>
  <si>
    <t>COMC1.80FE</t>
  </si>
  <si>
    <t>COMC1.90AB</t>
  </si>
  <si>
    <t>COMC1.90JU</t>
  </si>
  <si>
    <t>COMC102.AB</t>
  </si>
  <si>
    <t>COMC102.FE</t>
  </si>
  <si>
    <t>COMC105.AB</t>
  </si>
  <si>
    <t>COMC105.FE</t>
  </si>
  <si>
    <t>COMC108.AB</t>
  </si>
  <si>
    <t>COMC108.FE</t>
  </si>
  <si>
    <t>COMC108.JU</t>
  </si>
  <si>
    <t>COMC111.AB</t>
  </si>
  <si>
    <t>COMC111.FE</t>
  </si>
  <si>
    <t>COMC2.00AB</t>
  </si>
  <si>
    <t>COMC2.00JU</t>
  </si>
  <si>
    <t>COMC2.09AG</t>
  </si>
  <si>
    <t>COMC2.10AB</t>
  </si>
  <si>
    <t>COMC2.10FE</t>
  </si>
  <si>
    <t>COMC2.19JU</t>
  </si>
  <si>
    <t>COMC2.20AB</t>
  </si>
  <si>
    <t>COMC2.20AG</t>
  </si>
  <si>
    <t>COMC2.29JU</t>
  </si>
  <si>
    <t>COMC2.30AB</t>
  </si>
  <si>
    <t>COMC2.30FE</t>
  </si>
  <si>
    <t>COMC2.30JU</t>
  </si>
  <si>
    <t>COMC2.39AG</t>
  </si>
  <si>
    <t>COMC2.39JU</t>
  </si>
  <si>
    <t>COMC2.39OC</t>
  </si>
  <si>
    <t>COMC2.40AB</t>
  </si>
  <si>
    <t>COMC2.40JU</t>
  </si>
  <si>
    <t>COMC2.49AG</t>
  </si>
  <si>
    <t>COMC2.49JU</t>
  </si>
  <si>
    <t>COMC2.50AB</t>
  </si>
  <si>
    <t>COMC2.50AG</t>
  </si>
  <si>
    <t>COMC2.50FE</t>
  </si>
  <si>
    <t>COMC2.50JU</t>
  </si>
  <si>
    <t>COMC2.59JU</t>
  </si>
  <si>
    <t>COMC2.60AB</t>
  </si>
  <si>
    <t>COMC2.60FE</t>
  </si>
  <si>
    <t>COMC2.69JU</t>
  </si>
  <si>
    <t>COMC2.70AB</t>
  </si>
  <si>
    <t>COMC2.70FE</t>
  </si>
  <si>
    <t>COMC2.70JU</t>
  </si>
  <si>
    <t>COMC2.79JU</t>
  </si>
  <si>
    <t>COMC2.80AB</t>
  </si>
  <si>
    <t>COMC2.80FE</t>
  </si>
  <si>
    <t>COMC2.80JU</t>
  </si>
  <si>
    <t>COMC2.89AG</t>
  </si>
  <si>
    <t>COMC2.89JU</t>
  </si>
  <si>
    <t>COMC2.89OC</t>
  </si>
  <si>
    <t>COMC2.90AB</t>
  </si>
  <si>
    <t>COMC2.90AG</t>
  </si>
  <si>
    <t>COMC2.90FE</t>
  </si>
  <si>
    <t>COMC2.90JU</t>
  </si>
  <si>
    <t>COMC2.90MY</t>
  </si>
  <si>
    <t>COMC2.99AG</t>
  </si>
  <si>
    <t>COMC2.99OC</t>
  </si>
  <si>
    <t>COMC25.0AB</t>
  </si>
  <si>
    <t>COMC25.0FE</t>
  </si>
  <si>
    <t>COMC26.0FE</t>
  </si>
  <si>
    <t>COMC27.0FE</t>
  </si>
  <si>
    <t>COMC28.0FE</t>
  </si>
  <si>
    <t>COMC29.0FE</t>
  </si>
  <si>
    <t>COMC3.00AB</t>
  </si>
  <si>
    <t>COMC3.00AG</t>
  </si>
  <si>
    <t>COMC3.00FE</t>
  </si>
  <si>
    <t>COMC3.00JU</t>
  </si>
  <si>
    <t>COMC3.00MY</t>
  </si>
  <si>
    <t>COMC3.00OC</t>
  </si>
  <si>
    <t>COMC3.09AG</t>
  </si>
  <si>
    <t>COMC3.09JU</t>
  </si>
  <si>
    <t>COMC3.09OC</t>
  </si>
  <si>
    <t>COMC3.19AG</t>
  </si>
  <si>
    <t>COMC3.19JU</t>
  </si>
  <si>
    <t>COMC3.19OC</t>
  </si>
  <si>
    <t>COMC3.20AG</t>
  </si>
  <si>
    <t>COMC3.20FE</t>
  </si>
  <si>
    <t>COMC3.20JU</t>
  </si>
  <si>
    <t>COMC3.29AG</t>
  </si>
  <si>
    <t>COMC3.29JU</t>
  </si>
  <si>
    <t>COMC3.29OC</t>
  </si>
  <si>
    <t>COMC3.39JU</t>
  </si>
  <si>
    <t>COMC3.40JU</t>
  </si>
  <si>
    <t>COMC3.49AG</t>
  </si>
  <si>
    <t>COMC3.49JU</t>
  </si>
  <si>
    <t>COMC3.49OC</t>
  </si>
  <si>
    <t>COMC3.60AB</t>
  </si>
  <si>
    <t>COMC3.60AG</t>
  </si>
  <si>
    <t>COMC3.60FE</t>
  </si>
  <si>
    <t>COMC3.69AG</t>
  </si>
  <si>
    <t>COMC3.69OC</t>
  </si>
  <si>
    <t>COMC3.70FE</t>
  </si>
  <si>
    <t>COMC3.79AG</t>
  </si>
  <si>
    <t>COMC3.79OC</t>
  </si>
  <si>
    <t>COMC3.89AG</t>
  </si>
  <si>
    <t>COMC3.89JU</t>
  </si>
  <si>
    <t>COMC3.89OC</t>
  </si>
  <si>
    <t>COMC3.90MY</t>
  </si>
  <si>
    <t>COMC3.99AG</t>
  </si>
  <si>
    <t>COMC3.99OC</t>
  </si>
  <si>
    <t>COMC30.0AB</t>
  </si>
  <si>
    <t>COMC30.0FE</t>
  </si>
  <si>
    <t>COMC31.0AB</t>
  </si>
  <si>
    <t>COMC31.0FE</t>
  </si>
  <si>
    <t>COMC32.0FE</t>
  </si>
  <si>
    <t>COMC33.0FE</t>
  </si>
  <si>
    <t>COMC34.0AB</t>
  </si>
  <si>
    <t>COMC34.0FE</t>
  </si>
  <si>
    <t>COMC35.0AB</t>
  </si>
  <si>
    <t>COMC35.0FE</t>
  </si>
  <si>
    <t>COMC36.0AB</t>
  </si>
  <si>
    <t>COMC36.0FE</t>
  </si>
  <si>
    <t>COMC37.0AB</t>
  </si>
  <si>
    <t>COMC38.0AB</t>
  </si>
  <si>
    <t>COMC39.0AB</t>
  </si>
  <si>
    <t>COMC4.00AB</t>
  </si>
  <si>
    <t>COMC4.00AG</t>
  </si>
  <si>
    <t>COMC4.00FE</t>
  </si>
  <si>
    <t>COMC4.00JU</t>
  </si>
  <si>
    <t>COMC4.09AG</t>
  </si>
  <si>
    <t>COMC4.09OC</t>
  </si>
  <si>
    <t>COMC4.19AG</t>
  </si>
  <si>
    <t>COMC4.19OC</t>
  </si>
  <si>
    <t>COMC4.29SE</t>
  </si>
  <si>
    <t>COMC4.39OC</t>
  </si>
  <si>
    <t>COMC4.49OC</t>
  </si>
  <si>
    <t>COMC4.69OC</t>
  </si>
  <si>
    <t>COMC4.89SE</t>
  </si>
  <si>
    <t>COMC41.0AB</t>
  </si>
  <si>
    <t>COMC41.0FE</t>
  </si>
  <si>
    <t>COMC42.0AB</t>
  </si>
  <si>
    <t>COMC43.0AB</t>
  </si>
  <si>
    <t>COMC43.0FE</t>
  </si>
  <si>
    <t>COMC45.0AB</t>
  </si>
  <si>
    <t>COMC45.0FE</t>
  </si>
  <si>
    <t>COMC47.0AB</t>
  </si>
  <si>
    <t>COMC47.0FE</t>
  </si>
  <si>
    <t>COMC47.0JU</t>
  </si>
  <si>
    <t>COMC47.0MA</t>
  </si>
  <si>
    <t>COMC49.0AB</t>
  </si>
  <si>
    <t>COMC49.0FE</t>
  </si>
  <si>
    <t>COMC49.0JU</t>
  </si>
  <si>
    <t>COMC49.0MA</t>
  </si>
  <si>
    <t>COMC5.09OC</t>
  </si>
  <si>
    <t>COMC5.29OC</t>
  </si>
  <si>
    <t>COMC51.0AB</t>
  </si>
  <si>
    <t>COMC51.0FE</t>
  </si>
  <si>
    <t>COMC51.0JU</t>
  </si>
  <si>
    <t>COMC51.0MA</t>
  </si>
  <si>
    <t>COMC53.0AB</t>
  </si>
  <si>
    <t>COMC53.0FE</t>
  </si>
  <si>
    <t>COMC53.0JU</t>
  </si>
  <si>
    <t>COMC53.0MA</t>
  </si>
  <si>
    <t>COMC55.0AB</t>
  </si>
  <si>
    <t>COMC55.0FE</t>
  </si>
  <si>
    <t>COMC55.0JU</t>
  </si>
  <si>
    <t>COMC55.0MA</t>
  </si>
  <si>
    <t>COMC57.0AB</t>
  </si>
  <si>
    <t>COMC57.0FE</t>
  </si>
  <si>
    <t>COMC57.0JU</t>
  </si>
  <si>
    <t>COMC57.0MA</t>
  </si>
  <si>
    <t>COMC59.0AB</t>
  </si>
  <si>
    <t>COMC59.0FE</t>
  </si>
  <si>
    <t>COMC59.0JU</t>
  </si>
  <si>
    <t>COMC59.0MA</t>
  </si>
  <si>
    <t>COMC61.0AB</t>
  </si>
  <si>
    <t>COMC61.0FE</t>
  </si>
  <si>
    <t>COMC61.0JU</t>
  </si>
  <si>
    <t>COMC61.0MA</t>
  </si>
  <si>
    <t>COMC62.0FE</t>
  </si>
  <si>
    <t>COMC63.0AB</t>
  </si>
  <si>
    <t>COMC63.0FE</t>
  </si>
  <si>
    <t>COMC63.0JU</t>
  </si>
  <si>
    <t>COMC63.0MA</t>
  </si>
  <si>
    <t>COMC64.0FE</t>
  </si>
  <si>
    <t>COMC65.0AB</t>
  </si>
  <si>
    <t>COMC65.0FE</t>
  </si>
  <si>
    <t>COMC65.0JU</t>
  </si>
  <si>
    <t>COMC65.0MA</t>
  </si>
  <si>
    <t>COMC67.0AB</t>
  </si>
  <si>
    <t>COMC67.0FE</t>
  </si>
  <si>
    <t>COMC67.0JU</t>
  </si>
  <si>
    <t>COMC67.0MA</t>
  </si>
  <si>
    <t>COMC68.0FE</t>
  </si>
  <si>
    <t>COMC69.0AB</t>
  </si>
  <si>
    <t>COMC69.0FE</t>
  </si>
  <si>
    <t>COMC69.0JU</t>
  </si>
  <si>
    <t>COMC71.0AB</t>
  </si>
  <si>
    <t>COMC71.0FE</t>
  </si>
  <si>
    <t>COMC71.0JU</t>
  </si>
  <si>
    <t>COMC71.0MA</t>
  </si>
  <si>
    <t>COMC73.0AB</t>
  </si>
  <si>
    <t>COMC73.0FE</t>
  </si>
  <si>
    <t>COMC73.0JU</t>
  </si>
  <si>
    <t>COMC73.0MA</t>
  </si>
  <si>
    <t>COMC75.0AB</t>
  </si>
  <si>
    <t>COMC75.0FE</t>
  </si>
  <si>
    <t>COMC75.0JU</t>
  </si>
  <si>
    <t>COMC77.0FE</t>
  </si>
  <si>
    <t>COMC78.0AB</t>
  </si>
  <si>
    <t>COMC78.0FE</t>
  </si>
  <si>
    <t>COMC78.0JU</t>
  </si>
  <si>
    <t>COMC80.0FE</t>
  </si>
  <si>
    <t>COMC81.0AB</t>
  </si>
  <si>
    <t>COMC81.0FE</t>
  </si>
  <si>
    <t>COMC81.0JU</t>
  </si>
  <si>
    <t>COMC82.0FE</t>
  </si>
  <si>
    <t>COMC84.0AB</t>
  </si>
  <si>
    <t>COMC84.0FE</t>
  </si>
  <si>
    <t>COMC84.0JU</t>
  </si>
  <si>
    <t>COMC87.0AB</t>
  </si>
  <si>
    <t>COMC87.0FE</t>
  </si>
  <si>
    <t>COMC87.0JU</t>
  </si>
  <si>
    <t>COMC90.0AB</t>
  </si>
  <si>
    <t>COMC90.0FE</t>
  </si>
  <si>
    <t>COMC90.0JU</t>
  </si>
  <si>
    <t>COMC93.0AB</t>
  </si>
  <si>
    <t>COMC93.0FE</t>
  </si>
  <si>
    <t>COMC96.0AB</t>
  </si>
  <si>
    <t>COMC96.0FE</t>
  </si>
  <si>
    <t>COMC99.0AB</t>
  </si>
  <si>
    <t>COMC99.0FE</t>
  </si>
  <si>
    <t>COMV1.19AG</t>
  </si>
  <si>
    <t>COMV102.FE</t>
  </si>
  <si>
    <t>COMV105.FE</t>
  </si>
  <si>
    <t>COMV108.FE</t>
  </si>
  <si>
    <t>COMV111.AB</t>
  </si>
  <si>
    <t>COMV111.FE</t>
  </si>
  <si>
    <t>COMV2.09AG</t>
  </si>
  <si>
    <t>COMV2.09JU</t>
  </si>
  <si>
    <t>COMV2.20AB</t>
  </si>
  <si>
    <t>COMV2.20FE</t>
  </si>
  <si>
    <t>COMV2.20JU</t>
  </si>
  <si>
    <t>COMV2.29JU</t>
  </si>
  <si>
    <t>COMV2.39AG</t>
  </si>
  <si>
    <t>COMV2.39JU</t>
  </si>
  <si>
    <t>COMV2.40AB</t>
  </si>
  <si>
    <t>COMV2.40FE</t>
  </si>
  <si>
    <t>COMV2.40JU</t>
  </si>
  <si>
    <t>COMV2.50AB</t>
  </si>
  <si>
    <t>COMV2.50FE</t>
  </si>
  <si>
    <t>COMV2.50JU</t>
  </si>
  <si>
    <t>COMV2.70AB</t>
  </si>
  <si>
    <t>COMV2.70FE</t>
  </si>
  <si>
    <t>COMV2.79JU</t>
  </si>
  <si>
    <t>COMV2.89AG</t>
  </si>
  <si>
    <t>COMV2.89JU</t>
  </si>
  <si>
    <t>COMV2.89OC</t>
  </si>
  <si>
    <t>COMV2.90JU</t>
  </si>
  <si>
    <t>COMV2.99AG</t>
  </si>
  <si>
    <t>COMV2.99OC</t>
  </si>
  <si>
    <t>COMV25.0AB</t>
  </si>
  <si>
    <t>COMV25.0FE</t>
  </si>
  <si>
    <t>COMV26.0FE</t>
  </si>
  <si>
    <t>COMV27.0FE</t>
  </si>
  <si>
    <t>COMV28.0FE</t>
  </si>
  <si>
    <t>COMV29.0FE</t>
  </si>
  <si>
    <t>COMV3.00JU</t>
  </si>
  <si>
    <t>COMV3.09AG</t>
  </si>
  <si>
    <t>COMV3.09JU</t>
  </si>
  <si>
    <t>COMV3.09OC</t>
  </si>
  <si>
    <t>COMV3.19AG</t>
  </si>
  <si>
    <t>COMV3.19JU</t>
  </si>
  <si>
    <t>COMV3.19OC</t>
  </si>
  <si>
    <t>COMV3.20JU</t>
  </si>
  <si>
    <t>COMV3.29AG</t>
  </si>
  <si>
    <t>COMV3.29OC</t>
  </si>
  <si>
    <t>COMV3.49AG</t>
  </si>
  <si>
    <t>COMV3.49OC</t>
  </si>
  <si>
    <t>COMV3.69AG</t>
  </si>
  <si>
    <t>COMV3.69OC</t>
  </si>
  <si>
    <t>COMV3.79AG</t>
  </si>
  <si>
    <t>COMV3.79OC</t>
  </si>
  <si>
    <t>COMV3.89AG</t>
  </si>
  <si>
    <t>COMV3.89OC</t>
  </si>
  <si>
    <t>COMV3.99AG</t>
  </si>
  <si>
    <t>COMV3.99OC</t>
  </si>
  <si>
    <t>COMV30.0FE</t>
  </si>
  <si>
    <t>COMV31.0FE</t>
  </si>
  <si>
    <t>COMV32.0FE</t>
  </si>
  <si>
    <t>COMV33.0FE</t>
  </si>
  <si>
    <t>COMV34.0FE</t>
  </si>
  <si>
    <t>COMV35.0AB</t>
  </si>
  <si>
    <t>COMV35.0FE</t>
  </si>
  <si>
    <t>COMV36.0AB</t>
  </si>
  <si>
    <t>COMV37.0AB</t>
  </si>
  <si>
    <t>COMV38.0AB</t>
  </si>
  <si>
    <t>COMV39.0AB</t>
  </si>
  <si>
    <t>COMV4.00FE</t>
  </si>
  <si>
    <t>COMV4.09AG</t>
  </si>
  <si>
    <t>COMV4.09OC</t>
  </si>
  <si>
    <t>COMV4.19AG</t>
  </si>
  <si>
    <t>COMV4.19OC</t>
  </si>
  <si>
    <t>COMV4.39OC</t>
  </si>
  <si>
    <t>COMV4.49OC</t>
  </si>
  <si>
    <t>COMV4.69OC</t>
  </si>
  <si>
    <t>COMV41.0AB</t>
  </si>
  <si>
    <t>COMV41.0FE</t>
  </si>
  <si>
    <t>COMV43.0AB</t>
  </si>
  <si>
    <t>COMV43.0FE</t>
  </si>
  <si>
    <t>COMV45.0AB</t>
  </si>
  <si>
    <t>COMV45.0FE</t>
  </si>
  <si>
    <t>COMV47.0AB</t>
  </si>
  <si>
    <t>COMV47.0FE</t>
  </si>
  <si>
    <t>COMV47.0JU</t>
  </si>
  <si>
    <t>COMV47.0MA</t>
  </si>
  <si>
    <t>COMV49.0AB</t>
  </si>
  <si>
    <t>COMV49.0FE</t>
  </si>
  <si>
    <t>COMV49.0JU</t>
  </si>
  <si>
    <t>COMV49.0MA</t>
  </si>
  <si>
    <t>COMV5.09OC</t>
  </si>
  <si>
    <t>COMV5.29OC</t>
  </si>
  <si>
    <t>COMV51.0AB</t>
  </si>
  <si>
    <t>COMV51.0FE</t>
  </si>
  <si>
    <t>COMV51.0JU</t>
  </si>
  <si>
    <t>COMV51.0MA</t>
  </si>
  <si>
    <t>COMV53.0AB</t>
  </si>
  <si>
    <t>COMV53.0FE</t>
  </si>
  <si>
    <t>COMV53.0JU</t>
  </si>
  <si>
    <t>COMV53.0MA</t>
  </si>
  <si>
    <t>COMV55.0AB</t>
  </si>
  <si>
    <t>COMV55.0FE</t>
  </si>
  <si>
    <t>COMV55.0JU</t>
  </si>
  <si>
    <t>COMV55.0MA</t>
  </si>
  <si>
    <t>COMV57.0AB</t>
  </si>
  <si>
    <t>COMV57.0FE</t>
  </si>
  <si>
    <t>COMV57.0JU</t>
  </si>
  <si>
    <t>COMV57.0MA</t>
  </si>
  <si>
    <t>COMV59.0AB</t>
  </si>
  <si>
    <t>COMV59.0FE</t>
  </si>
  <si>
    <t>COMV59.0JU</t>
  </si>
  <si>
    <t>COMV59.0MA</t>
  </si>
  <si>
    <t>COMV61.0AB</t>
  </si>
  <si>
    <t>COMV61.0FE</t>
  </si>
  <si>
    <t>COMV61.0JU</t>
  </si>
  <si>
    <t>COMV61.0MA</t>
  </si>
  <si>
    <t>COMV62.0FE</t>
  </si>
  <si>
    <t>COMV63.0AB</t>
  </si>
  <si>
    <t>COMV63.0FE</t>
  </si>
  <si>
    <t>COMV63.0JU</t>
  </si>
  <si>
    <t>COMV64.0FE</t>
  </si>
  <si>
    <t>COMV65.0AB</t>
  </si>
  <si>
    <t>COMV65.0FE</t>
  </si>
  <si>
    <t>COMV65.0JU</t>
  </si>
  <si>
    <t>COMV65.0MA</t>
  </si>
  <si>
    <t>COMV67.0AB</t>
  </si>
  <si>
    <t>COMV67.0FE</t>
  </si>
  <si>
    <t>COMV67.0JU</t>
  </si>
  <si>
    <t>COMV67.0MA</t>
  </si>
  <si>
    <t>COMV68.0FE</t>
  </si>
  <si>
    <t>COMV69.0AB</t>
  </si>
  <si>
    <t>COMV69.0FE</t>
  </si>
  <si>
    <t>COMV69.0JU</t>
  </si>
  <si>
    <t>COMV71.0AB</t>
  </si>
  <si>
    <t>COMV71.0FE</t>
  </si>
  <si>
    <t>COMV71.0JU</t>
  </si>
  <si>
    <t>COMV71.0MA</t>
  </si>
  <si>
    <t>COMV73.0AB</t>
  </si>
  <si>
    <t>COMV73.0FE</t>
  </si>
  <si>
    <t>COMV73.0JU</t>
  </si>
  <si>
    <t>COMV73.0MA</t>
  </si>
  <si>
    <t>COMV75.0AB</t>
  </si>
  <si>
    <t>COMV75.0FE</t>
  </si>
  <si>
    <t>COMV75.0JU</t>
  </si>
  <si>
    <t>COMV77.0FE</t>
  </si>
  <si>
    <t>COMV78.0AB</t>
  </si>
  <si>
    <t>COMV78.0FE</t>
  </si>
  <si>
    <t>COMV80.0FE</t>
  </si>
  <si>
    <t>COMV81.0AB</t>
  </si>
  <si>
    <t>COMV81.0FE</t>
  </si>
  <si>
    <t>COMV82.0FE</t>
  </si>
  <si>
    <t>COMV84.0AB</t>
  </si>
  <si>
    <t>COMV87.0AB</t>
  </si>
  <si>
    <t>COMV87.0FE</t>
  </si>
  <si>
    <t>COMV90.0AB</t>
  </si>
  <si>
    <t>COMV90.0FE</t>
  </si>
  <si>
    <t>COMV93.0AB</t>
  </si>
  <si>
    <t>COMV93.0FE</t>
  </si>
  <si>
    <t>COMV96.0AB</t>
  </si>
  <si>
    <t>COMV96.0FE</t>
  </si>
  <si>
    <t>COMV99.0FE</t>
  </si>
  <si>
    <t>CREC100.AB</t>
  </si>
  <si>
    <t>CREC1300FE</t>
  </si>
  <si>
    <t>CREC1400FE</t>
  </si>
  <si>
    <t>CREC1500AB</t>
  </si>
  <si>
    <t>CREC1500FE</t>
  </si>
  <si>
    <t>CREC1600AB</t>
  </si>
  <si>
    <t>CREC1600FE</t>
  </si>
  <si>
    <t>CREC16367F</t>
  </si>
  <si>
    <t>CREC1700AB</t>
  </si>
  <si>
    <t>CREC1700FE</t>
  </si>
  <si>
    <t>CREC1800AB</t>
  </si>
  <si>
    <t>CREC1800FE</t>
  </si>
  <si>
    <t>CREC1900AB</t>
  </si>
  <si>
    <t>CREC1900FE</t>
  </si>
  <si>
    <t>CREC1900JU</t>
  </si>
  <si>
    <t>CREC1900MA</t>
  </si>
  <si>
    <t>CREC2000AB</t>
  </si>
  <si>
    <t>CREC2000FE</t>
  </si>
  <si>
    <t>CREC2000JU</t>
  </si>
  <si>
    <t>CREC2000MA</t>
  </si>
  <si>
    <t>CREC2100AB</t>
  </si>
  <si>
    <t>CREC2100FE</t>
  </si>
  <si>
    <t>CREC2100JU</t>
  </si>
  <si>
    <t>CREC2100MA</t>
  </si>
  <si>
    <t>CREC2200AB</t>
  </si>
  <si>
    <t>CREC2200FE</t>
  </si>
  <si>
    <t>CREC2200JU</t>
  </si>
  <si>
    <t>CREC2200MA</t>
  </si>
  <si>
    <t>CREC2300AB</t>
  </si>
  <si>
    <t>CREC2300FE</t>
  </si>
  <si>
    <t>CREC2300JU</t>
  </si>
  <si>
    <t>CREC2300MA</t>
  </si>
  <si>
    <t>CREC2400AB</t>
  </si>
  <si>
    <t>CREC2400FE</t>
  </si>
  <si>
    <t>CREC2400JU</t>
  </si>
  <si>
    <t>CREC2400MA</t>
  </si>
  <si>
    <t>CREC2500AB</t>
  </si>
  <si>
    <t>CREC2500FE</t>
  </si>
  <si>
    <t>CREC2500JU</t>
  </si>
  <si>
    <t>CREC2500MA</t>
  </si>
  <si>
    <t>CREC47677A</t>
  </si>
  <si>
    <t>CREC50.0AB</t>
  </si>
  <si>
    <t>CREC50.0FE</t>
  </si>
  <si>
    <t>CREC50.0JU</t>
  </si>
  <si>
    <t>CREC52.0FE</t>
  </si>
  <si>
    <t>CREC56.0FE</t>
  </si>
  <si>
    <t>CREC58.0FE</t>
  </si>
  <si>
    <t>CREC61677A</t>
  </si>
  <si>
    <t>CREC62.0JU</t>
  </si>
  <si>
    <t>CREC64.0AB</t>
  </si>
  <si>
    <t>CREC64.0FE</t>
  </si>
  <si>
    <t>CREC64.0JU</t>
  </si>
  <si>
    <t>CREC74.0OC</t>
  </si>
  <si>
    <t>CREC76.0JU</t>
  </si>
  <si>
    <t>CREC77677A</t>
  </si>
  <si>
    <t>CREC77677J</t>
  </si>
  <si>
    <t>CREC78.0AG</t>
  </si>
  <si>
    <t>CREC80.0AB</t>
  </si>
  <si>
    <t>CREC80.0FE</t>
  </si>
  <si>
    <t>CREC80.0JU</t>
  </si>
  <si>
    <t>CREC81677A</t>
  </si>
  <si>
    <t>CREC82.0JU</t>
  </si>
  <si>
    <t>CREC84.0AB</t>
  </si>
  <si>
    <t>CREC90.0OC</t>
  </si>
  <si>
    <t>CREC92.0AB</t>
  </si>
  <si>
    <t>CREC92.0FE</t>
  </si>
  <si>
    <t>CREC94.0OC</t>
  </si>
  <si>
    <t>CREC97677A</t>
  </si>
  <si>
    <t>CREC98.0OC</t>
  </si>
  <si>
    <t>CREC98.0SE</t>
  </si>
  <si>
    <t>CREV1100FE</t>
  </si>
  <si>
    <t>CREV1300FE</t>
  </si>
  <si>
    <t>CREV1400FE</t>
  </si>
  <si>
    <t>CREV1500AB</t>
  </si>
  <si>
    <t>CREV1500FE</t>
  </si>
  <si>
    <t>CREV1500JU</t>
  </si>
  <si>
    <t>CREV1600AB</t>
  </si>
  <si>
    <t>CREV1600FE</t>
  </si>
  <si>
    <t>CREV1600JU</t>
  </si>
  <si>
    <t>CREV16367F</t>
  </si>
  <si>
    <t>CREV1700AB</t>
  </si>
  <si>
    <t>CREV1700FE</t>
  </si>
  <si>
    <t>CREV1700JU</t>
  </si>
  <si>
    <t>CREV1800AB</t>
  </si>
  <si>
    <t>CREV1800FE</t>
  </si>
  <si>
    <t>CREV1800JU</t>
  </si>
  <si>
    <t>CREV1900AB</t>
  </si>
  <si>
    <t>CREV1900FE</t>
  </si>
  <si>
    <t>CREV1900JU</t>
  </si>
  <si>
    <t>CREV1900MA</t>
  </si>
  <si>
    <t>CREV2000AB</t>
  </si>
  <si>
    <t>CREV2000FE</t>
  </si>
  <si>
    <t>CREV2000JU</t>
  </si>
  <si>
    <t>CREV2000MA</t>
  </si>
  <si>
    <t>CREV2100AB</t>
  </si>
  <si>
    <t>CREV2100FE</t>
  </si>
  <si>
    <t>CREV2100JU</t>
  </si>
  <si>
    <t>CREV2100MA</t>
  </si>
  <si>
    <t>CREV2200AB</t>
  </si>
  <si>
    <t>CREV2200FE</t>
  </si>
  <si>
    <t>CREV2200JU</t>
  </si>
  <si>
    <t>CREV2200MA</t>
  </si>
  <si>
    <t>CREV2300AB</t>
  </si>
  <si>
    <t>CREV2300FE</t>
  </si>
  <si>
    <t>CREV2300JU</t>
  </si>
  <si>
    <t>CREV2300MA</t>
  </si>
  <si>
    <t>CREV2400AB</t>
  </si>
  <si>
    <t>CREV2400FE</t>
  </si>
  <si>
    <t>CREV2400JU</t>
  </si>
  <si>
    <t>CREV2400MA</t>
  </si>
  <si>
    <t>CREV2500AB</t>
  </si>
  <si>
    <t>CREV2500FE</t>
  </si>
  <si>
    <t>CREV2500JU</t>
  </si>
  <si>
    <t>CREV2500MA</t>
  </si>
  <si>
    <t>CREV50.0AB</t>
  </si>
  <si>
    <t>CREV52.0FE</t>
  </si>
  <si>
    <t>CREV56.0FE</t>
  </si>
  <si>
    <t>CREV58.0FE</t>
  </si>
  <si>
    <t>CREV61677A</t>
  </si>
  <si>
    <t>CREV64.0AB</t>
  </si>
  <si>
    <t>CREV64.0FE</t>
  </si>
  <si>
    <t>CREV74.0AB</t>
  </si>
  <si>
    <t>CREV74.0AG</t>
  </si>
  <si>
    <t>CREV74.0JU</t>
  </si>
  <si>
    <t>CREV74.0OC</t>
  </si>
  <si>
    <t>CREV77677A</t>
  </si>
  <si>
    <t>CREV80.0AB</t>
  </si>
  <si>
    <t>CREV82.0JU</t>
  </si>
  <si>
    <t>CREV90.0OC</t>
  </si>
  <si>
    <t>CREV94.0OC</t>
  </si>
  <si>
    <t>CREV98.0OC</t>
  </si>
  <si>
    <t>CRXC2.323A</t>
  </si>
  <si>
    <t>CRXV2.323A</t>
  </si>
  <si>
    <t>CVHC280.AG</t>
  </si>
  <si>
    <t>DGCC17.0FE</t>
  </si>
  <si>
    <t>DGCC20.0FE</t>
  </si>
  <si>
    <t>DGCC22.0JU</t>
  </si>
  <si>
    <t>DGCC27.0OC</t>
  </si>
  <si>
    <t>DGCC30.0OC</t>
  </si>
  <si>
    <t>DIAC30000A</t>
  </si>
  <si>
    <t>DIAC30000F</t>
  </si>
  <si>
    <t>DIAC33000A</t>
  </si>
  <si>
    <t>DIAC33000F</t>
  </si>
  <si>
    <t>DIAC33000J</t>
  </si>
  <si>
    <t>DIAC33000M</t>
  </si>
  <si>
    <t>DIAC34000A</t>
  </si>
  <si>
    <t>DIAC34000F</t>
  </si>
  <si>
    <t>DIAC34000J</t>
  </si>
  <si>
    <t>DIAC34000M</t>
  </si>
  <si>
    <t>DIAC35000A</t>
  </si>
  <si>
    <t>DIAC35000F</t>
  </si>
  <si>
    <t>DIAC35000J</t>
  </si>
  <si>
    <t>DIAC35000M</t>
  </si>
  <si>
    <t>DIAC36000A</t>
  </si>
  <si>
    <t>DIAC36000F</t>
  </si>
  <si>
    <t>DIAC36000J</t>
  </si>
  <si>
    <t>DIAC36000M</t>
  </si>
  <si>
    <t>DIAC37000A</t>
  </si>
  <si>
    <t>DIAC37000F</t>
  </si>
  <si>
    <t>DIAC37000J</t>
  </si>
  <si>
    <t>DIAC37000M</t>
  </si>
  <si>
    <t>DIAV30000A</t>
  </si>
  <si>
    <t>DIAV30000F</t>
  </si>
  <si>
    <t>DIAV33000A</t>
  </si>
  <si>
    <t>DIAV33000F</t>
  </si>
  <si>
    <t>DIAV33000J</t>
  </si>
  <si>
    <t>DIAV33000M</t>
  </si>
  <si>
    <t>DIAV34000A</t>
  </si>
  <si>
    <t>DIAV34000F</t>
  </si>
  <si>
    <t>DIAV34000J</t>
  </si>
  <si>
    <t>DIAV34000M</t>
  </si>
  <si>
    <t>DIAV35000A</t>
  </si>
  <si>
    <t>DIAV35000F</t>
  </si>
  <si>
    <t>DIAV35000J</t>
  </si>
  <si>
    <t>DIAV35000M</t>
  </si>
  <si>
    <t>DIAV36000A</t>
  </si>
  <si>
    <t>DIAV36000F</t>
  </si>
  <si>
    <t>DIAV36000J</t>
  </si>
  <si>
    <t>DIAV36000M</t>
  </si>
  <si>
    <t>DIAV37000A</t>
  </si>
  <si>
    <t>DIAV37000F</t>
  </si>
  <si>
    <t>DIAV37000J</t>
  </si>
  <si>
    <t>DIAV37000M</t>
  </si>
  <si>
    <t>EDNC1300FE</t>
  </si>
  <si>
    <t>EDNC1400FE</t>
  </si>
  <si>
    <t>EDNC1500FE</t>
  </si>
  <si>
    <t>EDNC1600FE</t>
  </si>
  <si>
    <t>EDNC1700FE</t>
  </si>
  <si>
    <t>EDNC1800FE</t>
  </si>
  <si>
    <t>EDNC1900FE</t>
  </si>
  <si>
    <t>EDNC20.0AG</t>
  </si>
  <si>
    <t>EDNC2000AB</t>
  </si>
  <si>
    <t>EDNC2000FE</t>
  </si>
  <si>
    <t>EDNC2100AB</t>
  </si>
  <si>
    <t>EDNC2200AB</t>
  </si>
  <si>
    <t>EDNC2200FE</t>
  </si>
  <si>
    <t>EDNC2200JU</t>
  </si>
  <si>
    <t>EDNC2200MA</t>
  </si>
  <si>
    <t>EDNC2300AB</t>
  </si>
  <si>
    <t>EDNC2300JU</t>
  </si>
  <si>
    <t>EDNC24.0AB</t>
  </si>
  <si>
    <t>EDNC24.0FE</t>
  </si>
  <si>
    <t>EDNC24.0JU</t>
  </si>
  <si>
    <t>EDNC2400AB</t>
  </si>
  <si>
    <t>EDNC2400FE</t>
  </si>
  <si>
    <t>EDNC2400JU</t>
  </si>
  <si>
    <t>EDNC2400MA</t>
  </si>
  <si>
    <t>EDNC25.0FE</t>
  </si>
  <si>
    <t>EDNC2500AB</t>
  </si>
  <si>
    <t>EDNC2500FE</t>
  </si>
  <si>
    <t>EDNC2500JU</t>
  </si>
  <si>
    <t>EDNC26.0AB</t>
  </si>
  <si>
    <t>EDNC26.0FE</t>
  </si>
  <si>
    <t>EDNC2600AB</t>
  </si>
  <si>
    <t>EDNC2600FE</t>
  </si>
  <si>
    <t>EDNC2600JU</t>
  </si>
  <si>
    <t>EDNC2600MA</t>
  </si>
  <si>
    <t>EDNC27.0JU</t>
  </si>
  <si>
    <t>EDNC2700AB</t>
  </si>
  <si>
    <t>EDNC2700FE</t>
  </si>
  <si>
    <t>EDNC2700JU</t>
  </si>
  <si>
    <t>EDNC28.0AG</t>
  </si>
  <si>
    <t>EDNC28.0OC</t>
  </si>
  <si>
    <t>EDNC2800AB</t>
  </si>
  <si>
    <t>EDNC2800FE</t>
  </si>
  <si>
    <t>EDNC2800JU</t>
  </si>
  <si>
    <t>EDNC2800MA</t>
  </si>
  <si>
    <t>EDNC2900AB</t>
  </si>
  <si>
    <t>EDNC2900FE</t>
  </si>
  <si>
    <t>EDNC2900JU</t>
  </si>
  <si>
    <t>EDNC30.0AG</t>
  </si>
  <si>
    <t>EDNC30.0JU</t>
  </si>
  <si>
    <t>EDNC30.0OC</t>
  </si>
  <si>
    <t>EDNC3000AB</t>
  </si>
  <si>
    <t>EDNC3000FE</t>
  </si>
  <si>
    <t>EDNC3000JU</t>
  </si>
  <si>
    <t>EDNC3000MA</t>
  </si>
  <si>
    <t>EDNC40.0OC</t>
  </si>
  <si>
    <t>EDNC42.0FE</t>
  </si>
  <si>
    <t>EDNC44.0OC</t>
  </si>
  <si>
    <t>EDNC46.0OC</t>
  </si>
  <si>
    <t>EDNV1200FE</t>
  </si>
  <si>
    <t>EDNV1300FE</t>
  </si>
  <si>
    <t>EDNV1400FE</t>
  </si>
  <si>
    <t>EDNV1500FE</t>
  </si>
  <si>
    <t>EDNV1600FE</t>
  </si>
  <si>
    <t>EDNV1700FE</t>
  </si>
  <si>
    <t>EDNV1900AB</t>
  </si>
  <si>
    <t>EDNV1900FE</t>
  </si>
  <si>
    <t>EDNV1900JU</t>
  </si>
  <si>
    <t>EDNV2000AB</t>
  </si>
  <si>
    <t>EDNV2000FE</t>
  </si>
  <si>
    <t>EDNV2000JU</t>
  </si>
  <si>
    <t>EDNV2100AB</t>
  </si>
  <si>
    <t>EDNV2100FE</t>
  </si>
  <si>
    <t>EDNV2100JU</t>
  </si>
  <si>
    <t>EDNV2200AB</t>
  </si>
  <si>
    <t>EDNV2200FE</t>
  </si>
  <si>
    <t>EDNV2200JU</t>
  </si>
  <si>
    <t>EDNV2200MA</t>
  </si>
  <si>
    <t>EDNV2300AB</t>
  </si>
  <si>
    <t>EDNV2300JU</t>
  </si>
  <si>
    <t>EDNV24.0AB</t>
  </si>
  <si>
    <t>EDNV24.0FE</t>
  </si>
  <si>
    <t>EDNV24.0JU</t>
  </si>
  <si>
    <t>EDNV2400AB</t>
  </si>
  <si>
    <t>EDNV2400FE</t>
  </si>
  <si>
    <t>EDNV2400JU</t>
  </si>
  <si>
    <t>EDNV2400MA</t>
  </si>
  <si>
    <t>EDNV2500AB</t>
  </si>
  <si>
    <t>EDNV2500FE</t>
  </si>
  <si>
    <t>EDNV2500JU</t>
  </si>
  <si>
    <t>EDNV26.0FE</t>
  </si>
  <si>
    <t>EDNV2600AB</t>
  </si>
  <si>
    <t>EDNV2600FE</t>
  </si>
  <si>
    <t>EDNV2600MA</t>
  </si>
  <si>
    <t>EDNV2700AB</t>
  </si>
  <si>
    <t>EDNV2700FE</t>
  </si>
  <si>
    <t>EDNV28.0AG</t>
  </si>
  <si>
    <t>EDNV28.0OC</t>
  </si>
  <si>
    <t>EDNV2800AB</t>
  </si>
  <si>
    <t>EDNV2800FE</t>
  </si>
  <si>
    <t>EDNV2800JU</t>
  </si>
  <si>
    <t>EDNV2800MA</t>
  </si>
  <si>
    <t>EDNV2900AB</t>
  </si>
  <si>
    <t>EDNV2900FE</t>
  </si>
  <si>
    <t>EDNV3000AB</t>
  </si>
  <si>
    <t>EDNV3000FE</t>
  </si>
  <si>
    <t>EDNV3000JU</t>
  </si>
  <si>
    <t>EDNV3000MA</t>
  </si>
  <si>
    <t>EDNV46.0OC</t>
  </si>
  <si>
    <t>ETHC10000A</t>
  </si>
  <si>
    <t>ETHC10000F</t>
  </si>
  <si>
    <t>ETHC10000J</t>
  </si>
  <si>
    <t>ETHC10000M</t>
  </si>
  <si>
    <t>ETHC11000A</t>
  </si>
  <si>
    <t>ETHC11000F</t>
  </si>
  <si>
    <t>ETHC11000J</t>
  </si>
  <si>
    <t>ETHC11000M</t>
  </si>
  <si>
    <t>ETHC12000A</t>
  </si>
  <si>
    <t>ETHC12000F</t>
  </si>
  <si>
    <t>ETHC12000J</t>
  </si>
  <si>
    <t>ETHC12000M</t>
  </si>
  <si>
    <t>ETHC13000A</t>
  </si>
  <si>
    <t>ETHC13000F</t>
  </si>
  <si>
    <t>ETHC13000J</t>
  </si>
  <si>
    <t>ETHC13000M</t>
  </si>
  <si>
    <t>ETHC14000A</t>
  </si>
  <si>
    <t>ETHC14000F</t>
  </si>
  <si>
    <t>ETHC14000J</t>
  </si>
  <si>
    <t>ETHC14000M</t>
  </si>
  <si>
    <t>ETHC5300FE</t>
  </si>
  <si>
    <t>ETHC5600FE</t>
  </si>
  <si>
    <t>ETHC5900FE</t>
  </si>
  <si>
    <t>ETHC6200FE</t>
  </si>
  <si>
    <t>ETHC6500FE</t>
  </si>
  <si>
    <t>ETHC6800FE</t>
  </si>
  <si>
    <t>ETHC7100FE</t>
  </si>
  <si>
    <t>ETHC7400FE</t>
  </si>
  <si>
    <t>ETHC7700FE</t>
  </si>
  <si>
    <t>ETHC8000AB</t>
  </si>
  <si>
    <t>ETHC8000FE</t>
  </si>
  <si>
    <t>ETHC8000JU</t>
  </si>
  <si>
    <t>ETHC8000MA</t>
  </si>
  <si>
    <t>ETHC9000AB</t>
  </si>
  <si>
    <t>ETHC9000FE</t>
  </si>
  <si>
    <t>ETHC9000JU</t>
  </si>
  <si>
    <t>ETHC9000MA</t>
  </si>
  <si>
    <t>ETHV10000A</t>
  </si>
  <si>
    <t>ETHV10000F</t>
  </si>
  <si>
    <t>ETHV10000J</t>
  </si>
  <si>
    <t>ETHV10000M</t>
  </si>
  <si>
    <t>ETHV11000A</t>
  </si>
  <si>
    <t>ETHV11000F</t>
  </si>
  <si>
    <t>ETHV11000J</t>
  </si>
  <si>
    <t>ETHV11000M</t>
  </si>
  <si>
    <t>ETHV12000A</t>
  </si>
  <si>
    <t>ETHV12000F</t>
  </si>
  <si>
    <t>ETHV12000J</t>
  </si>
  <si>
    <t>ETHV12000M</t>
  </si>
  <si>
    <t>ETHV13000A</t>
  </si>
  <si>
    <t>ETHV13000F</t>
  </si>
  <si>
    <t>ETHV13000J</t>
  </si>
  <si>
    <t>ETHV13000M</t>
  </si>
  <si>
    <t>ETHV14000A</t>
  </si>
  <si>
    <t>ETHV14000F</t>
  </si>
  <si>
    <t>ETHV14000J</t>
  </si>
  <si>
    <t>ETHV14000M</t>
  </si>
  <si>
    <t>ETHV5300FE</t>
  </si>
  <si>
    <t>ETHV5600FE</t>
  </si>
  <si>
    <t>ETHV5900FE</t>
  </si>
  <si>
    <t>ETHV6200FE</t>
  </si>
  <si>
    <t>ETHV6500FE</t>
  </si>
  <si>
    <t>ETHV6800FE</t>
  </si>
  <si>
    <t>ETHV7100FE</t>
  </si>
  <si>
    <t>ETHV7400FE</t>
  </si>
  <si>
    <t>ETHV7700FE</t>
  </si>
  <si>
    <t>ETHV8000AB</t>
  </si>
  <si>
    <t>ETHV8000FE</t>
  </si>
  <si>
    <t>ETHV8000JU</t>
  </si>
  <si>
    <t>ETHV8000MA</t>
  </si>
  <si>
    <t>ETHV9000AB</t>
  </si>
  <si>
    <t>ETHV9000FE</t>
  </si>
  <si>
    <t>ETHV9000JU</t>
  </si>
  <si>
    <t>ETHV9000MA</t>
  </si>
  <si>
    <t>G30C5500NO</t>
  </si>
  <si>
    <t>G30C5500OC</t>
  </si>
  <si>
    <t>G30C5900NO</t>
  </si>
  <si>
    <t>G30C5900OC</t>
  </si>
  <si>
    <t>G30C6100NO</t>
  </si>
  <si>
    <t>G30C6100OC</t>
  </si>
  <si>
    <t>G30C84000A</t>
  </si>
  <si>
    <t>G30C84000F</t>
  </si>
  <si>
    <t>G30C84000M</t>
  </si>
  <si>
    <t>G30C86000A</t>
  </si>
  <si>
    <t>G30C86000F</t>
  </si>
  <si>
    <t>G30C86000M</t>
  </si>
  <si>
    <t>G30C88000A</t>
  </si>
  <si>
    <t>G30C88000F</t>
  </si>
  <si>
    <t>G30C88000M</t>
  </si>
  <si>
    <t>G30C90000A</t>
  </si>
  <si>
    <t>G30C90000F</t>
  </si>
  <si>
    <t>G30C90000M</t>
  </si>
  <si>
    <t>G30C92000A</t>
  </si>
  <si>
    <t>G30C92000F</t>
  </si>
  <si>
    <t>G30C92000M</t>
  </si>
  <si>
    <t>G30V84000A</t>
  </si>
  <si>
    <t>G30V84000F</t>
  </si>
  <si>
    <t>G30V84000M</t>
  </si>
  <si>
    <t>G30V86000A</t>
  </si>
  <si>
    <t>G30V86000F</t>
  </si>
  <si>
    <t>G30V86000M</t>
  </si>
  <si>
    <t>G30V88000A</t>
  </si>
  <si>
    <t>G30V88000F</t>
  </si>
  <si>
    <t>G30V88000M</t>
  </si>
  <si>
    <t>G30V90000A</t>
  </si>
  <si>
    <t>G30V90000F</t>
  </si>
  <si>
    <t>G30V90000M</t>
  </si>
  <si>
    <t>G30V92000A</t>
  </si>
  <si>
    <t>G30V92000F</t>
  </si>
  <si>
    <t>G30V92000M</t>
  </si>
  <si>
    <t>GFGC10098J</t>
  </si>
  <si>
    <t>GFGC10130F</t>
  </si>
  <si>
    <t>GFGC10154F</t>
  </si>
  <si>
    <t>GFGC10176A</t>
  </si>
  <si>
    <t>GFGC10177F</t>
  </si>
  <si>
    <t>GFGC102.AB</t>
  </si>
  <si>
    <t>GFGC102.AG</t>
  </si>
  <si>
    <t>GFGC102.FE</t>
  </si>
  <si>
    <t>GFGC102.JU</t>
  </si>
  <si>
    <t>GFGC102.OC</t>
  </si>
  <si>
    <t>GFGC10200A</t>
  </si>
  <si>
    <t>GFGC10200F</t>
  </si>
  <si>
    <t>GFGC10200J</t>
  </si>
  <si>
    <t>GFGC10200M</t>
  </si>
  <si>
    <t>GFGC10398J</t>
  </si>
  <si>
    <t>GFGC105.AB</t>
  </si>
  <si>
    <t>GFGC105.AG</t>
  </si>
  <si>
    <t>GFGC105.DI</t>
  </si>
  <si>
    <t>GFGC105.FE</t>
  </si>
  <si>
    <t>GFGC105.JU</t>
  </si>
  <si>
    <t>GFGC105.OC</t>
  </si>
  <si>
    <t>GFGC10553F</t>
  </si>
  <si>
    <t>GFGC10577F</t>
  </si>
  <si>
    <t>GFGC10600A</t>
  </si>
  <si>
    <t>GFGC10600F</t>
  </si>
  <si>
    <t>GFGC10600J</t>
  </si>
  <si>
    <t>GFGC10698J</t>
  </si>
  <si>
    <t>GFGC108.AB</t>
  </si>
  <si>
    <t>GFGC108.AG</t>
  </si>
  <si>
    <t>GFGC108.DI</t>
  </si>
  <si>
    <t>GFGC108.FE</t>
  </si>
  <si>
    <t>GFGC108.JU</t>
  </si>
  <si>
    <t>GFGC108.OC</t>
  </si>
  <si>
    <t>GFGC10953F</t>
  </si>
  <si>
    <t>GFGC10977F</t>
  </si>
  <si>
    <t>GFGC10998G</t>
  </si>
  <si>
    <t>GFGC10998J</t>
  </si>
  <si>
    <t>GFGC10998O</t>
  </si>
  <si>
    <t>GFGC11000A</t>
  </si>
  <si>
    <t>GFGC11000F</t>
  </si>
  <si>
    <t>GFGC11000J</t>
  </si>
  <si>
    <t>GFGC11000M</t>
  </si>
  <si>
    <t>GFGC111.AB</t>
  </si>
  <si>
    <t>GFGC111.AG</t>
  </si>
  <si>
    <t>GFGC111.FE</t>
  </si>
  <si>
    <t>GFGC111.JU</t>
  </si>
  <si>
    <t>GFGC111.OC</t>
  </si>
  <si>
    <t>GFGC11298G</t>
  </si>
  <si>
    <t>GFGC11298J</t>
  </si>
  <si>
    <t>GFGC11353F</t>
  </si>
  <si>
    <t>GFGC11377F</t>
  </si>
  <si>
    <t>GFGC114.AB</t>
  </si>
  <si>
    <t>GFGC114.AG</t>
  </si>
  <si>
    <t>GFGC114.DI</t>
  </si>
  <si>
    <t>GFGC114.FE</t>
  </si>
  <si>
    <t>GFGC114.JU</t>
  </si>
  <si>
    <t>GFGC114.OC</t>
  </si>
  <si>
    <t>GFGC11400A</t>
  </si>
  <si>
    <t>GFGC11400F</t>
  </si>
  <si>
    <t>GFGC11400J</t>
  </si>
  <si>
    <t>GFGC11400M</t>
  </si>
  <si>
    <t>GFGC11598J</t>
  </si>
  <si>
    <t>GFGC117.AB</t>
  </si>
  <si>
    <t>GFGC117.AG</t>
  </si>
  <si>
    <t>GFGC117.DI</t>
  </si>
  <si>
    <t>GFGC117.FE</t>
  </si>
  <si>
    <t>GFGC117.JU</t>
  </si>
  <si>
    <t>GFGC117.OC</t>
  </si>
  <si>
    <t>GFGC11753F</t>
  </si>
  <si>
    <t>GFGC11777F</t>
  </si>
  <si>
    <t>GFGC11800A</t>
  </si>
  <si>
    <t>GFGC11800F</t>
  </si>
  <si>
    <t>GFGC11800J</t>
  </si>
  <si>
    <t>GFGC11800M</t>
  </si>
  <si>
    <t>GFGC11881F</t>
  </si>
  <si>
    <t>GFGC11898G</t>
  </si>
  <si>
    <t>GFGC11898J</t>
  </si>
  <si>
    <t>GFGC120.AB</t>
  </si>
  <si>
    <t>GFGC120.AG</t>
  </si>
  <si>
    <t>GFGC120.DI</t>
  </si>
  <si>
    <t>GFGC120.JU</t>
  </si>
  <si>
    <t>GFGC120.OC</t>
  </si>
  <si>
    <t>GFGC12198J</t>
  </si>
  <si>
    <t>GFGC123.AB</t>
  </si>
  <si>
    <t>GFGC123.AG</t>
  </si>
  <si>
    <t>GFGC123.DI</t>
  </si>
  <si>
    <t>GFGC123.FE</t>
  </si>
  <si>
    <t>GFGC123.JU</t>
  </si>
  <si>
    <t>GFGC123.OC</t>
  </si>
  <si>
    <t>GFGC12481F</t>
  </si>
  <si>
    <t>GFGC12498G</t>
  </si>
  <si>
    <t>GFGC12498J</t>
  </si>
  <si>
    <t>GFGC12498Y</t>
  </si>
  <si>
    <t>GFGC126.AB</t>
  </si>
  <si>
    <t>GFGC126.AG</t>
  </si>
  <si>
    <t>GFGC126.DI</t>
  </si>
  <si>
    <t>GFGC126.JU</t>
  </si>
  <si>
    <t>GFGC126.MA</t>
  </si>
  <si>
    <t>GFGC126.MY</t>
  </si>
  <si>
    <t>GFGC126.OC</t>
  </si>
  <si>
    <t>GFGC12798G</t>
  </si>
  <si>
    <t>GFGC12798J</t>
  </si>
  <si>
    <t>GFGC129.AB</t>
  </si>
  <si>
    <t>GFGC129.AG</t>
  </si>
  <si>
    <t>GFGC129.FE</t>
  </si>
  <si>
    <t>GFGC129.JU</t>
  </si>
  <si>
    <t>GFGC129.MA</t>
  </si>
  <si>
    <t>GFGC129.OC</t>
  </si>
  <si>
    <t>GFGC13098G</t>
  </si>
  <si>
    <t>GFGC13098J</t>
  </si>
  <si>
    <t>GFGC13398G</t>
  </si>
  <si>
    <t>GFGC13398J</t>
  </si>
  <si>
    <t>GFGC13898G</t>
  </si>
  <si>
    <t>GFGC13898J</t>
  </si>
  <si>
    <t>GFGC14398J</t>
  </si>
  <si>
    <t>GFGC14898G</t>
  </si>
  <si>
    <t>GFGC14898J</t>
  </si>
  <si>
    <t>GFGC15398J</t>
  </si>
  <si>
    <t>GFGC15881F</t>
  </si>
  <si>
    <t>GFGC15898G</t>
  </si>
  <si>
    <t>GFGC15898J</t>
  </si>
  <si>
    <t>GFGC16381F</t>
  </si>
  <si>
    <t>GFGC16881F</t>
  </si>
  <si>
    <t>GFGC16898G</t>
  </si>
  <si>
    <t>GFGC18898J</t>
  </si>
  <si>
    <t>GFGC19881F</t>
  </si>
  <si>
    <t>GFGC19898G</t>
  </si>
  <si>
    <t>GFGC19898J</t>
  </si>
  <si>
    <t>GFGC19898O</t>
  </si>
  <si>
    <t>GFGC2700FE</t>
  </si>
  <si>
    <t>GFGC2900FE</t>
  </si>
  <si>
    <t>GFGC29761F</t>
  </si>
  <si>
    <t>GFGC3000FE</t>
  </si>
  <si>
    <t>GFGC3100AB</t>
  </si>
  <si>
    <t>GFGC3100FE</t>
  </si>
  <si>
    <t>GFGC3200AB</t>
  </si>
  <si>
    <t>GFGC3200FE</t>
  </si>
  <si>
    <t>GFGC32077F</t>
  </si>
  <si>
    <t>GFGC32316F</t>
  </si>
  <si>
    <t>GFGC32549F</t>
  </si>
  <si>
    <t>GFGC32777F</t>
  </si>
  <si>
    <t>GFGC3600FE</t>
  </si>
  <si>
    <t>GFGC40858F</t>
  </si>
  <si>
    <t>GFGC41097F</t>
  </si>
  <si>
    <t>GFGC4133FE</t>
  </si>
  <si>
    <t>GFGC41558F</t>
  </si>
  <si>
    <t>GFGC41781F</t>
  </si>
  <si>
    <t>GFGC4430FE</t>
  </si>
  <si>
    <t>GFGC44539F</t>
  </si>
  <si>
    <t>GFGC44772F</t>
  </si>
  <si>
    <t>GFGC4500FE</t>
  </si>
  <si>
    <t>GFGC4800FE</t>
  </si>
  <si>
    <t>GFGC5100AB</t>
  </si>
  <si>
    <t>GFGC5100FE</t>
  </si>
  <si>
    <t>GFGC5330FE</t>
  </si>
  <si>
    <t>GFGC53539F</t>
  </si>
  <si>
    <t>GFGC53772F</t>
  </si>
  <si>
    <t>GFGC5400FE</t>
  </si>
  <si>
    <t>GFGC56077F</t>
  </si>
  <si>
    <t>GFGC56316F</t>
  </si>
  <si>
    <t>GFGC56549F</t>
  </si>
  <si>
    <t>GFGC56777F</t>
  </si>
  <si>
    <t>GFGC5700FE</t>
  </si>
  <si>
    <t>GFGC5930FE</t>
  </si>
  <si>
    <t>GFGC59539F</t>
  </si>
  <si>
    <t>GFGC59772F</t>
  </si>
  <si>
    <t>GFGC6000AB</t>
  </si>
  <si>
    <t>GFGC6000FE</t>
  </si>
  <si>
    <t>GFGC6000JU</t>
  </si>
  <si>
    <t>GFGC61761A</t>
  </si>
  <si>
    <t>GFGC61761F</t>
  </si>
  <si>
    <t>GFGC6200AB</t>
  </si>
  <si>
    <t>GFGC6200FE</t>
  </si>
  <si>
    <t>GFGC63077F</t>
  </si>
  <si>
    <t>GFGC63316F</t>
  </si>
  <si>
    <t>GFGC63549F</t>
  </si>
  <si>
    <t>GFGC63777F</t>
  </si>
  <si>
    <t>GFGC6400AB</t>
  </si>
  <si>
    <t>GFGC6400FE</t>
  </si>
  <si>
    <t>GFGC65761F</t>
  </si>
  <si>
    <t>GFGC6600AB</t>
  </si>
  <si>
    <t>GFGC6600FE</t>
  </si>
  <si>
    <t>GFGC6730FE</t>
  </si>
  <si>
    <t>GFGC67539F</t>
  </si>
  <si>
    <t>GFGC67772F</t>
  </si>
  <si>
    <t>GFGC6800AB</t>
  </si>
  <si>
    <t>GFGC6800FE</t>
  </si>
  <si>
    <t>GFGC6930FE</t>
  </si>
  <si>
    <t>GFGC69528A</t>
  </si>
  <si>
    <t>GFGC69539F</t>
  </si>
  <si>
    <t>GFGC69767A</t>
  </si>
  <si>
    <t>GFGC69772F</t>
  </si>
  <si>
    <t>GFGC7000AB</t>
  </si>
  <si>
    <t>GFGC7000FE</t>
  </si>
  <si>
    <t>GFGC7000JU</t>
  </si>
  <si>
    <t>GFGC71528F</t>
  </si>
  <si>
    <t>GFGC71767F</t>
  </si>
  <si>
    <t>GFGC7200AB</t>
  </si>
  <si>
    <t>GFGC7200FE</t>
  </si>
  <si>
    <t>GFGC73761A</t>
  </si>
  <si>
    <t>GFGC73761F</t>
  </si>
  <si>
    <t>GFGC7400AB</t>
  </si>
  <si>
    <t>GFGC7400FE</t>
  </si>
  <si>
    <t>GFGC7530FE</t>
  </si>
  <si>
    <t>GFGC75528A</t>
  </si>
  <si>
    <t>GFGC75539F</t>
  </si>
  <si>
    <t>GFGC75767A</t>
  </si>
  <si>
    <t>GFGC75772F</t>
  </si>
  <si>
    <t>GFGC7600AB</t>
  </si>
  <si>
    <t>GFGC7600FE</t>
  </si>
  <si>
    <t>GFGC77761A</t>
  </si>
  <si>
    <t>GFGC77761F</t>
  </si>
  <si>
    <t>GFGC7800AB</t>
  </si>
  <si>
    <t>GFGC7800FE</t>
  </si>
  <si>
    <t>GFGC7800JU</t>
  </si>
  <si>
    <t>GFGC7930FE</t>
  </si>
  <si>
    <t>GFGC79539F</t>
  </si>
  <si>
    <t>GFGC79761A</t>
  </si>
  <si>
    <t>GFGC79772F</t>
  </si>
  <si>
    <t>GFGC8000AB</t>
  </si>
  <si>
    <t>GFGC8000FE</t>
  </si>
  <si>
    <t>GFGC8000JU</t>
  </si>
  <si>
    <t>GFGC8230FE</t>
  </si>
  <si>
    <t>GFGC82528A</t>
  </si>
  <si>
    <t>GFGC82539F</t>
  </si>
  <si>
    <t>GFGC82767A</t>
  </si>
  <si>
    <t>GFGC82772F</t>
  </si>
  <si>
    <t>GFGC82983G</t>
  </si>
  <si>
    <t>GFGC82983J</t>
  </si>
  <si>
    <t>GFGC8300AB</t>
  </si>
  <si>
    <t>GFGC8300FE</t>
  </si>
  <si>
    <t>GFGC8300JU</t>
  </si>
  <si>
    <t>GFGC84.0AG</t>
  </si>
  <si>
    <t>GFGC84.0JU</t>
  </si>
  <si>
    <t>GFGC84.0MY</t>
  </si>
  <si>
    <t>GFGC84.0OC</t>
  </si>
  <si>
    <t>GFGC8530FE</t>
  </si>
  <si>
    <t>GFGC85539F</t>
  </si>
  <si>
    <t>GFGC85772F</t>
  </si>
  <si>
    <t>GFGC85983J</t>
  </si>
  <si>
    <t>GFGC8600AB</t>
  </si>
  <si>
    <t>GFGC8600FE</t>
  </si>
  <si>
    <t>GFGC8600JU</t>
  </si>
  <si>
    <t>GFGC87.0AG</t>
  </si>
  <si>
    <t>GFGC87.0FE</t>
  </si>
  <si>
    <t>GFGC87.0JU</t>
  </si>
  <si>
    <t>GFGC87.0OC</t>
  </si>
  <si>
    <t>GFGC88761A</t>
  </si>
  <si>
    <t>GFGC88761F</t>
  </si>
  <si>
    <t>GFGC88983J</t>
  </si>
  <si>
    <t>GFGC8900AB</t>
  </si>
  <si>
    <t>GFGC8900FE</t>
  </si>
  <si>
    <t>GFGC8900JU</t>
  </si>
  <si>
    <t>GFGC90.0AB</t>
  </si>
  <si>
    <t>GFGC90.0AG</t>
  </si>
  <si>
    <t>GFGC90.0FE</t>
  </si>
  <si>
    <t>GFGC90.0JU</t>
  </si>
  <si>
    <t>GFGC90.0MY</t>
  </si>
  <si>
    <t>GFGC90.0OC</t>
  </si>
  <si>
    <t>GFGC91761F</t>
  </si>
  <si>
    <t>GFGC9200AB</t>
  </si>
  <si>
    <t>GFGC9200FE</t>
  </si>
  <si>
    <t>GFGC9200JU</t>
  </si>
  <si>
    <t>GFGC93.0FE</t>
  </si>
  <si>
    <t>GFGC93.0OC</t>
  </si>
  <si>
    <t>GFGC94761F</t>
  </si>
  <si>
    <t>GFGC94983J</t>
  </si>
  <si>
    <t>GFGC9500AB</t>
  </si>
  <si>
    <t>GFGC9500FE</t>
  </si>
  <si>
    <t>GFGC9500JU</t>
  </si>
  <si>
    <t>GFGC96.0FE</t>
  </si>
  <si>
    <t>GFGC96.0JU</t>
  </si>
  <si>
    <t>GFGC96.0OC</t>
  </si>
  <si>
    <t>GFGC9730AB</t>
  </si>
  <si>
    <t>GFGC9730FE</t>
  </si>
  <si>
    <t>GFGC97539A</t>
  </si>
  <si>
    <t>GFGC97539F</t>
  </si>
  <si>
    <t>GFGC97772A</t>
  </si>
  <si>
    <t>GFGC97772F</t>
  </si>
  <si>
    <t>GFGC97983J</t>
  </si>
  <si>
    <t>GFGC9800AB</t>
  </si>
  <si>
    <t>GFGC9800FE</t>
  </si>
  <si>
    <t>GFGC9800JU</t>
  </si>
  <si>
    <t>GFGC99.0AB</t>
  </si>
  <si>
    <t>GFGC99.0JU</t>
  </si>
  <si>
    <t>GFGC99.0OC</t>
  </si>
  <si>
    <t>GFGV10098J</t>
  </si>
  <si>
    <t>GFGV10130F</t>
  </si>
  <si>
    <t>GFGV10154F</t>
  </si>
  <si>
    <t>GFGV10176A</t>
  </si>
  <si>
    <t>GFGV10177F</t>
  </si>
  <si>
    <t>GFGV102.AB</t>
  </si>
  <si>
    <t>GFGV102.AG</t>
  </si>
  <si>
    <t>GFGV102.JU</t>
  </si>
  <si>
    <t>GFGV102.OC</t>
  </si>
  <si>
    <t>GFGV10200A</t>
  </si>
  <si>
    <t>GFGV10200F</t>
  </si>
  <si>
    <t>GFGV10200J</t>
  </si>
  <si>
    <t>GFGV10200M</t>
  </si>
  <si>
    <t>GFGV10398J</t>
  </si>
  <si>
    <t>GFGV105.AB</t>
  </si>
  <si>
    <t>GFGV105.DI</t>
  </si>
  <si>
    <t>GFGV105.FE</t>
  </si>
  <si>
    <t>GFGV105.JU</t>
  </si>
  <si>
    <t>GFGV105.OC</t>
  </si>
  <si>
    <t>GFGV10553F</t>
  </si>
  <si>
    <t>GFGV10577F</t>
  </si>
  <si>
    <t>GFGV10698J</t>
  </si>
  <si>
    <t>GFGV108.AB</t>
  </si>
  <si>
    <t>GFGV108.DI</t>
  </si>
  <si>
    <t>GFGV108.FE</t>
  </si>
  <si>
    <t>GFGV108.JU</t>
  </si>
  <si>
    <t>GFGV108.OC</t>
  </si>
  <si>
    <t>GFGV10953F</t>
  </si>
  <si>
    <t>GFGV10977F</t>
  </si>
  <si>
    <t>GFGV10998G</t>
  </si>
  <si>
    <t>GFGV10998J</t>
  </si>
  <si>
    <t>GFGV10998O</t>
  </si>
  <si>
    <t>GFGV11000A</t>
  </si>
  <si>
    <t>GFGV11000F</t>
  </si>
  <si>
    <t>GFGV11000J</t>
  </si>
  <si>
    <t>GFGV11000M</t>
  </si>
  <si>
    <t>GFGV111.AB</t>
  </si>
  <si>
    <t>GFGV111.AG</t>
  </si>
  <si>
    <t>GFGV111.FE</t>
  </si>
  <si>
    <t>GFGV111.JU</t>
  </si>
  <si>
    <t>GFGV111.OC</t>
  </si>
  <si>
    <t>GFGV11298G</t>
  </si>
  <si>
    <t>GFGV11298J</t>
  </si>
  <si>
    <t>GFGV11353F</t>
  </si>
  <si>
    <t>GFGV11377F</t>
  </si>
  <si>
    <t>GFGV114.AB</t>
  </si>
  <si>
    <t>GFGV114.AG</t>
  </si>
  <si>
    <t>GFGV114.DI</t>
  </si>
  <si>
    <t>GFGV114.FE</t>
  </si>
  <si>
    <t>GFGV114.JU</t>
  </si>
  <si>
    <t>GFGV114.OC</t>
  </si>
  <si>
    <t>GFGV11400A</t>
  </si>
  <si>
    <t>GFGV11400F</t>
  </si>
  <si>
    <t>GFGV11400J</t>
  </si>
  <si>
    <t>GFGV11400M</t>
  </si>
  <si>
    <t>GFGV11598J</t>
  </si>
  <si>
    <t>GFGV117.AB</t>
  </si>
  <si>
    <t>GFGV117.AG</t>
  </si>
  <si>
    <t>GFGV117.DI</t>
  </si>
  <si>
    <t>GFGV117.FE</t>
  </si>
  <si>
    <t>GFGV117.JU</t>
  </si>
  <si>
    <t>GFGV117.OC</t>
  </si>
  <si>
    <t>GFGV11753F</t>
  </si>
  <si>
    <t>GFGV11777F</t>
  </si>
  <si>
    <t>GFGV11800A</t>
  </si>
  <si>
    <t>GFGV11800F</t>
  </si>
  <si>
    <t>GFGV11800J</t>
  </si>
  <si>
    <t>GFGV11800M</t>
  </si>
  <si>
    <t>GFGV11881F</t>
  </si>
  <si>
    <t>GFGV11898G</t>
  </si>
  <si>
    <t>GFGV11898J</t>
  </si>
  <si>
    <t>GFGV120.AB</t>
  </si>
  <si>
    <t>GFGV120.AG</t>
  </si>
  <si>
    <t>GFGV120.DI</t>
  </si>
  <si>
    <t>GFGV120.JU</t>
  </si>
  <si>
    <t>GFGV120.OC</t>
  </si>
  <si>
    <t>GFGV12198J</t>
  </si>
  <si>
    <t>GFGV123.AB</t>
  </si>
  <si>
    <t>GFGV123.AG</t>
  </si>
  <si>
    <t>GFGV123.DI</t>
  </si>
  <si>
    <t>GFGV123.FE</t>
  </si>
  <si>
    <t>GFGV123.JU</t>
  </si>
  <si>
    <t>GFGV123.OC</t>
  </si>
  <si>
    <t>GFGV12481F</t>
  </si>
  <si>
    <t>GFGV12498G</t>
  </si>
  <si>
    <t>GFGV12498J</t>
  </si>
  <si>
    <t>GFGV126.AB</t>
  </si>
  <si>
    <t>GFGV126.AG</t>
  </si>
  <si>
    <t>GFGV126.DI</t>
  </si>
  <si>
    <t>GFGV126.JU</t>
  </si>
  <si>
    <t>GFGV126.OC</t>
  </si>
  <si>
    <t>GFGV12798G</t>
  </si>
  <si>
    <t>GFGV12798J</t>
  </si>
  <si>
    <t>GFGV129.AB</t>
  </si>
  <si>
    <t>GFGV129.AG</t>
  </si>
  <si>
    <t>GFGV129.FE</t>
  </si>
  <si>
    <t>GFGV129.JU</t>
  </si>
  <si>
    <t>GFGV129.OC</t>
  </si>
  <si>
    <t>GFGV13098G</t>
  </si>
  <si>
    <t>GFGV13098J</t>
  </si>
  <si>
    <t>GFGV13398G</t>
  </si>
  <si>
    <t>GFGV13398J</t>
  </si>
  <si>
    <t>GFGV13898G</t>
  </si>
  <si>
    <t>GFGV13898J</t>
  </si>
  <si>
    <t>GFGV14398J</t>
  </si>
  <si>
    <t>GFGV14898G</t>
  </si>
  <si>
    <t>GFGV14898J</t>
  </si>
  <si>
    <t>GFGV15398J</t>
  </si>
  <si>
    <t>GFGV15881F</t>
  </si>
  <si>
    <t>GFGV15898G</t>
  </si>
  <si>
    <t>GFGV15898J</t>
  </si>
  <si>
    <t>GFGV16898G</t>
  </si>
  <si>
    <t>GFGV18898J</t>
  </si>
  <si>
    <t>GFGV19898G</t>
  </si>
  <si>
    <t>GFGV19898J</t>
  </si>
  <si>
    <t>GFGV19898O</t>
  </si>
  <si>
    <t>GFGV29761F</t>
  </si>
  <si>
    <t>GFGV3000AB</t>
  </si>
  <si>
    <t>GFGV3000FE</t>
  </si>
  <si>
    <t>GFGV3100AB</t>
  </si>
  <si>
    <t>GFGV3100FE</t>
  </si>
  <si>
    <t>GFGV3200AB</t>
  </si>
  <si>
    <t>GFGV3200FE</t>
  </si>
  <si>
    <t>GFGV32077F</t>
  </si>
  <si>
    <t>GFGV32316F</t>
  </si>
  <si>
    <t>GFGV32549F</t>
  </si>
  <si>
    <t>GFGV32777F</t>
  </si>
  <si>
    <t>GFGV3300FE</t>
  </si>
  <si>
    <t>GFGV3600AB</t>
  </si>
  <si>
    <t>GFGV3600FE</t>
  </si>
  <si>
    <t>GFGV3900FE</t>
  </si>
  <si>
    <t>GFGV40858F</t>
  </si>
  <si>
    <t>GFGV41097F</t>
  </si>
  <si>
    <t>GFGV4133FE</t>
  </si>
  <si>
    <t>GFGV41558F</t>
  </si>
  <si>
    <t>GFGV41781F</t>
  </si>
  <si>
    <t>GFGV4200FE</t>
  </si>
  <si>
    <t>GFGV4430FE</t>
  </si>
  <si>
    <t>GFGV44539F</t>
  </si>
  <si>
    <t>GFGV44772F</t>
  </si>
  <si>
    <t>GFGV4500AB</t>
  </si>
  <si>
    <t>GFGV4500FE</t>
  </si>
  <si>
    <t>GFGV4800FE</t>
  </si>
  <si>
    <t>GFGV5100AB</t>
  </si>
  <si>
    <t>GFGV5100FE</t>
  </si>
  <si>
    <t>GFGV5330FE</t>
  </si>
  <si>
    <t>GFGV53539F</t>
  </si>
  <si>
    <t>GFGV53772F</t>
  </si>
  <si>
    <t>GFGV5400AB</t>
  </si>
  <si>
    <t>GFGV5400FE</t>
  </si>
  <si>
    <t>GFGV56077F</t>
  </si>
  <si>
    <t>GFGV56316F</t>
  </si>
  <si>
    <t>GFGV56549F</t>
  </si>
  <si>
    <t>GFGV56777F</t>
  </si>
  <si>
    <t>GFGV5700FE</t>
  </si>
  <si>
    <t>GFGV5930FE</t>
  </si>
  <si>
    <t>GFGV59539F</t>
  </si>
  <si>
    <t>GFGV59772F</t>
  </si>
  <si>
    <t>GFGV6000AB</t>
  </si>
  <si>
    <t>GFGV6000FE</t>
  </si>
  <si>
    <t>GFGV6000JU</t>
  </si>
  <si>
    <t>GFGV6000MA</t>
  </si>
  <si>
    <t>GFGV61761A</t>
  </si>
  <si>
    <t>GFGV61761F</t>
  </si>
  <si>
    <t>GFGV6200AB</t>
  </si>
  <si>
    <t>GFGV6200FE</t>
  </si>
  <si>
    <t>GFGV63077F</t>
  </si>
  <si>
    <t>GFGV63316F</t>
  </si>
  <si>
    <t>GFGV63549F</t>
  </si>
  <si>
    <t>GFGV63777F</t>
  </si>
  <si>
    <t>GFGV6400AB</t>
  </si>
  <si>
    <t>GFGV6400JU</t>
  </si>
  <si>
    <t>GFGV65761F</t>
  </si>
  <si>
    <t>GFGV6600AB</t>
  </si>
  <si>
    <t>GFGV6600FE</t>
  </si>
  <si>
    <t>GFGV6600JU</t>
  </si>
  <si>
    <t>GFGV6730FE</t>
  </si>
  <si>
    <t>GFGV67539F</t>
  </si>
  <si>
    <t>GFGV67772F</t>
  </si>
  <si>
    <t>GFGV6800AB</t>
  </si>
  <si>
    <t>GFGV6800FE</t>
  </si>
  <si>
    <t>GFGV6930FE</t>
  </si>
  <si>
    <t>GFGV69528A</t>
  </si>
  <si>
    <t>GFGV69539F</t>
  </si>
  <si>
    <t>GFGV69767A</t>
  </si>
  <si>
    <t>GFGV69772F</t>
  </si>
  <si>
    <t>GFGV7000AB</t>
  </si>
  <si>
    <t>GFGV7000FE</t>
  </si>
  <si>
    <t>GFGV7000JU</t>
  </si>
  <si>
    <t>GFGV71528F</t>
  </si>
  <si>
    <t>GFGV71767F</t>
  </si>
  <si>
    <t>GFGV7200AB</t>
  </si>
  <si>
    <t>GFGV7200FE</t>
  </si>
  <si>
    <t>GFGV7200JU</t>
  </si>
  <si>
    <t>GFGV73761A</t>
  </si>
  <si>
    <t>GFGV73761F</t>
  </si>
  <si>
    <t>GFGV7400AB</t>
  </si>
  <si>
    <t>GFGV7400FE</t>
  </si>
  <si>
    <t>GFGV7400JU</t>
  </si>
  <si>
    <t>GFGV7530FE</t>
  </si>
  <si>
    <t>GFGV75528A</t>
  </si>
  <si>
    <t>GFGV75539F</t>
  </si>
  <si>
    <t>GFGV75767A</t>
  </si>
  <si>
    <t>GFGV75772F</t>
  </si>
  <si>
    <t>GFGV7600AB</t>
  </si>
  <si>
    <t>GFGV7600FE</t>
  </si>
  <si>
    <t>GFGV7600JU</t>
  </si>
  <si>
    <t>GFGV77761A</t>
  </si>
  <si>
    <t>GFGV77761F</t>
  </si>
  <si>
    <t>GFGV7800AB</t>
  </si>
  <si>
    <t>GFGV7800FE</t>
  </si>
  <si>
    <t>GFGV7800JU</t>
  </si>
  <si>
    <t>GFGV7930FE</t>
  </si>
  <si>
    <t>GFGV79539F</t>
  </si>
  <si>
    <t>GFGV79761A</t>
  </si>
  <si>
    <t>GFGV79772F</t>
  </si>
  <si>
    <t>GFGV8000AB</t>
  </si>
  <si>
    <t>GFGV8000FE</t>
  </si>
  <si>
    <t>GFGV8000JU</t>
  </si>
  <si>
    <t>GFGV8230FE</t>
  </si>
  <si>
    <t>GFGV82528A</t>
  </si>
  <si>
    <t>GFGV82539F</t>
  </si>
  <si>
    <t>GFGV82767A</t>
  </si>
  <si>
    <t>GFGV82772F</t>
  </si>
  <si>
    <t>GFGV82808F</t>
  </si>
  <si>
    <t>GFGV82983G</t>
  </si>
  <si>
    <t>GFGV82983J</t>
  </si>
  <si>
    <t>GFGV8300AB</t>
  </si>
  <si>
    <t>GFGV8300FE</t>
  </si>
  <si>
    <t>GFGV8300JU</t>
  </si>
  <si>
    <t>GFGV84.0JU</t>
  </si>
  <si>
    <t>GFGV84.0OC</t>
  </si>
  <si>
    <t>GFGV8530FE</t>
  </si>
  <si>
    <t>GFGV85539F</t>
  </si>
  <si>
    <t>GFGV85772F</t>
  </si>
  <si>
    <t>GFGV85983J</t>
  </si>
  <si>
    <t>GFGV8600AB</t>
  </si>
  <si>
    <t>GFGV8600FE</t>
  </si>
  <si>
    <t>GFGV8600JU</t>
  </si>
  <si>
    <t>GFGV87.0AG</t>
  </si>
  <si>
    <t>GFGV87.0FE</t>
  </si>
  <si>
    <t>GFGV87.0JU</t>
  </si>
  <si>
    <t>GFGV87.0OC</t>
  </si>
  <si>
    <t>GFGV88761A</t>
  </si>
  <si>
    <t>GFGV88761F</t>
  </si>
  <si>
    <t>GFGV88983J</t>
  </si>
  <si>
    <t>GFGV8900AB</t>
  </si>
  <si>
    <t>GFGV8900FE</t>
  </si>
  <si>
    <t>GFGV8900JU</t>
  </si>
  <si>
    <t>GFGV90.0AB</t>
  </si>
  <si>
    <t>GFGV90.0AG</t>
  </si>
  <si>
    <t>GFGV90.0JU</t>
  </si>
  <si>
    <t>GFGV90.0OC</t>
  </si>
  <si>
    <t>GFGV91761F</t>
  </si>
  <si>
    <t>GFGV9200AB</t>
  </si>
  <si>
    <t>GFGV9200FE</t>
  </si>
  <si>
    <t>GFGV93.0AG</t>
  </si>
  <si>
    <t>GFGV93.0JU</t>
  </si>
  <si>
    <t>GFGV93.0OC</t>
  </si>
  <si>
    <t>GFGV94761F</t>
  </si>
  <si>
    <t>GFGV94983J</t>
  </si>
  <si>
    <t>GFGV9500AB</t>
  </si>
  <si>
    <t>GFGV9500FE</t>
  </si>
  <si>
    <t>GFGV96.0AB</t>
  </si>
  <si>
    <t>GFGV96.0JU</t>
  </si>
  <si>
    <t>GFGV96.0OC</t>
  </si>
  <si>
    <t>GFGV9730AB</t>
  </si>
  <si>
    <t>GFGV9730FE</t>
  </si>
  <si>
    <t>GFGV97539A</t>
  </si>
  <si>
    <t>GFGV97539F</t>
  </si>
  <si>
    <t>GFGV97772A</t>
  </si>
  <si>
    <t>GFGV97772F</t>
  </si>
  <si>
    <t>GFGV97808F</t>
  </si>
  <si>
    <t>GFGV97983J</t>
  </si>
  <si>
    <t>GFGV9800AB</t>
  </si>
  <si>
    <t>GFGV9800FE</t>
  </si>
  <si>
    <t>GFGV99.0AB</t>
  </si>
  <si>
    <t>GFGV99.0JU</t>
  </si>
  <si>
    <t>GFGV99.0OC</t>
  </si>
  <si>
    <t>GODC3000AG</t>
  </si>
  <si>
    <t>GODC3150AB</t>
  </si>
  <si>
    <t>GODC3150FE</t>
  </si>
  <si>
    <t>GODC3200AG</t>
  </si>
  <si>
    <t>GODC3600AG</t>
  </si>
  <si>
    <t>GODC3600MY</t>
  </si>
  <si>
    <t>GVAC23.0AG</t>
  </si>
  <si>
    <t>GVAC23.0FE</t>
  </si>
  <si>
    <t>GVAC23.0JU</t>
  </si>
  <si>
    <t>GVAC23.0OC</t>
  </si>
  <si>
    <t>GVAC24.0AB</t>
  </si>
  <si>
    <t>GVAC24.0OC</t>
  </si>
  <si>
    <t>GVAC25.0AB</t>
  </si>
  <si>
    <t>GVAC25.0JU</t>
  </si>
  <si>
    <t>GVAC25.0OC</t>
  </si>
  <si>
    <t>GVAC26.0OC</t>
  </si>
  <si>
    <t>GVAC27.0DI</t>
  </si>
  <si>
    <t>GVAC27.0JU</t>
  </si>
  <si>
    <t>GVAC27.0OC</t>
  </si>
  <si>
    <t>GVAC28.0AB</t>
  </si>
  <si>
    <t>GVAC28.0AG</t>
  </si>
  <si>
    <t>GVAC28.0FE</t>
  </si>
  <si>
    <t>GVAC28.0JU</t>
  </si>
  <si>
    <t>GVAC28.0OC</t>
  </si>
  <si>
    <t>GVAC29.0AG</t>
  </si>
  <si>
    <t>GVAC29.0JU</t>
  </si>
  <si>
    <t>GVAC29.0OC</t>
  </si>
  <si>
    <t>GVAC30.0AB</t>
  </si>
  <si>
    <t>GVAC30.0FE</t>
  </si>
  <si>
    <t>GVAC30.0JU</t>
  </si>
  <si>
    <t>GVAC31.0AG</t>
  </si>
  <si>
    <t>GVAC31.0OC</t>
  </si>
  <si>
    <t>GVAC32.0AB</t>
  </si>
  <si>
    <t>GVAC32.0AG</t>
  </si>
  <si>
    <t>GVAC32.0FE</t>
  </si>
  <si>
    <t>GVAC32.0OC</t>
  </si>
  <si>
    <t>GVAC33.0AG</t>
  </si>
  <si>
    <t>GVAC33.0FE</t>
  </si>
  <si>
    <t>GVAC33.0OC</t>
  </si>
  <si>
    <t>GVAV22.0AB</t>
  </si>
  <si>
    <t>GVAV22.0OC</t>
  </si>
  <si>
    <t>GVAV23.0AG</t>
  </si>
  <si>
    <t>GVAV23.0JU</t>
  </si>
  <si>
    <t>GVAV23.0OC</t>
  </si>
  <si>
    <t>GVAV24.0OC</t>
  </si>
  <si>
    <t>GVAV25.0AB</t>
  </si>
  <si>
    <t>GVAV25.0AG</t>
  </si>
  <si>
    <t>GVAV25.0FE</t>
  </si>
  <si>
    <t>GVAV25.0JU</t>
  </si>
  <si>
    <t>GVAV25.0OC</t>
  </si>
  <si>
    <t>HARC110.FE</t>
  </si>
  <si>
    <t>IBIC7500AB</t>
  </si>
  <si>
    <t>IBIC7500FE</t>
  </si>
  <si>
    <t>IBIC7500MA</t>
  </si>
  <si>
    <t>IBIC7800AB</t>
  </si>
  <si>
    <t>IBIC7800FE</t>
  </si>
  <si>
    <t>IBIC7800JU</t>
  </si>
  <si>
    <t>IBIC7800MA</t>
  </si>
  <si>
    <t>IBIC8100AB</t>
  </si>
  <si>
    <t>IBIC8100FE</t>
  </si>
  <si>
    <t>IBIC8100JU</t>
  </si>
  <si>
    <t>IBIC8100MA</t>
  </si>
  <si>
    <t>IBIC8400AB</t>
  </si>
  <si>
    <t>IBIC8400FE</t>
  </si>
  <si>
    <t>IBIC8400JU</t>
  </si>
  <si>
    <t>IBIC8400MA</t>
  </si>
  <si>
    <t>IBIC8700AB</t>
  </si>
  <si>
    <t>IBIC8700FE</t>
  </si>
  <si>
    <t>IBIC8700JU</t>
  </si>
  <si>
    <t>IBIC8700MA</t>
  </si>
  <si>
    <t>IBIC9000AB</t>
  </si>
  <si>
    <t>IBIC9000FE</t>
  </si>
  <si>
    <t>IBIC9000JU</t>
  </si>
  <si>
    <t>IBIC9000MA</t>
  </si>
  <si>
    <t>IBIC9300AB</t>
  </si>
  <si>
    <t>IBIC9300FE</t>
  </si>
  <si>
    <t>IBIC9300JU</t>
  </si>
  <si>
    <t>IBIC9300MA</t>
  </si>
  <si>
    <t>IBIV7500AB</t>
  </si>
  <si>
    <t>IBIV7500FE</t>
  </si>
  <si>
    <t>IBIV7500MA</t>
  </si>
  <si>
    <t>IBIV7800AB</t>
  </si>
  <si>
    <t>IBIV7800FE</t>
  </si>
  <si>
    <t>IBIV7800JU</t>
  </si>
  <si>
    <t>IBIV7800MA</t>
  </si>
  <si>
    <t>IBIV8100AB</t>
  </si>
  <si>
    <t>IBIV8100FE</t>
  </si>
  <si>
    <t>IBIV8100JU</t>
  </si>
  <si>
    <t>IBIV8100MA</t>
  </si>
  <si>
    <t>IBIV8400AB</t>
  </si>
  <si>
    <t>IBIV8400FE</t>
  </si>
  <si>
    <t>IBIV8400JU</t>
  </si>
  <si>
    <t>IBIV8400MA</t>
  </si>
  <si>
    <t>IBIV8700AB</t>
  </si>
  <si>
    <t>IBIV8700FE</t>
  </si>
  <si>
    <t>IBIV8700JU</t>
  </si>
  <si>
    <t>IBIV8700MA</t>
  </si>
  <si>
    <t>IBIV9000AB</t>
  </si>
  <si>
    <t>IBIV9000FE</t>
  </si>
  <si>
    <t>IBIV9000JU</t>
  </si>
  <si>
    <t>IBIV9000MA</t>
  </si>
  <si>
    <t>IBIV9300AB</t>
  </si>
  <si>
    <t>IBIV9300FE</t>
  </si>
  <si>
    <t>IBIV9300JU</t>
  </si>
  <si>
    <t>IBIV9300MA</t>
  </si>
  <si>
    <t>JPMC19000F</t>
  </si>
  <si>
    <t>JPMC20000F</t>
  </si>
  <si>
    <t>JPMC21000F</t>
  </si>
  <si>
    <t>JPMC22000F</t>
  </si>
  <si>
    <t>JPMC23000F</t>
  </si>
  <si>
    <t>JPMC29000A</t>
  </si>
  <si>
    <t>JPMC29000F</t>
  </si>
  <si>
    <t>JPMC29000J</t>
  </si>
  <si>
    <t>JPMC29000M</t>
  </si>
  <si>
    <t>JPMC30000A</t>
  </si>
  <si>
    <t>JPMC30000F</t>
  </si>
  <si>
    <t>JPMC30000J</t>
  </si>
  <si>
    <t>JPMC30000M</t>
  </si>
  <si>
    <t>JPMC31000A</t>
  </si>
  <si>
    <t>JPMC31000F</t>
  </si>
  <si>
    <t>JPMC31000J</t>
  </si>
  <si>
    <t>JPMC31000M</t>
  </si>
  <si>
    <t>JPMC32000A</t>
  </si>
  <si>
    <t>JPMC32000F</t>
  </si>
  <si>
    <t>JPMC32000J</t>
  </si>
  <si>
    <t>JPMC32000M</t>
  </si>
  <si>
    <t>JPMC33000A</t>
  </si>
  <si>
    <t>JPMC33000F</t>
  </si>
  <si>
    <t>JPMC33000J</t>
  </si>
  <si>
    <t>JPMC33000M</t>
  </si>
  <si>
    <t>JPMV19000F</t>
  </si>
  <si>
    <t>JPMV20000F</t>
  </si>
  <si>
    <t>JPMV21000F</t>
  </si>
  <si>
    <t>JPMV22000F</t>
  </si>
  <si>
    <t>JPMV23000F</t>
  </si>
  <si>
    <t>JPMV29000A</t>
  </si>
  <si>
    <t>JPMV29000F</t>
  </si>
  <si>
    <t>JPMV29000J</t>
  </si>
  <si>
    <t>JPMV29000M</t>
  </si>
  <si>
    <t>JPMV30000A</t>
  </si>
  <si>
    <t>JPMV30000F</t>
  </si>
  <si>
    <t>JPMV30000J</t>
  </si>
  <si>
    <t>JPMV30000M</t>
  </si>
  <si>
    <t>JPMV31000A</t>
  </si>
  <si>
    <t>JPMV31000F</t>
  </si>
  <si>
    <t>JPMV31000J</t>
  </si>
  <si>
    <t>JPMV31000M</t>
  </si>
  <si>
    <t>JPMV32000A</t>
  </si>
  <si>
    <t>JPMV32000F</t>
  </si>
  <si>
    <t>JPMV32000J</t>
  </si>
  <si>
    <t>JPMV32000M</t>
  </si>
  <si>
    <t>JPMV33000A</t>
  </si>
  <si>
    <t>JPMV33000F</t>
  </si>
  <si>
    <t>JPMV33000J</t>
  </si>
  <si>
    <t>JPMV33000M</t>
  </si>
  <si>
    <t>KO.C19000A</t>
  </si>
  <si>
    <t>KO.C19000F</t>
  </si>
  <si>
    <t>KO.C19000M</t>
  </si>
  <si>
    <t>KO.C20000A</t>
  </si>
  <si>
    <t>KO.C20000F</t>
  </si>
  <si>
    <t>KO.C20000M</t>
  </si>
  <si>
    <t>KO.C21000A</t>
  </si>
  <si>
    <t>KO.C21000F</t>
  </si>
  <si>
    <t>KO.C21000M</t>
  </si>
  <si>
    <t>KO.V19000A</t>
  </si>
  <si>
    <t>KO.V19000F</t>
  </si>
  <si>
    <t>KO.V19000M</t>
  </si>
  <si>
    <t>KO.V20000A</t>
  </si>
  <si>
    <t>KO.V20000F</t>
  </si>
  <si>
    <t>KO.V20000M</t>
  </si>
  <si>
    <t>KO.V21000A</t>
  </si>
  <si>
    <t>KO.V21000F</t>
  </si>
  <si>
    <t>KO.V21000M</t>
  </si>
  <si>
    <t>LEDC55.0AG</t>
  </si>
  <si>
    <t>LOMC150.AB</t>
  </si>
  <si>
    <t>LOMC150.FE</t>
  </si>
  <si>
    <t>LOMC150.JU</t>
  </si>
  <si>
    <t>LOMC160.AB</t>
  </si>
  <si>
    <t>LOMC160.FE</t>
  </si>
  <si>
    <t>LOMC160.JU</t>
  </si>
  <si>
    <t>LOMC170.AB</t>
  </si>
  <si>
    <t>LOMC170.JU</t>
  </si>
  <si>
    <t>LOMC180.AG</t>
  </si>
  <si>
    <t>LOMC180.JU</t>
  </si>
  <si>
    <t>LOMC190.JU</t>
  </si>
  <si>
    <t>LOMC200.AG</t>
  </si>
  <si>
    <t>LOMC200.JU</t>
  </si>
  <si>
    <t>LOMC200.OC</t>
  </si>
  <si>
    <t>LOMC2100FE</t>
  </si>
  <si>
    <t>LOMC220.AG</t>
  </si>
  <si>
    <t>LOMC220.OC</t>
  </si>
  <si>
    <t>LOMC2200FE</t>
  </si>
  <si>
    <t>LOMC2300FE</t>
  </si>
  <si>
    <t>LOMC2400FE</t>
  </si>
  <si>
    <t>LOMC2500FE</t>
  </si>
  <si>
    <t>LOMC2600FE</t>
  </si>
  <si>
    <t>LOMC2600MA</t>
  </si>
  <si>
    <t>LOMC2700AB</t>
  </si>
  <si>
    <t>LOMC2700FE</t>
  </si>
  <si>
    <t>LOMC2800MA</t>
  </si>
  <si>
    <t>LOMC300.SE</t>
  </si>
  <si>
    <t>LOMC3000AB</t>
  </si>
  <si>
    <t>LOMC3000MA</t>
  </si>
  <si>
    <t>LOMC3200AB</t>
  </si>
  <si>
    <t>LOMC3400AB</t>
  </si>
  <si>
    <t>LOMC3400FE</t>
  </si>
  <si>
    <t>LOMC3400JU</t>
  </si>
  <si>
    <t>LOMC3400MA</t>
  </si>
  <si>
    <t>LOMC3600AB</t>
  </si>
  <si>
    <t>LOMC3600FE</t>
  </si>
  <si>
    <t>LOMC3600JU</t>
  </si>
  <si>
    <t>LOMC3600MA</t>
  </si>
  <si>
    <t>LOMC3800AB</t>
  </si>
  <si>
    <t>LOMC3800FE</t>
  </si>
  <si>
    <t>LOMC3800JU</t>
  </si>
  <si>
    <t>LOMC3800MA</t>
  </si>
  <si>
    <t>LOMC4000AB</t>
  </si>
  <si>
    <t>LOMC4000FE</t>
  </si>
  <si>
    <t>LOMC4000JU</t>
  </si>
  <si>
    <t>LOMC4000MA</t>
  </si>
  <si>
    <t>LOMC4200AB</t>
  </si>
  <si>
    <t>LOMC4200FE</t>
  </si>
  <si>
    <t>LOMC4200JU</t>
  </si>
  <si>
    <t>LOMC4200MA</t>
  </si>
  <si>
    <t>LOMC4400AB</t>
  </si>
  <si>
    <t>LOMC4400FE</t>
  </si>
  <si>
    <t>LOMC4400JU</t>
  </si>
  <si>
    <t>LOMC4400MA</t>
  </si>
  <si>
    <t>LOMC4600AB</t>
  </si>
  <si>
    <t>LOMC4600FE</t>
  </si>
  <si>
    <t>LOMC4600JU</t>
  </si>
  <si>
    <t>LOMC4600MA</t>
  </si>
  <si>
    <t>LOMV150.AB</t>
  </si>
  <si>
    <t>LOMV150.FE</t>
  </si>
  <si>
    <t>LOMV160.AB</t>
  </si>
  <si>
    <t>LOMV160.FE</t>
  </si>
  <si>
    <t>LOMV160.JU</t>
  </si>
  <si>
    <t>LOMV170.JU</t>
  </si>
  <si>
    <t>LOMV170.OC</t>
  </si>
  <si>
    <t>LOMV180.JU</t>
  </si>
  <si>
    <t>LOMV180.OC</t>
  </si>
  <si>
    <t>LOMV190.OC</t>
  </si>
  <si>
    <t>LOMV200.OC</t>
  </si>
  <si>
    <t>LOMV220.OC</t>
  </si>
  <si>
    <t>MELC25000A</t>
  </si>
  <si>
    <t>MELC25000F</t>
  </si>
  <si>
    <t>MELC25000M</t>
  </si>
  <si>
    <t>MELC26000A</t>
  </si>
  <si>
    <t>MELC26000F</t>
  </si>
  <si>
    <t>MELC26000M</t>
  </si>
  <si>
    <t>MELC27000A</t>
  </si>
  <si>
    <t>MELC27000F</t>
  </si>
  <si>
    <t>MELC27000J</t>
  </si>
  <si>
    <t>MELC27000M</t>
  </si>
  <si>
    <t>MELC28000A</t>
  </si>
  <si>
    <t>MELC28000F</t>
  </si>
  <si>
    <t>MELC28000J</t>
  </si>
  <si>
    <t>MELC28000M</t>
  </si>
  <si>
    <t>MELC29000A</t>
  </si>
  <si>
    <t>MELC29000F</t>
  </si>
  <si>
    <t>MELC29000J</t>
  </si>
  <si>
    <t>MELC29000M</t>
  </si>
  <si>
    <t>MELC30000A</t>
  </si>
  <si>
    <t>MELC30000F</t>
  </si>
  <si>
    <t>MELC30000J</t>
  </si>
  <si>
    <t>MELC30000M</t>
  </si>
  <si>
    <t>MELC3900AB</t>
  </si>
  <si>
    <t>MELC4100AB</t>
  </si>
  <si>
    <t>MELV25000A</t>
  </si>
  <si>
    <t>MELV25000F</t>
  </si>
  <si>
    <t>MELV25000M</t>
  </si>
  <si>
    <t>MELV26000A</t>
  </si>
  <si>
    <t>MELV26000F</t>
  </si>
  <si>
    <t>MELV26000M</t>
  </si>
  <si>
    <t>MELV27000A</t>
  </si>
  <si>
    <t>MELV27000F</t>
  </si>
  <si>
    <t>MELV27000M</t>
  </si>
  <si>
    <t>MELV28000A</t>
  </si>
  <si>
    <t>MELV28000F</t>
  </si>
  <si>
    <t>MELV28000J</t>
  </si>
  <si>
    <t>MELV28000M</t>
  </si>
  <si>
    <t>MELV29000A</t>
  </si>
  <si>
    <t>MELV29000F</t>
  </si>
  <si>
    <t>MELV29000J</t>
  </si>
  <si>
    <t>MELV29000M</t>
  </si>
  <si>
    <t>MELV30000A</t>
  </si>
  <si>
    <t>MELV30000F</t>
  </si>
  <si>
    <t>MELV30000J</t>
  </si>
  <si>
    <t>MELV30000M</t>
  </si>
  <si>
    <t>METC1000FE</t>
  </si>
  <si>
    <t>METC1100FE</t>
  </si>
  <si>
    <t>METC1200FE</t>
  </si>
  <si>
    <t>METC1300FE</t>
  </si>
  <si>
    <t>METC1400FE</t>
  </si>
  <si>
    <t>METC1500FE</t>
  </si>
  <si>
    <t>METC1600FE</t>
  </si>
  <si>
    <t>METC1700FE</t>
  </si>
  <si>
    <t>METC1800FE</t>
  </si>
  <si>
    <t>METC1900FE</t>
  </si>
  <si>
    <t>METC2000AB</t>
  </si>
  <si>
    <t>METC2000FE</t>
  </si>
  <si>
    <t>METC2100AB</t>
  </si>
  <si>
    <t>METC2100FE</t>
  </si>
  <si>
    <t>METC2200AB</t>
  </si>
  <si>
    <t>METC2200FE</t>
  </si>
  <si>
    <t>METC2300AB</t>
  </si>
  <si>
    <t>METC2300FE</t>
  </si>
  <si>
    <t>METC2400AB</t>
  </si>
  <si>
    <t>METC2400FE</t>
  </si>
  <si>
    <t>METC2400JU</t>
  </si>
  <si>
    <t>METC2500AB</t>
  </si>
  <si>
    <t>METC2500FE</t>
  </si>
  <si>
    <t>METC2500JU</t>
  </si>
  <si>
    <t>METC2600AB</t>
  </si>
  <si>
    <t>METC2600FE</t>
  </si>
  <si>
    <t>METC2600JU</t>
  </si>
  <si>
    <t>METC2600MA</t>
  </si>
  <si>
    <t>METC2700AB</t>
  </si>
  <si>
    <t>METC2700JU</t>
  </si>
  <si>
    <t>METC2800AB</t>
  </si>
  <si>
    <t>METC2800FE</t>
  </si>
  <si>
    <t>METC2800JU</t>
  </si>
  <si>
    <t>METC2800MA</t>
  </si>
  <si>
    <t>METC2900AB</t>
  </si>
  <si>
    <t>METC2900JU</t>
  </si>
  <si>
    <t>METC3000AB</t>
  </si>
  <si>
    <t>METC3000FE</t>
  </si>
  <si>
    <t>METC3000JU</t>
  </si>
  <si>
    <t>METC3000MA</t>
  </si>
  <si>
    <t>METC3100AB</t>
  </si>
  <si>
    <t>METC3100FE</t>
  </si>
  <si>
    <t>METC3100JU</t>
  </si>
  <si>
    <t>METC3200AB</t>
  </si>
  <si>
    <t>METC3200FE</t>
  </si>
  <si>
    <t>METC3200JU</t>
  </si>
  <si>
    <t>METC3200MA</t>
  </si>
  <si>
    <t>METV1000FE</t>
  </si>
  <si>
    <t>METV1100FE</t>
  </si>
  <si>
    <t>METV1200FE</t>
  </si>
  <si>
    <t>METV1300FE</t>
  </si>
  <si>
    <t>METV1400FE</t>
  </si>
  <si>
    <t>METV1500FE</t>
  </si>
  <si>
    <t>METV1600FE</t>
  </si>
  <si>
    <t>METV1700FE</t>
  </si>
  <si>
    <t>METV1800FE</t>
  </si>
  <si>
    <t>METV1900AB</t>
  </si>
  <si>
    <t>METV1900FE</t>
  </si>
  <si>
    <t>METV1900JU</t>
  </si>
  <si>
    <t>METV2000AB</t>
  </si>
  <si>
    <t>METV2000FE</t>
  </si>
  <si>
    <t>METV2000JU</t>
  </si>
  <si>
    <t>METV2100AB</t>
  </si>
  <si>
    <t>METV2100FE</t>
  </si>
  <si>
    <t>METV2100JU</t>
  </si>
  <si>
    <t>METV2200AB</t>
  </si>
  <si>
    <t>METV2200FE</t>
  </si>
  <si>
    <t>METV2200JU</t>
  </si>
  <si>
    <t>METV2300AB</t>
  </si>
  <si>
    <t>METV2300FE</t>
  </si>
  <si>
    <t>METV2300JU</t>
  </si>
  <si>
    <t>METV2400AB</t>
  </si>
  <si>
    <t>METV2400FE</t>
  </si>
  <si>
    <t>METV2400JU</t>
  </si>
  <si>
    <t>METV2500AB</t>
  </si>
  <si>
    <t>METV2500FE</t>
  </si>
  <si>
    <t>METV2500JU</t>
  </si>
  <si>
    <t>METV2600AB</t>
  </si>
  <si>
    <t>METV2600FE</t>
  </si>
  <si>
    <t>METV2600JU</t>
  </si>
  <si>
    <t>METV2600MA</t>
  </si>
  <si>
    <t>METV2700AB</t>
  </si>
  <si>
    <t>METV2800AB</t>
  </si>
  <si>
    <t>METV2800FE</t>
  </si>
  <si>
    <t>METV2800MA</t>
  </si>
  <si>
    <t>METV2900AB</t>
  </si>
  <si>
    <t>METV3000AB</t>
  </si>
  <si>
    <t>METV3000FE</t>
  </si>
  <si>
    <t>METV3000MA</t>
  </si>
  <si>
    <t>METV3100AB</t>
  </si>
  <si>
    <t>METV3100FE</t>
  </si>
  <si>
    <t>METV3200AB</t>
  </si>
  <si>
    <t>METV3200FE</t>
  </si>
  <si>
    <t>METV3200JU</t>
  </si>
  <si>
    <t>METV3200MA</t>
  </si>
  <si>
    <t>MIRC1180AB</t>
  </si>
  <si>
    <t>MIRC1180JU</t>
  </si>
  <si>
    <t>MIRC12000A</t>
  </si>
  <si>
    <t>MIRC12000F</t>
  </si>
  <si>
    <t>MIRC12078J</t>
  </si>
  <si>
    <t>MIRC1230AB</t>
  </si>
  <si>
    <t>MIRC1230FE</t>
  </si>
  <si>
    <t>MIRC1230JU</t>
  </si>
  <si>
    <t>MIRC12522F</t>
  </si>
  <si>
    <t>MIRC1280JU</t>
  </si>
  <si>
    <t>MIRC1330AB</t>
  </si>
  <si>
    <t>MIRC1330JU</t>
  </si>
  <si>
    <t>MIRC1430AB</t>
  </si>
  <si>
    <t>MIRC1430AG</t>
  </si>
  <si>
    <t>MIRC1430JU</t>
  </si>
  <si>
    <t>MIRC14578J</t>
  </si>
  <si>
    <t>MIRC1480AB</t>
  </si>
  <si>
    <t>MIRC1480AG</t>
  </si>
  <si>
    <t>MIRC1480FE</t>
  </si>
  <si>
    <t>MIRC1480JU</t>
  </si>
  <si>
    <t>MIRC1530AG</t>
  </si>
  <si>
    <t>MIRC1530FE</t>
  </si>
  <si>
    <t>MIRC1530JU</t>
  </si>
  <si>
    <t>MIRC1530OC</t>
  </si>
  <si>
    <t>MIRC1580AB</t>
  </si>
  <si>
    <t>MIRC1580AG</t>
  </si>
  <si>
    <t>MIRC1580JU</t>
  </si>
  <si>
    <t>MIRC16078J</t>
  </si>
  <si>
    <t>MIRC1630JU</t>
  </si>
  <si>
    <t>MIRC1680JU</t>
  </si>
  <si>
    <t>MIRC1730AB</t>
  </si>
  <si>
    <t>MIRC1730AG</t>
  </si>
  <si>
    <t>MIRC1730JU</t>
  </si>
  <si>
    <t>MIRC1830OC</t>
  </si>
  <si>
    <t>MIRC20000M</t>
  </si>
  <si>
    <t>MIRC2020OC</t>
  </si>
  <si>
    <t>MIRC2030AG</t>
  </si>
  <si>
    <t>MIRC2030JU</t>
  </si>
  <si>
    <t>MIRC2030OC</t>
  </si>
  <si>
    <t>MIRC22000F</t>
  </si>
  <si>
    <t>MIRC22000M</t>
  </si>
  <si>
    <t>MIRC2320OC</t>
  </si>
  <si>
    <t>MIRC2330OC</t>
  </si>
  <si>
    <t>MIRC24000F</t>
  </si>
  <si>
    <t>MIRC24000M</t>
  </si>
  <si>
    <t>MIRC2420OC</t>
  </si>
  <si>
    <t>MIRC2430OC</t>
  </si>
  <si>
    <t>MIRC26000F</t>
  </si>
  <si>
    <t>MIRC26000M</t>
  </si>
  <si>
    <t>MIRC28000A</t>
  </si>
  <si>
    <t>MIRC28000F</t>
  </si>
  <si>
    <t>MIRC28000M</t>
  </si>
  <si>
    <t>MIRC2930OC</t>
  </si>
  <si>
    <t>MIRC30000A</t>
  </si>
  <si>
    <t>MIRC30000F</t>
  </si>
  <si>
    <t>MIRC30000J</t>
  </si>
  <si>
    <t>MIRC30000M</t>
  </si>
  <si>
    <t>MIRC32000A</t>
  </si>
  <si>
    <t>MIRC32000F</t>
  </si>
  <si>
    <t>MIRC32000J</t>
  </si>
  <si>
    <t>MIRC32000M</t>
  </si>
  <si>
    <t>MIRV1180JU</t>
  </si>
  <si>
    <t>MIRV1230AB</t>
  </si>
  <si>
    <t>MIRV1230JU</t>
  </si>
  <si>
    <t>MIRV1280JU</t>
  </si>
  <si>
    <t>MIRV1380AG</t>
  </si>
  <si>
    <t>MIRV14578J</t>
  </si>
  <si>
    <t>MIRV1480JU</t>
  </si>
  <si>
    <t>MIRV1530AG</t>
  </si>
  <si>
    <t>MORC15.2AB</t>
  </si>
  <si>
    <t>MORC15.2JU</t>
  </si>
  <si>
    <t>MORC16.2AB</t>
  </si>
  <si>
    <t>MORC16.2AG</t>
  </si>
  <si>
    <t>MORC16.2JU</t>
  </si>
  <si>
    <t>MORC16.2OC</t>
  </si>
  <si>
    <t>MORC17.2AB</t>
  </si>
  <si>
    <t>MORC17.2AG</t>
  </si>
  <si>
    <t>MORC17.2JU</t>
  </si>
  <si>
    <t>MORC17.2OC</t>
  </si>
  <si>
    <t>MORC18.2AB</t>
  </si>
  <si>
    <t>MORC18.2AG</t>
  </si>
  <si>
    <t>MORC18.2JU</t>
  </si>
  <si>
    <t>MORC18.2OC</t>
  </si>
  <si>
    <t>MORC19.2AG</t>
  </si>
  <si>
    <t>MORC20.2OC</t>
  </si>
  <si>
    <t>MSFC22000A</t>
  </si>
  <si>
    <t>MSFC22000F</t>
  </si>
  <si>
    <t>MSFC22000M</t>
  </si>
  <si>
    <t>MSFC24000A</t>
  </si>
  <si>
    <t>MSFC24000F</t>
  </si>
  <si>
    <t>MSFC24000J</t>
  </si>
  <si>
    <t>MSFC24000M</t>
  </si>
  <si>
    <t>MSFC26000A</t>
  </si>
  <si>
    <t>MSFC26000F</t>
  </si>
  <si>
    <t>MSFC26000J</t>
  </si>
  <si>
    <t>MSFC26000M</t>
  </si>
  <si>
    <t>MSFC28000A</t>
  </si>
  <si>
    <t>MSFC28000F</t>
  </si>
  <si>
    <t>MSFC28000J</t>
  </si>
  <si>
    <t>MSFC28000M</t>
  </si>
  <si>
    <t>MSFC30000A</t>
  </si>
  <si>
    <t>MSFC30000F</t>
  </si>
  <si>
    <t>MSFC30000J</t>
  </si>
  <si>
    <t>MSFC30000M</t>
  </si>
  <si>
    <t>MSFC32000A</t>
  </si>
  <si>
    <t>MSFC32000F</t>
  </si>
  <si>
    <t>MSFC32000J</t>
  </si>
  <si>
    <t>MSFC32000M</t>
  </si>
  <si>
    <t>MSFC34000A</t>
  </si>
  <si>
    <t>MSFC34000F</t>
  </si>
  <si>
    <t>MSFC34000J</t>
  </si>
  <si>
    <t>MSFC34000M</t>
  </si>
  <si>
    <t>MSFV22000A</t>
  </si>
  <si>
    <t>MSFV22000F</t>
  </si>
  <si>
    <t>MSFV22000M</t>
  </si>
  <si>
    <t>MSFV24000A</t>
  </si>
  <si>
    <t>MSFV24000F</t>
  </si>
  <si>
    <t>MSFV24000J</t>
  </si>
  <si>
    <t>MSFV24000M</t>
  </si>
  <si>
    <t>MSFV26000A</t>
  </si>
  <si>
    <t>MSFV26000F</t>
  </si>
  <si>
    <t>MSFV26000J</t>
  </si>
  <si>
    <t>MSFV26000M</t>
  </si>
  <si>
    <t>MSFV28000A</t>
  </si>
  <si>
    <t>MSFV28000F</t>
  </si>
  <si>
    <t>MSFV28000J</t>
  </si>
  <si>
    <t>MSFV28000M</t>
  </si>
  <si>
    <t>MSFV30000A</t>
  </si>
  <si>
    <t>MSFV30000F</t>
  </si>
  <si>
    <t>MSFV30000J</t>
  </si>
  <si>
    <t>MSFV30000M</t>
  </si>
  <si>
    <t>MSFV32000A</t>
  </si>
  <si>
    <t>MSFV32000F</t>
  </si>
  <si>
    <t>MSFV32000J</t>
  </si>
  <si>
    <t>MSFV32000M</t>
  </si>
  <si>
    <t>MSFV34000A</t>
  </si>
  <si>
    <t>MSFV34000F</t>
  </si>
  <si>
    <t>MSFV34000J</t>
  </si>
  <si>
    <t>MSFV34000M</t>
  </si>
  <si>
    <t>MTAC34000F</t>
  </si>
  <si>
    <t>MTAC36000F</t>
  </si>
  <si>
    <t>MTAC38000F</t>
  </si>
  <si>
    <t>MTAC40000A</t>
  </si>
  <si>
    <t>MTAC40000F</t>
  </si>
  <si>
    <t>MTAC40000J</t>
  </si>
  <si>
    <t>MTAC40000M</t>
  </si>
  <si>
    <t>MTAC42000A</t>
  </si>
  <si>
    <t>MTAC42000F</t>
  </si>
  <si>
    <t>MTAC42000J</t>
  </si>
  <si>
    <t>MTAC42000M</t>
  </si>
  <si>
    <t>MTAV34000F</t>
  </si>
  <si>
    <t>MTAV36000F</t>
  </si>
  <si>
    <t>MTAV38000F</t>
  </si>
  <si>
    <t>MTAV40000A</t>
  </si>
  <si>
    <t>MTAV40000F</t>
  </si>
  <si>
    <t>MTAV40000J</t>
  </si>
  <si>
    <t>MTAV40000M</t>
  </si>
  <si>
    <t>MTAV42000A</t>
  </si>
  <si>
    <t>MTAV42000F</t>
  </si>
  <si>
    <t>MTAV42000J</t>
  </si>
  <si>
    <t>MTAV42000M</t>
  </si>
  <si>
    <t>PAMC101.AG</t>
  </si>
  <si>
    <t>PAMC101.JU</t>
  </si>
  <si>
    <t>PAMC101.OC</t>
  </si>
  <si>
    <t>PAMC105.AG</t>
  </si>
  <si>
    <t>PAMC105.OC</t>
  </si>
  <si>
    <t>PAMC109.AG</t>
  </si>
  <si>
    <t>PAMC109.OC</t>
  </si>
  <si>
    <t>PAMC113.AG</t>
  </si>
  <si>
    <t>PAMC113.OC</t>
  </si>
  <si>
    <t>PAMC113.SE</t>
  </si>
  <si>
    <t>PAMC117.SE</t>
  </si>
  <si>
    <t>PAMC121.SE</t>
  </si>
  <si>
    <t>PAMC2400AB</t>
  </si>
  <si>
    <t>PAMC2400FE</t>
  </si>
  <si>
    <t>PAMC2820FE</t>
  </si>
  <si>
    <t>PAMC3000FE</t>
  </si>
  <si>
    <t>PAMC3200FE</t>
  </si>
  <si>
    <t>PAMC3300AB</t>
  </si>
  <si>
    <t>PAMC3300FE</t>
  </si>
  <si>
    <t>PAMC3400AB</t>
  </si>
  <si>
    <t>PAMC3400FE</t>
  </si>
  <si>
    <t>PAMC3500FE</t>
  </si>
  <si>
    <t>PAMC3700FE</t>
  </si>
  <si>
    <t>PAMC3900FE</t>
  </si>
  <si>
    <t>PAMC4100FE</t>
  </si>
  <si>
    <t>PAMC4300AB</t>
  </si>
  <si>
    <t>PAMC4300FE</t>
  </si>
  <si>
    <t>PAMC4500AB</t>
  </si>
  <si>
    <t>PAMC4500FE</t>
  </si>
  <si>
    <t>PAMC4700AB</t>
  </si>
  <si>
    <t>PAMC4700FE</t>
  </si>
  <si>
    <t>PAMC4700JU</t>
  </si>
  <si>
    <t>PAMC5000AB</t>
  </si>
  <si>
    <t>PAMC5000FE</t>
  </si>
  <si>
    <t>PAMC5000JU</t>
  </si>
  <si>
    <t>PAMC5000MA</t>
  </si>
  <si>
    <t>PAMC5300AB</t>
  </si>
  <si>
    <t>PAMC5300FE</t>
  </si>
  <si>
    <t>PAMC5300JU</t>
  </si>
  <si>
    <t>PAMC5600AB</t>
  </si>
  <si>
    <t>PAMC5600FE</t>
  </si>
  <si>
    <t>PAMC5600JU</t>
  </si>
  <si>
    <t>PAMC5600MA</t>
  </si>
  <si>
    <t>PAMC5900AB</t>
  </si>
  <si>
    <t>PAMC5900FE</t>
  </si>
  <si>
    <t>PAMC5900JU</t>
  </si>
  <si>
    <t>PAMC5900MA</t>
  </si>
  <si>
    <t>PAMC6200AB</t>
  </si>
  <si>
    <t>PAMC6200FE</t>
  </si>
  <si>
    <t>PAMC6200JU</t>
  </si>
  <si>
    <t>PAMC6200MA</t>
  </si>
  <si>
    <t>PAMC63.0JU</t>
  </si>
  <si>
    <t>PAMC6500AB</t>
  </si>
  <si>
    <t>PAMC6500FE</t>
  </si>
  <si>
    <t>PAMC6500JU</t>
  </si>
  <si>
    <t>PAMC6500MA</t>
  </si>
  <si>
    <t>PAMC6800AB</t>
  </si>
  <si>
    <t>PAMC6800FE</t>
  </si>
  <si>
    <t>PAMC6800JU</t>
  </si>
  <si>
    <t>PAMC6800MA</t>
  </si>
  <si>
    <t>PAMC71.0AB</t>
  </si>
  <si>
    <t>PAMC7100AB</t>
  </si>
  <si>
    <t>PAMC7100FE</t>
  </si>
  <si>
    <t>PAMC7100JU</t>
  </si>
  <si>
    <t>PAMC7100MA</t>
  </si>
  <si>
    <t>PAMC73.0AB</t>
  </si>
  <si>
    <t>PAMC73.0AG</t>
  </si>
  <si>
    <t>PAMC73.0OC</t>
  </si>
  <si>
    <t>PAMC73.0SE</t>
  </si>
  <si>
    <t>PAMC7400AB</t>
  </si>
  <si>
    <t>PAMC7400FE</t>
  </si>
  <si>
    <t>PAMC7400JU</t>
  </si>
  <si>
    <t>PAMC7400MA</t>
  </si>
  <si>
    <t>PAMC77.0AB</t>
  </si>
  <si>
    <t>PAMC7700AB</t>
  </si>
  <si>
    <t>PAMC7700FE</t>
  </si>
  <si>
    <t>PAMC7700JU</t>
  </si>
  <si>
    <t>PAMC7700MA</t>
  </si>
  <si>
    <t>PAMC81.0JU</t>
  </si>
  <si>
    <t>PAMC81.0OC</t>
  </si>
  <si>
    <t>PAMC83.0AB</t>
  </si>
  <si>
    <t>PAMC83.0AG</t>
  </si>
  <si>
    <t>PAMC83.0JU</t>
  </si>
  <si>
    <t>PAMC83.0OC</t>
  </si>
  <si>
    <t>PAMC85.0AG</t>
  </si>
  <si>
    <t>PAMC85.0FE</t>
  </si>
  <si>
    <t>PAMC87.0FE</t>
  </si>
  <si>
    <t>PAMC87.0JU</t>
  </si>
  <si>
    <t>PAMC89.0AB</t>
  </si>
  <si>
    <t>PAMC89.0JU</t>
  </si>
  <si>
    <t>PAMC89.0OC</t>
  </si>
  <si>
    <t>PAMC93.0JU</t>
  </si>
  <si>
    <t>PAMC93.0OC</t>
  </si>
  <si>
    <t>PAMC97.0AG</t>
  </si>
  <si>
    <t>PAMC97.0JU</t>
  </si>
  <si>
    <t>PAMC97.0OC</t>
  </si>
  <si>
    <t>PAMV101.AG</t>
  </si>
  <si>
    <t>PAMV101.OC</t>
  </si>
  <si>
    <t>PAMV105.OC</t>
  </si>
  <si>
    <t>PAMV109.OC</t>
  </si>
  <si>
    <t>PAMV113.AG</t>
  </si>
  <si>
    <t>PAMV113.OC</t>
  </si>
  <si>
    <t>PAMV2400FE</t>
  </si>
  <si>
    <t>PAMV2820FE</t>
  </si>
  <si>
    <t>PAMV3000FE</t>
  </si>
  <si>
    <t>PAMV3200FE</t>
  </si>
  <si>
    <t>PAMV3400FE</t>
  </si>
  <si>
    <t>PAMV3700FE</t>
  </si>
  <si>
    <t>PAMV3700JU</t>
  </si>
  <si>
    <t>PAMV3900AB</t>
  </si>
  <si>
    <t>PAMV3900FE</t>
  </si>
  <si>
    <t>PAMV3900JU</t>
  </si>
  <si>
    <t>PAMV4100AB</t>
  </si>
  <si>
    <t>PAMV4100FE</t>
  </si>
  <si>
    <t>PAMV4100JU</t>
  </si>
  <si>
    <t>PAMV4300AB</t>
  </si>
  <si>
    <t>PAMV4300FE</t>
  </si>
  <si>
    <t>PAMV4300JU</t>
  </si>
  <si>
    <t>PAMV4500AB</t>
  </si>
  <si>
    <t>PAMV4500FE</t>
  </si>
  <si>
    <t>PAMV4500JU</t>
  </si>
  <si>
    <t>PAMV4700AB</t>
  </si>
  <si>
    <t>PAMV4700FE</t>
  </si>
  <si>
    <t>PAMV4700JU</t>
  </si>
  <si>
    <t>PAMV5000AB</t>
  </si>
  <si>
    <t>PAMV5000FE</t>
  </si>
  <si>
    <t>PAMV5000JU</t>
  </si>
  <si>
    <t>PAMV5000MA</t>
  </si>
  <si>
    <t>PAMV5300AB</t>
  </si>
  <si>
    <t>PAMV5300FE</t>
  </si>
  <si>
    <t>PAMV5300JU</t>
  </si>
  <si>
    <t>PAMV5600AB</t>
  </si>
  <si>
    <t>PAMV5600FE</t>
  </si>
  <si>
    <t>PAMV5600JU</t>
  </si>
  <si>
    <t>PAMV5600MA</t>
  </si>
  <si>
    <t>PAMV5900AB</t>
  </si>
  <si>
    <t>PAMV5900FE</t>
  </si>
  <si>
    <t>PAMV5900JU</t>
  </si>
  <si>
    <t>PAMV5900MA</t>
  </si>
  <si>
    <t>PAMV6200AB</t>
  </si>
  <si>
    <t>PAMV6200FE</t>
  </si>
  <si>
    <t>PAMV6200JU</t>
  </si>
  <si>
    <t>PAMV6200MA</t>
  </si>
  <si>
    <t>PAMV6500AB</t>
  </si>
  <si>
    <t>PAMV6500FE</t>
  </si>
  <si>
    <t>PAMV6500JU</t>
  </si>
  <si>
    <t>PAMV6500MA</t>
  </si>
  <si>
    <t>PAMV6800AB</t>
  </si>
  <si>
    <t>PAMV6800FE</t>
  </si>
  <si>
    <t>PAMV6800JU</t>
  </si>
  <si>
    <t>PAMV6800MA</t>
  </si>
  <si>
    <t>PAMV71.0FE</t>
  </si>
  <si>
    <t>PAMV7100AB</t>
  </si>
  <si>
    <t>PAMV7100FE</t>
  </si>
  <si>
    <t>PAMV7100JU</t>
  </si>
  <si>
    <t>PAMV7100MA</t>
  </si>
  <si>
    <t>PAMV73.0AB</t>
  </si>
  <si>
    <t>PAMV73.0JU</t>
  </si>
  <si>
    <t>PAMV7400AB</t>
  </si>
  <si>
    <t>PAMV7400FE</t>
  </si>
  <si>
    <t>PAMV7400JU</t>
  </si>
  <si>
    <t>PAMV7400MA</t>
  </si>
  <si>
    <t>PAMV77.0AB</t>
  </si>
  <si>
    <t>PAMV77.0FE</t>
  </si>
  <si>
    <t>PAMV77.0JU</t>
  </si>
  <si>
    <t>PAMV7700AB</t>
  </si>
  <si>
    <t>PAMV7700FE</t>
  </si>
  <si>
    <t>PAMV7700JU</t>
  </si>
  <si>
    <t>PAMV7700MA</t>
  </si>
  <si>
    <t>PAMV81.0AB</t>
  </si>
  <si>
    <t>PAMV81.0JU</t>
  </si>
  <si>
    <t>PAMV81.0OC</t>
  </si>
  <si>
    <t>PAMV83.0AG</t>
  </si>
  <si>
    <t>PAMV83.0JU</t>
  </si>
  <si>
    <t>PAMV83.0OC</t>
  </si>
  <si>
    <t>PAMV89.0AG</t>
  </si>
  <si>
    <t>PAMV89.0JU</t>
  </si>
  <si>
    <t>PAMV89.0OC</t>
  </si>
  <si>
    <t>PAMV93.0OC</t>
  </si>
  <si>
    <t>PAMV97.0AG</t>
  </si>
  <si>
    <t>PAMV97.0JU</t>
  </si>
  <si>
    <t>PAMV97.0OC</t>
  </si>
  <si>
    <t>PBRC1000JU</t>
  </si>
  <si>
    <t>PBRC1200AG</t>
  </si>
  <si>
    <t>PBRC14000F</t>
  </si>
  <si>
    <t>PBRC1520AB</t>
  </si>
  <si>
    <t>PBRC16000F</t>
  </si>
  <si>
    <t>PBRC1700OC</t>
  </si>
  <si>
    <t>PBRC18000F</t>
  </si>
  <si>
    <t>PBRC20000F</t>
  </si>
  <si>
    <t>PBRC22000F</t>
  </si>
  <si>
    <t>QQQC32000F</t>
  </si>
  <si>
    <t>QQQC34000F</t>
  </si>
  <si>
    <t>QQQC36000F</t>
  </si>
  <si>
    <t>QQQV32000F</t>
  </si>
  <si>
    <t>QQQV34000F</t>
  </si>
  <si>
    <t>QQQV36000F</t>
  </si>
  <si>
    <t>RCHC25945J</t>
  </si>
  <si>
    <t>RCHC270.JU</t>
  </si>
  <si>
    <t>SEMC6.00OC</t>
  </si>
  <si>
    <t>SPYC36000A</t>
  </si>
  <si>
    <t>SPYC36000F</t>
  </si>
  <si>
    <t>SPYC38000A</t>
  </si>
  <si>
    <t>SPYC38000F</t>
  </si>
  <si>
    <t>SPYC40000A</t>
  </si>
  <si>
    <t>SPYC40000F</t>
  </si>
  <si>
    <t>SPYC42000A</t>
  </si>
  <si>
    <t>SPYC42000F</t>
  </si>
  <si>
    <t>SPYC44000A</t>
  </si>
  <si>
    <t>SPYC44000F</t>
  </si>
  <si>
    <t>SPYC44000J</t>
  </si>
  <si>
    <t>SPYC44000M</t>
  </si>
  <si>
    <t>SPYC46000A</t>
  </si>
  <si>
    <t>SPYC46000F</t>
  </si>
  <si>
    <t>SPYC46000J</t>
  </si>
  <si>
    <t>SPYC46000M</t>
  </si>
  <si>
    <t>SPYC48000A</t>
  </si>
  <si>
    <t>SPYC48000F</t>
  </si>
  <si>
    <t>SPYC48000J</t>
  </si>
  <si>
    <t>SPYC48000M</t>
  </si>
  <si>
    <t>SPYC50000A</t>
  </si>
  <si>
    <t>SPYC50000F</t>
  </si>
  <si>
    <t>SPYC50000J</t>
  </si>
  <si>
    <t>SPYC50000M</t>
  </si>
  <si>
    <t>SPYC52000A</t>
  </si>
  <si>
    <t>SPYC52000F</t>
  </si>
  <si>
    <t>SPYC52000J</t>
  </si>
  <si>
    <t>SPYC52000M</t>
  </si>
  <si>
    <t>SPYC54000A</t>
  </si>
  <si>
    <t>SPYC54000F</t>
  </si>
  <si>
    <t>SPYC54000J</t>
  </si>
  <si>
    <t>SPYC54000M</t>
  </si>
  <si>
    <t>SPYV36000A</t>
  </si>
  <si>
    <t>SPYV36000F</t>
  </si>
  <si>
    <t>SPYV38000A</t>
  </si>
  <si>
    <t>SPYV38000F</t>
  </si>
  <si>
    <t>SPYV40000A</t>
  </si>
  <si>
    <t>SPYV40000F</t>
  </si>
  <si>
    <t>SPYV42000A</t>
  </si>
  <si>
    <t>SPYV42000F</t>
  </si>
  <si>
    <t>SPYV44000A</t>
  </si>
  <si>
    <t>SPYV44000F</t>
  </si>
  <si>
    <t>SPYV44000J</t>
  </si>
  <si>
    <t>SPYV44000M</t>
  </si>
  <si>
    <t>SPYV46000A</t>
  </si>
  <si>
    <t>SPYV46000F</t>
  </si>
  <si>
    <t>SPYV46000J</t>
  </si>
  <si>
    <t>SPYV46000M</t>
  </si>
  <si>
    <t>SPYV48000A</t>
  </si>
  <si>
    <t>SPYV48000F</t>
  </si>
  <si>
    <t>SPYV48000J</t>
  </si>
  <si>
    <t>SPYV48000M</t>
  </si>
  <si>
    <t>SPYV50000A</t>
  </si>
  <si>
    <t>SPYV50000F</t>
  </si>
  <si>
    <t>SPYV50000J</t>
  </si>
  <si>
    <t>SPYV50000M</t>
  </si>
  <si>
    <t>SPYV52000A</t>
  </si>
  <si>
    <t>SPYV52000F</t>
  </si>
  <si>
    <t>SPYV52000J</t>
  </si>
  <si>
    <t>SPYV52000M</t>
  </si>
  <si>
    <t>SPYV54000A</t>
  </si>
  <si>
    <t>SPYV54000F</t>
  </si>
  <si>
    <t>SPYV54000J</t>
  </si>
  <si>
    <t>SPYV54000M</t>
  </si>
  <si>
    <t>SUPC1400FE</t>
  </si>
  <si>
    <t>SUPC1600FE</t>
  </si>
  <si>
    <t>SUPC1800FE</t>
  </si>
  <si>
    <t>SUPC2000FE</t>
  </si>
  <si>
    <t>SUPC2200FE</t>
  </si>
  <si>
    <t>SUPC2400FE</t>
  </si>
  <si>
    <t>SUPC2600FE</t>
  </si>
  <si>
    <t>SUPC2800FE</t>
  </si>
  <si>
    <t>SUPC3000AB</t>
  </si>
  <si>
    <t>SUPC3000FE</t>
  </si>
  <si>
    <t>SUPC3200AB</t>
  </si>
  <si>
    <t>SUPC3400AB</t>
  </si>
  <si>
    <t>SUPC3600AB</t>
  </si>
  <si>
    <t>SUPC3600JU</t>
  </si>
  <si>
    <t>SUPC3800AB</t>
  </si>
  <si>
    <t>SUPC3800JU</t>
  </si>
  <si>
    <t>SUPC4000AB</t>
  </si>
  <si>
    <t>SUPC4000JU</t>
  </si>
  <si>
    <t>SUPC4200AB</t>
  </si>
  <si>
    <t>SUPC4200JU</t>
  </si>
  <si>
    <t>SUPC4400AB</t>
  </si>
  <si>
    <t>SUPC4400JU</t>
  </si>
  <si>
    <t>SUPC52157J</t>
  </si>
  <si>
    <t>SUPC53.0AB</t>
  </si>
  <si>
    <t>SUPC53.0AG</t>
  </si>
  <si>
    <t>SUPC53.0FE</t>
  </si>
  <si>
    <t>SUPC53.0JU</t>
  </si>
  <si>
    <t>SUPC56.0AG</t>
  </si>
  <si>
    <t>SUPC56.0JU</t>
  </si>
  <si>
    <t>SUPC59.0JU</t>
  </si>
  <si>
    <t>SUPC59.0OC</t>
  </si>
  <si>
    <t>SUPC62.0FE</t>
  </si>
  <si>
    <t>SUPC64157J</t>
  </si>
  <si>
    <t>SUPC65.0FE</t>
  </si>
  <si>
    <t>SUPC68.0AB</t>
  </si>
  <si>
    <t>SUPC70157J</t>
  </si>
  <si>
    <t>SUPC95.0OC</t>
  </si>
  <si>
    <t>SUPV1400FE</t>
  </si>
  <si>
    <t>SUPV1600FE</t>
  </si>
  <si>
    <t>SUPV1800FE</t>
  </si>
  <si>
    <t>SUPV2000FE</t>
  </si>
  <si>
    <t>SUPV2200FE</t>
  </si>
  <si>
    <t>SUPV2400FE</t>
  </si>
  <si>
    <t>SUPV2600FE</t>
  </si>
  <si>
    <t>SUPV2800FE</t>
  </si>
  <si>
    <t>SUPV3000AB</t>
  </si>
  <si>
    <t>SUPV3000FE</t>
  </si>
  <si>
    <t>SUPV3000JU</t>
  </si>
  <si>
    <t>SUPV3200AB</t>
  </si>
  <si>
    <t>SUPV3200JU</t>
  </si>
  <si>
    <t>SUPV3400AB</t>
  </si>
  <si>
    <t>SUPV3400JU</t>
  </si>
  <si>
    <t>SUPV3600AB</t>
  </si>
  <si>
    <t>SUPV3600JU</t>
  </si>
  <si>
    <t>SUPV3800AB</t>
  </si>
  <si>
    <t>SUPV3800JU</t>
  </si>
  <si>
    <t>SUPV4000AB</t>
  </si>
  <si>
    <t>SUPV4200AB</t>
  </si>
  <si>
    <t>SUPV52157J</t>
  </si>
  <si>
    <t>SUPV53.0AB</t>
  </si>
  <si>
    <t>SUPV53.0JU</t>
  </si>
  <si>
    <t>SUPV56.0AG</t>
  </si>
  <si>
    <t>SUPV62.0DI</t>
  </si>
  <si>
    <t>TECC130.AG</t>
  </si>
  <si>
    <t>TECC130.JU</t>
  </si>
  <si>
    <t>TECC140.AG</t>
  </si>
  <si>
    <t>TECC140.JU</t>
  </si>
  <si>
    <t>TECC140.OC</t>
  </si>
  <si>
    <t>TECC14352G</t>
  </si>
  <si>
    <t>TECC14352O</t>
  </si>
  <si>
    <t>TECC160.OC</t>
  </si>
  <si>
    <t>TECC16352G</t>
  </si>
  <si>
    <t>TECC17352G</t>
  </si>
  <si>
    <t>TECC2600FE</t>
  </si>
  <si>
    <t>TECC2800FE</t>
  </si>
  <si>
    <t>TECC3000AB</t>
  </si>
  <si>
    <t>TECC3000FE</t>
  </si>
  <si>
    <t>TECC3200AB</t>
  </si>
  <si>
    <t>TECC3200FE</t>
  </si>
  <si>
    <t>TECC3200MA</t>
  </si>
  <si>
    <t>TECC3400AB</t>
  </si>
  <si>
    <t>TECC3400FE</t>
  </si>
  <si>
    <t>TECC3400MA</t>
  </si>
  <si>
    <t>TECC3600AB</t>
  </si>
  <si>
    <t>TECC3600FE</t>
  </si>
  <si>
    <t>TECC3600JU</t>
  </si>
  <si>
    <t>TECC3600MA</t>
  </si>
  <si>
    <t>TECC3800AB</t>
  </si>
  <si>
    <t>TECC3800FE</t>
  </si>
  <si>
    <t>TECC3800JU</t>
  </si>
  <si>
    <t>TECC3800MA</t>
  </si>
  <si>
    <t>TECC4000AB</t>
  </si>
  <si>
    <t>TECC4000FE</t>
  </si>
  <si>
    <t>TECC4000JU</t>
  </si>
  <si>
    <t>TECC4000MA</t>
  </si>
  <si>
    <t>TECC4200AB</t>
  </si>
  <si>
    <t>TECC4200FE</t>
  </si>
  <si>
    <t>TECC4200JU</t>
  </si>
  <si>
    <t>TECC4200MA</t>
  </si>
  <si>
    <t>TECC4400AB</t>
  </si>
  <si>
    <t>TECC4400FE</t>
  </si>
  <si>
    <t>TECC4400JU</t>
  </si>
  <si>
    <t>TECC4400MA</t>
  </si>
  <si>
    <t>TECV130.AG</t>
  </si>
  <si>
    <t>TECV130.JU</t>
  </si>
  <si>
    <t>TECV140.AG</t>
  </si>
  <si>
    <t>TECV140.JU</t>
  </si>
  <si>
    <t>TECV140.OC</t>
  </si>
  <si>
    <t>TECV14352G</t>
  </si>
  <si>
    <t>TECV14352O</t>
  </si>
  <si>
    <t>TECV160.OC</t>
  </si>
  <si>
    <t>TECV170.DI</t>
  </si>
  <si>
    <t>TECV2600AB</t>
  </si>
  <si>
    <t>TECV2600FE</t>
  </si>
  <si>
    <t>TECV2800AB</t>
  </si>
  <si>
    <t>TECV2800FE</t>
  </si>
  <si>
    <t>TECV3000AB</t>
  </si>
  <si>
    <t>TECV3000FE</t>
  </si>
  <si>
    <t>TECV3200AB</t>
  </si>
  <si>
    <t>TECV3200FE</t>
  </si>
  <si>
    <t>TECV3200JU</t>
  </si>
  <si>
    <t>TECV3200MA</t>
  </si>
  <si>
    <t>TECV3400AB</t>
  </si>
  <si>
    <t>TECV3400FE</t>
  </si>
  <si>
    <t>TECV3400JU</t>
  </si>
  <si>
    <t>TECV3400MA</t>
  </si>
  <si>
    <t>TECV3600AB</t>
  </si>
  <si>
    <t>TECV3600FE</t>
  </si>
  <si>
    <t>TECV3600JU</t>
  </si>
  <si>
    <t>TECV3600MA</t>
  </si>
  <si>
    <t>TECV3800AB</t>
  </si>
  <si>
    <t>TECV3800FE</t>
  </si>
  <si>
    <t>TECV3800JU</t>
  </si>
  <si>
    <t>TECV3800MA</t>
  </si>
  <si>
    <t>TECV4000AB</t>
  </si>
  <si>
    <t>TECV4000FE</t>
  </si>
  <si>
    <t>TECV4000JU</t>
  </si>
  <si>
    <t>TECV4000MA</t>
  </si>
  <si>
    <t>TECV4200AB</t>
  </si>
  <si>
    <t>TECV4200FE</t>
  </si>
  <si>
    <t>TECV4200JU</t>
  </si>
  <si>
    <t>TECV4200MA</t>
  </si>
  <si>
    <t>TECV4400AB</t>
  </si>
  <si>
    <t>TECV4400FE</t>
  </si>
  <si>
    <t>TECV4400JU</t>
  </si>
  <si>
    <t>TECV4400MA</t>
  </si>
  <si>
    <t>TENC3000JU</t>
  </si>
  <si>
    <t>TENC3200DI</t>
  </si>
  <si>
    <t>TENC3400AG</t>
  </si>
  <si>
    <t>TENC3400JU</t>
  </si>
  <si>
    <t>TENC3600OC</t>
  </si>
  <si>
    <t>TENC3800OC</t>
  </si>
  <si>
    <t>TGNC2200FE</t>
  </si>
  <si>
    <t>TGNC2400FE</t>
  </si>
  <si>
    <t>TGNC2600FE</t>
  </si>
  <si>
    <t>TGNC2800FE</t>
  </si>
  <si>
    <t>TGNC3000FE</t>
  </si>
  <si>
    <t>TGNC36.0AG</t>
  </si>
  <si>
    <t>TGNC36.0JU</t>
  </si>
  <si>
    <t>TGNC3600FE</t>
  </si>
  <si>
    <t>TGNC38.0AG</t>
  </si>
  <si>
    <t>TGNC38.0FE</t>
  </si>
  <si>
    <t>TGNC38.0JU</t>
  </si>
  <si>
    <t>TGNC3800AB</t>
  </si>
  <si>
    <t>TGNC3800FE</t>
  </si>
  <si>
    <t>TGNC40.0AB</t>
  </si>
  <si>
    <t>TGNC40.0AG</t>
  </si>
  <si>
    <t>TGNC40.0JU</t>
  </si>
  <si>
    <t>TGNC4000AB</t>
  </si>
  <si>
    <t>TGNC4000FE</t>
  </si>
  <si>
    <t>TGNC42.0AB</t>
  </si>
  <si>
    <t>TGNC42.0DI</t>
  </si>
  <si>
    <t>TGNC42.0FE</t>
  </si>
  <si>
    <t>TGNC42.0JU</t>
  </si>
  <si>
    <t>TGNC44.0AB</t>
  </si>
  <si>
    <t>TGNC44.0FE</t>
  </si>
  <si>
    <t>TGNC44.0JU</t>
  </si>
  <si>
    <t>TGNC4400AB</t>
  </si>
  <si>
    <t>TGNC4400FE</t>
  </si>
  <si>
    <t>TGNC4400JU</t>
  </si>
  <si>
    <t>TGNC46.0FE</t>
  </si>
  <si>
    <t>TGNC46.0JU</t>
  </si>
  <si>
    <t>TGNC46.0MA</t>
  </si>
  <si>
    <t>TGNC4600AB</t>
  </si>
  <si>
    <t>TGNC4600FE</t>
  </si>
  <si>
    <t>TGNC4600JU</t>
  </si>
  <si>
    <t>TGNC48.0AG</t>
  </si>
  <si>
    <t>TGNC48.0OC</t>
  </si>
  <si>
    <t>TGNC4800AB</t>
  </si>
  <si>
    <t>TGNC4800FE</t>
  </si>
  <si>
    <t>TGNC4800JU</t>
  </si>
  <si>
    <t>TGNC4800MA</t>
  </si>
  <si>
    <t>TGNC50.0AG</t>
  </si>
  <si>
    <t>TGNC50.0JU</t>
  </si>
  <si>
    <t>TGNC5000AB</t>
  </si>
  <si>
    <t>TGNC5000FE</t>
  </si>
  <si>
    <t>TGNC5000JU</t>
  </si>
  <si>
    <t>TGNC5000MA</t>
  </si>
  <si>
    <t>TGNC52.0AG</t>
  </si>
  <si>
    <t>TGNC5200AB</t>
  </si>
  <si>
    <t>TGNC5200FE</t>
  </si>
  <si>
    <t>TGNC5200JU</t>
  </si>
  <si>
    <t>TGNC5200MA</t>
  </si>
  <si>
    <t>TGNC54.0AG</t>
  </si>
  <si>
    <t>TGNC54.0JU</t>
  </si>
  <si>
    <t>TGNC54.0OC</t>
  </si>
  <si>
    <t>TGNC5400AB</t>
  </si>
  <si>
    <t>TGNC5400FE</t>
  </si>
  <si>
    <t>TGNC5400JU</t>
  </si>
  <si>
    <t>TGNC5400MA</t>
  </si>
  <si>
    <t>TGNC54376F</t>
  </si>
  <si>
    <t>TGNC5600AB</t>
  </si>
  <si>
    <t>TGNC5600FE</t>
  </si>
  <si>
    <t>TGNC5600JU</t>
  </si>
  <si>
    <t>TGNC5600MA</t>
  </si>
  <si>
    <t>TGNC60.0AG</t>
  </si>
  <si>
    <t>TGNC60.0JU</t>
  </si>
  <si>
    <t>TGNC60.0OC</t>
  </si>
  <si>
    <t>TGNC62.0AG</t>
  </si>
  <si>
    <t>TGNC62.0OC</t>
  </si>
  <si>
    <t>TGNC66.0OC</t>
  </si>
  <si>
    <t>TGNV36.0AG</t>
  </si>
  <si>
    <t>TGNV38.0AG</t>
  </si>
  <si>
    <t>TGNV4000AB</t>
  </si>
  <si>
    <t>TGNV4000FE</t>
  </si>
  <si>
    <t>TGNV4000JU</t>
  </si>
  <si>
    <t>TGNV4000MA</t>
  </si>
  <si>
    <t>TGNV4400AB</t>
  </si>
  <si>
    <t>TGNV4400FE</t>
  </si>
  <si>
    <t>TGNV4400JU</t>
  </si>
  <si>
    <t>TGNV4400MA</t>
  </si>
  <si>
    <t>TGNV4600AB</t>
  </si>
  <si>
    <t>TGNV4600FE</t>
  </si>
  <si>
    <t>TGNV4600JU</t>
  </si>
  <si>
    <t>TGNV4600MA</t>
  </si>
  <si>
    <t>TGNV48.0AG</t>
  </si>
  <si>
    <t>TGNV4800AB</t>
  </si>
  <si>
    <t>TGNV4800FE</t>
  </si>
  <si>
    <t>TGNV4800JU</t>
  </si>
  <si>
    <t>TGNV4800MA</t>
  </si>
  <si>
    <t>TGNV5000AB</t>
  </si>
  <si>
    <t>TGNV5000FE</t>
  </si>
  <si>
    <t>TGNV5000JU</t>
  </si>
  <si>
    <t>TGNV5000MA</t>
  </si>
  <si>
    <t>TGNV5200AB</t>
  </si>
  <si>
    <t>TGNV5200FE</t>
  </si>
  <si>
    <t>TGNV5200JU</t>
  </si>
  <si>
    <t>TGNV5200MA</t>
  </si>
  <si>
    <t>TGNV5400AB</t>
  </si>
  <si>
    <t>TGNV5400FE</t>
  </si>
  <si>
    <t>TGNV5400JU</t>
  </si>
  <si>
    <t>TGNV5400MA</t>
  </si>
  <si>
    <t>TGNV5600AB</t>
  </si>
  <si>
    <t>TGNV5600JU</t>
  </si>
  <si>
    <t>TGNV5600MA</t>
  </si>
  <si>
    <t>TGSC10000A</t>
  </si>
  <si>
    <t>TGSC10000F</t>
  </si>
  <si>
    <t>TGSC10000J</t>
  </si>
  <si>
    <t>TGSC10000M</t>
  </si>
  <si>
    <t>TGSC10500A</t>
  </si>
  <si>
    <t>TGSC10500F</t>
  </si>
  <si>
    <t>TGSC10500J</t>
  </si>
  <si>
    <t>TGSC10500M</t>
  </si>
  <si>
    <t>TGSC11000A</t>
  </si>
  <si>
    <t>TGSC11000F</t>
  </si>
  <si>
    <t>TGSC11000J</t>
  </si>
  <si>
    <t>TGSC11000M</t>
  </si>
  <si>
    <t>TGSC11500A</t>
  </si>
  <si>
    <t>TGSC11500F</t>
  </si>
  <si>
    <t>TGSC11500J</t>
  </si>
  <si>
    <t>TGSC11500M</t>
  </si>
  <si>
    <t>TGSC12000A</t>
  </si>
  <si>
    <t>TGSC12000F</t>
  </si>
  <si>
    <t>TGSC12000J</t>
  </si>
  <si>
    <t>TGSC12000M</t>
  </si>
  <si>
    <t>TGSC130.AG</t>
  </si>
  <si>
    <t>TGSC130.JU</t>
  </si>
  <si>
    <t>TGSC140.AG</t>
  </si>
  <si>
    <t>TGSC140.DI</t>
  </si>
  <si>
    <t>TGSC140.JU</t>
  </si>
  <si>
    <t>TGSC140.OC</t>
  </si>
  <si>
    <t>TGSC145.FE</t>
  </si>
  <si>
    <t>TGSC150.OC</t>
  </si>
  <si>
    <t>TGSC6500FE</t>
  </si>
  <si>
    <t>TGSC6700FE</t>
  </si>
  <si>
    <t>TGSC6900FE</t>
  </si>
  <si>
    <t>TGSC7100FE</t>
  </si>
  <si>
    <t>TGSC7300FE</t>
  </si>
  <si>
    <t>TGSC7500FE</t>
  </si>
  <si>
    <t>TGSC7700FE</t>
  </si>
  <si>
    <t>TGSC8000AB</t>
  </si>
  <si>
    <t>TGSC8000FE</t>
  </si>
  <si>
    <t>TGSC8500AB</t>
  </si>
  <si>
    <t>TGSC8500FE</t>
  </si>
  <si>
    <t>TGSC8500JU</t>
  </si>
  <si>
    <t>TGSC8500MA</t>
  </si>
  <si>
    <t>TGSC9000AB</t>
  </si>
  <si>
    <t>TGSC9000FE</t>
  </si>
  <si>
    <t>TGSC9000JU</t>
  </si>
  <si>
    <t>TGSC9000MA</t>
  </si>
  <si>
    <t>TGSC9500AB</t>
  </si>
  <si>
    <t>TGSC9500FE</t>
  </si>
  <si>
    <t>TGSC9500JU</t>
  </si>
  <si>
    <t>TGSC9500MA</t>
  </si>
  <si>
    <t>TGSV10000A</t>
  </si>
  <si>
    <t>TGSV10000F</t>
  </si>
  <si>
    <t>TGSV10000J</t>
  </si>
  <si>
    <t>TGSV10000M</t>
  </si>
  <si>
    <t>TGSV10500A</t>
  </si>
  <si>
    <t>TGSV10500F</t>
  </si>
  <si>
    <t>TGSV10500J</t>
  </si>
  <si>
    <t>TGSV10500M</t>
  </si>
  <si>
    <t>TGSV11000A</t>
  </si>
  <si>
    <t>TGSV11000F</t>
  </si>
  <si>
    <t>TGSV11000J</t>
  </si>
  <si>
    <t>TGSV11000M</t>
  </si>
  <si>
    <t>TGSV11500A</t>
  </si>
  <si>
    <t>TGSV11500F</t>
  </si>
  <si>
    <t>TGSV11500J</t>
  </si>
  <si>
    <t>TGSV11500M</t>
  </si>
  <si>
    <t>TGSV12000A</t>
  </si>
  <si>
    <t>TGSV12000F</t>
  </si>
  <si>
    <t>TGSV12000J</t>
  </si>
  <si>
    <t>TGSV12000M</t>
  </si>
  <si>
    <t>TGSV130.AG</t>
  </si>
  <si>
    <t>TGSV140.AG</t>
  </si>
  <si>
    <t>TGSV140.DI</t>
  </si>
  <si>
    <t>TGSV150.OC</t>
  </si>
  <si>
    <t>TGSV155.OC</t>
  </si>
  <si>
    <t>TGSV6100FE</t>
  </si>
  <si>
    <t>TGSV6300FE</t>
  </si>
  <si>
    <t>TGSV6500FE</t>
  </si>
  <si>
    <t>TGSV6700FE</t>
  </si>
  <si>
    <t>TGSV6900FE</t>
  </si>
  <si>
    <t>TGSV7100FE</t>
  </si>
  <si>
    <t>TGSV7300FE</t>
  </si>
  <si>
    <t>TGSV7500AB</t>
  </si>
  <si>
    <t>TGSV7500FE</t>
  </si>
  <si>
    <t>TGSV7700FE</t>
  </si>
  <si>
    <t>TGSV8000AB</t>
  </si>
  <si>
    <t>TGSV8000FE</t>
  </si>
  <si>
    <t>TGSV8500AB</t>
  </si>
  <si>
    <t>TGSV8500FE</t>
  </si>
  <si>
    <t>TGSV8500JU</t>
  </si>
  <si>
    <t>TGSV8500MA</t>
  </si>
  <si>
    <t>TGSV9000AB</t>
  </si>
  <si>
    <t>TGSV9000FE</t>
  </si>
  <si>
    <t>TGSV9000JU</t>
  </si>
  <si>
    <t>TGSV9000MA</t>
  </si>
  <si>
    <t>TGSV9500AB</t>
  </si>
  <si>
    <t>TGSV9500FE</t>
  </si>
  <si>
    <t>TGSV9500JU</t>
  </si>
  <si>
    <t>TGSV9500MA</t>
  </si>
  <si>
    <t>TRAC20.0AG</t>
  </si>
  <si>
    <t>TRAC2000FE</t>
  </si>
  <si>
    <t>TRAC22.0AB</t>
  </si>
  <si>
    <t>TRAC22.0AG</t>
  </si>
  <si>
    <t>TRAC22.0JU</t>
  </si>
  <si>
    <t>TRAC22.0OC</t>
  </si>
  <si>
    <t>TRAC2200FE</t>
  </si>
  <si>
    <t>TRAC2300FE</t>
  </si>
  <si>
    <t>TRAC24.0AB</t>
  </si>
  <si>
    <t>TRAC24.0AG</t>
  </si>
  <si>
    <t>TRAC24.0JU</t>
  </si>
  <si>
    <t>TRAC24.0OC</t>
  </si>
  <si>
    <t>TRAC2400FE</t>
  </si>
  <si>
    <t>TRAC2500FE</t>
  </si>
  <si>
    <t>TRAC26.0AB</t>
  </si>
  <si>
    <t>TRAC26.0FE</t>
  </si>
  <si>
    <t>TRAC26.0JU</t>
  </si>
  <si>
    <t>TRAC2600FE</t>
  </si>
  <si>
    <t>TRAC2600JU</t>
  </si>
  <si>
    <t>TRAC2700AB</t>
  </si>
  <si>
    <t>TRAC2700FE</t>
  </si>
  <si>
    <t>TRAC28.0AG</t>
  </si>
  <si>
    <t>TRAC28.0OC</t>
  </si>
  <si>
    <t>TRAC2800AB</t>
  </si>
  <si>
    <t>TRAC2900AB</t>
  </si>
  <si>
    <t>TRAC30.0AB</t>
  </si>
  <si>
    <t>TRAC30.0FE</t>
  </si>
  <si>
    <t>TRAC3000AB</t>
  </si>
  <si>
    <t>TRAC3100AB</t>
  </si>
  <si>
    <t>TRAC3100FE</t>
  </si>
  <si>
    <t>TRAC32.0AB</t>
  </si>
  <si>
    <t>TRAC32.0AG</t>
  </si>
  <si>
    <t>TRAC3200AB</t>
  </si>
  <si>
    <t>TRAC3200FE</t>
  </si>
  <si>
    <t>TRAC34.0AB</t>
  </si>
  <si>
    <t>TRAC34.0AG</t>
  </si>
  <si>
    <t>TRAC34.0JU</t>
  </si>
  <si>
    <t>TRAC34.0OC</t>
  </si>
  <si>
    <t>TRAC3400AB</t>
  </si>
  <si>
    <t>TRAC3400FE</t>
  </si>
  <si>
    <t>TRAC3400JU</t>
  </si>
  <si>
    <t>TRAC3400MA</t>
  </si>
  <si>
    <t>TRAC3600AB</t>
  </si>
  <si>
    <t>TRAC3600FE</t>
  </si>
  <si>
    <t>TRAC3600JU</t>
  </si>
  <si>
    <t>TRAC3600MA</t>
  </si>
  <si>
    <t>TRAC38.0AG</t>
  </si>
  <si>
    <t>TRAC38.0OC</t>
  </si>
  <si>
    <t>TRAC3800AB</t>
  </si>
  <si>
    <t>TRAC3800FE</t>
  </si>
  <si>
    <t>TRAC3800JU</t>
  </si>
  <si>
    <t>TRAC3800MA</t>
  </si>
  <si>
    <t>TRAC4000AB</t>
  </si>
  <si>
    <t>TRAC4000FE</t>
  </si>
  <si>
    <t>TRAC4000JU</t>
  </si>
  <si>
    <t>TRAC4000MA</t>
  </si>
  <si>
    <t>TRAC4200AB</t>
  </si>
  <si>
    <t>TRAC4200FE</t>
  </si>
  <si>
    <t>TRAC4200JU</t>
  </si>
  <si>
    <t>TRAC4200MA</t>
  </si>
  <si>
    <t>TRAC4400AB</t>
  </si>
  <si>
    <t>TRAC4400FE</t>
  </si>
  <si>
    <t>TRAC4400JU</t>
  </si>
  <si>
    <t>TRAC4400MA</t>
  </si>
  <si>
    <t>TRAC4600AB</t>
  </si>
  <si>
    <t>TRAC4600FE</t>
  </si>
  <si>
    <t>TRAC4600JU</t>
  </si>
  <si>
    <t>TRAC4600MA</t>
  </si>
  <si>
    <t>TRAC4800AB</t>
  </si>
  <si>
    <t>TRAC4800FE</t>
  </si>
  <si>
    <t>TRAC4800JU</t>
  </si>
  <si>
    <t>TRAC4800MA</t>
  </si>
  <si>
    <t>TRAV2000FE</t>
  </si>
  <si>
    <t>TRAV22.0AG</t>
  </si>
  <si>
    <t>TRAV22.0OC</t>
  </si>
  <si>
    <t>TRAV2200FE</t>
  </si>
  <si>
    <t>TRAV2300FE</t>
  </si>
  <si>
    <t>TRAV24.0AB</t>
  </si>
  <si>
    <t>TRAV2400FE</t>
  </si>
  <si>
    <t>TRAV2500FE</t>
  </si>
  <si>
    <t>TRAV2600AB</t>
  </si>
  <si>
    <t>TRAV2600FE</t>
  </si>
  <si>
    <t>TRAV2600JU</t>
  </si>
  <si>
    <t>TRAV2700FE</t>
  </si>
  <si>
    <t>TRAV2800AB</t>
  </si>
  <si>
    <t>TRAV2800JU</t>
  </si>
  <si>
    <t>TRAV2900AB</t>
  </si>
  <si>
    <t>TRAV3000AB</t>
  </si>
  <si>
    <t>TRAV3000FE</t>
  </si>
  <si>
    <t>TRAV3000JU</t>
  </si>
  <si>
    <t>TRAV3100AB</t>
  </si>
  <si>
    <t>TRAV3100FE</t>
  </si>
  <si>
    <t>TRAV3200AB</t>
  </si>
  <si>
    <t>TRAV3200FE</t>
  </si>
  <si>
    <t>TRAV3200JU</t>
  </si>
  <si>
    <t>TRAV3400AB</t>
  </si>
  <si>
    <t>TRAV3400FE</t>
  </si>
  <si>
    <t>TRAV3400JU</t>
  </si>
  <si>
    <t>TRAV3400MA</t>
  </si>
  <si>
    <t>TRAV3600AB</t>
  </si>
  <si>
    <t>TRAV3600FE</t>
  </si>
  <si>
    <t>TRAV3600JU</t>
  </si>
  <si>
    <t>TRAV3600MA</t>
  </si>
  <si>
    <t>TRAV38.0OC</t>
  </si>
  <si>
    <t>TRAV3800AB</t>
  </si>
  <si>
    <t>TRAV3800FE</t>
  </si>
  <si>
    <t>TRAV3800JU</t>
  </si>
  <si>
    <t>TRAV3800MA</t>
  </si>
  <si>
    <t>TRAV4000AB</t>
  </si>
  <si>
    <t>TRAV4000FE</t>
  </si>
  <si>
    <t>TRAV4000JU</t>
  </si>
  <si>
    <t>TRAV4000MA</t>
  </si>
  <si>
    <t>TRAV4200AB</t>
  </si>
  <si>
    <t>TRAV4200FE</t>
  </si>
  <si>
    <t>TRAV4200JU</t>
  </si>
  <si>
    <t>TRAV4200MA</t>
  </si>
  <si>
    <t>TRAV4400AB</t>
  </si>
  <si>
    <t>TRAV4400FE</t>
  </si>
  <si>
    <t>TRAV4400JU</t>
  </si>
  <si>
    <t>TRAV4400MA</t>
  </si>
  <si>
    <t>TRAV4600AB</t>
  </si>
  <si>
    <t>TRAV4600FE</t>
  </si>
  <si>
    <t>TRAV4600JU</t>
  </si>
  <si>
    <t>TRAV4600MA</t>
  </si>
  <si>
    <t>TRAV4800AB</t>
  </si>
  <si>
    <t>TRAV4800FE</t>
  </si>
  <si>
    <t>TRAV4800JU</t>
  </si>
  <si>
    <t>TRAV4800MA</t>
  </si>
  <si>
    <t>TSLC22000A</t>
  </si>
  <si>
    <t>TSLC22000F</t>
  </si>
  <si>
    <t>TSLC5700AG</t>
  </si>
  <si>
    <t>TSLC5900JU</t>
  </si>
  <si>
    <t>TSLC6700AG</t>
  </si>
  <si>
    <t>TSLC6700JU</t>
  </si>
  <si>
    <t>TSLC6900AB</t>
  </si>
  <si>
    <t>TSLC6900AG</t>
  </si>
  <si>
    <t>TSLC6900JU</t>
  </si>
  <si>
    <t>TSLC6900OC</t>
  </si>
  <si>
    <t>TSLC7100AG</t>
  </si>
  <si>
    <t>TSLC7200JU</t>
  </si>
  <si>
    <t>TSLC7300AG</t>
  </si>
  <si>
    <t>TSLC8400OC</t>
  </si>
  <si>
    <t>TSLV22000A</t>
  </si>
  <si>
    <t>TSLV22000F</t>
  </si>
  <si>
    <t>TSLV6700AG</t>
  </si>
  <si>
    <t>TSLV7100AG</t>
  </si>
  <si>
    <t>TSLV7500AG</t>
  </si>
  <si>
    <t>TSLV8400OC</t>
  </si>
  <si>
    <t>TXAC1000.M</t>
  </si>
  <si>
    <t>TXAC1000AB</t>
  </si>
  <si>
    <t>TXAC1000FE</t>
  </si>
  <si>
    <t>TXAC1000JU</t>
  </si>
  <si>
    <t>TXAC1050.M</t>
  </si>
  <si>
    <t>TXAC1050AB</t>
  </si>
  <si>
    <t>TXAC1050FE</t>
  </si>
  <si>
    <t>TXAC1050JU</t>
  </si>
  <si>
    <t>TXAC1100.M</t>
  </si>
  <si>
    <t>TXAC1100AB</t>
  </si>
  <si>
    <t>TXAC1100FE</t>
  </si>
  <si>
    <t>TXAC1100JU</t>
  </si>
  <si>
    <t>TXAC39807F</t>
  </si>
  <si>
    <t>TXAC40.0JU</t>
  </si>
  <si>
    <t>TXAC400.AB</t>
  </si>
  <si>
    <t>TXAC44.0AB</t>
  </si>
  <si>
    <t>TXAC44.0FE</t>
  </si>
  <si>
    <t>TXAC44.0JU</t>
  </si>
  <si>
    <t>TXAC450.AB</t>
  </si>
  <si>
    <t>TXAC450.FE</t>
  </si>
  <si>
    <t>TXAC48.0AG</t>
  </si>
  <si>
    <t>TXAC48.0OC</t>
  </si>
  <si>
    <t>TXAC50.0AB</t>
  </si>
  <si>
    <t>TXAC50.0AG</t>
  </si>
  <si>
    <t>TXAC50.0FE</t>
  </si>
  <si>
    <t>TXAC50.0JU</t>
  </si>
  <si>
    <t>TXAC500.FE</t>
  </si>
  <si>
    <t>TXAC52.0JU</t>
  </si>
  <si>
    <t>TXAC52.0MA</t>
  </si>
  <si>
    <t>TXAC54.0AB</t>
  </si>
  <si>
    <t>TXAC54.0FE</t>
  </si>
  <si>
    <t>TXAC54.0JU</t>
  </si>
  <si>
    <t>TXAC54807F</t>
  </si>
  <si>
    <t>TXAC550.FE</t>
  </si>
  <si>
    <t>TXAC56.0AB</t>
  </si>
  <si>
    <t>TXAC56.0AG</t>
  </si>
  <si>
    <t>TXAC56.0FE</t>
  </si>
  <si>
    <t>TXAC56.0JU</t>
  </si>
  <si>
    <t>TXAC56.0OC</t>
  </si>
  <si>
    <t>TXAC58.0AB</t>
  </si>
  <si>
    <t>TXAC58.0AG</t>
  </si>
  <si>
    <t>TXAC59807F</t>
  </si>
  <si>
    <t>TXAC60.0AB</t>
  </si>
  <si>
    <t>TXAC60.0AG</t>
  </si>
  <si>
    <t>TXAC60.0FE</t>
  </si>
  <si>
    <t>TXAC60.0JU</t>
  </si>
  <si>
    <t>TXAC60.0OC</t>
  </si>
  <si>
    <t>TXAC600.AB</t>
  </si>
  <si>
    <t>TXAC600.FE</t>
  </si>
  <si>
    <t>TXAC600.JU</t>
  </si>
  <si>
    <t>TXAC600.MA</t>
  </si>
  <si>
    <t>TXAC62.0JU</t>
  </si>
  <si>
    <t>TXAC64.0AB</t>
  </si>
  <si>
    <t>TXAC64.0FE</t>
  </si>
  <si>
    <t>TXAC64807F</t>
  </si>
  <si>
    <t>TXAC650.AB</t>
  </si>
  <si>
    <t>TXAC650.FE</t>
  </si>
  <si>
    <t>TXAC650.JU</t>
  </si>
  <si>
    <t>TXAC650.MA</t>
  </si>
  <si>
    <t>TXAC66.0AB</t>
  </si>
  <si>
    <t>TXAC66.0AG</t>
  </si>
  <si>
    <t>TXAC66.0JU</t>
  </si>
  <si>
    <t>TXAC66.0OC</t>
  </si>
  <si>
    <t>TXAC68.0AG</t>
  </si>
  <si>
    <t>TXAC68.0JU</t>
  </si>
  <si>
    <t>TXAC68.0OC</t>
  </si>
  <si>
    <t>TXAC69807F</t>
  </si>
  <si>
    <t>TXAC70.0AG</t>
  </si>
  <si>
    <t>TXAC70.0JU</t>
  </si>
  <si>
    <t>TXAC70.0OC</t>
  </si>
  <si>
    <t>TXAC700.AB</t>
  </si>
  <si>
    <t>TXAC700.FE</t>
  </si>
  <si>
    <t>TXAC700.JU</t>
  </si>
  <si>
    <t>TXAC700.MA</t>
  </si>
  <si>
    <t>TXAC72.0AG</t>
  </si>
  <si>
    <t>TXAC72.0OC</t>
  </si>
  <si>
    <t>TXAC74.0AG</t>
  </si>
  <si>
    <t>TXAC74.0OC</t>
  </si>
  <si>
    <t>TXAC74807A</t>
  </si>
  <si>
    <t>TXAC74807F</t>
  </si>
  <si>
    <t>TXAC750.AB</t>
  </si>
  <si>
    <t>TXAC750.FE</t>
  </si>
  <si>
    <t>TXAC750.JU</t>
  </si>
  <si>
    <t>TXAC750.MA</t>
  </si>
  <si>
    <t>TXAC76.0AG</t>
  </si>
  <si>
    <t>TXAC76.0OC</t>
  </si>
  <si>
    <t>TXAC78.0AG</t>
  </si>
  <si>
    <t>TXAC78.0OC</t>
  </si>
  <si>
    <t>TXAC79807F</t>
  </si>
  <si>
    <t>TXAC80.0AG</t>
  </si>
  <si>
    <t>TXAC80.0OC</t>
  </si>
  <si>
    <t>TXAC800.AB</t>
  </si>
  <si>
    <t>TXAC800.FE</t>
  </si>
  <si>
    <t>TXAC800.JU</t>
  </si>
  <si>
    <t>TXAC800.MA</t>
  </si>
  <si>
    <t>TXAC82.0AG</t>
  </si>
  <si>
    <t>TXAC82.0OC</t>
  </si>
  <si>
    <t>TXAC84.0AG</t>
  </si>
  <si>
    <t>TXAC84.0OC</t>
  </si>
  <si>
    <t>TXAC84807F</t>
  </si>
  <si>
    <t>TXAC850.AB</t>
  </si>
  <si>
    <t>TXAC850.FE</t>
  </si>
  <si>
    <t>TXAC850.JU</t>
  </si>
  <si>
    <t>TXAC850.MA</t>
  </si>
  <si>
    <t>TXAC86.0AG</t>
  </si>
  <si>
    <t>TXAC86.0OC</t>
  </si>
  <si>
    <t>TXAC88.0AG</t>
  </si>
  <si>
    <t>TXAC88.0OC</t>
  </si>
  <si>
    <t>TXAC90.0AG</t>
  </si>
  <si>
    <t>TXAC90.0OC</t>
  </si>
  <si>
    <t>TXAC900.AB</t>
  </si>
  <si>
    <t>TXAC900.FE</t>
  </si>
  <si>
    <t>TXAC900.JU</t>
  </si>
  <si>
    <t>TXAC900.MA</t>
  </si>
  <si>
    <t>TXAC92.0OC</t>
  </si>
  <si>
    <t>TXAC950.AB</t>
  </si>
  <si>
    <t>TXAC950.FE</t>
  </si>
  <si>
    <t>TXAC950.JU</t>
  </si>
  <si>
    <t>TXAC950.MA</t>
  </si>
  <si>
    <t>TXAC96.0OC</t>
  </si>
  <si>
    <t>TXAC98.0OC</t>
  </si>
  <si>
    <t>TXAC98.0SE</t>
  </si>
  <si>
    <t>TXAV1000.M</t>
  </si>
  <si>
    <t>TXAV1000AB</t>
  </si>
  <si>
    <t>TXAV1000FE</t>
  </si>
  <si>
    <t>TXAV1000JU</t>
  </si>
  <si>
    <t>TXAV1050.M</t>
  </si>
  <si>
    <t>TXAV1050AB</t>
  </si>
  <si>
    <t>TXAV1050FE</t>
  </si>
  <si>
    <t>TXAV1050JU</t>
  </si>
  <si>
    <t>TXAV1100.M</t>
  </si>
  <si>
    <t>TXAV1100AB</t>
  </si>
  <si>
    <t>TXAV1100FE</t>
  </si>
  <si>
    <t>TXAV1100JU</t>
  </si>
  <si>
    <t>TXAV38.0AB</t>
  </si>
  <si>
    <t>TXAV38.0FE</t>
  </si>
  <si>
    <t>TXAV38.0JU</t>
  </si>
  <si>
    <t>TXAV39807F</t>
  </si>
  <si>
    <t>TXAV400.AB</t>
  </si>
  <si>
    <t>TXAV42.0AG</t>
  </si>
  <si>
    <t>TXAV42.0JU</t>
  </si>
  <si>
    <t>TXAV44.0AB</t>
  </si>
  <si>
    <t>TXAV44.0JU</t>
  </si>
  <si>
    <t>TXAV450.AB</t>
  </si>
  <si>
    <t>TXAV450.FE</t>
  </si>
  <si>
    <t>TXAV46.0AB</t>
  </si>
  <si>
    <t>TXAV48.0OC</t>
  </si>
  <si>
    <t>TXAV50.0AB</t>
  </si>
  <si>
    <t>TXAV50.0AG</t>
  </si>
  <si>
    <t>TXAV50.0FE</t>
  </si>
  <si>
    <t>TXAV50.0JU</t>
  </si>
  <si>
    <t>TXAV500.FE</t>
  </si>
  <si>
    <t>TXAV52.0AG</t>
  </si>
  <si>
    <t>TXAV54.0AG</t>
  </si>
  <si>
    <t>TXAV54.0JU</t>
  </si>
  <si>
    <t>TXAV54807F</t>
  </si>
  <si>
    <t>TXAV550.FE</t>
  </si>
  <si>
    <t>TXAV56.0AG</t>
  </si>
  <si>
    <t>TXAV58.0OC</t>
  </si>
  <si>
    <t>TXAV59807F</t>
  </si>
  <si>
    <t>TXAV60.0AG</t>
  </si>
  <si>
    <t>TXAV600.AB</t>
  </si>
  <si>
    <t>TXAV600.FE</t>
  </si>
  <si>
    <t>TXAV600.JU</t>
  </si>
  <si>
    <t>TXAV600.MA</t>
  </si>
  <si>
    <t>TXAV64.0OC</t>
  </si>
  <si>
    <t>TXAV64807F</t>
  </si>
  <si>
    <t>TXAV650.AB</t>
  </si>
  <si>
    <t>TXAV650.FE</t>
  </si>
  <si>
    <t>TXAV650.JU</t>
  </si>
  <si>
    <t>TXAV650.MA</t>
  </si>
  <si>
    <t>TXAV66.0AG</t>
  </si>
  <si>
    <t>TXAV66.0OC</t>
  </si>
  <si>
    <t>TXAV68.0AG</t>
  </si>
  <si>
    <t>TXAV68.0OC</t>
  </si>
  <si>
    <t>TXAV69807F</t>
  </si>
  <si>
    <t>TXAV70.0AG</t>
  </si>
  <si>
    <t>TXAV70.0OC</t>
  </si>
  <si>
    <t>TXAV700.AB</t>
  </si>
  <si>
    <t>TXAV700.FE</t>
  </si>
  <si>
    <t>TXAV700.JU</t>
  </si>
  <si>
    <t>TXAV700.MA</t>
  </si>
  <si>
    <t>TXAV72.0AG</t>
  </si>
  <si>
    <t>TXAV72.0OC</t>
  </si>
  <si>
    <t>TXAV74.0AG</t>
  </si>
  <si>
    <t>TXAV74.0OC</t>
  </si>
  <si>
    <t>TXAV74807A</t>
  </si>
  <si>
    <t>TXAV74807F</t>
  </si>
  <si>
    <t>TXAV750.AB</t>
  </si>
  <si>
    <t>TXAV750.FE</t>
  </si>
  <si>
    <t>TXAV750.JU</t>
  </si>
  <si>
    <t>TXAV750.MA</t>
  </si>
  <si>
    <t>TXAV76.0AG</t>
  </si>
  <si>
    <t>TXAV76.0OC</t>
  </si>
  <si>
    <t>TXAV78.0AG</t>
  </si>
  <si>
    <t>TXAV78.0OC</t>
  </si>
  <si>
    <t>TXAV79807F</t>
  </si>
  <si>
    <t>TXAV80.0AG</t>
  </si>
  <si>
    <t>TXAV80.0OC</t>
  </si>
  <si>
    <t>TXAV800.AB</t>
  </si>
  <si>
    <t>TXAV800.FE</t>
  </si>
  <si>
    <t>TXAV800.JU</t>
  </si>
  <si>
    <t>TXAV800.MA</t>
  </si>
  <si>
    <t>TXAV82.0AG</t>
  </si>
  <si>
    <t>TXAV82.0OC</t>
  </si>
  <si>
    <t>TXAV84.0AG</t>
  </si>
  <si>
    <t>TXAV84.0OC</t>
  </si>
  <si>
    <t>TXAV84807F</t>
  </si>
  <si>
    <t>TXAV850.AB</t>
  </si>
  <si>
    <t>TXAV850.FE</t>
  </si>
  <si>
    <t>TXAV850.JU</t>
  </si>
  <si>
    <t>TXAV850.MA</t>
  </si>
  <si>
    <t>TXAV86.0AG</t>
  </si>
  <si>
    <t>TXAV86.0OC</t>
  </si>
  <si>
    <t>TXAV88.0AG</t>
  </si>
  <si>
    <t>TXAV88.0OC</t>
  </si>
  <si>
    <t>TXAV90.0AG</t>
  </si>
  <si>
    <t>TXAV90.0OC</t>
  </si>
  <si>
    <t>TXAV900.AB</t>
  </si>
  <si>
    <t>TXAV900.FE</t>
  </si>
  <si>
    <t>TXAV900.JU</t>
  </si>
  <si>
    <t>TXAV900.MA</t>
  </si>
  <si>
    <t>TXAV92.0OC</t>
  </si>
  <si>
    <t>TXAV950.AB</t>
  </si>
  <si>
    <t>TXAV950.FE</t>
  </si>
  <si>
    <t>TXAV950.JU</t>
  </si>
  <si>
    <t>TXAV950.MA</t>
  </si>
  <si>
    <t>TXAV98.0OC</t>
  </si>
  <si>
    <t>TXRC10000A</t>
  </si>
  <si>
    <t>TXRC10000F</t>
  </si>
  <si>
    <t>TXRC10000J</t>
  </si>
  <si>
    <t>TXRC10000M</t>
  </si>
  <si>
    <t>TXRC12000A</t>
  </si>
  <si>
    <t>TXRC12000F</t>
  </si>
  <si>
    <t>TXRC12000J</t>
  </si>
  <si>
    <t>TXRC12000M</t>
  </si>
  <si>
    <t>TXRC4000AB</t>
  </si>
  <si>
    <t>TXRC4000FE</t>
  </si>
  <si>
    <t>TXRC4000JU</t>
  </si>
  <si>
    <t>TXRC4000MA</t>
  </si>
  <si>
    <t>TXRC6000AB</t>
  </si>
  <si>
    <t>TXRC6000FE</t>
  </si>
  <si>
    <t>TXRC6000JU</t>
  </si>
  <si>
    <t>TXRC6000MA</t>
  </si>
  <si>
    <t>TXRC8000AB</t>
  </si>
  <si>
    <t>TXRC8000FE</t>
  </si>
  <si>
    <t>TXRC8000JU</t>
  </si>
  <si>
    <t>TXRC8000MA</t>
  </si>
  <si>
    <t>UA0C38.0SE</t>
  </si>
  <si>
    <t>UA0C60.0FE</t>
  </si>
  <si>
    <t>UA0C60.0MA</t>
  </si>
  <si>
    <t>UA0C61.0FE</t>
  </si>
  <si>
    <t>UA0C61.0MA</t>
  </si>
  <si>
    <t>UA0C62.0FE</t>
  </si>
  <si>
    <t>UA0C62.0MA</t>
  </si>
  <si>
    <t>UA0C63.0FE</t>
  </si>
  <si>
    <t>UA0C63.0MA</t>
  </si>
  <si>
    <t>UA0C64.0FE</t>
  </si>
  <si>
    <t>UA0C64.0MA</t>
  </si>
  <si>
    <t>UA0C65.0FE</t>
  </si>
  <si>
    <t>UA0C65.0MA</t>
  </si>
  <si>
    <t>UA0C66.0FE</t>
  </si>
  <si>
    <t>UA0C66.0MA</t>
  </si>
  <si>
    <t>UA0V60.0FE</t>
  </si>
  <si>
    <t>UA0V60.0MA</t>
  </si>
  <si>
    <t>UA0V61.0FE</t>
  </si>
  <si>
    <t>UA0V61.0MA</t>
  </si>
  <si>
    <t>UA0V62.0FE</t>
  </si>
  <si>
    <t>UA0V62.0MA</t>
  </si>
  <si>
    <t>UA0V63.0FE</t>
  </si>
  <si>
    <t>UA0V63.0MA</t>
  </si>
  <si>
    <t>UA0V64.0FE</t>
  </si>
  <si>
    <t>UA0V64.0MA</t>
  </si>
  <si>
    <t>UA0V65.0FE</t>
  </si>
  <si>
    <t>UA0V65.0MA</t>
  </si>
  <si>
    <t>UA0V66.0FE</t>
  </si>
  <si>
    <t>UA0V66.0MA</t>
  </si>
  <si>
    <t>UA5C52.0FE</t>
  </si>
  <si>
    <t>UA5C52.0MA</t>
  </si>
  <si>
    <t>UA5C54.0FE</t>
  </si>
  <si>
    <t>UA5C54.0MA</t>
  </si>
  <si>
    <t>UA5C55.0FE</t>
  </si>
  <si>
    <t>UA5C55.0MA</t>
  </si>
  <si>
    <t>UA5C56.0FE</t>
  </si>
  <si>
    <t>UA5C56.0MA</t>
  </si>
  <si>
    <t>UA5C57.0FE</t>
  </si>
  <si>
    <t>UA5C57.0MA</t>
  </si>
  <si>
    <t>UA5V52.0FE</t>
  </si>
  <si>
    <t>UA5V52.0MA</t>
  </si>
  <si>
    <t>UA5V54.0FE</t>
  </si>
  <si>
    <t>UA5V54.0MA</t>
  </si>
  <si>
    <t>UA5V55.0FE</t>
  </si>
  <si>
    <t>UA5V55.0MA</t>
  </si>
  <si>
    <t>UA5V56.0FE</t>
  </si>
  <si>
    <t>UA5V56.0MA</t>
  </si>
  <si>
    <t>UA5V57.0FE</t>
  </si>
  <si>
    <t>UA5V57.0MA</t>
  </si>
  <si>
    <t>UA8C53.0FE</t>
  </si>
  <si>
    <t>UA8C53.0MA</t>
  </si>
  <si>
    <t>UA8C54.0FE</t>
  </si>
  <si>
    <t>UA8C54.0MA</t>
  </si>
  <si>
    <t>UA8C55.0FE</t>
  </si>
  <si>
    <t>UA8C55.0MA</t>
  </si>
  <si>
    <t>UA8C56.0FE</t>
  </si>
  <si>
    <t>UA8C56.0MA</t>
  </si>
  <si>
    <t>UA8V53.0FE</t>
  </si>
  <si>
    <t>UA8V53.0MA</t>
  </si>
  <si>
    <t>UA8V54.0FE</t>
  </si>
  <si>
    <t>UA8V54.0MA</t>
  </si>
  <si>
    <t>UA8V55.0FE</t>
  </si>
  <si>
    <t>UA8V55.0MA</t>
  </si>
  <si>
    <t>UA8V56.0FE</t>
  </si>
  <si>
    <t>UA8V56.0MA</t>
  </si>
  <si>
    <t>UG0C55.0FE</t>
  </si>
  <si>
    <t>UG0C55.0MA</t>
  </si>
  <si>
    <t>UG0C56.0FE</t>
  </si>
  <si>
    <t>UG0C56.0MA</t>
  </si>
  <si>
    <t>UG0C57.0FE</t>
  </si>
  <si>
    <t>UG0C57.0MA</t>
  </si>
  <si>
    <t>UG0C58.0FE</t>
  </si>
  <si>
    <t>UG0C58.0MA</t>
  </si>
  <si>
    <t>UG0C59.0FE</t>
  </si>
  <si>
    <t>UG0C59.0MA</t>
  </si>
  <si>
    <t>UG0V55.0FE</t>
  </si>
  <si>
    <t>UG0V55.0MA</t>
  </si>
  <si>
    <t>UG0V56.0FE</t>
  </si>
  <si>
    <t>UG0V56.0MA</t>
  </si>
  <si>
    <t>UG0V57.0FE</t>
  </si>
  <si>
    <t>UG0V57.0MA</t>
  </si>
  <si>
    <t>UG0V58.0FE</t>
  </si>
  <si>
    <t>UG0V58.0MA</t>
  </si>
  <si>
    <t>UG0V59.0FE</t>
  </si>
  <si>
    <t>UG0V59.0MA</t>
  </si>
  <si>
    <t>VALC4500AB</t>
  </si>
  <si>
    <t>VALC4500FE</t>
  </si>
  <si>
    <t>VALC5500AB</t>
  </si>
  <si>
    <t>VALC5500FE</t>
  </si>
  <si>
    <t>VALC6000AB</t>
  </si>
  <si>
    <t>VALC6000FE</t>
  </si>
  <si>
    <t>VALC6500AB</t>
  </si>
  <si>
    <t>VALC6500FE</t>
  </si>
  <si>
    <t>VSTC20000A</t>
  </si>
  <si>
    <t>VSTC20000F</t>
  </si>
  <si>
    <t>VSTC20000J</t>
  </si>
  <si>
    <t>VSTC20000M</t>
  </si>
  <si>
    <t>VSTC22000A</t>
  </si>
  <si>
    <t>VSTC22000F</t>
  </si>
  <si>
    <t>VSTC22000J</t>
  </si>
  <si>
    <t>VSTC22000M</t>
  </si>
  <si>
    <t>VSTC24000A</t>
  </si>
  <si>
    <t>VSTC24000F</t>
  </si>
  <si>
    <t>VSTC24000J</t>
  </si>
  <si>
    <t>VSTC24000M</t>
  </si>
  <si>
    <t>VSTC26000A</t>
  </si>
  <si>
    <t>VSTC26000F</t>
  </si>
  <si>
    <t>VSTC26000J</t>
  </si>
  <si>
    <t>VSTC26000M</t>
  </si>
  <si>
    <t>VSTC28000A</t>
  </si>
  <si>
    <t>VSTC28000F</t>
  </si>
  <si>
    <t>VSTC28000J</t>
  </si>
  <si>
    <t>VSTC28000M</t>
  </si>
  <si>
    <t>VSTC3600OC</t>
  </si>
  <si>
    <t>VSTC4000AG</t>
  </si>
  <si>
    <t>VSTC4200AG</t>
  </si>
  <si>
    <t>VSTC4200OC</t>
  </si>
  <si>
    <t>XA0C53.0FE</t>
  </si>
  <si>
    <t>EXT</t>
  </si>
  <si>
    <t>XA0C53.0MA</t>
  </si>
  <si>
    <t>XA0C54.0FE</t>
  </si>
  <si>
    <t>XA0C54.0MA</t>
  </si>
  <si>
    <t>XA0C55.0FE</t>
  </si>
  <si>
    <t>XA0C55.0MA</t>
  </si>
  <si>
    <t>XA0C56.0FE</t>
  </si>
  <si>
    <t>XA0C56.0MA</t>
  </si>
  <si>
    <t>XA0V53.0FE</t>
  </si>
  <si>
    <t>XA0V53.0MA</t>
  </si>
  <si>
    <t>XA0V54.0FE</t>
  </si>
  <si>
    <t>XA0V54.0MA</t>
  </si>
  <si>
    <t>XA0V55.0FE</t>
  </si>
  <si>
    <t>XA0V55.0MA</t>
  </si>
  <si>
    <t>XA0V56.0FE</t>
  </si>
  <si>
    <t>XA0V56.0MA</t>
  </si>
  <si>
    <t>XA5C54.0FE</t>
  </si>
  <si>
    <t>XA5C54.0MA</t>
  </si>
  <si>
    <t>XA5C56.0FE</t>
  </si>
  <si>
    <t>XA5C56.0MA</t>
  </si>
  <si>
    <t>XA5C58.0FE</t>
  </si>
  <si>
    <t>XA5C58.0MA</t>
  </si>
  <si>
    <t>XA5V54.0FE</t>
  </si>
  <si>
    <t>XA5V54.0MA</t>
  </si>
  <si>
    <t>XA5V56.0FE</t>
  </si>
  <si>
    <t>XA5V56.0MA</t>
  </si>
  <si>
    <t>XA5V58.0FE</t>
  </si>
  <si>
    <t>XA5V58.0MA</t>
  </si>
  <si>
    <t>XA8C54.0FE</t>
  </si>
  <si>
    <t>XA8C54.0MA</t>
  </si>
  <si>
    <t>XA8C56.0FE</t>
  </si>
  <si>
    <t>XA8C56.0MA</t>
  </si>
  <si>
    <t>XA8C58.0FE</t>
  </si>
  <si>
    <t>XA8C58.0MA</t>
  </si>
  <si>
    <t>XA8V54.0FE</t>
  </si>
  <si>
    <t>XA8V54.0MA</t>
  </si>
  <si>
    <t>XA8V56.0FE</t>
  </si>
  <si>
    <t>XA8V56.0MA</t>
  </si>
  <si>
    <t>XA8V58.0FE</t>
  </si>
  <si>
    <t>XA8V58.0MA</t>
  </si>
  <si>
    <t>XG0C54.0FE</t>
  </si>
  <si>
    <t>XG0C54.0MA</t>
  </si>
  <si>
    <t>XG0C56.0FE</t>
  </si>
  <si>
    <t>XG0C56.0MA</t>
  </si>
  <si>
    <t>XG0C58.0FE</t>
  </si>
  <si>
    <t>XG0C58.0MA</t>
  </si>
  <si>
    <t>XG0C60.0FE</t>
  </si>
  <si>
    <t>XG0C60.0MA</t>
  </si>
  <si>
    <t>XG0V54.0FE</t>
  </si>
  <si>
    <t>XG0V54.0MA</t>
  </si>
  <si>
    <t>XG0V56.0FE</t>
  </si>
  <si>
    <t>XG0V56.0MA</t>
  </si>
  <si>
    <t>XG0V58.0FE</t>
  </si>
  <si>
    <t>XG0V58.0MA</t>
  </si>
  <si>
    <t>XG0V60.0FE</t>
  </si>
  <si>
    <t>XG0V60.0MA</t>
  </si>
  <si>
    <t>YPFC24000A</t>
  </si>
  <si>
    <t>YPFC24000F</t>
  </si>
  <si>
    <t>YPFC25500A</t>
  </si>
  <si>
    <t>YPFC25500F</t>
  </si>
  <si>
    <t>YPFC27000F</t>
  </si>
  <si>
    <t>YPFC28500F</t>
  </si>
  <si>
    <t>YPFC30000F</t>
  </si>
  <si>
    <t>YPFC31500F</t>
  </si>
  <si>
    <t>YPFC33000F</t>
  </si>
  <si>
    <t>YPFC34500F</t>
  </si>
  <si>
    <t>YPFC36000F</t>
  </si>
  <si>
    <t>YPFC37500F</t>
  </si>
  <si>
    <t>YPFC400.AB</t>
  </si>
  <si>
    <t>YPFC400.JU</t>
  </si>
  <si>
    <t>YPFC40500A</t>
  </si>
  <si>
    <t>YPFC40500F</t>
  </si>
  <si>
    <t>YPFC40500J</t>
  </si>
  <si>
    <t>YPFC40500M</t>
  </si>
  <si>
    <t>YPFC43000A</t>
  </si>
  <si>
    <t>YPFC43000F</t>
  </si>
  <si>
    <t>YPFC43000J</t>
  </si>
  <si>
    <t>YPFC43000M</t>
  </si>
  <si>
    <t>YPFC440.AB</t>
  </si>
  <si>
    <t>YPFC440.JU</t>
  </si>
  <si>
    <t>YPFC44500A</t>
  </si>
  <si>
    <t>YPFC44500F</t>
  </si>
  <si>
    <t>YPFC44500J</t>
  </si>
  <si>
    <t>YPFC44500M</t>
  </si>
  <si>
    <t>YPFC46000A</t>
  </si>
  <si>
    <t>YPFC46000F</t>
  </si>
  <si>
    <t>YPFC46000J</t>
  </si>
  <si>
    <t>YPFC46000M</t>
  </si>
  <si>
    <t>YPFC47500A</t>
  </si>
  <si>
    <t>YPFC47500F</t>
  </si>
  <si>
    <t>YPFC47500J</t>
  </si>
  <si>
    <t>YPFC47500M</t>
  </si>
  <si>
    <t>YPFC49000A</t>
  </si>
  <si>
    <t>YPFC49000F</t>
  </si>
  <si>
    <t>YPFC49000J</t>
  </si>
  <si>
    <t>YPFC49000M</t>
  </si>
  <si>
    <t>YPFC500.AB</t>
  </si>
  <si>
    <t>YPFC500.AG</t>
  </si>
  <si>
    <t>YPFC500.JU</t>
  </si>
  <si>
    <t>YPFC500.OC</t>
  </si>
  <si>
    <t>YPFC52000A</t>
  </si>
  <si>
    <t>YPFC52000F</t>
  </si>
  <si>
    <t>YPFC52000J</t>
  </si>
  <si>
    <t>YPFC52000M</t>
  </si>
  <si>
    <t>YPFC55000A</t>
  </si>
  <si>
    <t>YPFC55000F</t>
  </si>
  <si>
    <t>YPFC55000J</t>
  </si>
  <si>
    <t>YPFC55000M</t>
  </si>
  <si>
    <t>YPFC580.AG</t>
  </si>
  <si>
    <t>YPFC580.JU</t>
  </si>
  <si>
    <t>YPFC580.OC</t>
  </si>
  <si>
    <t>YPFC58000A</t>
  </si>
  <si>
    <t>YPFC58000F</t>
  </si>
  <si>
    <t>YPFC58000J</t>
  </si>
  <si>
    <t>YPFC58000M</t>
  </si>
  <si>
    <t>YPFC600.AB</t>
  </si>
  <si>
    <t>YPFC600.AG</t>
  </si>
  <si>
    <t>YPFC600.JU</t>
  </si>
  <si>
    <t>YPFC600.OC</t>
  </si>
  <si>
    <t>YPFC61000A</t>
  </si>
  <si>
    <t>YPFC61000F</t>
  </si>
  <si>
    <t>YPFC61000J</t>
  </si>
  <si>
    <t>YPFC61000M</t>
  </si>
  <si>
    <t>YPFC620.AG</t>
  </si>
  <si>
    <t>YPFC620.JU</t>
  </si>
  <si>
    <t>YPFC620.OC</t>
  </si>
  <si>
    <t>YPFC640.AB</t>
  </si>
  <si>
    <t>YPFC640.AG</t>
  </si>
  <si>
    <t>YPFC640.JU</t>
  </si>
  <si>
    <t>YPFC640.OC</t>
  </si>
  <si>
    <t>YPFC64000A</t>
  </si>
  <si>
    <t>YPFC64000F</t>
  </si>
  <si>
    <t>YPFC64000J</t>
  </si>
  <si>
    <t>YPFC64000M</t>
  </si>
  <si>
    <t>YPFC660.AB</t>
  </si>
  <si>
    <t>YPFC660.AG</t>
  </si>
  <si>
    <t>YPFC660.OC</t>
  </si>
  <si>
    <t>YPFC67000A</t>
  </si>
  <si>
    <t>YPFC67000F</t>
  </si>
  <si>
    <t>YPFC67000J</t>
  </si>
  <si>
    <t>YPFC67000M</t>
  </si>
  <si>
    <t>YPFC680.AB</t>
  </si>
  <si>
    <t>YPFC680.AG</t>
  </si>
  <si>
    <t>YPFC680.JU</t>
  </si>
  <si>
    <t>YPFC680.OC</t>
  </si>
  <si>
    <t>YPFC70000A</t>
  </si>
  <si>
    <t>YPFC70000F</t>
  </si>
  <si>
    <t>YPFC70000J</t>
  </si>
  <si>
    <t>YPFC70000M</t>
  </si>
  <si>
    <t>YPFC73000A</t>
  </si>
  <si>
    <t>YPFC73000F</t>
  </si>
  <si>
    <t>YPFC73000J</t>
  </si>
  <si>
    <t>YPFC73000M</t>
  </si>
  <si>
    <t>YPFC76000A</t>
  </si>
  <si>
    <t>YPFC76000F</t>
  </si>
  <si>
    <t>YPFC76000J</t>
  </si>
  <si>
    <t>YPFC76000M</t>
  </si>
  <si>
    <t>YPFC79000A</t>
  </si>
  <si>
    <t>YPFC79000F</t>
  </si>
  <si>
    <t>YPFC79000J</t>
  </si>
  <si>
    <t>YPFC79000M</t>
  </si>
  <si>
    <t>YPFC82000A</t>
  </si>
  <si>
    <t>YPFC82000F</t>
  </si>
  <si>
    <t>YPFC82000J</t>
  </si>
  <si>
    <t>YPFC82000M</t>
  </si>
  <si>
    <t>YPFC85000A</t>
  </si>
  <si>
    <t>YPFC85000F</t>
  </si>
  <si>
    <t>YPFC85000J</t>
  </si>
  <si>
    <t>YPFC85000M</t>
  </si>
  <si>
    <t>YPFV24000A</t>
  </si>
  <si>
    <t>YPFV24000F</t>
  </si>
  <si>
    <t>YPFV25500A</t>
  </si>
  <si>
    <t>YPFV25500F</t>
  </si>
  <si>
    <t>YPFV27000F</t>
  </si>
  <si>
    <t>YPFV28500F</t>
  </si>
  <si>
    <t>YPFV30000F</t>
  </si>
  <si>
    <t>YPFV31500F</t>
  </si>
  <si>
    <t>YPFV33000F</t>
  </si>
  <si>
    <t>YPFV34500F</t>
  </si>
  <si>
    <t>YPFV36000F</t>
  </si>
  <si>
    <t>YPFV37500F</t>
  </si>
  <si>
    <t>YPFV400.AB</t>
  </si>
  <si>
    <t>YPFV400.JU</t>
  </si>
  <si>
    <t>YPFV40500A</t>
  </si>
  <si>
    <t>YPFV40500F</t>
  </si>
  <si>
    <t>YPFV40500J</t>
  </si>
  <si>
    <t>YPFV40500M</t>
  </si>
  <si>
    <t>YPFV43000A</t>
  </si>
  <si>
    <t>YPFV43000F</t>
  </si>
  <si>
    <t>YPFV43000J</t>
  </si>
  <si>
    <t>YPFV43000M</t>
  </si>
  <si>
    <t>YPFV440.AB</t>
  </si>
  <si>
    <t>YPFV440.AG</t>
  </si>
  <si>
    <t>YPFV440.JU</t>
  </si>
  <si>
    <t>YPFV44500A</t>
  </si>
  <si>
    <t>YPFV44500F</t>
  </si>
  <si>
    <t>YPFV44500J</t>
  </si>
  <si>
    <t>YPFV44500M</t>
  </si>
  <si>
    <t>YPFV46000A</t>
  </si>
  <si>
    <t>YPFV46000F</t>
  </si>
  <si>
    <t>YPFV46000J</t>
  </si>
  <si>
    <t>YPFV46000M</t>
  </si>
  <si>
    <t>YPFV47500A</t>
  </si>
  <si>
    <t>YPFV47500F</t>
  </si>
  <si>
    <t>YPFV47500J</t>
  </si>
  <si>
    <t>YPFV47500M</t>
  </si>
  <si>
    <t>YPFV49000A</t>
  </si>
  <si>
    <t>YPFV49000F</t>
  </si>
  <si>
    <t>YPFV49000J</t>
  </si>
  <si>
    <t>YPFV49000M</t>
  </si>
  <si>
    <t>YPFV500.AB</t>
  </si>
  <si>
    <t>YPFV500.AG</t>
  </si>
  <si>
    <t>YPFV500.JU</t>
  </si>
  <si>
    <t>YPFV500.OC</t>
  </si>
  <si>
    <t>YPFV52000A</t>
  </si>
  <si>
    <t>YPFV52000F</t>
  </si>
  <si>
    <t>YPFV52000J</t>
  </si>
  <si>
    <t>YPFV52000M</t>
  </si>
  <si>
    <t>YPFV55000A</t>
  </si>
  <si>
    <t>YPFV55000F</t>
  </si>
  <si>
    <t>YPFV55000J</t>
  </si>
  <si>
    <t>YPFV55000M</t>
  </si>
  <si>
    <t>YPFV580.AB</t>
  </si>
  <si>
    <t>YPFV580.AG</t>
  </si>
  <si>
    <t>YPFV580.JU</t>
  </si>
  <si>
    <t>YPFV580.OC</t>
  </si>
  <si>
    <t>YPFV58000A</t>
  </si>
  <si>
    <t>YPFV58000F</t>
  </si>
  <si>
    <t>YPFV58000J</t>
  </si>
  <si>
    <t>YPFV58000M</t>
  </si>
  <si>
    <t>YPFV600.AB</t>
  </si>
  <si>
    <t>YPFV600.AG</t>
  </si>
  <si>
    <t>YPFV600.JU</t>
  </si>
  <si>
    <t>YPFV600.OC</t>
  </si>
  <si>
    <t>YPFV61000A</t>
  </si>
  <si>
    <t>YPFV61000F</t>
  </si>
  <si>
    <t>YPFV61000J</t>
  </si>
  <si>
    <t>YPFV61000M</t>
  </si>
  <si>
    <t>YPFV620.AG</t>
  </si>
  <si>
    <t>YPFV620.OC</t>
  </si>
  <si>
    <t>YPFV640.AB</t>
  </si>
  <si>
    <t>YPFV640.AG</t>
  </si>
  <si>
    <t>YPFV640.JU</t>
  </si>
  <si>
    <t>YPFV640.OC</t>
  </si>
  <si>
    <t>YPFV64000A</t>
  </si>
  <si>
    <t>YPFV64000F</t>
  </si>
  <si>
    <t>YPFV64000J</t>
  </si>
  <si>
    <t>YPFV64000M</t>
  </si>
  <si>
    <t>YPFV660.AG</t>
  </si>
  <si>
    <t>YPFV660.JU</t>
  </si>
  <si>
    <t>YPFV660.OC</t>
  </si>
  <si>
    <t>YPFV67000A</t>
  </si>
  <si>
    <t>YPFV67000F</t>
  </si>
  <si>
    <t>YPFV67000J</t>
  </si>
  <si>
    <t>YPFV67000M</t>
  </si>
  <si>
    <t>YPFV680.AB</t>
  </si>
  <si>
    <t>YPFV680.AG</t>
  </si>
  <si>
    <t>YPFV680.JU</t>
  </si>
  <si>
    <t>YPFV680.OC</t>
  </si>
  <si>
    <t>YPFV70000A</t>
  </si>
  <si>
    <t>YPFV70000F</t>
  </si>
  <si>
    <t>YPFV70000J</t>
  </si>
  <si>
    <t>YPFV70000M</t>
  </si>
  <si>
    <t>YPFV73000A</t>
  </si>
  <si>
    <t>YPFV73000F</t>
  </si>
  <si>
    <t>YPFV73000J</t>
  </si>
  <si>
    <t>YPFV73000M</t>
  </si>
  <si>
    <t>YPFV76000A</t>
  </si>
  <si>
    <t>YPFV76000F</t>
  </si>
  <si>
    <t>YPFV76000J</t>
  </si>
  <si>
    <t>YPFV76000M</t>
  </si>
  <si>
    <t>YPFV79000A</t>
  </si>
  <si>
    <t>YPFV79000F</t>
  </si>
  <si>
    <t>YPFV79000J</t>
  </si>
  <si>
    <t>YPFV79000M</t>
  </si>
  <si>
    <t>YPFV82000A</t>
  </si>
  <si>
    <t>YPFV82000F</t>
  </si>
  <si>
    <t>YPFV82000J</t>
  </si>
  <si>
    <t>YPFV82000M</t>
  </si>
  <si>
    <t>YPFV85000A</t>
  </si>
  <si>
    <t>YPFV85000F</t>
  </si>
  <si>
    <t>YPFV85000J</t>
  </si>
  <si>
    <t>YPFV85000M</t>
  </si>
  <si>
    <t>DOLAR-1103-U-CT-USD</t>
  </si>
  <si>
    <t>DOLAR-1203-U-CT-USD</t>
  </si>
  <si>
    <t>Bid Volume</t>
  </si>
  <si>
    <t>Trimestral</t>
  </si>
  <si>
    <t>Sinkable</t>
  </si>
  <si>
    <t>Bullet</t>
  </si>
  <si>
    <t>Semestral</t>
  </si>
  <si>
    <t>CEDEARs</t>
  </si>
  <si>
    <t>AL30D</t>
  </si>
  <si>
    <t>AL29D</t>
  </si>
  <si>
    <t>AL35D</t>
  </si>
  <si>
    <t>AL41D</t>
  </si>
  <si>
    <t>AE38D</t>
  </si>
  <si>
    <t>GD29D</t>
  </si>
  <si>
    <t>GD30D</t>
  </si>
  <si>
    <t>GD38D</t>
  </si>
  <si>
    <t>GD41D</t>
  </si>
  <si>
    <t>GD35D</t>
  </si>
  <si>
    <t>Soberanos HD</t>
  </si>
  <si>
    <t>AL30/GD30</t>
  </si>
  <si>
    <t>AL29/GD29</t>
  </si>
  <si>
    <t>AL35/GD35</t>
  </si>
  <si>
    <t>AE38/GD38</t>
  </si>
  <si>
    <t>AL41/GD41</t>
  </si>
  <si>
    <t>Spread</t>
  </si>
  <si>
    <t>Delta</t>
  </si>
  <si>
    <t>T13F6</t>
  </si>
  <si>
    <t>S27F6</t>
  </si>
  <si>
    <t>S16M6</t>
  </si>
  <si>
    <t>S17A6</t>
  </si>
  <si>
    <t>S30A6</t>
  </si>
  <si>
    <t>S29Y6</t>
  </si>
  <si>
    <t>T30J6</t>
  </si>
  <si>
    <t>S31L6</t>
  </si>
  <si>
    <t>S31G6</t>
  </si>
  <si>
    <t>S30O6</t>
  </si>
  <si>
    <t>S30N6</t>
  </si>
  <si>
    <t>T15E7</t>
  </si>
  <si>
    <t>T30A7</t>
  </si>
  <si>
    <t>T31Y7</t>
  </si>
  <si>
    <t>T30J7</t>
  </si>
  <si>
    <t>TY30P</t>
  </si>
  <si>
    <t>DOLAR-0506-U-CT-USD</t>
  </si>
  <si>
    <t>2026-06-05</t>
  </si>
  <si>
    <t>PESOS-0506-U-CT-ARS</t>
  </si>
  <si>
    <t>https://www.bcra.gob.ar/plazos-fijos-online/</t>
  </si>
  <si>
    <t>A30C80000F</t>
  </si>
  <si>
    <t>A30C80000M</t>
  </si>
  <si>
    <t>A30C82000A</t>
  </si>
  <si>
    <t>A30C82000F</t>
  </si>
  <si>
    <t>A30C82000M</t>
  </si>
  <si>
    <t>A30C84000A</t>
  </si>
  <si>
    <t>A30C84000F</t>
  </si>
  <si>
    <t>A30C84000M</t>
  </si>
  <si>
    <t>A30C86000A</t>
  </si>
  <si>
    <t>A30C86000F</t>
  </si>
  <si>
    <t>A30C86000M</t>
  </si>
  <si>
    <t>A30C88000A</t>
  </si>
  <si>
    <t>A30C88000F</t>
  </si>
  <si>
    <t>A30C88000M</t>
  </si>
  <si>
    <t>A30V80000A</t>
  </si>
  <si>
    <t>A30V80000F</t>
  </si>
  <si>
    <t>A30V80000M</t>
  </si>
  <si>
    <t>A30V82000A</t>
  </si>
  <si>
    <t>A30V82000F</t>
  </si>
  <si>
    <t>A30V82000M</t>
  </si>
  <si>
    <t>A30V84000A</t>
  </si>
  <si>
    <t>A30V84000F</t>
  </si>
  <si>
    <t>A30V84000M</t>
  </si>
  <si>
    <t>A30V86000A</t>
  </si>
  <si>
    <t>A30V86000F</t>
  </si>
  <si>
    <t>A30V86000M</t>
  </si>
  <si>
    <t>A30V88000A</t>
  </si>
  <si>
    <t>A30V88000F</t>
  </si>
  <si>
    <t>A30V88000M</t>
  </si>
  <si>
    <t>ALUC1000JU</t>
  </si>
  <si>
    <t>ALUC1000MA</t>
  </si>
  <si>
    <t>ALUC1050MA</t>
  </si>
  <si>
    <t>ALUC1100MA</t>
  </si>
  <si>
    <t>ALUC1150MA</t>
  </si>
  <si>
    <t>ALUC1200MA</t>
  </si>
  <si>
    <t>ALUC1250MA</t>
  </si>
  <si>
    <t>ALUC1300MA</t>
  </si>
  <si>
    <t>ALUC1350MA</t>
  </si>
  <si>
    <t>ALUC800.MA</t>
  </si>
  <si>
    <t>ALUC850.JU</t>
  </si>
  <si>
    <t>ALUC850.MA</t>
  </si>
  <si>
    <t>ALUC900.JU</t>
  </si>
  <si>
    <t>ALUC900.MA</t>
  </si>
  <si>
    <t>ALUC950.JU</t>
  </si>
  <si>
    <t>ALUV1000MA</t>
  </si>
  <si>
    <t>ALUV1050MA</t>
  </si>
  <si>
    <t>ALUV1100MA</t>
  </si>
  <si>
    <t>ALUV1150JU</t>
  </si>
  <si>
    <t>ALUV1150MA</t>
  </si>
  <si>
    <t>ALUV1200JU</t>
  </si>
  <si>
    <t>ALUV1200MA</t>
  </si>
  <si>
    <t>ALUV1250JU</t>
  </si>
  <si>
    <t>ALUV1250MA</t>
  </si>
  <si>
    <t>ALUV1300JU</t>
  </si>
  <si>
    <t>ALUV1300MA</t>
  </si>
  <si>
    <t>ALUV1350JU</t>
  </si>
  <si>
    <t>ALUV1350MA</t>
  </si>
  <si>
    <t>ALUV800.MA</t>
  </si>
  <si>
    <t>ALUV850.MA</t>
  </si>
  <si>
    <t>ALUV900.MA</t>
  </si>
  <si>
    <t>ALUV950.MA</t>
  </si>
  <si>
    <t>AMZC1800AB</t>
  </si>
  <si>
    <t>AMZC1800FE</t>
  </si>
  <si>
    <t>AMZC1800JU</t>
  </si>
  <si>
    <t>AMZC1800MA</t>
  </si>
  <si>
    <t>AMZC1900AB</t>
  </si>
  <si>
    <t>AMZC1900FE</t>
  </si>
  <si>
    <t>AMZC1900JU</t>
  </si>
  <si>
    <t>AMZC1900MA</t>
  </si>
  <si>
    <t>AMZC2000AB</t>
  </si>
  <si>
    <t>AMZC2000FE</t>
  </si>
  <si>
    <t>AMZC2000JU</t>
  </si>
  <si>
    <t>AMZC2000MA</t>
  </si>
  <si>
    <t>AMZC2100AB</t>
  </si>
  <si>
    <t>AMZC2100FE</t>
  </si>
  <si>
    <t>AMZC2100JU</t>
  </si>
  <si>
    <t>AMZC2100MA</t>
  </si>
  <si>
    <t>AMZC2200AB</t>
  </si>
  <si>
    <t>AMZC2200FE</t>
  </si>
  <si>
    <t>AMZC2200JU</t>
  </si>
  <si>
    <t>AMZC2200MA</t>
  </si>
  <si>
    <t>AMZV1800AB</t>
  </si>
  <si>
    <t>AMZV1800FE</t>
  </si>
  <si>
    <t>AMZV1800JU</t>
  </si>
  <si>
    <t>AMZV1800MA</t>
  </si>
  <si>
    <t>AMZV1900AB</t>
  </si>
  <si>
    <t>AMZV1900FE</t>
  </si>
  <si>
    <t>AMZV1900JU</t>
  </si>
  <si>
    <t>AMZV1900MA</t>
  </si>
  <si>
    <t>AMZV2000AB</t>
  </si>
  <si>
    <t>AMZV2000FE</t>
  </si>
  <si>
    <t>AMZV2000JU</t>
  </si>
  <si>
    <t>AMZV2000MA</t>
  </si>
  <si>
    <t>AMZV2100AB</t>
  </si>
  <si>
    <t>AMZV2100FE</t>
  </si>
  <si>
    <t>AMZV2100JU</t>
  </si>
  <si>
    <t>AMZV2100MA</t>
  </si>
  <si>
    <t>AMZV2200AB</t>
  </si>
  <si>
    <t>AMZV2200FE</t>
  </si>
  <si>
    <t>AMZV2200JU</t>
  </si>
  <si>
    <t>AMZV2200MA</t>
  </si>
  <si>
    <t>APLC15000A</t>
  </si>
  <si>
    <t>APLC18000A</t>
  </si>
  <si>
    <t>APLC18000F</t>
  </si>
  <si>
    <t>APLC18000J</t>
  </si>
  <si>
    <t>APLC18000M</t>
  </si>
  <si>
    <t>APLC19000A</t>
  </si>
  <si>
    <t>APLC19000F</t>
  </si>
  <si>
    <t>APLC19000J</t>
  </si>
  <si>
    <t>APLC19000M</t>
  </si>
  <si>
    <t>APLV18000A</t>
  </si>
  <si>
    <t>APLV18000F</t>
  </si>
  <si>
    <t>APLV18000J</t>
  </si>
  <si>
    <t>APLV18000M</t>
  </si>
  <si>
    <t>APLV19000A</t>
  </si>
  <si>
    <t>APLV19000F</t>
  </si>
  <si>
    <t>APLV19000J</t>
  </si>
  <si>
    <t>APLV19000M</t>
  </si>
  <si>
    <t>BACC18000A</t>
  </si>
  <si>
    <t>BACC18000F</t>
  </si>
  <si>
    <t>BACC18000J</t>
  </si>
  <si>
    <t>BACC18000M</t>
  </si>
  <si>
    <t>BBAC6600JU</t>
  </si>
  <si>
    <t>BBAC6600MA</t>
  </si>
  <si>
    <t>BBAC7000AB</t>
  </si>
  <si>
    <t>BBAC7000FE</t>
  </si>
  <si>
    <t>BBAC7000JU</t>
  </si>
  <si>
    <t>BBAC7000MA</t>
  </si>
  <si>
    <t>BBAC7400AB</t>
  </si>
  <si>
    <t>BBAC7400FE</t>
  </si>
  <si>
    <t>BBAC7400JU</t>
  </si>
  <si>
    <t>BBAC7400MA</t>
  </si>
  <si>
    <t>BBAC7800AB</t>
  </si>
  <si>
    <t>BBAC7800FE</t>
  </si>
  <si>
    <t>BBAC7800JU</t>
  </si>
  <si>
    <t>BBAC7800MA</t>
  </si>
  <si>
    <t>BBAC8200AB</t>
  </si>
  <si>
    <t>BBAC8200JU</t>
  </si>
  <si>
    <t>BBAC8200MA</t>
  </si>
  <si>
    <t>BBAC8600AB</t>
  </si>
  <si>
    <t>BBAC8600JU</t>
  </si>
  <si>
    <t>BBAC8600MA</t>
  </si>
  <si>
    <t>BBAC9000JU</t>
  </si>
  <si>
    <t>BBAC9000MA</t>
  </si>
  <si>
    <t>BBAV6600MA</t>
  </si>
  <si>
    <t>BBAV7000MA</t>
  </si>
  <si>
    <t>BBAV7400FE</t>
  </si>
  <si>
    <t>BBAV7400MA</t>
  </si>
  <si>
    <t>BBAV7800MA</t>
  </si>
  <si>
    <t>BBAV8200MA</t>
  </si>
  <si>
    <t>BBAV8600MA</t>
  </si>
  <si>
    <t>BBAV9000MA</t>
  </si>
  <si>
    <t>BHIC320.JU</t>
  </si>
  <si>
    <t>BHIC340.JU</t>
  </si>
  <si>
    <t>BHIC360.JU</t>
  </si>
  <si>
    <t>BHIC380.JU</t>
  </si>
  <si>
    <t>BHIC400.JU</t>
  </si>
  <si>
    <t>BHIC420.FE</t>
  </si>
  <si>
    <t>BHIC420.JU</t>
  </si>
  <si>
    <t>BHIC440.FE</t>
  </si>
  <si>
    <t>BHIC440.JU</t>
  </si>
  <si>
    <t>BHIC460.JU</t>
  </si>
  <si>
    <t>BMAC10000A</t>
  </si>
  <si>
    <t>BMAC10000J</t>
  </si>
  <si>
    <t>BMAC10000M</t>
  </si>
  <si>
    <t>BMAC10400A</t>
  </si>
  <si>
    <t>BMAC10400F</t>
  </si>
  <si>
    <t>BMAC10400J</t>
  </si>
  <si>
    <t>BMAC10400M</t>
  </si>
  <si>
    <t>BMAC10800A</t>
  </si>
  <si>
    <t>BMAC10800F</t>
  </si>
  <si>
    <t>BMAC10800J</t>
  </si>
  <si>
    <t>BMAC10800M</t>
  </si>
  <si>
    <t>BMAC11200A</t>
  </si>
  <si>
    <t>BMAC11200F</t>
  </si>
  <si>
    <t>BMAC11200J</t>
  </si>
  <si>
    <t>BMAC11200M</t>
  </si>
  <si>
    <t>BMAC11600F</t>
  </si>
  <si>
    <t>BMAC11600J</t>
  </si>
  <si>
    <t>BMAC11600M</t>
  </si>
  <si>
    <t>BMAC12000F</t>
  </si>
  <si>
    <t>BMAC12000J</t>
  </si>
  <si>
    <t>BMAC12000M</t>
  </si>
  <si>
    <t>BMAC12400F</t>
  </si>
  <si>
    <t>BMAC12400J</t>
  </si>
  <si>
    <t>BMAC12800J</t>
  </si>
  <si>
    <t>BMAC13200J</t>
  </si>
  <si>
    <t>BMAC13600J</t>
  </si>
  <si>
    <t>BMAC13600M</t>
  </si>
  <si>
    <t>BMAV10000F</t>
  </si>
  <si>
    <t>BMAV10000M</t>
  </si>
  <si>
    <t>BMAV10400F</t>
  </si>
  <si>
    <t>BMAV10400M</t>
  </si>
  <si>
    <t>BMAV10800M</t>
  </si>
  <si>
    <t>BMAV11200F</t>
  </si>
  <si>
    <t>BMAV11200M</t>
  </si>
  <si>
    <t>BMAV11600F</t>
  </si>
  <si>
    <t>BMAV11600M</t>
  </si>
  <si>
    <t>BMAV12000F</t>
  </si>
  <si>
    <t>BMAV12000M</t>
  </si>
  <si>
    <t>BMAV12400F</t>
  </si>
  <si>
    <t>BMAV12400M</t>
  </si>
  <si>
    <t>BMAV13600M</t>
  </si>
  <si>
    <t>BYMC270.JU</t>
  </si>
  <si>
    <t>BYMC310.JU</t>
  </si>
  <si>
    <t>BYMC310.MA</t>
  </si>
  <si>
    <t>BYMC320.MA</t>
  </si>
  <si>
    <t>BYMC330.JU</t>
  </si>
  <si>
    <t>BYMC330.MA</t>
  </si>
  <si>
    <t>BYMC370.FE</t>
  </si>
  <si>
    <t>BYMC390.FE</t>
  </si>
  <si>
    <t>BYMC400.FE</t>
  </si>
  <si>
    <t>BYMC400.MA</t>
  </si>
  <si>
    <t>BYMV310.MA</t>
  </si>
  <si>
    <t>BYMV320.MA</t>
  </si>
  <si>
    <t>BYMV370.AB</t>
  </si>
  <si>
    <t>BYMV370.FE</t>
  </si>
  <si>
    <t>BYMV370.JU</t>
  </si>
  <si>
    <t>BYMV380.AB</t>
  </si>
  <si>
    <t>BYMV380.FE</t>
  </si>
  <si>
    <t>BYMV380.JU</t>
  </si>
  <si>
    <t>BYMV390.FE</t>
  </si>
  <si>
    <t>BYMV390.JU</t>
  </si>
  <si>
    <t>BYMV400.AB</t>
  </si>
  <si>
    <t>BYMV400.FE</t>
  </si>
  <si>
    <t>BYMV400.JU</t>
  </si>
  <si>
    <t>BYMV400.MA</t>
  </si>
  <si>
    <t>CECC260.AB</t>
  </si>
  <si>
    <t>CECC260.FE</t>
  </si>
  <si>
    <t>CECC260.JU</t>
  </si>
  <si>
    <t>CECC280.AB</t>
  </si>
  <si>
    <t>CECC280.FE</t>
  </si>
  <si>
    <t>CECC300.AB</t>
  </si>
  <si>
    <t>CECC300.FE</t>
  </si>
  <si>
    <t>CECC320.AB</t>
  </si>
  <si>
    <t>CECC320.FE</t>
  </si>
  <si>
    <t>CECC340.AB</t>
  </si>
  <si>
    <t>CECC340.JU</t>
  </si>
  <si>
    <t>CECC340.MA</t>
  </si>
  <si>
    <t>CECC360.AB</t>
  </si>
  <si>
    <t>CECC360.JU</t>
  </si>
  <si>
    <t>CECC360.MA</t>
  </si>
  <si>
    <t>CECC380.AB</t>
  </si>
  <si>
    <t>CECC380.JU</t>
  </si>
  <si>
    <t>CECC400.JU</t>
  </si>
  <si>
    <t>CECC420.JU</t>
  </si>
  <si>
    <t>CECC420.MA</t>
  </si>
  <si>
    <t>COMC69.0MA</t>
  </si>
  <si>
    <t>COMC75.0MA</t>
  </si>
  <si>
    <t>COMC78.0MA</t>
  </si>
  <si>
    <t>COMC81.0MA</t>
  </si>
  <si>
    <t>COMC84.0MA</t>
  </si>
  <si>
    <t>COMC87.0MA</t>
  </si>
  <si>
    <t>COMC90.0MA</t>
  </si>
  <si>
    <t>COMV102.AB</t>
  </si>
  <si>
    <t>COMV63.0MA</t>
  </si>
  <si>
    <t>COMV69.0MA</t>
  </si>
  <si>
    <t>COMV75.0MA</t>
  </si>
  <si>
    <t>COMV78.0JU</t>
  </si>
  <si>
    <t>COMV78.0MA</t>
  </si>
  <si>
    <t>COMV81.0JU</t>
  </si>
  <si>
    <t>COMV81.0MA</t>
  </si>
  <si>
    <t>COMV84.0FE</t>
  </si>
  <si>
    <t>COMV84.0JU</t>
  </si>
  <si>
    <t>COMV84.0MA</t>
  </si>
  <si>
    <t>COMV87.0JU</t>
  </si>
  <si>
    <t>COMV87.0MA</t>
  </si>
  <si>
    <t>COMV90.0JU</t>
  </si>
  <si>
    <t>COMV90.0MA</t>
  </si>
  <si>
    <t>CREC1700JU</t>
  </si>
  <si>
    <t>CREC1700MA</t>
  </si>
  <si>
    <t>CREC1800JU</t>
  </si>
  <si>
    <t>CREC1800MA</t>
  </si>
  <si>
    <t>CREV1700MA</t>
  </si>
  <si>
    <t>CREV1800MA</t>
  </si>
  <si>
    <t>EDNC1900AB</t>
  </si>
  <si>
    <t>EDNC1900JU</t>
  </si>
  <si>
    <t>EDNC1900MA</t>
  </si>
  <si>
    <t>EDNC2000JU</t>
  </si>
  <si>
    <t>EDNC2000MA</t>
  </si>
  <si>
    <t>EDNC2100FE</t>
  </si>
  <si>
    <t>EDNC2100JU</t>
  </si>
  <si>
    <t>EDNC2100MA</t>
  </si>
  <si>
    <t>EDNC2300FE</t>
  </si>
  <si>
    <t>EDNC2300MA</t>
  </si>
  <si>
    <t>EDNC2500MA</t>
  </si>
  <si>
    <t>EDNC2700MA</t>
  </si>
  <si>
    <t>EDNC2900MA</t>
  </si>
  <si>
    <t>EDNV1900MA</t>
  </si>
  <si>
    <t>EDNV2000MA</t>
  </si>
  <si>
    <t>EDNV2100MA</t>
  </si>
  <si>
    <t>EDNV2300FE</t>
  </si>
  <si>
    <t>EDNV2300MA</t>
  </si>
  <si>
    <t>EDNV2500MA</t>
  </si>
  <si>
    <t>EDNV2600JU</t>
  </si>
  <si>
    <t>EDNV2700JU</t>
  </si>
  <si>
    <t>EDNV2700MA</t>
  </si>
  <si>
    <t>EDNV2900JU</t>
  </si>
  <si>
    <t>EDNV2900MA</t>
  </si>
  <si>
    <t>GFGC10105F</t>
  </si>
  <si>
    <t>GFGC10151A</t>
  </si>
  <si>
    <t>GFGC10528F</t>
  </si>
  <si>
    <t>GFGC10575J</t>
  </si>
  <si>
    <t>GFGC10600M</t>
  </si>
  <si>
    <t>GFGC10928F</t>
  </si>
  <si>
    <t>GFGC10975A</t>
  </si>
  <si>
    <t>GFGC10975J</t>
  </si>
  <si>
    <t>GFGC11328F</t>
  </si>
  <si>
    <t>GFGC11375A</t>
  </si>
  <si>
    <t>GFGC11375J</t>
  </si>
  <si>
    <t>GFGC11728F</t>
  </si>
  <si>
    <t>GFGC29515F</t>
  </si>
  <si>
    <t>GFGC31831F</t>
  </si>
  <si>
    <t>GFGC40612F</t>
  </si>
  <si>
    <t>GFGC44054F</t>
  </si>
  <si>
    <t>GFGC53054F</t>
  </si>
  <si>
    <t>GFGC55831F</t>
  </si>
  <si>
    <t>GFGC59054F</t>
  </si>
  <si>
    <t>GFGC59754A</t>
  </si>
  <si>
    <t>GFGC59754M</t>
  </si>
  <si>
    <t>GFGC61515A</t>
  </si>
  <si>
    <t>GFGC61515F</t>
  </si>
  <si>
    <t>GFGC6200JU</t>
  </si>
  <si>
    <t>GFGC6200MA</t>
  </si>
  <si>
    <t>GFGC62831F</t>
  </si>
  <si>
    <t>GFGC6400JU</t>
  </si>
  <si>
    <t>GFGC6400MA</t>
  </si>
  <si>
    <t>GFGC65515F</t>
  </si>
  <si>
    <t>GFGC6600JU</t>
  </si>
  <si>
    <t>GFGC6600MA</t>
  </si>
  <si>
    <t>GFGC67054F</t>
  </si>
  <si>
    <t>GFGC6800JU</t>
  </si>
  <si>
    <t>GFGC6800MA</t>
  </si>
  <si>
    <t>GFGC69054F</t>
  </si>
  <si>
    <t>GFGC69282A</t>
  </si>
  <si>
    <t>GFGC7000MA</t>
  </si>
  <si>
    <t>GFGC71282F</t>
  </si>
  <si>
    <t>GFGC7200JU</t>
  </si>
  <si>
    <t>GFGC7200MA</t>
  </si>
  <si>
    <t>GFGC73515A</t>
  </si>
  <si>
    <t>GFGC73515F</t>
  </si>
  <si>
    <t>GFGC7400JU</t>
  </si>
  <si>
    <t>GFGC7400MA</t>
  </si>
  <si>
    <t>GFGC75054F</t>
  </si>
  <si>
    <t>GFGC75282A</t>
  </si>
  <si>
    <t>GFGC75754J</t>
  </si>
  <si>
    <t>GFGC7600MA</t>
  </si>
  <si>
    <t>GFGC77515A</t>
  </si>
  <si>
    <t>GFGC77515F</t>
  </si>
  <si>
    <t>GFGC7800MA</t>
  </si>
  <si>
    <t>GFGC79054F</t>
  </si>
  <si>
    <t>GFGC79515A</t>
  </si>
  <si>
    <t>GFGC8000MA</t>
  </si>
  <si>
    <t>GFGC82054F</t>
  </si>
  <si>
    <t>GFGC82282A</t>
  </si>
  <si>
    <t>GFGC8300MA</t>
  </si>
  <si>
    <t>GFGC85054F</t>
  </si>
  <si>
    <t>GFGC85754A</t>
  </si>
  <si>
    <t>GFGC85754J</t>
  </si>
  <si>
    <t>GFGC8600MA</t>
  </si>
  <si>
    <t>GFGC88515A</t>
  </si>
  <si>
    <t>GFGC88515F</t>
  </si>
  <si>
    <t>GFGC88754J</t>
  </si>
  <si>
    <t>GFGC8900MA</t>
  </si>
  <si>
    <t>GFGC91515F</t>
  </si>
  <si>
    <t>GFGC91754A</t>
  </si>
  <si>
    <t>GFGC91754J</t>
  </si>
  <si>
    <t>GFGC9200MA</t>
  </si>
  <si>
    <t>GFGC94515F</t>
  </si>
  <si>
    <t>GFGC94754A</t>
  </si>
  <si>
    <t>GFGC9500MA</t>
  </si>
  <si>
    <t>GFGC97054A</t>
  </si>
  <si>
    <t>GFGC97054F</t>
  </si>
  <si>
    <t>GFGC9800MA</t>
  </si>
  <si>
    <t>GFGV10105F</t>
  </si>
  <si>
    <t>GFGV10151A</t>
  </si>
  <si>
    <t>GFGV10528F</t>
  </si>
  <si>
    <t>GFGV10575J</t>
  </si>
  <si>
    <t>GFGV10600A</t>
  </si>
  <si>
    <t>GFGV10600M</t>
  </si>
  <si>
    <t>GFGV10928F</t>
  </si>
  <si>
    <t>GFGV10975A</t>
  </si>
  <si>
    <t>GFGV10975J</t>
  </si>
  <si>
    <t>GFGV11328F</t>
  </si>
  <si>
    <t>GFGV11375A</t>
  </si>
  <si>
    <t>GFGV11375J</t>
  </si>
  <si>
    <t>GFGV11728F</t>
  </si>
  <si>
    <t>GFGV29515F</t>
  </si>
  <si>
    <t>GFGV31831F</t>
  </si>
  <si>
    <t>GFGV40612F</t>
  </si>
  <si>
    <t>GFGV44054F</t>
  </si>
  <si>
    <t>GFGV53054F</t>
  </si>
  <si>
    <t>GFGV55831F</t>
  </si>
  <si>
    <t>GFGV59054F</t>
  </si>
  <si>
    <t>GFGV59754A</t>
  </si>
  <si>
    <t>GFGV59754M</t>
  </si>
  <si>
    <t>GFGV61515A</t>
  </si>
  <si>
    <t>GFGV61515F</t>
  </si>
  <si>
    <t>GFGV6200JU</t>
  </si>
  <si>
    <t>GFGV6200MA</t>
  </si>
  <si>
    <t>GFGV62831F</t>
  </si>
  <si>
    <t>GFGV6400MA</t>
  </si>
  <si>
    <t>GFGV65515F</t>
  </si>
  <si>
    <t>GFGV6600MA</t>
  </si>
  <si>
    <t>GFGV67054F</t>
  </si>
  <si>
    <t>GFGV6800JU</t>
  </si>
  <si>
    <t>GFGV6800MA</t>
  </si>
  <si>
    <t>GFGV69054F</t>
  </si>
  <si>
    <t>GFGV69282A</t>
  </si>
  <si>
    <t>GFGV7000MA</t>
  </si>
  <si>
    <t>GFGV71282F</t>
  </si>
  <si>
    <t>GFGV7200MA</t>
  </si>
  <si>
    <t>GFGV73515A</t>
  </si>
  <si>
    <t>GFGV73515F</t>
  </si>
  <si>
    <t>GFGV7400MA</t>
  </si>
  <si>
    <t>GFGV75054F</t>
  </si>
  <si>
    <t>GFGV75282A</t>
  </si>
  <si>
    <t>GFGV75754J</t>
  </si>
  <si>
    <t>GFGV7600MA</t>
  </si>
  <si>
    <t>GFGV77515A</t>
  </si>
  <si>
    <t>GFGV77515F</t>
  </si>
  <si>
    <t>GFGV7800MA</t>
  </si>
  <si>
    <t>GFGV79054F</t>
  </si>
  <si>
    <t>GFGV79515A</t>
  </si>
  <si>
    <t>GFGV8000MA</t>
  </si>
  <si>
    <t>GFGV82054F</t>
  </si>
  <si>
    <t>GFGV82282A</t>
  </si>
  <si>
    <t>GFGV8300MA</t>
  </si>
  <si>
    <t>GFGV85054F</t>
  </si>
  <si>
    <t>GFGV85754A</t>
  </si>
  <si>
    <t>GFGV85754J</t>
  </si>
  <si>
    <t>GFGV8600MA</t>
  </si>
  <si>
    <t>GFGV88515A</t>
  </si>
  <si>
    <t>GFGV88515F</t>
  </si>
  <si>
    <t>GFGV88754J</t>
  </si>
  <si>
    <t>GFGV8900MA</t>
  </si>
  <si>
    <t>GFGV91515F</t>
  </si>
  <si>
    <t>GFGV91754A</t>
  </si>
  <si>
    <t>GFGV91754J</t>
  </si>
  <si>
    <t>GFGV9200MA</t>
  </si>
  <si>
    <t>GFGV94515F</t>
  </si>
  <si>
    <t>GFGV94754A</t>
  </si>
  <si>
    <t>GFGV9500JU</t>
  </si>
  <si>
    <t>GFGV9500MA</t>
  </si>
  <si>
    <t>GFGV97054A</t>
  </si>
  <si>
    <t>GFGV97054F</t>
  </si>
  <si>
    <t>GFGV9800JU</t>
  </si>
  <si>
    <t>GFGV9800MA</t>
  </si>
  <si>
    <t>IBIC7500JU</t>
  </si>
  <si>
    <t>IBIV7500JU</t>
  </si>
  <si>
    <t>KO.C16000A</t>
  </si>
  <si>
    <t>KO.C16000F</t>
  </si>
  <si>
    <t>KO.C16000J</t>
  </si>
  <si>
    <t>KO.C16000M</t>
  </si>
  <si>
    <t>KO.C17000A</t>
  </si>
  <si>
    <t>KO.C17000F</t>
  </si>
  <si>
    <t>KO.C17000J</t>
  </si>
  <si>
    <t>KO.C17000M</t>
  </si>
  <si>
    <t>KO.C18000A</t>
  </si>
  <si>
    <t>KO.C18000F</t>
  </si>
  <si>
    <t>KO.C18000J</t>
  </si>
  <si>
    <t>KO.C18000M</t>
  </si>
  <si>
    <t>KO.C19000J</t>
  </si>
  <si>
    <t>KO.C20000J</t>
  </si>
  <si>
    <t>KO.C21000J</t>
  </si>
  <si>
    <t>KO.V16000A</t>
  </si>
  <si>
    <t>KO.V16000F</t>
  </si>
  <si>
    <t>KO.V16000J</t>
  </si>
  <si>
    <t>KO.V16000M</t>
  </si>
  <si>
    <t>KO.V17000A</t>
  </si>
  <si>
    <t>KO.V17000F</t>
  </si>
  <si>
    <t>KO.V17000J</t>
  </si>
  <si>
    <t>KO.V17000M</t>
  </si>
  <si>
    <t>KO.V18000A</t>
  </si>
  <si>
    <t>KO.V18000F</t>
  </si>
  <si>
    <t>KO.V18000J</t>
  </si>
  <si>
    <t>KO.V18000M</t>
  </si>
  <si>
    <t>KO.V19000J</t>
  </si>
  <si>
    <t>KO.V20000J</t>
  </si>
  <si>
    <t>KO.V21000J</t>
  </si>
  <si>
    <t>LOMC3200FE</t>
  </si>
  <si>
    <t>LOMC3200JU</t>
  </si>
  <si>
    <t>LOMC3200MA</t>
  </si>
  <si>
    <t>MELC25000J</t>
  </si>
  <si>
    <t>MELC26000J</t>
  </si>
  <si>
    <t>MELV25000J</t>
  </si>
  <si>
    <t>MELV26000J</t>
  </si>
  <si>
    <t>MELV27000J</t>
  </si>
  <si>
    <t>METC1900AB</t>
  </si>
  <si>
    <t>METC1900JU</t>
  </si>
  <si>
    <t>METC1900MA</t>
  </si>
  <si>
    <t>METC2000JU</t>
  </si>
  <si>
    <t>METC2000MA</t>
  </si>
  <si>
    <t>METC2100JU</t>
  </si>
  <si>
    <t>METC2100MA</t>
  </si>
  <si>
    <t>METC2200JU</t>
  </si>
  <si>
    <t>METC2200MA</t>
  </si>
  <si>
    <t>METC2300JU</t>
  </si>
  <si>
    <t>METC2300MA</t>
  </si>
  <si>
    <t>METC2400MA</t>
  </si>
  <si>
    <t>METC2500MA</t>
  </si>
  <si>
    <t>METC2700FE</t>
  </si>
  <si>
    <t>METC2700MA</t>
  </si>
  <si>
    <t>METC2900FE</t>
  </si>
  <si>
    <t>METC2900MA</t>
  </si>
  <si>
    <t>METC3100MA</t>
  </si>
  <si>
    <t>METV1900MA</t>
  </si>
  <si>
    <t>METV2000MA</t>
  </si>
  <si>
    <t>METV2100MA</t>
  </si>
  <si>
    <t>METV2200MA</t>
  </si>
  <si>
    <t>METV2300MA</t>
  </si>
  <si>
    <t>METV2400MA</t>
  </si>
  <si>
    <t>METV2500MA</t>
  </si>
  <si>
    <t>METV2700FE</t>
  </si>
  <si>
    <t>METV2700JU</t>
  </si>
  <si>
    <t>METV2700MA</t>
  </si>
  <si>
    <t>METV2800JU</t>
  </si>
  <si>
    <t>METV2900FE</t>
  </si>
  <si>
    <t>METV2900JU</t>
  </si>
  <si>
    <t>METV2900MA</t>
  </si>
  <si>
    <t>METV3000JU</t>
  </si>
  <si>
    <t>METV3100JU</t>
  </si>
  <si>
    <t>METV3100MA</t>
  </si>
  <si>
    <t>MIRC20000A</t>
  </si>
  <si>
    <t>MIRC20000F</t>
  </si>
  <si>
    <t>MIRC20000J</t>
  </si>
  <si>
    <t>MIRC22000A</t>
  </si>
  <si>
    <t>MIRC22000J</t>
  </si>
  <si>
    <t>MIRC24000A</t>
  </si>
  <si>
    <t>MIRC24000J</t>
  </si>
  <si>
    <t>MIRC26000A</t>
  </si>
  <si>
    <t>MIRC26000J</t>
  </si>
  <si>
    <t>MIRC28000J</t>
  </si>
  <si>
    <t>MSFC18000A</t>
  </si>
  <si>
    <t>MSFC18000F</t>
  </si>
  <si>
    <t>MSFC18000J</t>
  </si>
  <si>
    <t>MSFC18000M</t>
  </si>
  <si>
    <t>MSFC20000A</t>
  </si>
  <si>
    <t>MSFC20000F</t>
  </si>
  <si>
    <t>MSFC20000J</t>
  </si>
  <si>
    <t>MSFC20000M</t>
  </si>
  <si>
    <t>MSFC22000J</t>
  </si>
  <si>
    <t>MSFV18000A</t>
  </si>
  <si>
    <t>MSFV18000F</t>
  </si>
  <si>
    <t>MSFV18000J</t>
  </si>
  <si>
    <t>MSFV18000M</t>
  </si>
  <si>
    <t>MSFV20000A</t>
  </si>
  <si>
    <t>MSFV20000F</t>
  </si>
  <si>
    <t>MSFV20000J</t>
  </si>
  <si>
    <t>MSFV20000M</t>
  </si>
  <si>
    <t>MSFV22000J</t>
  </si>
  <si>
    <t>MTAC34000A</t>
  </si>
  <si>
    <t>MTAC34000J</t>
  </si>
  <si>
    <t>MTAC34000M</t>
  </si>
  <si>
    <t>MTAC36000A</t>
  </si>
  <si>
    <t>MTAC36000J</t>
  </si>
  <si>
    <t>MTAC36000M</t>
  </si>
  <si>
    <t>MTAC38000A</t>
  </si>
  <si>
    <t>MTAC38000J</t>
  </si>
  <si>
    <t>MTAC38000M</t>
  </si>
  <si>
    <t>MTAV34000A</t>
  </si>
  <si>
    <t>MTAV34000J</t>
  </si>
  <si>
    <t>MTAV34000M</t>
  </si>
  <si>
    <t>MTAV36000A</t>
  </si>
  <si>
    <t>MTAV36000J</t>
  </si>
  <si>
    <t>MTAV36000M</t>
  </si>
  <si>
    <t>MTAV38000A</t>
  </si>
  <si>
    <t>MTAV38000J</t>
  </si>
  <si>
    <t>MTAV38000M</t>
  </si>
  <si>
    <t>PAMC3700AB</t>
  </si>
  <si>
    <t>PAMC3700JU</t>
  </si>
  <si>
    <t>PAMC3700MA</t>
  </si>
  <si>
    <t>PAMC3900AB</t>
  </si>
  <si>
    <t>PAMC3900JU</t>
  </si>
  <si>
    <t>PAMC3900MA</t>
  </si>
  <si>
    <t>PAMC4100AB</t>
  </si>
  <si>
    <t>PAMC4100JU</t>
  </si>
  <si>
    <t>PAMC4100MA</t>
  </si>
  <si>
    <t>PAMC4300JU</t>
  </si>
  <si>
    <t>PAMC4300MA</t>
  </si>
  <si>
    <t>PAMC4500JU</t>
  </si>
  <si>
    <t>PAMC4500MA</t>
  </si>
  <si>
    <t>PAMC4700MA</t>
  </si>
  <si>
    <t>PAMC5300MA</t>
  </si>
  <si>
    <t>PAMV3400AB</t>
  </si>
  <si>
    <t>PAMV3700AB</t>
  </si>
  <si>
    <t>PAMV3700MA</t>
  </si>
  <si>
    <t>PAMV3900MA</t>
  </si>
  <si>
    <t>PAMV4100MA</t>
  </si>
  <si>
    <t>PAMV4300MA</t>
  </si>
  <si>
    <t>PAMV4500MA</t>
  </si>
  <si>
    <t>PAMV4700MA</t>
  </si>
  <si>
    <t>PAMV5300MA</t>
  </si>
  <si>
    <t>PBRC14000A</t>
  </si>
  <si>
    <t>PBRC14000J</t>
  </si>
  <si>
    <t>PBRC14000M</t>
  </si>
  <si>
    <t>PBRC16000A</t>
  </si>
  <si>
    <t>PBRC16000J</t>
  </si>
  <si>
    <t>PBRC16000M</t>
  </si>
  <si>
    <t>PBRC18000A</t>
  </si>
  <si>
    <t>PBRC18000J</t>
  </si>
  <si>
    <t>PBRC18000M</t>
  </si>
  <si>
    <t>PBRC20000A</t>
  </si>
  <si>
    <t>PBRC20000J</t>
  </si>
  <si>
    <t>PBRC20000M</t>
  </si>
  <si>
    <t>PBRC22000A</t>
  </si>
  <si>
    <t>PBRC22000J</t>
  </si>
  <si>
    <t>PBRC22000M</t>
  </si>
  <si>
    <t>QQQC28000A</t>
  </si>
  <si>
    <t>QQQC28000F</t>
  </si>
  <si>
    <t>QQQC28000J</t>
  </si>
  <si>
    <t>QQQC30000A</t>
  </si>
  <si>
    <t>QQQC30000F</t>
  </si>
  <si>
    <t>QQQC30000J</t>
  </si>
  <si>
    <t>QQQC32000A</t>
  </si>
  <si>
    <t>QQQC32000J</t>
  </si>
  <si>
    <t>QQQC34000A</t>
  </si>
  <si>
    <t>QQQC34000J</t>
  </si>
  <si>
    <t>QQQC36000A</t>
  </si>
  <si>
    <t>QQQC36000J</t>
  </si>
  <si>
    <t>QQQV28000A</t>
  </si>
  <si>
    <t>QQQV28000F</t>
  </si>
  <si>
    <t>QQQV28000J</t>
  </si>
  <si>
    <t>QQQV30000A</t>
  </si>
  <si>
    <t>QQQV30000F</t>
  </si>
  <si>
    <t>QQQV30000J</t>
  </si>
  <si>
    <t>QQQV32000A</t>
  </si>
  <si>
    <t>QQQV32000J</t>
  </si>
  <si>
    <t>QQQV34000A</t>
  </si>
  <si>
    <t>QQQV34000J</t>
  </si>
  <si>
    <t>QQQV36000A</t>
  </si>
  <si>
    <t>QQQV36000J</t>
  </si>
  <si>
    <t>SUPC3000JU</t>
  </si>
  <si>
    <t>SUPC3000MA</t>
  </si>
  <si>
    <t>SUPC3200FE</t>
  </si>
  <si>
    <t>SUPC3200JU</t>
  </si>
  <si>
    <t>SUPC3200MA</t>
  </si>
  <si>
    <t>SUPC3400FE</t>
  </si>
  <si>
    <t>SUPC3400JU</t>
  </si>
  <si>
    <t>SUPC3400MA</t>
  </si>
  <si>
    <t>SUPC3600FE</t>
  </si>
  <si>
    <t>SUPC3600MA</t>
  </si>
  <si>
    <t>SUPC3800FE</t>
  </si>
  <si>
    <t>SUPC3800MA</t>
  </si>
  <si>
    <t>SUPC4000FE</t>
  </si>
  <si>
    <t>SUPC4000MA</t>
  </si>
  <si>
    <t>SUPC4200FE</t>
  </si>
  <si>
    <t>SUPC4200MA</t>
  </si>
  <si>
    <t>SUPC4400FE</t>
  </si>
  <si>
    <t>SUPC4400MA</t>
  </si>
  <si>
    <t>SUPV3000MA</t>
  </si>
  <si>
    <t>SUPV3200FE</t>
  </si>
  <si>
    <t>SUPV3200MA</t>
  </si>
  <si>
    <t>SUPV3400FE</t>
  </si>
  <si>
    <t>SUPV3400MA</t>
  </si>
  <si>
    <t>SUPV3600FE</t>
  </si>
  <si>
    <t>SUPV3600MA</t>
  </si>
  <si>
    <t>SUPV3800FE</t>
  </si>
  <si>
    <t>SUPV3800MA</t>
  </si>
  <si>
    <t>SUPV4000FE</t>
  </si>
  <si>
    <t>SUPV4000JU</t>
  </si>
  <si>
    <t>SUPV4000MA</t>
  </si>
  <si>
    <t>SUPV4200FE</t>
  </si>
  <si>
    <t>SUPV4200JU</t>
  </si>
  <si>
    <t>SUPV4200MA</t>
  </si>
  <si>
    <t>SUPV4400AB</t>
  </si>
  <si>
    <t>SUPV4400FE</t>
  </si>
  <si>
    <t>SUPV4400JU</t>
  </si>
  <si>
    <t>SUPV4400MA</t>
  </si>
  <si>
    <t>TECC3200JU</t>
  </si>
  <si>
    <t>TECC3400JU</t>
  </si>
  <si>
    <t>TENC35000A</t>
  </si>
  <si>
    <t>TENC35000F</t>
  </si>
  <si>
    <t>TENC35000J</t>
  </si>
  <si>
    <t>TENC35000M</t>
  </si>
  <si>
    <t>TENC36000A</t>
  </si>
  <si>
    <t>TENC36000F</t>
  </si>
  <si>
    <t>TENC36000J</t>
  </si>
  <si>
    <t>TENC36000M</t>
  </si>
  <si>
    <t>TENC37000A</t>
  </si>
  <si>
    <t>TENC37000F</t>
  </si>
  <si>
    <t>TENC37000J</t>
  </si>
  <si>
    <t>TENC37000M</t>
  </si>
  <si>
    <t>TENC38000A</t>
  </si>
  <si>
    <t>TENC38000F</t>
  </si>
  <si>
    <t>TENC38000J</t>
  </si>
  <si>
    <t>TENC38000M</t>
  </si>
  <si>
    <t>TENC39000A</t>
  </si>
  <si>
    <t>TENC39000F</t>
  </si>
  <si>
    <t>TENC39000J</t>
  </si>
  <si>
    <t>TENC39000M</t>
  </si>
  <si>
    <t>TGNC4000JU</t>
  </si>
  <si>
    <t>TGNC4000MA</t>
  </si>
  <si>
    <t>TGNC4400MA</t>
  </si>
  <si>
    <t>TGNC4600MA</t>
  </si>
  <si>
    <t>DOLAR</t>
  </si>
  <si>
    <t>Lecap - PF</t>
  </si>
  <si>
    <t>Caucho - PF</t>
  </si>
  <si>
    <t>Merval</t>
  </si>
  <si>
    <t>DESCRIPCION</t>
  </si>
  <si>
    <t>NOMBRE</t>
  </si>
  <si>
    <t>VARIACION</t>
  </si>
  <si>
    <t>CIERRE ANTERIOR</t>
  </si>
  <si>
    <t>S&amp;P BYMA Indice General</t>
  </si>
  <si>
    <t>S&amp;P MERVAL</t>
  </si>
  <si>
    <t>S&amp;P BYMA Construccion</t>
  </si>
  <si>
    <t>S&amp;P BYMA CEDEAR Index</t>
  </si>
  <si>
    <t>S&amp;P BYMA Ingenius Index</t>
  </si>
  <si>
    <t>S&amp;P BYMA Energia</t>
  </si>
  <si>
    <t>S&amp;P BYMA Bs Intermedios</t>
  </si>
  <si>
    <t>S&amp;P BYMA Ind y Bs de Cap</t>
  </si>
  <si>
    <t>S&amp;P BYMA Cons No Esencial</t>
  </si>
  <si>
    <t>S&amp;P BYMA Consumo Masivo</t>
  </si>
  <si>
    <t>S&amp;P BYMA Serv Financieros</t>
  </si>
  <si>
    <t>S&amp;P BYMA Telecomunicacion</t>
  </si>
  <si>
    <t>S&amp;P BYMA Serv Publicos</t>
  </si>
  <si>
    <t>S&amp;P BYMA Bienes Raices</t>
  </si>
  <si>
    <t>S&amp;P BYMA Energia y Servicios Publicos</t>
  </si>
  <si>
    <t>Vencimiento</t>
  </si>
  <si>
    <t>LECAPS</t>
  </si>
  <si>
    <t>LECAPs</t>
  </si>
  <si>
    <t>ONs</t>
  </si>
  <si>
    <t>MEP/Oficial</t>
  </si>
  <si>
    <t>DOLAR-1303-U-CT-USD</t>
  </si>
  <si>
    <t>FECHA</t>
  </si>
  <si>
    <t>CODIGO</t>
  </si>
  <si>
    <t>VARIANZA</t>
  </si>
  <si>
    <t>2026-02-05 00:00:00.0</t>
  </si>
  <si>
    <t>COR_DOL</t>
  </si>
  <si>
    <t>Subíndice de Bonos Cortos emitidos en dólares</t>
  </si>
  <si>
    <t>COR_PES</t>
  </si>
  <si>
    <t>Subíndice de Bonos Cortos emitidos en pesos</t>
  </si>
  <si>
    <t>IBONOS</t>
  </si>
  <si>
    <t>Indice de Bonos General</t>
  </si>
  <si>
    <t>LAR_DOL</t>
  </si>
  <si>
    <t>Subíndice de Bonos Largos emitidos en dólares</t>
  </si>
  <si>
    <t>LAR_PES</t>
  </si>
  <si>
    <t>Subíndice de Bonos Largos emitidos en pesos</t>
  </si>
  <si>
    <t>DOLAR-0203-U-CT-USD</t>
  </si>
  <si>
    <t>A30C80000A</t>
  </si>
  <si>
    <t>MEP BE</t>
  </si>
  <si>
    <t>Días a vencimiento</t>
  </si>
  <si>
    <t>Tasa directa</t>
  </si>
  <si>
    <t>Rendimiento en USD para los diferentes MEP</t>
  </si>
  <si>
    <t>banco central -&gt; la actual</t>
  </si>
  <si>
    <t>Período</t>
  </si>
  <si>
    <t>Referencia</t>
  </si>
  <si>
    <t>Mediana</t>
  </si>
  <si>
    <t>var. % mensual</t>
  </si>
  <si>
    <t>Superior</t>
  </si>
  <si>
    <t>px dólar</t>
  </si>
  <si>
    <t>t13f6</t>
  </si>
  <si>
    <t>A3</t>
  </si>
  <si>
    <t>Ask Volume</t>
  </si>
  <si>
    <t xml:space="preserve"> </t>
  </si>
  <si>
    <t>Total Volume</t>
  </si>
  <si>
    <t>Indice</t>
  </si>
  <si>
    <t>FX</t>
  </si>
  <si>
    <t>Favoritos</t>
  </si>
  <si>
    <t>Bid Price</t>
  </si>
  <si>
    <t>Ask Price</t>
  </si>
  <si>
    <t>Ons NY</t>
  </si>
  <si>
    <t>AGRO</t>
  </si>
  <si>
    <t>AUSO</t>
  </si>
  <si>
    <t>BHIP</t>
  </si>
  <si>
    <t>BOLT</t>
  </si>
  <si>
    <t>BPAT</t>
  </si>
  <si>
    <t>CADO</t>
  </si>
  <si>
    <t>CAPX</t>
  </si>
  <si>
    <t>CARC</t>
  </si>
  <si>
    <t>CECO2</t>
  </si>
  <si>
    <t>CELU</t>
  </si>
  <si>
    <t>CGPA2</t>
  </si>
  <si>
    <t>CTIO</t>
  </si>
  <si>
    <t>DGCU2</t>
  </si>
  <si>
    <t>DOME</t>
  </si>
  <si>
    <t>ECOG</t>
  </si>
  <si>
    <t>FERR</t>
  </si>
  <si>
    <t>FIPL</t>
  </si>
  <si>
    <t>GAMI</t>
  </si>
  <si>
    <t>GARO</t>
  </si>
  <si>
    <t>GBAN</t>
  </si>
  <si>
    <t>GCDI</t>
  </si>
  <si>
    <t>GCLA</t>
  </si>
  <si>
    <t>GRIM</t>
  </si>
  <si>
    <t>HARG</t>
  </si>
  <si>
    <t>HAVA</t>
  </si>
  <si>
    <t>HSAT</t>
  </si>
  <si>
    <t>IEB</t>
  </si>
  <si>
    <t>INVJ</t>
  </si>
  <si>
    <t>LEDE</t>
  </si>
  <si>
    <t>LONG</t>
  </si>
  <si>
    <t>MIRG</t>
  </si>
  <si>
    <t>MOLA</t>
  </si>
  <si>
    <t>MOLI</t>
  </si>
  <si>
    <t>MORI</t>
  </si>
  <si>
    <t>OEST</t>
  </si>
  <si>
    <t>PATA</t>
  </si>
  <si>
    <t>RICH</t>
  </si>
  <si>
    <t>RIGO</t>
  </si>
  <si>
    <t>ROSE</t>
  </si>
  <si>
    <t>SAMI</t>
  </si>
  <si>
    <t>SEMI</t>
  </si>
  <si>
    <t>Panel Lider</t>
  </si>
  <si>
    <t>990,00</t>
  </si>
  <si>
    <t>1,12</t>
  </si>
  <si>
    <t>-5,26</t>
  </si>
  <si>
    <t>1,02</t>
  </si>
  <si>
    <t>979,00</t>
  </si>
  <si>
    <t>980,00</t>
  </si>
  <si>
    <t>1.030,00</t>
  </si>
  <si>
    <t>740.354.729,00</t>
  </si>
  <si>
    <t>9.000,00</t>
  </si>
  <si>
    <t>1,60</t>
  </si>
  <si>
    <t>-11,81</t>
  </si>
  <si>
    <t>-2,74</t>
  </si>
  <si>
    <t>8.750,00</t>
  </si>
  <si>
    <t>8.920,00</t>
  </si>
  <si>
    <t>8.785,00</t>
  </si>
  <si>
    <t>9.125,00</t>
  </si>
  <si>
    <t>2.092.388.530,00</t>
  </si>
  <si>
    <t>13.750,00</t>
  </si>
  <si>
    <t>3,59</t>
  </si>
  <si>
    <t>-9,35</t>
  </si>
  <si>
    <t>2,14</t>
  </si>
  <si>
    <t>13.380,00</t>
  </si>
  <si>
    <t>13.030,00</t>
  </si>
  <si>
    <t>13.950,00</t>
  </si>
  <si>
    <t>1.861.423.320,00</t>
  </si>
  <si>
    <t>329,75</t>
  </si>
  <si>
    <t>-0,23</t>
  </si>
  <si>
    <t>-1,79</t>
  </si>
  <si>
    <t>13,41</t>
  </si>
  <si>
    <t>330,50</t>
  </si>
  <si>
    <t>329,25</t>
  </si>
  <si>
    <t>333,75</t>
  </si>
  <si>
    <t>12.906.984</t>
  </si>
  <si>
    <t>4.282.852.453,00</t>
  </si>
  <si>
    <t>2.343,00</t>
  </si>
  <si>
    <t>1,38</t>
  </si>
  <si>
    <t>-9,46</t>
  </si>
  <si>
    <t>-12,98</t>
  </si>
  <si>
    <t>2.322,00</t>
  </si>
  <si>
    <t>2.313,00</t>
  </si>
  <si>
    <t>2.300,00</t>
  </si>
  <si>
    <t>2.385,00</t>
  </si>
  <si>
    <t>1.015.226.332,00</t>
  </si>
  <si>
    <t>51,60</t>
  </si>
  <si>
    <t>2,79</t>
  </si>
  <si>
    <t>-15,13</t>
  </si>
  <si>
    <t>-13,28</t>
  </si>
  <si>
    <t>50,20</t>
  </si>
  <si>
    <t>51,40</t>
  </si>
  <si>
    <t>50,50</t>
  </si>
  <si>
    <t>13.089.758</t>
  </si>
  <si>
    <t>671.076.788,00</t>
  </si>
  <si>
    <t>1.954,00</t>
  </si>
  <si>
    <t>0,84</t>
  </si>
  <si>
    <t>-5,12</t>
  </si>
  <si>
    <t>0,42</t>
  </si>
  <si>
    <t>1.910,00</t>
  </si>
  <si>
    <t>1.980,00</t>
  </si>
  <si>
    <t>1.898,00</t>
  </si>
  <si>
    <t>2.000,00</t>
  </si>
  <si>
    <t>605.569.646,00</t>
  </si>
  <si>
    <t>EDN</t>
  </si>
  <si>
    <t>2.057,00</t>
  </si>
  <si>
    <t>1,98</t>
  </si>
  <si>
    <t>-12,02</t>
  </si>
  <si>
    <t>-15,25</t>
  </si>
  <si>
    <t>2.017,00</t>
  </si>
  <si>
    <t>2.015,00</t>
  </si>
  <si>
    <t>2.093,00</t>
  </si>
  <si>
    <t>699.986.421,00</t>
  </si>
  <si>
    <t>7.515,00</t>
  </si>
  <si>
    <t>0,46</t>
  </si>
  <si>
    <t>-10,65</t>
  </si>
  <si>
    <t>-9,45</t>
  </si>
  <si>
    <t>7.480,43</t>
  </si>
  <si>
    <t>7.350,00</t>
  </si>
  <si>
    <t>7.640,00</t>
  </si>
  <si>
    <t>3.567.229</t>
  </si>
  <si>
    <t>26.616.044.485,00</t>
  </si>
  <si>
    <t>2.375,00</t>
  </si>
  <si>
    <t>-</t>
  </si>
  <si>
    <t>-9,87</t>
  </si>
  <si>
    <t>-6,31</t>
  </si>
  <si>
    <t>2.355,00</t>
  </si>
  <si>
    <t>2.445,00</t>
  </si>
  <si>
    <t>404.590.690,00</t>
  </si>
  <si>
    <t>3.330,00</t>
  </si>
  <si>
    <t>3,02</t>
  </si>
  <si>
    <t>-7,38</t>
  </si>
  <si>
    <t>-17,60</t>
  </si>
  <si>
    <t>3.227,50</t>
  </si>
  <si>
    <t>3.232,50</t>
  </si>
  <si>
    <t>3.405,00</t>
  </si>
  <si>
    <t>666.762.465,00</t>
  </si>
  <si>
    <t>2.280,00</t>
  </si>
  <si>
    <t>4,23</t>
  </si>
  <si>
    <t>-2,34</t>
  </si>
  <si>
    <t>-8,15</t>
  </si>
  <si>
    <t>2.245,00</t>
  </si>
  <si>
    <t>2.255,00</t>
  </si>
  <si>
    <t>2.377,00</t>
  </si>
  <si>
    <t>1.012.517.298,00</t>
  </si>
  <si>
    <t>4.920,00</t>
  </si>
  <si>
    <t>1,32</t>
  </si>
  <si>
    <t>-4,41</t>
  </si>
  <si>
    <t>-5,23</t>
  </si>
  <si>
    <t>4.900,00</t>
  </si>
  <si>
    <t>5.045,00</t>
  </si>
  <si>
    <t>4.465.168.188,00</t>
  </si>
  <si>
    <t>3.245,00</t>
  </si>
  <si>
    <t>4,05</t>
  </si>
  <si>
    <t>-11,01</t>
  </si>
  <si>
    <t>-8,26</t>
  </si>
  <si>
    <t>3.147,50</t>
  </si>
  <si>
    <t>3.145,00</t>
  </si>
  <si>
    <t>3.292,50</t>
  </si>
  <si>
    <t>2.039.917.058,00</t>
  </si>
  <si>
    <t>TECO2</t>
  </si>
  <si>
    <t>3.620,00</t>
  </si>
  <si>
    <t>3,95</t>
  </si>
  <si>
    <t>-11,71</t>
  </si>
  <si>
    <t>2,62</t>
  </si>
  <si>
    <t>3.482,50</t>
  </si>
  <si>
    <t>3.605,00</t>
  </si>
  <si>
    <t>3.470,00</t>
  </si>
  <si>
    <t>3.670,00</t>
  </si>
  <si>
    <t>255.944.160,00</t>
  </si>
  <si>
    <t>4.120,00</t>
  </si>
  <si>
    <t>3,65</t>
  </si>
  <si>
    <t>-8,50</t>
  </si>
  <si>
    <t>-15,92</t>
  </si>
  <si>
    <t>3.975,00</t>
  </si>
  <si>
    <t>4.090,00</t>
  </si>
  <si>
    <t>4.007,50</t>
  </si>
  <si>
    <t>4.182,50</t>
  </si>
  <si>
    <t>865.019.880,00</t>
  </si>
  <si>
    <t>8.760,00</t>
  </si>
  <si>
    <t>2,00</t>
  </si>
  <si>
    <t>-7,51</t>
  </si>
  <si>
    <t>-3,46</t>
  </si>
  <si>
    <t>8.755,00</t>
  </si>
  <si>
    <t>9.130,00</t>
  </si>
  <si>
    <t>1.418.342.155,00</t>
  </si>
  <si>
    <t>3.950,00</t>
  </si>
  <si>
    <t>3,56</t>
  </si>
  <si>
    <t>4,03</t>
  </si>
  <si>
    <t>11,81</t>
  </si>
  <si>
    <t>3.862,50</t>
  </si>
  <si>
    <t>3.865,00</t>
  </si>
  <si>
    <t>3.820,00</t>
  </si>
  <si>
    <t>4.000,00</t>
  </si>
  <si>
    <t>1.505.853.448,00</t>
  </si>
  <si>
    <t>691,00</t>
  </si>
  <si>
    <t>1,10</t>
  </si>
  <si>
    <t>-1,99</t>
  </si>
  <si>
    <t>2,83</t>
  </si>
  <si>
    <t>683,50</t>
  </si>
  <si>
    <t>680,50</t>
  </si>
  <si>
    <t>701,50</t>
  </si>
  <si>
    <t>471.499.947,00</t>
  </si>
  <si>
    <t>585,00</t>
  </si>
  <si>
    <t>0,77</t>
  </si>
  <si>
    <t>-5,08</t>
  </si>
  <si>
    <t>6,81</t>
  </si>
  <si>
    <t>583,50</t>
  </si>
  <si>
    <t>594,00</t>
  </si>
  <si>
    <t>2.466.195</t>
  </si>
  <si>
    <t>1.449.781.104,00</t>
  </si>
  <si>
    <t>56.500,00</t>
  </si>
  <si>
    <t>1,37</t>
  </si>
  <si>
    <t>-4,19</t>
  </si>
  <si>
    <t>4,76</t>
  </si>
  <si>
    <t>56.425,00</t>
  </si>
  <si>
    <t>58.300,00</t>
  </si>
  <si>
    <t>12.369.784.400,00</t>
  </si>
  <si>
    <t>Panel General</t>
  </si>
  <si>
    <t>DOLAR-0906-U-CT-USD</t>
  </si>
  <si>
    <t>2026-06-09</t>
  </si>
  <si>
    <t>DOLAR-1105-U-CT-USD</t>
  </si>
  <si>
    <t>2026-05-11</t>
  </si>
  <si>
    <t>PESOS-0906-U-CT-ARS</t>
  </si>
  <si>
    <t>PESOS-1105-U-CT-ARS</t>
  </si>
  <si>
    <t>DOLAR-0806-U-CT-USD</t>
  </si>
  <si>
    <t>2026-06-08</t>
  </si>
  <si>
    <t>Factor Alfa</t>
  </si>
  <si>
    <t>Columna1</t>
  </si>
  <si>
    <t>Columna2</t>
  </si>
  <si>
    <t>DOLAR-1006-U-CT-USD</t>
  </si>
  <si>
    <t>2026-06-10</t>
  </si>
  <si>
    <t>DOLAR-1106-U-CT-USD</t>
  </si>
  <si>
    <t>2026-06-11</t>
  </si>
  <si>
    <t>DOLAR-1206-U-CT-USD</t>
  </si>
  <si>
    <t>2026-06-12</t>
  </si>
  <si>
    <t>DOLAR-1803-U-CT-USD</t>
  </si>
  <si>
    <t>PESOS-1206-U-CT-ARS</t>
  </si>
  <si>
    <t>11:34:58</t>
  </si>
  <si>
    <t>12:04:28</t>
  </si>
  <si>
    <t>12:35:22</t>
  </si>
  <si>
    <t>11:44:31</t>
  </si>
  <si>
    <t>12:04:27</t>
  </si>
  <si>
    <t>11:48:56</t>
  </si>
  <si>
    <t>12:38:39</t>
  </si>
  <si>
    <t>10:53:45</t>
  </si>
  <si>
    <t>10:47:18</t>
  </si>
  <si>
    <t>11:37:38</t>
  </si>
  <si>
    <t>12:38:04</t>
  </si>
  <si>
    <t>11:25:55</t>
  </si>
  <si>
    <t>12:33:13</t>
  </si>
  <si>
    <t>12:34:13</t>
  </si>
  <si>
    <t>12:32:50</t>
  </si>
  <si>
    <t>12:36:54</t>
  </si>
  <si>
    <t>12:35:48</t>
  </si>
  <si>
    <t>11:33:38</t>
  </si>
  <si>
    <t>12:33:15</t>
  </si>
  <si>
    <t>12:11:09</t>
  </si>
  <si>
    <t>12:33:16</t>
  </si>
  <si>
    <t>12:27:22</t>
  </si>
  <si>
    <t>12:36:40</t>
  </si>
  <si>
    <t>12:38:24</t>
  </si>
  <si>
    <t>11:37:45</t>
  </si>
  <si>
    <t>11:41:27</t>
  </si>
  <si>
    <t>11:59:42</t>
  </si>
  <si>
    <t>12:32:43</t>
  </si>
  <si>
    <t>11:40:19</t>
  </si>
  <si>
    <t>11:24:46</t>
  </si>
  <si>
    <t>11:56:07</t>
  </si>
  <si>
    <t>11:58:32</t>
  </si>
  <si>
    <t>11:40:45</t>
  </si>
  <si>
    <t>11:24:09</t>
  </si>
  <si>
    <t>12:34:32</t>
  </si>
  <si>
    <t>12:06:37</t>
  </si>
  <si>
    <t>12:31:47</t>
  </si>
  <si>
    <t>12:36:02</t>
  </si>
  <si>
    <t>12:24:04</t>
  </si>
  <si>
    <t>12:37:53</t>
  </si>
  <si>
    <t>12:35:38</t>
  </si>
  <si>
    <t>12:37:20</t>
  </si>
  <si>
    <t>12:10:19</t>
  </si>
  <si>
    <t>11:59:16</t>
  </si>
  <si>
    <t>12:36:33</t>
  </si>
  <si>
    <t>11:00:26</t>
  </si>
  <si>
    <t>12:28:56</t>
  </si>
  <si>
    <t>12:35:16</t>
  </si>
  <si>
    <t>12:38:05</t>
  </si>
  <si>
    <t>12:34:47</t>
  </si>
  <si>
    <t>12:34:19</t>
  </si>
  <si>
    <t>12:35:25</t>
  </si>
  <si>
    <t>12:34:09</t>
  </si>
  <si>
    <t>12:29:32</t>
  </si>
  <si>
    <t>11:18:38</t>
  </si>
  <si>
    <t>12:06:47</t>
  </si>
  <si>
    <t>12:12:55</t>
  </si>
  <si>
    <t>10:32:38</t>
  </si>
  <si>
    <t>11:49:53</t>
  </si>
  <si>
    <t>12:33:01</t>
  </si>
  <si>
    <t>12:29:35</t>
  </si>
  <si>
    <t>12:39:32</t>
  </si>
  <si>
    <t>12:39:45</t>
  </si>
  <si>
    <t>12:39:41</t>
  </si>
  <si>
    <t>12:39:57</t>
  </si>
  <si>
    <t>12:39:52</t>
  </si>
  <si>
    <t>12:39:54</t>
  </si>
  <si>
    <t>12:39:56</t>
  </si>
  <si>
    <t>12:40:06</t>
  </si>
  <si>
    <t>12:40:20</t>
  </si>
  <si>
    <t>12:41:16</t>
  </si>
  <si>
    <t>12:40:37</t>
  </si>
  <si>
    <t>12:41:11</t>
  </si>
  <si>
    <t>12:41:02</t>
  </si>
  <si>
    <t>12:41:01</t>
  </si>
  <si>
    <t>12:41:10</t>
  </si>
  <si>
    <t>12:40:51</t>
  </si>
  <si>
    <t>12:41:17</t>
  </si>
  <si>
    <t>12:41:19</t>
  </si>
  <si>
    <t>12:41:18</t>
  </si>
  <si>
    <t>12:41:20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</si>
</sst>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d/mm/yyyy"/>
    <numFmt numFmtId="165" formatCode="dd/mm/yyyy"/>
    <numFmt numFmtId="166" formatCode="d/m/yy"/>
    <numFmt numFmtId="167" formatCode="0.000"/>
    <numFmt numFmtId="168" formatCode="0.0%"/>
    <numFmt numFmtId="169" formatCode="0.000%"/>
    <numFmt numFmtId="170" formatCode="_-* #,##0_-;\-* #,##0_-;_-* &quot;-&quot;??_-;_-@_-"/>
    <numFmt numFmtId="171" formatCode="#,##0.000"/>
    <numFmt numFmtId="172" formatCode="0.00000%"/>
  </numFmts>
  <fonts count="6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2"/>
      <color rgb="FF212529"/>
      <name val="Roboto"/>
    </font>
    <font>
      <sz val="11"/>
      <color rgb="FF212529"/>
      <name val="Roboto"/>
    </font>
    <font>
      <b/>
      <sz val="12"/>
      <color rgb="FF212529"/>
      <name val="Roboto"/>
    </font>
    <font>
      <b/>
      <sz val="12"/>
      <color theme="1"/>
      <name val="Roboto"/>
    </font>
    <font>
      <sz val="11"/>
      <color rgb="FF343A40"/>
      <name val="Roboto"/>
    </font>
    <font>
      <sz val="12"/>
      <color theme="1"/>
      <name val="Roboto"/>
    </font>
    <font>
      <b/>
      <sz val="11"/>
      <color theme="1"/>
      <name val="Aptos Narrow"/>
      <scheme val="minor"/>
    </font>
    <font>
      <b/>
      <u/>
      <sz val="12"/>
      <color rgb="FF0000FF"/>
      <name val="Roboto"/>
    </font>
    <font>
      <sz val="11"/>
      <color rgb="FF000000"/>
      <name val="&quot;Aptos Narrow&quot;"/>
    </font>
    <font>
      <b/>
      <sz val="12"/>
      <color rgb="FF343A40"/>
      <name val="Roboto"/>
    </font>
    <font>
      <u/>
      <sz val="11"/>
      <color rgb="FF0000FF"/>
      <name val="Arial"/>
      <family val="2"/>
    </font>
    <font>
      <sz val="12"/>
      <color rgb="FF000000"/>
      <name val="Roboto"/>
    </font>
    <font>
      <sz val="11"/>
      <color rgb="FF000000"/>
      <name val="Arial"/>
      <family val="2"/>
    </font>
    <font>
      <sz val="11"/>
      <color theme="1"/>
      <name val="Aptos Narrow"/>
    </font>
    <font>
      <b/>
      <sz val="11"/>
      <name val="&quot;Aptos Narrow&quot;"/>
    </font>
    <font>
      <u/>
      <sz val="11"/>
      <color theme="10"/>
      <name val="Aptos Narrow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4C6272"/>
      <name val="Roboto"/>
    </font>
    <font>
      <sz val="12"/>
      <color rgb="FF4C6272"/>
      <name val="Roboto"/>
    </font>
    <font>
      <sz val="8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theme="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0"/>
      <color theme="1"/>
      <name val="Aptos Narrow"/>
      <scheme val="minor"/>
    </font>
    <font>
      <u/>
      <sz val="10"/>
      <color theme="10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7"/>
      <name val="Aptos Narrow"/>
      <scheme val="minor"/>
    </font>
    <font>
      <sz val="11"/>
      <color rgb="FFFFFF00"/>
      <name val="Aptos Narrow"/>
      <scheme val="minor"/>
    </font>
    <font>
      <sz val="11"/>
      <name val="Aptos Narrow"/>
      <scheme val="minor"/>
    </font>
    <font>
      <sz val="11"/>
      <color rgb="FFFFC000"/>
      <name val="Aptos Narrow"/>
      <scheme val="minor"/>
    </font>
    <font>
      <sz val="10"/>
      <color theme="2"/>
      <name val="Arial"/>
      <family val="2"/>
    </font>
    <font>
      <b/>
      <sz val="10"/>
      <color theme="2"/>
      <name val="Arial"/>
      <family val="2"/>
    </font>
    <font>
      <u/>
      <sz val="10"/>
      <color theme="2"/>
      <name val="Arial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b/>
      <sz val="11"/>
      <color theme="0"/>
      <name val="Aptos Narrow"/>
      <scheme val="minor"/>
    </font>
    <font>
      <u/>
      <sz val="10"/>
      <color rgb="FF0000FF"/>
      <name val="Arial"/>
      <family val="2"/>
    </font>
    <font>
      <u/>
      <sz val="11"/>
      <color theme="0"/>
      <name val="Aptos Narrow"/>
      <scheme val="minor"/>
    </font>
    <font>
      <u/>
      <sz val="11"/>
      <color theme="2"/>
      <name val="Aptos Narrow"/>
      <scheme val="minor"/>
    </font>
    <font>
      <sz val="11"/>
      <color theme="2"/>
      <name val="Aptos Narrow"/>
      <scheme val="minor"/>
    </font>
    <font>
      <sz val="10"/>
      <color theme="2"/>
      <name val="Aptos Narrow"/>
      <scheme val="minor"/>
    </font>
    <font>
      <u/>
      <sz val="10"/>
      <color theme="10"/>
      <name val="Aptos Narrow"/>
      <scheme val="minor"/>
    </font>
    <font>
      <b/>
      <sz val="11"/>
      <color theme="2"/>
      <name val="Aptos Narrow"/>
      <scheme val="minor"/>
    </font>
    <font>
      <u/>
      <sz val="10"/>
      <color theme="0"/>
      <name val="Aptos Narrow"/>
      <scheme val="minor"/>
    </font>
    <font>
      <b/>
      <sz val="14"/>
      <color theme="0"/>
      <name val="Roboto"/>
    </font>
    <font>
      <sz val="14"/>
      <color theme="1"/>
      <name val="Roboto"/>
    </font>
    <font>
      <sz val="10"/>
      <color theme="0"/>
      <name val="Aptos Narrow"/>
      <scheme val="minor"/>
    </font>
    <font>
      <sz val="11"/>
      <color rgb="FF008800"/>
      <name val="Arial"/>
      <family val="2"/>
    </font>
    <font>
      <sz val="11"/>
      <color rgb="FFE3342F"/>
      <name val="Arial"/>
      <family val="2"/>
    </font>
    <font>
      <sz val="10"/>
      <color theme="0"/>
      <name val="Roboto"/>
    </font>
    <font>
      <b/>
      <sz val="10"/>
      <color theme="0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6F7F8"/>
        <bgColor rgb="FFF6F7F8"/>
      </patternFill>
    </fill>
    <fill>
      <patternFill patternType="solid">
        <fgColor rgb="FFFFFDFD"/>
        <bgColor rgb="FFFFFDFD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rgb="FFFFFF00"/>
      </patternFill>
    </fill>
    <fill>
      <patternFill patternType="solid">
        <fgColor theme="1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E06666"/>
      </patternFill>
    </fill>
    <fill>
      <patternFill patternType="solid">
        <fgColor theme="1" tint="0.14999847407452621"/>
        <bgColor rgb="FFF8F9FA"/>
      </patternFill>
    </fill>
    <fill>
      <patternFill patternType="solid">
        <fgColor theme="1" tint="0.14999847407452621"/>
        <bgColor rgb="FFFFFFFF"/>
      </patternFill>
    </fill>
    <fill>
      <patternFill patternType="solid">
        <fgColor theme="1" tint="0.14999847407452621"/>
        <bgColor rgb="FF000000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8F9FA"/>
      </patternFill>
    </fill>
    <fill>
      <patternFill patternType="solid">
        <fgColor theme="3" tint="0.14999847407452621"/>
        <bgColor rgb="FF000000"/>
      </patternFill>
    </fill>
    <fill>
      <patternFill patternType="solid">
        <fgColor theme="1"/>
        <bgColor rgb="FFFFF2CC"/>
      </patternFill>
    </fill>
    <fill>
      <patternFill patternType="solid">
        <fgColor theme="1" tint="0.14999847407452621"/>
        <bgColor rgb="FFFFF2CC"/>
      </patternFill>
    </fill>
    <fill>
      <patternFill patternType="solid">
        <fgColor theme="1" tint="0.14999847407452621"/>
        <b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9B3642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/>
      <bottom style="thin">
        <color rgb="FF80808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499984740745262"/>
      </right>
      <top/>
      <bottom style="thin">
        <color theme="3" tint="0.499984740745262"/>
      </bottom>
      <diagonal/>
    </border>
    <border>
      <left style="thin">
        <color theme="3" tint="0.499984740745262"/>
      </left>
      <right/>
      <top/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08080"/>
      </left>
      <right style="thin">
        <color theme="3" tint="0.499984740745262"/>
      </right>
      <top style="thin">
        <color rgb="FF808080"/>
      </top>
      <bottom style="thin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3" tint="0.499984740745262"/>
      </right>
      <top/>
      <bottom/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 style="thin">
        <color rgb="FF808080"/>
      </left>
      <right style="thin">
        <color theme="3" tint="0.499984740745262"/>
      </right>
      <top style="thin">
        <color rgb="FF808080"/>
      </top>
      <bottom/>
      <diagonal/>
    </border>
    <border>
      <left style="thin">
        <color rgb="FF808080"/>
      </left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/>
      <right style="thin">
        <color theme="3" tint="0.34998626667073579"/>
      </right>
      <top style="thin">
        <color theme="3" tint="0.34998626667073579"/>
      </top>
      <bottom style="thin">
        <color theme="3" tint="0.34998626667073579"/>
      </bottom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/>
      <top style="thin">
        <color theme="3" tint="0.34998626667073579"/>
      </top>
      <bottom/>
      <diagonal/>
    </border>
    <border>
      <left/>
      <right/>
      <top style="thin">
        <color theme="3" tint="0.499984740745262"/>
      </top>
      <bottom style="thin">
        <color theme="3" tint="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8">
    <xf numFmtId="0" fontId="0" fillId="0" borderId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3" fillId="0" borderId="6"/>
    <xf numFmtId="0" fontId="29" fillId="0" borderId="6" applyNumberFormat="0" applyFill="0" applyBorder="0" applyAlignment="0" applyProtection="0"/>
    <xf numFmtId="9" fontId="5" fillId="0" borderId="0" applyFont="0" applyFill="0" applyBorder="0" applyAlignment="0" applyProtection="0"/>
    <xf numFmtId="0" fontId="2" fillId="0" borderId="6"/>
    <xf numFmtId="0" fontId="1" fillId="0" borderId="6"/>
  </cellStyleXfs>
  <cellXfs count="380">
    <xf numFmtId="0" fontId="0" fillId="0" borderId="0" xfId="0" applyFont="1" applyAlignment="1"/>
    <xf numFmtId="0" fontId="4" fillId="0" borderId="0" xfId="0" applyFont="1" applyAlignment="1"/>
    <xf numFmtId="10" fontId="5" fillId="0" borderId="0" xfId="0" applyNumberFormat="1" applyFont="1"/>
    <xf numFmtId="0" fontId="9" fillId="4" borderId="2" xfId="0" applyFont="1" applyFill="1" applyBorder="1" applyAlignment="1"/>
    <xf numFmtId="0" fontId="10" fillId="4" borderId="2" xfId="0" applyFont="1" applyFill="1" applyBorder="1" applyAlignment="1"/>
    <xf numFmtId="0" fontId="11" fillId="7" borderId="0" xfId="0" applyFont="1" applyFill="1" applyAlignment="1"/>
    <xf numFmtId="14" fontId="9" fillId="4" borderId="2" xfId="0" applyNumberFormat="1" applyFont="1" applyFill="1" applyBorder="1" applyAlignment="1"/>
    <xf numFmtId="0" fontId="7" fillId="4" borderId="0" xfId="0" applyFont="1" applyFill="1" applyAlignment="1"/>
    <xf numFmtId="2" fontId="9" fillId="4" borderId="2" xfId="0" applyNumberFormat="1" applyFont="1" applyFill="1" applyBorder="1" applyAlignment="1"/>
    <xf numFmtId="0" fontId="12" fillId="4" borderId="2" xfId="0" applyFont="1" applyFill="1" applyBorder="1" applyAlignment="1"/>
    <xf numFmtId="165" fontId="12" fillId="4" borderId="2" xfId="0" applyNumberFormat="1" applyFont="1" applyFill="1" applyBorder="1" applyAlignment="1"/>
    <xf numFmtId="0" fontId="7" fillId="4" borderId="2" xfId="0" applyFont="1" applyFill="1" applyBorder="1" applyAlignment="1"/>
    <xf numFmtId="0" fontId="5" fillId="2" borderId="3" xfId="0" applyFont="1" applyFill="1" applyBorder="1"/>
    <xf numFmtId="0" fontId="6" fillId="0" borderId="0" xfId="0" applyFont="1" applyAlignment="1"/>
    <xf numFmtId="4" fontId="13" fillId="0" borderId="0" xfId="0" applyNumberFormat="1" applyFont="1"/>
    <xf numFmtId="0" fontId="14" fillId="4" borderId="2" xfId="0" applyFont="1" applyFill="1" applyBorder="1" applyAlignment="1"/>
    <xf numFmtId="165" fontId="7" fillId="4" borderId="2" xfId="0" applyNumberFormat="1" applyFont="1" applyFill="1" applyBorder="1" applyAlignment="1"/>
    <xf numFmtId="165" fontId="15" fillId="4" borderId="4" xfId="0" applyNumberFormat="1" applyFont="1" applyFill="1" applyBorder="1" applyAlignment="1">
      <alignment horizontal="center"/>
    </xf>
    <xf numFmtId="165" fontId="15" fillId="4" borderId="3" xfId="0" applyNumberFormat="1" applyFont="1" applyFill="1" applyBorder="1" applyAlignment="1">
      <alignment horizontal="center"/>
    </xf>
    <xf numFmtId="2" fontId="7" fillId="4" borderId="2" xfId="0" applyNumberFormat="1" applyFont="1" applyFill="1" applyBorder="1" applyAlignment="1"/>
    <xf numFmtId="0" fontId="5" fillId="0" borderId="0" xfId="0" applyFont="1" applyAlignment="1"/>
    <xf numFmtId="0" fontId="16" fillId="4" borderId="2" xfId="0" applyFont="1" applyFill="1" applyBorder="1" applyAlignment="1"/>
    <xf numFmtId="14" fontId="5" fillId="0" borderId="0" xfId="0" applyNumberFormat="1" applyFont="1"/>
    <xf numFmtId="0" fontId="7" fillId="4" borderId="3" xfId="0" applyFont="1" applyFill="1" applyBorder="1" applyAlignment="1">
      <alignment vertical="center" wrapText="1"/>
    </xf>
    <xf numFmtId="0" fontId="17" fillId="0" borderId="0" xfId="0" applyFont="1" applyAlignment="1"/>
    <xf numFmtId="167" fontId="5" fillId="0" borderId="0" xfId="0" applyNumberFormat="1" applyFont="1"/>
    <xf numFmtId="14" fontId="7" fillId="4" borderId="2" xfId="0" applyNumberFormat="1" applyFont="1" applyFill="1" applyBorder="1" applyAlignment="1"/>
    <xf numFmtId="0" fontId="18" fillId="4" borderId="2" xfId="0" applyFont="1" applyFill="1" applyBorder="1" applyAlignment="1"/>
    <xf numFmtId="165" fontId="7" fillId="4" borderId="0" xfId="0" applyNumberFormat="1" applyFont="1" applyFill="1" applyAlignment="1"/>
    <xf numFmtId="0" fontId="7" fillId="4" borderId="0" xfId="0" applyFont="1" applyFill="1" applyAlignment="1"/>
    <xf numFmtId="10" fontId="7" fillId="4" borderId="0" xfId="0" applyNumberFormat="1" applyFont="1" applyFill="1" applyAlignment="1"/>
    <xf numFmtId="0" fontId="9" fillId="4" borderId="0" xfId="0" applyFont="1" applyFill="1" applyAlignment="1"/>
    <xf numFmtId="14" fontId="7" fillId="4" borderId="0" xfId="0" applyNumberFormat="1" applyFont="1" applyFill="1" applyAlignment="1"/>
    <xf numFmtId="10" fontId="13" fillId="0" borderId="0" xfId="0" applyNumberFormat="1" applyFont="1"/>
    <xf numFmtId="0" fontId="11" fillId="6" borderId="0" xfId="0" applyFont="1" applyFill="1" applyAlignment="1"/>
    <xf numFmtId="0" fontId="19" fillId="3" borderId="0" xfId="0" applyFont="1" applyFill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14" fontId="7" fillId="4" borderId="5" xfId="0" applyNumberFormat="1" applyFont="1" applyFill="1" applyBorder="1" applyAlignment="1">
      <alignment vertical="center" wrapText="1"/>
    </xf>
    <xf numFmtId="10" fontId="20" fillId="0" borderId="0" xfId="0" applyNumberFormat="1" applyFont="1"/>
    <xf numFmtId="0" fontId="4" fillId="0" borderId="0" xfId="0" applyFont="1" applyAlignment="1">
      <alignment horizontal="right"/>
    </xf>
    <xf numFmtId="0" fontId="8" fillId="4" borderId="0" xfId="0" applyFont="1" applyFill="1" applyAlignment="1"/>
    <xf numFmtId="10" fontId="7" fillId="4" borderId="5" xfId="0" applyNumberFormat="1" applyFont="1" applyFill="1" applyBorder="1" applyAlignment="1">
      <alignment vertical="center" wrapText="1"/>
    </xf>
    <xf numFmtId="10" fontId="9" fillId="4" borderId="2" xfId="0" applyNumberFormat="1" applyFont="1" applyFill="1" applyBorder="1" applyAlignment="1"/>
    <xf numFmtId="10" fontId="7" fillId="4" borderId="2" xfId="0" applyNumberFormat="1" applyFont="1" applyFill="1" applyBorder="1" applyAlignment="1"/>
    <xf numFmtId="165" fontId="18" fillId="4" borderId="2" xfId="0" applyNumberFormat="1" applyFont="1" applyFill="1" applyBorder="1" applyAlignment="1"/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14" fontId="7" fillId="4" borderId="3" xfId="0" applyNumberFormat="1" applyFont="1" applyFill="1" applyBorder="1" applyAlignment="1">
      <alignment vertical="center" wrapText="1"/>
    </xf>
    <xf numFmtId="0" fontId="21" fillId="8" borderId="1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6" fillId="9" borderId="5" xfId="0" applyFont="1" applyFill="1" applyBorder="1" applyAlignment="1">
      <alignment vertical="center" wrapText="1"/>
    </xf>
    <xf numFmtId="14" fontId="26" fillId="9" borderId="5" xfId="0" applyNumberFormat="1" applyFont="1" applyFill="1" applyBorder="1" applyAlignment="1">
      <alignment vertical="center" wrapText="1"/>
    </xf>
    <xf numFmtId="0" fontId="27" fillId="9" borderId="5" xfId="0" applyFont="1" applyFill="1" applyBorder="1" applyAlignment="1">
      <alignment vertical="center" wrapText="1"/>
    </xf>
    <xf numFmtId="14" fontId="27" fillId="9" borderId="5" xfId="0" applyNumberFormat="1" applyFont="1" applyFill="1" applyBorder="1" applyAlignment="1">
      <alignment vertical="center" wrapText="1"/>
    </xf>
    <xf numFmtId="0" fontId="25" fillId="8" borderId="7" xfId="0" applyFont="1" applyFill="1" applyBorder="1" applyAlignment="1">
      <alignment horizontal="center"/>
    </xf>
    <xf numFmtId="0" fontId="0" fillId="4" borderId="0" xfId="0" applyFill="1"/>
    <xf numFmtId="0" fontId="16" fillId="9" borderId="5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34" fillId="5" borderId="8" xfId="4" applyFont="1" applyFill="1" applyBorder="1" applyAlignment="1">
      <alignment horizontal="center"/>
    </xf>
    <xf numFmtId="0" fontId="33" fillId="4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0" fillId="12" borderId="0" xfId="0" applyFont="1" applyFill="1" applyAlignment="1"/>
    <xf numFmtId="0" fontId="35" fillId="12" borderId="0" xfId="0" applyFont="1" applyFill="1" applyAlignment="1"/>
    <xf numFmtId="0" fontId="0" fillId="10" borderId="0" xfId="0" applyFont="1" applyFill="1" applyAlignment="1">
      <alignment horizontal="center"/>
    </xf>
    <xf numFmtId="0" fontId="35" fillId="12" borderId="6" xfId="0" applyFont="1" applyFill="1" applyBorder="1" applyAlignment="1"/>
    <xf numFmtId="0" fontId="35" fillId="13" borderId="10" xfId="0" applyFont="1" applyFill="1" applyBorder="1" applyAlignment="1">
      <alignment horizontal="center"/>
    </xf>
    <xf numFmtId="0" fontId="35" fillId="11" borderId="10" xfId="0" applyFont="1" applyFill="1" applyBorder="1" applyAlignment="1">
      <alignment horizontal="center"/>
    </xf>
    <xf numFmtId="0" fontId="36" fillId="12" borderId="6" xfId="0" applyFont="1" applyFill="1" applyBorder="1" applyAlignment="1"/>
    <xf numFmtId="10" fontId="36" fillId="12" borderId="6" xfId="5" applyNumberFormat="1" applyFont="1" applyFill="1" applyBorder="1" applyAlignment="1"/>
    <xf numFmtId="170" fontId="36" fillId="12" borderId="6" xfId="2" applyNumberFormat="1" applyFont="1" applyFill="1" applyBorder="1" applyAlignment="1"/>
    <xf numFmtId="170" fontId="37" fillId="12" borderId="6" xfId="2" applyNumberFormat="1" applyFont="1" applyFill="1" applyBorder="1" applyAlignment="1"/>
    <xf numFmtId="43" fontId="35" fillId="12" borderId="0" xfId="0" applyNumberFormat="1" applyFont="1" applyFill="1" applyAlignment="1"/>
    <xf numFmtId="0" fontId="0" fillId="12" borderId="0" xfId="0" applyFont="1" applyFill="1" applyAlignment="1">
      <alignment horizontal="center"/>
    </xf>
    <xf numFmtId="0" fontId="35" fillId="12" borderId="10" xfId="0" applyFont="1" applyFill="1" applyBorder="1" applyAlignment="1">
      <alignment horizontal="center"/>
    </xf>
    <xf numFmtId="0" fontId="35" fillId="12" borderId="0" xfId="0" applyFont="1" applyFill="1" applyAlignment="1">
      <alignment horizontal="right"/>
    </xf>
    <xf numFmtId="0" fontId="38" fillId="16" borderId="0" xfId="0" applyFont="1" applyFill="1" applyAlignment="1"/>
    <xf numFmtId="0" fontId="35" fillId="16" borderId="0" xfId="0" applyFont="1" applyFill="1" applyAlignment="1"/>
    <xf numFmtId="168" fontId="35" fillId="16" borderId="0" xfId="5" applyNumberFormat="1" applyFont="1" applyFill="1" applyAlignment="1"/>
    <xf numFmtId="0" fontId="35" fillId="17" borderId="0" xfId="0" applyFont="1" applyFill="1" applyAlignment="1">
      <alignment horizontal="center"/>
    </xf>
    <xf numFmtId="168" fontId="35" fillId="17" borderId="0" xfId="5" applyNumberFormat="1" applyFont="1" applyFill="1" applyAlignment="1">
      <alignment horizontal="center"/>
    </xf>
    <xf numFmtId="0" fontId="35" fillId="16" borderId="0" xfId="0" applyFont="1" applyFill="1" applyAlignment="1">
      <alignment horizontal="center"/>
    </xf>
    <xf numFmtId="170" fontId="35" fillId="17" borderId="0" xfId="2" applyNumberFormat="1" applyFont="1" applyFill="1" applyAlignment="1">
      <alignment horizontal="center"/>
    </xf>
    <xf numFmtId="170" fontId="35" fillId="16" borderId="0" xfId="2" applyNumberFormat="1" applyFont="1" applyFill="1" applyAlignment="1"/>
    <xf numFmtId="168" fontId="35" fillId="12" borderId="0" xfId="5" applyNumberFormat="1" applyFont="1" applyFill="1" applyAlignment="1"/>
    <xf numFmtId="0" fontId="35" fillId="18" borderId="0" xfId="0" applyFont="1" applyFill="1" applyAlignment="1"/>
    <xf numFmtId="0" fontId="35" fillId="12" borderId="12" xfId="0" applyFont="1" applyFill="1" applyBorder="1" applyAlignment="1"/>
    <xf numFmtId="170" fontId="35" fillId="12" borderId="12" xfId="2" applyNumberFormat="1" applyFont="1" applyFill="1" applyBorder="1" applyAlignment="1"/>
    <xf numFmtId="9" fontId="5" fillId="12" borderId="12" xfId="5" applyFont="1" applyFill="1" applyBorder="1" applyAlignment="1"/>
    <xf numFmtId="170" fontId="35" fillId="18" borderId="0" xfId="2" applyNumberFormat="1" applyFont="1" applyFill="1" applyAlignment="1"/>
    <xf numFmtId="9" fontId="35" fillId="18" borderId="0" xfId="5" applyFont="1" applyFill="1" applyAlignment="1"/>
    <xf numFmtId="0" fontId="35" fillId="17" borderId="0" xfId="0" applyFont="1" applyFill="1" applyAlignment="1"/>
    <xf numFmtId="168" fontId="35" fillId="15" borderId="12" xfId="5" applyNumberFormat="1" applyFont="1" applyFill="1" applyBorder="1" applyAlignment="1">
      <alignment horizontal="center"/>
    </xf>
    <xf numFmtId="0" fontId="35" fillId="18" borderId="0" xfId="0" applyFont="1" applyFill="1" applyAlignment="1">
      <alignment horizontal="center"/>
    </xf>
    <xf numFmtId="0" fontId="35" fillId="12" borderId="0" xfId="0" applyFont="1" applyFill="1" applyAlignment="1">
      <alignment horizontal="center"/>
    </xf>
    <xf numFmtId="1" fontId="35" fillId="15" borderId="12" xfId="0" applyNumberFormat="1" applyFont="1" applyFill="1" applyBorder="1" applyAlignment="1">
      <alignment horizontal="center"/>
    </xf>
    <xf numFmtId="9" fontId="38" fillId="10" borderId="12" xfId="0" applyNumberFormat="1" applyFont="1" applyFill="1" applyBorder="1" applyAlignment="1"/>
    <xf numFmtId="168" fontId="39" fillId="12" borderId="6" xfId="5" applyNumberFormat="1" applyFont="1" applyFill="1" applyBorder="1" applyAlignment="1">
      <alignment horizontal="center"/>
    </xf>
    <xf numFmtId="1" fontId="35" fillId="12" borderId="6" xfId="0" applyNumberFormat="1" applyFont="1" applyFill="1" applyBorder="1" applyAlignment="1">
      <alignment horizontal="center"/>
    </xf>
    <xf numFmtId="1" fontId="35" fillId="15" borderId="14" xfId="0" applyNumberFormat="1" applyFont="1" applyFill="1" applyBorder="1" applyAlignment="1">
      <alignment horizontal="center"/>
    </xf>
    <xf numFmtId="14" fontId="38" fillId="10" borderId="0" xfId="0" applyNumberFormat="1" applyFont="1" applyFill="1" applyAlignment="1"/>
    <xf numFmtId="0" fontId="35" fillId="12" borderId="17" xfId="0" applyFont="1" applyFill="1" applyBorder="1" applyAlignment="1"/>
    <xf numFmtId="0" fontId="35" fillId="17" borderId="17" xfId="0" applyFont="1" applyFill="1" applyBorder="1" applyAlignment="1"/>
    <xf numFmtId="169" fontId="35" fillId="17" borderId="17" xfId="5" applyNumberFormat="1" applyFont="1" applyFill="1" applyBorder="1" applyAlignment="1"/>
    <xf numFmtId="9" fontId="35" fillId="17" borderId="17" xfId="5" applyFont="1" applyFill="1" applyBorder="1" applyAlignment="1"/>
    <xf numFmtId="0" fontId="35" fillId="12" borderId="13" xfId="0" applyFont="1" applyFill="1" applyBorder="1" applyAlignment="1"/>
    <xf numFmtId="0" fontId="23" fillId="12" borderId="0" xfId="0" applyFont="1" applyFill="1" applyAlignment="1">
      <alignment horizontal="center" vertical="center"/>
    </xf>
    <xf numFmtId="10" fontId="23" fillId="12" borderId="0" xfId="0" applyNumberFormat="1" applyFont="1" applyFill="1" applyAlignment="1">
      <alignment horizontal="center"/>
    </xf>
    <xf numFmtId="0" fontId="41" fillId="17" borderId="18" xfId="0" applyFont="1" applyFill="1" applyBorder="1" applyAlignment="1">
      <alignment horizontal="center" vertical="center"/>
    </xf>
    <xf numFmtId="0" fontId="41" fillId="17" borderId="16" xfId="0" applyFont="1" applyFill="1" applyBorder="1" applyAlignment="1">
      <alignment horizontal="center" vertical="center"/>
    </xf>
    <xf numFmtId="0" fontId="41" fillId="17" borderId="19" xfId="0" applyFont="1" applyFill="1" applyBorder="1" applyAlignment="1">
      <alignment horizontal="center" vertical="center"/>
    </xf>
    <xf numFmtId="10" fontId="23" fillId="22" borderId="12" xfId="0" applyNumberFormat="1" applyFont="1" applyFill="1" applyBorder="1" applyAlignment="1">
      <alignment horizontal="center" vertical="center"/>
    </xf>
    <xf numFmtId="4" fontId="23" fillId="21" borderId="12" xfId="0" applyNumberFormat="1" applyFont="1" applyFill="1" applyBorder="1" applyAlignment="1">
      <alignment horizontal="center" vertical="center"/>
    </xf>
    <xf numFmtId="0" fontId="40" fillId="26" borderId="20" xfId="0" applyFont="1" applyFill="1" applyBorder="1" applyAlignment="1">
      <alignment horizontal="center" vertical="center"/>
    </xf>
    <xf numFmtId="10" fontId="23" fillId="26" borderId="12" xfId="5" applyNumberFormat="1" applyFont="1" applyFill="1" applyBorder="1" applyAlignment="1">
      <alignment vertical="center"/>
    </xf>
    <xf numFmtId="10" fontId="23" fillId="26" borderId="12" xfId="0" applyNumberFormat="1" applyFont="1" applyFill="1" applyBorder="1" applyAlignment="1">
      <alignment horizontal="center" vertical="center"/>
    </xf>
    <xf numFmtId="0" fontId="40" fillId="26" borderId="20" xfId="0" applyFont="1" applyFill="1" applyBorder="1" applyAlignment="1">
      <alignment horizontal="center"/>
    </xf>
    <xf numFmtId="0" fontId="32" fillId="12" borderId="0" xfId="0" applyFont="1" applyFill="1" applyAlignment="1">
      <alignment horizontal="center"/>
    </xf>
    <xf numFmtId="0" fontId="24" fillId="12" borderId="0" xfId="0" applyFont="1" applyFill="1" applyAlignment="1">
      <alignment horizontal="center"/>
    </xf>
    <xf numFmtId="0" fontId="23" fillId="12" borderId="0" xfId="0" applyFont="1" applyFill="1" applyAlignment="1">
      <alignment horizontal="center"/>
    </xf>
    <xf numFmtId="170" fontId="23" fillId="12" borderId="0" xfId="2" applyNumberFormat="1" applyFont="1" applyFill="1" applyAlignment="1">
      <alignment horizontal="center"/>
    </xf>
    <xf numFmtId="2" fontId="23" fillId="29" borderId="0" xfId="0" applyNumberFormat="1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164" fontId="23" fillId="12" borderId="0" xfId="0" applyNumberFormat="1" applyFont="1" applyFill="1" applyAlignment="1">
      <alignment horizontal="center" vertical="center"/>
    </xf>
    <xf numFmtId="43" fontId="30" fillId="12" borderId="0" xfId="2" applyFont="1" applyFill="1" applyAlignment="1">
      <alignment horizontal="center" vertical="center"/>
    </xf>
    <xf numFmtId="170" fontId="30" fillId="12" borderId="0" xfId="2" applyNumberFormat="1" applyFont="1" applyFill="1" applyAlignment="1">
      <alignment horizontal="center" vertical="center"/>
    </xf>
    <xf numFmtId="3" fontId="23" fillId="12" borderId="0" xfId="0" applyNumberFormat="1" applyFont="1" applyFill="1" applyAlignment="1">
      <alignment horizontal="center" vertical="center"/>
    </xf>
    <xf numFmtId="2" fontId="23" fillId="29" borderId="0" xfId="0" applyNumberFormat="1" applyFont="1" applyFill="1" applyAlignment="1">
      <alignment horizontal="center"/>
    </xf>
    <xf numFmtId="0" fontId="23" fillId="19" borderId="0" xfId="0" applyFont="1" applyFill="1" applyAlignment="1">
      <alignment horizontal="center"/>
    </xf>
    <xf numFmtId="164" fontId="23" fillId="12" borderId="0" xfId="0" applyNumberFormat="1" applyFont="1" applyFill="1" applyAlignment="1">
      <alignment horizontal="center"/>
    </xf>
    <xf numFmtId="3" fontId="23" fillId="12" borderId="0" xfId="0" applyNumberFormat="1" applyFont="1" applyFill="1" applyAlignment="1">
      <alignment horizontal="center"/>
    </xf>
    <xf numFmtId="166" fontId="23" fillId="12" borderId="0" xfId="0" applyNumberFormat="1" applyFont="1" applyFill="1" applyAlignment="1">
      <alignment horizontal="center"/>
    </xf>
    <xf numFmtId="0" fontId="43" fillId="18" borderId="0" xfId="0" applyFont="1" applyFill="1" applyAlignment="1">
      <alignment horizontal="center" vertical="center"/>
    </xf>
    <xf numFmtId="49" fontId="43" fillId="18" borderId="0" xfId="0" applyNumberFormat="1" applyFont="1" applyFill="1" applyAlignment="1">
      <alignment horizontal="center" vertical="center"/>
    </xf>
    <xf numFmtId="170" fontId="43" fillId="18" borderId="0" xfId="2" applyNumberFormat="1" applyFont="1" applyFill="1" applyAlignment="1">
      <alignment horizontal="center" vertical="center"/>
    </xf>
    <xf numFmtId="43" fontId="30" fillId="21" borderId="0" xfId="2" applyFont="1" applyFill="1" applyAlignment="1">
      <alignment horizontal="center" vertical="center"/>
    </xf>
    <xf numFmtId="170" fontId="30" fillId="21" borderId="0" xfId="2" applyNumberFormat="1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2" fontId="30" fillId="30" borderId="0" xfId="0" applyNumberFormat="1" applyFont="1" applyFill="1" applyAlignment="1">
      <alignment horizontal="center" vertical="center"/>
    </xf>
    <xf numFmtId="0" fontId="30" fillId="31" borderId="0" xfId="0" applyFont="1" applyFill="1" applyAlignment="1">
      <alignment horizontal="center" vertical="center"/>
    </xf>
    <xf numFmtId="164" fontId="30" fillId="21" borderId="0" xfId="0" applyNumberFormat="1" applyFont="1" applyFill="1" applyAlignment="1">
      <alignment horizontal="center" vertical="center"/>
    </xf>
    <xf numFmtId="3" fontId="30" fillId="21" borderId="0" xfId="0" applyNumberFormat="1" applyFont="1" applyFill="1" applyAlignment="1">
      <alignment horizontal="center" vertical="center"/>
    </xf>
    <xf numFmtId="0" fontId="30" fillId="21" borderId="12" xfId="0" applyFont="1" applyFill="1" applyBorder="1" applyAlignment="1">
      <alignment horizontal="center" vertical="center"/>
    </xf>
    <xf numFmtId="2" fontId="30" fillId="30" borderId="12" xfId="0" applyNumberFormat="1" applyFont="1" applyFill="1" applyBorder="1" applyAlignment="1">
      <alignment horizontal="center" vertical="center"/>
    </xf>
    <xf numFmtId="0" fontId="30" fillId="31" borderId="12" xfId="0" applyFont="1" applyFill="1" applyBorder="1" applyAlignment="1">
      <alignment horizontal="center" vertical="center"/>
    </xf>
    <xf numFmtId="164" fontId="30" fillId="21" borderId="12" xfId="0" applyNumberFormat="1" applyFont="1" applyFill="1" applyBorder="1" applyAlignment="1">
      <alignment horizontal="center" vertical="center"/>
    </xf>
    <xf numFmtId="43" fontId="30" fillId="21" borderId="12" xfId="2" applyFont="1" applyFill="1" applyBorder="1" applyAlignment="1">
      <alignment horizontal="center" vertical="center"/>
    </xf>
    <xf numFmtId="170" fontId="30" fillId="21" borderId="12" xfId="2" applyNumberFormat="1" applyFont="1" applyFill="1" applyBorder="1" applyAlignment="1">
      <alignment horizontal="center" vertical="center"/>
    </xf>
    <xf numFmtId="3" fontId="30" fillId="21" borderId="12" xfId="0" applyNumberFormat="1" applyFont="1" applyFill="1" applyBorder="1" applyAlignment="1">
      <alignment horizontal="center" vertical="center"/>
    </xf>
    <xf numFmtId="0" fontId="44" fillId="21" borderId="12" xfId="0" applyFont="1" applyFill="1" applyBorder="1" applyAlignment="1">
      <alignment horizontal="center" vertical="center"/>
    </xf>
    <xf numFmtId="0" fontId="30" fillId="21" borderId="0" xfId="0" applyFont="1" applyFill="1" applyBorder="1" applyAlignment="1">
      <alignment horizontal="center" vertical="center"/>
    </xf>
    <xf numFmtId="0" fontId="44" fillId="21" borderId="0" xfId="0" applyFont="1" applyFill="1" applyBorder="1" applyAlignment="1">
      <alignment horizontal="center" vertical="center"/>
    </xf>
    <xf numFmtId="0" fontId="44" fillId="23" borderId="0" xfId="0" applyFont="1" applyFill="1" applyBorder="1" applyAlignment="1">
      <alignment horizontal="center" vertical="center"/>
    </xf>
    <xf numFmtId="10" fontId="23" fillId="22" borderId="0" xfId="0" applyNumberFormat="1" applyFont="1" applyFill="1" applyBorder="1" applyAlignment="1">
      <alignment horizontal="center" vertical="center"/>
    </xf>
    <xf numFmtId="2" fontId="30" fillId="30" borderId="0" xfId="0" applyNumberFormat="1" applyFont="1" applyFill="1" applyBorder="1" applyAlignment="1">
      <alignment horizontal="center" vertical="center"/>
    </xf>
    <xf numFmtId="0" fontId="30" fillId="31" borderId="0" xfId="0" applyFont="1" applyFill="1" applyBorder="1" applyAlignment="1">
      <alignment horizontal="center" vertical="center"/>
    </xf>
    <xf numFmtId="4" fontId="23" fillId="21" borderId="0" xfId="0" applyNumberFormat="1" applyFont="1" applyFill="1" applyBorder="1" applyAlignment="1">
      <alignment horizontal="center" vertical="center"/>
    </xf>
    <xf numFmtId="164" fontId="30" fillId="21" borderId="0" xfId="0" applyNumberFormat="1" applyFont="1" applyFill="1" applyBorder="1" applyAlignment="1">
      <alignment horizontal="center" vertical="center"/>
    </xf>
    <xf numFmtId="43" fontId="30" fillId="21" borderId="0" xfId="2" applyFont="1" applyFill="1" applyBorder="1" applyAlignment="1">
      <alignment horizontal="center" vertical="center"/>
    </xf>
    <xf numFmtId="170" fontId="30" fillId="21" borderId="0" xfId="2" applyNumberFormat="1" applyFont="1" applyFill="1" applyBorder="1" applyAlignment="1">
      <alignment horizontal="center" vertical="center"/>
    </xf>
    <xf numFmtId="3" fontId="30" fillId="21" borderId="0" xfId="0" applyNumberFormat="1" applyFont="1" applyFill="1" applyBorder="1" applyAlignment="1">
      <alignment horizontal="center" vertical="center"/>
    </xf>
    <xf numFmtId="168" fontId="5" fillId="12" borderId="12" xfId="5" applyNumberFormat="1" applyFont="1" applyFill="1" applyBorder="1" applyAlignment="1"/>
    <xf numFmtId="9" fontId="0" fillId="0" borderId="0" xfId="5" applyFont="1" applyAlignment="1"/>
    <xf numFmtId="9" fontId="35" fillId="12" borderId="0" xfId="5" applyFont="1" applyFill="1" applyAlignment="1"/>
    <xf numFmtId="170" fontId="35" fillId="12" borderId="15" xfId="2" applyNumberFormat="1" applyFont="1" applyFill="1" applyBorder="1" applyAlignment="1"/>
    <xf numFmtId="9" fontId="5" fillId="12" borderId="15" xfId="5" applyFont="1" applyFill="1" applyBorder="1" applyAlignment="1"/>
    <xf numFmtId="0" fontId="35" fillId="12" borderId="15" xfId="0" applyFont="1" applyFill="1" applyBorder="1" applyAlignment="1"/>
    <xf numFmtId="168" fontId="5" fillId="12" borderId="15" xfId="5" applyNumberFormat="1" applyFont="1" applyFill="1" applyBorder="1" applyAlignment="1"/>
    <xf numFmtId="0" fontId="23" fillId="12" borderId="0" xfId="0" applyFont="1" applyFill="1" applyAlignment="1"/>
    <xf numFmtId="14" fontId="23" fillId="19" borderId="0" xfId="0" applyNumberFormat="1" applyFont="1" applyFill="1" applyAlignment="1">
      <alignment horizontal="center"/>
    </xf>
    <xf numFmtId="14" fontId="23" fillId="12" borderId="0" xfId="0" applyNumberFormat="1" applyFont="1" applyFill="1" applyAlignment="1">
      <alignment horizontal="center"/>
    </xf>
    <xf numFmtId="0" fontId="46" fillId="12" borderId="0" xfId="0" applyFont="1" applyFill="1" applyAlignment="1">
      <alignment horizontal="center"/>
    </xf>
    <xf numFmtId="0" fontId="31" fillId="20" borderId="9" xfId="4" applyFont="1" applyFill="1" applyBorder="1" applyAlignment="1">
      <alignment horizontal="center"/>
    </xf>
    <xf numFmtId="0" fontId="31" fillId="20" borderId="8" xfId="4" applyFont="1" applyFill="1" applyBorder="1" applyAlignment="1">
      <alignment horizontal="center"/>
    </xf>
    <xf numFmtId="0" fontId="44" fillId="25" borderId="12" xfId="4" applyFont="1" applyFill="1" applyBorder="1" applyAlignment="1">
      <alignment horizontal="center"/>
    </xf>
    <xf numFmtId="10" fontId="23" fillId="21" borderId="12" xfId="0" applyNumberFormat="1" applyFont="1" applyFill="1" applyBorder="1" applyAlignment="1">
      <alignment horizontal="center" vertical="center"/>
    </xf>
    <xf numFmtId="0" fontId="44" fillId="21" borderId="12" xfId="1" applyFont="1" applyFill="1" applyBorder="1" applyAlignment="1">
      <alignment horizontal="center"/>
    </xf>
    <xf numFmtId="0" fontId="32" fillId="12" borderId="0" xfId="0" applyFont="1" applyFill="1" applyAlignment="1"/>
    <xf numFmtId="0" fontId="25" fillId="20" borderId="8" xfId="3" applyFont="1" applyFill="1" applyBorder="1" applyAlignment="1">
      <alignment horizontal="center"/>
    </xf>
    <xf numFmtId="0" fontId="44" fillId="23" borderId="12" xfId="1" applyFont="1" applyFill="1" applyBorder="1" applyAlignment="1">
      <alignment horizontal="center" vertical="center"/>
    </xf>
    <xf numFmtId="0" fontId="30" fillId="21" borderId="12" xfId="0" applyFont="1" applyFill="1" applyBorder="1" applyAlignment="1">
      <alignment horizontal="center"/>
    </xf>
    <xf numFmtId="0" fontId="44" fillId="21" borderId="12" xfId="1" applyFont="1" applyFill="1" applyBorder="1" applyAlignment="1">
      <alignment horizontal="center" vertical="center"/>
    </xf>
    <xf numFmtId="164" fontId="30" fillId="24" borderId="12" xfId="0" applyNumberFormat="1" applyFont="1" applyFill="1" applyBorder="1" applyAlignment="1">
      <alignment horizontal="center"/>
    </xf>
    <xf numFmtId="0" fontId="25" fillId="20" borderId="8" xfId="3" applyNumberFormat="1" applyFont="1" applyFill="1" applyBorder="1" applyAlignment="1">
      <alignment horizontal="center"/>
    </xf>
    <xf numFmtId="0" fontId="44" fillId="25" borderId="12" xfId="1" applyFont="1" applyFill="1" applyBorder="1" applyAlignment="1">
      <alignment horizontal="center"/>
    </xf>
    <xf numFmtId="9" fontId="23" fillId="12" borderId="0" xfId="0" applyNumberFormat="1" applyFont="1" applyFill="1" applyAlignment="1">
      <alignment horizontal="center"/>
    </xf>
    <xf numFmtId="0" fontId="44" fillId="21" borderId="0" xfId="1" applyFont="1" applyFill="1" applyAlignment="1">
      <alignment horizontal="center"/>
    </xf>
    <xf numFmtId="10" fontId="23" fillId="21" borderId="0" xfId="0" applyNumberFormat="1" applyFont="1" applyFill="1" applyAlignment="1">
      <alignment horizontal="center" vertical="center"/>
    </xf>
    <xf numFmtId="4" fontId="23" fillId="21" borderId="0" xfId="0" applyNumberFormat="1" applyFont="1" applyFill="1" applyAlignment="1">
      <alignment horizontal="center" vertical="center"/>
    </xf>
    <xf numFmtId="0" fontId="44" fillId="21" borderId="0" xfId="1" applyFont="1" applyFill="1" applyBorder="1" applyAlignment="1">
      <alignment horizontal="center"/>
    </xf>
    <xf numFmtId="10" fontId="23" fillId="21" borderId="0" xfId="0" applyNumberFormat="1" applyFont="1" applyFill="1" applyBorder="1" applyAlignment="1">
      <alignment horizontal="center" vertical="center"/>
    </xf>
    <xf numFmtId="0" fontId="30" fillId="21" borderId="0" xfId="0" applyFont="1" applyFill="1" applyBorder="1" applyAlignment="1">
      <alignment horizontal="center"/>
    </xf>
    <xf numFmtId="10" fontId="23" fillId="12" borderId="0" xfId="0" applyNumberFormat="1" applyFont="1" applyFill="1" applyAlignment="1">
      <alignment horizontal="center" vertical="center"/>
    </xf>
    <xf numFmtId="4" fontId="23" fillId="12" borderId="0" xfId="0" applyNumberFormat="1" applyFont="1" applyFill="1" applyAlignment="1">
      <alignment horizontal="center" vertical="center"/>
    </xf>
    <xf numFmtId="4" fontId="23" fillId="12" borderId="0" xfId="0" applyNumberFormat="1" applyFont="1" applyFill="1" applyAlignment="1">
      <alignment horizontal="center"/>
    </xf>
    <xf numFmtId="170" fontId="23" fillId="12" borderId="0" xfId="2" applyNumberFormat="1" applyFont="1" applyFill="1" applyAlignment="1"/>
    <xf numFmtId="171" fontId="13" fillId="0" borderId="0" xfId="0" applyNumberFormat="1" applyFont="1"/>
    <xf numFmtId="0" fontId="45" fillId="18" borderId="23" xfId="0" applyFont="1" applyFill="1" applyBorder="1" applyAlignment="1"/>
    <xf numFmtId="168" fontId="35" fillId="18" borderId="0" xfId="5" applyNumberFormat="1" applyFont="1" applyFill="1" applyAlignment="1">
      <alignment horizontal="center"/>
    </xf>
    <xf numFmtId="10" fontId="23" fillId="26" borderId="14" xfId="5" applyNumberFormat="1" applyFont="1" applyFill="1" applyBorder="1" applyAlignment="1">
      <alignment vertical="center"/>
    </xf>
    <xf numFmtId="0" fontId="47" fillId="27" borderId="20" xfId="1" applyFont="1" applyFill="1" applyBorder="1" applyAlignment="1">
      <alignment horizontal="center" vertical="center"/>
    </xf>
    <xf numFmtId="0" fontId="47" fillId="26" borderId="20" xfId="1" applyFont="1" applyFill="1" applyBorder="1" applyAlignment="1">
      <alignment horizontal="center" vertical="center"/>
    </xf>
    <xf numFmtId="0" fontId="47" fillId="28" borderId="20" xfId="1" applyFont="1" applyFill="1" applyBorder="1" applyAlignment="1">
      <alignment horizontal="center"/>
    </xf>
    <xf numFmtId="0" fontId="47" fillId="26" borderId="20" xfId="1" applyFont="1" applyFill="1" applyBorder="1" applyAlignment="1">
      <alignment horizontal="center"/>
    </xf>
    <xf numFmtId="0" fontId="47" fillId="26" borderId="25" xfId="1" applyFont="1" applyFill="1" applyBorder="1" applyAlignment="1">
      <alignment horizontal="center" vertical="center"/>
    </xf>
    <xf numFmtId="0" fontId="35" fillId="26" borderId="26" xfId="0" applyFont="1" applyFill="1" applyBorder="1" applyAlignment="1"/>
    <xf numFmtId="168" fontId="35" fillId="26" borderId="26" xfId="5" applyNumberFormat="1" applyFont="1" applyFill="1" applyBorder="1" applyAlignment="1"/>
    <xf numFmtId="0" fontId="35" fillId="33" borderId="26" xfId="0" applyFont="1" applyFill="1" applyBorder="1" applyAlignment="1"/>
    <xf numFmtId="170" fontId="35" fillId="12" borderId="6" xfId="2" applyNumberFormat="1" applyFont="1" applyFill="1" applyBorder="1" applyAlignment="1"/>
    <xf numFmtId="9" fontId="5" fillId="12" borderId="6" xfId="5" applyFont="1" applyFill="1" applyBorder="1" applyAlignment="1"/>
    <xf numFmtId="0" fontId="23" fillId="12" borderId="6" xfId="0" applyFont="1" applyFill="1" applyBorder="1" applyAlignment="1">
      <alignment wrapText="1"/>
    </xf>
    <xf numFmtId="10" fontId="0" fillId="0" borderId="0" xfId="5" applyNumberFormat="1" applyFont="1" applyAlignment="1"/>
    <xf numFmtId="10" fontId="0" fillId="0" borderId="0" xfId="0" applyNumberFormat="1" applyFont="1" applyAlignment="1"/>
    <xf numFmtId="0" fontId="38" fillId="12" borderId="0" xfId="0" applyFont="1" applyFill="1" applyAlignment="1"/>
    <xf numFmtId="0" fontId="38" fillId="12" borderId="6" xfId="0" applyFont="1" applyFill="1" applyBorder="1" applyAlignment="1"/>
    <xf numFmtId="10" fontId="38" fillId="12" borderId="6" xfId="5" applyNumberFormat="1" applyFont="1" applyFill="1" applyBorder="1" applyAlignment="1">
      <alignment horizontal="center"/>
    </xf>
    <xf numFmtId="168" fontId="38" fillId="12" borderId="0" xfId="5" applyNumberFormat="1" applyFont="1" applyFill="1" applyAlignment="1"/>
    <xf numFmtId="168" fontId="38" fillId="12" borderId="6" xfId="5" applyNumberFormat="1" applyFont="1" applyFill="1" applyBorder="1" applyAlignment="1"/>
    <xf numFmtId="0" fontId="48" fillId="18" borderId="0" xfId="1" applyFont="1" applyFill="1" applyAlignment="1">
      <alignment horizontal="center"/>
    </xf>
    <xf numFmtId="0" fontId="22" fillId="12" borderId="0" xfId="1" applyFill="1" applyAlignment="1"/>
    <xf numFmtId="10" fontId="51" fillId="26" borderId="20" xfId="1" applyNumberFormat="1" applyFont="1" applyFill="1" applyBorder="1" applyAlignment="1">
      <alignment horizontal="center" vertical="center"/>
    </xf>
    <xf numFmtId="0" fontId="50" fillId="26" borderId="30" xfId="0" applyFont="1" applyFill="1" applyBorder="1" applyAlignment="1">
      <alignment horizontal="center"/>
    </xf>
    <xf numFmtId="0" fontId="18" fillId="9" borderId="5" xfId="0" applyFont="1" applyFill="1" applyBorder="1" applyAlignment="1">
      <alignment vertical="center" wrapText="1"/>
    </xf>
    <xf numFmtId="14" fontId="27" fillId="0" borderId="0" xfId="0" applyNumberFormat="1" applyFont="1" applyAlignment="1"/>
    <xf numFmtId="0" fontId="42" fillId="26" borderId="30" xfId="1" applyFont="1" applyFill="1" applyBorder="1" applyAlignment="1">
      <alignment horizontal="center" vertical="center"/>
    </xf>
    <xf numFmtId="0" fontId="0" fillId="10" borderId="12" xfId="0" applyFont="1" applyFill="1" applyBorder="1" applyAlignment="1">
      <alignment horizontal="center"/>
    </xf>
    <xf numFmtId="168" fontId="0" fillId="0" borderId="0" xfId="5" applyNumberFormat="1" applyFont="1" applyAlignment="1"/>
    <xf numFmtId="10" fontId="32" fillId="26" borderId="14" xfId="5" applyNumberFormat="1" applyFont="1" applyFill="1" applyBorder="1" applyAlignment="1">
      <alignment vertical="center"/>
    </xf>
    <xf numFmtId="0" fontId="45" fillId="18" borderId="0" xfId="0" applyFont="1" applyFill="1" applyAlignment="1"/>
    <xf numFmtId="0" fontId="45" fillId="18" borderId="0" xfId="0" applyFont="1" applyFill="1" applyAlignment="1">
      <alignment horizontal="center"/>
    </xf>
    <xf numFmtId="0" fontId="47" fillId="11" borderId="29" xfId="1" applyFont="1" applyFill="1" applyBorder="1" applyAlignment="1">
      <alignment horizontal="center" vertical="center"/>
    </xf>
    <xf numFmtId="0" fontId="41" fillId="11" borderId="27" xfId="0" applyFont="1" applyFill="1" applyBorder="1" applyAlignment="1">
      <alignment horizontal="center" vertical="center"/>
    </xf>
    <xf numFmtId="0" fontId="41" fillId="11" borderId="16" xfId="0" applyFont="1" applyFill="1" applyBorder="1" applyAlignment="1">
      <alignment horizontal="center" vertical="center"/>
    </xf>
    <xf numFmtId="0" fontId="41" fillId="11" borderId="19" xfId="0" applyFont="1" applyFill="1" applyBorder="1" applyAlignment="1">
      <alignment horizontal="center" vertical="center"/>
    </xf>
    <xf numFmtId="0" fontId="35" fillId="26" borderId="12" xfId="0" applyFont="1" applyFill="1" applyBorder="1" applyAlignment="1">
      <alignment horizontal="center"/>
    </xf>
    <xf numFmtId="168" fontId="35" fillId="26" borderId="12" xfId="5" applyNumberFormat="1" applyFont="1" applyFill="1" applyBorder="1" applyAlignment="1">
      <alignment horizontal="center"/>
    </xf>
    <xf numFmtId="168" fontId="39" fillId="26" borderId="12" xfId="5" applyNumberFormat="1" applyFont="1" applyFill="1" applyBorder="1" applyAlignment="1">
      <alignment horizontal="center"/>
    </xf>
    <xf numFmtId="1" fontId="35" fillId="26" borderId="15" xfId="0" applyNumberFormat="1" applyFont="1" applyFill="1" applyBorder="1" applyAlignment="1">
      <alignment horizontal="center"/>
    </xf>
    <xf numFmtId="1" fontId="35" fillId="26" borderId="12" xfId="0" applyNumberFormat="1" applyFont="1" applyFill="1" applyBorder="1" applyAlignment="1">
      <alignment horizontal="center"/>
    </xf>
    <xf numFmtId="1" fontId="35" fillId="26" borderId="16" xfId="0" applyNumberFormat="1" applyFont="1" applyFill="1" applyBorder="1" applyAlignment="1">
      <alignment horizontal="center"/>
    </xf>
    <xf numFmtId="0" fontId="35" fillId="26" borderId="12" xfId="0" applyFont="1" applyFill="1" applyBorder="1" applyAlignment="1">
      <alignment horizontal="left"/>
    </xf>
    <xf numFmtId="168" fontId="35" fillId="26" borderId="12" xfId="0" applyNumberFormat="1" applyFont="1" applyFill="1" applyBorder="1" applyAlignment="1"/>
    <xf numFmtId="168" fontId="35" fillId="26" borderId="12" xfId="5" applyNumberFormat="1" applyFont="1" applyFill="1" applyBorder="1" applyAlignment="1"/>
    <xf numFmtId="0" fontId="30" fillId="26" borderId="12" xfId="0" applyFont="1" applyFill="1" applyBorder="1" applyAlignment="1">
      <alignment wrapText="1"/>
    </xf>
    <xf numFmtId="170" fontId="35" fillId="26" borderId="12" xfId="2" applyNumberFormat="1" applyFont="1" applyFill="1" applyBorder="1" applyAlignment="1"/>
    <xf numFmtId="0" fontId="30" fillId="26" borderId="15" xfId="0" applyFont="1" applyFill="1" applyBorder="1" applyAlignment="1">
      <alignment wrapText="1"/>
    </xf>
    <xf numFmtId="170" fontId="35" fillId="26" borderId="15" xfId="2" applyNumberFormat="1" applyFont="1" applyFill="1" applyBorder="1" applyAlignment="1"/>
    <xf numFmtId="10" fontId="35" fillId="26" borderId="12" xfId="5" applyNumberFormat="1" applyFont="1" applyFill="1" applyBorder="1" applyAlignment="1">
      <alignment horizontal="center"/>
    </xf>
    <xf numFmtId="0" fontId="47" fillId="26" borderId="31" xfId="1" applyFont="1" applyFill="1" applyBorder="1" applyAlignment="1">
      <alignment horizontal="center"/>
    </xf>
    <xf numFmtId="10" fontId="53" fillId="26" borderId="20" xfId="1" applyNumberFormat="1" applyFont="1" applyFill="1" applyBorder="1" applyAlignment="1">
      <alignment horizontal="center" vertical="center"/>
    </xf>
    <xf numFmtId="14" fontId="53" fillId="26" borderId="20" xfId="2" applyNumberFormat="1" applyFont="1" applyFill="1" applyBorder="1" applyAlignment="1">
      <alignment horizontal="center" vertical="center"/>
    </xf>
    <xf numFmtId="0" fontId="47" fillId="26" borderId="31" xfId="1" applyFont="1" applyFill="1" applyBorder="1" applyAlignment="1">
      <alignment horizontal="center" vertical="center"/>
    </xf>
    <xf numFmtId="0" fontId="47" fillId="17" borderId="24" xfId="1" applyFont="1" applyFill="1" applyBorder="1" applyAlignment="1">
      <alignment horizontal="center" vertical="center"/>
    </xf>
    <xf numFmtId="0" fontId="41" fillId="11" borderId="28" xfId="0" applyFont="1" applyFill="1" applyBorder="1" applyAlignment="1">
      <alignment horizontal="center" vertical="center"/>
    </xf>
    <xf numFmtId="10" fontId="30" fillId="26" borderId="12" xfId="5" applyNumberFormat="1" applyFont="1" applyFill="1" applyBorder="1" applyAlignment="1">
      <alignment vertical="center"/>
    </xf>
    <xf numFmtId="170" fontId="30" fillId="26" borderId="12" xfId="2" applyNumberFormat="1" applyFont="1" applyFill="1" applyBorder="1" applyAlignment="1">
      <alignment vertical="center"/>
    </xf>
    <xf numFmtId="9" fontId="35" fillId="12" borderId="6" xfId="5" applyFont="1" applyFill="1" applyBorder="1" applyAlignment="1"/>
    <xf numFmtId="0" fontId="41" fillId="12" borderId="27" xfId="0" applyFont="1" applyFill="1" applyBorder="1" applyAlignment="1">
      <alignment horizontal="center" vertical="center"/>
    </xf>
    <xf numFmtId="10" fontId="32" fillId="12" borderId="6" xfId="5" applyNumberFormat="1" applyFont="1" applyFill="1" applyBorder="1" applyAlignment="1">
      <alignment vertical="center"/>
    </xf>
    <xf numFmtId="1" fontId="35" fillId="26" borderId="0" xfId="0" applyNumberFormat="1" applyFont="1" applyFill="1" applyAlignment="1"/>
    <xf numFmtId="0" fontId="47" fillId="26" borderId="30" xfId="1" applyFont="1" applyFill="1" applyBorder="1" applyAlignment="1">
      <alignment horizontal="center"/>
    </xf>
    <xf numFmtId="0" fontId="47" fillId="26" borderId="30" xfId="1" applyFont="1" applyFill="1" applyBorder="1" applyAlignment="1">
      <alignment horizontal="center" vertical="center"/>
    </xf>
    <xf numFmtId="9" fontId="5" fillId="12" borderId="0" xfId="5" applyFont="1" applyFill="1" applyAlignment="1"/>
    <xf numFmtId="0" fontId="54" fillId="34" borderId="33" xfId="0" applyFont="1" applyFill="1" applyBorder="1" applyAlignment="1">
      <alignment horizontal="center" vertical="center" wrapText="1"/>
    </xf>
    <xf numFmtId="17" fontId="55" fillId="0" borderId="34" xfId="0" applyNumberFormat="1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17" fontId="55" fillId="35" borderId="34" xfId="0" applyNumberFormat="1" applyFont="1" applyFill="1" applyBorder="1" applyAlignment="1">
      <alignment horizontal="center" vertical="center"/>
    </xf>
    <xf numFmtId="0" fontId="55" fillId="35" borderId="35" xfId="0" applyFont="1" applyFill="1" applyBorder="1" applyAlignment="1">
      <alignment horizontal="center" vertical="center"/>
    </xf>
    <xf numFmtId="43" fontId="35" fillId="12" borderId="0" xfId="2" applyFont="1" applyFill="1" applyAlignment="1"/>
    <xf numFmtId="172" fontId="35" fillId="12" borderId="0" xfId="5" applyNumberFormat="1" applyFont="1" applyFill="1" applyAlignment="1"/>
    <xf numFmtId="168" fontId="55" fillId="0" borderId="35" xfId="5" applyNumberFormat="1" applyFont="1" applyBorder="1" applyAlignment="1">
      <alignment horizontal="center" vertical="center"/>
    </xf>
    <xf numFmtId="168" fontId="55" fillId="35" borderId="35" xfId="5" applyNumberFormat="1" applyFont="1" applyFill="1" applyBorder="1" applyAlignment="1">
      <alignment horizontal="center" vertical="center"/>
    </xf>
    <xf numFmtId="14" fontId="35" fillId="12" borderId="0" xfId="0" applyNumberFormat="1" applyFont="1" applyFill="1" applyAlignment="1"/>
    <xf numFmtId="43" fontId="35" fillId="12" borderId="6" xfId="2" applyFont="1" applyFill="1" applyBorder="1" applyAlignment="1"/>
    <xf numFmtId="170" fontId="35" fillId="26" borderId="12" xfId="5" applyNumberFormat="1" applyFont="1" applyFill="1" applyBorder="1" applyAlignment="1"/>
    <xf numFmtId="14" fontId="53" fillId="26" borderId="21" xfId="2" applyNumberFormat="1" applyFont="1" applyFill="1" applyBorder="1" applyAlignment="1">
      <alignment horizontal="center" vertical="center"/>
    </xf>
    <xf numFmtId="10" fontId="32" fillId="26" borderId="22" xfId="5" applyNumberFormat="1" applyFont="1" applyFill="1" applyBorder="1" applyAlignment="1">
      <alignment vertical="center"/>
    </xf>
    <xf numFmtId="10" fontId="30" fillId="26" borderId="15" xfId="5" applyNumberFormat="1" applyFont="1" applyFill="1" applyBorder="1" applyAlignment="1">
      <alignment vertical="center"/>
    </xf>
    <xf numFmtId="170" fontId="30" fillId="26" borderId="15" xfId="2" applyNumberFormat="1" applyFont="1" applyFill="1" applyBorder="1" applyAlignment="1">
      <alignment vertical="center"/>
    </xf>
    <xf numFmtId="170" fontId="35" fillId="26" borderId="15" xfId="5" applyNumberFormat="1" applyFont="1" applyFill="1" applyBorder="1" applyAlignment="1"/>
    <xf numFmtId="10" fontId="32" fillId="12" borderId="32" xfId="5" applyNumberFormat="1" applyFont="1" applyFill="1" applyBorder="1" applyAlignment="1">
      <alignment vertical="center"/>
    </xf>
    <xf numFmtId="0" fontId="49" fillId="26" borderId="12" xfId="0" applyFont="1" applyFill="1" applyBorder="1" applyAlignment="1"/>
    <xf numFmtId="0" fontId="30" fillId="26" borderId="12" xfId="0" applyFont="1" applyFill="1" applyBorder="1" applyAlignment="1">
      <alignment horizontal="center" wrapText="1"/>
    </xf>
    <xf numFmtId="10" fontId="5" fillId="12" borderId="12" xfId="5" applyNumberFormat="1" applyFont="1" applyFill="1" applyBorder="1" applyAlignment="1"/>
    <xf numFmtId="0" fontId="45" fillId="26" borderId="12" xfId="0" applyFont="1" applyFill="1" applyBorder="1" applyAlignment="1">
      <alignment horizontal="center"/>
    </xf>
    <xf numFmtId="10" fontId="0" fillId="12" borderId="12" xfId="0" applyNumberFormat="1" applyFont="1" applyFill="1" applyBorder="1" applyAlignment="1"/>
    <xf numFmtId="0" fontId="52" fillId="26" borderId="12" xfId="0" applyFont="1" applyFill="1" applyBorder="1" applyAlignment="1">
      <alignment horizontal="center"/>
    </xf>
    <xf numFmtId="168" fontId="49" fillId="26" borderId="12" xfId="5" applyNumberFormat="1" applyFont="1" applyFill="1" applyBorder="1" applyAlignment="1">
      <alignment horizontal="center"/>
    </xf>
    <xf numFmtId="9" fontId="52" fillId="26" borderId="12" xfId="0" applyNumberFormat="1" applyFont="1" applyFill="1" applyBorder="1" applyAlignment="1">
      <alignment horizontal="center"/>
    </xf>
    <xf numFmtId="10" fontId="0" fillId="12" borderId="12" xfId="5" applyNumberFormat="1" applyFont="1" applyFill="1" applyBorder="1" applyAlignment="1"/>
    <xf numFmtId="10" fontId="5" fillId="12" borderId="12" xfId="0" applyNumberFormat="1" applyFont="1" applyFill="1" applyBorder="1" applyAlignment="1"/>
    <xf numFmtId="9" fontId="49" fillId="26" borderId="12" xfId="0" applyNumberFormat="1" applyFont="1" applyFill="1" applyBorder="1" applyAlignment="1">
      <alignment horizontal="center"/>
    </xf>
    <xf numFmtId="43" fontId="23" fillId="26" borderId="12" xfId="2" applyFont="1" applyFill="1" applyBorder="1" applyAlignment="1">
      <alignment horizontal="center" vertical="center"/>
    </xf>
    <xf numFmtId="43" fontId="40" fillId="26" borderId="16" xfId="2" applyFont="1" applyFill="1" applyBorder="1" applyAlignment="1">
      <alignment horizontal="center" vertical="center"/>
    </xf>
    <xf numFmtId="43" fontId="40" fillId="26" borderId="12" xfId="2" applyFont="1" applyFill="1" applyBorder="1" applyAlignment="1">
      <alignment horizontal="center" vertical="center"/>
    </xf>
    <xf numFmtId="43" fontId="40" fillId="26" borderId="15" xfId="2" applyFont="1" applyFill="1" applyBorder="1" applyAlignment="1">
      <alignment horizontal="center" vertical="center"/>
    </xf>
    <xf numFmtId="43" fontId="40" fillId="32" borderId="16" xfId="2" applyFont="1" applyFill="1" applyBorder="1" applyAlignment="1">
      <alignment horizontal="center" vertical="center"/>
    </xf>
    <xf numFmtId="43" fontId="40" fillId="32" borderId="12" xfId="2" applyFont="1" applyFill="1" applyBorder="1" applyAlignment="1">
      <alignment horizontal="center" vertical="center"/>
    </xf>
    <xf numFmtId="43" fontId="40" fillId="32" borderId="15" xfId="2" applyFont="1" applyFill="1" applyBorder="1" applyAlignment="1">
      <alignment horizontal="center" vertical="center"/>
    </xf>
    <xf numFmtId="43" fontId="40" fillId="15" borderId="16" xfId="2" applyFont="1" applyFill="1" applyBorder="1" applyAlignment="1">
      <alignment horizontal="center" vertical="center"/>
    </xf>
    <xf numFmtId="43" fontId="40" fillId="26" borderId="19" xfId="2" applyFont="1" applyFill="1" applyBorder="1" applyAlignment="1">
      <alignment horizontal="center" vertical="center"/>
    </xf>
    <xf numFmtId="43" fontId="40" fillId="26" borderId="14" xfId="2" applyFont="1" applyFill="1" applyBorder="1" applyAlignment="1">
      <alignment horizontal="center" vertical="center"/>
    </xf>
    <xf numFmtId="43" fontId="40" fillId="26" borderId="22" xfId="2" applyFont="1" applyFill="1" applyBorder="1" applyAlignment="1">
      <alignment horizontal="center" vertical="center"/>
    </xf>
    <xf numFmtId="0" fontId="35" fillId="18" borderId="0" xfId="0" applyFont="1" applyFill="1" applyAlignment="1">
      <alignment horizontal="center"/>
    </xf>
    <xf numFmtId="43" fontId="9" fillId="4" borderId="2" xfId="2" applyFont="1" applyFill="1" applyBorder="1" applyAlignment="1"/>
    <xf numFmtId="43" fontId="7" fillId="4" borderId="0" xfId="2" applyFont="1" applyFill="1" applyAlignment="1"/>
    <xf numFmtId="43" fontId="27" fillId="9" borderId="5" xfId="2" applyFont="1" applyFill="1" applyBorder="1" applyAlignment="1">
      <alignment vertical="center" wrapText="1"/>
    </xf>
    <xf numFmtId="43" fontId="7" fillId="4" borderId="3" xfId="2" applyFont="1" applyFill="1" applyBorder="1" applyAlignment="1">
      <alignment vertical="center" wrapText="1"/>
    </xf>
    <xf numFmtId="0" fontId="47" fillId="26" borderId="36" xfId="1" applyFont="1" applyFill="1" applyBorder="1" applyAlignment="1">
      <alignment horizontal="center" vertical="center"/>
    </xf>
    <xf numFmtId="10" fontId="53" fillId="26" borderId="32" xfId="1" applyNumberFormat="1" applyFont="1" applyFill="1" applyBorder="1" applyAlignment="1">
      <alignment horizontal="center" vertical="center"/>
    </xf>
    <xf numFmtId="10" fontId="30" fillId="26" borderId="15" xfId="2" applyNumberFormat="1" applyFont="1" applyFill="1" applyBorder="1" applyAlignment="1">
      <alignment vertical="center"/>
    </xf>
    <xf numFmtId="0" fontId="47" fillId="26" borderId="21" xfId="1" applyFont="1" applyFill="1" applyBorder="1" applyAlignment="1">
      <alignment horizontal="center" vertical="center"/>
    </xf>
    <xf numFmtId="10" fontId="23" fillId="26" borderId="15" xfId="0" applyNumberFormat="1" applyFont="1" applyFill="1" applyBorder="1" applyAlignment="1">
      <alignment horizontal="center" vertical="center"/>
    </xf>
    <xf numFmtId="43" fontId="30" fillId="26" borderId="15" xfId="2" applyFont="1" applyFill="1" applyBorder="1" applyAlignment="1">
      <alignment horizontal="center" vertical="center"/>
    </xf>
    <xf numFmtId="43" fontId="40" fillId="32" borderId="15" xfId="2" applyNumberFormat="1" applyFont="1" applyFill="1" applyBorder="1" applyAlignment="1">
      <alignment horizontal="center" vertical="center"/>
    </xf>
    <xf numFmtId="43" fontId="40" fillId="15" borderId="15" xfId="2" applyNumberFormat="1" applyFont="1" applyFill="1" applyBorder="1" applyAlignment="1">
      <alignment horizontal="center" vertical="center"/>
    </xf>
    <xf numFmtId="43" fontId="40" fillId="26" borderId="15" xfId="2" applyNumberFormat="1" applyFont="1" applyFill="1" applyBorder="1" applyAlignment="1">
      <alignment horizontal="center" vertical="center"/>
    </xf>
    <xf numFmtId="43" fontId="40" fillId="26" borderId="22" xfId="2" applyNumberFormat="1" applyFont="1" applyFill="1" applyBorder="1" applyAlignment="1">
      <alignment horizontal="center" vertical="center"/>
    </xf>
    <xf numFmtId="10" fontId="23" fillId="26" borderId="22" xfId="5" applyNumberFormat="1" applyFont="1" applyFill="1" applyBorder="1" applyAlignment="1">
      <alignment vertical="center"/>
    </xf>
    <xf numFmtId="168" fontId="5" fillId="12" borderId="6" xfId="5" applyNumberFormat="1" applyFont="1" applyFill="1" applyBorder="1" applyAlignment="1"/>
    <xf numFmtId="0" fontId="45" fillId="12" borderId="0" xfId="0" applyFont="1" applyFill="1" applyAlignment="1"/>
    <xf numFmtId="0" fontId="49" fillId="12" borderId="6" xfId="0" applyFont="1" applyFill="1" applyBorder="1" applyAlignment="1"/>
    <xf numFmtId="168" fontId="49" fillId="12" borderId="6" xfId="5" applyNumberFormat="1" applyFont="1" applyFill="1" applyBorder="1" applyAlignment="1">
      <alignment horizontal="center"/>
    </xf>
    <xf numFmtId="10" fontId="49" fillId="12" borderId="6" xfId="5" applyNumberFormat="1" applyFont="1" applyFill="1" applyBorder="1" applyAlignment="1">
      <alignment horizontal="center"/>
    </xf>
    <xf numFmtId="1" fontId="49" fillId="12" borderId="6" xfId="0" applyNumberFormat="1" applyFont="1" applyFill="1" applyBorder="1" applyAlignment="1">
      <alignment horizontal="center"/>
    </xf>
    <xf numFmtId="168" fontId="35" fillId="32" borderId="12" xfId="5" applyNumberFormat="1" applyFont="1" applyFill="1" applyBorder="1" applyAlignment="1">
      <alignment horizontal="center"/>
    </xf>
    <xf numFmtId="1" fontId="35" fillId="32" borderId="12" xfId="0" applyNumberFormat="1" applyFont="1" applyFill="1" applyBorder="1" applyAlignment="1">
      <alignment horizontal="center"/>
    </xf>
    <xf numFmtId="167" fontId="7" fillId="4" borderId="3" xfId="0" applyNumberFormat="1" applyFont="1" applyFill="1" applyBorder="1" applyAlignment="1">
      <alignment vertical="center" wrapText="1"/>
    </xf>
    <xf numFmtId="0" fontId="41" fillId="17" borderId="12" xfId="0" applyFont="1" applyFill="1" applyBorder="1" applyAlignment="1">
      <alignment horizontal="center" vertical="center"/>
    </xf>
    <xf numFmtId="170" fontId="40" fillId="26" borderId="19" xfId="2" applyNumberFormat="1" applyFont="1" applyFill="1" applyBorder="1" applyAlignment="1">
      <alignment horizontal="center" vertical="center"/>
    </xf>
    <xf numFmtId="170" fontId="40" fillId="26" borderId="16" xfId="2" applyNumberFormat="1" applyFont="1" applyFill="1" applyBorder="1" applyAlignment="1">
      <alignment horizontal="center" vertical="center"/>
    </xf>
    <xf numFmtId="0" fontId="42" fillId="26" borderId="20" xfId="0" applyFont="1" applyFill="1" applyBorder="1" applyAlignment="1">
      <alignment horizontal="center" vertical="center"/>
    </xf>
    <xf numFmtId="0" fontId="42" fillId="28" borderId="20" xfId="1" applyFont="1" applyFill="1" applyBorder="1" applyAlignment="1">
      <alignment horizontal="center"/>
    </xf>
    <xf numFmtId="0" fontId="22" fillId="26" borderId="20" xfId="1" applyFill="1" applyBorder="1" applyAlignment="1">
      <alignment horizontal="center" vertical="center"/>
    </xf>
    <xf numFmtId="0" fontId="42" fillId="27" borderId="20" xfId="0" applyFont="1" applyFill="1" applyBorder="1" applyAlignment="1">
      <alignment horizontal="center" vertical="center"/>
    </xf>
    <xf numFmtId="0" fontId="42" fillId="26" borderId="20" xfId="1" applyFont="1" applyFill="1" applyBorder="1" applyAlignment="1">
      <alignment horizontal="center" vertical="center"/>
    </xf>
    <xf numFmtId="0" fontId="35" fillId="26" borderId="0" xfId="0" applyFont="1" applyFill="1" applyAlignment="1"/>
    <xf numFmtId="14" fontId="56" fillId="26" borderId="12" xfId="0" applyNumberFormat="1" applyFont="1" applyFill="1" applyBorder="1" applyAlignment="1"/>
    <xf numFmtId="43" fontId="23" fillId="26" borderId="14" xfId="2" applyFont="1" applyFill="1" applyBorder="1" applyAlignment="1">
      <alignment horizontal="center" vertical="center"/>
    </xf>
    <xf numFmtId="43" fontId="40" fillId="15" borderId="19" xfId="2" applyFont="1" applyFill="1" applyBorder="1" applyAlignment="1">
      <alignment horizontal="center" vertical="center"/>
    </xf>
    <xf numFmtId="0" fontId="35" fillId="26" borderId="6" xfId="0" applyFont="1" applyFill="1" applyBorder="1" applyAlignment="1"/>
    <xf numFmtId="43" fontId="40" fillId="32" borderId="18" xfId="2" applyFont="1" applyFill="1" applyBorder="1" applyAlignment="1">
      <alignment horizontal="center" vertical="center"/>
    </xf>
    <xf numFmtId="10" fontId="23" fillId="26" borderId="37" xfId="5" applyNumberFormat="1" applyFont="1" applyFill="1" applyBorder="1" applyAlignment="1">
      <alignment vertical="center"/>
    </xf>
    <xf numFmtId="170" fontId="40" fillId="26" borderId="12" xfId="2" applyNumberFormat="1" applyFont="1" applyFill="1" applyBorder="1" applyAlignment="1">
      <alignment horizontal="center" vertical="center"/>
    </xf>
    <xf numFmtId="0" fontId="35" fillId="26" borderId="12" xfId="0" applyFont="1" applyFill="1" applyBorder="1" applyAlignment="1"/>
    <xf numFmtId="0" fontId="45" fillId="26" borderId="0" xfId="0" applyFont="1" applyFill="1" applyBorder="1" applyAlignment="1">
      <alignment horizontal="center"/>
    </xf>
    <xf numFmtId="0" fontId="49" fillId="26" borderId="0" xfId="0" applyFont="1" applyFill="1" applyBorder="1" applyAlignment="1"/>
    <xf numFmtId="168" fontId="38" fillId="26" borderId="12" xfId="5" applyNumberFormat="1" applyFont="1" applyFill="1" applyBorder="1" applyAlignment="1"/>
    <xf numFmtId="168" fontId="0" fillId="12" borderId="12" xfId="5" applyNumberFormat="1" applyFont="1" applyFill="1" applyBorder="1" applyAlignment="1"/>
    <xf numFmtId="168" fontId="0" fillId="12" borderId="15" xfId="5" applyNumberFormat="1" applyFont="1" applyFill="1" applyBorder="1" applyAlignment="1"/>
    <xf numFmtId="0" fontId="22" fillId="0" borderId="6" xfId="1" applyBorder="1" applyAlignment="1">
      <alignment horizontal="left" vertical="center" wrapText="1"/>
    </xf>
    <xf numFmtId="0" fontId="4" fillId="0" borderId="6" xfId="0" applyFont="1" applyBorder="1" applyAlignment="1">
      <alignment horizontal="right" vertical="center" wrapText="1"/>
    </xf>
    <xf numFmtId="0" fontId="57" fillId="0" borderId="6" xfId="0" applyFont="1" applyBorder="1" applyAlignment="1">
      <alignment horizontal="right" vertical="center" wrapText="1"/>
    </xf>
    <xf numFmtId="0" fontId="58" fillId="0" borderId="6" xfId="0" applyFont="1" applyBorder="1" applyAlignment="1">
      <alignment horizontal="right" vertical="center" wrapText="1"/>
    </xf>
    <xf numFmtId="20" fontId="4" fillId="0" borderId="6" xfId="0" applyNumberFormat="1" applyFont="1" applyBorder="1" applyAlignment="1">
      <alignment horizontal="right" vertical="center" wrapText="1"/>
    </xf>
    <xf numFmtId="168" fontId="49" fillId="26" borderId="12" xfId="0" applyNumberFormat="1" applyFont="1" applyFill="1" applyBorder="1" applyAlignment="1"/>
    <xf numFmtId="10" fontId="35" fillId="12" borderId="6" xfId="5" applyNumberFormat="1" applyFont="1" applyFill="1" applyBorder="1" applyAlignment="1"/>
    <xf numFmtId="168" fontId="5" fillId="12" borderId="14" xfId="5" applyNumberFormat="1" applyFont="1" applyFill="1" applyBorder="1" applyAlignment="1"/>
    <xf numFmtId="168" fontId="0" fillId="12" borderId="14" xfId="5" applyNumberFormat="1" applyFont="1" applyFill="1" applyBorder="1" applyAlignment="1"/>
    <xf numFmtId="10" fontId="30" fillId="26" borderId="12" xfId="0" applyNumberFormat="1" applyFont="1" applyFill="1" applyBorder="1" applyAlignment="1">
      <alignment horizontal="right" vertical="center" wrapText="1"/>
    </xf>
    <xf numFmtId="10" fontId="30" fillId="26" borderId="12" xfId="5" applyNumberFormat="1" applyFont="1" applyFill="1" applyBorder="1" applyAlignment="1"/>
    <xf numFmtId="0" fontId="59" fillId="26" borderId="38" xfId="0" applyFont="1" applyFill="1" applyBorder="1" applyAlignment="1">
      <alignment vertical="center" wrapText="1"/>
    </xf>
    <xf numFmtId="0" fontId="59" fillId="26" borderId="39" xfId="0" applyFont="1" applyFill="1" applyBorder="1" applyAlignment="1">
      <alignment vertical="center" wrapText="1"/>
    </xf>
    <xf numFmtId="0" fontId="60" fillId="26" borderId="39" xfId="0" applyFont="1" applyFill="1" applyBorder="1" applyAlignment="1">
      <alignment vertical="center" wrapText="1"/>
    </xf>
    <xf numFmtId="0" fontId="59" fillId="26" borderId="40" xfId="0" applyFont="1" applyFill="1" applyBorder="1" applyAlignment="1">
      <alignment vertical="center" wrapText="1"/>
    </xf>
    <xf numFmtId="1" fontId="49" fillId="26" borderId="12" xfId="0" applyNumberFormat="1" applyFont="1" applyFill="1" applyBorder="1" applyAlignment="1">
      <alignment horizontal="center"/>
    </xf>
    <xf numFmtId="0" fontId="35" fillId="18" borderId="0" xfId="0" applyFont="1" applyFill="1" applyAlignment="1">
      <alignment horizontal="center"/>
    </xf>
    <xf numFmtId="0" fontId="35" fillId="14" borderId="11" xfId="0" applyFont="1" applyFill="1" applyBorder="1" applyAlignment="1">
      <alignment horizontal="center"/>
    </xf>
    <xf numFmtId="0" fontId="35" fillId="15" borderId="11" xfId="0" applyFont="1" applyFill="1" applyBorder="1" applyAlignment="1">
      <alignment horizontal="center"/>
    </xf>
    <xf numFmtId="0" fontId="35" fillId="17" borderId="17" xfId="0" applyFont="1" applyFill="1" applyBorder="1" applyAlignment="1">
      <alignment horizontal="center"/>
    </xf>
    <xf numFmtId="0" fontId="35" fillId="26" borderId="0" xfId="0" applyFont="1" applyFill="1" applyBorder="1" applyAlignment="1">
      <alignment horizontal="center"/>
    </xf>
    <xf numFmtId="1" fontId="35" fillId="26" borderId="0" xfId="0" applyNumberFormat="1" applyFont="1" applyFill="1" applyBorder="1" applyAlignment="1">
      <alignment horizontal="center"/>
    </xf>
    <xf numFmtId="10" fontId="0" fillId="12" borderId="0" xfId="5" applyNumberFormat="1" applyFont="1" applyFill="1" applyBorder="1" applyAlignment="1"/>
    <xf numFmtId="168" fontId="0" fillId="12" borderId="22" xfId="5" applyNumberFormat="1" applyFont="1" applyFill="1" applyBorder="1" applyAlignment="1"/>
  </cellXfs>
  <cellStyles count="8">
    <cellStyle name="Hipervínculo" xfId="1" builtinId="8"/>
    <cellStyle name="Hipervínculo 2" xfId="4" xr:uid="{E3202C4F-445B-4221-B257-27E5507A57AE}"/>
    <cellStyle name="Millares" xfId="2" builtinId="3"/>
    <cellStyle name="Normal" xfId="0" builtinId="0"/>
    <cellStyle name="Normal 2" xfId="3" xr:uid="{E5DDF0FA-668D-45BA-B7C4-D8CF924F0B0A}"/>
    <cellStyle name="Normal 3" xfId="6" xr:uid="{9AC38245-507B-4D84-8FCF-7E77A765BF48}"/>
    <cellStyle name="Normal 4" xfId="7" xr:uid="{B899820F-E136-4413-83F5-3FBCD8E33AB9}"/>
    <cellStyle name="Porcentaje" xfId="5" builtinId="5"/>
  </cellStyles>
  <dxfs count="127"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0" formatCode="_-* #,##0_-;\-* #,##0_-;_-* &quot;-&quot;??_-;_-@_-"/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vertAlign val="baseline"/>
        <sz val="10"/>
        <name val="Arial"/>
        <family val="2"/>
        <scheme val="none"/>
      </font>
      <fill>
        <patternFill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4" formatCode="0.0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medium">
          <color rgb="FF000000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strike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solid">
          <fgColor indexed="64"/>
          <bgColor theme="3" tint="0.14999847407452621"/>
        </patternFill>
      </fill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/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/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minor"/>
      </font>
      <numFmt numFmtId="19" formatCode="d/m/yyyy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2"/>
        <name val="Arial"/>
        <family val="2"/>
        <scheme val="none"/>
      </font>
      <fill>
        <patternFill patternType="solid">
          <fgColor rgb="FFF8F9FA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left style="thin">
          <color theme="3" tint="0.499984740745262"/>
        </left>
        <top style="thin">
          <color theme="3" tint="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Aptos Narrow"/>
        <scheme val="minor"/>
      </font>
      <numFmt numFmtId="19" formatCode="d/m/yyyy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0"/>
        <name val="Aptos Narrow"/>
        <scheme val="minor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3" tint="0.34998626667073579"/>
        </top>
        <bottom style="thin">
          <color theme="3" tint="0.34998626667073579"/>
        </bottom>
      </border>
    </dxf>
    <dxf>
      <border outline="0">
        <left style="thin">
          <color rgb="FF808080"/>
        </left>
        <right style="thin">
          <color theme="3" tint="0.499984740745262"/>
        </right>
        <top style="thin">
          <color rgb="FF80808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ill>
        <patternFill patternType="solid">
          <fgColor indexed="64"/>
          <bgColor theme="3" tint="0.14999847407452621"/>
        </patternFill>
      </fill>
      <alignment horizontal="center" vertical="bottom" textRotation="0" indent="0" justifyLastLine="0" shrinkToFit="0" readingOrder="0"/>
    </dxf>
    <dxf>
      <font>
        <b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/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/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theme="9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3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 outline="0">
        <top style="thin">
          <color theme="3" tint="0.499984740745262"/>
        </top>
      </border>
    </dxf>
    <dxf>
      <border outline="0">
        <left style="thin">
          <color rgb="FF808080"/>
        </left>
        <right style="thin">
          <color theme="3" tint="0.499984740745262"/>
        </right>
        <top style="thin">
          <color rgb="FF808080"/>
        </top>
      </border>
    </dxf>
    <dxf>
      <border outline="0">
        <bottom style="thin">
          <color theme="3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family val="2"/>
        <scheme val="none"/>
      </font>
      <fill>
        <patternFill patternType="solid">
          <fgColor indexed="64"/>
          <bgColor theme="3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8" formatCode="0.0%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border outline="0"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numFmt numFmtId="170" formatCode="_-* #,##0_-;\-* #,##0_-;_-* &quot;-&quot;??_-;_-@_-"/>
      <fill>
        <patternFill patternType="solid">
          <fgColor indexed="64"/>
          <bgColor theme="3" tint="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 tint="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</border>
    </dxf>
    <dxf>
      <border outline="0">
        <bottom style="thin">
          <color theme="3" tint="0.49998474074526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3" defaultTableStyle="TableStyleMedium2" defaultPivotStyle="PivotStyleLight16">
    <tableStyle name="ONS NY-style" pivot="0" count="4" xr9:uid="{00000000-0011-0000-FFFF-FFFF00000000}">
      <tableStyleElement type="wholeTable" size="0" dxfId="126"/>
      <tableStyleElement type="headerRow" dxfId="125"/>
      <tableStyleElement type="firstRowStripe" dxfId="124"/>
      <tableStyleElement type="secondRowStripe" dxfId="123"/>
    </tableStyle>
    <tableStyle name="ONs Argentina-style" pivot="0" count="4" xr9:uid="{00000000-0011-0000-FFFF-FFFF01000000}">
      <tableStyleElement type="wholeTable" size="0" dxfId="122"/>
      <tableStyleElement type="headerRow" dxfId="121"/>
      <tableStyleElement type="firstRowStripe" dxfId="120"/>
      <tableStyleElement type="secondRowStripe" dxfId="119"/>
    </tableStyle>
    <tableStyle name="ONs Argentina-style 2" pivot="0" count="2" xr9:uid="{00000000-0011-0000-FFFF-FFFF02000000}">
      <tableStyleElement type="firstRowStripe" dxfId="118"/>
      <tableStyleElement type="secondRowStripe" dxfId="1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5889b103584c45589dc3f5e29ed9b264">
      <tp t="s">
        <v/>
        <stp/>
        <stp>[{"Symbol":"ORCL","currency":null,"instrumentType":null,"market":null,"maturityDate":null,"operativeType":null,"settlementType":"2","symbol":"ORCL"}]</stp>
        <tr r="F41" s="101"/>
        <tr r="G41" s="101"/>
        <tr r="E41" s="101"/>
      </tp>
      <tp t="s">
        <v/>
        <stp/>
        <stp>[{"Symbol":"ASML","currency":null,"instrumentType":null,"market":null,"maturityDate":null,"operativeType":null,"settlementType":"2","symbol":"ASML"}]</stp>
        <tr r="G104" s="101"/>
        <tr r="E104" s="101"/>
        <tr r="F104" s="101"/>
      </tp>
      <tp t="s">
        <v/>
        <stp/>
        <stp>[{"Symbol":"BMNR","currency":null,"instrumentType":null,"market":null,"maturityDate":null,"operativeType":null,"settlementType":"2","symbol":"BMNR"}]</stp>
        <tr r="F188" s="101"/>
        <tr r="E188" s="101"/>
        <tr r="G188" s="101"/>
      </tp>
      <tp t="s">
        <v/>
        <stp/>
        <stp>[{"Symbol":"IREN","currency":null,"instrumentType":null,"market":null,"maturityDate":null,"operativeType":null,"settlementType":"2","symbol":"IREN"}]</stp>
        <tr r="E176" s="101"/>
        <tr r="F176" s="101"/>
        <tr r="G176" s="101"/>
      </tp>
      <tp t="s">
        <v/>
        <stp/>
        <stp>[{"Symbol":"ERIC","currency":null,"instrumentType":null,"market":null,"maturityDate":null,"operativeType":null,"settlementType":"2","symbol":"ERIC"}]</stp>
        <tr r="E275" s="101"/>
        <tr r="G275" s="101"/>
        <tr r="F275" s="101"/>
      </tp>
      <tp t="s">
        <v/>
        <stp/>
        <stp>[{"Symbol":"BKNG","currency":null,"instrumentType":null,"market":null,"maturityDate":null,"operativeType":null,"settlementType":"2","symbol":"BKNG"}]</stp>
        <tr r="E271" s="101"/>
        <tr r="G271" s="101"/>
        <tr r="F271" s="101"/>
      </tp>
    </main>
    <main first="rtdsrv.5889b103584c45589dc3f5e29ed9b264">
      <tp t="s">
        <v/>
        <stp/>
        <stp>[{"Symbol":"NTCO","currency":null,"instrumentType":null,"market":null,"maturityDate":null,"operativeType":null,"settlementType":"2","symbol":"NTCO"}]</stp>
        <tr r="E408" s="101"/>
        <tr r="G408" s="101"/>
        <tr r="F408" s="101"/>
      </tp>
      <tp t="s">
        <v/>
        <stp/>
        <stp>[{"Symbol":"BIOX","currency":null,"instrumentType":null,"market":null,"maturityDate":null,"operativeType":null,"settlementType":"2","symbol":"BIOX"}]</stp>
        <tr r="E141" s="101"/>
        <tr r="F141" s="101"/>
        <tr r="G141" s="101"/>
      </tp>
      <tp t="s">
        <v/>
        <stp/>
        <stp>[{"Symbol":"IWDA","currency":null,"instrumentType":null,"market":null,"maturityDate":null,"operativeType":null,"settlementType":"2","symbol":"IWDA"}]</stp>
        <tr r="G404" s="101"/>
        <tr r="F404" s="101"/>
        <tr r="E404" s="101"/>
      </tp>
      <tp t="s">
        <v/>
        <stp/>
        <stp>[{"Symbol":"ETHA","currency":null,"instrumentType":null,"market":null,"maturityDate":null,"operativeType":null,"settlementType":"2","symbol":"ETHA"}]</stp>
        <tr r="G66" s="101"/>
        <tr r="F66" s="101"/>
        <tr r="E66" s="101"/>
      </tp>
      <tp t="s">
        <v/>
        <stp/>
        <stp>[{"Symbol":"KOFM","currency":null,"instrumentType":null,"market":null,"maturityDate":null,"operativeType":null,"settlementType":"2","symbol":"KOFM"}]</stp>
        <tr r="E324" s="101"/>
        <tr r="F324" s="101"/>
        <tr r="G324" s="101"/>
      </tp>
      <tp t="s">
        <v/>
        <stp/>
        <stp>[{"Symbol":"NEC1","currency":null,"instrumentType":null,"market":null,"maturityDate":null,"operativeType":null,"settlementType":"2","symbol":"NEC1"}]</stp>
        <tr r="E410" s="101"/>
        <tr r="F410" s="101"/>
        <tr r="G410" s="101"/>
      </tp>
    </main>
    <main first="rtdsrv.5889b103584c45589dc3f5e29ed9b264">
      <tp t="s">
        <v/>
        <stp/>
        <stp>[{"Symbol":"BOLT","currency":null,"instrumentType":null,"market":null,"maturityDate":null,"operativeType":null,"settlementType":"2","symbol":"BOLT"}]</stp>
        <tr r="K62" s="101"/>
        <tr r="M62" s="101"/>
        <tr r="L62" s="101"/>
      </tp>
      <tp t="s">
        <v/>
        <stp/>
        <stp>[{"Symbol":"GRIM","currency":null,"instrumentType":null,"market":null,"maturityDate":null,"operativeType":null,"settlementType":"2","symbol":"GRIM"}]</stp>
        <tr r="L69" s="101"/>
        <tr r="K69" s="101"/>
        <tr r="M69" s="101"/>
      </tp>
      <tp t="s">
        <v/>
        <stp/>
        <stp>[{"Symbol":"ORAN","currency":null,"instrumentType":null,"market":null,"maturityDate":null,"operativeType":null,"settlementType":"2","symbol":"ORAN"}]</stp>
        <tr r="G413" s="101"/>
        <tr r="E413" s="101"/>
        <tr r="F413" s="101"/>
      </tp>
      <tp t="s">
        <v/>
        <stp/>
        <stp>[{"Symbol":"COME","currency":null,"instrumentType":null,"market":null,"maturityDate":null,"operativeType":null,"settlementType":"2","symbol":"COME"}]</stp>
        <tr r="L40" s="101"/>
        <tr r="M40" s="101"/>
        <tr r="K40" s="101"/>
      </tp>
    </main>
    <main first="rtdsrv.5889b103584c45589dc3f5e29ed9b264">
      <tp t="s">
        <v/>
        <stp/>
        <stp>[{"Symbol":"BYMA","currency":null,"instrumentType":null,"market":null,"maturityDate":null,"operativeType":null,"settlementType":"2","symbol":"BYMA"}]</stp>
        <tr r="L32" s="101"/>
        <tr r="M32" s="101"/>
        <tr r="K32" s="101"/>
      </tp>
      <tp t="s">
        <v/>
        <stp/>
        <stp>[{"Symbol":"NSAN","currency":null,"instrumentType":null,"market":null,"maturityDate":null,"operativeType":null,"settlementType":"2","symbol":"NSAN"}]</stp>
        <tr r="E411" s="101"/>
        <tr r="G411" s="101"/>
        <tr r="F411" s="101"/>
      </tp>
      <tp t="s">
        <v/>
        <stp/>
        <stp>[{"Symbol":"CELU","currency":null,"instrumentType":null,"market":null,"maturityDate":null,"operativeType":null,"settlementType":"2","symbol":"CELU"}]</stp>
        <tr r="L56" s="101"/>
        <tr r="M56" s="101"/>
        <tr r="K56" s="101"/>
      </tp>
      <tp t="s">
        <v/>
        <stp/>
        <stp>[{"Symbol":"INFY","currency":null,"instrumentType":null,"market":null,"maturityDate":null,"operativeType":null,"settlementType":"2","symbol":"INFY"}]</stp>
        <tr r="F274" s="101"/>
        <tr r="G274" s="101"/>
        <tr r="E274" s="101"/>
      </tp>
      <tp t="s">
        <v/>
        <stp/>
        <stp>[{"Symbol":"LRCX","currency":null,"instrumentType":null,"market":null,"maturityDate":null,"operativeType":null,"settlementType":"2","symbol":"LRCX"}]</stp>
        <tr r="F82" s="101"/>
        <tr r="G82" s="101"/>
        <tr r="E82" s="101"/>
      </tp>
      <tp t="s">
        <v/>
        <stp/>
        <stp>[{"Symbol":"ABNB","currency":null,"instrumentType":null,"market":null,"maturityDate":null,"operativeType":null,"settlementType":"2","symbol":"ABNB"}]</stp>
        <tr r="E237" s="101"/>
        <tr r="G237" s="101"/>
        <tr r="F237" s="101"/>
      </tp>
    </main>
    <main first="rtdsrv.5889b103584c45589dc3f5e29ed9b264">
      <tp t="s">
        <v/>
        <stp/>
        <stp>[{"Symbol":"GLOB","currency":null,"instrumentType":null,"market":null,"maturityDate":null,"operativeType":null,"settlementType":"2","symbol":"GLOB"}]</stp>
        <tr r="E57" s="101"/>
        <tr r="G57" s="101"/>
        <tr r="F57" s="101"/>
      </tp>
      <tp t="s">
        <v/>
        <stp/>
        <stp>[{"Symbol":"LEDE","currency":null,"instrumentType":null,"market":null,"maturityDate":null,"operativeType":null,"settlementType":"2","symbol":"LEDE"}]</stp>
        <tr r="L96" s="101"/>
        <tr r="K96" s="101"/>
        <tr r="M96" s="101"/>
      </tp>
    </main>
    <main first="rtdsrv.5889b103584c45589dc3f5e29ed9b264">
      <tp t="s">
        <v/>
        <stp/>
        <stp>[{"Symbol":"BRKB","currency":null,"instrumentType":null,"market":null,"maturityDate":null,"operativeType":null,"settlementType":"2","symbol":"BRKB"}]</stp>
        <tr r="G63" s="101"/>
        <tr r="F63" s="101"/>
        <tr r="E63" s="101"/>
      </tp>
      <tp t="s">
        <v/>
        <stp/>
        <stp>[{"Symbol":"DOME","currency":null,"instrumentType":null,"market":null,"maturityDate":null,"operativeType":null,"settlementType":"2","symbol":"DOME"}]</stp>
        <tr r="K54" s="101"/>
        <tr r="M54" s="101"/>
        <tr r="L54" s="101"/>
      </tp>
      <tp t="s">
        <v/>
        <stp/>
        <stp>[{"Symbol":"HSAT","currency":null,"instrumentType":null,"market":null,"maturityDate":null,"operativeType":null,"settlementType":"2","symbol":"HSAT"}]</stp>
        <tr r="K67" s="101"/>
        <tr r="M67" s="101"/>
        <tr r="L67" s="101"/>
      </tp>
    </main>
    <main first="rtdsrv.5889b103584c45589dc3f5e29ed9b264">
      <tp t="s">
        <v/>
        <stp/>
        <stp>[{"Symbol":"CTIO","currency":null,"instrumentType":null,"market":null,"maturityDate":null,"operativeType":null,"settlementType":"2","symbol":"CTIO"}]</stp>
        <tr r="L58" s="101"/>
        <tr r="M58" s="101"/>
        <tr r="K58" s="101"/>
      </tp>
      <tp t="s">
        <v/>
        <stp/>
        <stp>[{"Symbol":"ARKK","currency":null,"instrumentType":null,"market":null,"maturityDate":null,"operativeType":null,"settlementType":"2","symbol":"ARKK"}]</stp>
        <tr r="G187" s="101"/>
        <tr r="E187" s="101"/>
        <tr r="F187" s="101"/>
      </tp>
      <tp t="s">
        <v/>
        <stp/>
        <stp>[{"Symbol":"GRMN","currency":null,"instrumentType":null,"market":null,"maturityDate":null,"operativeType":null,"settlementType":"2","symbol":"GRMN"}]</stp>
        <tr r="F303" s="101"/>
        <tr r="E303" s="101"/>
        <tr r="G303" s="101"/>
      </tp>
      <tp t="s">
        <v/>
        <stp/>
        <stp>[{"Symbol":"HSBC","currency":null,"instrumentType":null,"market":null,"maturityDate":null,"operativeType":null,"settlementType":"2","symbol":"HSBC"}]</stp>
        <tr r="G329" s="101"/>
        <tr r="L129" s="101"/>
        <tr r="F329" s="101"/>
        <tr r="E329" s="101"/>
        <tr r="K129" s="101"/>
        <tr r="M129" s="101"/>
      </tp>
      <tp t="s">
        <v/>
        <stp/>
        <stp>[{"Symbol":"NVDA","currency":null,"instrumentType":null,"market":null,"maturityDate":null,"operativeType":null,"settlementType":"2","symbol":"NVDA"}]</stp>
        <tr r="E44" s="101"/>
        <tr r="G44" s="101"/>
        <tr r="F44" s="101"/>
      </tp>
      <tp t="s">
        <v/>
        <stp/>
        <stp>[{"Symbol":"GAMI","currency":null,"instrumentType":null,"market":null,"maturityDate":null,"operativeType":null,"settlementType":"2","symbol":"GAMI"}]</stp>
        <tr r="L65" s="101"/>
        <tr r="K65" s="101"/>
        <tr r="M65" s="101"/>
      </tp>
      <tp t="s">
        <v/>
        <stp/>
        <stp>[{"Symbol":"XLRE","currency":null,"instrumentType":null,"market":null,"maturityDate":null,"operativeType":null,"settlementType":"2","symbol":"XLRE"}]</stp>
        <tr r="F198" s="101"/>
        <tr r="E198" s="101"/>
        <tr r="G198" s="101"/>
      </tp>
      <tp t="s">
        <v/>
        <stp/>
        <stp>[{"Symbol":"COIN","currency":null,"instrumentType":null,"market":null,"maturityDate":null,"operativeType":null,"settlementType":"2","symbol":"COIN"}]</stp>
        <tr r="E34" s="101"/>
        <tr r="F34" s="101"/>
        <tr r="G34" s="101"/>
      </tp>
      <tp t="s">
        <v/>
        <stp/>
        <stp>[{"Symbol":"FSLR","currency":null,"instrumentType":null,"market":null,"maturityDate":null,"operativeType":null,"settlementType":"2","symbol":"FSLR"}]</stp>
        <tr r="F131" s="101"/>
        <tr r="G131" s="101"/>
        <tr r="E131" s="101"/>
      </tp>
      <tp t="s">
        <v/>
        <stp/>
        <stp>[{"Symbol":"ECOG","currency":null,"instrumentType":null,"market":null,"maturityDate":null,"operativeType":null,"settlementType":"2","symbol":"ECOG"}]</stp>
        <tr r="K70" s="101"/>
        <tr r="L70" s="101"/>
        <tr r="M70" s="101"/>
      </tp>
    </main>
    <main first="rtdsrv.5889b103584c45589dc3f5e29ed9b264">
      <tp t="s">
        <v/>
        <stp/>
        <stp>[{"Symbol":"BHIP","currency":null,"instrumentType":null,"market":null,"maturityDate":null,"operativeType":null,"settlementType":"2","symbol":"BHIP"}]</stp>
        <tr r="L83" s="101"/>
        <tr r="M83" s="101"/>
        <tr r="K83" s="101"/>
      </tp>
      <tp t="s">
        <v/>
        <stp/>
        <stp>[{"Symbol":"SPXL","currency":null,"instrumentType":null,"market":null,"maturityDate":null,"operativeType":null,"settlementType":"2","symbol":"SPXL"}]</stp>
        <tr r="E184" s="101"/>
        <tr r="F184" s="101"/>
        <tr r="G184" s="101"/>
      </tp>
      <tp t="s">
        <v/>
        <stp/>
        <stp>[{"Symbol":"MUFG","currency":null,"instrumentType":null,"market":null,"maturityDate":null,"operativeType":null,"settlementType":"2","symbol":"MUFG"}]</stp>
        <tr r="E285" s="101"/>
        <tr r="F285" s="101"/>
        <tr r="G285" s="101"/>
      </tp>
      <tp t="s">
        <v/>
        <stp/>
        <stp>[{"Symbol":"BIIB","currency":null,"instrumentType":null,"market":null,"maturityDate":null,"operativeType":null,"settlementType":"2","symbol":"BIIB"}]</stp>
        <tr r="F263" s="101"/>
        <tr r="G263" s="101"/>
        <tr r="E263" s="101"/>
      </tp>
      <tp t="s">
        <v/>
        <stp/>
        <stp>[{"Symbol":"FNMA","currency":null,"instrumentType":null,"market":null,"maturityDate":null,"operativeType":null,"settlementType":"2","symbol":"FNMA"}]</stp>
        <tr r="F382" s="101"/>
        <tr r="G382" s="101"/>
        <tr r="E382" s="101"/>
      </tp>
      <tp t="s">
        <v/>
        <stp/>
        <stp>[{"Symbol":"GILD","currency":null,"instrumentType":null,"market":null,"maturityDate":null,"operativeType":null,"settlementType":"2","symbol":"GILD"}]</stp>
        <tr r="G128" s="101"/>
        <tr r="F128" s="101"/>
        <tr r="E128" s="101"/>
      </tp>
      <tp t="s">
        <v/>
        <stp/>
        <stp>[{"Symbol":"GCLA","currency":null,"instrumentType":null,"market":null,"maturityDate":null,"operativeType":null,"settlementType":"2","symbol":"GCLA"}]</stp>
        <tr r="K66" s="101"/>
        <tr r="M66" s="101"/>
        <tr r="L66" s="101"/>
      </tp>
      <tp t="s">
        <v/>
        <stp/>
        <stp>[{"Symbol":"EQNR","currency":null,"instrumentType":null,"market":null,"maturityDate":null,"operativeType":null,"settlementType":"2","symbol":"EQNR"}]</stp>
        <tr r="F344" s="101"/>
        <tr r="E344" s="101"/>
        <tr r="G344" s="101"/>
      </tp>
      <tp t="s">
        <v/>
        <stp/>
        <stp>[{"Symbol":"MSFT","currency":null,"instrumentType":null,"market":null,"maturityDate":null,"operativeType":null,"settlementType":"2","symbol":"MSFT"}]</stp>
        <tr r="G28" s="101"/>
        <tr r="F28" s="101"/>
        <tr r="E28" s="101"/>
      </tp>
      <tp t="s">
        <v/>
        <stp/>
        <stp>[{"Symbol":"NTES","currency":null,"instrumentType":null,"market":null,"maturityDate":null,"operativeType":null,"settlementType":"2","symbol":"NTES"}]</stp>
        <tr r="G331" s="101"/>
        <tr r="E331" s="101"/>
        <tr r="F331" s="101"/>
      </tp>
      <tp t="s">
        <v/>
        <stp/>
        <stp>[{"Symbol":"rccjd","currency":null,"instrumentType":null,"market":null,"maturityDate":null,"operativeType":null,"settlementType":"2","symbol":"rccjd"}]</stp>
        <tr r="E2" s="52"/>
      </tp>
    </main>
    <main first="rtdsrv.5889b103584c45589dc3f5e29ed9b264">
      <tp t="s">
        <v/>
        <stp/>
        <stp>[{"Symbol":"EBAY","currency":null,"instrumentType":null,"market":null,"maturityDate":null,"operativeType":null,"settlementType":"2","symbol":"EBAY"}]</stp>
        <tr r="F53" s="101"/>
        <tr r="G53" s="101"/>
        <tr r="E53" s="101"/>
      </tp>
      <tp t="s">
        <v/>
        <stp/>
        <stp>[{"Symbol":"PLTR","currency":null,"instrumentType":null,"market":null,"maturityDate":null,"operativeType":null,"settlementType":"2","symbol":"PLTR"}]</stp>
        <tr r="E55" s="101"/>
        <tr r="F55" s="101"/>
        <tr r="G55" s="101"/>
      </tp>
      <tp t="s">
        <v/>
        <stp/>
        <stp>[{"Symbol":"ABEV","currency":null,"instrumentType":null,"market":null,"maturityDate":null,"operativeType":null,"settlementType":"2","symbol":"ABEV"}]</stp>
        <tr r="E138" s="101"/>
        <tr r="F138" s="101"/>
        <tr r="G138" s="101"/>
      </tp>
      <tp t="s">
        <v/>
        <stp/>
        <stp>[{"Symbol":"PATH","currency":null,"instrumentType":null,"market":null,"maturityDate":null,"operativeType":null,"settlementType":"2","symbol":"PATH"}]</stp>
        <tr r="E236" s="101"/>
        <tr r="K130" s="101"/>
        <tr r="M130" s="101"/>
        <tr r="L130" s="101"/>
        <tr r="F236" s="101"/>
        <tr r="G236" s="101"/>
      </tp>
      <tp t="s">
        <v/>
        <stp/>
        <stp>[{"Symbol":"IEMG","currency":null,"instrumentType":null,"market":null,"maturityDate":null,"operativeType":null,"settlementType":"2","symbol":"IEMG"}]</stp>
        <tr r="E211" s="101"/>
        <tr r="F211" s="101"/>
        <tr r="G211" s="101"/>
        <tr r="L13" s="101"/>
      </tp>
      <tp t="s">
        <v/>
        <stp/>
        <stp>[{"Symbol":"PATA","currency":null,"instrumentType":null,"market":null,"maturityDate":null,"operativeType":null,"settlementType":"2","symbol":"PATA"}]</stp>
        <tr r="K94" s="101"/>
        <tr r="M94" s="101"/>
        <tr r="L94" s="101"/>
      </tp>
      <tp t="s">
        <v/>
        <stp/>
        <stp>[{"Symbol":"BRFS","currency":null,"instrumentType":null,"market":null,"maturityDate":null,"operativeType":null,"settlementType":"2","symbol":"BRFS"}]</stp>
        <tr r="G389" s="101"/>
        <tr r="E389" s="101"/>
        <tr r="F389" s="101"/>
      </tp>
      <tp t="s">
        <v/>
        <stp/>
        <stp>[{"Symbol":"EOAN","currency":null,"instrumentType":null,"market":null,"maturityDate":null,"operativeType":null,"settlementType":"2","symbol":"EOAN"}]</stp>
        <tr r="G400" s="101"/>
        <tr r="E400" s="101"/>
        <tr r="F400" s="101"/>
      </tp>
    </main>
    <main first="rtdsrv.5889b103584c45589dc3f5e29ed9b264">
      <tp t="s">
        <v/>
        <stp/>
        <stp>[{"Symbol":"VRSN","currency":null,"instrumentType":null,"market":null,"maturityDate":null,"operativeType":null,"settlementType":"2","symbol":"VRSN"}]</stp>
        <tr r="G150" s="101"/>
        <tr r="F150" s="101"/>
        <tr r="E150" s="101"/>
      </tp>
      <tp t="s">
        <v/>
        <stp/>
        <stp>[{"Symbol":"VIST","currency":null,"instrumentType":null,"market":null,"maturityDate":null,"operativeType":null,"settlementType":"2","symbol":"VIST"}]</stp>
        <tr r="F30" s="101"/>
        <tr r="G30" s="101"/>
        <tr r="E30" s="101"/>
      </tp>
      <tp t="s">
        <v/>
        <stp/>
        <stp>[{"Symbol":"FMCC","currency":null,"instrumentType":null,"market":null,"maturityDate":null,"operativeType":null,"settlementType":"2","symbol":"FMCC"}]</stp>
        <tr r="G401" s="101"/>
        <tr r="F401" s="101"/>
        <tr r="E401" s="101"/>
      </tp>
      <tp t="s">
        <v/>
        <stp/>
        <stp>[{"Symbol":"NOKA","currency":null,"instrumentType":null,"market":null,"maturityDate":null,"operativeType":null,"settlementType":"2","symbol":"NOKA"}]</stp>
        <tr r="G325" s="101"/>
        <tr r="F325" s="101"/>
        <tr r="E325" s="101"/>
      </tp>
      <tp t="s">
        <v/>
        <stp/>
        <stp>[{"Symbol":"TQQQ","currency":null,"instrumentType":null,"market":null,"maturityDate":null,"operativeType":null,"settlementType":"2","symbol":"TQQQ"}]</stp>
        <tr r="G172" s="101"/>
        <tr r="E172" s="101"/>
        <tr r="F172" s="101"/>
      </tp>
    </main>
    <main first="rtdsrv.5889b103584c45589dc3f5e29ed9b264">
      <tp t="s">
        <v/>
        <stp/>
        <stp>[{"Symbol":"SBUX","currency":null,"instrumentType":null,"market":null,"maturityDate":null,"operativeType":null,"settlementType":"2","symbol":"SBUX"}]</stp>
        <tr r="E252" s="101"/>
        <tr r="F252" s="101"/>
        <tr r="G252" s="101"/>
      </tp>
      <tp t="s">
        <v/>
        <stp/>
        <stp>[{"Symbol":"AVGO","currency":null,"instrumentType":null,"market":null,"maturityDate":null,"operativeType":null,"settlementType":"2","symbol":"AVGO"}]</stp>
        <tr r="L127" s="101"/>
        <tr r="K127" s="101"/>
        <tr r="E114" s="101"/>
        <tr r="M127" s="101"/>
        <tr r="G114" s="101"/>
        <tr r="F114" s="101"/>
      </tp>
      <tp t="s">
        <v/>
        <stp/>
        <stp>[{"Symbol":"BIDU","currency":null,"instrumentType":null,"market":null,"maturityDate":null,"operativeType":null,"settlementType":"2","symbol":"BIDU"}]</stp>
        <tr r="G228" s="101"/>
        <tr r="E228" s="101"/>
        <tr r="F228" s="101"/>
      </tp>
      <tp t="s">
        <v/>
        <stp/>
        <stp>[{"Symbol":"ADGO","currency":null,"instrumentType":null,"market":null,"maturityDate":null,"operativeType":null,"settlementType":"2","symbol":"ADGO"}]</stp>
        <tr r="E74" s="101"/>
        <tr r="F74" s="101"/>
        <tr r="G74" s="101"/>
      </tp>
      <tp t="s">
        <v/>
        <stp/>
        <stp>[{"Symbol":"GGAL","currency":null,"instrumentType":null,"market":null,"maturityDate":null,"operativeType":null,"settlementType":"2","symbol":"GGAL"}]</stp>
        <tr r="K45" s="101"/>
        <tr r="M45" s="101"/>
        <tr r="L45" s="101"/>
      </tp>
      <tp t="s">
        <v/>
        <stp/>
        <stp>[{"Symbol":"RGTI","currency":null,"instrumentType":null,"market":null,"maturityDate":null,"operativeType":null,"settlementType":"2","symbol":"RGTI"}]</stp>
        <tr r="E56" s="101"/>
        <tr r="G56" s="101"/>
        <tr r="F56" s="101"/>
      </tp>
      <tp t="s">
        <v/>
        <stp/>
        <stp>[{"Symbol":"GBAN","currency":null,"instrumentType":null,"market":null,"maturityDate":null,"operativeType":null,"settlementType":"2","symbol":"GBAN"}]</stp>
        <tr r="L55" s="101"/>
        <tr r="M55" s="101"/>
        <tr r="K55" s="101"/>
      </tp>
      <tp t="s">
        <v/>
        <stp/>
        <stp>[{"Symbol":"AMGN","currency":null,"instrumentType":null,"market":null,"maturityDate":null,"operativeType":null,"settlementType":"2","symbol":"AMGN"}]</stp>
        <tr r="G255" s="101"/>
        <tr r="E255" s="101"/>
        <tr r="F255" s="101"/>
      </tp>
      <tp t="s">
        <v/>
        <stp/>
        <stp>[{"Symbol":"CRES","currency":null,"instrumentType":null,"market":null,"maturityDate":null,"operativeType":null,"settlementType":"2","symbol":"CRES"}]</stp>
        <tr r="M37" s="101"/>
        <tr r="K37" s="101"/>
        <tr r="L37" s="101"/>
      </tp>
      <tp t="s">
        <v/>
        <stp/>
        <stp>[{"Symbol":"UPST","currency":null,"instrumentType":null,"market":null,"maturityDate":null,"operativeType":null,"settlementType":"2","symbol":"UPST"}]</stp>
        <tr r="F69" s="101"/>
        <tr r="E69" s="101"/>
        <tr r="G69" s="101"/>
      </tp>
    </main>
    <main first="rtdsrv.5889b103584c45589dc3f5e29ed9b264">
      <tp t="s">
        <v/>
        <stp/>
        <stp>[{"Symbol":"DOCU","currency":null,"instrumentType":null,"market":null,"maturityDate":null,"operativeType":null,"settlementType":"2","symbol":"DOCU"}]</stp>
        <tr r="E205" s="101"/>
        <tr r="F205" s="101"/>
        <tr r="G205" s="101"/>
      </tp>
      <tp t="s">
        <v/>
        <stp/>
        <stp>[{"Symbol":"HOOD","currency":null,"instrumentType":null,"market":null,"maturityDate":null,"operativeType":null,"settlementType":"2","symbol":"HOOD"}]</stp>
        <tr r="F107" s="101"/>
        <tr r="E107" s="101"/>
        <tr r="G107" s="101"/>
      </tp>
      <tp t="s">
        <v/>
        <stp/>
        <stp>[{"Symbol":"CADO","currency":null,"instrumentType":null,"market":null,"maturityDate":null,"operativeType":null,"settlementType":"2","symbol":"CADO"}]</stp>
        <tr r="L90" s="101"/>
        <tr r="M90" s="101"/>
        <tr r="K90" s="101"/>
      </tp>
      <tp t="s">
        <v/>
        <stp/>
        <stp>[{"Symbol":"DECK","currency":null,"instrumentType":null,"market":null,"maturityDate":null,"operativeType":null,"settlementType":"2","symbol":"DECK"}]</stp>
        <tr r="G210" s="101"/>
        <tr r="F210" s="101"/>
        <tr r="E210" s="101"/>
      </tp>
      <tp t="s">
        <v/>
        <stp/>
        <stp>[{"Symbol":"SATL","currency":null,"instrumentType":null,"market":null,"maturityDate":null,"operativeType":null,"settlementType":"2","symbol":"SATL"}]</stp>
        <tr r="F62" s="101"/>
        <tr r="G62" s="101"/>
        <tr r="E62" s="101"/>
      </tp>
      <tp t="s">
        <v/>
        <stp/>
        <stp>[{"Symbol":"AMAT","currency":null,"instrumentType":null,"market":null,"maturityDate":null,"operativeType":null,"settlementType":"2","symbol":"AMAT"}]</stp>
        <tr r="F84" s="101"/>
        <tr r="E84" s="101"/>
        <tr r="G84" s="101"/>
      </tp>
      <tp t="s">
        <v/>
        <stp/>
        <stp>[{"Symbol":"CSCO","currency":null,"instrumentType":null,"market":null,"maturityDate":null,"operativeType":null,"settlementType":"2","symbol":"CSCO"}]</stp>
        <tr r="F45" s="101"/>
        <tr r="E45" s="101"/>
        <tr r="G45" s="101"/>
      </tp>
      <tp t="s">
        <v/>
        <stp/>
        <stp>[{"Symbol":"ATAD","currency":null,"instrumentType":null,"market":null,"maturityDate":null,"operativeType":null,"settlementType":"2","symbol":"ATAD"}]</stp>
        <tr r="E419" s="101"/>
        <tr r="G419" s="101"/>
        <tr r="F419" s="101"/>
      </tp>
      <tp t="s">
        <v/>
        <stp/>
        <stp>[{"Symbol":"IBIT","currency":null,"instrumentType":null,"market":null,"maturityDate":null,"operativeType":null,"settlementType":"2","symbol":"IBIT"}]</stp>
        <tr r="L17" s="101"/>
        <tr r="G37" s="101"/>
        <tr r="E37" s="101"/>
        <tr r="F37" s="101"/>
      </tp>
      <tp t="s">
        <v/>
        <stp/>
        <stp>[{"Symbol":"PYPL","currency":null,"instrumentType":null,"market":null,"maturityDate":null,"operativeType":null,"settlementType":"2","symbol":"PYPL"}]</stp>
        <tr r="G73" s="101"/>
        <tr r="F73" s="101"/>
        <tr r="E73" s="101"/>
      </tp>
      <tp t="s">
        <v/>
        <stp/>
        <stp>[{"Symbol":"ALAB","currency":null,"instrumentType":null,"market":null,"maturityDate":null,"operativeType":null,"settlementType":"2","symbol":"ALAB"}]</stp>
        <tr r="E89" s="101"/>
        <tr r="G89" s="101"/>
        <tr r="F89" s="101"/>
      </tp>
      <tp t="s">
        <v/>
        <stp/>
        <stp>[{"Symbol":"SMSN","currency":null,"instrumentType":null,"market":null,"maturityDate":null,"operativeType":null,"settlementType":"2","symbol":"SMSN"}]</stp>
        <tr r="F420" s="101"/>
        <tr r="G420" s="101"/>
        <tr r="E420" s="101"/>
      </tp>
      <tp t="s">
        <v/>
        <stp/>
        <stp>[{"Symbol":"BABA","currency":null,"instrumentType":null,"market":null,"maturityDate":null,"operativeType":null,"settlementType":"2","symbol":"BABA"}]</stp>
        <tr r="G77" s="101"/>
        <tr r="E77" s="101"/>
        <tr r="F77" s="101"/>
      </tp>
      <tp t="s">
        <v/>
        <stp/>
        <stp>[{"Symbol":"BSBR","currency":null,"instrumentType":null,"market":null,"maturityDate":null,"operativeType":null,"settlementType":"2","symbol":"BSBR"}]</stp>
        <tr r="F309" s="101"/>
        <tr r="E309" s="101"/>
        <tr r="G309" s="101"/>
      </tp>
    </main>
    <main first="rtdsrv.5889b103584c45589dc3f5e29ed9b264">
      <tp t="s">
        <v/>
        <stp/>
        <stp>[{"Symbol":"CIBR","currency":null,"instrumentType":null,"market":null,"maturityDate":null,"operativeType":null,"settlementType":"2","symbol":"CIBR"}]</stp>
        <tr r="F203" s="101"/>
        <tr r="E203" s="101"/>
        <tr r="G203" s="101"/>
      </tp>
      <tp t="s">
        <v/>
        <stp/>
        <stp>[{"Symbol":"ROST","currency":null,"instrumentType":null,"market":null,"maturityDate":null,"operativeType":null,"settlementType":"2","symbol":"ROST"}]</stp>
        <tr r="E428" s="101"/>
        <tr r="F428" s="101"/>
        <tr r="G428" s="101"/>
      </tp>
      <tp t="s">
        <v/>
        <stp/>
        <stp>[{"Symbol":"MDLZ","currency":null,"instrumentType":null,"market":null,"maturityDate":null,"operativeType":null,"settlementType":"2","symbol":"MDLZ"}]</stp>
        <tr r="F212" s="101"/>
        <tr r="G212" s="101"/>
        <tr r="E212" s="101"/>
      </tp>
      <tp t="s">
        <v/>
        <stp/>
        <stp>[{"Symbol":"TMUS","currency":null,"instrumentType":null,"market":null,"maturityDate":null,"operativeType":null,"settlementType":"2","symbol":"TMUS"}]</stp>
        <tr r="F214" s="101"/>
        <tr r="E214" s="101"/>
        <tr r="G214" s="101"/>
      </tp>
      <tp t="s">
        <v/>
        <stp/>
        <stp>[{"Symbol":"DTEA","currency":null,"instrumentType":null,"market":null,"maturityDate":null,"operativeType":null,"settlementType":"2","symbol":"DTEA"}]</stp>
        <tr r="E399" s="101"/>
        <tr r="G399" s="101"/>
        <tr r="F399" s="101"/>
      </tp>
      <tp t="s">
        <v/>
        <stp/>
        <stp>[{"Symbol":"ROSE","currency":null,"instrumentType":null,"market":null,"maturityDate":null,"operativeType":null,"settlementType":"2","symbol":"ROSE"}]</stp>
        <tr r="M92" s="101"/>
        <tr r="K92" s="101"/>
        <tr r="L92" s="101"/>
      </tp>
      <tp t="s">
        <v/>
        <stp/>
        <stp>[{"Symbol":"LOMA","currency":null,"instrumentType":null,"market":null,"maturityDate":null,"operativeType":null,"settlementType":"2","symbol":"LOMA"}]</stp>
        <tr r="L42" s="101"/>
        <tr r="M42" s="101"/>
        <tr r="K42" s="101"/>
      </tp>
      <tp t="s">
        <v/>
        <stp/>
        <stp>[{"Symbol":"MOLA","currency":null,"instrumentType":null,"market":null,"maturityDate":null,"operativeType":null,"settlementType":"2","symbol":"MOLA"}]</stp>
        <tr r="M89" s="101"/>
        <tr r="L89" s="101"/>
        <tr r="K89" s="101"/>
      </tp>
      <tp t="s">
        <v/>
        <stp/>
        <stp>[{"Symbol":"MELI","currency":null,"instrumentType":null,"market":null,"maturityDate":null,"operativeType":null,"settlementType":"2","symbol":"MELI"}]</stp>
        <tr r="F29" s="101"/>
        <tr r="E29" s="101"/>
        <tr r="G29" s="101"/>
      </tp>
      <tp t="s">
        <v/>
        <stp/>
        <stp>[{"Symbol":"MOLI","currency":null,"instrumentType":null,"market":null,"maturityDate":null,"operativeType":null,"settlementType":"2","symbol":"MOLI"}]</stp>
        <tr r="M68" s="101"/>
        <tr r="K68" s="101"/>
        <tr r="L68" s="101"/>
      </tp>
      <tp t="s">
        <v/>
        <stp/>
        <stp>[{"Symbol":"VSCRO - Cashflow en USD","currency":null,"instrumentType":null,"market":null,"maturityDate":null,"operativeType":null,"settlementType":"2","symbol":"VSCRO - Cashflow en USD"}]</stp>
        <tr r="E2" s="55"/>
      </tp>
      <tp t="s">
        <v/>
        <stp/>
        <stp>[{"Symbol":"NFLX","currency":null,"instrumentType":null,"market":null,"maturityDate":null,"operativeType":null,"settlementType":"2","symbol":"NFLX"}]</stp>
        <tr r="F52" s="101"/>
        <tr r="G52" s="101"/>
        <tr r="E52" s="101"/>
      </tp>
      <tp t="s">
        <v/>
        <stp/>
        <stp>[{"Symbol":"ARCO","currency":null,"instrumentType":null,"market":null,"maturityDate":null,"operativeType":null,"settlementType":"2","symbol":"ARCO"}]</stp>
        <tr r="E322" s="101"/>
        <tr r="F322" s="101"/>
        <tr r="G322" s="101"/>
      </tp>
      <tp t="s">
        <v/>
        <stp/>
        <stp>[{"Symbol":"CAAP","currency":null,"instrumentType":null,"market":null,"maturityDate":null,"operativeType":null,"settlementType":"2","symbol":"CAAP"}]</stp>
        <tr r="E327" s="101"/>
        <tr r="G327" s="101"/>
        <tr r="F327" s="101"/>
      </tp>
      <tp t="s">
        <v/>
        <stp/>
        <stp>[{"Symbol":"VRTX","currency":null,"instrumentType":null,"market":null,"maturityDate":null,"operativeType":null,"settlementType":"2","symbol":"VRTX"}]</stp>
        <tr r="E267" s="101"/>
        <tr r="G267" s="101"/>
        <tr r="F267" s="101"/>
      </tp>
      <tp t="s">
        <v/>
        <stp/>
        <stp>[{"Symbol":"LONG","currency":null,"instrumentType":null,"market":null,"maturityDate":null,"operativeType":null,"settlementType":"2","symbol":"LONG"}]</stp>
        <tr r="M86" s="101"/>
        <tr r="L86" s="101"/>
        <tr r="K86" s="101"/>
      </tp>
      <tp t="s">
        <v/>
        <stp/>
        <stp>[{"Symbol":"AOCA","currency":null,"instrumentType":null,"market":null,"maturityDate":null,"operativeType":null,"settlementType":"2","symbol":"AOCA"}]</stp>
        <tr r="E386" s="101"/>
        <tr r="G386" s="101"/>
        <tr r="F386" s="101"/>
      </tp>
      <tp t="s">
        <v/>
        <stp/>
        <stp>[{"Symbol":"ESGU","currency":null,"instrumentType":null,"market":null,"maturityDate":null,"operativeType":null,"settlementType":"2","symbol":"ESGU"}]</stp>
        <tr r="G370" s="101"/>
        <tr r="F370" s="101"/>
        <tr r="E370" s="101"/>
      </tp>
      <tp t="s">
        <v/>
        <stp/>
        <stp>[{"Symbol":"TRVV","currency":null,"instrumentType":null,"market":null,"maturityDate":null,"operativeType":null,"settlementType":"2","symbol":"TRVV"}]</stp>
        <tr r="F380" s="101"/>
        <tr r="G380" s="101"/>
        <tr r="E380" s="101"/>
      </tp>
      <tp t="s">
        <v/>
        <stp/>
        <stp>[{"Symbol":"PCRF","currency":null,"instrumentType":null,"market":null,"maturityDate":null,"operativeType":null,"settlementType":"2","symbol":"PCRF"}]</stp>
        <tr r="F414" s="101"/>
        <tr r="G414" s="101"/>
        <tr r="E414" s="101"/>
      </tp>
      <tp t="s">
        <v/>
        <stp/>
        <stp>[{"Symbol":"SHPW","currency":null,"instrumentType":null,"market":null,"maturityDate":null,"operativeType":null,"settlementType":"2","symbol":"SHPW"}]</stp>
        <tr r="E421" s="101"/>
        <tr r="F421" s="101"/>
        <tr r="G421" s="101"/>
      </tp>
      <tp t="s">
        <v/>
        <stp/>
        <stp>[{"Symbol":"MRNA","currency":null,"instrumentType":null,"market":null,"maturityDate":null,"operativeType":null,"settlementType":"2","symbol":"MRNA"}]</stp>
        <tr r="E220" s="101"/>
        <tr r="G220" s="101"/>
        <tr r="F220" s="101"/>
      </tp>
      <tp t="s">
        <v/>
        <stp/>
        <stp>[{"Symbol":"BBAR","currency":null,"instrumentType":null,"market":null,"maturityDate":null,"operativeType":null,"settlementType":"2","symbol":"BBAR"}]</stp>
        <tr r="L46" s="101"/>
        <tr r="K46" s="101"/>
        <tr r="M46" s="101"/>
      </tp>
      <tp t="s">
        <v/>
        <stp/>
        <stp>[{"Symbol":"ABBV","currency":null,"instrumentType":null,"market":null,"maturityDate":null,"operativeType":null,"settlementType":"2","symbol":"ABBV"}]</stp>
        <tr r="E282" s="101"/>
        <tr r="F282" s="101"/>
        <tr r="G282" s="101"/>
      </tp>
      <tp t="s">
        <v/>
        <stp/>
        <stp>[{"Symbol":"GCDI","currency":null,"instrumentType":null,"market":null,"maturityDate":null,"operativeType":null,"settlementType":"2","symbol":"GCDI"}]</stp>
        <tr r="K72" s="101"/>
        <tr r="M72" s="101"/>
        <tr r="L72" s="101"/>
      </tp>
      <tp t="s">
        <v/>
        <stp/>
        <stp>[{"Symbol":"ORLY","currency":null,"instrumentType":null,"market":null,"maturityDate":null,"operativeType":null,"settlementType":"2","symbol":"ORLY"}]</stp>
        <tr r="F317" s="101"/>
        <tr r="E317" s="101"/>
        <tr r="G317" s="101"/>
      </tp>
      <tp t="s">
        <v/>
        <stp/>
        <stp>[{"Symbol":"LKOD","currency":null,"instrumentType":null,"market":null,"maturityDate":null,"operativeType":null,"settlementType":"2","symbol":"LKOD"}]</stp>
        <tr r="E418" s="101"/>
        <tr r="G418" s="101"/>
        <tr r="F418" s="101"/>
      </tp>
      <tp t="s">
        <v/>
        <stp/>
        <stp>[{"Symbol":"JMIA","currency":null,"instrumentType":null,"market":null,"maturityDate":null,"operativeType":null,"settlementType":"2","symbol":"JMIA"}]</stp>
        <tr r="F36" s="101"/>
        <tr r="G36" s="101"/>
        <tr r="E36" s="101"/>
      </tp>
      <tp t="s">
        <v/>
        <stp/>
        <stp>[{"Symbol":"SUPV","currency":null,"instrumentType":null,"market":null,"maturityDate":null,"operativeType":null,"settlementType":"2","symbol":"SUPV"}]</stp>
        <tr r="L41" s="101"/>
        <tr r="K41" s="101"/>
        <tr r="M41" s="101"/>
      </tp>
      <tp t="s">
        <v/>
        <stp/>
        <stp>[{"Symbol":"AABA","currency":null,"instrumentType":null,"market":null,"maturityDate":null,"operativeType":null,"settlementType":"2","symbol":"AABA"}]</stp>
        <tr r="F385" s="101"/>
        <tr r="G385" s="101"/>
        <tr r="E385" s="101"/>
      </tp>
      <tp t="s">
        <v/>
        <stp/>
        <stp>[{"Symbol":"ADBE","currency":null,"instrumentType":null,"market":null,"maturityDate":null,"operativeType":null,"settlementType":"2","symbol":"ADBE"}]</stp>
        <tr r="F96" s="101"/>
        <tr r="G96" s="101"/>
        <tr r="E96" s="101"/>
      </tp>
      <tp t="s">
        <v/>
        <stp/>
        <stp>[{"Symbol":"BPAT","currency":null,"instrumentType":null,"market":null,"maturityDate":null,"operativeType":null,"settlementType":"2","symbol":"BPAT"}]</stp>
        <tr r="M60" s="101"/>
        <tr r="L60" s="101"/>
        <tr r="K60" s="101"/>
      </tp>
      <tp t="s">
        <v/>
        <stp/>
        <stp>[{"Symbol":"OKLO","currency":null,"instrumentType":null,"market":null,"maturityDate":null,"operativeType":null,"settlementType":"2","symbol":"OKLO"}]</stp>
        <tr r="E102" s="101"/>
        <tr r="G102" s="101"/>
        <tr r="F102" s="101"/>
      </tp>
    </main>
    <main first="rtdsrv.5889b103584c45589dc3f5e29ed9b264">
      <tp t="s">
        <v/>
        <stp/>
        <stp>[{"Symbol":"SHOP","currency":null,"instrumentType":null,"market":null,"maturityDate":null,"operativeType":null,"settlementType":"2","symbol":"SHOP"}]</stp>
        <tr r="G130" s="101"/>
        <tr r="E130" s="101"/>
        <tr r="F130" s="101"/>
      </tp>
      <tp t="s">
        <v/>
        <stp/>
        <stp>[{"Symbol":"SNOW","currency":null,"instrumentType":null,"market":null,"maturityDate":null,"operativeType":null,"settlementType":"2","symbol":"SNOW"}]</stp>
        <tr r="F215" s="101"/>
        <tr r="G215" s="101"/>
        <tr r="E215" s="101"/>
      </tp>
      <tp t="s">
        <v/>
        <stp/>
        <stp>[{"Symbol":"OEST","currency":null,"instrumentType":null,"market":null,"maturityDate":null,"operativeType":null,"settlementType":"2","symbol":"OEST"}]</stp>
        <tr r="K64" s="101"/>
        <tr r="M64" s="101"/>
        <tr r="L64" s="101"/>
      </tp>
      <tp t="s">
        <v/>
        <stp/>
        <stp>[{"Symbol":"ITUB","currency":null,"instrumentType":null,"market":null,"maturityDate":null,"operativeType":null,"settlementType":"2","symbol":"ITUB"}]</stp>
        <tr r="F209" s="101"/>
        <tr r="E209" s="101"/>
        <tr r="G209" s="101"/>
      </tp>
      <tp t="s">
        <v/>
        <stp/>
        <stp>[{"Symbol":"IEUR","currency":null,"instrumentType":null,"market":null,"maturityDate":null,"operativeType":null,"settlementType":"2","symbol":"IEUR"}]</stp>
        <tr r="G204" s="101"/>
        <tr r="F204" s="101"/>
        <tr r="E204" s="101"/>
      </tp>
      <tp t="s">
        <v/>
        <stp/>
        <stp>[{"Symbol":"SPOT","currency":null,"instrumentType":null,"market":null,"maturityDate":null,"operativeType":null,"settlementType":"2","symbol":"SPOT"}]</stp>
        <tr r="E68" s="101"/>
        <tr r="G68" s="101"/>
        <tr r="F68" s="101"/>
      </tp>
    </main>
    <main first="rtdsrv.2a5d5496adce42f6b70948db6e20bcf1">
      <tp t="e">
        <v>#N/A</v>
        <stp/>
        <stp/>
        <tr r="B3" s="153"/>
      </tp>
    </main>
    <main first="rtdsrv.5889b103584c45589dc3f5e29ed9b264">
      <tp t="s">
        <v/>
        <stp/>
        <stp>[{"Symbol":"RIOT","currency":null,"instrumentType":null,"market":null,"maturityDate":null,"operativeType":null,"settlementType":"2","symbol":"RIOT"}]</stp>
        <tr r="E47" s="101"/>
        <tr r="G47" s="101"/>
        <tr r="F47" s="101"/>
      </tp>
      <tp t="s">
        <v/>
        <stp/>
        <stp>[{"Symbol":"PAMP","currency":null,"instrumentType":null,"market":null,"maturityDate":null,"operativeType":null,"settlementType":"2","symbol":"PAMP"}]</stp>
        <tr r="L39" s="101"/>
        <tr r="M39" s="101"/>
        <tr r="K39" s="101"/>
      </tp>
      <tp t="s">
        <v/>
        <stp/>
        <stp>[{"Symbol":"STNE","currency":null,"instrumentType":null,"market":null,"maturityDate":null,"operativeType":null,"settlementType":"2","symbol":"STNE"}]</stp>
        <tr r="F108" s="101"/>
        <tr r="E108" s="101"/>
        <tr r="G108" s="101"/>
      </tp>
      <tp t="s">
        <v/>
        <stp/>
        <stp>[{"Symbol":"SONY","currency":null,"instrumentType":null,"market":null,"maturityDate":null,"operativeType":null,"settlementType":"2","symbol":"SONY"}]</stp>
        <tr r="G197" s="101"/>
        <tr r="F197" s="101"/>
        <tr r="E197" s="101"/>
      </tp>
      <tp t="s">
        <v/>
        <stp/>
        <stp>[{"Symbol":"INTC","currency":null,"instrumentType":null,"market":null,"maturityDate":null,"operativeType":null,"settlementType":"2","symbol":"INTC"}]</stp>
        <tr r="G76" s="101"/>
        <tr r="E76" s="101"/>
        <tr r="F76" s="101"/>
      </tp>
      <tp t="s">
        <v/>
        <stp/>
        <stp>[{"Symbol":"TRIP","currency":null,"instrumentType":null,"market":null,"maturityDate":null,"operativeType":null,"settlementType":"2","symbol":"TRIP"}]</stp>
        <tr r="F54" s="101"/>
        <tr r="E54" s="101"/>
        <tr r="G54" s="101"/>
      </tp>
      <tp t="s">
        <v/>
        <stp/>
        <stp>[{"Symbol":"XPEV","currency":null,"instrumentType":null,"market":null,"maturityDate":null,"operativeType":null,"settlementType":"2","symbol":"XPEV"}]</stp>
        <tr r="F296" s="101"/>
        <tr r="E296" s="101"/>
        <tr r="G296" s="101"/>
      </tp>
    </main>
    <main first="rtdsrv.5889b103584c45589dc3f5e29ed9b264">
      <tp t="s">
        <v/>
        <stp/>
        <stp>[{"Symbol":"PINS","currency":null,"instrumentType":null,"market":null,"maturityDate":null,"operativeType":null,"settlementType":"2","symbol":"PINS"}]</stp>
        <tr r="F301" s="101"/>
        <tr r="G301" s="101"/>
        <tr r="E301" s="101"/>
      </tp>
      <tp t="s">
        <v/>
        <stp/>
        <stp>[{"Symbol":"RBLX","currency":null,"instrumentType":null,"market":null,"maturityDate":null,"operativeType":null,"settlementType":"2","symbol":"RBLX"}]</stp>
        <tr r="F85" s="101"/>
        <tr r="E85" s="101"/>
        <tr r="G85" s="101"/>
      </tp>
      <tp t="s">
        <v/>
        <stp/>
        <stp>[{"Symbol":"PANW","currency":null,"instrumentType":null,"market":null,"maturityDate":null,"operativeType":null,"settlementType":"2","symbol":"PANW"}]</stp>
        <tr r="K126" s="101"/>
        <tr r="L126" s="101"/>
        <tr r="E207" s="101"/>
        <tr r="F207" s="101"/>
        <tr r="M126" s="101"/>
        <tr r="G207" s="101"/>
      </tp>
      <tp t="s">
        <v/>
        <stp/>
        <stp>[{"Symbol":"SAMI","currency":null,"instrumentType":null,"market":null,"maturityDate":null,"operativeType":null,"settlementType":"2","symbol":"SAMI"}]</stp>
        <tr r="K75" s="101"/>
        <tr r="L75" s="101"/>
        <tr r="M75" s="101"/>
      </tp>
      <tp t="s">
        <v/>
        <stp/>
        <stp>[{"Symbol":"RKLB","currency":null,"instrumentType":null,"market":null,"maturityDate":null,"operativeType":null,"settlementType":"2","symbol":"RKLB"}]</stp>
        <tr r="F208" s="101"/>
        <tr r="G208" s="101"/>
        <tr r="E208" s="101"/>
      </tp>
      <tp t="s">
        <v/>
        <stp/>
        <stp>[{"Symbol":"QCOM","currency":null,"instrumentType":null,"market":null,"maturityDate":null,"operativeType":null,"settlementType":"2","symbol":"QCOM"}]</stp>
        <tr r="E95" s="101"/>
        <tr r="G95" s="101"/>
        <tr r="F95" s="101"/>
      </tp>
      <tp t="s">
        <v/>
        <stp/>
        <stp>[{"Symbol":"SEMI","currency":null,"instrumentType":null,"market":null,"maturityDate":null,"operativeType":null,"settlementType":"2","symbol":"SEMI"}]</stp>
        <tr r="L82" s="101"/>
        <tr r="K82" s="101"/>
        <tr r="M82" s="101"/>
      </tp>
      <tp t="s">
        <v/>
        <stp/>
        <stp>[{"Symbol":"HAVA","currency":null,"instrumentType":null,"market":null,"maturityDate":null,"operativeType":null,"settlementType":"2","symbol":"HAVA"}]</stp>
        <tr r="L78" s="101"/>
        <tr r="K78" s="101"/>
        <tr r="M78" s="101"/>
      </tp>
      <tp t="s">
        <v/>
        <stp/>
        <stp>[{"Symbol":"YPFD","currency":null,"instrumentType":null,"market":null,"maturityDate":null,"operativeType":null,"settlementType":"2","symbol":"YPFD"}]</stp>
        <tr r="K36" s="101"/>
        <tr r="L36" s="101"/>
        <tr r="M36" s="101"/>
      </tp>
      <tp t="s">
        <v/>
        <stp/>
        <stp>[{"Symbol":"STLA","currency":null,"instrumentType":null,"market":null,"maturityDate":null,"operativeType":null,"settlementType":"2","symbol":"STLA"}]</stp>
        <tr r="E154" s="101"/>
        <tr r="G154" s="101"/>
        <tr r="F154" s="101"/>
      </tp>
      <tp t="s">
        <v/>
        <stp/>
        <stp>[{"Symbol":"MIRG","currency":null,"instrumentType":null,"market":null,"maturityDate":null,"operativeType":null,"settlementType":"2","symbol":"MIRG"}]</stp>
        <tr r="K91" s="101"/>
        <tr r="L91" s="101"/>
        <tr r="M91" s="101"/>
      </tp>
      <tp t="s">
        <v/>
        <stp/>
        <stp>[{"Symbol":"MORI","currency":null,"instrumentType":null,"market":null,"maturityDate":null,"operativeType":null,"settlementType":"2","symbol":"MORI"}]</stp>
        <tr r="L80" s="101"/>
        <tr r="M80" s="101"/>
        <tr r="K80" s="101"/>
      </tp>
      <tp t="s">
        <v/>
        <stp/>
        <stp>[{"Symbol":"INVJ","currency":null,"instrumentType":null,"market":null,"maturityDate":null,"operativeType":null,"settlementType":"2","symbol":"INVJ"}]</stp>
        <tr r="M81" s="101"/>
        <tr r="K81" s="101"/>
        <tr r="L81" s="101"/>
      </tp>
    </main>
    <main first="rtdsrv.5889b103584c45589dc3f5e29ed9b264">
      <tp t="s">
        <v/>
        <stp/>
        <stp>[{"Symbol":"TWLO","currency":null,"instrumentType":null,"market":null,"maturityDate":null,"operativeType":null,"settlementType":"2","symbol":"TWLO"}]</stp>
        <tr r="E371" s="101"/>
        <tr r="G371" s="101"/>
        <tr r="F371" s="101"/>
      </tp>
      <tp t="s">
        <v/>
        <stp/>
        <stp>[{"Symbol":"TSLA","currency":null,"instrumentType":null,"market":null,"maturityDate":null,"operativeType":null,"settlementType":"2","symbol":"TSLA"}]</stp>
        <tr r="F32" s="101"/>
        <tr r="G32" s="101"/>
        <tr r="E32" s="101"/>
      </tp>
      <tp t="s">
        <v/>
        <stp/>
        <stp>[{"Symbol":"HHPD","currency":null,"instrumentType":null,"market":null,"maturityDate":null,"operativeType":null,"settlementType":"2","symbol":"HHPD"}]</stp>
        <tr r="G402" s="101"/>
        <tr r="E402" s="101"/>
        <tr r="F402" s="101"/>
      </tp>
      <tp t="s">
        <v/>
        <stp/>
        <stp>[{"Symbol":"SWKS","currency":null,"instrumentType":null,"market":null,"maturityDate":null,"operativeType":null,"settlementType":"2","symbol":"SWKS"}]</stp>
        <tr r="G361" s="101"/>
        <tr r="F361" s="101"/>
        <tr r="E361" s="101"/>
      </tp>
    </main>
    <main first="rtdsrv.5889b103584c45589dc3f5e29ed9b264">
      <tp t="s">
        <v/>
        <stp/>
        <stp>[{"Symbol":"ROKU","currency":null,"instrumentType":null,"market":null,"maturityDate":null,"operativeType":null,"settlementType":"2","symbol":"ROKU"}]</stp>
        <tr r="E332" s="101"/>
        <tr r="F332" s="101"/>
        <tr r="G332" s="101"/>
      </tp>
      <tp t="s">
        <v/>
        <stp/>
        <stp>[{"Symbol":"METR","currency":null,"instrumentType":null,"market":null,"maturityDate":null,"operativeType":null,"settlementType":"2","symbol":"METR"}]</stp>
        <tr r="K35" s="101"/>
        <tr r="M35" s="101"/>
        <tr r="L35" s="101"/>
      </tp>
      <tp t="s">
        <v/>
        <stp/>
        <stp>[{"Symbol":"TIMB","currency":null,"instrumentType":null,"market":null,"maturityDate":null,"operativeType":null,"settlementType":"2","symbol":"TIMB"}]</stp>
        <tr r="F315" s="101"/>
        <tr r="L123" s="101"/>
        <tr r="G315" s="101"/>
        <tr r="E315" s="101"/>
        <tr r="K123" s="101"/>
        <tr r="M123" s="101"/>
      </tp>
      <tp t="s">
        <v/>
        <stp/>
        <stp>[{"Symbol":"MSTR","currency":null,"instrumentType":null,"market":null,"maturityDate":null,"operativeType":null,"settlementType":"2","symbol":"MSTR"}]</stp>
        <tr r="F42" s="101"/>
        <tr r="G42" s="101"/>
        <tr r="E42" s="101"/>
      </tp>
      <tp t="s">
        <v/>
        <stp/>
        <stp>[{"Symbol":"META","currency":null,"instrumentType":null,"market":null,"maturityDate":null,"operativeType":null,"settlementType":"2","symbol":"META"}]</stp>
        <tr r="G49" s="101"/>
        <tr r="E49" s="101"/>
        <tr r="F49" s="101"/>
      </tp>
    </main>
    <main first="rtdsrv.5889b103584c45589dc3f5e29ed9b264">
      <tp t="s">
        <v/>
        <stp/>
        <stp>[{"Symbol":"IRSA","currency":null,"instrumentType":null,"market":null,"maturityDate":null,"operativeType":null,"settlementType":"2","symbol":"IRSA"}]</stp>
        <tr r="M31" s="101"/>
        <tr r="K31" s="101"/>
        <tr r="K76" s="101"/>
        <tr r="M76" s="101"/>
        <tr r="L76" s="101"/>
        <tr r="L31" s="101"/>
      </tp>
      <tp t="s">
        <v/>
        <stp/>
        <stp>[{"Symbol":"VALO","currency":null,"instrumentType":null,"market":null,"maturityDate":null,"operativeType":null,"settlementType":"2","symbol":"VALO"}]</stp>
        <tr r="K34" s="101"/>
        <tr r="L34" s="101"/>
        <tr r="M34" s="101"/>
      </tp>
      <tp t="s">
        <v/>
        <stp/>
        <stp>[{"Symbol":"HARG","currency":null,"instrumentType":null,"market":null,"maturityDate":null,"operativeType":null,"settlementType":"2","symbol":"HARG"}]</stp>
        <tr r="M73" s="101"/>
        <tr r="L73" s="101"/>
        <tr r="K73" s="101"/>
      </tp>
      <tp t="s">
        <v/>
        <stp/>
        <stp>[{"Symbol":"VALE","currency":null,"instrumentType":null,"market":null,"maturityDate":null,"operativeType":null,"settlementType":"2","symbol":"VALE"}]</stp>
        <tr r="F61" s="101"/>
        <tr r="E61" s="101"/>
        <tr r="G61" s="101"/>
      </tp>
    </main>
    <main first="rtdsrv.5889b103584c45589dc3f5e29ed9b264">
      <tp t="s">
        <v/>
        <stp/>
        <stp>[{"Symbol":"MRVL","currency":null,"instrumentType":null,"market":null,"maturityDate":null,"operativeType":null,"settlementType":"2","symbol":"MRVL"}]</stp>
        <tr r="E164" s="101"/>
        <tr r="G164" s="101"/>
        <tr r="F164" s="101"/>
      </tp>
      <tp t="s">
        <v/>
        <stp/>
        <stp>[{"Symbol":"ISRG","currency":null,"instrumentType":null,"market":null,"maturityDate":null,"operativeType":null,"settlementType":"2","symbol":"ISRG"}]</stp>
        <tr r="E257" s="101"/>
        <tr r="F257" s="101"/>
        <tr r="G257" s="101"/>
      </tp>
      <tp t="s">
        <v/>
        <stp/>
        <stp>[{"Symbol":"SCHW","currency":null,"instrumentType":null,"market":null,"maturityDate":null,"operativeType":null,"settlementType":"2","symbol":"SCHW"}]</stp>
        <tr r="E392" s="101"/>
        <tr r="F392" s="101"/>
        <tr r="G392" s="101"/>
      </tp>
      <tp t="s">
        <v/>
        <stp/>
        <stp>[{"Symbol":"TCOM","currency":null,"instrumentType":null,"market":null,"maturityDate":null,"operativeType":null,"settlementType":"2","symbol":"TCOM"}]</stp>
        <tr r="E276" s="101"/>
        <tr r="F276" s="101"/>
        <tr r="G276" s="101"/>
      </tp>
      <tp t="s">
        <v/>
        <stp/>
        <stp>[{"Symbol":"BAYN","currency":null,"instrumentType":null,"market":null,"maturityDate":null,"operativeType":null,"settlementType":"2","symbol":"BAYN"}]</stp>
        <tr r="F388" s="101"/>
        <tr r="E388" s="101"/>
        <tr r="G388" s="101"/>
      </tp>
      <tp t="s">
        <v/>
        <stp/>
        <stp>[{"Symbol":"AMZN","currency":null,"instrumentType":null,"market":null,"maturityDate":null,"operativeType":null,"settlementType":"2","symbol":"AMZN"}]</stp>
        <tr r="E39" s="101"/>
        <tr r="G39" s="101"/>
        <tr r="F39" s="101"/>
      </tp>
    </main>
    <main first="rtdsrv.5889b103584c45589dc3f5e29ed9b264">
      <tp t="s">
        <v/>
        <stp/>
        <stp>[{"Symbol":"SPGI","currency":null,"instrumentType":null,"market":null,"maturityDate":null,"operativeType":null,"settlementType":"2","symbol":"SPGI"}]</stp>
        <tr r="L128" s="101"/>
        <tr r="M128" s="101"/>
        <tr r="F193" s="101"/>
        <tr r="E193" s="101"/>
        <tr r="K128" s="101"/>
        <tr r="G193" s="101"/>
      </tp>
      <tp t="s">
        <v/>
        <stp/>
        <stp>[{"Symbol":"FERR","currency":null,"instrumentType":null,"market":null,"maturityDate":null,"operativeType":null,"settlementType":"2","symbol":"FERR"}]</stp>
        <tr r="K57" s="101"/>
        <tr r="M57" s="101"/>
        <tr r="L57" s="101"/>
      </tp>
      <tp t="s">
        <v/>
        <stp/>
        <stp>[{"Symbol":"ALUA","currency":null,"instrumentType":null,"market":null,"maturityDate":null,"operativeType":null,"settlementType":"2","symbol":"ALUA"}]</stp>
        <tr r="K29" s="101"/>
        <tr r="L29" s="101"/>
        <tr r="M29" s="101"/>
      </tp>
      <tp t="s">
        <v/>
        <stp/>
        <stp>[{"Symbol":"CRWV","currency":null,"instrumentType":null,"market":null,"maturityDate":null,"operativeType":null,"settlementType":"2","symbol":"CRWV"}]</stp>
        <tr r="F81" s="101"/>
        <tr r="G81" s="101"/>
        <tr r="E81" s="101"/>
      </tp>
    </main>
    <main first="rtdsrv.5889b103584c45589dc3f5e29ed9b264">
      <tp t="s">
        <v/>
        <stp/>
        <stp>[{"Symbol":"GPRK","currency":null,"instrumentType":null,"market":null,"maturityDate":null,"operativeType":null,"settlementType":"2","symbol":"GPRK"}]</stp>
        <tr r="G97" s="101"/>
        <tr r="E97" s="101"/>
        <tr r="F97" s="101"/>
      </tp>
      <tp t="s">
        <v/>
        <stp/>
        <stp>[{"Symbol":"TRAN","currency":null,"instrumentType":null,"market":null,"maturityDate":null,"operativeType":null,"settlementType":"2","symbol":"TRAN"}]</stp>
        <tr r="M30" s="101"/>
        <tr r="L30" s="101"/>
        <tr r="K30" s="101"/>
      </tp>
      <tp t="s">
        <v/>
        <stp/>
        <stp>[{"Symbol":"YELP","currency":null,"instrumentType":null,"market":null,"maturityDate":null,"operativeType":null,"settlementType":"2","symbol":"YELP"}]</stp>
        <tr r="F348" s="101"/>
        <tr r="E348" s="101"/>
        <tr r="G348" s="101"/>
      </tp>
      <tp t="s">
        <v/>
        <stp/>
        <stp>[{"Symbol":"TXAR","currency":null,"instrumentType":null,"market":null,"maturityDate":null,"operativeType":null,"settlementType":"2","symbol":"TXAR"}]</stp>
        <tr r="L28" s="101"/>
        <tr r="K28" s="101"/>
        <tr r="M28" s="101"/>
      </tp>
      <tp t="s">
        <v/>
        <stp/>
        <stp>[{"Symbol":"TEAM","currency":null,"instrumentType":null,"market":null,"maturityDate":null,"operativeType":null,"settlementType":"2","symbol":"TEAM"}]</stp>
        <tr r="F293" s="101"/>
        <tr r="E293" s="101"/>
        <tr r="G293" s="101"/>
      </tp>
      <tp t="s">
        <v/>
        <stp/>
        <stp>[{"Symbol":"GARO","currency":null,"instrumentType":null,"market":null,"maturityDate":null,"operativeType":null,"settlementType":"2","symbol":"GARO"}]</stp>
        <tr r="L74" s="101"/>
        <tr r="K74" s="101"/>
        <tr r="M74" s="101"/>
      </tp>
      <tp t="s">
        <v/>
        <stp/>
        <stp>[{"Symbol":"OGZD","currency":null,"instrumentType":null,"market":null,"maturityDate":null,"operativeType":null,"settlementType":"2","symbol":"OGZD"}]</stp>
        <tr r="F417" s="101"/>
        <tr r="G417" s="101"/>
        <tr r="E417" s="101"/>
      </tp>
      <tp t="s">
        <v/>
        <stp/>
        <stp>[{"Symbol":"ASTS","currency":null,"instrumentType":null,"market":null,"maturityDate":null,"operativeType":null,"settlementType":"2","symbol":"ASTS"}]</stp>
        <tr r="G46" s="101"/>
        <tr r="F46" s="101"/>
        <tr r="E46" s="101"/>
      </tp>
      <tp t="s">
        <v/>
        <stp/>
        <stp>[{"Symbol":"RIGO","currency":null,"instrumentType":null,"market":null,"maturityDate":null,"operativeType":null,"settlementType":"2","symbol":"RIGO"}]</stp>
        <tr r="K79" s="101"/>
        <tr r="L79" s="101"/>
        <tr r="M79" s="101"/>
      </tp>
    </main>
    <main first="rtdsrv.5889b103584c45589dc3f5e29ed9b264">
      <tp t="s">
        <v/>
        <stp/>
        <stp>[{"Symbol":"ACWI","currency":null,"instrumentType":null,"market":null,"maturityDate":null,"operativeType":null,"settlementType":"2","symbol":"ACWI"}]</stp>
        <tr r="G238" s="101"/>
        <tr r="F238" s="101"/>
        <tr r="E238" s="101"/>
      </tp>
      <tp t="s">
        <v/>
        <stp/>
        <stp>[{"Symbol":"BITF","currency":null,"instrumentType":null,"market":null,"maturityDate":null,"operativeType":null,"settlementType":"2","symbol":"BITF"}]</stp>
        <tr r="F133" s="101"/>
        <tr r="E133" s="101"/>
        <tr r="G133" s="101"/>
      </tp>
      <tp t="s">
        <v/>
        <stp/>
        <stp>[{"Symbol":"ETSY","currency":null,"instrumentType":null,"market":null,"maturityDate":null,"operativeType":null,"settlementType":"2","symbol":"ETSY"}]</stp>
        <tr r="F147" s="101"/>
        <tr r="G147" s="101"/>
        <tr r="E147" s="101"/>
      </tp>
      <tp t="s">
        <v/>
        <stp/>
        <stp>[{"Symbol":"SHEL","currency":null,"instrumentType":null,"market":null,"maturityDate":null,"operativeType":null,"settlementType":"2","symbol":"SHEL"}]</stp>
        <tr r="E273" s="101"/>
        <tr r="G273" s="101"/>
        <tr r="F273" s="101"/>
      </tp>
      <tp t="s">
        <v/>
        <stp/>
        <stp>[{"Symbol":"FIPL","currency":null,"instrumentType":null,"market":null,"maturityDate":null,"operativeType":null,"settlementType":"2","symbol":"FIPL"}]</stp>
        <tr r="L63" s="101"/>
        <tr r="K63" s="101"/>
        <tr r="M63" s="101"/>
      </tp>
    </main>
    <main first="rtdsrv.5889b103584c45589dc3f5e29ed9b264">
      <tp t="s">
        <v/>
        <stp/>
        <stp>[{"Symbol":"URBN","currency":null,"instrumentType":null,"market":null,"maturityDate":null,"operativeType":null,"settlementType":"2","symbol":"URBN"}]</stp>
        <tr r="E155" s="101"/>
        <tr r="G155" s="101"/>
        <tr r="F155" s="101"/>
      </tp>
      <tp t="s">
        <v/>
        <stp/>
        <stp>[{"Symbol":"PAGS","currency":null,"instrumentType":null,"market":null,"maturityDate":null,"operativeType":null,"settlementType":"2","symbol":"PAGS"}]</stp>
        <tr r="G125" s="101"/>
        <tr r="E125" s="101"/>
        <tr r="F125" s="101"/>
      </tp>
      <tp t="s">
        <v/>
        <stp/>
        <stp>[{"Symbol":"XROX","currency":null,"instrumentType":null,"market":null,"maturityDate":null,"operativeType":null,"settlementType":"2","symbol":"XROX"}]</stp>
        <tr r="E308" s="101"/>
        <tr r="G308" s="101"/>
        <tr r="F308" s="101"/>
      </tp>
      <tp t="s">
        <v/>
        <stp/>
        <stp>[{"Symbol":"DISN","currency":null,"instrumentType":null,"market":null,"maturityDate":null,"operativeType":null,"settlementType":"2","symbol":"DISN"}]</stp>
        <tr r="E120" s="101"/>
        <tr r="F120" s="101"/>
        <tr r="G120" s="101"/>
      </tp>
    </main>
    <main first="rtdsrv.5889b103584c45589dc3f5e29ed9b264">
      <tp t="s">
        <v/>
        <stp/>
        <stp>[{"Symbol":"COST","currency":null,"instrumentType":null,"market":null,"maturityDate":null,"operativeType":null,"settlementType":"2","symbol":"COST"}]</stp>
        <tr r="G177" s="101"/>
        <tr r="F177" s="101"/>
        <tr r="E177" s="101"/>
      </tp>
      <tp t="s">
        <v/>
        <stp/>
        <stp>[{"Symbol":"UBER","currency":null,"instrumentType":null,"market":null,"maturityDate":null,"operativeType":null,"settlementType":"2","symbol":"UBER"}]</stp>
        <tr r="G71" s="101"/>
        <tr r="F71" s="101"/>
        <tr r="E71" s="101"/>
      </tp>
      <tp t="s">
        <v/>
        <stp/>
        <stp>[{"Symbol":"SPCE","currency":null,"instrumentType":null,"market":null,"maturityDate":null,"operativeType":null,"settlementType":"2","symbol":"SPCE"}]</stp>
        <tr r="G260" s="101"/>
        <tr r="E260" s="101"/>
        <tr r="F260" s="101"/>
      </tp>
      <tp t="s">
        <v/>
        <stp/>
        <stp>[{"Symbol":"SCCO","currency":null,"instrumentType":null,"market":null,"maturityDate":null,"operativeType":null,"settlementType":"2","symbol":"SCCO"}]</stp>
        <tr r="E185" s="101"/>
        <tr r="F185" s="101"/>
        <tr r="G185" s="101"/>
      </tp>
    </main>
    <main first="rtdsrv.5889b103584c45589dc3f5e29ed9b264">
      <tp t="s">
        <v/>
        <stp/>
        <stp>[{"Symbol":"PAAS","currency":null,"instrumentType":null,"market":null,"maturityDate":null,"operativeType":null,"settlementType":"2","symbol":"PAAS"}]</stp>
        <tr r="E126" s="101"/>
        <tr r="F126" s="101"/>
        <tr r="G126" s="101"/>
      </tp>
      <tp t="s">
        <v/>
        <stp/>
        <stp>[{"Symbol":"PCAR","currency":null,"instrumentType":null,"market":null,"maturityDate":null,"operativeType":null,"settlementType":"2","symbol":"PCAR"}]</stp>
        <tr r="F376" s="101"/>
        <tr r="G376" s="101"/>
        <tr r="E376" s="101"/>
      </tp>
      <tp t="s">
        <v/>
        <stp/>
        <stp>[{"Symbol":"AAPL","currency":null,"instrumentType":null,"market":null,"maturityDate":null,"operativeType":null,"settlementType":"2","symbol":"AAPL"}]</stp>
        <tr r="G38" s="101"/>
        <tr r="E38" s="101"/>
        <tr r="F38" s="101"/>
      </tp>
      <tp t="s">
        <v/>
        <stp/>
        <stp>[{"Symbol":"CARC","currency":null,"instrumentType":null,"market":null,"maturityDate":null,"operativeType":null,"settlementType":"2","symbol":"CARC"}]</stp>
        <tr r="K59" s="101"/>
        <tr r="L59" s="101"/>
        <tr r="M59" s="101"/>
      </tp>
      <tp t="s">
        <v/>
        <stp/>
        <stp>[{"Symbol":"RICH","currency":null,"instrumentType":null,"market":null,"maturityDate":null,"operativeType":null,"settlementType":"2","symbol":"RICH"}]</stp>
        <tr r="L61" s="101"/>
        <tr r="K61" s="101"/>
        <tr r="M61" s="101"/>
      </tp>
      <tp t="s">
        <v/>
        <stp/>
        <stp>[{"Symbol":"CBRD","currency":null,"instrumentType":null,"market":null,"maturityDate":null,"operativeType":null,"settlementType":"2","symbol":"CBRD"}]</stp>
        <tr r="F395" s="101"/>
        <tr r="E395" s="101"/>
        <tr r="G395" s="101"/>
      </tp>
      <tp t="s">
        <v/>
        <stp/>
        <stp>[{"Symbol":"RACE","currency":null,"instrumentType":null,"market":null,"maturityDate":null,"operativeType":null,"settlementType":"2","symbol":"RACE"}]</stp>
        <tr r="G149" s="101"/>
        <tr r="F149" s="101"/>
        <tr r="E149" s="101"/>
      </tp>
    </main>
    <main first="rtdsrv.5889b103584c45589dc3f5e29ed9b264">
      <tp t="s">
        <v/>
        <stp/>
        <stp>[{"Symbol":"AUSO","currency":null,"instrumentType":null,"market":null,"maturityDate":null,"operativeType":null,"settlementType":"2","symbol":"AUSO"}]</stp>
        <tr r="K77" s="101"/>
        <tr r="L77" s="101"/>
        <tr r="M77" s="101"/>
      </tp>
      <tp t="s">
        <v/>
        <stp/>
        <stp>[{"Symbol":"SNAP","currency":null,"instrumentType":null,"market":null,"maturityDate":null,"operativeType":null,"settlementType":"2","symbol":"SNAP"}]</stp>
        <tr r="E136" s="101"/>
        <tr r="G136" s="101"/>
        <tr r="F136" s="101"/>
      </tp>
      <tp t="s">
        <v/>
        <stp/>
        <stp>[{"Symbol":"TEFO","currency":null,"instrumentType":null,"market":null,"maturityDate":null,"operativeType":null,"settlementType":"2","symbol":"TEFO"}]</stp>
        <tr r="E427" s="101"/>
        <tr r="F427" s="101"/>
        <tr r="G427" s="101"/>
      </tp>
    </main>
    <main first="rtdsrv.5889b103584c45589dc3f5e29ed9b264">
      <tp t="s">
        <v/>
        <stp/>
        <stp>[{"Symbol":"CAPX","currency":null,"instrumentType":null,"market":null,"maturityDate":null,"operativeType":null,"settlementType":"2","symbol":"CAPX"}]</stp>
        <tr r="K93" s="101"/>
        <tr r="M93" s="101"/>
        <tr r="L93" s="101"/>
      </tp>
      <tp t="s">
        <v/>
        <stp/>
        <stp>[{"Symbol":"CEPU","currency":null,"instrumentType":null,"market":null,"maturityDate":null,"operativeType":null,"settlementType":"2","symbol":"CEPU"}]</stp>
        <tr r="K47" s="101"/>
        <tr r="M47" s="101"/>
        <tr r="L47" s="101"/>
      </tp>
      <tp t="s">
        <v/>
        <stp/>
        <stp>[{"Symbol":"JOYY","currency":null,"instrumentType":null,"market":null,"maturityDate":null,"operativeType":null,"settlementType":"2","symbol":"JOYY"}]</stp>
        <tr r="G163" s="101"/>
        <tr r="F163" s="101"/>
        <tr r="E163" s="101"/>
      </tp>
      <tp t="s">
        <v/>
        <stp/>
        <stp>[{"Symbol":"COPX","currency":null,"instrumentType":null,"market":null,"maturityDate":null,"operativeType":null,"settlementType":"2","symbol":"COPX"}]</stp>
        <tr r="G72" s="101"/>
        <tr r="F72" s="101"/>
        <tr r="L21" s="101"/>
        <tr r="E72" s="101"/>
      </tp>
      <tp t="s">
        <v/>
        <stp/>
        <stp>[{"Symbol":"AGRO","currency":null,"instrumentType":null,"market":null,"maturityDate":null,"operativeType":null,"settlementType":"2","symbol":"AGRO"}]</stp>
        <tr r="M71" s="101"/>
        <tr r="L71" s="101"/>
        <tr r="K71" s="101"/>
      </tp>
      <tp t="s">
        <v/>
        <stp/>
        <stp>[{"Symbol":"MTCGD","currency":null,"instrumentType":null,"market":null,"maturityDate":null,"operativeType":null,"settlementType":"2","symbol":"MTCGD"}]</stp>
        <tr r="AV34" s="101"/>
        <tr r="AU34" s="101"/>
        <tr r="E2" s="26"/>
        <tr r="AW34" s="101"/>
        <tr r="AT34" s="101"/>
        <tr r="AX34" s="101"/>
        <tr r="AY34" s="101"/>
      </tp>
      <tp t="s">
        <v/>
        <stp/>
        <stp>[{"Symbol":"TY30P","currency":null,"instrumentType":null,"market":null,"maturityDate":null,"operativeType":null,"settlementType":"2","symbol":"TY30P"}]</stp>
        <tr r="E2" s="152"/>
      </tp>
      <tp t="s">
        <v/>
        <stp/>
        <stp>[{"Symbol":"TLCPD","currency":null,"instrumentType":null,"market":null,"maturityDate":null,"operativeType":null,"settlementType":"2","symbol":"TLCPD"}]</stp>
        <tr r="E2" s="7"/>
        <tr r="AT8" s="101"/>
        <tr r="AX8" s="101"/>
        <tr r="AY8" s="101"/>
        <tr r="AW8" s="101"/>
        <tr r="AU8" s="101"/>
        <tr r="AV8" s="101"/>
      </tp>
      <tp t="s">
        <v/>
        <stp/>
        <stp>[{"Symbol":"TLCTD","currency":null,"instrumentType":null,"market":null,"maturityDate":null,"operativeType":null,"settlementType":"2","symbol":"TLCTD"}]</stp>
        <tr r="AY7" s="101"/>
        <tr r="AT7" s="101"/>
        <tr r="AV7" s="101"/>
        <tr r="E2" s="91"/>
        <tr r="AU7" s="101"/>
        <tr r="AX7" s="101"/>
        <tr r="AW7" s="101"/>
      </tp>
      <tp t="s">
        <v/>
        <stp/>
        <stp>[{"Symbol":"TLCOD","currency":null,"instrumentType":null,"market":null,"maturityDate":null,"operativeType":null,"settlementType":"2","symbol":"TLCOD"}]</stp>
        <tr r="F28" s="2"/>
        <tr r="I28" s="2"/>
        <tr r="J28" s="2"/>
        <tr r="E2" s="114"/>
      </tp>
      <tp t="s">
        <v/>
        <stp/>
        <stp>[{"Symbol":"TLCMD","currency":null,"instrumentType":null,"market":null,"maturityDate":null,"operativeType":null,"settlementType":"2","symbol":"TLCMD"}]</stp>
        <tr r="AT21" s="101"/>
        <tr r="E2" s="46"/>
        <tr r="AW21" s="101"/>
        <tr r="AY21" s="101"/>
        <tr r="AU21" s="101"/>
        <tr r="AX21" s="101"/>
        <tr r="AV21" s="101"/>
      </tp>
      <tp t="s">
        <v/>
        <stp/>
        <stp>[{"Symbol":"TLC5D","currency":null,"instrumentType":null,"market":null,"maturityDate":null,"operativeType":null,"settlementType":"2","symbol":"TLC5D"}]</stp>
        <tr r="E2" s="33"/>
      </tp>
      <tp t="s">
        <v/>
        <stp/>
        <stp>[{"Symbol":"OTS2D","currency":null,"instrumentType":null,"market":null,"maturityDate":null,"operativeType":null,"settlementType":"2","symbol":"OTS2D"}]</stp>
        <tr r="F31" s="2"/>
        <tr r="J31" s="2"/>
        <tr r="I31" s="2"/>
        <tr r="E2" s="85"/>
      </tp>
      <tp t="s">
        <v/>
        <stp/>
        <stp>[{"Symbol":"BYCHD","currency":null,"instrumentType":null,"market":null,"maturityDate":null,"operativeType":null,"settlementType":"2","symbol":"BYCHD"}]</stp>
        <tr r="AT30" s="101"/>
        <tr r="AV30" s="101"/>
        <tr r="AX30" s="101"/>
        <tr r="AW30" s="101"/>
        <tr r="AU30" s="101"/>
        <tr r="AY30" s="101"/>
        <tr r="E2" s="37"/>
      </tp>
      <tp t="s">
        <v/>
        <stp/>
        <stp>[{"Symbol":"HNPIY","currency":null,"instrumentType":null,"market":null,"maturityDate":null,"operativeType":null,"settlementType":"2","symbol":"HNPIY"}]</stp>
        <tr r="G403" s="101"/>
        <tr r="F403" s="101"/>
        <tr r="E403" s="101"/>
      </tp>
      <tp t="s">
        <v/>
        <stp/>
        <stp>[{"Symbol":"IRCPD","currency":null,"instrumentType":null,"market":null,"maturityDate":null,"operativeType":null,"settlementType":"2","symbol":"IRCPD"}]</stp>
        <tr r="AT12" s="101"/>
        <tr r="AY12" s="101"/>
        <tr r="AV12" s="101"/>
        <tr r="E2" s="9"/>
        <tr r="AU12" s="101"/>
        <tr r="AW12" s="101"/>
        <tr r="AX12" s="101"/>
      </tp>
      <tp t="s">
        <v/>
        <stp/>
        <stp>[{"Symbol":"IRCJD","currency":null,"instrumentType":null,"market":null,"maturityDate":null,"operativeType":null,"settlementType":"2","symbol":"IRCJD"}]</stp>
        <tr r="F43" s="2"/>
        <tr r="J43" s="2"/>
        <tr r="I43" s="2"/>
        <tr r="E2" s="81"/>
      </tp>
      <tp t="s">
        <v/>
        <stp/>
        <stp>[{"Symbol":"IRCHD","currency":null,"instrumentType":null,"market":null,"maturityDate":null,"operativeType":null,"settlementType":"2","symbol":"IRCHD"}]</stp>
        <tr r="E2" s="16"/>
      </tp>
      <tp t="s">
        <v/>
        <stp/>
        <stp>[{"Symbol":"IRCOD","currency":null,"instrumentType":null,"market":null,"maturityDate":null,"operativeType":null,"settlementType":"2","symbol":"IRCOD"}]</stp>
        <tr r="I18" s="2"/>
        <tr r="F18" s="2"/>
        <tr r="E2" s="102"/>
        <tr r="J18" s="2"/>
      </tp>
      <tp t="s">
        <v/>
        <stp/>
        <stp>[{"Symbol":"IRCFD","currency":null,"instrumentType":null,"market":null,"maturityDate":null,"operativeType":null,"settlementType":"2","symbol":"IRCFD"}]</stp>
        <tr r="AV32" s="101"/>
        <tr r="AX32" s="101"/>
        <tr r="AU32" s="101"/>
        <tr r="AY32" s="101"/>
        <tr r="AW32" s="101"/>
        <tr r="E2" s="48"/>
        <tr r="AT32" s="101"/>
      </tp>
    </main>
    <main first="rtdsrv.ec2c8ae4482848abacbc1640b33fb0be">
      <tp t="s">
        <v/>
        <stp/>
        <stp>{"&lt;refresh&gt;k__BackingField":false,"&lt;settlementType&gt;k__BackingField":"2","&lt;symbol&gt;k__BackingField":"GD41D"}</stp>
        <tr r="A7" s="98"/>
      </tp>
      <tp t="s">
        <v/>
        <stp/>
        <stp>{"&lt;refresh&gt;k__BackingField":false,"&lt;settlementType&gt;k__BackingField":"1","&lt;symbol&gt;k__BackingField":"GD41D"}</stp>
        <tr r="A21" s="98"/>
      </tp>
    </main>
    <main first="rtdsrv.5889b103584c45589dc3f5e29ed9b264">
      <tp t="s">
        <v/>
        <stp/>
        <stp>[{"Symbol":"OT42D","currency":null,"instrumentType":null,"market":null,"maturityDate":null,"operativeType":null,"settlementType":"2","symbol":"OT42D"}]</stp>
        <tr r="J10" s="2"/>
        <tr r="F10" s="2"/>
        <tr r="E2" s="96"/>
        <tr r="I10" s="2"/>
      </tp>
      <tp t="s">
        <v/>
        <stp/>
        <stp>[{"Symbol":"YCAMD","currency":null,"instrumentType":null,"market":null,"maturityDate":null,"operativeType":null,"settlementType":"2","symbol":"YCAMD"}]</stp>
        <tr r="E2" s="8"/>
        <tr r="AW35" s="101"/>
        <tr r="AY35" s="101"/>
        <tr r="AV35" s="101"/>
        <tr r="AU35" s="101"/>
        <tr r="AX35" s="101"/>
        <tr r="AT35" s="101"/>
      </tp>
      <tp t="s">
        <v/>
        <stp/>
        <stp>[{"Symbol":"TN63D","currency":null,"instrumentType":null,"market":null,"maturityDate":null,"operativeType":null,"settlementType":"2","symbol":"TN63D"}]</stp>
        <tr r="E2" s="24"/>
      </tp>
    </main>
    <main first="rtdsrv.5889b103584c45589dc3f5e29ed9b264">
      <tp t="s">
        <v/>
        <stp/>
        <stp>[{"Symbol":"PLC3D","currency":null,"instrumentType":null,"market":null,"maturityDate":null,"operativeType":null,"settlementType":"2","symbol":"PLC3D"}]</stp>
        <tr r="I26" s="2"/>
        <tr r="F26" s="2"/>
        <tr r="E2" s="113"/>
        <tr r="J26" s="2"/>
      </tp>
      <tp t="s">
        <v/>
        <stp/>
        <stp>[{"Symbol":"PLC2D","currency":null,"instrumentType":null,"market":null,"maturityDate":null,"operativeType":null,"settlementType":"2","symbol":"PLC2D"}]</stp>
        <tr r="F16" s="2"/>
        <tr r="J16" s="2"/>
        <tr r="E2" s="95"/>
        <tr r="I16" s="2"/>
      </tp>
      <tp t="s">
        <v/>
        <stp/>
        <stp>[{"Symbol":"PLC5D","currency":null,"instrumentType":null,"market":null,"maturityDate":null,"operativeType":null,"settlementType":"2","symbol":"PLC5D"}]</stp>
        <tr r="AX15" s="101"/>
        <tr r="AW15" s="101"/>
        <tr r="E2" s="72"/>
        <tr r="AY15" s="101"/>
        <tr r="AV15" s="101"/>
        <tr r="AU15" s="101"/>
        <tr r="AT15" s="101"/>
      </tp>
      <tp t="s">
        <v/>
        <stp/>
        <stp>[{"Symbol":"PLC4D","currency":null,"instrumentType":null,"market":null,"maturityDate":null,"operativeType":null,"settlementType":"2","symbol":"PLC4D"}]</stp>
        <tr r="AX16" s="101"/>
        <tr r="AU16" s="101"/>
        <tr r="AT16" s="101"/>
        <tr r="AY16" s="101"/>
        <tr r="E2" s="4"/>
        <tr r="AW16" s="101"/>
        <tr r="AV16" s="101"/>
      </tp>
      <tp t="s">
        <v/>
        <stp/>
        <stp>[{"Symbol":"YFCJD","currency":null,"instrumentType":null,"market":null,"maturityDate":null,"operativeType":null,"settlementType":"2","symbol":"YFCJD"}]</stp>
        <tr r="AT19" s="101"/>
        <tr r="AU19" s="101"/>
        <tr r="AV19" s="101"/>
        <tr r="AY19" s="101"/>
        <tr r="AW19" s="101"/>
        <tr r="AX19" s="101"/>
        <tr r="E2" s="29"/>
      </tp>
      <tp t="s">
        <v/>
        <stp/>
        <stp>[{"Symbol":"MRCAD","currency":null,"instrumentType":null,"market":null,"maturityDate":null,"operativeType":null,"settlementType":"2","symbol":"MRCAD"}]</stp>
        <tr r="E2" s="32"/>
      </tp>
      <tp t="s">
        <v/>
        <stp/>
        <stp>[{"Symbol":"PNDCD","currency":null,"instrumentType":null,"market":null,"maturityDate":null,"operativeType":null,"settlementType":"2","symbol":"PNDCD"}]</stp>
        <tr r="E2" s="43"/>
        <tr r="AY36" s="101"/>
        <tr r="AW36" s="101"/>
        <tr r="AX36" s="101"/>
        <tr r="AU36" s="101"/>
        <tr r="AV36" s="101"/>
        <tr r="AT36" s="101"/>
      </tp>
      <tp t="s">
        <v/>
        <stp/>
        <stp>[{"Symbol":"NPCCD","currency":null,"instrumentType":null,"market":null,"maturityDate":null,"operativeType":null,"settlementType":"2","symbol":"NPCCD"}]</stp>
        <tr r="E2" s="105"/>
        <tr r="J22" s="2"/>
        <tr r="F22" s="2"/>
        <tr r="I22" s="2"/>
      </tp>
      <tp t="s">
        <v/>
        <stp/>
        <stp>[{"Symbol":"NPCAD","currency":null,"instrumentType":null,"market":null,"maturityDate":null,"operativeType":null,"settlementType":"2","symbol":"NPCAD"}]</stp>
        <tr r="I5" s="2"/>
        <tr r="J5" s="2"/>
        <tr r="F5" s="2"/>
        <tr r="E2" s="18"/>
      </tp>
      <tp t="s">
        <v/>
        <stp/>
        <stp>[{"Symbol":"PNXCD","currency":null,"instrumentType":null,"market":null,"maturityDate":null,"operativeType":null,"settlementType":"2","symbol":"PNXCD"}]</stp>
        <tr r="AW27" s="101"/>
        <tr r="AU27" s="101"/>
        <tr r="AX27" s="101"/>
        <tr r="AY27" s="101"/>
        <tr r="E2" s="28"/>
        <tr r="AT27" s="101"/>
        <tr r="AV27" s="101"/>
      </tp>
      <tp t="s">
        <v/>
        <stp/>
        <stp>[{"Symbol":"PN41D","currency":null,"instrumentType":null,"market":null,"maturityDate":null,"operativeType":null,"settlementType":"2","symbol":"PN41D"}]</stp>
        <tr r="F30" s="2"/>
        <tr r="J30" s="2"/>
        <tr r="E2" s="104"/>
        <tr r="I30" s="2"/>
      </tp>
      <tp t="s">
        <v/>
        <stp/>
        <stp>[{"Symbol":"PN42D","currency":null,"instrumentType":null,"market":null,"maturityDate":null,"operativeType":null,"settlementType":"2","symbol":"PN42D"}]</stp>
        <tr r="I42" s="2"/>
        <tr r="E2" s="84"/>
        <tr r="J42" s="2"/>
        <tr r="F42" s="2"/>
      </tp>
      <tp t="s">
        <v/>
        <stp/>
        <stp>[{"Symbol":"PN38D","currency":null,"instrumentType":null,"market":null,"maturityDate":null,"operativeType":null,"settlementType":"2","symbol":"PN38D"}]</stp>
        <tr r="F44" s="2"/>
        <tr r="J44" s="2"/>
        <tr r="E2" s="117"/>
        <tr r="I44" s="2"/>
      </tp>
      <tp t="s">
        <v/>
        <stp/>
        <stp>[{"Symbol":"PN36D","currency":null,"instrumentType":null,"market":null,"maturityDate":null,"operativeType":null,"settlementType":"2","symbol":"PN36D"}]</stp>
        <tr r="I19" s="2"/>
        <tr r="J19" s="2"/>
        <tr r="E2" s="92"/>
        <tr r="F19" s="2"/>
      </tp>
      <tp t="s">
        <v/>
        <stp/>
        <stp>[{"Symbol":"PN35D","currency":null,"instrumentType":null,"market":null,"maturityDate":null,"operativeType":null,"settlementType":"2","symbol":"PN35D"}]</stp>
        <tr r="E2" s="103"/>
        <tr r="F21" s="2"/>
        <tr r="J21" s="2"/>
        <tr r="I21" s="2"/>
      </tp>
      <tp t="s">
        <v/>
        <stp/>
        <stp>[{"Symbol":"SBC1D","currency":null,"instrumentType":null,"market":null,"maturityDate":null,"operativeType":null,"settlementType":"2","symbol":"SBC1D"}]</stp>
        <tr r="I33" s="2"/>
        <tr r="J33" s="2"/>
        <tr r="E2" s="116"/>
        <tr r="F33" s="2"/>
      </tp>
      <tp t="s">
        <v/>
        <stp/>
        <stp>[{"Symbol":"RCCRD","currency":null,"instrumentType":null,"market":null,"maturityDate":null,"operativeType":null,"settlementType":"2","symbol":"RCCRD"}]</stp>
        <tr r="E2" s="87"/>
        <tr r="F32" s="2"/>
        <tr r="I32" s="2"/>
        <tr r="J32" s="2"/>
      </tp>
      <tp t="s">
        <v/>
        <stp/>
        <stp>[{"Symbol":"RCCMD","currency":null,"instrumentType":null,"market":null,"maturityDate":null,"operativeType":null,"settlementType":"2","symbol":"RCCMD"}]</stp>
        <tr r="E2" s="21"/>
      </tp>
      <tp t="s">
        <v/>
        <stp/>
        <stp>[{"Symbol":"RC2CD","currency":null,"instrumentType":null,"market":null,"maturityDate":null,"operativeType":null,"settlementType":"2","symbol":"RC2CD"}]</stp>
        <tr r="F45" s="2"/>
        <tr r="E2" s="77"/>
        <tr r="J45" s="2"/>
        <tr r="I45" s="2"/>
      </tp>
      <tp t="s">
        <v/>
        <stp/>
        <stp>[{"Symbol":"T","currency":null,"instrumentType":null,"market":null,"maturityDate":null,"operativeType":null,"settlementType":"2","symbol":"T"}]</stp>
        <tr r="G143" s="101"/>
        <tr r="F143" s="101"/>
        <tr r="E143" s="101"/>
      </tp>
      <tp t="s">
        <v/>
        <stp/>
        <stp>[{"Symbol":"S16M6","currency":null,"instrumentType":null,"market":null,"maturityDate":null,"operativeType":null,"settlementType":"2","symbol":"S16M6"}]</stp>
        <tr r="W7" s="101"/>
        <tr r="Y7" s="101"/>
        <tr r="X7" s="101"/>
        <tr r="Z7" s="101"/>
        <tr r="S7" s="101"/>
        <tr r="V7" s="101"/>
        <tr r="E2" s="138"/>
      </tp>
      <tp t="s">
        <v/>
        <stp/>
        <stp>[{"Symbol":"S17A6","currency":null,"instrumentType":null,"market":null,"maturityDate":null,"operativeType":null,"settlementType":"2","symbol":"S17A6"}]</stp>
        <tr r="V8" s="101"/>
        <tr r="S8" s="101"/>
        <tr r="W8" s="101"/>
        <tr r="Y8" s="101"/>
        <tr r="Z8" s="101"/>
        <tr r="E2" s="139"/>
        <tr r="X8" s="101"/>
      </tp>
      <tp t="s">
        <v/>
        <stp/>
        <stp>[{"Symbol":"CS38D","currency":null,"instrumentType":null,"market":null,"maturityDate":null,"operativeType":null,"settlementType":"2","symbol":"CS38D"}]</stp>
        <tr r="E2" s="15"/>
        <tr r="F51" s="2"/>
        <tr r="I51" s="2"/>
        <tr r="J51" s="2"/>
      </tp>
      <tp t="s">
        <v/>
        <stp/>
        <stp>[{"Symbol":"A3","currency":null,"instrumentType":null,"market":null,"maturityDate":null,"operativeType":null,"settlementType":"2","symbol":"A3"}]</stp>
        <tr r="L95" s="101"/>
        <tr r="K95" s="101"/>
        <tr r="M95" s="101"/>
      </tp>
      <tp t="s">
        <v/>
        <stp/>
        <stp>[{"Symbol":"AI","currency":null,"instrumentType":null,"market":null,"maturityDate":null,"operativeType":null,"settlementType":"2","symbol":"AI"}]</stp>
        <tr r="F225" s="101"/>
        <tr r="E225" s="101"/>
        <tr r="G225" s="101"/>
      </tp>
      <tp t="s">
        <v/>
        <stp/>
        <stp>[{"Symbol":"BA","currency":null,"instrumentType":null,"market":null,"maturityDate":null,"operativeType":null,"settlementType":"2","symbol":"BA"}]</stp>
        <tr r="E234" s="101"/>
        <tr r="G234" s="101"/>
        <tr r="F234" s="101"/>
      </tp>
      <tp t="s">
        <v/>
        <stp/>
        <stp>[{"Symbol":"BB","currency":null,"instrumentType":null,"market":null,"maturityDate":null,"operativeType":null,"settlementType":"2","symbol":"BB"}]</stp>
        <tr r="G341" s="101"/>
        <tr r="F341" s="101"/>
        <tr r="E341" s="101"/>
      </tp>
      <tp t="s">
        <v/>
        <stp/>
        <stp>[{"Symbol":"BK","currency":null,"instrumentType":null,"market":null,"maturityDate":null,"operativeType":null,"settlementType":"2","symbol":"BK"}]</stp>
        <tr r="E352" s="101"/>
        <tr r="F352" s="101"/>
        <tr r="G352" s="101"/>
      </tp>
      <tp t="s">
        <v/>
        <stp/>
        <stp>[{"Symbol":"BP","currency":null,"instrumentType":null,"market":null,"maturityDate":null,"operativeType":null,"settlementType":"2","symbol":"BP"}]</stp>
        <tr r="G287" s="101"/>
        <tr r="F287" s="101"/>
        <tr r="E287" s="101"/>
      </tp>
      <tp t="s">
        <v/>
        <stp/>
        <stp>[{"Symbol":"BX","currency":null,"instrumentType":null,"market":null,"maturityDate":null,"operativeType":null,"settlementType":"2","symbol":"BX"}]</stp>
        <tr r="G330" s="101"/>
        <tr r="E330" s="101"/>
        <tr r="F330" s="101"/>
      </tp>
      <tp t="s">
        <v/>
        <stp/>
        <stp>[{"Symbol":"CL","currency":null,"instrumentType":null,"market":null,"maturityDate":null,"operativeType":null,"settlementType":"2","symbol":"CL"}]</stp>
        <tr r="G199" s="101"/>
        <tr r="E199" s="101"/>
        <tr r="F199" s="101"/>
      </tp>
      <tp t="s">
        <v/>
        <stp/>
        <stp>[{"Symbol":"CS","currency":null,"instrumentType":null,"market":null,"maturityDate":null,"operativeType":null,"settlementType":"2","symbol":"CS"}]</stp>
        <tr r="F397" s="101"/>
        <tr r="G397" s="101"/>
        <tr r="E397" s="101"/>
      </tp>
      <tp t="s">
        <v/>
        <stp/>
        <stp>[{"Symbol":"CX","currency":null,"instrumentType":null,"market":null,"maturityDate":null,"operativeType":null,"settlementType":"2","symbol":"CX"}]</stp>
        <tr r="F182" s="101"/>
        <tr r="E182" s="101"/>
        <tr r="G182" s="101"/>
      </tp>
      <tp t="s">
        <v/>
        <stp/>
        <stp>[{"Symbol":"DD","currency":null,"instrumentType":null,"market":null,"maturityDate":null,"operativeType":null,"settlementType":"2","symbol":"DD"}]</stp>
        <tr r="F336" s="101"/>
        <tr r="E336" s="101"/>
        <tr r="G336" s="101"/>
      </tp>
      <tp t="s">
        <v/>
        <stp/>
        <stp>[{"Symbol":"DE","currency":null,"instrumentType":null,"market":null,"maturityDate":null,"operativeType":null,"settlementType":"2","symbol":"DE"}]</stp>
        <tr r="E140" s="101"/>
        <tr r="G140" s="101"/>
        <tr r="F140" s="101"/>
      </tp>
      <tp t="s">
        <v/>
        <stp/>
        <stp>[{"Symbol":"EA","currency":null,"instrumentType":null,"market":null,"maturityDate":null,"operativeType":null,"settlementType":"2","symbol":"EA"}]</stp>
        <tr r="M120" s="101"/>
        <tr r="K120" s="101"/>
        <tr r="L120" s="101"/>
        <tr r="G334" s="101"/>
        <tr r="F334" s="101"/>
        <tr r="E334" s="101"/>
      </tp>
      <tp t="s">
        <v/>
        <stp/>
        <stp>[{"Symbol":"GE","currency":null,"instrumentType":null,"market":null,"maturityDate":null,"operativeType":null,"settlementType":"2","symbol":"GE"}]</stp>
        <tr r="E181" s="101"/>
        <tr r="F181" s="101"/>
        <tr r="G181" s="101"/>
      </tp>
      <tp t="s">
        <v/>
        <stp/>
        <stp>[{"Symbol":"GM","currency":null,"instrumentType":null,"market":null,"maturityDate":null,"operativeType":null,"settlementType":"2","symbol":"GM"}]</stp>
        <tr r="G318" s="101"/>
        <tr r="E318" s="101"/>
        <tr r="F318" s="101"/>
      </tp>
      <tp t="s">
        <v/>
        <stp/>
        <stp>[{"Symbol":"GS","currency":null,"instrumentType":null,"market":null,"maturityDate":null,"operativeType":null,"settlementType":"2","symbol":"GS"}]</stp>
        <tr r="F243" s="101"/>
        <tr r="G243" s="101"/>
        <tr r="E243" s="101"/>
      </tp>
      <tp t="s">
        <v/>
        <stp/>
        <stp>[{"Symbol":"GT","currency":null,"instrumentType":null,"market":null,"maturityDate":null,"operativeType":null,"settlementType":"2","symbol":"GT"}]</stp>
        <tr r="F244" s="101"/>
        <tr r="G244" s="101"/>
        <tr r="E244" s="101"/>
      </tp>
      <tp t="s">
        <v/>
        <stp/>
        <stp>[{"Symbol":"HD","currency":null,"instrumentType":null,"market":null,"maturityDate":null,"operativeType":null,"settlementType":"2","symbol":"HD"}]</stp>
        <tr r="E221" s="101"/>
        <tr r="F221" s="101"/>
        <tr r="G221" s="101"/>
      </tp>
      <tp t="s">
        <v/>
        <stp/>
        <stp>[{"Symbol":"HL","currency":null,"instrumentType":null,"market":null,"maturityDate":null,"operativeType":null,"settlementType":"2","symbol":"HL"}]</stp>
        <tr r="G123" s="101"/>
        <tr r="E123" s="101"/>
        <tr r="F123" s="101"/>
      </tp>
      <tp t="s">
        <v/>
        <stp/>
        <stp>[{"Symbol":"IP","currency":null,"instrumentType":null,"market":null,"maturityDate":null,"operativeType":null,"settlementType":"2","symbol":"IP"}]</stp>
        <tr r="E360" s="101"/>
        <tr r="G360" s="101"/>
        <tr r="F360" s="101"/>
      </tp>
      <tp t="s">
        <v/>
        <stp/>
        <stp>[{"Symbol":"JD","currency":null,"instrumentType":null,"market":null,"maturityDate":null,"operativeType":null,"settlementType":"2","symbol":"JD"}]</stp>
        <tr r="E145" s="101"/>
        <tr r="G145" s="101"/>
        <tr r="F145" s="101"/>
      </tp>
      <tp t="s">
        <v/>
        <stp/>
        <stp>[{"Symbol":"KB","currency":null,"instrumentType":null,"market":null,"maturityDate":null,"operativeType":null,"settlementType":"2","symbol":"KB"}]</stp>
        <tr r="G381" s="101"/>
        <tr r="F381" s="101"/>
        <tr r="E381" s="101"/>
      </tp>
      <tp t="s">
        <v/>
        <stp/>
        <stp>[{"Symbol":"KO","currency":null,"instrumentType":null,"market":null,"maturityDate":null,"operativeType":null,"settlementType":"2","symbol":"KO"}]</stp>
        <tr r="L110" s="101"/>
        <tr r="M110" s="101"/>
        <tr r="E48" s="101"/>
        <tr r="K110" s="101"/>
        <tr r="F48" s="101"/>
        <tr r="G48" s="101"/>
      </tp>
      <tp t="s">
        <v/>
        <stp/>
        <stp>[{"Symbol":"MA","currency":null,"instrumentType":null,"market":null,"maturityDate":null,"operativeType":null,"settlementType":"2","symbol":"MA"}]</stp>
        <tr r="E169" s="101"/>
        <tr r="G169" s="101"/>
        <tr r="F169" s="101"/>
      </tp>
      <tp t="s">
        <v/>
        <stp/>
        <stp>[{"Symbol":"MO","currency":null,"instrumentType":null,"market":null,"maturityDate":null,"operativeType":null,"settlementType":"2","symbol":"MO"}]</stp>
        <tr r="G158" s="101"/>
        <tr r="E158" s="101"/>
        <tr r="L111" s="101"/>
        <tr r="K111" s="101"/>
        <tr r="F158" s="101"/>
        <tr r="M111" s="101"/>
      </tp>
      <tp t="s">
        <v/>
        <stp/>
        <stp>[{"Symbol":"MU","currency":null,"instrumentType":null,"market":null,"maturityDate":null,"operativeType":null,"settlementType":"2","symbol":"MU"}]</stp>
        <tr r="F27" s="101"/>
        <tr r="E27" s="101"/>
        <tr r="G27" s="101"/>
      </tp>
      <tp t="s">
        <v/>
        <stp/>
        <stp>[{"Symbol":"NG","currency":null,"instrumentType":null,"market":null,"maturityDate":null,"operativeType":null,"settlementType":"2","symbol":"NG"}]</stp>
        <tr r="F93" s="101"/>
        <tr r="G93" s="101"/>
        <tr r="E93" s="101"/>
      </tp>
      <tp t="s">
        <v/>
        <stp/>
        <stp>[{"Symbol":"NU","currency":null,"instrumentType":null,"market":null,"maturityDate":null,"operativeType":null,"settlementType":"2","symbol":"NU"}]</stp>
        <tr r="G75" s="101"/>
        <tr r="F75" s="101"/>
        <tr r="E75" s="101"/>
      </tp>
      <tp t="s">
        <v/>
        <stp/>
        <stp>[{"Symbol":"PG","currency":null,"instrumentType":null,"market":null,"maturityDate":null,"operativeType":null,"settlementType":"2","symbol":"PG"}]</stp>
        <tr r="G139" s="101"/>
        <tr r="E139" s="101"/>
        <tr r="F139" s="101"/>
      </tp>
      <tp t="s">
        <v/>
        <stp/>
        <stp>[{"Symbol":"PM","currency":null,"instrumentType":null,"market":null,"maturityDate":null,"operativeType":null,"settlementType":"2","symbol":"PM"}]</stp>
        <tr r="G286" s="101"/>
        <tr r="F286" s="101"/>
        <tr r="E286" s="101"/>
      </tp>
      <tp t="s">
        <v/>
        <stp/>
        <stp>[{"Symbol":"SE","currency":null,"instrumentType":null,"market":null,"maturityDate":null,"operativeType":null,"settlementType":"2","symbol":"SE"}]</stp>
        <tr r="F170" s="101"/>
        <tr r="G170" s="101"/>
        <tr r="E170" s="101"/>
      </tp>
      <tp t="s">
        <v/>
        <stp/>
        <stp>[{"Symbol":"SH","currency":null,"instrumentType":null,"market":null,"maturityDate":null,"operativeType":null,"settlementType":"2","symbol":"SH"}]</stp>
        <tr r="G161" s="101"/>
        <tr r="F161" s="101"/>
        <tr r="E161" s="101"/>
      </tp>
      <tp t="s">
        <v/>
        <stp/>
        <stp>[{"Symbol":"SI","currency":null,"instrumentType":null,"market":null,"maturityDate":null,"operativeType":null,"settlementType":"2","symbol":"SI"}]</stp>
        <tr r="F423" s="101"/>
        <tr r="E423" s="101"/>
        <tr r="G423" s="101"/>
      </tp>
      <tp t="s">
        <v/>
        <stp/>
        <stp>[{"Symbol":"TM","currency":null,"instrumentType":null,"market":null,"maturityDate":null,"operativeType":null,"settlementType":"2","symbol":"TM"}]</stp>
        <tr r="G266" s="101"/>
        <tr r="F266" s="101"/>
        <tr r="E266" s="101"/>
      </tp>
      <tp t="s">
        <v/>
        <stp/>
        <stp>[{"Symbol":"TV","currency":null,"instrumentType":null,"market":null,"maturityDate":null,"operativeType":null,"settlementType":"2","symbol":"TV"}]</stp>
        <tr r="F365" s="101"/>
        <tr r="G365" s="101"/>
        <tr r="E365" s="101"/>
      </tp>
      <tp t="s">
        <v/>
        <stp/>
        <stp>[{"Symbol":"UL","currency":null,"instrumentType":null,"market":null,"maturityDate":null,"operativeType":null,"settlementType":"2","symbol":"UL"}]</stp>
        <tr r="F284" s="101"/>
        <tr r="E284" s="101"/>
        <tr r="G284" s="101"/>
      </tp>
      <tp t="s">
        <v/>
        <stp/>
        <stp>[{"Symbol":"VZ","currency":null,"instrumentType":null,"market":null,"maturityDate":null,"operativeType":null,"settlementType":"2","symbol":"VZ"}]</stp>
        <tr r="G121" s="101"/>
        <tr r="E121" s="101"/>
        <tr r="F121" s="101"/>
      </tp>
      <tp t="s">
        <v/>
        <stp/>
        <stp>[{"Symbol":"XP","currency":null,"instrumentType":null,"market":null,"maturityDate":null,"operativeType":null,"settlementType":"2","symbol":"XP"}]</stp>
        <tr r="E229" s="101"/>
        <tr r="F229" s="101"/>
        <tr r="G229" s="101"/>
      </tp>
      <tp t="s">
        <v/>
        <stp/>
        <stp>[{"Symbol":"S29Y6","currency":null,"instrumentType":null,"market":null,"maturityDate":null,"operativeType":null,"settlementType":"2","symbol":"S29Y6"}]</stp>
        <tr r="X10" s="101"/>
        <tr r="E2" s="141"/>
        <tr r="Y10" s="101"/>
        <tr r="Z10" s="101"/>
        <tr r="W10" s="101"/>
        <tr r="S10" s="101"/>
        <tr r="V10" s="101"/>
      </tp>
      <tp t="s">
        <v/>
        <stp/>
        <stp>[{"Symbol":"S27F6","currency":null,"instrumentType":null,"market":null,"maturityDate":null,"operativeType":null,"settlementType":"2","symbol":"S27F6"}]</stp>
        <tr r="S6" s="101"/>
        <tr r="V6" s="101"/>
        <tr r="W6" s="101"/>
        <tr r="X6" s="101"/>
        <tr r="Z6" s="101"/>
        <tr r="E2" s="137"/>
        <tr r="Y6" s="101"/>
      </tp>
      <tp t="s">
        <v/>
        <stp/>
        <stp>[{"Symbol":"ARC1D","currency":null,"instrumentType":null,"market":null,"maturityDate":null,"operativeType":null,"settlementType":"2","symbol":"ARC1D"}]</stp>
        <tr r="AT29" s="101"/>
        <tr r="AW29" s="101"/>
        <tr r="AU29" s="101"/>
        <tr r="AY29" s="101"/>
        <tr r="AV29" s="101"/>
        <tr r="AX29" s="101"/>
        <tr r="E2" s="53"/>
      </tp>
      <tp t="s">
        <v/>
        <stp/>
        <stp>[{"Symbol":"CP34D","currency":null,"instrumentType":null,"market":null,"maturityDate":null,"operativeType":null,"settlementType":"2","symbol":"CP34D"}]</stp>
        <tr r="E2" s="13"/>
        <tr r="F49" s="2"/>
        <tr r="J49" s="2"/>
        <tr r="I49" s="2"/>
      </tp>
      <tp t="s">
        <v/>
        <stp/>
        <stp>[{"Symbol":"V","currency":null,"instrumentType":null,"market":null,"maturityDate":null,"operativeType":null,"settlementType":"2","symbol":"V"}]</stp>
        <tr r="F90" s="101"/>
        <tr r="E90" s="101"/>
        <tr r="G90" s="101"/>
      </tp>
      <tp t="s">
        <v/>
        <stp/>
        <stp>[{"Symbol":"S30N6","currency":null,"instrumentType":null,"market":null,"maturityDate":null,"operativeType":null,"settlementType":"2","symbol":"S30N6"}]</stp>
        <tr r="S15" s="101"/>
        <tr r="V15" s="101"/>
        <tr r="E2" s="146"/>
        <tr r="Y15" s="101"/>
        <tr r="X15" s="101"/>
        <tr r="Z15" s="101"/>
        <tr r="W15" s="101"/>
      </tp>
      <tp t="s">
        <v/>
        <stp/>
        <stp>[{"Symbol":"S30O6","currency":null,"instrumentType":null,"market":null,"maturityDate":null,"operativeType":null,"settlementType":"2","symbol":"S30O6"}]</stp>
        <tr r="X14" s="101"/>
        <tr r="E2" s="145"/>
        <tr r="Y14" s="101"/>
        <tr r="Z14" s="101"/>
        <tr r="S14" s="101"/>
        <tr r="W14" s="101"/>
        <tr r="V14" s="101"/>
      </tp>
      <tp t="s">
        <v/>
        <stp/>
        <stp>[{"Symbol":"S30A6","currency":null,"instrumentType":null,"market":null,"maturityDate":null,"operativeType":null,"settlementType":"2","symbol":"S30A6"}]</stp>
        <tr r="V9" s="101"/>
        <tr r="S9" s="101"/>
        <tr r="W9" s="101"/>
        <tr r="Y9" s="101"/>
        <tr r="E2" s="140"/>
        <tr r="X9" s="101"/>
        <tr r="Z9" s="101"/>
      </tp>
      <tp t="s">
        <v/>
        <stp/>
        <stp>[{"Symbol":"S31L6","currency":null,"instrumentType":null,"market":null,"maturityDate":null,"operativeType":null,"settlementType":"2","symbol":"S31L6"}]</stp>
        <tr r="W12" s="101"/>
        <tr r="V12" s="101"/>
        <tr r="Y12" s="101"/>
        <tr r="Z12" s="101"/>
        <tr r="X12" s="101"/>
        <tr r="S12" s="101"/>
        <tr r="E2" s="143"/>
      </tp>
      <tp t="s">
        <v/>
        <stp/>
        <stp>[{"Symbol":"S31G6","currency":null,"instrumentType":null,"market":null,"maturityDate":null,"operativeType":null,"settlementType":"2","symbol":"S31G6"}]</stp>
        <tr r="X13" s="101"/>
        <tr r="Z13" s="101"/>
        <tr r="V13" s="101"/>
        <tr r="S13" s="101"/>
        <tr r="W13" s="101"/>
        <tr r="E2" s="144"/>
        <tr r="Y13" s="101"/>
      </tp>
      <tp t="s">
        <v/>
        <stp/>
        <stp>[{"Symbol":"T30J6","currency":null,"instrumentType":null,"market":null,"maturityDate":null,"operativeType":null,"settlementType":"2","symbol":"T30J6"}]</stp>
        <tr r="E2" s="142"/>
        <tr r="Y11" s="101"/>
        <tr r="X11" s="101"/>
        <tr r="W11" s="101"/>
        <tr r="Z11" s="101"/>
        <tr r="S11" s="101"/>
        <tr r="V11" s="101"/>
      </tp>
      <tp t="s">
        <v/>
        <stp/>
        <stp>[{"Symbol":"PECGD","currency":null,"instrumentType":null,"market":null,"maturityDate":null,"operativeType":null,"settlementType":"2","symbol":"PECGD"}]</stp>
        <tr r="J54" s="2"/>
        <tr r="I54" s="2"/>
        <tr r="F54" s="2"/>
      </tp>
      <tp t="s">
        <v/>
        <stp/>
        <stp>[{"Symbol":"YMCXD","currency":null,"instrumentType":null,"market":null,"maturityDate":null,"operativeType":null,"settlementType":"2","symbol":"YMCXD"}]</stp>
        <tr r="AY18" s="101"/>
        <tr r="AU18" s="101"/>
        <tr r="AV18" s="101"/>
        <tr r="AW18" s="101"/>
        <tr r="AT18" s="101"/>
        <tr r="E2" s="42"/>
        <tr r="AX18" s="101"/>
      </tp>
      <tp t="s">
        <v/>
        <stp/>
        <stp>[{"Symbol":"YMCQD","currency":null,"instrumentType":null,"market":null,"maturityDate":null,"operativeType":null,"settlementType":"2","symbol":"YMCQD"}]</stp>
        <tr r="I52" s="2"/>
        <tr r="E2" s="23"/>
        <tr r="F52" s="2"/>
        <tr r="J52" s="2"/>
      </tp>
      <tp t="s">
        <v/>
        <stp/>
        <stp>[{"Symbol":"YMCVD","currency":null,"instrumentType":null,"market":null,"maturityDate":null,"operativeType":null,"settlementType":"2","symbol":"YMCVD"}]</stp>
        <tr r="I47" s="2"/>
        <tr r="J47" s="2"/>
        <tr r="E2" s="75"/>
        <tr r="I48" s="2"/>
        <tr r="E2" s="59"/>
        <tr r="J48" s="2"/>
        <tr r="F48" s="2"/>
        <tr r="F47" s="2"/>
      </tp>
      <tp t="s">
        <v/>
        <stp/>
        <stp>[{"Symbol":"YMCJD","currency":null,"instrumentType":null,"market":null,"maturityDate":null,"operativeType":null,"settlementType":"2","symbol":"YMCJD"}]</stp>
        <tr r="E2" s="39"/>
        <tr r="AY22" s="101"/>
        <tr r="AT22" s="101"/>
        <tr r="AU22" s="101"/>
        <tr r="AX22" s="101"/>
        <tr r="AV22" s="101"/>
        <tr r="AW22" s="101"/>
      </tp>
      <tp t="s">
        <v/>
        <stp/>
        <stp>[{"Symbol":"YMCID","currency":null,"instrumentType":null,"market":null,"maturityDate":null,"operativeType":null,"settlementType":"2","symbol":"YMCID"}]</stp>
        <tr r="AT31" s="101"/>
        <tr r="AX31" s="101"/>
        <tr r="E2" s="27"/>
        <tr r="AV31" s="101"/>
        <tr r="AU31" s="101"/>
        <tr r="AW31" s="101"/>
        <tr r="AY31" s="101"/>
      </tp>
      <tp t="s">
        <v/>
        <stp/>
        <stp>[{"Symbol":"YMCHD","currency":null,"instrumentType":null,"market":null,"maturityDate":null,"operativeType":null,"settlementType":"2","symbol":"YMCHD"}]</stp>
        <tr r="E2" s="40"/>
      </tp>
      <tp t="s">
        <v/>
        <stp/>
        <stp>[{"Symbol":"T30J7","currency":null,"instrumentType":null,"market":null,"maturityDate":null,"operativeType":null,"settlementType":"2","symbol":"T30J7"}]</stp>
        <tr r="S19" s="101"/>
        <tr r="X19" s="101"/>
        <tr r="V19" s="101"/>
        <tr r="Z19" s="101"/>
        <tr r="Y19" s="101"/>
        <tr r="E2" s="150"/>
        <tr r="W19" s="101"/>
      </tp>
      <tp t="s">
        <v/>
        <stp/>
        <stp>[{"Symbol":"T30A7","currency":null,"instrumentType":null,"market":null,"maturityDate":null,"operativeType":null,"settlementType":"2","symbol":"T30A7"}]</stp>
        <tr r="V17" s="101"/>
        <tr r="E2" s="148"/>
        <tr r="X17" s="101"/>
        <tr r="Y17" s="101"/>
        <tr r="S17" s="101"/>
        <tr r="W17" s="101"/>
        <tr r="Z17" s="101"/>
      </tp>
      <tp t="s">
        <v/>
        <stp/>
        <stp>[{"Symbol":"T31Y7","currency":null,"instrumentType":null,"market":null,"maturityDate":null,"operativeType":null,"settlementType":"2","symbol":"T31Y7"}]</stp>
        <tr r="Z18" s="101"/>
        <tr r="E2" s="149"/>
        <tr r="V18" s="101"/>
        <tr r="S18" s="101"/>
        <tr r="X18" s="101"/>
        <tr r="Y18" s="101"/>
        <tr r="W18" s="101"/>
      </tp>
      <tp t="s">
        <v/>
        <stp/>
        <stp>[{"Symbol":"CWC6D","currency":null,"instrumentType":null,"market":null,"maturityDate":null,"operativeType":null,"settlementType":"2","symbol":"CWC6D"}]</stp>
        <tr r="E2" s="25"/>
      </tp>
      <tp t="s">
        <v/>
        <stp/>
        <stp>[{"Symbol":"YM40D","currency":null,"instrumentType":null,"market":null,"maturityDate":null,"operativeType":null,"settlementType":"2","symbol":"YM40D"}]</stp>
        <tr r="I25" s="2"/>
        <tr r="J25" s="2"/>
        <tr r="E2" s="110"/>
        <tr r="F25" s="2"/>
      </tp>
      <tp t="s">
        <v/>
        <stp/>
        <stp>[{"Symbol":"YM41D","currency":null,"instrumentType":null,"market":null,"maturityDate":null,"operativeType":null,"settlementType":"2","symbol":"YM41D"}]</stp>
        <tr r="E2" s="79"/>
        <tr r="I36" s="2"/>
        <tr r="F36" s="2"/>
        <tr r="J36" s="2"/>
      </tp>
      <tp t="s">
        <v/>
        <stp/>
        <stp>[{"Symbol":"YM39D","currency":null,"instrumentType":null,"market":null,"maturityDate":null,"operativeType":null,"settlementType":"2","symbol":"YM39D"}]</stp>
        <tr r="F12" s="2"/>
        <tr r="J12" s="2"/>
        <tr r="I12" s="2"/>
        <tr r="E2" s="3"/>
      </tp>
      <tp t="s">
        <v/>
        <stp/>
        <stp>[{"Symbol":"YM38D","currency":null,"instrumentType":null,"market":null,"maturityDate":null,"operativeType":null,"settlementType":"2","symbol":"YM38D"}]</stp>
        <tr r="I34" s="2"/>
        <tr r="F34" s="2"/>
        <tr r="E2" s="118"/>
        <tr r="J34" s="2"/>
      </tp>
      <tp t="s">
        <v/>
        <stp/>
        <stp>[{"Symbol":"YM37D","currency":null,"instrumentType":null,"market":null,"maturityDate":null,"operativeType":null,"settlementType":"2","symbol":"YM37D"}]</stp>
        <tr r="F37" s="2"/>
        <tr r="I37" s="2"/>
        <tr r="E2" s="86"/>
        <tr r="J37" s="2"/>
      </tp>
      <tp t="s">
        <v/>
        <stp/>
        <stp>[{"Symbol":"YM34D","currency":null,"instrumentType":null,"market":null,"maturityDate":null,"operativeType":null,"settlementType":"2","symbol":"YM34D"}]</stp>
        <tr r="AU10" s="101"/>
        <tr r="AW10" s="101"/>
        <tr r="AV10" s="101"/>
        <tr r="AX10" s="101"/>
        <tr r="AT10" s="101"/>
        <tr r="AY10" s="101"/>
        <tr r="E2" s="30"/>
      </tp>
      <tp t="s">
        <v/>
        <stp/>
        <stp>[{"Symbol":"T13F6","currency":null,"instrumentType":null,"market":null,"maturityDate":null,"operativeType":null,"settlementType":"2","symbol":"T13F6"}]</stp>
        <tr r="E2" s="136"/>
      </tp>
      <tp t="s">
        <v/>
        <stp/>
        <stp>[{"Symbol":"PFC2D","currency":null,"instrumentType":null,"market":null,"maturityDate":null,"operativeType":null,"settlementType":"2","symbol":"PFC2D"}]</stp>
        <tr r="I27" s="2"/>
        <tr r="F27" s="2"/>
        <tr r="J27" s="2"/>
      </tp>
      <tp t="s">
        <v/>
        <stp/>
        <stp>[{"Symbol":"T15E7","currency":null,"instrumentType":null,"market":null,"maturityDate":null,"operativeType":null,"settlementType":"2","symbol":"T15E7"}]</stp>
        <tr r="X16" s="101"/>
        <tr r="Z16" s="101"/>
        <tr r="Y16" s="101"/>
        <tr r="V16" s="101"/>
        <tr r="W16" s="101"/>
        <tr r="S16" s="101"/>
        <tr r="E2" s="147"/>
      </tp>
      <tp t="s">
        <v/>
        <stp/>
        <stp>[{"Symbol":"GNCXD","currency":null,"instrumentType":null,"market":null,"maturityDate":null,"operativeType":null,"settlementType":"2","symbol":"GNCXD"}]</stp>
        <tr r="E2" s="57"/>
      </tp>
      <tp t="s">
        <v/>
        <stp/>
        <stp>[{"Symbol":"GN49D","currency":null,"instrumentType":null,"market":null,"maturityDate":null,"operativeType":null,"settlementType":"2","symbol":"GN49D"}]</stp>
        <tr r="AX20" s="101"/>
        <tr r="AT20" s="101"/>
        <tr r="AY20" s="101"/>
        <tr r="AW20" s="101"/>
        <tr r="E2" s="73"/>
        <tr r="AU20" s="101"/>
        <tr r="AV20" s="101"/>
      </tp>
      <tp t="s">
        <v/>
        <stp/>
        <stp>[{"Symbol":"GN40D","currency":null,"instrumentType":null,"market":null,"maturityDate":null,"operativeType":null,"settlementType":"2","symbol":"GN40D"}]</stp>
        <tr r="E2" s="14"/>
      </tp>
    </main>
    <main first="rtdsrv.c1747dc6662849009e63b5bfcf7e1df4">
      <tp t="s">
        <v/>
        <stp/>
        <stp>{"&lt;panelType&gt;k__BackingField":"CAUCIONES","&lt;refresh&gt;k__BackingField":false,"&lt;settlementType&gt;k__BackingField":null,"&lt;shortSell&gt;k__BackingField":false,"&lt;withPrice&gt;k__BackingField":true}</stp>
        <tr r="A1" s="100"/>
      </tp>
    </main>
    <main first="rtdsrv.5889b103584c45589dc3f5e29ed9b264">
      <tp t="s">
        <v/>
        <stp/>
        <stp>[{"Symbol":"CICAD","currency":null,"instrumentType":null,"market":null,"maturityDate":null,"operativeType":null,"settlementType":"2","symbol":"CICAD"}]</stp>
        <tr r="E2" s="111"/>
        <tr r="F8" s="2"/>
        <tr r="I8" s="2"/>
        <tr r="J8" s="2"/>
      </tp>
      <tp t="s">
        <v/>
        <stp/>
        <stp>[{"Symbol":"CIC9D","currency":null,"instrumentType":null,"market":null,"maturityDate":null,"operativeType":null,"settlementType":"2","symbol":"CIC9D"}]</stp>
        <tr r="I13" s="2"/>
        <tr r="E2" s="88"/>
        <tr r="J13" s="2"/>
        <tr r="F13" s="2"/>
      </tp>
      <tp t="s">
        <v/>
        <stp/>
        <stp>[{"Symbol":"DNC3D","currency":null,"instrumentType":null,"market":null,"maturityDate":null,"operativeType":null,"settlementType":"2","symbol":"DNC3D"}]</stp>
        <tr r="E2" s="78"/>
        <tr r="F15" s="2"/>
        <tr r="I15" s="2"/>
        <tr r="J15" s="2"/>
      </tp>
      <tp t="s">
        <v/>
        <stp/>
        <stp>[{"Symbol":"DNC7D","currency":null,"instrumentType":null,"market":null,"maturityDate":null,"operativeType":null,"settlementType":"2","symbol":"DNC7D"}]</stp>
        <tr r="AW6" s="101"/>
        <tr r="AY6" s="101"/>
        <tr r="AV6" s="101"/>
        <tr r="AT6" s="101"/>
        <tr r="AX6" s="101"/>
        <tr r="AU6" s="101"/>
        <tr r="E2" s="34"/>
      </tp>
      <tp t="s">
        <v/>
        <stp/>
        <stp>[{"Symbol":"DNC5D","currency":null,"instrumentType":null,"market":null,"maturityDate":null,"operativeType":null,"settlementType":"2","symbol":"DNC5D"}]</stp>
        <tr r="E2" s="10"/>
        <tr r="I9" s="2"/>
        <tr r="J9" s="2"/>
        <tr r="F9" s="2"/>
      </tp>
      <tp t="s">
        <v/>
        <stp/>
        <stp>[{"Symbol":"MGCRD","currency":null,"instrumentType":null,"market":null,"maturityDate":null,"operativeType":null,"settlementType":"2","symbol":"MGCRD"}]</stp>
        <tr r="AT9" s="101"/>
        <tr r="AX9" s="101"/>
        <tr r="AY9" s="101"/>
        <tr r="AW9" s="101"/>
        <tr r="E2" s="70"/>
        <tr r="AV9" s="101"/>
        <tr r="AU9" s="101"/>
      </tp>
      <tp t="s">
        <v/>
        <stp/>
        <stp>[{"Symbol":"MGCJD","currency":null,"instrumentType":null,"market":null,"maturityDate":null,"operativeType":null,"settlementType":"2","symbol":"MGCJD"}]</stp>
        <tr r="E2" s="17"/>
      </tp>
      <tp t="s">
        <v/>
        <stp/>
        <stp>[{"Symbol":"MGCHD","currency":null,"instrumentType":null,"market":null,"maturityDate":null,"operativeType":null,"settlementType":"2","symbol":"MGCHD"}]</stp>
        <tr r="E2" s="22"/>
      </tp>
      <tp t="s">
        <v/>
        <stp/>
        <stp>[{"Symbol":"MGCOD","currency":null,"instrumentType":null,"market":null,"maturityDate":null,"operativeType":null,"settlementType":"2","symbol":"MGCOD"}]</stp>
        <tr r="AY13" s="101"/>
        <tr r="AX13" s="101"/>
        <tr r="E2" s="31"/>
        <tr r="AV13" s="101"/>
        <tr r="AT13" s="101"/>
        <tr r="AW13" s="101"/>
        <tr r="AU13" s="101"/>
      </tp>
      <tp t="s">
        <v/>
        <stp/>
        <stp>[{"Symbol":"MGCMD","currency":null,"instrumentType":null,"market":null,"maturityDate":null,"operativeType":null,"settlementType":"2","symbol":"MGCMD"}]</stp>
        <tr r="AX25" s="101"/>
        <tr r="E2" s="50"/>
        <tr r="AW25" s="101"/>
        <tr r="AV25" s="101"/>
        <tr r="AY25" s="101"/>
        <tr r="AU25" s="101"/>
        <tr r="AT25" s="101"/>
      </tp>
      <tp t="s">
        <v/>
        <stp/>
        <stp>[{"Symbol":"MGC9D","currency":null,"instrumentType":null,"market":null,"maturityDate":null,"operativeType":null,"settlementType":"2","symbol":"MGC9D"}]</stp>
        <tr r="E2" s="51"/>
      </tp>
      <tp t="s">
        <v/>
        <stp/>
        <stp>[{"Symbol":"AL30C","currency":null,"instrumentType":null,"market":null,"maturityDate":null,"operativeType":null,"settlementType":"1","symbol":"AL30C"}]</stp>
        <tr r="E20" s="101"/>
      </tp>
      <tp t="s">
        <v/>
        <stp/>
        <stp>[{"Symbol":"AL41D","currency":null,"instrumentType":null,"market":null,"maturityDate":null,"operativeType":null,"settlementType":"2","symbol":"AL41D"}]</stp>
        <tr r="AK7" s="101"/>
        <tr r="AI7" s="101"/>
        <tr r="AF21" s="101"/>
        <tr r="E2" s="128"/>
        <tr r="AM7" s="101"/>
        <tr r="AL7" s="101"/>
        <tr r="AJ7" s="101"/>
        <tr r="AH7" s="101"/>
      </tp>
      <tp t="s">
        <v/>
        <stp/>
        <stp>[{"Symbol":"AL30D","currency":null,"instrumentType":null,"market":null,"maturityDate":null,"operativeType":null,"settlementType":"1","symbol":"AL30D"}]</stp>
        <tr r="D20" s="101"/>
      </tp>
      <tp t="s">
        <v/>
        <stp/>
        <stp>[{"Symbol":"AL30D","currency":null,"instrumentType":null,"market":null,"maturityDate":null,"operativeType":null,"settlementType":"2","symbol":"AL30D"}]</stp>
        <tr r="AM9" s="101"/>
        <tr r="AF18" s="101"/>
        <tr r="AJ9" s="101"/>
        <tr r="E2" s="125"/>
        <tr r="AK9" s="101"/>
        <tr r="AH9" s="101"/>
        <tr r="AI9" s="101"/>
        <tr r="AL9" s="101"/>
      </tp>
      <tp t="s">
        <v/>
        <stp/>
        <stp>[{"Symbol":"AL35D","currency":null,"instrumentType":null,"market":null,"maturityDate":null,"operativeType":null,"settlementType":"2","symbol":"AL35D"}]</stp>
        <tr r="AM6" s="101"/>
        <tr r="AF19" s="101"/>
        <tr r="AJ6" s="101"/>
        <tr r="AK6" s="101"/>
        <tr r="AL6" s="101"/>
        <tr r="E2" s="126"/>
        <tr r="AI6" s="101"/>
        <tr r="AH6" s="101"/>
      </tp>
      <tp t="s">
        <v/>
        <stp/>
        <stp>[{"Symbol":"AL29D","currency":null,"instrumentType":null,"market":null,"maturityDate":null,"operativeType":null,"settlementType":"2","symbol":"AL29D"}]</stp>
        <tr r="AJ12" s="101"/>
        <tr r="E2" s="124"/>
        <tr r="AH12" s="101"/>
        <tr r="AF17" s="101"/>
        <tr r="AM12" s="101"/>
        <tr r="AK12" s="101"/>
        <tr r="AL12" s="101"/>
        <tr r="AI12" s="101"/>
      </tp>
      <tp t="s">
        <v/>
        <stp/>
        <stp>[{"Symbol":"AKO.B","currency":null,"instrumentType":null,"market":null,"maturityDate":null,"operativeType":null,"settlementType":"2","symbol":"AKO.B"}]</stp>
        <tr r="F379" s="101"/>
        <tr r="G379" s="101"/>
        <tr r="E379" s="101"/>
      </tp>
      <tp t="s">
        <v/>
        <stp/>
        <stp>[{"Symbol":"NBS1D","currency":null,"instrumentType":null,"market":null,"maturityDate":null,"operativeType":null,"settlementType":"2","symbol":"NBS1D"}]</stp>
        <tr r="F41" s="2"/>
        <tr r="E2" s="11"/>
        <tr r="J41" s="2"/>
        <tr r="I41" s="2"/>
      </tp>
      <tp t="s">
        <v/>
        <stp/>
        <stp>[{"Symbol":"MCC2D","currency":null,"instrumentType":null,"market":null,"maturityDate":null,"operativeType":null,"settlementType":"2","symbol":"MCC2D"}]</stp>
        <tr r="J11" s="2"/>
        <tr r="I11" s="2"/>
        <tr r="F11" s="2"/>
      </tp>
      <tp t="s">
        <v/>
        <stp/>
        <stp>[{"Symbol":"E","currency":null,"instrumentType":null,"market":null,"maturityDate":null,"operativeType":null,"settlementType":"2","symbol":"E"}]</stp>
        <tr r="G353" s="101"/>
        <tr r="E353" s="101"/>
        <tr r="F353" s="101"/>
      </tp>
      <tp t="s">
        <v/>
        <stp/>
        <stp>[{"Symbol":"LMS8D","currency":null,"instrumentType":null,"market":null,"maturityDate":null,"operativeType":null,"settlementType":"2","symbol":"LMS8D"}]</stp>
        <tr r="I46" s="2"/>
        <tr r="E2" s="82"/>
        <tr r="J46" s="2"/>
        <tr r="F46" s="2"/>
      </tp>
      <tp t="s">
        <v/>
        <stp/>
        <stp>[{"Symbol":"LMS7D","currency":null,"instrumentType":null,"market":null,"maturityDate":null,"operativeType":null,"settlementType":"2","symbol":"LMS7D"}]</stp>
        <tr r="J35" s="2"/>
        <tr r="F35" s="2"/>
        <tr r="I35" s="2"/>
        <tr r="E2" s="109"/>
      </tp>
      <tp t="s">
        <v/>
        <stp/>
        <stp>[{"Symbol":"PQCSD","currency":null,"instrumentType":null,"market":null,"maturityDate":null,"operativeType":null,"settlementType":"2","symbol":"PQCSD"}]</stp>
        <tr r="E2" s="94"/>
        <tr r="J7" s="2"/>
        <tr r="F7" s="2"/>
        <tr r="I7" s="2"/>
      </tp>
      <tp t="s">
        <v/>
        <stp/>
        <stp>[{"Symbol":"GOOGL","currency":null,"instrumentType":null,"market":null,"maturityDate":null,"operativeType":null,"settlementType":"2","symbol":"GOOGL"}]</stp>
        <tr r="F40" s="101"/>
        <tr r="G40" s="101"/>
        <tr r="E40" s="101"/>
      </tp>
      <tp t="s">
        <v/>
        <stp/>
        <stp>[{"Symbol":"TIIAY","currency":null,"instrumentType":null,"market":null,"maturityDate":null,"operativeType":null,"settlementType":"2","symbol":"TIIAY"}]</stp>
        <tr r="F426" s="101"/>
        <tr r="G426" s="101"/>
        <tr r="E426" s="101"/>
      </tp>
      <tp t="s">
        <v/>
        <stp/>
        <stp>[{"Symbol":"ZZC1D","currency":null,"instrumentType":null,"market":null,"maturityDate":null,"operativeType":null,"settlementType":"2","symbol":"ZZC1D"}]</stp>
        <tr r="J38" s="2"/>
        <tr r="F38" s="2"/>
        <tr r="I38" s="2"/>
        <tr r="E2" s="80"/>
      </tp>
      <tp t="s">
        <v/>
        <stp/>
        <stp>[{"Symbol":"TTCBD","currency":null,"instrumentType":null,"market":null,"maturityDate":null,"operativeType":null,"settlementType":"2","symbol":"TTCBD"}]</stp>
        <tr r="F39" s="2"/>
        <tr r="E2" s="115"/>
        <tr r="J39" s="2"/>
        <tr r="I39" s="2"/>
      </tp>
      <tp t="s">
        <v/>
        <stp/>
        <stp>[{"Symbol":"TTCAD","currency":null,"instrumentType":null,"market":null,"maturityDate":null,"operativeType":null,"settlementType":"2","symbol":"TTCAD"}]</stp>
        <tr r="AV26" s="101"/>
        <tr r="AW26" s="101"/>
        <tr r="AX26" s="101"/>
        <tr r="AU26" s="101"/>
        <tr r="AY26" s="101"/>
        <tr r="E2" s="41"/>
        <tr r="AT26" s="101"/>
      </tp>
      <tp t="s">
        <v/>
        <stp/>
        <stp>[{"Symbol":"TTCDD","currency":null,"instrumentType":null,"market":null,"maturityDate":null,"operativeType":null,"settlementType":"2","symbol":"TTCDD"}]</stp>
        <tr r="AX23" s="101"/>
        <tr r="AY23" s="101"/>
        <tr r="AT23" s="101"/>
        <tr r="AU23" s="101"/>
        <tr r="AW23" s="101"/>
        <tr r="E2" s="71"/>
        <tr r="AV23" s="101"/>
      </tp>
      <tp t="s">
        <v/>
        <stp/>
        <stp>[{"Symbol":"TTC9D","currency":null,"instrumentType":null,"market":null,"maturityDate":null,"operativeType":null,"settlementType":"2","symbol":"TTC9D"}]</stp>
        <tr r="J23" s="2"/>
        <tr r="E2" s="97"/>
        <tr r="I23" s="2"/>
        <tr r="F23" s="2"/>
      </tp>
      <tp t="s">
        <v/>
        <stp/>
        <stp>[{"Symbol":"TTC7D","currency":null,"instrumentType":null,"market":null,"maturityDate":null,"operativeType":null,"settlementType":"2","symbol":"TTC7D"}]</stp>
        <tr r="I6" s="2"/>
        <tr r="J6" s="2"/>
        <tr r="F6" s="2"/>
        <tr r="E2" s="12"/>
      </tp>
      <tp t="s">
        <v/>
        <stp/>
        <stp>[{"Symbol":"LOC3D","currency":null,"instrumentType":null,"market":null,"maturityDate":null,"operativeType":null,"settlementType":"2","symbol":"LOC3D"}]</stp>
        <tr r="I50" s="2"/>
        <tr r="F50" s="2"/>
        <tr r="E2" s="19"/>
        <tr r="J50" s="2"/>
      </tp>
      <tp t="s">
        <v/>
        <stp/>
        <stp>[{"Symbol":"LOC2D","currency":null,"instrumentType":null,"market":null,"maturityDate":null,"operativeType":null,"settlementType":"2","symbol":"LOC2D"}]</stp>
        <tr r="E2" s="20"/>
      </tp>
      <tp t="s">
        <v/>
        <stp/>
        <stp>[{"Symbol":"OLC6D","currency":null,"instrumentType":null,"market":null,"maturityDate":null,"operativeType":null,"settlementType":"2","symbol":"OLC6D"}]</stp>
        <tr r="J14" s="2"/>
        <tr r="F14" s="2"/>
        <tr r="I14" s="2"/>
        <tr r="E2" s="106"/>
      </tp>
      <tp t="s">
        <v/>
        <stp/>
        <stp>[{"Symbol":"OLC5D","currency":null,"instrumentType":null,"market":null,"maturityDate":null,"operativeType":null,"settlementType":"2","symbol":"OLC5D"}]</stp>
        <tr r="J20" s="2"/>
        <tr r="F20" s="2"/>
        <tr r="I20" s="2"/>
        <tr r="E2" s="112"/>
      </tp>
      <tp t="s">
        <v/>
        <stp/>
        <stp>[{"Symbol":"BACGD","currency":null,"instrumentType":null,"market":null,"maturityDate":null,"operativeType":null,"settlementType":"2","symbol":"BACGD"}]</stp>
        <tr r="AT28" s="101"/>
        <tr r="AY28" s="101"/>
        <tr r="E2" s="6"/>
        <tr r="AX28" s="101"/>
        <tr r="AW28" s="101"/>
        <tr r="AV28" s="101"/>
        <tr r="AU28" s="101"/>
      </tp>
      <tp t="s">
        <v/>
        <stp/>
        <stp>[{"Symbol":"GD41D","currency":null,"instrumentType":null,"market":null,"maturityDate":null,"operativeType":null,"settlementType":"2","symbol":"GD41D"}]</stp>
        <tr r="AH8" s="101"/>
        <tr r="AI8" s="101"/>
        <tr r="AF21" s="101"/>
        <tr r="C3" s="98"/>
        <tr r="E6" s="98"/>
        <tr r="E4" s="98"/>
        <tr r="AM8" s="101"/>
        <tr r="G4" s="98"/>
        <tr r="AK8" s="101"/>
        <tr r="AJ8" s="101"/>
        <tr r="B6" s="98"/>
        <tr r="E3" s="98"/>
        <tr r="C4" s="98"/>
        <tr r="E2" s="133"/>
        <tr r="AL8" s="101"/>
        <tr r="G3" s="98"/>
      </tp>
      <tp t="s">
        <v/>
        <stp/>
        <stp>[{"Symbol":"GD41D","currency":null,"instrumentType":null,"market":null,"maturityDate":null,"operativeType":null,"settlementType":"1","symbol":"GD41D"}]</stp>
        <tr r="C17" s="98"/>
        <tr r="E20" s="98"/>
        <tr r="C18" s="98"/>
        <tr r="G17" s="98"/>
        <tr r="B20" s="98"/>
        <tr r="E17" s="98"/>
        <tr r="G18" s="98"/>
        <tr r="E18" s="98"/>
      </tp>
      <tp t="s">
        <v/>
        <stp/>
        <stp>[{"Symbol":"GD38D","currency":null,"instrumentType":null,"market":null,"maturityDate":null,"operativeType":null,"settlementType":"2","symbol":"GD38D"}]</stp>
        <tr r="E2" s="132"/>
        <tr r="AM11" s="101"/>
        <tr r="AJ11" s="101"/>
        <tr r="AF20" s="101"/>
        <tr r="AI11" s="101"/>
        <tr r="AL11" s="101"/>
        <tr r="AK11" s="101"/>
        <tr r="AH11" s="101"/>
      </tp>
      <tp t="s">
        <v/>
        <stp/>
        <stp>[{"Symbol":"GD30D","currency":null,"instrumentType":null,"market":null,"maturityDate":null,"operativeType":null,"settlementType":"2","symbol":"GD30D"}]</stp>
        <tr r="E2" s="130"/>
        <tr r="AF18" s="101"/>
        <tr r="AH13" s="101"/>
        <tr r="AJ13" s="101"/>
        <tr r="AL13" s="101"/>
        <tr r="AI13" s="101"/>
        <tr r="AM13" s="101"/>
        <tr r="AK13" s="101"/>
      </tp>
      <tp t="s">
        <v/>
        <stp/>
        <stp>[{"Symbol":"GD35D","currency":null,"instrumentType":null,"market":null,"maturityDate":null,"operativeType":null,"settlementType":"2","symbol":"GD35D"}]</stp>
        <tr r="AK10" s="101"/>
        <tr r="AF19" s="101"/>
        <tr r="AL10" s="101"/>
        <tr r="AH10" s="101"/>
        <tr r="E2" s="131"/>
        <tr r="AI10" s="101"/>
        <tr r="AJ10" s="101"/>
        <tr r="AM10" s="101"/>
      </tp>
      <tp t="s">
        <v/>
        <stp/>
        <stp>[{"Symbol":"GD29D","currency":null,"instrumentType":null,"market":null,"maturityDate":null,"operativeType":null,"settlementType":"2","symbol":"GD29D"}]</stp>
        <tr r="E2" s="129"/>
        <tr r="AH14" s="101"/>
        <tr r="AF17" s="101"/>
        <tr r="AI14" s="101"/>
        <tr r="AJ14" s="101"/>
        <tr r="AL14" s="101"/>
        <tr r="AK14" s="101"/>
        <tr r="AM14" s="101"/>
      </tp>
      <tp t="s">
        <v/>
        <stp/>
        <stp>[{"Symbol":"HJCID","currency":null,"instrumentType":null,"market":null,"maturityDate":null,"operativeType":null,"settlementType":"2","symbol":"HJCID"}]</stp>
        <tr r="F17" s="2"/>
        <tr r="I17" s="2"/>
        <tr r="E2" s="89"/>
        <tr r="J17" s="2"/>
      </tp>
      <tp t="s">
        <v/>
        <stp/>
        <stp>[{"Symbol":"F","currency":null,"instrumentType":null,"market":null,"maturityDate":null,"operativeType":null,"settlementType":"2","symbol":"F"}]</stp>
        <tr r="L108" s="101"/>
        <tr r="F166" s="101"/>
        <tr r="K108" s="101"/>
        <tr r="E166" s="101"/>
        <tr r="M108" s="101"/>
        <tr r="G166" s="101"/>
      </tp>
      <tp t="s">
        <v/>
        <stp/>
        <stp>[{"Symbol":"CAC5D","currency":null,"instrumentType":null,"market":null,"maturityDate":null,"operativeType":null,"settlementType":"2","symbol":"CAC5D"}]</stp>
        <tr r="AU33" s="101"/>
        <tr r="AY33" s="101"/>
        <tr r="AW33" s="101"/>
        <tr r="AT33" s="101"/>
        <tr r="E2" s="54"/>
        <tr r="AX33" s="101"/>
        <tr r="AV33" s="101"/>
      </tp>
      <tp t="s">
        <v/>
        <stp/>
        <stp>[{"Symbol":"VSCRD","currency":null,"instrumentType":null,"market":null,"maturityDate":null,"operativeType":null,"settlementType":"2","symbol":"VSCRD"}]</stp>
        <tr r="I24" s="2"/>
        <tr r="F24" s="2"/>
        <tr r="E2" s="93"/>
        <tr r="J24" s="2"/>
      </tp>
      <tp t="s">
        <v/>
        <stp/>
        <stp>[{"Symbol":"VSCPD","currency":null,"instrumentType":null,"market":null,"maturityDate":null,"operativeType":null,"settlementType":"2","symbol":"VSCPD"}]</stp>
        <tr r="F29" s="2"/>
        <tr r="I29" s="2"/>
        <tr r="E2" s="108"/>
        <tr r="J29" s="2"/>
      </tp>
      <tp t="s">
        <v/>
        <stp/>
        <stp>[{"Symbol":"VSCWD","currency":null,"instrumentType":null,"market":null,"maturityDate":null,"operativeType":null,"settlementType":"2","symbol":"VSCWD"}]</stp>
        <tr r="E2" s="83"/>
        <tr r="F40" s="2"/>
        <tr r="I40" s="2"/>
        <tr r="J40" s="2"/>
      </tp>
      <tp t="s">
        <v/>
        <stp/>
        <stp>[{"Symbol":"VSCVD","currency":null,"instrumentType":null,"market":null,"maturityDate":null,"operativeType":null,"settlementType":"2","symbol":"VSCVD"}]</stp>
        <tr r="AU14" s="101"/>
        <tr r="E2" s="5"/>
        <tr r="AW14" s="101"/>
        <tr r="AV14" s="101"/>
        <tr r="AX14" s="101"/>
        <tr r="AY14" s="101"/>
        <tr r="AT14" s="101"/>
      </tp>
      <tp t="s">
        <v/>
        <stp/>
        <stp>[{"Symbol":"VSCTD","currency":null,"instrumentType":null,"market":null,"maturityDate":null,"operativeType":null,"settlementType":"2","symbol":"VSCTD"}]</stp>
        <tr r="AY17" s="101"/>
        <tr r="AX17" s="101"/>
        <tr r="E2" s="36"/>
        <tr r="AW17" s="101"/>
        <tr r="AU17" s="101"/>
        <tr r="AT17" s="101"/>
        <tr r="AV17" s="101"/>
      </tp>
      <tp t="s">
        <v/>
        <stp/>
        <stp>[{"Symbol":"AE38D","currency":null,"instrumentType":null,"market":null,"maturityDate":null,"operativeType":null,"settlementType":"2","symbol":"AE38D"}]</stp>
        <tr r="AK5" s="101"/>
        <tr r="AH5" s="101"/>
        <tr r="AJ5" s="101"/>
        <tr r="AF20" s="101"/>
        <tr r="AM5" s="101"/>
        <tr r="AI5" s="101"/>
        <tr r="E2" s="127"/>
        <tr r="AL5" s="101"/>
      </tp>
    </main>
    <main first="rtdsrv.5889b103584c45589dc3f5e29ed9b264">
      <tp t="s">
        <v/>
        <stp/>
        <stp>[{"Symbol":"SIEGY","currency":null,"instrumentType":null,"market":null,"maturityDate":null,"operativeType":null,"settlementType":"2","symbol":"SIEGY"}]</stp>
        <tr r="F422" s="101"/>
        <tr r="G422" s="101"/>
        <tr r="E422" s="101"/>
      </tp>
      <tp t="s">
        <v/>
        <stp/>
        <stp>[{"Symbol":"C","currency":null,"instrumentType":null,"market":null,"maturityDate":null,"operativeType":null,"settlementType":"2","symbol":"C"}]</stp>
        <tr r="E202" s="101"/>
        <tr r="F202" s="101"/>
        <tr r="G202" s="101"/>
      </tp>
      <tp t="s">
        <v/>
        <stp/>
        <stp>[{"Symbol":"TSC3D","currency":null,"instrumentType":null,"market":null,"maturityDate":null,"operativeType":null,"settlementType":"2","symbol":"TSC3D"}]</stp>
        <tr r="AX24" s="101"/>
        <tr r="E2" s="35"/>
        <tr r="AY24" s="101"/>
        <tr r="AW24" s="101"/>
        <tr r="AV24" s="101"/>
        <tr r="AT24" s="101"/>
        <tr r="AU24" s="101"/>
      </tp>
      <tp t="s">
        <v/>
        <stp/>
        <stp>[{"Symbol":"TSC4D","currency":null,"instrumentType":null,"market":null,"maturityDate":null,"operativeType":null,"settlementType":"2","symbol":"TSC4D"}]</stp>
        <tr r="AY11" s="101"/>
        <tr r="E2" s="69"/>
        <tr r="AV11" s="101"/>
        <tr r="AW11" s="101"/>
        <tr r="AX11" s="101"/>
        <tr r="AU11" s="101"/>
        <tr r="AT11" s="101"/>
      </tp>
      <tp t="s">
        <v/>
        <stp/>
        <stp>[{"Symbol":"RUCDD","currency":null,"instrumentType":null,"market":null,"maturityDate":null,"operativeType":null,"settlementType":"2","symbol":"RUCDD"}]</stp>
        <tr r="E2" s="56"/>
        <tr r="AU5" s="101"/>
        <tr r="AY5" s="101"/>
        <tr r="AV5" s="101"/>
        <tr r="AT5" s="101"/>
        <tr r="AW5" s="101"/>
        <tr r="AX5" s="101"/>
      </tp>
      <tp t="s">
        <v/>
        <stp/>
        <stp>[{"Symbol":"B","currency":null,"instrumentType":null,"market":null,"maturityDate":null,"operativeType":null,"settlementType":"2","symbol":"B"}]</stp>
        <tr r="F87" s="101"/>
        <tr r="E87" s="101"/>
        <tr r="G87" s="101"/>
      </tp>
      <tp t="s">
        <v/>
        <stp/>
        <stp>[{"Symbol":"JCI","currency":null,"instrumentType":null,"market":null,"maturityDate":null,"operativeType":null,"settlementType":"2","symbol":"JCI"}]</stp>
        <tr r="E383" s="101"/>
        <tr r="G383" s="101"/>
        <tr r="F383" s="101"/>
      </tp>
      <tp t="s">
        <v/>
        <stp/>
        <stp>[{"Symbol":"JNJ","currency":null,"instrumentType":null,"market":null,"maturityDate":null,"operativeType":null,"settlementType":"2","symbol":"JNJ"}]</stp>
        <tr r="E144" s="101"/>
        <tr r="G144" s="101"/>
        <tr r="M115" s="101"/>
        <tr r="L115" s="101"/>
        <tr r="F144" s="101"/>
        <tr r="K115" s="101"/>
      </tp>
      <tp t="s">
        <v/>
        <stp/>
        <stp>[{"Symbol":"JPM","currency":null,"instrumentType":null,"market":null,"maturityDate":null,"operativeType":null,"settlementType":"2","symbol":"JPM"}]</stp>
        <tr r="F146" s="101"/>
        <tr r="G146" s="101"/>
        <tr r="E146" s="101"/>
      </tp>
    </main>
    <main first="rtdsrv.5889b103584c45589dc3f5e29ed9b264">
      <tp t="s">
        <v/>
        <stp/>
        <stp>[{"Symbol":"KGC","currency":null,"instrumentType":null,"market":null,"maturityDate":null,"operativeType":null,"settlementType":"2","symbol":"KGC"}]</stp>
        <tr r="G218" s="101"/>
        <tr r="F218" s="101"/>
        <tr r="K122" s="101"/>
        <tr r="L122" s="101"/>
        <tr r="E218" s="101"/>
        <tr r="M122" s="101"/>
      </tp>
      <tp t="s">
        <v/>
        <stp/>
        <stp>[{"Symbol":"KEP","currency":null,"instrumentType":null,"market":null,"maturityDate":null,"operativeType":null,"settlementType":"2","symbol":"KEP"}]</stp>
        <tr r="G343" s="101"/>
        <tr r="F343" s="101"/>
        <tr r="E343" s="101"/>
      </tp>
      <tp t="s">
        <v/>
        <stp/>
        <stp>[{"Symbol":"KMB","currency":null,"instrumentType":null,"market":null,"maturityDate":null,"operativeType":null,"settlementType":"2","symbol":"KMB"}]</stp>
        <tr r="E219" s="101"/>
        <tr r="G219" s="101"/>
        <tr r="F219" s="101"/>
      </tp>
    </main>
    <main first="rtdsrv.5889b103584c45589dc3f5e29ed9b264">
      <tp t="s">
        <v/>
        <stp/>
        <stp>[{"Symbol":"HDB","currency":null,"instrumentType":null,"market":null,"maturityDate":null,"operativeType":null,"settlementType":"2","symbol":"HDB"}]</stp>
        <tr r="E338" s="101"/>
        <tr r="F338" s="101"/>
        <tr r="G338" s="101"/>
      </tp>
      <tp t="s">
        <v/>
        <stp/>
        <stp>[{"Symbol":"HAL","currency":null,"instrumentType":null,"market":null,"maturityDate":null,"operativeType":null,"settlementType":"2","symbol":"HAL"}]</stp>
        <tr r="F265" s="101"/>
        <tr r="G265" s="101"/>
        <tr r="E265" s="101"/>
      </tp>
      <tp t="s">
        <v/>
        <stp/>
        <stp>[{"Symbol":"HMC","currency":null,"instrumentType":null,"market":null,"maturityDate":null,"operativeType":null,"settlementType":"2","symbol":"HMC"}]</stp>
        <tr r="E253" s="101"/>
        <tr r="G253" s="101"/>
        <tr r="F253" s="101"/>
      </tp>
      <tp t="s">
        <v/>
        <stp/>
        <stp>[{"Symbol":"HMY","currency":null,"instrumentType":null,"market":null,"maturityDate":null,"operativeType":null,"settlementType":"2","symbol":"HMY"}]</stp>
        <tr r="G67" s="101"/>
        <tr r="F67" s="101"/>
        <tr r="E67" s="101"/>
      </tp>
      <tp t="s">
        <v/>
        <stp/>
        <stp>[{"Symbol":"HOG","currency":null,"instrumentType":null,"market":null,"maturityDate":null,"operativeType":null,"settlementType":"2","symbol":"HOG"}]</stp>
        <tr r="E300" s="101"/>
        <tr r="G300" s="101"/>
        <tr r="F300" s="101"/>
      </tp>
      <tp t="s">
        <v/>
        <stp/>
        <stp>[{"Symbol":"HON","currency":null,"instrumentType":null,"market":null,"maturityDate":null,"operativeType":null,"settlementType":"2","symbol":"HON"}]</stp>
        <tr r="E159" s="101"/>
        <tr r="F159" s="101"/>
        <tr r="G159" s="101"/>
      </tp>
      <tp t="s">
        <v/>
        <stp/>
        <stp>[{"Symbol":"HUT","currency":null,"instrumentType":null,"market":null,"maturityDate":null,"operativeType":null,"settlementType":"2","symbol":"HUT"}]</stp>
        <tr r="G31" s="101"/>
        <tr r="F31" s="101"/>
        <tr r="E31" s="101"/>
      </tp>
      <tp t="s">
        <v/>
        <stp/>
        <stp>[{"Symbol":"HWM","currency":null,"instrumentType":null,"market":null,"maturityDate":null,"operativeType":null,"settlementType":"2","symbol":"HWM"}]</stp>
        <tr r="G58" s="101"/>
        <tr r="F58" s="101"/>
        <tr r="E58" s="101"/>
      </tp>
      <tp t="s">
        <v/>
        <stp/>
        <stp>[{"Symbol":"HPQ","currency":null,"instrumentType":null,"market":null,"maturityDate":null,"operativeType":null,"settlementType":"2","symbol":"HPQ"}]</stp>
        <tr r="F200" s="101"/>
        <tr r="G200" s="101"/>
        <tr r="E200" s="101"/>
      </tp>
      <tp t="s">
        <v/>
        <stp/>
        <stp>[{"Symbol":"HSY","currency":null,"instrumentType":null,"market":null,"maturityDate":null,"operativeType":null,"settlementType":"2","symbol":"HSY"}]</stp>
        <tr r="E302" s="101"/>
        <tr r="F302" s="101"/>
        <tr r="G302" s="101"/>
      </tp>
    </main>
    <main first="rtdsrv.5889b103584c45589dc3f5e29ed9b264">
      <tp t="s">
        <v/>
        <stp/>
        <stp>[{"Symbol":"IEB","currency":null,"instrumentType":null,"market":null,"maturityDate":null,"operativeType":null,"settlementType":"2","symbol":"IEB"}]</stp>
        <tr r="K87" s="101"/>
        <tr r="M87" s="101"/>
        <tr r="L87" s="101"/>
      </tp>
      <tp t="s">
        <v/>
        <stp/>
        <stp>[{"Symbol":"IFF","currency":null,"instrumentType":null,"market":null,"maturityDate":null,"operativeType":null,"settlementType":"2","symbol":"IFF"}]</stp>
        <tr r="F289" s="101"/>
        <tr r="G289" s="101"/>
        <tr r="E289" s="101"/>
      </tp>
      <tp t="s">
        <v/>
        <stp/>
        <stp>[{"Symbol":"IBM","currency":null,"instrumentType":null,"market":null,"maturityDate":null,"operativeType":null,"settlementType":"2","symbol":"IBM"}]</stp>
        <tr r="F109" s="101"/>
        <tr r="G109" s="101"/>
        <tr r="E109" s="101"/>
      </tp>
      <tp t="s">
        <v/>
        <stp/>
        <stp>[{"Symbol":"IBN","currency":null,"instrumentType":null,"market":null,"maturityDate":null,"operativeType":null,"settlementType":"2","symbol":"IBN"}]</stp>
        <tr r="E313" s="101"/>
        <tr r="F313" s="101"/>
        <tr r="G313" s="101"/>
      </tp>
      <tp t="s">
        <v/>
        <stp/>
        <stp>[{"Symbol":"IBB","currency":null,"instrumentType":null,"market":null,"maturityDate":null,"operativeType":null,"settlementType":"2","symbol":"IBB"}]</stp>
        <tr r="G235" s="101"/>
        <tr r="E235" s="101"/>
        <tr r="F235" s="101"/>
      </tp>
      <tp t="s">
        <v/>
        <stp/>
        <stp>[{"Symbol":"ILF","currency":null,"instrumentType":null,"market":null,"maturityDate":null,"operativeType":null,"settlementType":"2","symbol":"ILF"}]</stp>
        <tr r="E110" s="101"/>
        <tr r="F110" s="101"/>
        <tr r="G110" s="101"/>
        <tr r="L10" s="101"/>
      </tp>
      <tp t="s">
        <v/>
        <stp/>
        <stp>[{"Symbol":"ING","currency":null,"instrumentType":null,"market":null,"maturityDate":null,"operativeType":null,"settlementType":"2","symbol":"ING"}]</stp>
        <tr r="E369" s="101"/>
        <tr r="G369" s="101"/>
        <tr r="F369" s="101"/>
      </tp>
      <tp t="s">
        <v/>
        <stp/>
        <stp>[{"Symbol":"IJH","currency":null,"instrumentType":null,"market":null,"maturityDate":null,"operativeType":null,"settlementType":"2","symbol":"IJH"}]</stp>
        <tr r="E326" s="101"/>
        <tr r="F326" s="101"/>
        <tr r="G326" s="101"/>
      </tp>
      <tp t="s">
        <v/>
        <stp/>
        <stp>[{"Symbol":"ITA","currency":null,"instrumentType":null,"market":null,"maturityDate":null,"operativeType":null,"settlementType":"2","symbol":"ITA"}]</stp>
        <tr r="G316" s="101"/>
        <tr r="F316" s="101"/>
        <tr r="E316" s="101"/>
      </tp>
      <tp t="s">
        <v/>
        <stp/>
        <stp>[{"Symbol":"IWM","currency":null,"instrumentType":null,"market":null,"maturityDate":null,"operativeType":null,"settlementType":"2","symbol":"IWM"}]</stp>
        <tr r="G118" s="101"/>
        <tr r="L20" s="101"/>
        <tr r="F118" s="101"/>
        <tr r="E118" s="101"/>
      </tp>
      <tp t="s">
        <v/>
        <stp/>
        <stp>[{"Symbol":"IVW","currency":null,"instrumentType":null,"market":null,"maturityDate":null,"operativeType":null,"settlementType":"2","symbol":"IVW"}]</stp>
        <tr r="F230" s="101"/>
        <tr r="G230" s="101"/>
        <tr r="E230" s="101"/>
      </tp>
      <tp t="s">
        <v/>
        <stp/>
        <stp>[{"Symbol":"IVV","currency":null,"instrumentType":null,"market":null,"maturityDate":null,"operativeType":null,"settlementType":"2","symbol":"IVV"}]</stp>
        <tr r="F231" s="101"/>
        <tr r="G231" s="101"/>
        <tr r="E231" s="101"/>
      </tp>
      <tp t="s">
        <v/>
        <stp/>
        <stp>[{"Symbol":"IVE","currency":null,"instrumentType":null,"market":null,"maturityDate":null,"operativeType":null,"settlementType":"2","symbol":"IVE"}]</stp>
        <tr r="G192" s="101"/>
        <tr r="E192" s="101"/>
        <tr r="F192" s="101"/>
      </tp>
    </main>
    <main first="rtdsrv.5889b103584c45589dc3f5e29ed9b264">
      <tp t="s">
        <v/>
        <stp/>
        <stp>[{"Symbol":"NGG","currency":null,"instrumentType":null,"market":null,"maturityDate":null,"operativeType":null,"settlementType":"2","symbol":"NGG"}]</stp>
        <tr r="G357" s="101"/>
        <tr r="M119" s="101"/>
        <tr r="L119" s="101"/>
        <tr r="E357" s="101"/>
        <tr r="F357" s="101"/>
        <tr r="K119" s="101"/>
      </tp>
      <tp t="s">
        <v/>
        <stp/>
        <stp>[{"Symbol":"NEM","currency":null,"instrumentType":null,"market":null,"maturityDate":null,"operativeType":null,"settlementType":"2","symbol":"NEM"}]</stp>
        <tr r="G171" s="101"/>
        <tr r="F171" s="101"/>
        <tr r="E171" s="101"/>
      </tp>
      <tp t="s">
        <v/>
        <stp/>
        <stp>[{"Symbol":"NKE","currency":null,"instrumentType":null,"market":null,"maturityDate":null,"operativeType":null,"settlementType":"2","symbol":"NKE"}]</stp>
        <tr r="K118" s="101"/>
        <tr r="M118" s="101"/>
        <tr r="G153" s="101"/>
        <tr r="F153" s="101"/>
        <tr r="E153" s="101"/>
        <tr r="L118" s="101"/>
      </tp>
      <tp t="s">
        <v/>
        <stp/>
        <stp>[{"Symbol":"NIO","currency":null,"instrumentType":null,"market":null,"maturityDate":null,"operativeType":null,"settlementType":"2","symbol":"NIO"}]</stp>
        <tr r="F83" s="101"/>
        <tr r="E83" s="101"/>
        <tr r="G83" s="101"/>
      </tp>
      <tp t="s">
        <v/>
        <stp/>
        <stp>[{"Symbol":"NOW","currency":null,"instrumentType":null,"market":null,"maturityDate":null,"operativeType":null,"settlementType":"2","symbol":"NOW"}]</stp>
        <tr r="E250" s="101"/>
        <tr r="F250" s="101"/>
        <tr r="G250" s="101"/>
      </tp>
      <tp t="s">
        <v/>
        <stp/>
        <stp>[{"Symbol":"NLM","currency":null,"instrumentType":null,"market":null,"maturityDate":null,"operativeType":null,"settlementType":"2","symbol":"NLM"}]</stp>
        <tr r="G412" s="101"/>
        <tr r="E412" s="101"/>
        <tr r="F412" s="101"/>
      </tp>
      <tp t="s">
        <v/>
        <stp/>
        <stp>[{"Symbol":"NMR","currency":null,"instrumentType":null,"market":null,"maturityDate":null,"operativeType":null,"settlementType":"2","symbol":"NMR"}]</stp>
        <tr r="G349" s="101"/>
        <tr r="F349" s="101"/>
        <tr r="E349" s="101"/>
      </tp>
      <tp t="s">
        <v/>
        <stp/>
        <stp>[{"Symbol":"NVS","currency":null,"instrumentType":null,"market":null,"maturityDate":null,"operativeType":null,"settlementType":"2","symbol":"NVS"}]</stp>
        <tr r="G359" s="101"/>
        <tr r="K116" s="101"/>
        <tr r="F359" s="101"/>
        <tr r="M116" s="101"/>
        <tr r="E359" s="101"/>
        <tr r="L116" s="101"/>
      </tp>
      <tp t="s">
        <v/>
        <stp/>
        <stp>[{"Symbol":"NUE","currency":null,"instrumentType":null,"market":null,"maturityDate":null,"operativeType":null,"settlementType":"2","symbol":"NUE"}]</stp>
        <tr r="F347" s="101"/>
        <tr r="G347" s="101"/>
        <tr r="E347" s="101"/>
      </tp>
      <tp t="s">
        <v/>
        <stp/>
        <stp>[{"Symbol":"NXE","currency":null,"instrumentType":null,"market":null,"maturityDate":null,"operativeType":null,"settlementType":"2","symbol":"NXE"}]</stp>
        <tr r="F233" s="101"/>
        <tr r="E233" s="101"/>
        <tr r="G233" s="101"/>
      </tp>
      <tp t="s">
        <v/>
        <stp/>
        <stp>[{"Symbol":"MGLU3","currency":null,"instrumentType":null,"market":null,"maturityDate":null,"operativeType":null,"settlementType":"2","symbol":"MGLU3"}]</stp>
        <tr r="G305" s="101"/>
        <tr r="F305" s="101"/>
        <tr r="E305" s="101"/>
      </tp>
    </main>
    <main first="rtdsrv.5889b103584c45589dc3f5e29ed9b264">
      <tp t="s">
        <v/>
        <stp/>
        <stp>[{"Symbol":"OXY","currency":null,"instrumentType":null,"market":null,"maturityDate":null,"operativeType":null,"settlementType":"2","symbol":"OXY"}]</stp>
        <tr r="E173" s="101"/>
        <tr r="G173" s="101"/>
        <tr r="F173" s="101"/>
      </tp>
    </main>
    <main first="rtdsrv.5889b103584c45589dc3f5e29ed9b264">
      <tp t="s">
        <v/>
        <stp/>
        <stp>[{"Symbol":"LAC","currency":null,"instrumentType":null,"market":null,"maturityDate":null,"operativeType":null,"settlementType":"2","symbol":"LAC"}]</stp>
        <tr r="E86" s="101"/>
        <tr r="G86" s="101"/>
        <tr r="F86" s="101"/>
      </tp>
      <tp t="s">
        <v/>
        <stp/>
        <stp>[{"Symbol":"LAR","currency":null,"instrumentType":null,"market":null,"maturityDate":null,"operativeType":null,"settlementType":"2","symbol":"LAR"}]</stp>
        <tr r="G79" s="101"/>
        <tr r="E79" s="101"/>
        <tr r="F79" s="101"/>
      </tp>
      <tp t="s">
        <v/>
        <stp/>
        <stp>[{"Symbol":"LFC","currency":null,"instrumentType":null,"market":null,"maturityDate":null,"operativeType":null,"settlementType":"2","symbol":"LFC"}]</stp>
        <tr r="F393" s="101"/>
        <tr r="E393" s="101"/>
        <tr r="G393" s="101"/>
      </tp>
      <tp t="s">
        <v/>
        <stp/>
        <stp>[{"Symbol":"LLY","currency":null,"instrumentType":null,"market":null,"maturityDate":null,"operativeType":null,"settlementType":"2","symbol":"LLY"}]</stp>
        <tr r="G160" s="101"/>
        <tr r="F160" s="101"/>
        <tr r="E160" s="101"/>
      </tp>
      <tp t="s">
        <v/>
        <stp/>
        <stp>[{"Symbol":"LMT","currency":null,"instrumentType":null,"market":null,"maturityDate":null,"operativeType":null,"settlementType":"2","symbol":"LMT"}]</stp>
        <tr r="F167" s="101"/>
        <tr r="E167" s="101"/>
        <tr r="G167" s="101"/>
      </tp>
      <tp t="s">
        <v/>
        <stp/>
        <stp>[{"Symbol":"LND","currency":null,"instrumentType":null,"market":null,"maturityDate":null,"operativeType":null,"settlementType":"2","symbol":"LND"}]</stp>
        <tr r="G335" s="101"/>
        <tr r="E335" s="101"/>
        <tr r="F335" s="101"/>
      </tp>
      <tp t="s">
        <v/>
        <stp/>
        <stp>[{"Symbol":"LVS","currency":null,"instrumentType":null,"market":null,"maturityDate":null,"operativeType":null,"settlementType":"2","symbol":"LVS"}]</stp>
        <tr r="E310" s="101"/>
        <tr r="G310" s="101"/>
        <tr r="F310" s="101"/>
      </tp>
      <tp t="s">
        <v/>
        <stp/>
        <stp>[{"Symbol":"LYG","currency":null,"instrumentType":null,"market":null,"maturityDate":null,"operativeType":null,"settlementType":"2","symbol":"LYG"}]</stp>
        <tr r="E299" s="101"/>
        <tr r="M124" s="101"/>
        <tr r="G299" s="101"/>
        <tr r="F299" s="101"/>
        <tr r="L124" s="101"/>
        <tr r="K124" s="101"/>
      </tp>
    </main>
    <main first="rtdsrv.5889b103584c45589dc3f5e29ed9b264">
      <tp t="s">
        <v/>
        <stp/>
        <stp>[{"Symbol":"MCD","currency":null,"instrumentType":null,"market":null,"maturityDate":null,"operativeType":null,"settlementType":"2","symbol":"MCD"}]</stp>
        <tr r="F99" s="101"/>
        <tr r="E99" s="101"/>
        <tr r="G99" s="101"/>
      </tp>
      <tp t="s">
        <v/>
        <stp/>
        <stp>[{"Symbol":"MBG","currency":null,"instrumentType":null,"market":null,"maturityDate":null,"operativeType":null,"settlementType":"2","symbol":"MBG"}]</stp>
        <tr r="F406" s="101"/>
        <tr r="G406" s="101"/>
        <tr r="E406" s="101"/>
      </tp>
      <tp t="s">
        <v/>
        <stp/>
        <stp>[{"Symbol":"MBT","currency":null,"instrumentType":null,"market":null,"maturityDate":null,"operativeType":null,"settlementType":"2","symbol":"MBT"}]</stp>
        <tr r="F407" s="101"/>
        <tr r="E407" s="101"/>
        <tr r="G407" s="101"/>
      </tp>
      <tp t="s">
        <v/>
        <stp/>
        <stp>[{"Symbol":"MDT","currency":null,"instrumentType":null,"market":null,"maturityDate":null,"operativeType":null,"settlementType":"2","symbol":"MDT"}]</stp>
        <tr r="G290" s="101"/>
        <tr r="E290" s="101"/>
        <tr r="F290" s="101"/>
      </tp>
      <tp t="s">
        <v/>
        <stp/>
        <stp>[{"Symbol":"MFG","currency":null,"instrumentType":null,"market":null,"maturityDate":null,"operativeType":null,"settlementType":"2","symbol":"MFG"}]</stp>
        <tr r="G323" s="101"/>
        <tr r="E323" s="101"/>
        <tr r="F323" s="101"/>
      </tp>
      <tp t="s">
        <v/>
        <stp/>
        <stp>[{"Symbol":"MMC","currency":null,"instrumentType":null,"market":null,"maturityDate":null,"operativeType":null,"settlementType":"2","symbol":"MMC"}]</stp>
        <tr r="E405" s="101"/>
        <tr r="F405" s="101"/>
        <tr r="G405" s="101"/>
      </tp>
      <tp t="s">
        <v/>
        <stp/>
        <stp>[{"Symbol":"MMM","currency":null,"instrumentType":null,"market":null,"maturityDate":null,"operativeType":null,"settlementType":"2","symbol":"MMM"}]</stp>
        <tr r="E249" s="101"/>
        <tr r="F249" s="101"/>
        <tr r="G249" s="101"/>
      </tp>
      <tp t="s">
        <v/>
        <stp/>
        <stp>[{"Symbol":"MOS","currency":null,"instrumentType":null,"market":null,"maturityDate":null,"operativeType":null,"settlementType":"2","symbol":"MOS"}]</stp>
        <tr r="G262" s="101"/>
        <tr r="F262" s="101"/>
        <tr r="E262" s="101"/>
      </tp>
      <tp t="s">
        <v/>
        <stp/>
        <stp>[{"Symbol":"MSI","currency":null,"instrumentType":null,"market":null,"maturityDate":null,"operativeType":null,"settlementType":"2","symbol":"MSI"}]</stp>
        <tr r="F115" s="101"/>
        <tr r="G115" s="101"/>
        <tr r="E115" s="101"/>
      </tp>
      <tp t="s">
        <v/>
        <stp/>
        <stp>[{"Symbol":"MRK","currency":null,"instrumentType":null,"market":null,"maturityDate":null,"operativeType":null,"settlementType":"2","symbol":"MRK"}]</stp>
        <tr r="K109" s="101"/>
        <tr r="G190" s="101"/>
        <tr r="M109" s="101"/>
        <tr r="E190" s="101"/>
        <tr r="L109" s="101"/>
        <tr r="F190" s="101"/>
      </tp>
      <tp t="s">
        <v/>
        <stp/>
        <stp>[{"Symbol":"MUX","currency":null,"instrumentType":null,"market":null,"maturityDate":null,"operativeType":null,"settlementType":"2","symbol":"MUX"}]</stp>
        <tr r="G223" s="101"/>
        <tr r="F223" s="101"/>
        <tr r="E223" s="101"/>
      </tp>
      <tp t="s">
        <v/>
        <stp/>
        <stp>[{"Symbol":"HAPV3","currency":null,"instrumentType":null,"market":null,"maturityDate":null,"operativeType":null,"settlementType":"2","symbol":"HAPV3"}]</stp>
        <tr r="G132" s="101"/>
        <tr r="F132" s="101"/>
        <tr r="E132" s="101"/>
      </tp>
    </main>
    <main first="rtdsrv.5889b103584c45589dc3f5e29ed9b264">
      <tp t="s">
        <v/>
        <stp/>
        <stp>[{"Symbol":"BNG","currency":null,"instrumentType":null,"market":null,"maturityDate":null,"operativeType":null,"settlementType":"2","symbol":"BNG"}]</stp>
        <tr r="G288" s="101"/>
        <tr r="F288" s="101"/>
        <tr r="E288" s="101"/>
      </tp>
      <tp t="s">
        <v/>
        <stp/>
        <stp>[{"Symbol":"BMA","currency":null,"instrumentType":null,"market":null,"maturityDate":null,"operativeType":null,"settlementType":"2","symbol":"BMA"}]</stp>
        <tr r="K38" s="101"/>
        <tr r="L38" s="101"/>
        <tr r="M38" s="101"/>
      </tp>
      <tp t="s">
        <v/>
        <stp/>
        <stp>[{"Symbol":"BMY","currency":null,"instrumentType":null,"market":null,"maturityDate":null,"operativeType":null,"settlementType":"2","symbol":"BMY"}]</stp>
        <tr r="F258" s="101"/>
        <tr r="G258" s="101"/>
        <tr r="E258" s="101"/>
      </tp>
      <tp t="s">
        <v/>
        <stp/>
        <stp>[{"Symbol":"BKR","currency":null,"instrumentType":null,"market":null,"maturityDate":null,"operativeType":null,"settlementType":"2","symbol":"BKR"}]</stp>
        <tr r="F373" s="101"/>
        <tr r="G373" s="101"/>
        <tr r="E373" s="101"/>
      </tp>
      <tp t="s">
        <v/>
        <stp/>
        <stp>[{"Symbol":"BHP","currency":null,"instrumentType":null,"market":null,"maturityDate":null,"operativeType":null,"settlementType":"2","symbol":"BHP"}]</stp>
        <tr r="E240" s="101"/>
        <tr r="G240" s="101"/>
        <tr r="F240" s="101"/>
      </tp>
      <tp t="s">
        <v/>
        <stp/>
        <stp>[{"Symbol":"BBD","currency":null,"instrumentType":null,"market":null,"maturityDate":null,"operativeType":null,"settlementType":"2","symbol":"BBD"}]</stp>
        <tr r="G88" s="101"/>
        <tr r="F88" s="101"/>
        <tr r="E88" s="101"/>
      </tp>
      <tp t="s">
        <v/>
        <stp/>
        <stp>[{"Symbol":"BBV","currency":null,"instrumentType":null,"market":null,"maturityDate":null,"operativeType":null,"settlementType":"2","symbol":"BBV"}]</stp>
        <tr r="E283" s="101"/>
        <tr r="G283" s="101"/>
        <tr r="F283" s="101"/>
      </tp>
      <tp t="s">
        <v/>
        <stp/>
        <stp>[{"Symbol":"BCS","currency":null,"instrumentType":null,"market":null,"maturityDate":null,"operativeType":null,"settlementType":"2","symbol":"BCS"}]</stp>
        <tr r="G280" s="101"/>
        <tr r="F280" s="101"/>
        <tr r="E280" s="101"/>
      </tp>
      <tp t="s">
        <v/>
        <stp/>
        <stp>[{"Symbol":"BAK","currency":null,"instrumentType":null,"market":null,"maturityDate":null,"operativeType":null,"settlementType":"2","symbol":"BAK"}]</stp>
        <tr r="G100" s="101"/>
        <tr r="F100" s="101"/>
        <tr r="E100" s="101"/>
      </tp>
      <tp t="s">
        <v/>
        <stp/>
        <stp>[{"Symbol":"BAS","currency":null,"instrumentType":null,"market":null,"maturityDate":null,"operativeType":null,"settlementType":"2","symbol":"BAS"}]</stp>
        <tr r="F387" s="101"/>
        <tr r="E387" s="101"/>
        <tr r="G387" s="101"/>
      </tp>
      <tp t="s">
        <v/>
        <stp/>
        <stp>[{"Symbol":"BSN","currency":null,"instrumentType":null,"market":null,"maturityDate":null,"operativeType":null,"settlementType":"2","symbol":"BSN"}]</stp>
        <tr r="E398" s="101"/>
        <tr r="F398" s="101"/>
        <tr r="G398" s="101"/>
      </tp>
      <tp t="s">
        <v/>
        <stp/>
        <stp>[{"Symbol":"SUZB3","currency":null,"instrumentType":null,"market":null,"maturityDate":null,"operativeType":null,"settlementType":"2","symbol":"SUZB3"}]</stp>
        <tr r="E363" s="101"/>
        <tr r="G363" s="101"/>
        <tr r="F363" s="101"/>
      </tp>
    </main>
    <main first="rtdsrv.5889b103584c45589dc3f5e29ed9b264">
      <tp t="s">
        <v/>
        <stp/>
        <stp>[{"Symbol":"CLS","currency":null,"instrumentType":null,"market":null,"maturityDate":null,"operativeType":null,"settlementType":"2","symbol":"CLS"}]</stp>
        <tr r="F196" s="101"/>
        <tr r="E196" s="101"/>
        <tr r="G196" s="101"/>
      </tp>
      <tp t="s">
        <v/>
        <stp/>
        <stp>[{"Symbol":"CEG","currency":null,"instrumentType":null,"market":null,"maturityDate":null,"operativeType":null,"settlementType":"2","symbol":"CEG"}]</stp>
        <tr r="F156" s="101"/>
        <tr r="E156" s="101"/>
        <tr r="G156" s="101"/>
      </tp>
      <tp t="s">
        <v/>
        <stp/>
        <stp>[{"Symbol":"CDE","currency":null,"instrumentType":null,"market":null,"maturityDate":null,"operativeType":null,"settlementType":"2","symbol":"CDE"}]</stp>
        <tr r="F106" s="101"/>
        <tr r="G106" s="101"/>
        <tr r="E106" s="101"/>
      </tp>
      <tp t="s">
        <v/>
        <stp/>
        <stp>[{"Symbol":"CCL","currency":null,"instrumentType":null,"market":null,"maturityDate":null,"operativeType":null,"settlementType":"2","symbol":"CCL"}]</stp>
        <tr r="F345" s="101"/>
        <tr r="G345" s="101"/>
        <tr r="E345" s="101"/>
      </tp>
      <tp t="s">
        <v/>
        <stp/>
        <stp>[{"Symbol":"CAJ","currency":null,"instrumentType":null,"market":null,"maturityDate":null,"operativeType":null,"settlementType":"2","symbol":"CAJ"}]</stp>
        <tr r="G390" s="101"/>
        <tr r="E390" s="101"/>
        <tr r="F390" s="101"/>
      </tp>
      <tp t="s">
        <v/>
        <stp/>
        <stp>[{"Symbol":"CAH","currency":null,"instrumentType":null,"market":null,"maturityDate":null,"operativeType":null,"settlementType":"2","symbol":"CAH"}]</stp>
        <tr r="F321" s="101"/>
        <tr r="K113" s="101"/>
        <tr r="E321" s="101"/>
        <tr r="G321" s="101"/>
        <tr r="L113" s="101"/>
        <tr r="M113" s="101"/>
      </tp>
      <tp t="s">
        <v/>
        <stp/>
        <stp>[{"Symbol":"CAT","currency":null,"instrumentType":null,"market":null,"maturityDate":null,"operativeType":null,"settlementType":"2","symbol":"CAT"}]</stp>
        <tr r="G134" s="101"/>
        <tr r="F134" s="101"/>
        <tr r="E134" s="101"/>
      </tp>
      <tp t="s">
        <v/>
        <stp/>
        <stp>[{"Symbol":"CAR","currency":null,"instrumentType":null,"market":null,"maturityDate":null,"operativeType":null,"settlementType":"2","symbol":"CAR"}]</stp>
        <tr r="G358" s="101"/>
        <tr r="F358" s="101"/>
        <tr r="E358" s="101"/>
      </tp>
      <tp t="s">
        <v/>
        <stp/>
        <stp>[{"Symbol":"CVX","currency":null,"instrumentType":null,"market":null,"maturityDate":null,"operativeType":null,"settlementType":"2","symbol":"CVX"}]</stp>
        <tr r="E113" s="101"/>
        <tr r="F113" s="101"/>
        <tr r="G113" s="101"/>
      </tp>
      <tp t="s">
        <v/>
        <stp/>
        <stp>[{"Symbol":"CVS","currency":null,"instrumentType":null,"market":null,"maturityDate":null,"operativeType":null,"settlementType":"2","symbol":"CVS"}]</stp>
        <tr r="E261" s="101"/>
        <tr r="F261" s="101"/>
        <tr r="G261" s="101"/>
      </tp>
      <tp t="s">
        <v/>
        <stp/>
        <stp>[{"Symbol":"CRM","currency":null,"instrumentType":null,"market":null,"maturityDate":null,"operativeType":null,"settlementType":"2","symbol":"CRM"}]</stp>
        <tr r="F148" s="101"/>
        <tr r="E148" s="101"/>
        <tr r="G148" s="101"/>
      </tp>
      <tp t="s">
        <v/>
        <stp/>
        <stp>[{"Symbol":"CECO2","currency":null,"instrumentType":null,"market":null,"maturityDate":null,"operativeType":null,"settlementType":"2","symbol":"CECO2"}]</stp>
        <tr r="K84" s="101"/>
        <tr r="M84" s="101"/>
        <tr r="L84" s="101"/>
      </tp>
    </main>
    <main first="rtdsrv.5889b103584c45589dc3f5e29ed9b264">
      <tp t="s">
        <v/>
        <stp/>
        <stp>[{"Symbol":"AMD","currency":null,"instrumentType":null,"market":null,"maturityDate":null,"operativeType":null,"settlementType":"2","symbol":"AMD"}]</stp>
        <tr r="F33" s="101"/>
        <tr r="G33" s="101"/>
        <tr r="E33" s="101"/>
      </tp>
      <tp t="s">
        <v/>
        <stp/>
        <stp>[{"Symbol":"AMX","currency":null,"instrumentType":null,"market":null,"maturityDate":null,"operativeType":null,"settlementType":"2","symbol":"AMX"}]</stp>
        <tr r="F245" s="101"/>
        <tr r="E245" s="101"/>
        <tr r="G245" s="101"/>
      </tp>
      <tp t="s">
        <v/>
        <stp/>
        <stp>[{"Symbol":"ANF","currency":null,"instrumentType":null,"market":null,"maturityDate":null,"operativeType":null,"settlementType":"2","symbol":"ANF"}]</stp>
        <tr r="F43" s="101"/>
        <tr r="E43" s="101"/>
        <tr r="G43" s="101"/>
      </tp>
      <tp t="s">
        <v/>
        <stp/>
        <stp>[{"Symbol":"AIG","currency":null,"instrumentType":null,"market":null,"maturityDate":null,"operativeType":null,"settlementType":"2","symbol":"AIG"}]</stp>
        <tr r="F291" s="101"/>
        <tr r="G291" s="101"/>
        <tr r="E291" s="101"/>
      </tp>
      <tp t="s">
        <v/>
        <stp/>
        <stp>[{"Symbol":"AEM","currency":null,"instrumentType":null,"market":null,"maturityDate":null,"operativeType":null,"settlementType":"2","symbol":"AEM"}]</stp>
        <tr r="F194" s="101"/>
        <tr r="G194" s="101"/>
        <tr r="E194" s="101"/>
      </tp>
      <tp t="s">
        <v/>
        <stp/>
        <stp>[{"Symbol":"AEG","currency":null,"instrumentType":null,"market":null,"maturityDate":null,"operativeType":null,"settlementType":"2","symbol":"AEG"}]</stp>
        <tr r="E278" s="101"/>
        <tr r="F278" s="101"/>
        <tr r="G278" s="101"/>
      </tp>
      <tp t="s">
        <v/>
        <stp/>
        <stp>[{"Symbol":"ADI","currency":null,"instrumentType":null,"market":null,"maturityDate":null,"operativeType":null,"settlementType":"2","symbol":"ADI"}]</stp>
        <tr r="G295" s="101"/>
        <tr r="E295" s="101"/>
        <tr r="F295" s="101"/>
      </tp>
      <tp t="s">
        <v/>
        <stp/>
        <stp>[{"Symbol":"ADS","currency":null,"instrumentType":null,"market":null,"maturityDate":null,"operativeType":null,"settlementType":"2","symbol":"ADS"}]</stp>
        <tr r="E384" s="101"/>
        <tr r="F384" s="101"/>
        <tr r="G384" s="101"/>
      </tp>
      <tp t="s">
        <v/>
        <stp/>
        <stp>[{"Symbol":"ADP","currency":null,"instrumentType":null,"market":null,"maturityDate":null,"operativeType":null,"settlementType":"2","symbol":"ADP"}]</stp>
        <tr r="E216" s="101"/>
        <tr r="G216" s="101"/>
        <tr r="K131" s="101"/>
        <tr r="M131" s="101"/>
        <tr r="F216" s="101"/>
        <tr r="L131" s="101"/>
      </tp>
      <tp t="s">
        <v/>
        <stp/>
        <stp>[{"Symbol":"AAL","currency":null,"instrumentType":null,"market":null,"maturityDate":null,"operativeType":null,"settlementType":"2","symbol":"AAL"}]</stp>
        <tr r="G162" s="101"/>
        <tr r="E162" s="101"/>
        <tr r="F162" s="101"/>
      </tp>
      <tp t="s">
        <v/>
        <stp/>
        <stp>[{"Symbol":"AAP","currency":null,"instrumentType":null,"market":null,"maturityDate":null,"operativeType":null,"settlementType":"2","symbol":"AAP"}]</stp>
        <tr r="E227" s="101"/>
        <tr r="F227" s="101"/>
        <tr r="G227" s="101"/>
      </tp>
      <tp t="s">
        <v/>
        <stp/>
        <stp>[{"Symbol":"ACN","currency":null,"instrumentType":null,"market":null,"maturityDate":null,"operativeType":null,"settlementType":"2","symbol":"ACN"}]</stp>
        <tr r="G226" s="101"/>
        <tr r="E226" s="101"/>
        <tr r="F226" s="101"/>
      </tp>
      <tp t="s">
        <v/>
        <stp/>
        <stp>[{"Symbol":"ABT","currency":null,"instrumentType":null,"market":null,"maturityDate":null,"operativeType":null,"settlementType":"2","symbol":"ABT"}]</stp>
        <tr r="G213" s="101"/>
        <tr r="F213" s="101"/>
        <tr r="E213" s="101"/>
      </tp>
      <tp t="s">
        <v/>
        <stp/>
        <stp>[{"Symbol":"AXP","currency":null,"instrumentType":null,"market":null,"maturityDate":null,"operativeType":null,"settlementType":"2","symbol":"AXP"}]</stp>
        <tr r="F251" s="101"/>
        <tr r="E251" s="101"/>
        <tr r="G251" s="101"/>
      </tp>
      <tp t="s">
        <v/>
        <stp/>
        <stp>[{"Symbol":"AZN","currency":null,"instrumentType":null,"market":null,"maturityDate":null,"operativeType":null,"settlementType":"2","symbol":"AZN"}]</stp>
        <tr r="F314" s="101"/>
        <tr r="G314" s="101"/>
        <tr r="E314" s="101"/>
      </tp>
      <tp t="s">
        <v/>
        <stp/>
        <stp>[{"Symbol":"AVY","currency":null,"instrumentType":null,"market":null,"maturityDate":null,"operativeType":null,"settlementType":"2","symbol":"AVY"}]</stp>
        <tr r="G430" s="101"/>
        <tr r="E430" s="101"/>
        <tr r="F430" s="101"/>
      </tp>
      <tp t="s">
        <v/>
        <stp/>
        <stp>[{"Symbol":"ASR","currency":null,"instrumentType":null,"market":null,"maturityDate":null,"operativeType":null,"settlementType":"2","symbol":"ASR"}]</stp>
        <tr r="E377" s="101"/>
        <tr r="F377" s="101"/>
        <tr r="G377" s="101"/>
      </tp>
      <tp t="s">
        <v/>
        <stp/>
        <stp>[{"Symbol":"ARM","currency":null,"instrumentType":null,"market":null,"maturityDate":null,"operativeType":null,"settlementType":"2","symbol":"ARM"}]</stp>
        <tr r="G270" s="101"/>
        <tr r="F270" s="101"/>
        <tr r="E270" s="101"/>
      </tp>
      <tp t="s">
        <v/>
        <stp/>
        <stp>[{"Symbol":"CGPA2","currency":null,"instrumentType":null,"market":null,"maturityDate":null,"operativeType":null,"settlementType":"2","symbol":"CGPA2"}]</stp>
        <tr r="L85" s="101"/>
        <tr r="M85" s="101"/>
        <tr r="K85" s="101"/>
      </tp>
    </main>
    <main first="rtdsrv.5889b103584c45589dc3f5e29ed9b264">
      <tp t="s">
        <v/>
        <stp/>
        <stp>[{"Symbol":"FMX","currency":null,"instrumentType":null,"market":null,"maturityDate":null,"operativeType":null,"settlementType":"2","symbol":"FMX"}]</stp>
        <tr r="F320" s="101"/>
        <tr r="E320" s="101"/>
        <tr r="G320" s="101"/>
      </tp>
      <tp t="s">
        <v/>
        <stp/>
        <stp>[{"Symbol":"FCX","currency":null,"instrumentType":null,"market":null,"maturityDate":null,"operativeType":null,"settlementType":"2","symbol":"FCX"}]</stp>
        <tr r="F111" s="101"/>
        <tr r="E111" s="101"/>
        <tr r="G111" s="101"/>
      </tp>
      <tp t="s">
        <v/>
        <stp/>
        <stp>[{"Symbol":"FDX","currency":null,"instrumentType":null,"market":null,"maturityDate":null,"operativeType":null,"settlementType":"2","symbol":"FDX"}]</stp>
        <tr r="F256" s="101"/>
        <tr r="E256" s="101"/>
        <tr r="G256" s="101"/>
      </tp>
      <tp t="s">
        <v/>
        <stp/>
        <stp>[{"Symbol":"FXI","currency":null,"instrumentType":null,"market":null,"maturityDate":null,"operativeType":null,"settlementType":"2","symbol":"FXI"}]</stp>
        <tr r="G105" s="101"/>
        <tr r="F105" s="101"/>
        <tr r="E105" s="101"/>
      </tp>
      <tp t="s">
        <v/>
        <stp/>
        <stp>[{"Symbol":"DGCU2","currency":null,"instrumentType":null,"market":null,"maturityDate":null,"operativeType":null,"settlementType":"2","symbol":"DGCU2"}]</stp>
        <tr r="M88" s="101"/>
        <tr r="K88" s="101"/>
        <tr r="L88" s="101"/>
      </tp>
      <tp t="s">
        <v/>
        <stp/>
        <stp>[{"Symbol":"PRIO3","currency":null,"instrumentType":null,"market":null,"maturityDate":null,"operativeType":null,"settlementType":"2","symbol":"PRIO3"}]</stp>
        <tr r="F340" s="101"/>
        <tr r="E340" s="101"/>
        <tr r="G340" s="101"/>
      </tp>
    </main>
    <main first="rtdsrv.5889b103584c45589dc3f5e29ed9b264">
      <tp t="s">
        <v/>
        <stp/>
        <stp>[{"Symbol":"GLD","currency":null,"instrumentType":null,"market":null,"maturityDate":null,"operativeType":null,"settlementType":"2","symbol":"GLD"}]</stp>
        <tr r="G60" s="101"/>
        <tr r="F60" s="101"/>
        <tr r="L19" s="101"/>
        <tr r="E60" s="101"/>
      </tp>
      <tp t="s">
        <v/>
        <stp/>
        <stp>[{"Symbol":"GLW","currency":null,"instrumentType":null,"market":null,"maturityDate":null,"operativeType":null,"settlementType":"2","symbol":"GLW"}]</stp>
        <tr r="F281" s="101"/>
        <tr r="G281" s="101"/>
        <tr r="E281" s="101"/>
      </tp>
      <tp t="s">
        <v/>
        <stp/>
        <stp>[{"Symbol":"GGB","currency":null,"instrumentType":null,"market":null,"maturityDate":null,"operativeType":null,"settlementType":"2","symbol":"GGB"}]</stp>
        <tr r="E298" s="101"/>
        <tr r="G298" s="101"/>
        <tr r="F298" s="101"/>
      </tp>
      <tp t="s">
        <v/>
        <stp/>
        <stp>[{"Symbol":"GFI","currency":null,"instrumentType":null,"market":null,"maturityDate":null,"operativeType":null,"settlementType":"2","symbol":"GFI"}]</stp>
        <tr r="E78" s="101"/>
        <tr r="F78" s="101"/>
        <tr r="G78" s="101"/>
      </tp>
      <tp t="s">
        <v/>
        <stp/>
        <stp>[{"Symbol":"GDX","currency":null,"instrumentType":null,"market":null,"maturityDate":null,"operativeType":null,"settlementType":"2","symbol":"GDX"}]</stp>
        <tr r="E142" s="101"/>
        <tr r="G142" s="101"/>
        <tr r="F142" s="101"/>
      </tp>
      <tp t="s">
        <v/>
        <stp/>
        <stp>[{"Symbol":"GSK","currency":null,"instrumentType":null,"market":null,"maturityDate":null,"operativeType":null,"settlementType":"2","symbol":"GSK"}]</stp>
        <tr r="G279" s="101"/>
        <tr r="F279" s="101"/>
        <tr r="E279" s="101"/>
      </tp>
      <tp t="s">
        <v/>
        <stp/>
        <stp>[{"Symbol":"ABEV3","currency":null,"instrumentType":null,"market":null,"maturityDate":null,"operativeType":null,"settlementType":"2","symbol":"ABEV3"}]</stp>
        <tr r="E277" s="101"/>
        <tr r="G277" s="101"/>
        <tr r="F277" s="101"/>
      </tp>
    </main>
    <main first="rtdsrv.5889b103584c45589dc3f5e29ed9b264">
      <tp t="s">
        <v/>
        <stp/>
        <stp>[{"Symbol":"DHR","currency":null,"instrumentType":null,"market":null,"maturityDate":null,"operativeType":null,"settlementType":"2","symbol":"DHR"}]</stp>
        <tr r="F294" s="101"/>
        <tr r="E294" s="101"/>
        <tr r="G294" s="101"/>
      </tp>
      <tp t="s">
        <v/>
        <stp/>
        <stp>[{"Symbol":"DIA","currency":null,"instrumentType":null,"market":null,"maturityDate":null,"operativeType":null,"settlementType":"2","symbol":"DIA"}]</stp>
        <tr r="E116" s="101"/>
        <tr r="L9" s="101"/>
        <tr r="F116" s="101"/>
        <tr r="G116" s="101"/>
      </tp>
      <tp t="s">
        <v/>
        <stp/>
        <stp>[{"Symbol":"DOW","currency":null,"instrumentType":null,"market":null,"maturityDate":null,"operativeType":null,"settlementType":"2","symbol":"DOW"}]</stp>
        <tr r="E129" s="101"/>
        <tr r="F129" s="101"/>
        <tr r="G129" s="101"/>
      </tp>
      <tp t="s">
        <v/>
        <stp/>
        <stp>[{"Symbol":"DAL","currency":null,"instrumentType":null,"market":null,"maturityDate":null,"operativeType":null,"settlementType":"2","symbol":"DAL"}]</stp>
        <tr r="F232" s="101"/>
        <tr r="G232" s="101"/>
        <tr r="E232" s="101"/>
      </tp>
      <tp t="s">
        <v/>
        <stp/>
        <stp>[{"Symbol":"DEO","currency":null,"instrumentType":null,"market":null,"maturityDate":null,"operativeType":null,"settlementType":"2","symbol":"DEO"}]</stp>
        <tr r="E259" s="101"/>
        <tr r="G259" s="101"/>
        <tr r="F259" s="101"/>
      </tp>
      <tp t="s">
        <v/>
        <stp/>
        <stp>[{"Symbol":"BBAS3","currency":null,"instrumentType":null,"market":null,"maturityDate":null,"operativeType":null,"settlementType":"2","symbol":"BBAS3"}]</stp>
        <tr r="F189" s="101"/>
        <tr r="G189" s="101"/>
        <tr r="E189" s="101"/>
      </tp>
      <tp t="s">
        <v/>
        <stp/>
        <stp>[{"Symbol":"BBDC3","currency":null,"instrumentType":null,"market":null,"maturityDate":null,"operativeType":null,"settlementType":"2","symbol":"BBDC3"}]</stp>
        <tr r="F367" s="101"/>
        <tr r="E367" s="101"/>
        <tr r="G367" s="101"/>
      </tp>
    </main>
    <main first="rtdsrv.5889b103584c45589dc3f5e29ed9b264">
      <tp t="s">
        <v/>
        <stp/>
        <stp>[{"Symbol":"ELP","currency":null,"instrumentType":null,"market":null,"maturityDate":null,"operativeType":null,"settlementType":"2","symbol":"ELP"}]</stp>
        <tr r="E396" s="101"/>
        <tr r="F396" s="101"/>
        <tr r="G396" s="101"/>
      </tp>
      <tp t="s">
        <v/>
        <stp/>
        <stp>[{"Symbol":"ECL","currency":null,"instrumentType":null,"market":null,"maturityDate":null,"operativeType":null,"settlementType":"2","symbol":"ECL"}]</stp>
        <tr r="E350" s="101"/>
        <tr r="G350" s="101"/>
        <tr r="F350" s="101"/>
      </tp>
      <tp t="s">
        <v/>
        <stp/>
        <stp>[{"Symbol":"EBR","currency":null,"instrumentType":null,"market":null,"maturityDate":null,"operativeType":null,"settlementType":"2","symbol":"EBR"}]</stp>
        <tr r="F391" s="101"/>
        <tr r="G391" s="101"/>
        <tr r="E391" s="101"/>
      </tp>
      <tp t="s">
        <v/>
        <stp/>
        <stp>[{"Symbol":"EEM","currency":null,"instrumentType":null,"market":null,"maturityDate":null,"operativeType":null,"settlementType":"2","symbol":"EEM"}]</stp>
        <tr r="F117" s="101"/>
        <tr r="E117" s="101"/>
        <tr r="G117" s="101"/>
      </tp>
      <tp t="s">
        <v/>
        <stp/>
        <stp>[{"Symbol":"EDN","currency":null,"instrumentType":null,"market":null,"maturityDate":null,"operativeType":null,"settlementType":"2","symbol":"EDN"}]</stp>
        <tr r="L43" s="101"/>
        <tr r="M43" s="101"/>
        <tr r="K43" s="101"/>
      </tp>
      <tp t="s">
        <v/>
        <stp/>
        <stp>[{"Symbol":"EFA","currency":null,"instrumentType":null,"market":null,"maturityDate":null,"operativeType":null,"settlementType":"2","symbol":"EFA"}]</stp>
        <tr r="E268" s="101"/>
        <tr r="F268" s="101"/>
        <tr r="G268" s="101"/>
      </tp>
      <tp t="s">
        <v/>
        <stp/>
        <stp>[{"Symbol":"EFX","currency":null,"instrumentType":null,"market":null,"maturityDate":null,"operativeType":null,"settlementType":"2","symbol":"EFX"}]</stp>
        <tr r="G378" s="101"/>
        <tr r="E378" s="101"/>
        <tr r="F378" s="101"/>
      </tp>
      <tp t="s">
        <v/>
        <stp/>
        <stp>[{"Symbol":"EWZ","currency":null,"instrumentType":null,"market":null,"maturityDate":null,"operativeType":null,"settlementType":"2","symbol":"EWZ"}]</stp>
        <tr r="E59" s="101"/>
        <tr r="G59" s="101"/>
        <tr r="F59" s="101"/>
      </tp>
      <tp t="s">
        <v/>
        <stp/>
        <stp>[{"Symbol":"EWJ","currency":null,"instrumentType":null,"market":null,"maturityDate":null,"operativeType":null,"settlementType":"2","symbol":"EWJ"}]</stp>
        <tr r="G152" s="101"/>
        <tr r="F152" s="101"/>
        <tr r="E152" s="101"/>
      </tp>
    </main>
    <main first="rtdsrv.5889b103584c45589dc3f5e29ed9b264">
      <tp t="s">
        <v/>
        <stp/>
        <stp>[{"Symbol":"LREN3","currency":null,"instrumentType":null,"market":null,"maturityDate":null,"operativeType":null,"settlementType":"2","symbol":"LREN3"}]</stp>
        <tr r="F372" s="101"/>
        <tr r="G372" s="101"/>
        <tr r="E372" s="101"/>
      </tp>
    </main>
    <main first="rtdsrv.5889b103584c45589dc3f5e29ed9b264">
      <tp t="s">
        <v/>
        <stp/>
        <stp>[{"Symbol":"VIVT3","currency":null,"instrumentType":null,"market":null,"maturityDate":null,"operativeType":null,"settlementType":"2","symbol":"VIVT3"}]</stp>
        <tr r="E351" s="101"/>
        <tr r="F351" s="101"/>
        <tr r="G351" s="101"/>
      </tp>
    </main>
    <main first="rtdsrv.5889b103584c45589dc3f5e29ed9b264">
      <tp t="s">
        <v/>
        <stp/>
        <stp>[{"Symbol":"XYZ","currency":null,"instrumentType":null,"market":null,"maturityDate":null,"operativeType":null,"settlementType":"2","symbol":"XYZ"}]</stp>
        <tr r="F178" s="101"/>
        <tr r="E178" s="101"/>
        <tr r="G178" s="101"/>
      </tp>
      <tp t="s">
        <v/>
        <stp/>
        <stp>[{"Symbol":"XLC","currency":null,"instrumentType":null,"market":null,"maturityDate":null,"operativeType":null,"settlementType":"2","symbol":"XLC"}]</stp>
        <tr r="G346" s="101"/>
        <tr r="E346" s="101"/>
        <tr r="F346" s="101"/>
      </tp>
      <tp t="s">
        <v/>
        <stp/>
        <stp>[{"Symbol":"XLB","currency":null,"instrumentType":null,"market":null,"maturityDate":null,"operativeType":null,"settlementType":"2","symbol":"XLB"}]</stp>
        <tr r="G264" s="101"/>
        <tr r="F264" s="101"/>
        <tr r="E264" s="101"/>
      </tp>
      <tp t="s">
        <v/>
        <stp/>
        <stp>[{"Symbol":"XLF","currency":null,"instrumentType":null,"market":null,"maturityDate":null,"operativeType":null,"settlementType":"2","symbol":"XLF"}]</stp>
        <tr r="F112" s="101"/>
        <tr r="G112" s="101"/>
        <tr r="E112" s="101"/>
      </tp>
      <tp t="s">
        <v/>
        <stp/>
        <stp>[{"Symbol":"XLE","currency":null,"instrumentType":null,"market":null,"maturityDate":null,"operativeType":null,"settlementType":"2","symbol":"XLE"}]</stp>
        <tr r="G127" s="101"/>
        <tr r="F127" s="101"/>
        <tr r="L14" s="101"/>
        <tr r="E127" s="101"/>
      </tp>
      <tp t="s">
        <v/>
        <stp/>
        <stp>[{"Symbol":"XLK","currency":null,"instrumentType":null,"market":null,"maturityDate":null,"operativeType":null,"settlementType":"2","symbol":"XLK"}]</stp>
        <tr r="E168" s="101"/>
        <tr r="G168" s="101"/>
        <tr r="F168" s="101"/>
      </tp>
      <tp t="s">
        <v/>
        <stp/>
        <stp>[{"Symbol":"XLI","currency":null,"instrumentType":null,"market":null,"maturityDate":null,"operativeType":null,"settlementType":"2","symbol":"XLI"}]</stp>
        <tr r="G186" s="101"/>
        <tr r="E186" s="101"/>
        <tr r="F186" s="101"/>
      </tp>
      <tp t="s">
        <v/>
        <stp/>
        <stp>[{"Symbol":"XLP","currency":null,"instrumentType":null,"market":null,"maturityDate":null,"operativeType":null,"settlementType":"2","symbol":"XLP"}]</stp>
        <tr r="F174" s="101"/>
        <tr r="G174" s="101"/>
        <tr r="E174" s="101"/>
      </tp>
      <tp t="s">
        <v/>
        <stp/>
        <stp>[{"Symbol":"XLV","currency":null,"instrumentType":null,"market":null,"maturityDate":null,"operativeType":null,"settlementType":"2","symbol":"XLV"}]</stp>
        <tr r="G92" s="101"/>
        <tr r="F92" s="101"/>
        <tr r="E92" s="101"/>
      </tp>
      <tp t="s">
        <v/>
        <stp/>
        <stp>[{"Symbol":"XLU","currency":null,"instrumentType":null,"market":null,"maturityDate":null,"operativeType":null,"settlementType":"2","symbol":"XLU"}]</stp>
        <tr r="E179" s="101"/>
        <tr r="F179" s="101"/>
        <tr r="G179" s="101"/>
      </tp>
      <tp t="s">
        <v/>
        <stp/>
        <stp>[{"Symbol":"XLY","currency":null,"instrumentType":null,"market":null,"maturityDate":null,"operativeType":null,"settlementType":"2","symbol":"XLY"}]</stp>
        <tr r="E311" s="101"/>
        <tr r="G311" s="101"/>
        <tr r="F311" s="101"/>
      </tp>
      <tp t="s">
        <v/>
        <stp/>
        <stp>[{"Symbol":"XOM","currency":null,"instrumentType":null,"market":null,"maturityDate":null,"operativeType":null,"settlementType":"2","symbol":"XOM"}]</stp>
        <tr r="G124" s="101"/>
        <tr r="F124" s="101"/>
        <tr r="E124" s="101"/>
      </tp>
    </main>
    <main first="rtdsrv.5889b103584c45589dc3f5e29ed9b264">
      <tp t="s">
        <v/>
        <stp/>
        <stp>[{"Symbol":"ITUB3","currency":null,"instrumentType":null,"market":null,"maturityDate":null,"operativeType":null,"settlementType":"2","symbol":"ITUB3"}]</stp>
        <tr r="E366" s="101"/>
        <tr r="G366" s="101"/>
        <tr r="F366" s="101"/>
      </tp>
      <tp t="s">
        <v/>
        <stp/>
        <stp>[{"Symbol":"TIMS3","currency":null,"instrumentType":null,"market":null,"maturityDate":null,"operativeType":null,"settlementType":"2","symbol":"TIMS3"}]</stp>
        <tr r="F356" s="101"/>
        <tr r="E356" s="101"/>
        <tr r="G356" s="101"/>
      </tp>
    </main>
    <main first="rtdsrv.5889b103584c45589dc3f5e29ed9b264">
      <tp t="s">
        <v/>
        <stp/>
        <stp>[{"Symbol":"NTCO3","currency":null,"instrumentType":null,"market":null,"maturityDate":null,"operativeType":null,"settlementType":"2","symbol":"NTCO3"}]</stp>
        <tr r="E409" s="101"/>
        <tr r="G409" s="101"/>
        <tr r="F409" s="101"/>
      </tp>
    </main>
    <main first="rtdsrv.5889b103584c45589dc3f5e29ed9b264">
      <tp t="s">
        <v/>
        <stp/>
        <stp>[{"Symbol":"RTX","currency":null,"instrumentType":null,"market":null,"maturityDate":null,"operativeType":null,"settlementType":"2","symbol":"RTX"}]</stp>
        <tr r="G195" s="101"/>
        <tr r="E195" s="101"/>
        <tr r="F195" s="101"/>
      </tp>
      <tp t="s">
        <v/>
        <stp/>
        <stp>[{"Symbol":"RIO","currency":null,"instrumentType":null,"market":null,"maturityDate":null,"operativeType":null,"settlementType":"2","symbol":"RIO"}]</stp>
        <tr r="E91" s="101"/>
        <tr r="G91" s="101"/>
        <tr r="F91" s="101"/>
      </tp>
      <tp t="s">
        <v/>
        <stp/>
        <stp>[{"Symbol":"RCTB4","currency":null,"instrumentType":null,"market":null,"maturityDate":null,"operativeType":null,"settlementType":"2","symbol":"RCTB4"}]</stp>
        <tr r="E425" s="101"/>
        <tr r="G425" s="101"/>
        <tr r="F425" s="101"/>
      </tp>
    </main>
    <main first="rtdsrv.5889b103584c45589dc3f5e29ed9b264">
      <tp t="s">
        <v/>
        <stp/>
        <stp>[{"Symbol":"SYY","currency":null,"instrumentType":null,"market":null,"maturityDate":null,"operativeType":null,"settlementType":"2","symbol":"SYY"}]</stp>
        <tr r="G339" s="101"/>
        <tr r="E339" s="101"/>
        <tr r="F339" s="101"/>
      </tp>
      <tp t="s">
        <v/>
        <stp/>
        <stp>[{"Symbol":"SUZ","currency":null,"instrumentType":null,"market":null,"maturityDate":null,"operativeType":null,"settlementType":"2","symbol":"SUZ"}]</stp>
        <tr r="F180" s="101"/>
        <tr r="G180" s="101"/>
        <tr r="E180" s="101"/>
      </tp>
      <tp t="s">
        <v/>
        <stp/>
        <stp>[{"Symbol":"SPY","currency":null,"instrumentType":null,"market":null,"maturityDate":null,"operativeType":null,"settlementType":"2","symbol":"SPY"}]</stp>
        <tr r="L16" s="101"/>
        <tr r="E35" s="101"/>
        <tr r="F35" s="101"/>
        <tr r="G35" s="101"/>
      </tp>
      <tp t="s">
        <v/>
        <stp/>
        <stp>[{"Symbol":"SNA","currency":null,"instrumentType":null,"market":null,"maturityDate":null,"operativeType":null,"settlementType":"2","symbol":"SNA"}]</stp>
        <tr r="E297" s="101"/>
        <tr r="F297" s="101"/>
        <tr r="G297" s="101"/>
      </tp>
      <tp t="s">
        <v/>
        <stp/>
        <stp>[{"Symbol":"SNP","currency":null,"instrumentType":null,"market":null,"maturityDate":null,"operativeType":null,"settlementType":"2","symbol":"SNP"}]</stp>
        <tr r="G394" s="101"/>
        <tr r="F394" s="101"/>
        <tr r="E394" s="101"/>
      </tp>
      <tp t="s">
        <v/>
        <stp/>
        <stp>[{"Symbol":"SMH","currency":null,"instrumentType":null,"market":null,"maturityDate":null,"operativeType":null,"settlementType":"2","symbol":"SMH"}]</stp>
        <tr r="G122" s="101"/>
        <tr r="E122" s="101"/>
        <tr r="F122" s="101"/>
      </tp>
      <tp t="s">
        <v/>
        <stp/>
        <stp>[{"Symbol":"SLB","currency":null,"instrumentType":null,"market":null,"maturityDate":null,"operativeType":null,"settlementType":"2","symbol":"SLB"}]</stp>
        <tr r="E241" s="101"/>
        <tr r="F241" s="101"/>
        <tr r="K112" s="101"/>
        <tr r="G241" s="101"/>
        <tr r="L112" s="101"/>
        <tr r="M112" s="101"/>
      </tp>
      <tp t="s">
        <v/>
        <stp/>
        <stp>[{"Symbol":"SLV","currency":null,"instrumentType":null,"market":null,"maturityDate":null,"operativeType":null,"settlementType":"2","symbol":"SLV"}]</stp>
        <tr r="F50" s="101"/>
        <tr r="E50" s="101"/>
        <tr r="G50" s="101"/>
        <tr r="L24" s="101"/>
      </tp>
      <tp t="s">
        <v/>
        <stp/>
        <stp>[{"Symbol":"SID","currency":null,"instrumentType":null,"market":null,"maturityDate":null,"operativeType":null,"settlementType":"2","symbol":"SID"}]</stp>
        <tr r="F165" s="101"/>
        <tr r="E165" s="101"/>
        <tr r="G165" s="101"/>
      </tp>
      <tp t="s">
        <v/>
        <stp/>
        <stp>[{"Symbol":"SDA","currency":null,"instrumentType":null,"market":null,"maturityDate":null,"operativeType":null,"settlementType":"2","symbol":"SDA"}]</stp>
        <tr r="G319" s="101"/>
        <tr r="F319" s="101"/>
        <tr r="E319" s="101"/>
      </tp>
      <tp t="s">
        <v/>
        <stp/>
        <stp>[{"Symbol":"SBS","currency":null,"instrumentType":null,"market":null,"maturityDate":null,"operativeType":null,"settlementType":"2","symbol":"SBS"}]</stp>
        <tr r="G183" s="101"/>
        <tr r="F183" s="101"/>
        <tr r="E183" s="101"/>
      </tp>
      <tp t="s">
        <v/>
        <stp/>
        <stp>[{"Symbol":"SAN","currency":null,"instrumentType":null,"market":null,"maturityDate":null,"operativeType":null,"settlementType":"2","symbol":"SAN"}]</stp>
        <tr r="G246" s="101"/>
        <tr r="F246" s="101"/>
        <tr r="M125" s="101"/>
        <tr r="L125" s="101"/>
        <tr r="E246" s="101"/>
        <tr r="K125" s="101"/>
      </tp>
      <tp t="s">
        <v/>
        <stp/>
        <stp>[{"Symbol":"SAP","currency":null,"instrumentType":null,"market":null,"maturityDate":null,"operativeType":null,"settlementType":"2","symbol":"SAP"}]</stp>
        <tr r="F307" s="101"/>
        <tr r="G307" s="101"/>
        <tr r="E307" s="101"/>
      </tp>
      <tp t="s">
        <v/>
        <stp/>
        <stp>[{"Symbol":"RENT3","currency":null,"instrumentType":null,"market":null,"maturityDate":null,"operativeType":null,"settlementType":"2","symbol":"RENT3"}]</stp>
        <tr r="E429" s="101"/>
        <tr r="F429" s="101"/>
        <tr r="G429" s="101"/>
      </tp>
      <tp t="s">
        <v/>
        <stp/>
        <stp>[{"Symbol":"VALE3","currency":null,"instrumentType":null,"market":null,"maturityDate":null,"operativeType":null,"settlementType":"2","symbol":"VALE3"}]</stp>
        <tr r="G242" s="101"/>
        <tr r="F242" s="101"/>
        <tr r="E242" s="101"/>
      </tp>
    </main>
    <main first="rtdsrv.5889b103584c45589dc3f5e29ed9b264">
      <tp t="s">
        <v/>
        <stp/>
        <stp>[{"Symbol":"PTR","currency":null,"instrumentType":null,"market":null,"maturityDate":null,"operativeType":null,"settlementType":"2","symbol":"PTR"}]</stp>
        <tr r="E416" s="101"/>
        <tr r="G416" s="101"/>
        <tr r="F416" s="101"/>
      </tp>
      <tp t="s">
        <v/>
        <stp/>
        <stp>[{"Symbol":"PSX","currency":null,"instrumentType":null,"market":null,"maturityDate":null,"operativeType":null,"settlementType":"2","symbol":"PSX"}]</stp>
        <tr r="G337" s="101"/>
        <tr r="F337" s="101"/>
        <tr r="E337" s="101"/>
      </tp>
      <tp t="s">
        <v/>
        <stp/>
        <stp>[{"Symbol":"PSQ","currency":null,"instrumentType":null,"market":null,"maturityDate":null,"operativeType":null,"settlementType":"2","symbol":"PSQ"}]</stp>
        <tr r="E206" s="101"/>
        <tr r="G206" s="101"/>
        <tr r="F206" s="101"/>
      </tp>
      <tp t="s">
        <v/>
        <stp/>
        <stp>[{"Symbol":"PSO","currency":null,"instrumentType":null,"market":null,"maturityDate":null,"operativeType":null,"settlementType":"2","symbol":"PSO"}]</stp>
        <tr r="F415" s="101"/>
        <tr r="E415" s="101"/>
        <tr r="G415" s="101"/>
      </tp>
      <tp t="s">
        <v/>
        <stp/>
        <stp>[{"Symbol":"PHG","currency":null,"instrumentType":null,"market":null,"maturityDate":null,"operativeType":null,"settlementType":"2","symbol":"PHG"}]</stp>
        <tr r="G312" s="101"/>
        <tr r="F312" s="101"/>
        <tr r="E312" s="101"/>
      </tp>
      <tp t="s">
        <v/>
        <stp/>
        <stp>[{"Symbol":"PKS","currency":null,"instrumentType":null,"market":null,"maturityDate":null,"operativeType":null,"settlementType":"2","symbol":"PKS"}]</stp>
        <tr r="E103" s="101"/>
        <tr r="F103" s="101"/>
        <tr r="G103" s="101"/>
      </tp>
      <tp t="s">
        <v/>
        <stp/>
        <stp>[{"Symbol":"PDD","currency":null,"instrumentType":null,"market":null,"maturityDate":null,"operativeType":null,"settlementType":"2","symbol":"PDD"}]</stp>
        <tr r="E248" s="101"/>
        <tr r="G248" s="101"/>
        <tr r="F248" s="101"/>
      </tp>
      <tp t="s">
        <v/>
        <stp/>
        <stp>[{"Symbol":"PEP","currency":null,"instrumentType":null,"market":null,"maturityDate":null,"operativeType":null,"settlementType":"2","symbol":"PEP"}]</stp>
        <tr r="G119" s="101"/>
        <tr r="L117" s="101"/>
        <tr r="K117" s="101"/>
        <tr r="M117" s="101"/>
        <tr r="F119" s="101"/>
        <tr r="E119" s="101"/>
      </tp>
      <tp t="s">
        <v/>
        <stp/>
        <stp>[{"Symbol":"PFE","currency":null,"instrumentType":null,"market":null,"maturityDate":null,"operativeType":null,"settlementType":"2","symbol":"PFE"}]</stp>
        <tr r="M121" s="101"/>
        <tr r="K121" s="101"/>
        <tr r="E64" s="101"/>
        <tr r="F64" s="101"/>
        <tr r="G64" s="101"/>
        <tr r="L121" s="101"/>
      </tp>
      <tp t="s">
        <v/>
        <stp/>
        <stp>[{"Symbol":"PAC","currency":null,"instrumentType":null,"market":null,"maturityDate":null,"operativeType":null,"settlementType":"2","symbol":"PAC"}]</stp>
        <tr r="E362" s="101"/>
        <tr r="F362" s="101"/>
        <tr r="G362" s="101"/>
      </tp>
      <tp t="s">
        <v/>
        <stp/>
        <stp>[{"Symbol":"PBI","currency":null,"instrumentType":null,"market":null,"maturityDate":null,"operativeType":null,"settlementType":"2","symbol":"PBI"}]</stp>
        <tr r="G151" s="101"/>
        <tr r="E151" s="101"/>
        <tr r="F151" s="101"/>
      </tp>
      <tp t="s">
        <v/>
        <stp/>
        <stp>[{"Symbol":"PBR","currency":null,"instrumentType":null,"market":null,"maturityDate":null,"operativeType":null,"settlementType":"2","symbol":"PBR"}]</stp>
        <tr r="G65" s="101"/>
        <tr r="F65" s="101"/>
        <tr r="E65" s="101"/>
      </tp>
      <tp t="s">
        <v/>
        <stp/>
        <stp>[{"Symbol":"TGNO4","currency":null,"instrumentType":null,"market":null,"maturityDate":null,"operativeType":null,"settlementType":"2","symbol":"TGNO4"}]</stp>
        <tr r="M27" s="101"/>
        <tr r="L27" s="101"/>
        <tr r="K27" s="101"/>
      </tp>
    </main>
    <main first="rtdsrv.5889b103584c45589dc3f5e29ed9b264">
      <tp t="s">
        <v/>
        <stp/>
        <stp>[{"Symbol":"QQQ","currency":null,"instrumentType":null,"market":null,"maturityDate":null,"operativeType":null,"settlementType":"2","symbol":"QQQ"}]</stp>
        <tr r="G80" s="101"/>
        <tr r="E80" s="101"/>
        <tr r="F80" s="101"/>
      </tp>
    </main>
    <main first="rtdsrv.c1747dc6662849009e63b5bfcf7e1df4">
      <tp t="s">
        <v/>
        <stp/>
        <stp>{"&lt;panelType&gt;k__BackingField":"OPCIONES","&lt;refresh&gt;k__BackingField":false,"&lt;settlementType&gt;k__BackingField":null,"&lt;shortSell&gt;k__BackingField":false,"&lt;withPrice&gt;k__BackingField":false}</stp>
        <tr r="A1" s="121"/>
      </tp>
    </main>
    <main first="rtdsrv.5889b103584c45589dc3f5e29ed9b264">
      <tp t="s">
        <v/>
        <stp/>
        <stp>[{"Symbol":"PETR3","currency":null,"instrumentType":null,"market":null,"maturityDate":null,"operativeType":null,"settlementType":"2","symbol":"PETR3"}]</stp>
        <tr r="F157" s="101"/>
        <tr r="E157" s="101"/>
        <tr r="G157" s="101"/>
      </tp>
    </main>
    <main first="rtdsrv.5889b103584c45589dc3f5e29ed9b264">
      <tp t="s">
        <v/>
        <stp/>
        <stp>[{"Symbol":"VXX","currency":null,"instrumentType":null,"market":null,"maturityDate":null,"operativeType":null,"settlementType":"2","symbol":"VXX"}]</stp>
        <tr r="L8" s="101"/>
        <tr r="G94" s="101"/>
        <tr r="F94" s="101"/>
        <tr r="E94" s="101"/>
      </tp>
      <tp t="s">
        <v/>
        <stp/>
        <stp>[{"Symbol":"VST","currency":null,"instrumentType":null,"market":null,"maturityDate":null,"operativeType":null,"settlementType":"2","symbol":"VST"}]</stp>
        <tr r="G254" s="101"/>
        <tr r="F254" s="101"/>
        <tr r="E254" s="101"/>
      </tp>
      <tp t="s">
        <v/>
        <stp/>
        <stp>[{"Symbol":"VIG","currency":null,"instrumentType":null,"market":null,"maturityDate":null,"operativeType":null,"settlementType":"2","symbol":"VIG"}]</stp>
        <tr r="F175" s="101"/>
        <tr r="E175" s="101"/>
        <tr r="G175" s="101"/>
      </tp>
      <tp t="s">
        <v/>
        <stp/>
        <stp>[{"Symbol":"VIV","currency":null,"instrumentType":null,"market":null,"maturityDate":null,"operativeType":null,"settlementType":"2","symbol":"VIV"}]</stp>
        <tr r="E306" s="101"/>
        <tr r="F306" s="101"/>
        <tr r="G306" s="101"/>
      </tp>
      <tp t="s">
        <v/>
        <stp/>
        <stp>[{"Symbol":"VOD","currency":null,"instrumentType":null,"market":null,"maturityDate":null,"operativeType":null,"settlementType":"2","symbol":"VOD"}]</stp>
        <tr r="F201" s="101"/>
        <tr r="E201" s="101"/>
        <tr r="G201" s="101"/>
      </tp>
      <tp t="s">
        <v/>
        <stp/>
        <stp>[{"Symbol":"VEA","currency":null,"instrumentType":null,"market":null,"maturityDate":null,"operativeType":null,"settlementType":"2","symbol":"VEA"}]</stp>
        <tr r="G135" s="101"/>
        <tr r="F135" s="101"/>
        <tr r="L11" s="101"/>
        <tr r="E135" s="101"/>
      </tp>
      <tp t="s">
        <v/>
        <stp/>
        <stp>[{"Symbol":"WEGE3","currency":null,"instrumentType":null,"market":null,"maturityDate":null,"operativeType":null,"settlementType":"2","symbol":"WEGE3"}]</stp>
        <tr r="G368" s="101"/>
        <tr r="E368" s="101"/>
        <tr r="F368" s="101"/>
      </tp>
      <tp t="s">
        <v/>
        <stp/>
        <stp>[{"Symbol":"TGSU2","currency":null,"instrumentType":null,"market":null,"maturityDate":null,"operativeType":null,"settlementType":"2","symbol":"TGSU2"}]</stp>
        <tr r="L44" s="101"/>
        <tr r="K44" s="101"/>
        <tr r="M44" s="101"/>
      </tp>
    </main>
    <main first="rtdsrv.5889b103584c45589dc3f5e29ed9b264">
      <tp t="s">
        <v/>
        <stp/>
        <stp>[{"Symbol":"WMT","currency":null,"instrumentType":null,"market":null,"maturityDate":null,"operativeType":null,"settlementType":"2","symbol":"WMT"}]</stp>
        <tr r="G101" s="101"/>
        <tr r="F101" s="101"/>
        <tr r="E101" s="101"/>
      </tp>
      <tp t="s">
        <v/>
        <stp/>
        <stp>[{"Symbol":"WBO","currency":null,"instrumentType":null,"market":null,"maturityDate":null,"operativeType":null,"settlementType":"2","symbol":"WBO"}]</stp>
        <tr r="F328" s="101"/>
        <tr r="G328" s="101"/>
        <tr r="E328" s="101"/>
      </tp>
      <tp t="s">
        <v/>
        <stp/>
        <stp>[{"Symbol":"WBA","currency":null,"instrumentType":null,"market":null,"maturityDate":null,"operativeType":null,"settlementType":"2","symbol":"WBA"}]</stp>
        <tr r="E431" s="101"/>
        <tr r="F431" s="101"/>
      </tp>
      <tp t="s">
        <v/>
        <stp/>
        <stp>[{"Symbol":"WFC","currency":null,"instrumentType":null,"market":null,"maturityDate":null,"operativeType":null,"settlementType":"2","symbol":"WFC"}]</stp>
        <tr r="F224" s="101"/>
        <tr r="G224" s="101"/>
        <tr r="E224" s="101"/>
      </tp>
    </main>
    <main first="rtdsrv.5889b103584c45589dc3f5e29ed9b264">
      <tp t="s">
        <v/>
        <stp/>
        <stp>[{"Symbol":"TXR","currency":null,"instrumentType":null,"market":null,"maturityDate":null,"operativeType":null,"settlementType":"2","symbol":"TXR"}]</stp>
        <tr r="F98" s="101"/>
        <tr r="E98" s="101"/>
        <tr r="G98" s="101"/>
      </tp>
      <tp t="s">
        <v/>
        <stp/>
        <stp>[{"Symbol":"TXN","currency":null,"instrumentType":null,"market":null,"maturityDate":null,"operativeType":null,"settlementType":"2","symbol":"TXN"}]</stp>
        <tr r="G272" s="101"/>
        <tr r="F272" s="101"/>
        <tr r="E272" s="101"/>
      </tp>
      <tp t="s">
        <v/>
        <stp/>
        <stp>[{"Symbol":"TSM","currency":null,"instrumentType":null,"market":null,"maturityDate":null,"operativeType":null,"settlementType":"2","symbol":"TSM"}]</stp>
        <tr r="F51" s="101"/>
        <tr r="E51" s="101"/>
        <tr r="G51" s="101"/>
      </tp>
      <tp t="s">
        <v/>
        <stp/>
        <stp>[{"Symbol":"TTM","currency":null,"instrumentType":null,"market":null,"maturityDate":null,"operativeType":null,"settlementType":"2","symbol":"TTM"}]</stp>
        <tr r="F424" s="101"/>
        <tr r="E424" s="101"/>
        <tr r="G424" s="101"/>
      </tp>
      <tp t="s">
        <v/>
        <stp/>
        <stp>[{"Symbol":"TTE","currency":null,"instrumentType":null,"market":null,"maturityDate":null,"operativeType":null,"settlementType":"2","symbol":"TTE"}]</stp>
        <tr r="G222" s="101"/>
        <tr r="E222" s="101"/>
        <tr r="F222" s="101"/>
      </tp>
      <tp t="s">
        <v/>
        <stp/>
        <stp>[{"Symbol":"TJX","currency":null,"instrumentType":null,"market":null,"maturityDate":null,"operativeType":null,"settlementType":"2","symbol":"TJX"}]</stp>
        <tr r="G374" s="101"/>
        <tr r="E374" s="101"/>
        <tr r="F374" s="101"/>
      </tp>
      <tp t="s">
        <v/>
        <stp/>
        <stp>[{"Symbol":"TMO","currency":null,"instrumentType":null,"market":null,"maturityDate":null,"operativeType":null,"settlementType":"2","symbol":"TMO"}]</stp>
        <tr r="G269" s="101"/>
        <tr r="F269" s="101"/>
        <tr r="E269" s="101"/>
      </tp>
      <tp t="s">
        <v/>
        <stp/>
        <stp>[{"Symbol":"TEN","currency":null,"instrumentType":null,"market":null,"maturityDate":null,"operativeType":null,"settlementType":"2","symbol":"TEN"}]</stp>
        <tr r="G247" s="101"/>
        <tr r="E247" s="101"/>
        <tr r="F247" s="101"/>
      </tp>
      <tp t="s">
        <v/>
        <stp/>
        <stp>[{"Symbol":"TEM","currency":null,"instrumentType":null,"market":null,"maturityDate":null,"operativeType":null,"settlementType":"2","symbol":"TEM"}]</stp>
        <tr r="G239" s="101"/>
        <tr r="F239" s="101"/>
        <tr r="E239" s="101"/>
      </tp>
      <tp t="s">
        <v/>
        <stp/>
        <stp>[{"Symbol":"TGT","currency":null,"instrumentType":null,"market":null,"maturityDate":null,"operativeType":null,"settlementType":"2","symbol":"TGT"}]</stp>
        <tr r="F217" s="101"/>
        <tr r="G217" s="101"/>
        <tr r="E217" s="101"/>
      </tp>
      <tp t="s">
        <v/>
        <stp/>
        <stp>[{"Symbol":"#","currency":null,"instrumentType":null,"market":null,"maturityDate":null,"operativeType":null,"settlementType":"2","symbol":"#"}]</stp>
        <tr r="E2" s="45"/>
        <tr r="E2" s="44"/>
      </tp>
      <tp t="s">
        <v/>
        <stp/>
        <stp>[{"Symbol":"TECO2","currency":null,"instrumentType":null,"market":null,"maturityDate":null,"operativeType":null,"settlementType":"2","symbol":"TECO2"}]</stp>
        <tr r="M33" s="101"/>
        <tr r="L33" s="101"/>
        <tr r="K33" s="101"/>
      </tp>
      <tp t="s">
        <v/>
        <stp/>
        <stp>[{"Symbol":"CSNA3","currency":null,"instrumentType":null,"market":null,"maturityDate":null,"operativeType":null,"settlementType":"2","symbol":"CSNA3"}]</stp>
        <tr r="E304" s="101"/>
        <tr r="G304" s="101"/>
        <tr r="F304" s="101"/>
      </tp>
      <tp t="s">
        <v/>
        <stp/>
        <stp>[{"Symbol":"BPA11","currency":null,"instrumentType":null,"market":null,"maturityDate":null,"operativeType":null,"settlementType":"2","symbol":"BPA11"}]</stp>
        <tr r="F354" s="101"/>
        <tr r="E354" s="101"/>
        <tr r="G354" s="101"/>
      </tp>
    </main>
    <main first="rtdsrv.5889b103584c45589dc3f5e29ed9b264">
      <tp t="s">
        <v/>
        <stp/>
        <stp>[{"Symbol":"USO","currency":null,"instrumentType":null,"market":null,"maturityDate":null,"operativeType":null,"settlementType":"2","symbol":"USO"}]</stp>
        <tr r="L23" s="101"/>
        <tr r="F292" s="101"/>
        <tr r="G292" s="101"/>
        <tr r="E292" s="101"/>
      </tp>
      <tp t="s">
        <v/>
        <stp/>
        <stp>[{"Symbol":"USB","currency":null,"instrumentType":null,"market":null,"maturityDate":null,"operativeType":null,"settlementType":"2","symbol":"USB"}]</stp>
        <tr r="F364" s="101"/>
        <tr r="E364" s="101"/>
        <tr r="G364" s="101"/>
      </tp>
      <tp t="s">
        <v/>
        <stp/>
        <stp>[{"Symbol":"URA","currency":null,"instrumentType":null,"market":null,"maturityDate":null,"operativeType":null,"settlementType":"2","symbol":"URA"}]</stp>
        <tr r="E137" s="101"/>
        <tr r="G137" s="101"/>
        <tr r="L18" s="101"/>
        <tr r="F137" s="101"/>
      </tp>
      <tp t="s">
        <v/>
        <stp/>
        <stp>[{"Symbol":"UNH","currency":null,"instrumentType":null,"market":null,"maturityDate":null,"operativeType":null,"settlementType":"2","symbol":"UNH"}]</stp>
        <tr r="F70" s="101"/>
        <tr r="G70" s="101"/>
        <tr r="E70" s="101"/>
      </tp>
      <tp t="s">
        <v/>
        <stp/>
        <stp>[{"Symbol":"UNP","currency":null,"instrumentType":null,"market":null,"maturityDate":null,"operativeType":null,"settlementType":"2","symbol":"UNP"}]</stp>
        <tr r="E333" s="101"/>
        <tr r="G333" s="101"/>
        <tr r="F333" s="101"/>
      </tp>
      <tp t="s">
        <v/>
        <stp/>
        <stp>[{"Symbol":"UAL","currency":null,"instrumentType":null,"market":null,"maturityDate":null,"operativeType":null,"settlementType":"2","symbol":"UAL"}]</stp>
        <tr r="K114" s="101"/>
        <tr r="M114" s="101"/>
        <tr r="E355" s="101"/>
        <tr r="L114" s="101"/>
        <tr r="F355" s="101"/>
        <tr r="G355" s="101"/>
      </tp>
      <tp t="s">
        <v/>
        <stp/>
        <stp>[{"Symbol":"UGP","currency":null,"instrumentType":null,"market":null,"maturityDate":null,"operativeType":null,"settlementType":"2","symbol":"UGP"}]</stp>
        <tr r="F342" s="101"/>
        <tr r="G342" s="101"/>
        <tr r="E342" s="101"/>
      </tp>
      <tp t="s">
        <v/>
        <stp/>
        <stp>[{"Symbol":"SBSP3","currency":null,"instrumentType":null,"market":null,"maturityDate":null,"operativeType":null,"settlementType":"2","symbol":"SBSP3"}]</stp>
        <tr r="E375" s="101"/>
        <tr r="F375" s="101"/>
        <tr r="G375" s="101"/>
      </tp>
    </main>
    <main first="rtdsrv.5889b103584c45589dc3f5e29ed9b264">
      <tp t="s">
        <v/>
        <stp/>
        <stp>[{"Symbol":"BA.C","currency":null,"instrumentType":null,"market":null,"maturityDate":null,"operativeType":null,"settlementType":"2","symbol":"BA.C"}]</stp>
        <tr r="E191" s="101"/>
        <tr r="F191" s="101"/>
        <tr r="G191" s="101"/>
      </tp>
    </main>
    <main first="rtdsrv.5889b103584c45589dc3f5e29ed9b264">
      <tp t="s">
        <v/>
        <stp/>
        <stp>[{"Symbol":"AL30","currency":null,"instrumentType":null,"market":null,"maturityDate":null,"operativeType":null,"settlementType":"1","symbol":"AL30"}]</stp>
        <tr r="D20" s="101"/>
        <tr r="E20" s="101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eetMetadata" Target="metadata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NS%20Ar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S Ar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0C7140-77E0-4A42-B50C-53F1567B77DB}" name="Tabla5" displayName="Tabla5" ref="D26:G431" totalsRowShown="0" tableBorderDxfId="116">
  <autoFilter ref="D26:G431" xr:uid="{BF0C7140-77E0-4A42-B50C-53F1567B77DB}"/>
  <sortState xmlns:xlrd2="http://schemas.microsoft.com/office/spreadsheetml/2017/richdata2" ref="D27:G431">
    <sortCondition descending="1" ref="F26:F431"/>
  </sortState>
  <tableColumns count="4">
    <tableColumn id="1" xr3:uid="{9740FA67-25AD-45E9-9B0A-1C88C0F08CCD}" name="Ticker" dataDxfId="115"/>
    <tableColumn id="2" xr3:uid="{DCA99234-0996-446C-AD64-7F3C4C29EDB1}" name="Precio" dataDxfId="114" dataCellStyle="Millares">
      <calculatedColumnFormula array="1">_xll.PrecioBD(D27,24,"ASK","N")</calculatedColumnFormula>
    </tableColumn>
    <tableColumn id="3" xr3:uid="{ED1DEC70-AB0F-4677-B38A-706744296DB6}" name="Total volume" dataDxfId="113" dataCellStyle="Millares">
      <calculatedColumnFormula array="1">_xll.PrecioBD(D27,24,"VOLUME AMOUNT","N")</calculatedColumnFormula>
    </tableColumn>
    <tableColumn id="4" xr3:uid="{EE1130A3-97CA-4E4D-B6C3-A080B1C1070E}" name="Variación" dataDxfId="112" dataCellStyle="Porcentaj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D08FB8-FAF4-4C9C-81AB-AC8A92190C93}" name="Tabla6" displayName="Tabla6" ref="J26:M47" totalsRowShown="0" tableBorderDxfId="111">
  <autoFilter ref="J26:M47" xr:uid="{54D08FB8-FAF4-4C9C-81AB-AC8A92190C93}"/>
  <sortState xmlns:xlrd2="http://schemas.microsoft.com/office/spreadsheetml/2017/richdata2" ref="J27:M47">
    <sortCondition descending="1" ref="M26:M47"/>
  </sortState>
  <tableColumns count="4">
    <tableColumn id="1" xr3:uid="{3018D15C-82FE-4348-9862-51281F0FC143}" name="Ticker" dataDxfId="110"/>
    <tableColumn id="2" xr3:uid="{D4C7FAB4-9675-4008-B012-0BAE959DED6C}" name="Precio" dataDxfId="109" dataCellStyle="Millares">
      <calculatedColumnFormula array="1">_xll.PrecioBD(J27,24,"ASK","N")</calculatedColumnFormula>
    </tableColumn>
    <tableColumn id="3" xr3:uid="{A503A1D1-0E37-4563-A241-824668CC3E11}" name="Total volume" dataDxfId="108" dataCellStyle="Millares">
      <calculatedColumnFormula array="1">_xll.PrecioBD(J27,24,"VOLUME AMOUNT","N")</calculatedColumnFormula>
    </tableColumn>
    <tableColumn id="4" xr3:uid="{63B64DB2-FCE7-48CE-BD5B-9BABC44ACDC3}" name="Variación" dataDxfId="107" dataCellStyle="Porcentaje">
      <calculatedColumnFormula array="1">_xll.PrecioBD(J27,24,"IMBALANCE","N")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A05CC-8AE2-47AB-A135-DEED01D96BB1}" name="Tabla9" displayName="Tabla9" ref="AE4:AM15" totalsRowCount="1" headerRowDxfId="106" headerRowBorderDxfId="105" tableBorderDxfId="104" totalsRowBorderDxfId="103">
  <autoFilter ref="AE4:AM14" xr:uid="{942A05CC-8AE2-47AB-A135-DEED01D96BB1}"/>
  <sortState xmlns:xlrd2="http://schemas.microsoft.com/office/spreadsheetml/2017/richdata2" ref="AE5:AM14">
    <sortCondition descending="1" ref="AF4:AF14"/>
  </sortState>
  <tableColumns count="9">
    <tableColumn id="1" xr3:uid="{A0B849D4-9302-4869-8E36-9BFBD43C8BA5}" name="Ticker" dataDxfId="102" totalsRowDxfId="101" dataCellStyle="Hipervínculo" totalsRowCellStyle="Hipervínculo"/>
    <tableColumn id="2" xr3:uid="{2F6D47FD-A93D-4C6B-B254-C100EFD48461}" name="TIR" dataDxfId="100" totalsRowDxfId="99">
      <calculatedColumnFormula array="1">INDIRECT("'" &amp; Tabla9[[#This Row],[Ticker]] &amp; "'!K4")</calculatedColumnFormula>
    </tableColumn>
    <tableColumn id="3" xr3:uid="{DFAC7E40-6B39-490D-A276-0E17DB3767AD}" name="MD" dataDxfId="98" totalsRowDxfId="97" dataCellStyle="Millares" totalsRowCellStyle="Millares">
      <calculatedColumnFormula array="1">INDIRECT("'" &amp; Tabla9[[#This Row],[Ticker]] &amp; "'!K3")</calculatedColumnFormula>
    </tableColumn>
    <tableColumn id="7" xr3:uid="{464A95E3-74CB-448C-850B-C33F83C03E31}" name="Bid" dataDxfId="96" totalsRowDxfId="95" dataCellStyle="Millares" totalsRowCellStyle="Millares">
      <calculatedColumnFormula array="1">_xll.PrecioBD(Tabla9[[#This Row],[Ticker]],"24","BID","N")</calculatedColumnFormula>
    </tableColumn>
    <tableColumn id="6" xr3:uid="{20865896-546D-4F80-832F-5DDDCF9DBCF2}" name="Ask" dataDxfId="94" totalsRowDxfId="93" dataCellStyle="Millares" totalsRowCellStyle="Millares">
      <calculatedColumnFormula array="1">_xll.PrecioBD(Tabla9[[#This Row],[Ticker]],"24","ASK","N")</calculatedColumnFormula>
    </tableColumn>
    <tableColumn id="9" xr3:uid="{552F18D8-3518-43F2-81A9-B86D3EF9B1A7}" name="Bid Volume" dataDxfId="92" totalsRowDxfId="91" dataCellStyle="Millares" totalsRowCellStyle="Millares">
      <calculatedColumnFormula array="1">_xll.PrecioBD(Tabla9[[#This Row],[Ticker]],24,"QUANTITY BID","N")</calculatedColumnFormula>
    </tableColumn>
    <tableColumn id="10" xr3:uid="{8463354F-720A-400C-B298-4DF2811DD042}" name="Ask Volume" dataDxfId="90" totalsRowDxfId="89" dataCellStyle="Millares" totalsRowCellStyle="Millares">
      <calculatedColumnFormula array="1">_xll.PrecioBD(Tabla9[[#This Row],[Ticker]],24,"QUANTITY ASK","N")</calculatedColumnFormula>
    </tableColumn>
    <tableColumn id="12" xr3:uid="{74840097-9470-4DF4-A1FB-1EA32282C2A5}" name="Total Volume" dataDxfId="88" totalsRowDxfId="87" dataCellStyle="Millares" totalsRowCellStyle="Millares">
      <calculatedColumnFormula array="1">_xll.PrecioBD(Tabla9[[#This Row],[Ticker]],24,"VOLUME AMOUNT","N")</calculatedColumnFormula>
    </tableColumn>
    <tableColumn id="5" xr3:uid="{6A535ED3-4A68-40A2-9C9A-77F1D9FF3420}" name="Variación" dataDxfId="86" totalsRowDxfId="85" dataCellStyle="Porcentaje" totalsRowCellStyle="Porcentaje">
      <calculatedColumnFormula array="1">_xll.PrecioBD(Tabla9[[#This Row],[Ticker]],24,"IMBALANCE","N")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8B1625-DA21-4C9B-921D-843B5D7FD5E3}" name="Tabla10" displayName="Tabla10" ref="K4:M24" totalsRowShown="0" headerRowDxfId="84">
  <autoFilter ref="K4:M24" xr:uid="{498B1625-DA21-4C9B-921D-843B5D7FD5E3}"/>
  <sortState xmlns:xlrd2="http://schemas.microsoft.com/office/spreadsheetml/2017/richdata2" ref="K5:M24">
    <sortCondition descending="1" ref="L4:L24"/>
  </sortState>
  <tableColumns count="3">
    <tableColumn id="1" xr3:uid="{AE7AC43C-27B1-403C-9517-1286EF5070BC}" name="Ticker" dataDxfId="83"/>
    <tableColumn id="2" xr3:uid="{24A7319C-9D76-47C9-BEE7-17F4D089EBB4}" name="Variación" dataDxfId="82"/>
    <tableColumn id="3" xr3:uid="{AC568913-79E5-40B4-89B9-72DD8856A4C8}" name="Tas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AB88F3-CA43-465B-821B-5B2EF4FB6A28}" name="Tabla11" displayName="Tabla11" ref="P4:AB20" totalsRowShown="0" headerRowDxfId="81" tableBorderDxfId="80">
  <autoFilter ref="P4:AB20" xr:uid="{4FAB88F3-CA43-465B-821B-5B2EF4FB6A28}"/>
  <sortState xmlns:xlrd2="http://schemas.microsoft.com/office/spreadsheetml/2017/richdata2" ref="P5:AB19">
    <sortCondition ref="R4:R19"/>
  </sortState>
  <tableColumns count="13">
    <tableColumn id="1" xr3:uid="{E0813D19-874A-4E48-87A8-4B7783FE7CFE}" name="Ticker" dataDxfId="79" dataCellStyle="Hipervínculo"/>
    <tableColumn id="2" xr3:uid="{8E54A28A-F608-4154-9E2A-2EAEAF94999B}" name="TEM" dataDxfId="78" dataCellStyle="Hipervínculo">
      <calculatedColumnFormula array="1">INDIRECT("'" &amp; P5 &amp; "'!J6")</calculatedColumnFormula>
    </tableColumn>
    <tableColumn id="3" xr3:uid="{573A0FA3-DC09-49BE-A969-0810B59B24BE}" name="Vencimiento" dataDxfId="77" dataCellStyle="Millares">
      <calculatedColumnFormula array="1">INDIRECT("'" &amp; P5&amp; "'!B3")</calculatedColumnFormula>
    </tableColumn>
    <tableColumn id="4" xr3:uid="{C366D5D1-16CD-42E1-9AF3-B505CEBFA460}" name="Variación" dataDxfId="76" dataCellStyle="Porcentaje">
      <calculatedColumnFormula array="1">_xll.PrecioBD(P5,24,"IMBALANCE","N")</calculatedColumnFormula>
    </tableColumn>
    <tableColumn id="5" xr3:uid="{6471AB7B-5EB8-4E8E-B41D-72D2D340AE33}" name="TNA" dataDxfId="75" dataCellStyle="Porcentaje">
      <calculatedColumnFormula array="1">INDIRECT("'" &amp; Tabla11[[#This Row],[Ticker]]&amp; "'!J5")</calculatedColumnFormula>
    </tableColumn>
    <tableColumn id="6" xr3:uid="{80FB5E1F-6337-4C91-8DD7-126225A7E2D2}" name="Días a vencimiento" dataDxfId="74" dataCellStyle="Millares">
      <calculatedColumnFormula>Tabla11[[#This Row],[Vencimiento]]-$D$1</calculatedColumnFormula>
    </tableColumn>
    <tableColumn id="19" xr3:uid="{22A206D5-46C8-437C-835C-C01F5277CF07}" name="Bid" dataDxfId="73" dataCellStyle="Millares">
      <calculatedColumnFormula array="1">_xll.PrecioBD(Tabla11[[#This Row],[Ticker]],"24","BID","N")</calculatedColumnFormula>
    </tableColumn>
    <tableColumn id="20" xr3:uid="{B5531B13-8F6E-461E-A640-3A014F9F651D}" name="Ask" dataDxfId="72" dataCellStyle="Millares">
      <calculatedColumnFormula array="1">_xll.PrecioBD(Tabla11[[#This Row],[Ticker]],"24","ASK","N")</calculatedColumnFormula>
    </tableColumn>
    <tableColumn id="18" xr3:uid="{97BF4F99-0CFF-48E7-96CD-C293C731DE06}" name="Bid Volume" dataDxfId="71" dataCellStyle="Millares">
      <calculatedColumnFormula array="1">_xll.PrecioBD(Tabla11[[#This Row],[Ticker]],24,"QUANTITY BID","N")</calculatedColumnFormula>
    </tableColumn>
    <tableColumn id="21" xr3:uid="{2C880721-3A79-4504-BDD1-D9D415FDFE52}" name="Ask Volume" dataDxfId="70" dataCellStyle="Millares">
      <calculatedColumnFormula array="1">_xll.PrecioBD(Tabla11[[#This Row],[Ticker]],24,"QUANTITY ASK","N")</calculatedColumnFormula>
    </tableColumn>
    <tableColumn id="17" xr3:uid="{514D3FE3-C52C-4EAB-B685-D4882126B1E8}" name="Total Volume" dataDxfId="69" dataCellStyle="Millares">
      <calculatedColumnFormula array="1">_xll.PrecioBD(Tabla11[[#This Row],[Ticker]],24,"VOLUME AMOUNT","N")</calculatedColumnFormula>
    </tableColumn>
    <tableColumn id="8" xr3:uid="{050AC5E3-23A7-43E8-B808-9CBA2E657DE8}" name="Tasa directa" dataDxfId="68" dataCellStyle="Millares">
      <calculatedColumnFormula>Tabla11[[#This Row],[TNA]]/365*Tabla11[[#This Row],[Días a vencimiento]]</calculatedColumnFormula>
    </tableColumn>
    <tableColumn id="7" xr3:uid="{725F98D7-5D98-46D0-9494-81F4DDB44E47}" name="MEP BE" dataDxfId="67" dataCellStyle="Porcentaje">
      <calculatedColumnFormula>$I$15*(1+Tabla11[[#This Row],[TNA]]/365*Tabla11[[#This Row],[Días a vencimiento]])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EDA01-7F76-46EA-A9FA-0A96A824D879}" name="Tabla1" displayName="Tabla1" ref="AP4:BB36" totalsRowShown="0" headerRowDxfId="66" dataDxfId="64" headerRowBorderDxfId="65" tableBorderDxfId="63">
  <autoFilter ref="AP4:BB36" xr:uid="{7F1EDA01-7F76-46EA-A9FA-0A96A824D879}"/>
  <sortState xmlns:xlrd2="http://schemas.microsoft.com/office/spreadsheetml/2017/richdata2" ref="AP5:BB36">
    <sortCondition descending="1" ref="AQ4:AQ36"/>
  </sortState>
  <tableColumns count="13">
    <tableColumn id="1" xr3:uid="{B7E1431F-C1AD-4F91-8048-831CDE7091FB}" name="Ticker" dataDxfId="62"/>
    <tableColumn id="2" xr3:uid="{05148C84-CC73-4C33-A148-A15777CD016E}" name="TIR" dataDxfId="61">
      <calculatedColumnFormula array="1">INDIRECT("'" &amp; AP5 &amp; "'!K4")</calculatedColumnFormula>
    </tableColumn>
    <tableColumn id="3" xr3:uid="{7C932783-9360-4FFA-B49B-FE5DAA576BAA}" name="MD" dataDxfId="60" dataCellStyle="Millares">
      <calculatedColumnFormula array="1">INDIRECT("'" &amp; AP5 &amp; "'!K3")</calculatedColumnFormula>
    </tableColumn>
    <tableColumn id="4" xr3:uid="{AE255544-C4CB-4577-848D-6D9AAE49EDA9}" name="Vto" dataDxfId="59"/>
    <tableColumn id="5" xr3:uid="{B3FE5DB3-101C-422C-81B5-0982AAEE54ED}" name="Bid Price" dataDxfId="58" dataCellStyle="Millares">
      <calculatedColumnFormula array="1">_xll.PrecioBD(AP5,"24","BID","N")</calculatedColumnFormula>
    </tableColumn>
    <tableColumn id="6" xr3:uid="{B1318A14-2136-4459-9EE3-8C65A96F8347}" name="Ask Price" dataDxfId="57" dataCellStyle="Millares">
      <calculatedColumnFormula array="1">_xll.PrecioBD(AP5,"24","ASK","N")</calculatedColumnFormula>
    </tableColumn>
    <tableColumn id="7" xr3:uid="{970C1D45-8A55-496C-ADBE-28AB632190A1}" name="Bid Volume" dataDxfId="56" dataCellStyle="Millares">
      <calculatedColumnFormula array="1">_xll.PrecioBD(AP5,24,"QUANTITY BID","N")</calculatedColumnFormula>
    </tableColumn>
    <tableColumn id="8" xr3:uid="{81D7F044-47AA-4DF2-9921-D1EAF668060E}" name="Ask volume" dataDxfId="55" dataCellStyle="Millares">
      <calculatedColumnFormula array="1">_xll.PrecioBD(AP5,24,"QUANTITY ASK","N")</calculatedColumnFormula>
    </tableColumn>
    <tableColumn id="9" xr3:uid="{1EC6395E-BF2A-4E38-A12F-D6344BF7452D}" name="Total volume" dataDxfId="54" dataCellStyle="Millares">
      <calculatedColumnFormula array="1">_xll.PrecioBD(AP5,24,"VOLUME AMOUNT","N")</calculatedColumnFormula>
    </tableColumn>
    <tableColumn id="10" xr3:uid="{4B42BDE2-EA2A-4C0D-A715-1DCFC0D33177}" name="Variación" dataDxfId="53" dataCellStyle="Porcentaje">
      <calculatedColumnFormula array="1">_xll.PrecioBD(AP5,24,"IMBALANCE","N")</calculatedColumnFormula>
    </tableColumn>
    <tableColumn id="11" xr3:uid="{CE8113F7-627E-4274-8C10-9CA6FED5FAF8}" name="Periodicidad" dataDxfId="52"/>
    <tableColumn id="12" xr3:uid="{09B9FFB2-95D5-41AB-9C5E-476FF570F381}" name="Lamina minima" dataDxfId="51"/>
    <tableColumn id="13" xr3:uid="{994D34CC-9D16-44BD-996D-18C8AE02726C}" name="Tipo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A73A98-8A69-4D78-8081-DA93B85EDE49}" name="Tabla4" displayName="Tabla4" ref="J53:M96" totalsRowShown="0" tableBorderDxfId="49">
  <autoFilter ref="J53:M96" xr:uid="{35A73A98-8A69-4D78-8081-DA93B85EDE49}"/>
  <sortState xmlns:xlrd2="http://schemas.microsoft.com/office/spreadsheetml/2017/richdata2" ref="J54:M96">
    <sortCondition descending="1" ref="M53:M96"/>
  </sortState>
  <tableColumns count="4">
    <tableColumn id="1" xr3:uid="{9C1BAABD-8E85-4487-B534-00ADCCDDE085}" name="Ticker" dataDxfId="48"/>
    <tableColumn id="2" xr3:uid="{85188432-9456-4B1D-8BC8-AF5E36FF26E5}" name="Precio" dataDxfId="47" dataCellStyle="Millares">
      <calculatedColumnFormula array="1">_xll.PrecioBD(J54,24,"ASK","N")</calculatedColumnFormula>
    </tableColumn>
    <tableColumn id="3" xr3:uid="{C871A784-0FC5-45C3-A622-82E40C9E5E06}" name="Total volume" dataDxfId="46" dataCellStyle="Millares">
      <calculatedColumnFormula array="1">_xll.PrecioBD(J54,24,"VOLUME AMOUNT","N")</calculatedColumnFormula>
    </tableColumn>
    <tableColumn id="4" xr3:uid="{DCF4295C-2AC5-4F20-AE2D-5925B3CB5D3D}" name="Variación" dataDxfId="45" dataCellStyle="Porcentaje">
      <calculatedColumnFormula array="1">_xll.PrecioBD(J54,24,"IMBALANCE","N")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FA2BE-6B9B-4001-AB31-915B5975615A}" name="Tabla68" displayName="Tabla68" ref="J107:O132" totalsRowCount="1" tableBorderDxfId="44">
  <autoFilter ref="J107:O131" xr:uid="{D21FA2BE-6B9B-4001-AB31-915B5975615A}"/>
  <sortState xmlns:xlrd2="http://schemas.microsoft.com/office/spreadsheetml/2017/richdata2" ref="J108:O131">
    <sortCondition descending="1" ref="M107:M131"/>
  </sortState>
  <tableColumns count="6">
    <tableColumn id="1" xr3:uid="{5005335E-876C-4621-88E5-6EDCA299CBE6}" name="Ticker" dataDxfId="43" totalsRowDxfId="42"/>
    <tableColumn id="2" xr3:uid="{D4934F9D-B746-47BA-982B-D82239AA00B3}" name="Precio" dataDxfId="41" totalsRowDxfId="40" dataCellStyle="Millares" totalsRowCellStyle="Millares">
      <calculatedColumnFormula array="1">_xll.PrecioBD(J108,24,"ASK","N")</calculatedColumnFormula>
    </tableColumn>
    <tableColumn id="3" xr3:uid="{2D0D85DC-B2FF-408E-8EE2-202076192AD7}" name="Total volume" dataDxfId="39" totalsRowDxfId="38" dataCellStyle="Millares" totalsRowCellStyle="Millares">
      <calculatedColumnFormula array="1">_xll.PrecioBD(J108,24,"VOLUME AMOUNT","N")</calculatedColumnFormula>
    </tableColumn>
    <tableColumn id="4" xr3:uid="{ECF22C56-E79D-4EAD-8296-EE011CF001E4}" name="Variación" dataDxfId="37" totalsRowDxfId="36" dataCellStyle="Porcentaje" totalsRowCellStyle="Porcentaje">
      <calculatedColumnFormula array="1">_xll.PrecioBD(J108,24,"IMBALANCE","N")</calculatedColumnFormula>
    </tableColumn>
    <tableColumn id="5" xr3:uid="{D034381C-FAA2-4D70-9CD4-5965DE95ED83}" name="Columna1" dataDxfId="35" totalsRowDxfId="34"/>
    <tableColumn id="6" xr3:uid="{94CFA859-2C97-4C32-BF23-BEABD4FCD2C2}" name="Columna2" totalsRowFunction="custom" dataDxfId="33" totalsRowDxfId="32" dataCellStyle="Porcentaje" totalsRowCellStyle="Porcentaje">
      <calculatedColumnFormula>Tabla68[[#This Row],[Columna1]]*Tabla68[[#This Row],[Variación]]</calculatedColumnFormula>
      <totalsRowFormula>SUM(Tabla68[Columna2])</totalsRow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Ns_NY_2" displayName="ONs_NY_2" ref="B4:N60" headerRowDxfId="31" dataDxfId="30" totalsRowDxfId="29">
  <autoFilter ref="B4:N60" xr:uid="{00000000-000C-0000-FFFF-FFFF01000000}"/>
  <sortState xmlns:xlrd2="http://schemas.microsoft.com/office/spreadsheetml/2017/richdata2" ref="B5:N60">
    <sortCondition descending="1" ref="D4:D60"/>
  </sortState>
  <tableColumns count="13">
    <tableColumn id="1" xr3:uid="{00000000-0010-0000-0100-000001000000}" name="Empresa" dataDxfId="28"/>
    <tableColumn id="2" xr3:uid="{00000000-0010-0000-0100-000002000000}" name="Ticker" dataDxfId="27"/>
    <tableColumn id="3" xr3:uid="{00000000-0010-0000-0100-000003000000}" name="TIR" dataDxfId="26"/>
    <tableColumn id="4" xr3:uid="{00000000-0010-0000-0100-000004000000}" name="Precio" dataDxfId="25"/>
    <tableColumn id="5" xr3:uid="{00000000-0010-0000-0100-000005000000}" name="Sin comision" dataDxfId="24"/>
    <tableColumn id="6" xr3:uid="{00000000-0010-0000-0100-000006000000}" name="MD" dataDxfId="23"/>
    <tableColumn id="7" xr3:uid="{00000000-0010-0000-0100-000007000000}" name="Vto" dataDxfId="22"/>
    <tableColumn id="13" xr3:uid="{39785B5C-05E0-4CB9-BFBD-850398DA7192}" name="Ask volume" dataDxfId="21" dataCellStyle="Millares">
      <calculatedColumnFormula array="1">_xll.PrecioBD(ONs_NY_2[[#This Row],[Ticker]],24,"QUANTITY ASK","N")</calculatedColumnFormula>
    </tableColumn>
    <tableColumn id="12" xr3:uid="{4FE1A7FB-D12B-4129-AF58-B281962D6AE3}" name="Total volume" dataDxfId="20" dataCellStyle="Millares">
      <calculatedColumnFormula array="1">_xll.PrecioBD(ONs_NY_2[[#This Row],[Ticker]],24,"VOLUME AMOUNT","N")</calculatedColumnFormula>
    </tableColumn>
    <tableColumn id="8" xr3:uid="{00000000-0010-0000-0100-000008000000}" name="Ley" dataDxfId="19"/>
    <tableColumn id="9" xr3:uid="{00000000-0010-0000-0100-000009000000}" name="Periodicidad" dataDxfId="18"/>
    <tableColumn id="10" xr3:uid="{00000000-0010-0000-0100-00000A000000}" name="Lamina minima" dataDxfId="17"/>
    <tableColumn id="11" xr3:uid="{00000000-0010-0000-0100-00000B000000}" name="Tipo" dataDxfId="16"/>
  </tableColumns>
  <tableStyleInfo name="ONs Argentin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U5:AG5" headerRowCount="0" headerRowDxfId="15" dataDxfId="14" totalsRowDxfId="13">
  <tableColumns count="13">
    <tableColumn id="1" xr3:uid="{00000000-0010-0000-0200-000001000000}" name="Column1" dataDxfId="12"/>
    <tableColumn id="2" xr3:uid="{00000000-0010-0000-0200-000002000000}" name="Column2" dataDxfId="11"/>
    <tableColumn id="3" xr3:uid="{00000000-0010-0000-0200-000003000000}" name="Column3" dataDxfId="10"/>
    <tableColumn id="4" xr3:uid="{00000000-0010-0000-0200-000004000000}" name="Column4" dataDxfId="9"/>
    <tableColumn id="5" xr3:uid="{00000000-0010-0000-0200-000005000000}" name="Column5" dataDxfId="8"/>
    <tableColumn id="6" xr3:uid="{00000000-0010-0000-0200-000006000000}" name="Column6" dataDxfId="7"/>
    <tableColumn id="7" xr3:uid="{00000000-0010-0000-0200-000007000000}" name="Column7" dataDxfId="6"/>
    <tableColumn id="8" xr3:uid="{00000000-0010-0000-0200-000008000000}" name="Column8" dataDxfId="5"/>
    <tableColumn id="9" xr3:uid="{00000000-0010-0000-0200-000009000000}" name="Column9" dataDxfId="4"/>
    <tableColumn id="10" xr3:uid="{00000000-0010-0000-0200-00000A000000}" name="Column10" dataDxfId="3"/>
    <tableColumn id="11" xr3:uid="{00000000-0010-0000-0200-00000B000000}" name="Column11" dataDxfId="2"/>
    <tableColumn id="12" xr3:uid="{00000000-0010-0000-0200-00000C000000}" name="Column12" dataDxfId="1"/>
    <tableColumn id="13" xr3:uid="{00000000-0010-0000-0200-00000D000000}" name="Column13" dataDxfId="0"/>
  </tableColumns>
  <tableStyleInfo name="ONs Argentin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cra.gob.ar/plazos-fijos-online/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va.com/perfil/EDN" TargetMode="External"/><Relationship Id="rId13" Type="http://schemas.openxmlformats.org/officeDocument/2006/relationships/hyperlink" Target="https://www.rava.com/perfil/PAMP" TargetMode="External"/><Relationship Id="rId18" Type="http://schemas.openxmlformats.org/officeDocument/2006/relationships/hyperlink" Target="https://www.rava.com/perfil/TRAN" TargetMode="External"/><Relationship Id="rId3" Type="http://schemas.openxmlformats.org/officeDocument/2006/relationships/hyperlink" Target="https://www.rava.com/perfil/BMA" TargetMode="External"/><Relationship Id="rId21" Type="http://schemas.openxmlformats.org/officeDocument/2006/relationships/hyperlink" Target="https://www.rava.com/perfil/YPFD" TargetMode="External"/><Relationship Id="rId7" Type="http://schemas.openxmlformats.org/officeDocument/2006/relationships/hyperlink" Target="https://www.rava.com/perfil/CRES" TargetMode="External"/><Relationship Id="rId12" Type="http://schemas.openxmlformats.org/officeDocument/2006/relationships/hyperlink" Target="https://www.rava.com/perfil/METR" TargetMode="External"/><Relationship Id="rId17" Type="http://schemas.openxmlformats.org/officeDocument/2006/relationships/hyperlink" Target="https://www.rava.com/perfil/TGSU2" TargetMode="External"/><Relationship Id="rId2" Type="http://schemas.openxmlformats.org/officeDocument/2006/relationships/hyperlink" Target="https://www.rava.com/perfil/BBAR" TargetMode="External"/><Relationship Id="rId16" Type="http://schemas.openxmlformats.org/officeDocument/2006/relationships/hyperlink" Target="https://www.rava.com/perfil/TGNO4" TargetMode="External"/><Relationship Id="rId20" Type="http://schemas.openxmlformats.org/officeDocument/2006/relationships/hyperlink" Target="https://www.rava.com/perfil/VALO" TargetMode="External"/><Relationship Id="rId1" Type="http://schemas.openxmlformats.org/officeDocument/2006/relationships/hyperlink" Target="https://www.rava.com/perfil/ALUA" TargetMode="External"/><Relationship Id="rId6" Type="http://schemas.openxmlformats.org/officeDocument/2006/relationships/hyperlink" Target="https://www.rava.com/perfil/COME" TargetMode="External"/><Relationship Id="rId11" Type="http://schemas.openxmlformats.org/officeDocument/2006/relationships/hyperlink" Target="https://www.rava.com/perfil/LOMA" TargetMode="External"/><Relationship Id="rId5" Type="http://schemas.openxmlformats.org/officeDocument/2006/relationships/hyperlink" Target="https://www.rava.com/perfil/CEPU" TargetMode="External"/><Relationship Id="rId15" Type="http://schemas.openxmlformats.org/officeDocument/2006/relationships/hyperlink" Target="https://www.rava.com/perfil/TECO2" TargetMode="External"/><Relationship Id="rId10" Type="http://schemas.openxmlformats.org/officeDocument/2006/relationships/hyperlink" Target="https://www.rava.com/perfil/IRSA" TargetMode="External"/><Relationship Id="rId19" Type="http://schemas.openxmlformats.org/officeDocument/2006/relationships/hyperlink" Target="https://www.rava.com/perfil/TXAR" TargetMode="External"/><Relationship Id="rId4" Type="http://schemas.openxmlformats.org/officeDocument/2006/relationships/hyperlink" Target="https://www.rava.com/perfil/BYMA" TargetMode="External"/><Relationship Id="rId9" Type="http://schemas.openxmlformats.org/officeDocument/2006/relationships/hyperlink" Target="https://www.rava.com/perfil/GGAL" TargetMode="External"/><Relationship Id="rId14" Type="http://schemas.openxmlformats.org/officeDocument/2006/relationships/hyperlink" Target="https://www.rava.com/perfil/SUPV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https://app.powerbi.com/links/IE6ye0vHLu?ctid=1123ebae-a006-42c7-9ea3-c84a2feb0e65&amp;pbi_source=linkShare&amp;bookmarkGuid=29b15526-f144-4140-a148-bdfde3f8fa32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https://app.powerbi.com/links/IE6ye0vHLu?ctid=1123ebae-a006-42c7-9ea3-c84a2feb0e65&amp;pbi_source=linkShare&amp;bookmarkGuid=b6b4914a-bb65-4140-ad87-5fa3f40adcbd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F7CD-CFAD-4118-B2CB-491C92740DD3}">
  <dimension ref="A1:BC104857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baseColWidth="10" defaultColWidth="11" defaultRowHeight="13.8"/>
  <cols>
    <col min="1" max="1" width="13.09765625" style="69" bestFit="1" customWidth="1"/>
    <col min="2" max="2" width="1.8984375" style="69" customWidth="1"/>
    <col min="3" max="3" width="14.69921875" style="69" customWidth="1"/>
    <col min="4" max="4" width="13.3984375" style="69" customWidth="1"/>
    <col min="5" max="5" width="13.09765625" style="69" bestFit="1" customWidth="1"/>
    <col min="6" max="6" width="25" style="69" customWidth="1"/>
    <col min="7" max="8" width="11" style="69"/>
    <col min="9" max="9" width="13.5" style="69" bestFit="1" customWidth="1"/>
    <col min="10" max="10" width="13" style="69" customWidth="1"/>
    <col min="11" max="11" width="13.69921875" style="69" bestFit="1" customWidth="1"/>
    <col min="12" max="12" width="15.5" style="69" customWidth="1"/>
    <col min="13" max="13" width="10.8984375" style="69" customWidth="1"/>
    <col min="14" max="14" width="10.59765625" style="69" customWidth="1"/>
    <col min="15" max="15" width="11.59765625" style="69" bestFit="1" customWidth="1"/>
    <col min="16" max="16" width="14.5" style="69" customWidth="1"/>
    <col min="17" max="17" width="14.59765625" style="69" bestFit="1" customWidth="1"/>
    <col min="18" max="18" width="15.5" style="69" customWidth="1"/>
    <col min="19" max="19" width="15.19921875" style="69" bestFit="1" customWidth="1"/>
    <col min="20" max="23" width="18.19921875" style="69" customWidth="1"/>
    <col min="24" max="24" width="14.09765625" style="69" bestFit="1" customWidth="1"/>
    <col min="25" max="25" width="14.19921875" style="69" customWidth="1"/>
    <col min="26" max="26" width="15.3984375" style="69" customWidth="1"/>
    <col min="27" max="27" width="15.19921875" style="69" bestFit="1" customWidth="1"/>
    <col min="28" max="28" width="10.5" style="69" bestFit="1" customWidth="1"/>
    <col min="29" max="29" width="12.3984375" style="69" customWidth="1"/>
    <col min="30" max="31" width="12.8984375" style="69" bestFit="1" customWidth="1"/>
    <col min="32" max="32" width="15.59765625" style="69" bestFit="1" customWidth="1"/>
    <col min="33" max="33" width="11" style="69"/>
    <col min="34" max="34" width="13.5" style="69" customWidth="1"/>
    <col min="35" max="37" width="11" style="69"/>
    <col min="38" max="38" width="15.5" style="69" bestFit="1" customWidth="1"/>
    <col min="39" max="39" width="16.5" style="69" bestFit="1" customWidth="1"/>
    <col min="40" max="47" width="11" style="69"/>
    <col min="48" max="48" width="12" style="69" customWidth="1"/>
    <col min="49" max="49" width="11.8984375" style="69" customWidth="1"/>
    <col min="50" max="50" width="13.09765625" style="69" customWidth="1"/>
    <col min="51" max="51" width="11" style="69"/>
    <col min="52" max="52" width="12.8984375" style="69" customWidth="1"/>
    <col min="53" max="53" width="15.19921875" style="69" customWidth="1"/>
    <col min="54" max="16384" width="11" style="69"/>
  </cols>
  <sheetData>
    <row r="1" spans="1:55">
      <c r="A1" s="225" t="s">
        <v>5982</v>
      </c>
      <c r="C1" s="69" t="s">
        <v>813</v>
      </c>
      <c r="D1" s="106">
        <f ca="1">TODAY()+3</f>
        <v>46068</v>
      </c>
      <c r="V1" s="91" t="s">
        <v>96</v>
      </c>
      <c r="W1" s="265">
        <f>I15</f>
        <v>1438.5999755859375</v>
      </c>
    </row>
    <row r="2" spans="1:55">
      <c r="A2" s="225" t="s">
        <v>779</v>
      </c>
      <c r="AI2" s="69" t="s">
        <v>5980</v>
      </c>
    </row>
    <row r="3" spans="1:55">
      <c r="A3" s="225" t="s">
        <v>5983</v>
      </c>
    </row>
    <row r="4" spans="1:55">
      <c r="A4" s="225" t="s">
        <v>5984</v>
      </c>
      <c r="C4" s="224" t="s">
        <v>779</v>
      </c>
      <c r="D4" s="99" t="s">
        <v>775</v>
      </c>
      <c r="E4" s="99" t="s">
        <v>774</v>
      </c>
      <c r="F4" s="99" t="s">
        <v>776</v>
      </c>
      <c r="G4" s="99" t="s">
        <v>777</v>
      </c>
      <c r="H4" s="99" t="s">
        <v>778</v>
      </c>
      <c r="I4" s="99" t="s">
        <v>581</v>
      </c>
      <c r="J4" s="100"/>
      <c r="K4" s="234" t="s">
        <v>3</v>
      </c>
      <c r="L4" s="235" t="s">
        <v>564</v>
      </c>
      <c r="M4" s="234" t="s">
        <v>776</v>
      </c>
      <c r="N4" s="326"/>
      <c r="O4" s="236" t="s">
        <v>5945</v>
      </c>
      <c r="P4" s="237" t="s">
        <v>3</v>
      </c>
      <c r="Q4" s="238" t="s">
        <v>482</v>
      </c>
      <c r="R4" s="238" t="s">
        <v>5944</v>
      </c>
      <c r="S4" s="239" t="s">
        <v>564</v>
      </c>
      <c r="T4" s="259" t="s">
        <v>566</v>
      </c>
      <c r="U4" s="259" t="s">
        <v>5967</v>
      </c>
      <c r="V4" s="115" t="s">
        <v>777</v>
      </c>
      <c r="W4" s="115" t="s">
        <v>778</v>
      </c>
      <c r="X4" s="115" t="s">
        <v>5182</v>
      </c>
      <c r="Y4" s="115" t="s">
        <v>5979</v>
      </c>
      <c r="Z4" s="116" t="s">
        <v>5981</v>
      </c>
      <c r="AA4" s="259" t="s">
        <v>5968</v>
      </c>
      <c r="AB4" s="259" t="s">
        <v>5966</v>
      </c>
      <c r="AC4" s="263"/>
      <c r="AD4" s="258" t="s">
        <v>5198</v>
      </c>
      <c r="AE4" s="114" t="s">
        <v>3</v>
      </c>
      <c r="AF4" s="115" t="s">
        <v>4</v>
      </c>
      <c r="AG4" s="115" t="s">
        <v>7</v>
      </c>
      <c r="AH4" s="115" t="s">
        <v>777</v>
      </c>
      <c r="AI4" s="115" t="s">
        <v>778</v>
      </c>
      <c r="AJ4" s="115" t="s">
        <v>5182</v>
      </c>
      <c r="AK4" s="115" t="s">
        <v>5979</v>
      </c>
      <c r="AL4" s="116" t="s">
        <v>5981</v>
      </c>
      <c r="AM4" s="116" t="s">
        <v>564</v>
      </c>
      <c r="AO4" s="334" t="s">
        <v>2</v>
      </c>
      <c r="AP4" s="114" t="s">
        <v>3</v>
      </c>
      <c r="AQ4" s="115" t="s">
        <v>4</v>
      </c>
      <c r="AR4" s="115" t="s">
        <v>7</v>
      </c>
      <c r="AS4" s="115" t="s">
        <v>8</v>
      </c>
      <c r="AT4" s="115" t="s">
        <v>5985</v>
      </c>
      <c r="AU4" s="115" t="s">
        <v>5986</v>
      </c>
      <c r="AV4" s="115" t="s">
        <v>5182</v>
      </c>
      <c r="AW4" s="115" t="s">
        <v>98</v>
      </c>
      <c r="AX4" s="115" t="s">
        <v>99</v>
      </c>
      <c r="AY4" s="115" t="s">
        <v>564</v>
      </c>
      <c r="AZ4" s="115" t="s">
        <v>10</v>
      </c>
      <c r="BA4" s="115" t="s">
        <v>11</v>
      </c>
      <c r="BB4" s="115" t="s">
        <v>12</v>
      </c>
    </row>
    <row r="5" spans="1:55">
      <c r="A5" s="225" t="s">
        <v>5946</v>
      </c>
      <c r="D5" s="240" t="s">
        <v>553</v>
      </c>
      <c r="E5" s="231">
        <v>1</v>
      </c>
      <c r="F5" s="241">
        <f>VLOOKUP(E5,Caucho!$E$2:$N$65,3,FALSE)</f>
        <v>1.01E-2</v>
      </c>
      <c r="G5" s="331">
        <f>VLOOKUP(E5,Caucho!$E$2:$N$65,7,FALSE)</f>
        <v>9.7000000000000003E-3</v>
      </c>
      <c r="H5" s="98">
        <f>VLOOKUP(E5,Caucho!$E$2:$N$65,8,FALSE)</f>
        <v>1.01E-2</v>
      </c>
      <c r="I5" s="242">
        <f>VLOOKUP(E5,Caucho!$E$2:$N$65,10,FALSE)</f>
        <v>1.0170026E-2</v>
      </c>
      <c r="J5" s="103"/>
      <c r="K5" s="292" t="s">
        <v>5946</v>
      </c>
      <c r="L5" s="289">
        <f>AVERAGE(Tabla11[Variación])</f>
        <v>2.3285714285714285E-3</v>
      </c>
      <c r="M5" s="293">
        <f ca="1">AVERAGE(Tabla11[TEM])</f>
        <v>2.7271311054923673E-2</v>
      </c>
      <c r="N5" s="327"/>
      <c r="P5" s="254"/>
      <c r="Q5" s="255"/>
      <c r="R5" s="256"/>
      <c r="S5" s="233"/>
      <c r="T5" s="260"/>
      <c r="U5" s="261"/>
      <c r="V5" s="302"/>
      <c r="W5" s="305"/>
      <c r="X5" s="299"/>
      <c r="Y5" s="299"/>
      <c r="Z5" s="306"/>
      <c r="AA5" s="260"/>
      <c r="AB5" s="280"/>
      <c r="AC5" s="262"/>
      <c r="AE5" s="206" t="s">
        <v>5192</v>
      </c>
      <c r="AF5" s="121" cm="1">
        <f t="array" aca="1" ref="AF5" ca="1">INDIRECT("'" &amp; Tabla9[[#This Row],[Ticker]] &amp; "'!K4")</f>
        <v>9.2724558711051938E-2</v>
      </c>
      <c r="AG5" s="298" cm="1">
        <f t="array" aca="1" ref="AG5" ca="1">INDIRECT("'" &amp; Tabla9[[#This Row],[Ticker]] &amp; "'!K3")</f>
        <v>4.9172260790585076</v>
      </c>
      <c r="AH5" s="302" cm="1">
        <f t="array" ref="AH5">_xll.PrecioBD(Tabla9[[#This Row],[Ticker]],"24","BID","N")</f>
        <v>81.47</v>
      </c>
      <c r="AI5" s="305" cm="1">
        <f t="array" ref="AI5">_xll.PrecioBD(Tabla9[[#This Row],[Ticker]],"24","ASK","N")</f>
        <v>81.48</v>
      </c>
      <c r="AJ5" s="299" cm="1">
        <f t="array" ref="AJ5">_xll.PrecioBD(Tabla9[[#This Row],[Ticker]],24,"QUANTITY BID","N")</f>
        <v>2193</v>
      </c>
      <c r="AK5" s="299" cm="1">
        <f t="array" ref="AK5">_xll.PrecioBD(Tabla9[[#This Row],[Ticker]],24,"QUANTITY ASK","N")</f>
        <v>994</v>
      </c>
      <c r="AL5" s="306" cm="1">
        <f t="array" ref="AL5">_xll.PrecioBD(Tabla9[[#This Row],[Ticker]],24,"VOLUME AMOUNT","N")</f>
        <v>1057046.42</v>
      </c>
      <c r="AM5" s="205" cm="1">
        <f t="array" ref="AM5">_xll.PrecioBD(Tabla9[[#This Row],[Ticker]],24,"IMBALANCE","N")</f>
        <v>-1.4E-3</v>
      </c>
      <c r="AP5" s="337" t="s">
        <v>30</v>
      </c>
      <c r="AQ5" s="121" cm="1">
        <f t="array" aca="1" ref="AQ5" ca="1">INDIRECT("'" &amp; AP5 &amp; "'!K4")</f>
        <v>8.8503292202949516E-2</v>
      </c>
      <c r="AR5" s="344" cm="1">
        <f t="array" aca="1" ref="AR5" ca="1">INDIRECT("'" &amp; AP5 &amp; "'!K3")</f>
        <v>3.3903709130044795</v>
      </c>
      <c r="AS5" s="343">
        <v>47822</v>
      </c>
      <c r="AT5" s="347" cm="1">
        <f t="array" ref="AT5">_xll.PrecioBD(AP5,"24","BID","N")</f>
        <v>105.4</v>
      </c>
      <c r="AU5" s="345" cm="1">
        <f t="array" ref="AU5">_xll.PrecioBD(AP5,"24","ASK","N")</f>
        <v>105.7</v>
      </c>
      <c r="AV5" s="349" cm="1">
        <f t="array" ref="AV5">_xll.PrecioBD(AP5,24,"QUANTITY BID","N")</f>
        <v>1812</v>
      </c>
      <c r="AW5" s="349" cm="1">
        <f t="array" ref="AW5">_xll.PrecioBD(AP5,24,"QUANTITY ASK","N")</f>
        <v>1064</v>
      </c>
      <c r="AX5" s="349" cm="1">
        <f t="array" ref="AX5">_xll.PrecioBD(AP5,24,"VOLUME AMOUNT","N")</f>
        <v>18647.88</v>
      </c>
      <c r="AY5" s="348" cm="1">
        <f t="array" ref="AY5">_xll.PrecioBD(AP5,24,"IMBALANCE","N")</f>
        <v>6.1000000000000004E-3</v>
      </c>
      <c r="AZ5" s="350" t="s">
        <v>5186</v>
      </c>
      <c r="BA5" s="350">
        <v>1</v>
      </c>
      <c r="BB5" s="350" t="s">
        <v>5184</v>
      </c>
      <c r="BC5" s="71"/>
    </row>
    <row r="6" spans="1:55">
      <c r="A6" s="225" t="s">
        <v>5198</v>
      </c>
      <c r="D6" s="240" t="s">
        <v>553</v>
      </c>
      <c r="E6" s="231">
        <v>7</v>
      </c>
      <c r="F6" s="241">
        <f>VLOOKUP(E6,Caucho!$E$2:$N$65,3,FALSE)</f>
        <v>1.4999999999999999E-2</v>
      </c>
      <c r="G6" s="331">
        <f>VLOOKUP(E6,Caucho!$E$2:$N$65,7,FALSE)</f>
        <v>1.2500000000000001E-2</v>
      </c>
      <c r="H6" s="98">
        <f>VLOOKUP(E6,Caucho!$E$2:$N$65,8,FALSE)</f>
        <v>1.4999999999999999E-2</v>
      </c>
      <c r="I6" s="242">
        <f>VLOOKUP(E6,Caucho!$E$2:$N$65,10,FALSE)</f>
        <v>1.6787804E-2</v>
      </c>
      <c r="J6" s="103"/>
      <c r="K6" s="294" t="s">
        <v>5198</v>
      </c>
      <c r="L6" s="289">
        <f>AVERAGE(Tabla9[Variación])</f>
        <v>1.7000000000000001E-3</v>
      </c>
      <c r="M6" s="293">
        <f ca="1">AVERAGE(Tabla9[TIR])</f>
        <v>8.0722115039825446E-2</v>
      </c>
      <c r="N6" s="327"/>
      <c r="P6" s="254" t="s">
        <v>5207</v>
      </c>
      <c r="Q6" s="255" cm="1">
        <f t="array" aca="1" ref="Q6" ca="1">INDIRECT("'" &amp; P6 &amp; "'!J6")</f>
        <v>3.1282205435527954E-2</v>
      </c>
      <c r="R6" s="256" cm="1">
        <f t="array" aca="1" ref="R6" ca="1">INDIRECT("'" &amp; P6&amp; "'!B3")</f>
        <v>46080</v>
      </c>
      <c r="S6" s="233" cm="1">
        <f t="array" ref="S6">_xll.PrecioBD(P6,24,"IMBALANCE","N")</f>
        <v>2.0000000000000001E-4</v>
      </c>
      <c r="T6" s="260" cm="1">
        <f t="array" aca="1" ref="T6" ca="1">INDIRECT("'" &amp; Tabla11[[#This Row],[Ticker]]&amp; "'!J5")</f>
        <v>0.37188974688975174</v>
      </c>
      <c r="U6" s="261">
        <f ca="1">Tabla11[[#This Row],[Vencimiento]]-$D$1</f>
        <v>12</v>
      </c>
      <c r="V6" s="302" cm="1">
        <f t="array" ref="V6">_xll.PrecioBD(Tabla11[[#This Row],[Ticker]],"24","BID","N")</f>
        <v>124.315</v>
      </c>
      <c r="W6" s="305" cm="1">
        <f t="array" ref="W6">_xll.PrecioBD(Tabla11[[#This Row],[Ticker]],"24","ASK","N")</f>
        <v>124.32</v>
      </c>
      <c r="X6" s="299" cm="1">
        <f t="array" ref="X6">_xll.PrecioBD(Tabla11[[#This Row],[Ticker]],24,"QUANTITY BID","N")</f>
        <v>31951733</v>
      </c>
      <c r="Y6" s="299" cm="1">
        <f t="array" ref="Y6">_xll.PrecioBD(Tabla11[[#This Row],[Ticker]],24,"QUANTITY ASK","N")</f>
        <v>11705293</v>
      </c>
      <c r="Z6" s="261" cm="1">
        <f t="array" ref="Z6">_xll.PrecioBD(Tabla11[[#This Row],[Ticker]],24,"VOLUME AMOUNT","N")</f>
        <v>9259727319.9500008</v>
      </c>
      <c r="AA6" s="260">
        <f ca="1">Tabla11[[#This Row],[TNA]]/365*Tabla11[[#This Row],[Días a vencimiento]]</f>
        <v>1.2226512226512387E-2</v>
      </c>
      <c r="AB6" s="280">
        <f ca="1">$I$15*(1+Tabla11[[#This Row],[TNA]]/365*Tabla11[[#This Row],[Días a vencimiento]])</f>
        <v>1456.1890357764994</v>
      </c>
      <c r="AC6" s="262"/>
      <c r="AE6" s="206" t="s">
        <v>5190</v>
      </c>
      <c r="AF6" s="121" cm="1">
        <f t="array" aca="1" ref="AF6" ca="1">INDIRECT("'" &amp; Tabla9[[#This Row],[Ticker]] &amp; "'!K4")</f>
        <v>9.122848808765413E-2</v>
      </c>
      <c r="AG6" s="298" cm="1">
        <f t="array" aca="1" ref="AG6" ca="1">INDIRECT("'" &amp; Tabla9[[#This Row],[Ticker]] &amp; "'!K3")</f>
        <v>5.658208896790164</v>
      </c>
      <c r="AH6" s="303" cm="1">
        <f t="array" ref="AH6">_xll.PrecioBD(Tabla9[[#This Row],[Ticker]],"24","BID","N")</f>
        <v>78.77</v>
      </c>
      <c r="AI6" s="305" cm="1">
        <f t="array" ref="AI6">_xll.PrecioBD(Tabla9[[#This Row],[Ticker]],"24","ASK","N")</f>
        <v>78.83</v>
      </c>
      <c r="AJ6" s="300" cm="1">
        <f t="array" ref="AJ6">_xll.PrecioBD(Tabla9[[#This Row],[Ticker]],24,"QUANTITY BID","N")</f>
        <v>3062</v>
      </c>
      <c r="AK6" s="300" cm="1">
        <f t="array" ref="AK6">_xll.PrecioBD(Tabla9[[#This Row],[Ticker]],24,"QUANTITY ASK","N")</f>
        <v>1738</v>
      </c>
      <c r="AL6" s="307" cm="1">
        <f t="array" ref="AL6">_xll.PrecioBD(Tabla9[[#This Row],[Ticker]],24,"VOLUME AMOUNT","N")</f>
        <v>605208.73</v>
      </c>
      <c r="AM6" s="205" cm="1">
        <f t="array" ref="AM6">_xll.PrecioBD(Tabla9[[#This Row],[Ticker]],24,"IMBALANCE","N")</f>
        <v>-6.9999999999999999E-4</v>
      </c>
      <c r="AP6" s="337" t="s">
        <v>29</v>
      </c>
      <c r="AQ6" s="121" cm="1">
        <f t="array" aca="1" ref="AQ6" ca="1">INDIRECT("'" &amp; AP6 &amp; "'!K4")</f>
        <v>8.5928508639335613E-2</v>
      </c>
      <c r="AR6" s="344" cm="1">
        <f t="array" aca="1" ref="AR6" ca="1">INDIRECT("'" &amp; AP6 &amp; "'!K3")</f>
        <v>2.9700446881628433</v>
      </c>
      <c r="AS6" s="343">
        <v>47780</v>
      </c>
      <c r="AT6" s="347" cm="1">
        <f t="array" ref="AT6">_xll.PrecioBD(AP6,"24","BID","N")</f>
        <v>107</v>
      </c>
      <c r="AU6" s="305" cm="1">
        <f t="array" ref="AU6">_xll.PrecioBD(AP6,"24","ASK","N")</f>
        <v>107.15</v>
      </c>
      <c r="AV6" s="336" cm="1">
        <f t="array" ref="AV6">_xll.PrecioBD(AP6,24,"QUANTITY BID","N")</f>
        <v>7300</v>
      </c>
      <c r="AW6" s="336" cm="1">
        <f t="array" ref="AW6">_xll.PrecioBD(AP6,24,"QUANTITY ASK","N")</f>
        <v>2300</v>
      </c>
      <c r="AX6" s="335" cm="1">
        <f t="array" ref="AX6">_xll.PrecioBD(AP6,24,"VOLUME AMOUNT","N")</f>
        <v>94696</v>
      </c>
      <c r="AY6" s="120" cm="1">
        <f t="array" ref="AY6">_xll.PrecioBD(AP6,24,"IMBALANCE","N")</f>
        <v>0</v>
      </c>
      <c r="AZ6" s="342" t="s">
        <v>5186</v>
      </c>
      <c r="BA6" s="346">
        <v>1000</v>
      </c>
      <c r="BB6" s="350" t="s">
        <v>5184</v>
      </c>
      <c r="BC6" s="71"/>
    </row>
    <row r="7" spans="1:55">
      <c r="A7" s="225" t="s">
        <v>5987</v>
      </c>
      <c r="D7" s="240" t="s">
        <v>553</v>
      </c>
      <c r="E7" s="231">
        <v>31</v>
      </c>
      <c r="F7" s="241" t="e">
        <f>VLOOKUP(E7,Caucho!$E$2:$N$65,3,FALSE)</f>
        <v>#N/A</v>
      </c>
      <c r="G7" s="331" t="e">
        <f>VLOOKUP(E7,Caucho!$E$2:$N$65,7,FALSE)</f>
        <v>#N/A</v>
      </c>
      <c r="H7" s="98" t="e">
        <f>VLOOKUP(E7,Caucho!$E$2:$N$65,8,FALSE)</f>
        <v>#N/A</v>
      </c>
      <c r="I7" s="242" t="e">
        <f>VLOOKUP(E7,Caucho!$E$2:$N$65,10,FALSE)</f>
        <v>#N/A</v>
      </c>
      <c r="J7" s="103"/>
      <c r="K7" s="290" t="s">
        <v>5947</v>
      </c>
      <c r="L7" s="289">
        <f>AVERAGE(Tabla1[Variación])</f>
        <v>3.2499999999999999E-4</v>
      </c>
      <c r="M7" s="293">
        <f ca="1">AVERAGE(AQ2:AQ19)</f>
        <v>7.4338262677192679E-2</v>
      </c>
      <c r="N7" s="327"/>
      <c r="P7" s="254" t="s">
        <v>5208</v>
      </c>
      <c r="Q7" s="255" cm="1">
        <f t="array" aca="1" ref="Q7" ca="1">INDIRECT("'" &amp; P7 &amp; "'!J6")</f>
        <v>2.9721471588170845E-2</v>
      </c>
      <c r="R7" s="256" cm="1">
        <f t="array" aca="1" ref="R7" ca="1">INDIRECT("'" &amp; P7&amp; "'!B3")</f>
        <v>46097</v>
      </c>
      <c r="S7" s="233" cm="1">
        <f t="array" ref="S7">_xll.PrecioBD(P7,24,"IMBALANCE","N")</f>
        <v>1.1999999999999999E-3</v>
      </c>
      <c r="T7" s="260" cm="1">
        <f t="array" aca="1" ref="T7" ca="1">INDIRECT("'" &amp; Tabla11[[#This Row],[Ticker]]&amp; "'!J5")</f>
        <v>0.35641332199046843</v>
      </c>
      <c r="U7" s="261">
        <f ca="1">Tabla11[[#This Row],[Vencimiento]]-$D$1</f>
        <v>29</v>
      </c>
      <c r="V7" s="302" cm="1">
        <f t="array" ref="V7">_xll.PrecioBD(Tabla11[[#This Row],[Ticker]],"24","BID","N")</f>
        <v>101.72499999999999</v>
      </c>
      <c r="W7" s="305" cm="1">
        <f t="array" ref="W7">_xll.PrecioBD(Tabla11[[#This Row],[Ticker]],"24","ASK","N")</f>
        <v>101.74</v>
      </c>
      <c r="X7" s="299" cm="1">
        <f t="array" ref="X7">_xll.PrecioBD(Tabla11[[#This Row],[Ticker]],24,"QUANTITY BID","N")</f>
        <v>100</v>
      </c>
      <c r="Y7" s="299" cm="1">
        <f t="array" ref="Y7">_xll.PrecioBD(Tabla11[[#This Row],[Ticker]],24,"QUANTITY ASK","N")</f>
        <v>27975415</v>
      </c>
      <c r="Z7" s="261" cm="1">
        <f t="array" ref="Z7">_xll.PrecioBD(Tabla11[[#This Row],[Ticker]],24,"VOLUME AMOUNT","N")</f>
        <v>23446819631.889999</v>
      </c>
      <c r="AA7" s="260">
        <f ca="1">Tabla11[[#This Row],[TNA]]/365*Tabla11[[#This Row],[Días a vencimiento]]</f>
        <v>2.8317770788283791E-2</v>
      </c>
      <c r="AB7" s="280">
        <f ca="1">$I$15*(1+Tabla11[[#This Row],[TNA]]/365*Tabla11[[#This Row],[Días a vencimiento]])</f>
        <v>1479.3379199506107</v>
      </c>
      <c r="AC7" s="262"/>
      <c r="AE7" s="207" t="s">
        <v>5191</v>
      </c>
      <c r="AF7" s="121" cm="1">
        <f t="array" aca="1" ref="AF7" ca="1">INDIRECT("'" &amp; Tabla9[[#This Row],[Ticker]] &amp; "'!K4")</f>
        <v>9.0390291810035717E-2</v>
      </c>
      <c r="AG7" s="298" cm="1">
        <f t="array" aca="1" ref="AG7" ca="1">INDIRECT("'" &amp; Tabla9[[#This Row],[Ticker]] &amp; "'!K3")</f>
        <v>6.2109541777277935</v>
      </c>
      <c r="AH7" s="303" cm="1">
        <f t="array" ref="AH7">_xll.PrecioBD(Tabla9[[#This Row],[Ticker]],"24","BID","N")</f>
        <v>74.13</v>
      </c>
      <c r="AI7" s="305" cm="1">
        <f t="array" ref="AI7">_xll.PrecioBD(Tabla9[[#This Row],[Ticker]],"24","ASK","N")</f>
        <v>74.150000000000006</v>
      </c>
      <c r="AJ7" s="300" cm="1">
        <f t="array" ref="AJ7">_xll.PrecioBD(Tabla9[[#This Row],[Ticker]],24,"QUANTITY BID","N")</f>
        <v>1680</v>
      </c>
      <c r="AK7" s="300" cm="1">
        <f t="array" ref="AK7">_xll.PrecioBD(Tabla9[[#This Row],[Ticker]],24,"QUANTITY ASK","N")</f>
        <v>7910</v>
      </c>
      <c r="AL7" s="307" cm="1">
        <f t="array" ref="AL7">_xll.PrecioBD(Tabla9[[#This Row],[Ticker]],24,"VOLUME AMOUNT","N")</f>
        <v>92177.52</v>
      </c>
      <c r="AM7" s="205" cm="1">
        <f t="array" ref="AM7">_xll.PrecioBD(Tabla9[[#This Row],[Ticker]],24,"IMBALANCE","N")</f>
        <v>2.7000000000000001E-3</v>
      </c>
      <c r="AP7" s="122" t="s">
        <v>138</v>
      </c>
      <c r="AQ7" s="121" cm="1">
        <f t="array" aca="1" ref="AQ7" ca="1">INDIRECT("'" &amp; AP7 &amp; "'!K4")</f>
        <v>7.6098975539207456E-2</v>
      </c>
      <c r="AR7" s="344" cm="1">
        <f t="array" aca="1" ref="AR7" ca="1">INDIRECT("'" &amp; AP7 &amp; "'!K3")</f>
        <v>6.4927935032483592</v>
      </c>
      <c r="AS7" s="343">
        <v>49695</v>
      </c>
      <c r="AT7" s="347" cm="1">
        <f t="array" ref="AT7">_xll.PrecioBD(AP7,"24","BID","N")</f>
        <v>107.1</v>
      </c>
      <c r="AU7" s="305" cm="1">
        <f t="array" ref="AU7">_xll.PrecioBD(AP7,"24","ASK","N")</f>
        <v>107.45</v>
      </c>
      <c r="AV7" s="336" cm="1">
        <f t="array" ref="AV7">_xll.PrecioBD(AP7,24,"QUANTITY BID","N")</f>
        <v>14542</v>
      </c>
      <c r="AW7" s="336" cm="1">
        <f t="array" ref="AW7">_xll.PrecioBD(AP7,24,"QUANTITY ASK","N")</f>
        <v>1000</v>
      </c>
      <c r="AX7" s="335" cm="1">
        <f t="array" ref="AX7">_xll.PrecioBD(AP7,24,"VOLUME AMOUNT","N")</f>
        <v>93632.85</v>
      </c>
      <c r="AY7" s="120" cm="1">
        <f t="array" ref="AY7">_xll.PrecioBD(AP7,24,"IMBALANCE","N")</f>
        <v>4.0000000000000002E-4</v>
      </c>
      <c r="AZ7" s="350"/>
      <c r="BA7" s="350">
        <v>0</v>
      </c>
      <c r="BB7" s="350">
        <v>0</v>
      </c>
      <c r="BC7" s="71"/>
    </row>
    <row r="8" spans="1:55">
      <c r="A8" s="225" t="s">
        <v>5187</v>
      </c>
      <c r="D8" s="240" t="s">
        <v>563</v>
      </c>
      <c r="E8" s="231">
        <v>1</v>
      </c>
      <c r="F8" s="241">
        <f>VLOOKUP(E8,Caucho!$E$66:$N$141,3,FALSE)</f>
        <v>0.29799999999999999</v>
      </c>
      <c r="G8" s="331">
        <f>VLOOKUP(E8,Caucho!$E$66:$N$141,7,FALSE)</f>
        <v>0.29799999999999999</v>
      </c>
      <c r="H8" s="98">
        <f>VLOOKUP(E8,Caucho!$E$66:$N$141,8,FALSE)</f>
        <v>0.29899999999999999</v>
      </c>
      <c r="I8" s="242">
        <f>VLOOKUP(E8,Caucho!$E$66:$N$141,10,FALSE)</f>
        <v>0.27311917099999999</v>
      </c>
      <c r="J8" s="103"/>
      <c r="K8" s="288" t="s">
        <v>320</v>
      </c>
      <c r="L8" s="289" cm="1">
        <f t="array" ref="L8">_xll.PrecioBD(K8,24,"IMBALANCE","N")</f>
        <v>0</v>
      </c>
      <c r="M8" s="371"/>
      <c r="N8" s="327"/>
      <c r="P8" s="254" t="s">
        <v>5209</v>
      </c>
      <c r="Q8" s="255" cm="1">
        <f t="array" aca="1" ref="Q8" ca="1">INDIRECT("'" &amp; P8 &amp; "'!J6")</f>
        <v>2.9462417588290934E-2</v>
      </c>
      <c r="R8" s="256" cm="1">
        <f t="array" aca="1" ref="R8" ca="1">INDIRECT("'" &amp; P8&amp; "'!B3")</f>
        <v>46129</v>
      </c>
      <c r="S8" s="233" cm="1">
        <f t="array" ref="S8">_xll.PrecioBD(P8,24,"IMBALANCE","N")</f>
        <v>1.1000000000000001E-3</v>
      </c>
      <c r="T8" s="260" cm="1">
        <f t="array" aca="1" ref="T8" ca="1">INDIRECT("'" &amp; Tabla11[[#This Row],[Ticker]]&amp; "'!J5")</f>
        <v>0.35878603322867181</v>
      </c>
      <c r="U8" s="261">
        <f ca="1">Tabla11[[#This Row],[Vencimiento]]-$D$1</f>
        <v>61</v>
      </c>
      <c r="V8" s="302" cm="1">
        <f t="array" ref="V8">_xll.PrecioBD(Tabla11[[#This Row],[Ticker]],"24","BID","N")</f>
        <v>103.899</v>
      </c>
      <c r="W8" s="305" cm="1">
        <f t="array" ref="W8">_xll.PrecioBD(Tabla11[[#This Row],[Ticker]],"24","ASK","N")</f>
        <v>103.9</v>
      </c>
      <c r="X8" s="299" cm="1">
        <f t="array" ref="X8">_xll.PrecioBD(Tabla11[[#This Row],[Ticker]],24,"QUANTITY BID","N")</f>
        <v>384989</v>
      </c>
      <c r="Y8" s="299" cm="1">
        <f t="array" ref="Y8">_xll.PrecioBD(Tabla11[[#This Row],[Ticker]],24,"QUANTITY ASK","N")</f>
        <v>499610894</v>
      </c>
      <c r="Z8" s="261" cm="1">
        <f t="array" ref="Z8">_xll.PrecioBD(Tabla11[[#This Row],[Ticker]],24,"VOLUME AMOUNT","N")</f>
        <v>93694605820.009995</v>
      </c>
      <c r="AA8" s="260">
        <f ca="1">Tabla11[[#This Row],[TNA]]/365*Tabla11[[#This Row],[Días a vencimiento]]</f>
        <v>5.9961501443695837E-2</v>
      </c>
      <c r="AB8" s="280">
        <f ca="1">$I$15*(1+Tabla11[[#This Row],[TNA]]/365*Tabla11[[#This Row],[Días a vencimiento]])</f>
        <v>1524.8605900989344</v>
      </c>
      <c r="AC8" s="262"/>
      <c r="AE8" s="207" t="s">
        <v>5196</v>
      </c>
      <c r="AF8" s="121" cm="1">
        <f t="array" aca="1" ref="AF8" ca="1">INDIRECT("'" &amp; Tabla9[[#This Row],[Ticker]] &amp; "'!K4")</f>
        <v>8.8145849108695981E-2</v>
      </c>
      <c r="AG8" s="298" cm="1">
        <f t="array" aca="1" ref="AG8" ca="1">INDIRECT("'" &amp; Tabla9[[#This Row],[Ticker]] &amp; "'!K3")</f>
        <v>6.2475791191036461</v>
      </c>
      <c r="AH8" s="303" cm="1">
        <f t="array" ref="AH8">_xll.PrecioBD(Tabla9[[#This Row],[Ticker]],"24","BID","N")</f>
        <v>75.11</v>
      </c>
      <c r="AI8" s="305" cm="1">
        <f t="array" ref="AI8">_xll.PrecioBD(Tabla9[[#This Row],[Ticker]],"24","ASK","N")</f>
        <v>75.150000000000006</v>
      </c>
      <c r="AJ8" s="300" cm="1">
        <f t="array" ref="AJ8">_xll.PrecioBD(Tabla9[[#This Row],[Ticker]],24,"QUANTITY BID","N")</f>
        <v>10</v>
      </c>
      <c r="AK8" s="300" cm="1">
        <f t="array" ref="AK8">_xll.PrecioBD(Tabla9[[#This Row],[Ticker]],24,"QUANTITY ASK","N")</f>
        <v>10</v>
      </c>
      <c r="AL8" s="307" cm="1">
        <f t="array" ref="AL8">_xll.PrecioBD(Tabla9[[#This Row],[Ticker]],24,"VOLUME AMOUNT","N")</f>
        <v>167503.41</v>
      </c>
      <c r="AM8" s="205" cm="1">
        <f t="array" ref="AM8">_xll.PrecioBD(Tabla9[[#This Row],[Ticker]],24,"IMBALANCE","N")</f>
        <v>1.8E-3</v>
      </c>
      <c r="AP8" s="337" t="s">
        <v>43</v>
      </c>
      <c r="AQ8" s="121" cm="1">
        <f t="array" aca="1" ref="AQ8" ca="1">INDIRECT("'" &amp; AP8 &amp; "'!K4")</f>
        <v>7.7443376183509841E-2</v>
      </c>
      <c r="AR8" s="344" cm="1">
        <f t="array" aca="1" ref="AR8" ca="1">INDIRECT("'" &amp; AP8 &amp; "'!K3")</f>
        <v>4.9623155354422321</v>
      </c>
      <c r="AS8" s="343">
        <v>48726</v>
      </c>
      <c r="AT8" s="347" cm="1">
        <f t="array" ref="AT8">_xll.PrecioBD(AP8,"24","BID","N")</f>
        <v>111.2</v>
      </c>
      <c r="AU8" s="305" cm="1">
        <f t="array" ref="AU8">_xll.PrecioBD(AP8,"24","ASK","N")</f>
        <v>111.3</v>
      </c>
      <c r="AV8" s="336" cm="1">
        <f t="array" ref="AV8">_xll.PrecioBD(AP8,24,"QUANTITY BID","N")</f>
        <v>53310</v>
      </c>
      <c r="AW8" s="336" cm="1">
        <f t="array" ref="AW8">_xll.PrecioBD(AP8,24,"QUANTITY ASK","N")</f>
        <v>71456</v>
      </c>
      <c r="AX8" s="335" cm="1">
        <f t="array" ref="AX8">_xll.PrecioBD(AP8,24,"VOLUME AMOUNT","N")</f>
        <v>182321.69</v>
      </c>
      <c r="AY8" s="120" cm="1">
        <f t="array" ref="AY8">_xll.PrecioBD(AP8,24,"IMBALANCE","N")</f>
        <v>-1.6999999999999999E-3</v>
      </c>
      <c r="AZ8" s="350" t="s">
        <v>5186</v>
      </c>
      <c r="BA8" s="350">
        <v>1</v>
      </c>
      <c r="BB8" s="350" t="s">
        <v>5184</v>
      </c>
      <c r="BC8" s="71"/>
    </row>
    <row r="9" spans="1:55">
      <c r="A9" s="225" t="s">
        <v>6029</v>
      </c>
      <c r="D9" s="240" t="s">
        <v>563</v>
      </c>
      <c r="E9" s="231">
        <v>7</v>
      </c>
      <c r="F9" s="241">
        <f>VLOOKUP(E9,Caucho!$E$66:$N$141,3,FALSE)</f>
        <v>0.31</v>
      </c>
      <c r="G9" s="331">
        <f>VLOOKUP(E9,Caucho!$E$66:$N$141,7,FALSE)</f>
        <v>0.31</v>
      </c>
      <c r="H9" s="98">
        <f>VLOOKUP(E9,Caucho!$E$66:$N$141,8,FALSE)</f>
        <v>0.32</v>
      </c>
      <c r="I9" s="242">
        <f>VLOOKUP(E9,Caucho!$E$66:$N$141,10,FALSE)</f>
        <v>0.29870892700000001</v>
      </c>
      <c r="J9" s="103"/>
      <c r="K9" s="241" t="s">
        <v>463</v>
      </c>
      <c r="L9" s="289" cm="1">
        <f t="array" ref="L9">_xll.PrecioBD(K9,24,"IMBALANCE","N")</f>
        <v>-5.8999999999999999E-3</v>
      </c>
      <c r="M9" s="353"/>
      <c r="N9" s="327"/>
      <c r="P9" s="254" t="s">
        <v>5210</v>
      </c>
      <c r="Q9" s="255" cm="1">
        <f t="array" aca="1" ref="Q9" ca="1">INDIRECT("'" &amp; P9 &amp; "'!J6")</f>
        <v>2.7674298475551584E-2</v>
      </c>
      <c r="R9" s="256" cm="1">
        <f t="array" aca="1" ref="R9" ca="1">INDIRECT("'" &amp; P9&amp; "'!B3")</f>
        <v>46142</v>
      </c>
      <c r="S9" s="233" cm="1">
        <f t="array" ref="S9">_xll.PrecioBD(P9,24,"IMBALANCE","N")</f>
        <v>3.3E-3</v>
      </c>
      <c r="T9" s="260" cm="1">
        <f t="array" aca="1" ref="T9" ca="1">INDIRECT("'" &amp; Tabla11[[#This Row],[Ticker]]&amp; "'!J5")</f>
        <v>0.33870212817051804</v>
      </c>
      <c r="U9" s="261">
        <f ca="1">Tabla11[[#This Row],[Vencimiento]]-$D$1</f>
        <v>74</v>
      </c>
      <c r="V9" s="302" cm="1">
        <f t="array" ref="V9">_xll.PrecioBD(Tabla11[[#This Row],[Ticker]],"24","BID","N")</f>
        <v>119.28</v>
      </c>
      <c r="W9" s="305" cm="1">
        <f t="array" ref="W9">_xll.PrecioBD(Tabla11[[#This Row],[Ticker]],"24","ASK","N")</f>
        <v>119.298</v>
      </c>
      <c r="X9" s="299" cm="1">
        <f t="array" ref="X9">_xll.PrecioBD(Tabla11[[#This Row],[Ticker]],24,"QUANTITY BID","N")</f>
        <v>5045581</v>
      </c>
      <c r="Y9" s="299" cm="1">
        <f t="array" ref="Y9">_xll.PrecioBD(Tabla11[[#This Row],[Ticker]],24,"QUANTITY ASK","N")</f>
        <v>50000000</v>
      </c>
      <c r="Z9" s="261" cm="1">
        <f t="array" ref="Z9">_xll.PrecioBD(Tabla11[[#This Row],[Ticker]],24,"VOLUME AMOUNT","N")</f>
        <v>763668696.20000005</v>
      </c>
      <c r="AA9" s="260">
        <f ca="1">Tabla11[[#This Row],[TNA]]/365*Tabla11[[#This Row],[Días a vencimiento]]</f>
        <v>6.8668376670187214E-2</v>
      </c>
      <c r="AB9" s="280">
        <f ca="1">$I$15*(1+Tabla11[[#This Row],[TNA]]/365*Tabla11[[#This Row],[Días a vencimiento]])</f>
        <v>1537.3863005871947</v>
      </c>
      <c r="AC9" s="262"/>
      <c r="AE9" s="207" t="s">
        <v>5188</v>
      </c>
      <c r="AF9" s="121" cm="1">
        <f t="array" aca="1" ref="AF9" ca="1">INDIRECT("'" &amp; Tabla9[[#This Row],[Ticker]] &amp; "'!K4")</f>
        <v>7.8818210959434531E-2</v>
      </c>
      <c r="AG9" s="298" cm="1">
        <f t="array" aca="1" ref="AG9" ca="1">INDIRECT("'" &amp; Tabla9[[#This Row],[Ticker]] &amp; "'!K3")</f>
        <v>2.1828813032065137</v>
      </c>
      <c r="AH9" s="303" cm="1">
        <f t="array" ref="AH9">_xll.PrecioBD(Tabla9[[#This Row],[Ticker]],"24","BID","N")</f>
        <v>62.15</v>
      </c>
      <c r="AI9" s="305" cm="1">
        <f t="array" ref="AI9">_xll.PrecioBD(Tabla9[[#This Row],[Ticker]],"24","ASK","N")</f>
        <v>62.17</v>
      </c>
      <c r="AJ9" s="300" cm="1">
        <f t="array" ref="AJ9">_xll.PrecioBD(Tabla9[[#This Row],[Ticker]],24,"QUANTITY BID","N")</f>
        <v>32567</v>
      </c>
      <c r="AK9" s="300" cm="1">
        <f t="array" ref="AK9">_xll.PrecioBD(Tabla9[[#This Row],[Ticker]],24,"QUANTITY ASK","N")</f>
        <v>181686</v>
      </c>
      <c r="AL9" s="307" cm="1">
        <f t="array" ref="AL9">_xll.PrecioBD(Tabla9[[#This Row],[Ticker]],24,"VOLUME AMOUNT","N")</f>
        <v>30904047.09</v>
      </c>
      <c r="AM9" s="205" cm="1">
        <f t="array" ref="AM9">_xll.PrecioBD(Tabla9[[#This Row],[Ticker]],24,"IMBALANCE","N")</f>
        <v>1.4E-3</v>
      </c>
      <c r="AP9" s="338" t="s">
        <v>53</v>
      </c>
      <c r="AQ9" s="121" cm="1">
        <f t="array" aca="1" ref="AQ9" ca="1">INDIRECT("'" &amp; AP9 &amp; "'!K4")</f>
        <v>7.3805108666420011E-2</v>
      </c>
      <c r="AR9" s="344" cm="1">
        <f t="array" aca="1" ref="AR9" ca="1">INDIRECT("'" &amp; AP9 &amp; "'!K3")</f>
        <v>7.5792451006754193</v>
      </c>
      <c r="AS9" s="343">
        <v>50360</v>
      </c>
      <c r="AT9" s="347" cm="1">
        <f t="array" ref="AT9">_xll.PrecioBD(AP9,"24","BID","N")</f>
        <v>105.8</v>
      </c>
      <c r="AU9" s="305" cm="1">
        <f t="array" ref="AU9">_xll.PrecioBD(AP9,"24","ASK","N")</f>
        <v>105.9</v>
      </c>
      <c r="AV9" s="336" cm="1">
        <f t="array" ref="AV9">_xll.PrecioBD(AP9,24,"QUANTITY BID","N")</f>
        <v>10000</v>
      </c>
      <c r="AW9" s="336" cm="1">
        <f t="array" ref="AW9">_xll.PrecioBD(AP9,24,"QUANTITY ASK","N")</f>
        <v>10000</v>
      </c>
      <c r="AX9" s="335" cm="1">
        <f t="array" ref="AX9">_xll.PrecioBD(AP9,24,"VOLUME AMOUNT","N")</f>
        <v>95320</v>
      </c>
      <c r="AY9" s="120" cm="1">
        <f t="array" ref="AY9">_xll.PrecioBD(AP9,24,"IMBALANCE","N")</f>
        <v>0</v>
      </c>
      <c r="AZ9" s="350" t="s">
        <v>5186</v>
      </c>
      <c r="BA9" s="350">
        <v>1</v>
      </c>
      <c r="BB9" s="350" t="s">
        <v>5184</v>
      </c>
      <c r="BC9" s="71"/>
    </row>
    <row r="10" spans="1:55">
      <c r="A10" s="225" t="s">
        <v>6205</v>
      </c>
      <c r="D10" s="240" t="s">
        <v>563</v>
      </c>
      <c r="E10" s="231">
        <v>31</v>
      </c>
      <c r="F10" s="241" t="e">
        <f>VLOOKUP(E10,Caucho!$E$66:$N$141,3,FALSE)</f>
        <v>#N/A</v>
      </c>
      <c r="G10" s="331" t="e">
        <f>VLOOKUP(E10,Caucho!$E$66:$N$141,7,FALSE)</f>
        <v>#N/A</v>
      </c>
      <c r="H10" s="98" t="e">
        <f>VLOOKUP(E10,Caucho!$E$66:$N$141,8,FALSE)</f>
        <v>#N/A</v>
      </c>
      <c r="I10" s="242" t="e">
        <f>VLOOKUP(E10,Caucho!$E$66:$N$141,10,FALSE)</f>
        <v>#N/A</v>
      </c>
      <c r="J10" s="103"/>
      <c r="K10" s="244" t="s">
        <v>331</v>
      </c>
      <c r="L10" s="289" cm="1">
        <f t="array" ref="L10">_xll.PrecioBD(K10,24,"IMBALANCE","N")</f>
        <v>-5.4000000000000003E-3</v>
      </c>
      <c r="M10" s="287"/>
      <c r="N10" s="327"/>
      <c r="P10" s="254" t="s">
        <v>5211</v>
      </c>
      <c r="Q10" s="255" cm="1">
        <f t="array" aca="1" ref="Q10" ca="1">INDIRECT("'" &amp; P10 &amp; "'!J6")</f>
        <v>2.7605884642329714E-2</v>
      </c>
      <c r="R10" s="256" cm="1">
        <f t="array" aca="1" ref="R10" ca="1">INDIRECT("'" &amp; P10&amp; "'!B3")</f>
        <v>46171</v>
      </c>
      <c r="S10" s="233" cm="1">
        <f t="array" ref="S10">_xll.PrecioBD(P10,24,"IMBALANCE","N")</f>
        <v>4.4999999999999997E-3</v>
      </c>
      <c r="T10" s="260" cm="1">
        <f t="array" aca="1" ref="T10" ca="1">INDIRECT("'" &amp; Tabla11[[#This Row],[Ticker]]&amp; "'!J5")</f>
        <v>0.34232156370252331</v>
      </c>
      <c r="U10" s="261">
        <f ca="1">Tabla11[[#This Row],[Vencimiento]]-$D$1</f>
        <v>103</v>
      </c>
      <c r="V10" s="302" cm="1">
        <f t="array" ref="V10">_xll.PrecioBD(Tabla11[[#This Row],[Ticker]],"24","BID","N")</f>
        <v>120.53400000000001</v>
      </c>
      <c r="W10" s="305" cm="1">
        <f t="array" ref="W10">_xll.PrecioBD(Tabla11[[#This Row],[Ticker]],"24","ASK","N")</f>
        <v>120.6</v>
      </c>
      <c r="X10" s="299" cm="1">
        <f t="array" ref="X10">_xll.PrecioBD(Tabla11[[#This Row],[Ticker]],24,"QUANTITY BID","N")</f>
        <v>27325</v>
      </c>
      <c r="Y10" s="299" cm="1">
        <f t="array" ref="Y10">_xll.PrecioBD(Tabla11[[#This Row],[Ticker]],24,"QUANTITY ASK","N")</f>
        <v>2007190865</v>
      </c>
      <c r="Z10" s="261" cm="1">
        <f t="array" ref="Z10">_xll.PrecioBD(Tabla11[[#This Row],[Ticker]],24,"VOLUME AMOUNT","N")</f>
        <v>3502313943.6999998</v>
      </c>
      <c r="AA10" s="260">
        <f ca="1">Tabla11[[#This Row],[TNA]]/365*Tabla11[[#This Row],[Días a vencimiento]]</f>
        <v>9.6600331674958628E-2</v>
      </c>
      <c r="AB10" s="280">
        <f ca="1">$I$15*(1+Tabla11[[#This Row],[TNA]]/365*Tabla11[[#This Row],[Días a vencimiento]])</f>
        <v>1577.5692103751264</v>
      </c>
      <c r="AC10" s="262"/>
      <c r="AE10" s="207" t="s">
        <v>5197</v>
      </c>
      <c r="AF10" s="121" cm="1">
        <f t="array" aca="1" ref="AF10" ca="1">INDIRECT("'" &amp; Tabla9[[#This Row],[Ticker]] &amp; "'!K4")</f>
        <v>8.766772449016573E-2</v>
      </c>
      <c r="AG10" s="298" cm="1">
        <f t="array" aca="1" ref="AG10" ca="1">INDIRECT("'" &amp; Tabla9[[#This Row],[Ticker]] &amp; "'!K3")</f>
        <v>5.6843480909970916</v>
      </c>
      <c r="AH10" s="303" cm="1">
        <f t="array" ref="AH10">_xll.PrecioBD(Tabla9[[#This Row],[Ticker]],"24","BID","N")</f>
        <v>80.31</v>
      </c>
      <c r="AI10" s="305" cm="1">
        <f t="array" ref="AI10">_xll.PrecioBD(Tabla9[[#This Row],[Ticker]],"24","ASK","N")</f>
        <v>80.37</v>
      </c>
      <c r="AJ10" s="300" cm="1">
        <f t="array" ref="AJ10">_xll.PrecioBD(Tabla9[[#This Row],[Ticker]],24,"QUANTITY BID","N")</f>
        <v>137</v>
      </c>
      <c r="AK10" s="300" cm="1">
        <f t="array" ref="AK10">_xll.PrecioBD(Tabla9[[#This Row],[Ticker]],24,"QUANTITY ASK","N")</f>
        <v>3508</v>
      </c>
      <c r="AL10" s="307" cm="1">
        <f t="array" ref="AL10">_xll.PrecioBD(Tabla9[[#This Row],[Ticker]],24,"VOLUME AMOUNT","N")</f>
        <v>830868.13</v>
      </c>
      <c r="AM10" s="205" cm="1">
        <f t="array" ref="AM10">_xll.PrecioBD(Tabla9[[#This Row],[Ticker]],24,"IMBALANCE","N")</f>
        <v>2.0000000000000001E-4</v>
      </c>
      <c r="AP10" s="337" t="s">
        <v>47</v>
      </c>
      <c r="AQ10" s="121" cm="1">
        <f t="array" aca="1" ref="AQ10" ca="1">INDIRECT("'" &amp; AP10 &amp; "'!K4")</f>
        <v>7.2391566634178159E-2</v>
      </c>
      <c r="AR10" s="344" cm="1">
        <f t="array" aca="1" ref="AR10" ca="1">INDIRECT("'" &amp; AP10 &amp; "'!K3")</f>
        <v>5.2896142995934259</v>
      </c>
      <c r="AS10" s="343">
        <v>48961</v>
      </c>
      <c r="AT10" s="347" cm="1">
        <f t="array" ref="AT10">_xll.PrecioBD(AP10,"24","BID","N")</f>
        <v>106.8</v>
      </c>
      <c r="AU10" s="305" cm="1">
        <f t="array" ref="AU10">_xll.PrecioBD(AP10,"24","ASK","N")</f>
        <v>106.85</v>
      </c>
      <c r="AV10" s="336" cm="1">
        <f t="array" ref="AV10">_xll.PrecioBD(AP10,24,"QUANTITY BID","N")</f>
        <v>259</v>
      </c>
      <c r="AW10" s="336" cm="1">
        <f t="array" ref="AW10">_xll.PrecioBD(AP10,24,"QUANTITY ASK","N")</f>
        <v>5249</v>
      </c>
      <c r="AX10" s="335" cm="1">
        <f t="array" ref="AX10">_xll.PrecioBD(AP10,24,"VOLUME AMOUNT","N")</f>
        <v>337639.59</v>
      </c>
      <c r="AY10" s="120" cm="1">
        <f t="array" ref="AY10">_xll.PrecioBD(AP10,24,"IMBALANCE","N")</f>
        <v>8.9999999999999998E-4</v>
      </c>
      <c r="AZ10" s="350" t="s">
        <v>5186</v>
      </c>
      <c r="BA10" s="350">
        <v>100</v>
      </c>
      <c r="BB10" s="350" t="s">
        <v>5184</v>
      </c>
      <c r="BC10" s="71"/>
    </row>
    <row r="11" spans="1:55">
      <c r="A11" s="225" t="s">
        <v>6214</v>
      </c>
      <c r="K11" s="241" t="s">
        <v>531</v>
      </c>
      <c r="L11" s="289" cm="1">
        <f t="array" ref="L11">_xll.PrecioBD(K11,24,"IMBALANCE","N")</f>
        <v>-6.7999999999999996E-3</v>
      </c>
      <c r="M11" s="353"/>
      <c r="N11" s="327"/>
      <c r="P11" s="254" t="s">
        <v>5212</v>
      </c>
      <c r="Q11" s="255" cm="1">
        <f t="array" aca="1" ref="Q11" ca="1">INDIRECT("'" &amp; P11 &amp; "'!J6")</f>
        <v>2.7506579878658233E-2</v>
      </c>
      <c r="R11" s="256" cm="1">
        <f t="array" aca="1" ref="R11" ca="1">INDIRECT("'" &amp; P11&amp; "'!B3")</f>
        <v>46203</v>
      </c>
      <c r="S11" s="233" cm="1">
        <f t="array" ref="S11">_xll.PrecioBD(P11,24,"IMBALANCE","N")</f>
        <v>5.0000000000000001E-3</v>
      </c>
      <c r="T11" s="260" cm="1">
        <f t="array" aca="1" ref="T11" ca="1">INDIRECT("'" &amp; Tabla11[[#This Row],[Ticker]]&amp; "'!J5")</f>
        <v>0.34604039617663584</v>
      </c>
      <c r="U11" s="261">
        <f ca="1">Tabla11[[#This Row],[Vencimiento]]-$D$1</f>
        <v>135</v>
      </c>
      <c r="V11" s="302" cm="1">
        <f t="array" ref="V11">_xll.PrecioBD(Tabla11[[#This Row],[Ticker]],"24","BID","N")</f>
        <v>128.4</v>
      </c>
      <c r="W11" s="305" cm="1">
        <f t="array" ref="W11">_xll.PrecioBD(Tabla11[[#This Row],[Ticker]],"24","ASK","N")</f>
        <v>128.44999999999999</v>
      </c>
      <c r="X11" s="299" cm="1">
        <f t="array" ref="X11">_xll.PrecioBD(Tabla11[[#This Row],[Ticker]],24,"QUANTITY BID","N")</f>
        <v>476694981</v>
      </c>
      <c r="Y11" s="299" cm="1">
        <f t="array" ref="Y11">_xll.PrecioBD(Tabla11[[#This Row],[Ticker]],24,"QUANTITY ASK","N")</f>
        <v>8857601</v>
      </c>
      <c r="Z11" s="261" cm="1">
        <f t="array" ref="Z11">_xll.PrecioBD(Tabla11[[#This Row],[Ticker]],24,"VOLUME AMOUNT","N")</f>
        <v>4016725567.5500002</v>
      </c>
      <c r="AA11" s="260">
        <f ca="1">Tabla11[[#This Row],[TNA]]/365*Tabla11[[#This Row],[Días a vencimiento]]</f>
        <v>0.12798754379135846</v>
      </c>
      <c r="AB11" s="280">
        <f ca="1">$I$15*(1+Tabla11[[#This Row],[TNA]]/365*Tabla11[[#This Row],[Días a vencimiento]])</f>
        <v>1622.72285295949</v>
      </c>
      <c r="AC11" s="262"/>
      <c r="AE11" s="208" t="s">
        <v>5195</v>
      </c>
      <c r="AF11" s="121" cm="1">
        <f t="array" aca="1" ref="AF11" ca="1">INDIRECT("'" &amp; Tabla9[[#This Row],[Ticker]] &amp; "'!K4")</f>
        <v>8.6429151892662051E-2</v>
      </c>
      <c r="AG11" s="298" cm="1">
        <f t="array" aca="1" ref="AG11" ca="1">INDIRECT("'" &amp; Tabla9[[#This Row],[Ticker]] &amp; "'!K3")</f>
        <v>4.9862372512982578</v>
      </c>
      <c r="AH11" s="303" cm="1">
        <f t="array" ref="AH11">_xll.PrecioBD(Tabla9[[#This Row],[Ticker]],"24","BID","N")</f>
        <v>83.81</v>
      </c>
      <c r="AI11" s="305" cm="1">
        <f t="array" ref="AI11">_xll.PrecioBD(Tabla9[[#This Row],[Ticker]],"24","ASK","N")</f>
        <v>83.95</v>
      </c>
      <c r="AJ11" s="300" cm="1">
        <f t="array" ref="AJ11">_xll.PrecioBD(Tabla9[[#This Row],[Ticker]],24,"QUANTITY BID","N")</f>
        <v>186</v>
      </c>
      <c r="AK11" s="300" cm="1">
        <f t="array" ref="AK11">_xll.PrecioBD(Tabla9[[#This Row],[Ticker]],24,"QUANTITY ASK","N")</f>
        <v>1924</v>
      </c>
      <c r="AL11" s="307" cm="1">
        <f t="array" ref="AL11">_xll.PrecioBD(Tabla9[[#This Row],[Ticker]],24,"VOLUME AMOUNT","N")</f>
        <v>60922.11</v>
      </c>
      <c r="AM11" s="205" cm="1">
        <f t="array" ref="AM11">_xll.PrecioBD(Tabla9[[#This Row],[Ticker]],24,"IMBALANCE","N")</f>
        <v>-1E-4</v>
      </c>
      <c r="AP11" s="338" t="s">
        <v>52</v>
      </c>
      <c r="AQ11" s="121" cm="1">
        <f t="array" aca="1" ref="AQ11" ca="1">INDIRECT("'" &amp; AP11 &amp; "'!K4")</f>
        <v>7.2250577807426455E-2</v>
      </c>
      <c r="AR11" s="344" cm="1">
        <f t="array" aca="1" ref="AR11" ca="1">INDIRECT("'" &amp; AP11 &amp; "'!K3")</f>
        <v>2.0743718719705715</v>
      </c>
      <c r="AS11" s="343">
        <v>49633</v>
      </c>
      <c r="AT11" s="347" cm="1">
        <f t="array" ref="AT11">_xll.PrecioBD(AP11,"24","BID","N")</f>
        <v>106.3</v>
      </c>
      <c r="AU11" s="305" cm="1">
        <f t="array" ref="AU11">_xll.PrecioBD(AP11,"24","ASK","N")</f>
        <v>106.4</v>
      </c>
      <c r="AV11" s="336" cm="1">
        <f t="array" ref="AV11">_xll.PrecioBD(AP11,24,"QUANTITY BID","N")</f>
        <v>9000</v>
      </c>
      <c r="AW11" s="336" cm="1">
        <f t="array" ref="AW11">_xll.PrecioBD(AP11,24,"QUANTITY ASK","N")</f>
        <v>11000</v>
      </c>
      <c r="AX11" s="335" cm="1">
        <f t="array" ref="AX11">_xll.PrecioBD(AP11,24,"VOLUME AMOUNT","N")</f>
        <v>73414</v>
      </c>
      <c r="AY11" s="120" cm="1">
        <f t="array" ref="AY11">_xll.PrecioBD(AP11,24,"IMBALANCE","N")</f>
        <v>-2.8E-3</v>
      </c>
      <c r="AZ11" s="350" t="s">
        <v>5186</v>
      </c>
      <c r="BA11" s="350">
        <v>100</v>
      </c>
      <c r="BB11" s="350" t="s">
        <v>5184</v>
      </c>
      <c r="BC11" s="71"/>
    </row>
    <row r="12" spans="1:55">
      <c r="C12" s="85" t="str" cm="1">
        <f t="array" ref="C12">_xll.TiposCambioBD()</f>
        <v>TIPO CAMBIO</v>
      </c>
      <c r="D12" s="85" t="s">
        <v>780</v>
      </c>
      <c r="E12" s="85" t="s">
        <v>571</v>
      </c>
      <c r="F12" s="85" t="s">
        <v>570</v>
      </c>
      <c r="G12" s="85" t="s">
        <v>781</v>
      </c>
      <c r="H12" s="85" t="s">
        <v>782</v>
      </c>
      <c r="I12" s="85" t="s">
        <v>783</v>
      </c>
      <c r="K12" s="240" t="s">
        <v>6214</v>
      </c>
      <c r="L12" s="291">
        <f>Tabla68[[#Totals],[Columna2]]</f>
        <v>-7.9590000000000008E-3</v>
      </c>
      <c r="M12" s="92"/>
      <c r="N12" s="327"/>
      <c r="P12" s="254" t="s">
        <v>5213</v>
      </c>
      <c r="Q12" s="255" cm="1">
        <f t="array" aca="1" ref="Q12" ca="1">INDIRECT("'" &amp; P12 &amp; "'!J6")</f>
        <v>2.7560331761726564E-2</v>
      </c>
      <c r="R12" s="256" cm="1">
        <f t="array" aca="1" ref="R12" ca="1">INDIRECT("'" &amp; P12&amp; "'!B3")</f>
        <v>46234</v>
      </c>
      <c r="S12" s="233" cm="1">
        <f t="array" ref="S12">_xll.PrecioBD(P12,24,"IMBALANCE","N")</f>
        <v>4.4000000000000003E-3</v>
      </c>
      <c r="T12" s="260" cm="1">
        <f t="array" aca="1" ref="T12" ca="1">INDIRECT("'" &amp; Tabla11[[#This Row],[Ticker]]&amp; "'!J5")</f>
        <v>0.35169517597249506</v>
      </c>
      <c r="U12" s="261">
        <f ca="1">Tabla11[[#This Row],[Vencimiento]]-$D$1</f>
        <v>166</v>
      </c>
      <c r="V12" s="302" cm="1">
        <f t="array" ref="V12">_xll.PrecioBD(Tabla11[[#This Row],[Ticker]],"24","BID","N")</f>
        <v>101.449</v>
      </c>
      <c r="W12" s="305" cm="1">
        <f t="array" ref="W12">_xll.PrecioBD(Tabla11[[#This Row],[Ticker]],"24","ASK","N")</f>
        <v>101.45</v>
      </c>
      <c r="X12" s="299" cm="1">
        <f t="array" ref="X12">_xll.PrecioBD(Tabla11[[#This Row],[Ticker]],24,"QUANTITY BID","N")</f>
        <v>2107027</v>
      </c>
      <c r="Y12" s="299" cm="1">
        <f t="array" ref="Y12">_xll.PrecioBD(Tabla11[[#This Row],[Ticker]],24,"QUANTITY ASK","N")</f>
        <v>79925697</v>
      </c>
      <c r="Z12" s="261" cm="1">
        <f t="array" ref="Z12">_xll.PrecioBD(Tabla11[[#This Row],[Ticker]],24,"VOLUME AMOUNT","N")</f>
        <v>5367361336.2399998</v>
      </c>
      <c r="AA12" s="260">
        <f ca="1">Tabla11[[#This Row],[TNA]]/365*Tabla11[[#This Row],[Días a vencimiento]]</f>
        <v>0.15994903893543611</v>
      </c>
      <c r="AB12" s="280">
        <f ca="1">$I$15*(1+Tabla11[[#This Row],[TNA]]/365*Tabla11[[#This Row],[Días a vencimiento]])</f>
        <v>1668.7026590934499</v>
      </c>
      <c r="AC12" s="262"/>
      <c r="AE12" s="207" t="s">
        <v>5189</v>
      </c>
      <c r="AF12" s="121" cm="1">
        <f t="array" aca="1" ref="AF12" ca="1">INDIRECT("'" &amp; Tabla9[[#This Row],[Ticker]] &amp; "'!K4")</f>
        <v>6.9797417521476737E-2</v>
      </c>
      <c r="AG12" s="298" cm="1">
        <f t="array" aca="1" ref="AG12" ca="1">INDIRECT("'" &amp; Tabla9[[#This Row],[Ticker]] &amp; "'!K3")</f>
        <v>1.7632960372574462</v>
      </c>
      <c r="AH12" s="303" cm="1">
        <f t="array" ref="AH12">_xll.PrecioBD(Tabla9[[#This Row],[Ticker]],"24","BID","N")</f>
        <v>62.95</v>
      </c>
      <c r="AI12" s="305" cm="1">
        <f t="array" ref="AI12">_xll.PrecioBD(Tabla9[[#This Row],[Ticker]],"24","ASK","N")</f>
        <v>62.99</v>
      </c>
      <c r="AJ12" s="300" cm="1">
        <f t="array" ref="AJ12">_xll.PrecioBD(Tabla9[[#This Row],[Ticker]],24,"QUANTITY BID","N")</f>
        <v>3186</v>
      </c>
      <c r="AK12" s="300" cm="1">
        <f t="array" ref="AK12">_xll.PrecioBD(Tabla9[[#This Row],[Ticker]],24,"QUANTITY ASK","N")</f>
        <v>23053</v>
      </c>
      <c r="AL12" s="307" cm="1">
        <f t="array" ref="AL12">_xll.PrecioBD(Tabla9[[#This Row],[Ticker]],24,"VOLUME AMOUNT","N")</f>
        <v>326258.52</v>
      </c>
      <c r="AM12" s="205" cm="1">
        <f t="array" ref="AM12">_xll.PrecioBD(Tabla9[[#This Row],[Ticker]],24,"IMBALANCE","N")</f>
        <v>3.5000000000000001E-3</v>
      </c>
      <c r="AP12" s="337" t="s">
        <v>50</v>
      </c>
      <c r="AQ12" s="121" cm="1">
        <f t="array" aca="1" ref="AQ12" ca="1">INDIRECT("'" &amp; AP12 &amp; "'!K4")</f>
        <v>7.2679135203361514E-2</v>
      </c>
      <c r="AR12" s="344" cm="1">
        <f t="array" aca="1" ref="AR12" ca="1">INDIRECT("'" &amp; AP12 &amp; "'!K3")</f>
        <v>5.8033839209697744</v>
      </c>
      <c r="AS12" s="343">
        <v>49399</v>
      </c>
      <c r="AT12" s="347" cm="1">
        <f t="array" ref="AT12">_xll.PrecioBD(AP12,"24","BID","N")</f>
        <v>108.05</v>
      </c>
      <c r="AU12" s="305" cm="1">
        <f t="array" ref="AU12">_xll.PrecioBD(AP12,"24","ASK","N")</f>
        <v>108.2</v>
      </c>
      <c r="AV12" s="336" cm="1">
        <f t="array" ref="AV12">_xll.PrecioBD(AP12,24,"QUANTITY BID","N")</f>
        <v>4865</v>
      </c>
      <c r="AW12" s="336" cm="1">
        <f t="array" ref="AW12">_xll.PrecioBD(AP12,24,"QUANTITY ASK","N")</f>
        <v>3931</v>
      </c>
      <c r="AX12" s="335" cm="1">
        <f t="array" ref="AX12">_xll.PrecioBD(AP12,24,"VOLUME AMOUNT","N")</f>
        <v>88043.04</v>
      </c>
      <c r="AY12" s="120" cm="1">
        <f t="array" ref="AY12">_xll.PrecioBD(AP12,24,"IMBALANCE","N")</f>
        <v>-8.9999999999999998E-4</v>
      </c>
      <c r="AZ12" s="350" t="s">
        <v>5186</v>
      </c>
      <c r="BA12" s="350">
        <v>10000</v>
      </c>
      <c r="BB12" s="350" t="s">
        <v>5185</v>
      </c>
      <c r="BC12" s="71"/>
    </row>
    <row r="13" spans="1:55">
      <c r="C13" s="100"/>
      <c r="D13" s="240" t="s">
        <v>97</v>
      </c>
      <c r="E13" s="240" t="s">
        <v>97</v>
      </c>
      <c r="F13" s="246" t="s">
        <v>97</v>
      </c>
      <c r="G13" s="332" t="s">
        <v>97</v>
      </c>
      <c r="H13" s="101" t="s">
        <v>97</v>
      </c>
      <c r="I13" s="243" t="s">
        <v>97</v>
      </c>
      <c r="K13" s="288" t="s">
        <v>324</v>
      </c>
      <c r="L13" s="295" cm="1">
        <f t="array" ref="L13">_xll.PrecioBD(K13,24,"IMBALANCE","N")</f>
        <v>-7.4999999999999997E-3</v>
      </c>
      <c r="M13" s="287"/>
      <c r="N13" s="327"/>
      <c r="P13" s="254" t="s">
        <v>5214</v>
      </c>
      <c r="Q13" s="255" cm="1">
        <f t="array" aca="1" ref="Q13" ca="1">INDIRECT("'" &amp; P13 &amp; "'!J6")</f>
        <v>2.8328049792451848E-2</v>
      </c>
      <c r="R13" s="256" cm="1">
        <f t="array" aca="1" ref="R13" ca="1">INDIRECT("'" &amp; P13&amp; "'!B3")</f>
        <v>46265</v>
      </c>
      <c r="S13" s="233" cm="1">
        <f t="array" ref="S13">_xll.PrecioBD(P13,24,"IMBALANCE","N")</f>
        <v>0</v>
      </c>
      <c r="T13" s="260" cm="1">
        <f t="array" aca="1" ref="T13" ca="1">INDIRECT("'" &amp; Tabla11[[#This Row],[Ticker]]&amp; "'!J5")</f>
        <v>0.36744879485996246</v>
      </c>
      <c r="U13" s="261">
        <f ca="1">Tabla11[[#This Row],[Vencimiento]]-$D$1</f>
        <v>197</v>
      </c>
      <c r="V13" s="302" cm="1">
        <f t="array" ref="V13">_xll.PrecioBD(Tabla11[[#This Row],[Ticker]],"24","BID","N")</f>
        <v>107.056</v>
      </c>
      <c r="W13" s="305" cm="1">
        <f t="array" ref="W13">_xll.PrecioBD(Tabla11[[#This Row],[Ticker]],"24","ASK","N")</f>
        <v>107.25</v>
      </c>
      <c r="X13" s="299" cm="1">
        <f t="array" ref="X13">_xll.PrecioBD(Tabla11[[#This Row],[Ticker]],24,"QUANTITY BID","N")</f>
        <v>3569286</v>
      </c>
      <c r="Y13" s="299" cm="1">
        <f t="array" ref="Y13">_xll.PrecioBD(Tabla11[[#This Row],[Ticker]],24,"QUANTITY ASK","N")</f>
        <v>4610951</v>
      </c>
      <c r="Z13" s="261" cm="1">
        <f t="array" ref="Z13">_xll.PrecioBD(Tabla11[[#This Row],[Ticker]],24,"VOLUME AMOUNT","N")</f>
        <v>43791501.140000001</v>
      </c>
      <c r="AA13" s="260">
        <f ca="1">Tabla11[[#This Row],[TNA]]/365*Tabla11[[#This Row],[Días a vencimiento]]</f>
        <v>0.19832167832167835</v>
      </c>
      <c r="AB13" s="280">
        <f ca="1">$I$15*(1+Tabla11[[#This Row],[TNA]]/365*Tabla11[[#This Row],[Días a vencimiento]])</f>
        <v>1723.905537177666</v>
      </c>
      <c r="AC13" s="262"/>
      <c r="AE13" s="209" t="s">
        <v>5194</v>
      </c>
      <c r="AF13" s="121" cm="1">
        <f t="array" aca="1" ref="AF13" ca="1">INDIRECT("'" &amp; Tabla9[[#This Row],[Ticker]] &amp; "'!K4")</f>
        <v>6.7136117815971383E-2</v>
      </c>
      <c r="AG13" s="298" cm="1">
        <f t="array" aca="1" ref="AG13" ca="1">INDIRECT("'" &amp; Tabla9[[#This Row],[Ticker]] &amp; "'!K3")</f>
        <v>2.2121439127803373</v>
      </c>
      <c r="AH13" s="303" cm="1">
        <f t="array" ref="AH13">_xll.PrecioBD(Tabla9[[#This Row],[Ticker]],"24","BID","N")</f>
        <v>63.69</v>
      </c>
      <c r="AI13" s="305" cm="1">
        <f t="array" ref="AI13">_xll.PrecioBD(Tabla9[[#This Row],[Ticker]],"24","ASK","N")</f>
        <v>63.73</v>
      </c>
      <c r="AJ13" s="300" cm="1">
        <f t="array" ref="AJ13">_xll.PrecioBD(Tabla9[[#This Row],[Ticker]],24,"QUANTITY BID","N")</f>
        <v>7690</v>
      </c>
      <c r="AK13" s="300" cm="1">
        <f t="array" ref="AK13">_xll.PrecioBD(Tabla9[[#This Row],[Ticker]],24,"QUANTITY ASK","N")</f>
        <v>20079</v>
      </c>
      <c r="AL13" s="307" cm="1">
        <f t="array" ref="AL13">_xll.PrecioBD(Tabla9[[#This Row],[Ticker]],24,"VOLUME AMOUNT","N")</f>
        <v>440541.78</v>
      </c>
      <c r="AM13" s="205" cm="1">
        <f t="array" ref="AM13">_xll.PrecioBD(Tabla9[[#This Row],[Ticker]],24,"IMBALANCE","N")</f>
        <v>2.8E-3</v>
      </c>
      <c r="AP13" s="337" t="s">
        <v>48</v>
      </c>
      <c r="AQ13" s="121" cm="1">
        <f t="array" aca="1" ref="AQ13" ca="1">INDIRECT("'" &amp; AP13 &amp; "'!K4")</f>
        <v>7.1567294001579296E-2</v>
      </c>
      <c r="AR13" s="344" cm="1">
        <f t="array" aca="1" ref="AR13" ca="1">INDIRECT("'" &amp; AP13 &amp; "'!K3")</f>
        <v>6.3016378226815277</v>
      </c>
      <c r="AS13" s="343">
        <v>49294</v>
      </c>
      <c r="AT13" s="347" cm="1">
        <f t="array" ref="AT13">_xll.PrecioBD(AP13,"24","BID","N")</f>
        <v>106.25</v>
      </c>
      <c r="AU13" s="305" cm="1">
        <f t="array" ref="AU13">_xll.PrecioBD(AP13,"24","ASK","N")</f>
        <v>106.75</v>
      </c>
      <c r="AV13" s="336" cm="1">
        <f t="array" ref="AV13">_xll.PrecioBD(AP13,24,"QUANTITY BID","N")</f>
        <v>10000</v>
      </c>
      <c r="AW13" s="336" cm="1">
        <f t="array" ref="AW13">_xll.PrecioBD(AP13,24,"QUANTITY ASK","N")</f>
        <v>10000</v>
      </c>
      <c r="AX13" s="335" cm="1">
        <f t="array" ref="AX13">_xll.PrecioBD(AP13,24,"VOLUME AMOUNT","N")</f>
        <v>510315</v>
      </c>
      <c r="AY13" s="120" cm="1">
        <f t="array" ref="AY13">_xll.PrecioBD(AP13,24,"IMBALANCE","N")</f>
        <v>-4.0000000000000002E-4</v>
      </c>
      <c r="AZ13" s="350" t="s">
        <v>5186</v>
      </c>
      <c r="BA13" s="350">
        <v>1000</v>
      </c>
      <c r="BB13" s="350" t="s">
        <v>5185</v>
      </c>
      <c r="BC13" s="71"/>
    </row>
    <row r="14" spans="1:55">
      <c r="C14" s="100"/>
      <c r="D14" s="240" t="s">
        <v>607</v>
      </c>
      <c r="E14" s="240" t="s">
        <v>784</v>
      </c>
      <c r="F14" s="246" t="s">
        <v>785</v>
      </c>
      <c r="G14" s="332">
        <v>1477.9000244140625</v>
      </c>
      <c r="H14" s="105">
        <v>1480</v>
      </c>
      <c r="I14" s="244">
        <v>1478.800048828125</v>
      </c>
      <c r="J14" s="100"/>
      <c r="K14" s="240" t="s">
        <v>265</v>
      </c>
      <c r="L14" s="289" cm="1">
        <f t="array" ref="L14">_xll.PrecioBD(K14,24,"IMBALANCE","N")</f>
        <v>-7.7999999999999996E-3</v>
      </c>
      <c r="M14" s="287"/>
      <c r="N14" s="327"/>
      <c r="P14" s="254" t="s">
        <v>5215</v>
      </c>
      <c r="Q14" s="255" cm="1">
        <f t="array" aca="1" ref="Q14" ca="1">INDIRECT("'" &amp; P14 &amp; "'!J6")</f>
        <v>2.6089853226785475E-2</v>
      </c>
      <c r="R14" s="256" cm="1">
        <f t="array" aca="1" ref="R14" ca="1">INDIRECT("'" &amp; P14&amp; "'!B3")</f>
        <v>46325</v>
      </c>
      <c r="S14" s="233" cm="1">
        <f t="array" ref="S14">_xll.PrecioBD(P14,24,"IMBALANCE","N")</f>
        <v>4.7999999999999996E-3</v>
      </c>
      <c r="T14" s="260" cm="1">
        <f t="array" aca="1" ref="T14" ca="1">INDIRECT("'" &amp; Tabla11[[#This Row],[Ticker]]&amp; "'!J5")</f>
        <v>0.34527031259698654</v>
      </c>
      <c r="U14" s="261">
        <f ca="1">Tabla11[[#This Row],[Vencimiento]]-$D$1</f>
        <v>257</v>
      </c>
      <c r="V14" s="302" cm="1">
        <f t="array" ref="V14">_xll.PrecioBD(Tabla11[[#This Row],[Ticker]],"24","BID","N")</f>
        <v>108.55800000000001</v>
      </c>
      <c r="W14" s="305" cm="1">
        <f t="array" ref="W14">_xll.PrecioBD(Tabla11[[#This Row],[Ticker]],"24","ASK","N")</f>
        <v>108.824</v>
      </c>
      <c r="X14" s="299" cm="1">
        <f t="array" ref="X14">_xll.PrecioBD(Tabla11[[#This Row],[Ticker]],24,"QUANTITY BID","N")</f>
        <v>324899</v>
      </c>
      <c r="Y14" s="299" cm="1">
        <f t="array" ref="Y14">_xll.PrecioBD(Tabla11[[#This Row],[Ticker]],24,"QUANTITY ASK","N")</f>
        <v>5000000</v>
      </c>
      <c r="Z14" s="261" cm="1">
        <f t="array" ref="Z14">_xll.PrecioBD(Tabla11[[#This Row],[Ticker]],24,"VOLUME AMOUNT","N")</f>
        <v>24525398.059999999</v>
      </c>
      <c r="AA14" s="260">
        <f ca="1">Tabla11[[#This Row],[TNA]]/365*Tabla11[[#This Row],[Días a vencimiento]]</f>
        <v>0.24310813791075492</v>
      </c>
      <c r="AB14" s="280">
        <f ca="1">$I$15*(1+Tabla11[[#This Row],[TNA]]/365*Tabla11[[#This Row],[Días a vencimiento]])</f>
        <v>1788.3353368490923</v>
      </c>
      <c r="AC14" s="262"/>
      <c r="AE14" s="210" t="s">
        <v>5193</v>
      </c>
      <c r="AF14" s="121" cm="1">
        <f t="array" aca="1" ref="AF14" ca="1">INDIRECT("'" &amp; Tabla9[[#This Row],[Ticker]] &amp; "'!K4")</f>
        <v>5.4883340001106271E-2</v>
      </c>
      <c r="AG14" s="298" cm="1">
        <f t="array" aca="1" ref="AG14" ca="1">INDIRECT("'" &amp; Tabla9[[#This Row],[Ticker]] &amp; "'!K3")</f>
        <v>1.7893463317759943</v>
      </c>
      <c r="AH14" s="304" cm="1">
        <f t="array" ref="AH14">_xll.PrecioBD(Tabla9[[#This Row],[Ticker]],"24","BID","N")</f>
        <v>64.510000000000005</v>
      </c>
      <c r="AI14" s="305" cm="1">
        <f t="array" ref="AI14">_xll.PrecioBD(Tabla9[[#This Row],[Ticker]],"24","ASK","N")</f>
        <v>64.63</v>
      </c>
      <c r="AJ14" s="301" cm="1">
        <f t="array" ref="AJ14">_xll.PrecioBD(Tabla9[[#This Row],[Ticker]],24,"QUANTITY BID","N")</f>
        <v>468</v>
      </c>
      <c r="AK14" s="301" cm="1">
        <f t="array" ref="AK14">_xll.PrecioBD(Tabla9[[#This Row],[Ticker]],24,"QUANTITY ASK","N")</f>
        <v>3934</v>
      </c>
      <c r="AL14" s="308" cm="1">
        <f t="array" ref="AL14">_xll.PrecioBD(Tabla9[[#This Row],[Ticker]],24,"VOLUME AMOUNT","N")</f>
        <v>36642.35</v>
      </c>
      <c r="AM14" s="205" cm="1">
        <f t="array" ref="AM14">_xll.PrecioBD(Tabla9[[#This Row],[Ticker]],24,"IMBALANCE","N")</f>
        <v>6.7999999999999996E-3</v>
      </c>
      <c r="AP14" s="119" t="s">
        <v>45</v>
      </c>
      <c r="AQ14" s="121" cm="1">
        <f t="array" aca="1" ref="AQ14" ca="1">INDIRECT("'" &amp; AP14 &amp; "'!K4")</f>
        <v>7.1171435713767994E-2</v>
      </c>
      <c r="AR14" s="344" cm="1">
        <f t="array" aca="1" ref="AR14" ca="1">INDIRECT("'" &amp; AP14 &amp; "'!K3")</f>
        <v>4.8284438701775505</v>
      </c>
      <c r="AS14" s="343">
        <v>48740</v>
      </c>
      <c r="AT14" s="347" cm="1">
        <f t="array" ref="AT14">_xll.PrecioBD(AP14,"24","BID","N")</f>
        <v>108.85</v>
      </c>
      <c r="AU14" s="305" cm="1">
        <f t="array" ref="AU14">_xll.PrecioBD(AP14,"24","ASK","N")</f>
        <v>109.1</v>
      </c>
      <c r="AV14" s="336" cm="1">
        <f t="array" ref="AV14">_xll.PrecioBD(AP14,24,"QUANTITY BID","N")</f>
        <v>2000</v>
      </c>
      <c r="AW14" s="336" cm="1">
        <f t="array" ref="AW14">_xll.PrecioBD(AP14,24,"QUANTITY ASK","N")</f>
        <v>31000</v>
      </c>
      <c r="AX14" s="335" cm="1">
        <f t="array" ref="AX14">_xll.PrecioBD(AP14,24,"VOLUME AMOUNT","N")</f>
        <v>311679</v>
      </c>
      <c r="AY14" s="120" cm="1">
        <f t="array" ref="AY14">_xll.PrecioBD(AP14,24,"IMBALANCE","N")</f>
        <v>2.2000000000000001E-3</v>
      </c>
      <c r="AZ14" s="350" t="s">
        <v>5186</v>
      </c>
      <c r="BA14" s="350">
        <v>1000</v>
      </c>
      <c r="BB14" s="350" t="s">
        <v>5185</v>
      </c>
      <c r="BC14" s="71"/>
    </row>
    <row r="15" spans="1:55">
      <c r="C15" s="100"/>
      <c r="D15" s="240" t="s">
        <v>607</v>
      </c>
      <c r="E15" s="240" t="s">
        <v>786</v>
      </c>
      <c r="F15" s="246" t="s">
        <v>787</v>
      </c>
      <c r="G15" s="332">
        <v>1437.199951171875</v>
      </c>
      <c r="H15" s="105">
        <v>1440</v>
      </c>
      <c r="I15" s="244">
        <v>1438.5999755859375</v>
      </c>
      <c r="J15" s="104"/>
      <c r="K15" s="290" t="s">
        <v>96</v>
      </c>
      <c r="L15" s="291">
        <f>$D$20</f>
        <v>-9.377494014365495E-3</v>
      </c>
      <c r="M15" s="287"/>
      <c r="N15" s="327"/>
      <c r="P15" s="257" t="s">
        <v>5216</v>
      </c>
      <c r="Q15" s="255" cm="1">
        <f t="array" aca="1" ref="Q15" ca="1">INDIRECT("'" &amp; P15 &amp; "'!J6")</f>
        <v>2.673021107055118E-2</v>
      </c>
      <c r="R15" s="256" cm="1">
        <f t="array" aca="1" ref="R15" ca="1">INDIRECT("'" &amp; P15&amp; "'!B3")</f>
        <v>46356</v>
      </c>
      <c r="S15" s="233" cm="1">
        <f t="array" ref="S15">_xll.PrecioBD(P15,24,"IMBALANCE","N")</f>
        <v>2.8E-3</v>
      </c>
      <c r="T15" s="260" cm="1">
        <f t="array" aca="1" ref="T15" ca="1">INDIRECT("'" &amp; Tabla11[[#This Row],[Ticker]]&amp; "'!J5")</f>
        <v>0.35959060445742963</v>
      </c>
      <c r="U15" s="261">
        <f ca="1">Tabla11[[#This Row],[Vencimiento]]-$D$1</f>
        <v>288</v>
      </c>
      <c r="V15" s="302" cm="1">
        <f t="array" ref="V15">_xll.PrecioBD(Tabla11[[#This Row],[Ticker]],"24","BID","N")</f>
        <v>101.27</v>
      </c>
      <c r="W15" s="305" cm="1">
        <f t="array" ref="W15">_xll.PrecioBD(Tabla11[[#This Row],[Ticker]],"24","ASK","N")</f>
        <v>101.31399999999999</v>
      </c>
      <c r="X15" s="299" cm="1">
        <f t="array" ref="X15">_xll.PrecioBD(Tabla11[[#This Row],[Ticker]],24,"QUANTITY BID","N")</f>
        <v>5000000</v>
      </c>
      <c r="Y15" s="299" cm="1">
        <f t="array" ref="Y15">_xll.PrecioBD(Tabla11[[#This Row],[Ticker]],24,"QUANTITY ASK","N")</f>
        <v>5000000</v>
      </c>
      <c r="Z15" s="261" cm="1">
        <f t="array" ref="Z15">_xll.PrecioBD(Tabla11[[#This Row],[Ticker]],24,"VOLUME AMOUNT","N")</f>
        <v>350530282.63999999</v>
      </c>
      <c r="AA15" s="260">
        <f ca="1">Tabla11[[#This Row],[TNA]]/365*Tabla11[[#This Row],[Días a vencimiento]]</f>
        <v>0.28373176461298555</v>
      </c>
      <c r="AB15" s="280">
        <f ca="1">$I$15*(1+Tabla11[[#This Row],[TNA]]/365*Tabla11[[#This Row],[Días a vencimiento]])</f>
        <v>1846.7764852311334</v>
      </c>
      <c r="AC15" s="262"/>
      <c r="AE15" s="317"/>
      <c r="AF15" s="318"/>
      <c r="AG15" s="319"/>
      <c r="AH15" s="320"/>
      <c r="AI15" s="321"/>
      <c r="AJ15" s="301"/>
      <c r="AK15" s="322"/>
      <c r="AL15" s="323"/>
      <c r="AM15" s="324"/>
      <c r="AP15" s="338" t="s">
        <v>55</v>
      </c>
      <c r="AQ15" s="121" cm="1">
        <f t="array" aca="1" ref="AQ15" ca="1">INDIRECT("'" &amp; AP15 &amp; "'!K4")</f>
        <v>6.9972577691078161E-2</v>
      </c>
      <c r="AR15" s="344" cm="1">
        <f t="array" aca="1" ref="AR15" ca="1">INDIRECT("'" &amp; AP15 &amp; "'!K3")</f>
        <v>4.1868490013193158</v>
      </c>
      <c r="AS15" s="343">
        <v>47987</v>
      </c>
      <c r="AT15" s="347" cm="1">
        <f t="array" ref="AT15">_xll.PrecioBD(AP15,"24","BID","N")</f>
        <v>107.25</v>
      </c>
      <c r="AU15" s="305" cm="1">
        <f t="array" ref="AU15">_xll.PrecioBD(AP15,"24","ASK","N")</f>
        <v>107.35</v>
      </c>
      <c r="AV15" s="336" cm="1">
        <f t="array" ref="AV15">_xll.PrecioBD(AP15,24,"QUANTITY BID","N")</f>
        <v>20000</v>
      </c>
      <c r="AW15" s="336" cm="1">
        <f t="array" ref="AW15">_xll.PrecioBD(AP15,24,"QUANTITY ASK","N")</f>
        <v>20000</v>
      </c>
      <c r="AX15" s="335" cm="1">
        <f t="array" ref="AX15">_xll.PrecioBD(AP15,24,"VOLUME AMOUNT","N")</f>
        <v>121221</v>
      </c>
      <c r="AY15" s="120" cm="1">
        <f t="array" ref="AY15">_xll.PrecioBD(AP15,24,"IMBALANCE","N")</f>
        <v>4.0000000000000002E-4</v>
      </c>
      <c r="AZ15" s="350" t="s">
        <v>5186</v>
      </c>
      <c r="BA15" s="350">
        <v>1</v>
      </c>
      <c r="BB15" s="350" t="s">
        <v>5184</v>
      </c>
      <c r="BC15" s="71"/>
    </row>
    <row r="16" spans="1:55">
      <c r="C16" s="100"/>
      <c r="D16" s="240" t="s">
        <v>607</v>
      </c>
      <c r="E16" s="240" t="s">
        <v>788</v>
      </c>
      <c r="F16" s="246" t="s">
        <v>789</v>
      </c>
      <c r="G16" s="332">
        <v>1423</v>
      </c>
      <c r="H16" s="101">
        <v>1432</v>
      </c>
      <c r="I16" s="245">
        <v>1432</v>
      </c>
      <c r="K16" s="288" t="s">
        <v>464</v>
      </c>
      <c r="L16" s="289" cm="1">
        <f t="array" ref="L16">_xll.PrecioBD(K16,24,"IMBALANCE","N")</f>
        <v>-1.0699999999999999E-2</v>
      </c>
      <c r="M16" s="361"/>
      <c r="N16" s="328"/>
      <c r="P16" s="257" t="s">
        <v>5217</v>
      </c>
      <c r="Q16" s="255" cm="1">
        <f t="array" aca="1" ref="Q16" ca="1">INDIRECT("'" &amp; P16 &amp; "'!J6")</f>
        <v>2.7068653577046575E-2</v>
      </c>
      <c r="R16" s="256" cm="1">
        <f t="array" aca="1" ref="R16" ca="1">INDIRECT("'" &amp; P16&amp; "'!B3")</f>
        <v>46402</v>
      </c>
      <c r="S16" s="233" cm="1">
        <f t="array" ref="S16">_xll.PrecioBD(P16,24,"IMBALANCE","N")</f>
        <v>2E-3</v>
      </c>
      <c r="T16" s="260" cm="1">
        <f t="array" aca="1" ref="T16" ca="1">INDIRECT("'" &amp; Tabla11[[#This Row],[Ticker]]&amp; "'!J5")</f>
        <v>0.37245733252595931</v>
      </c>
      <c r="U16" s="261">
        <f ca="1">Tabla11[[#This Row],[Vencimiento]]-$D$1</f>
        <v>334</v>
      </c>
      <c r="V16" s="302" cm="1">
        <f t="array" ref="V16">_xll.PrecioBD(Tabla11[[#This Row],[Ticker]],"24","BID","N")</f>
        <v>120.1</v>
      </c>
      <c r="W16" s="305" cm="1">
        <f t="array" ref="W16">_xll.PrecioBD(Tabla11[[#This Row],[Ticker]],"24","ASK","N")</f>
        <v>120.15</v>
      </c>
      <c r="X16" s="299" cm="1">
        <f t="array" ref="X16">_xll.PrecioBD(Tabla11[[#This Row],[Ticker]],24,"QUANTITY BID","N")</f>
        <v>50769775</v>
      </c>
      <c r="Y16" s="299" cm="1">
        <f t="array" ref="Y16">_xll.PrecioBD(Tabla11[[#This Row],[Ticker]],24,"QUANTITY ASK","N")</f>
        <v>15000000</v>
      </c>
      <c r="Z16" s="261" cm="1">
        <f t="array" ref="Z16">_xll.PrecioBD(Tabla11[[#This Row],[Ticker]],24,"VOLUME AMOUNT","N")</f>
        <v>6888900022.6499996</v>
      </c>
      <c r="AA16" s="260">
        <f ca="1">Tabla11[[#This Row],[TNA]]/365*Tabla11[[#This Row],[Días a vencimiento]]</f>
        <v>0.34082397003745318</v>
      </c>
      <c r="AB16" s="280">
        <f ca="1">$I$15*(1+Tabla11[[#This Row],[TNA]]/365*Tabla11[[#This Row],[Días a vencimiento]])</f>
        <v>1928.9093305609199</v>
      </c>
      <c r="AC16" s="262"/>
      <c r="AE16" s="213" t="s">
        <v>5204</v>
      </c>
      <c r="AF16" s="213" t="s">
        <v>5205</v>
      </c>
      <c r="AP16" s="339" t="s">
        <v>39</v>
      </c>
      <c r="AQ16" s="121" cm="1">
        <f t="array" aca="1" ref="AQ16" ca="1">INDIRECT("'" &amp; AP16 &amp; "'!K4")</f>
        <v>7.3068347573280346E-2</v>
      </c>
      <c r="AR16" s="344" cm="1">
        <f t="array" aca="1" ref="AR16" ca="1">INDIRECT("'" &amp; AP16 &amp; "'!K3")</f>
        <v>4.7958835204595118</v>
      </c>
      <c r="AS16" s="343">
        <v>48364</v>
      </c>
      <c r="AT16" s="347" cm="1">
        <f t="array" ref="AT16">_xll.PrecioBD(AP16,"24","BID","N")</f>
        <v>108.1</v>
      </c>
      <c r="AU16" s="305" cm="1">
        <f t="array" ref="AU16">_xll.PrecioBD(AP16,"24","ASK","N")</f>
        <v>108.35</v>
      </c>
      <c r="AV16" s="336" cm="1">
        <f t="array" ref="AV16">_xll.PrecioBD(AP16,24,"QUANTITY BID","N")</f>
        <v>4000</v>
      </c>
      <c r="AW16" s="336" cm="1">
        <f t="array" ref="AW16">_xll.PrecioBD(AP16,24,"QUANTITY ASK","N")</f>
        <v>48000</v>
      </c>
      <c r="AX16" s="335" cm="1">
        <f t="array" ref="AX16">_xll.PrecioBD(AP16,24,"VOLUME AMOUNT","N")</f>
        <v>121382.5</v>
      </c>
      <c r="AY16" s="120" cm="1">
        <f t="array" ref="AY16">_xll.PrecioBD(AP16,24,"IMBALANCE","N")</f>
        <v>0</v>
      </c>
      <c r="AZ16" s="350" t="s">
        <v>5186</v>
      </c>
      <c r="BA16" s="350">
        <v>0</v>
      </c>
      <c r="BB16" s="350">
        <v>0</v>
      </c>
      <c r="BC16" s="71"/>
    </row>
    <row r="17" spans="3:55">
      <c r="C17" s="100"/>
      <c r="D17" s="240" t="s">
        <v>607</v>
      </c>
      <c r="E17" s="240" t="s">
        <v>514</v>
      </c>
      <c r="F17" s="246" t="s">
        <v>790</v>
      </c>
      <c r="G17" s="332">
        <v>1395</v>
      </c>
      <c r="H17" s="101">
        <v>1445</v>
      </c>
      <c r="I17" s="244">
        <v>1445</v>
      </c>
      <c r="K17" s="288" t="s">
        <v>322</v>
      </c>
      <c r="L17" s="289" cm="1">
        <f t="array" ref="L17">_xll.PrecioBD(K17,24,"IMBALANCE","N")</f>
        <v>-1.14E-2</v>
      </c>
      <c r="M17" s="287"/>
      <c r="N17" s="329"/>
      <c r="P17" s="257" t="s">
        <v>5218</v>
      </c>
      <c r="Q17" s="255" cm="1">
        <f t="array" aca="1" ref="Q17" ca="1">INDIRECT("'" &amp; P17 &amp; "'!J6")</f>
        <v>2.711116684257453E-2</v>
      </c>
      <c r="R17" s="256" cm="1">
        <f t="array" aca="1" ref="R17" ca="1">INDIRECT("'" &amp; P17&amp; "'!B3")</f>
        <v>46507</v>
      </c>
      <c r="S17" s="233" cm="1">
        <f t="array" ref="S17">_xll.PrecioBD(P17,24,"IMBALANCE","N")</f>
        <v>0</v>
      </c>
      <c r="T17" s="260" cm="1">
        <f t="array" aca="1" ref="T17" ca="1">INDIRECT("'" &amp; Tabla11[[#This Row],[Ticker]]&amp; "'!J5")</f>
        <v>0.39177649294939382</v>
      </c>
      <c r="U17" s="261">
        <f ca="1">Tabla11[[#This Row],[Vencimiento]]-$D$1</f>
        <v>439</v>
      </c>
      <c r="V17" s="302" cm="1">
        <f t="array" ref="V17">_xll.PrecioBD(Tabla11[[#This Row],[Ticker]],"24","BID","N")</f>
        <v>108.65</v>
      </c>
      <c r="W17" s="305" cm="1">
        <f t="array" ref="W17">_xll.PrecioBD(Tabla11[[#This Row],[Ticker]],"24","ASK","N")</f>
        <v>108.7</v>
      </c>
      <c r="X17" s="299" cm="1">
        <f t="array" ref="X17">_xll.PrecioBD(Tabla11[[#This Row],[Ticker]],24,"QUANTITY BID","N")</f>
        <v>142099074</v>
      </c>
      <c r="Y17" s="299" cm="1">
        <f t="array" ref="Y17">_xll.PrecioBD(Tabla11[[#This Row],[Ticker]],24,"QUANTITY ASK","N")</f>
        <v>141132</v>
      </c>
      <c r="Z17" s="261" cm="1">
        <f t="array" ref="Z17">_xll.PrecioBD(Tabla11[[#This Row],[Ticker]],24,"VOLUME AMOUNT","N")</f>
        <v>972082787.99000001</v>
      </c>
      <c r="AA17" s="260">
        <f ca="1">Tabla11[[#This Row],[TNA]]/365*Tabla11[[#This Row],[Días a vencimiento]]</f>
        <v>0.47120515179392841</v>
      </c>
      <c r="AB17" s="280">
        <f ca="1">$I$15*(1+Tabla11[[#This Row],[TNA]]/365*Tabla11[[#This Row],[Días a vencimiento]])</f>
        <v>2116.4756954526511</v>
      </c>
      <c r="AC17" s="262"/>
      <c r="AE17" s="211" t="s">
        <v>5200</v>
      </c>
      <c r="AF17" s="212" cm="1">
        <f t="array" ref="AF17">_xll.PrecioBD("GD29D",24,"ASK","N")/_xll.PrecioBD("AL29D",24,"ASK","N")-1</f>
        <v>2.6035878710906291E-2</v>
      </c>
      <c r="AP17" s="337" t="s">
        <v>51</v>
      </c>
      <c r="AQ17" s="121" cm="1">
        <f t="array" aca="1" ref="AQ17" ca="1">INDIRECT("'" &amp; AP17 &amp; "'!K4")</f>
        <v>7.0167872309684742E-2</v>
      </c>
      <c r="AR17" s="344" cm="1">
        <f t="array" aca="1" ref="AR17" ca="1">INDIRECT("'" &amp; AP17 &amp; "'!K3")</f>
        <v>6.3325002677110005</v>
      </c>
      <c r="AS17" s="343">
        <v>49653</v>
      </c>
      <c r="AT17" s="347" cm="1">
        <f t="array" ref="AT17">_xll.PrecioBD(AP17,"24","BID","N")</f>
        <v>106</v>
      </c>
      <c r="AU17" s="305" cm="1">
        <f t="array" ref="AU17">_xll.PrecioBD(AP17,"24","ASK","N")</f>
        <v>106.05</v>
      </c>
      <c r="AV17" s="336" cm="1">
        <f t="array" ref="AV17">_xll.PrecioBD(AP17,24,"QUANTITY BID","N")</f>
        <v>30000</v>
      </c>
      <c r="AW17" s="336" cm="1">
        <f t="array" ref="AW17">_xll.PrecioBD(AP17,24,"QUANTITY ASK","N")</f>
        <v>75000</v>
      </c>
      <c r="AX17" s="335" cm="1">
        <f t="array" ref="AX17">_xll.PrecioBD(AP17,24,"VOLUME AMOUNT","N")</f>
        <v>31830</v>
      </c>
      <c r="AY17" s="120" cm="1">
        <f t="array" ref="AY17">_xll.PrecioBD(AP17,24,"IMBALANCE","N")</f>
        <v>-4.0000000000000002E-4</v>
      </c>
      <c r="AZ17" s="350" t="s">
        <v>5186</v>
      </c>
      <c r="BA17" s="350">
        <v>10000</v>
      </c>
      <c r="BB17" s="350" t="s">
        <v>5185</v>
      </c>
      <c r="BC17" s="71"/>
    </row>
    <row r="18" spans="3:55">
      <c r="C18" s="100"/>
      <c r="D18" s="240" t="s">
        <v>607</v>
      </c>
      <c r="E18" s="240" t="s">
        <v>553</v>
      </c>
      <c r="F18" s="246" t="s">
        <v>791</v>
      </c>
      <c r="G18" s="332">
        <v>1423</v>
      </c>
      <c r="H18" s="101">
        <v>1432</v>
      </c>
      <c r="I18" s="244">
        <v>1432</v>
      </c>
      <c r="J18" s="104"/>
      <c r="K18" s="288" t="s">
        <v>289</v>
      </c>
      <c r="L18" s="295" cm="1">
        <f t="array" ref="L18">_xll.PrecioBD(K18,24,"IMBALANCE","N")</f>
        <v>-1.4500000000000001E-2</v>
      </c>
      <c r="M18" s="287"/>
      <c r="N18" s="328"/>
      <c r="P18" s="257" t="s">
        <v>5219</v>
      </c>
      <c r="Q18" s="255" cm="1">
        <f t="array" aca="1" ref="Q18" ca="1">INDIRECT("'" &amp; P18 &amp; "'!J6")</f>
        <v>2.5395019359156334E-2</v>
      </c>
      <c r="R18" s="256" cm="1">
        <f t="array" aca="1" ref="R18" ca="1">INDIRECT("'" &amp; P18&amp; "'!B3")</f>
        <v>46538</v>
      </c>
      <c r="S18" s="233" cm="1">
        <f t="array" ref="S18">_xll.PrecioBD(P18,24,"IMBALANCE","N")</f>
        <v>2.3999999999999998E-3</v>
      </c>
      <c r="T18" s="260" cm="1">
        <f t="array" aca="1" ref="T18" ca="1">INDIRECT("'" &amp; Tabla11[[#This Row],[Ticker]]&amp; "'!J5")</f>
        <v>0.36756351993389785</v>
      </c>
      <c r="U18" s="261">
        <f ca="1">Tabla11[[#This Row],[Vencimiento]]-$D$1</f>
        <v>470</v>
      </c>
      <c r="V18" s="302" cm="1">
        <f t="array" ref="V18">_xll.PrecioBD(Tabla11[[#This Row],[Ticker]],"24","BID","N")</f>
        <v>102.95</v>
      </c>
      <c r="W18" s="305" cm="1">
        <f t="array" ref="W18">_xll.PrecioBD(Tabla11[[#This Row],[Ticker]],"24","ASK","N")</f>
        <v>103</v>
      </c>
      <c r="X18" s="299" cm="1">
        <f t="array" ref="X18">_xll.PrecioBD(Tabla11[[#This Row],[Ticker]],24,"QUANTITY BID","N")</f>
        <v>401063</v>
      </c>
      <c r="Y18" s="299" cm="1">
        <f t="array" ref="Y18">_xll.PrecioBD(Tabla11[[#This Row],[Ticker]],24,"QUANTITY ASK","N")</f>
        <v>610108</v>
      </c>
      <c r="Z18" s="261" cm="1">
        <f t="array" ref="Z18">_xll.PrecioBD(Tabla11[[#This Row],[Ticker]],24,"VOLUME AMOUNT","N")</f>
        <v>241394054.69999999</v>
      </c>
      <c r="AA18" s="260">
        <f ca="1">Tabla11[[#This Row],[TNA]]/365*Tabla11[[#This Row],[Días a vencimiento]]</f>
        <v>0.47330097087378631</v>
      </c>
      <c r="AB18" s="280">
        <f ca="1">$I$15*(1+Tabla11[[#This Row],[TNA]]/365*Tabla11[[#This Row],[Días a vencimiento]])</f>
        <v>2119.4907407297669</v>
      </c>
      <c r="AC18" s="262"/>
      <c r="AE18" s="211" t="s">
        <v>5199</v>
      </c>
      <c r="AF18" s="212" cm="1">
        <f t="array" ref="AF18">_xll.PrecioBD("GD30D",24,"ASK","N")/_xll.PrecioBD("AL30D",24,"ASK","N")-1</f>
        <v>2.5092488338426922E-2</v>
      </c>
      <c r="AP18" s="337" t="s">
        <v>36</v>
      </c>
      <c r="AQ18" s="121" cm="1">
        <f t="array" aca="1" ref="AQ18" ca="1">INDIRECT("'" &amp; AP18 &amp; "'!K4")</f>
        <v>7.0133516192436199E-2</v>
      </c>
      <c r="AR18" s="344" cm="1">
        <f t="array" aca="1" ref="AR18" ca="1">INDIRECT("'" &amp; AP18 &amp; "'!K3")</f>
        <v>3.8873353822190397</v>
      </c>
      <c r="AS18" s="343">
        <v>48102</v>
      </c>
      <c r="AT18" s="347" cm="1">
        <f t="array" ref="AT18">_xll.PrecioBD(AP18,"24","BID","N")</f>
        <v>111.35</v>
      </c>
      <c r="AU18" s="305" cm="1">
        <f t="array" ref="AU18">_xll.PrecioBD(AP18,"24","ASK","N")</f>
        <v>111.45</v>
      </c>
      <c r="AV18" s="336" cm="1">
        <f t="array" ref="AV18">_xll.PrecioBD(AP18,24,"QUANTITY BID","N")</f>
        <v>1048</v>
      </c>
      <c r="AW18" s="336" cm="1">
        <f t="array" ref="AW18">_xll.PrecioBD(AP18,24,"QUANTITY ASK","N")</f>
        <v>11028</v>
      </c>
      <c r="AX18" s="335" cm="1">
        <f t="array" ref="AX18">_xll.PrecioBD(AP18,24,"VOLUME AMOUNT","N")</f>
        <v>278428.40000000002</v>
      </c>
      <c r="AY18" s="120" cm="1">
        <f t="array" ref="AY18">_xll.PrecioBD(AP18,24,"IMBALANCE","N")</f>
        <v>-2.2000000000000001E-3</v>
      </c>
      <c r="AZ18" s="350" t="s">
        <v>5186</v>
      </c>
      <c r="BA18" s="350">
        <v>1</v>
      </c>
      <c r="BB18" s="350" t="s">
        <v>5184</v>
      </c>
      <c r="BC18" s="71"/>
    </row>
    <row r="19" spans="3:55">
      <c r="D19" s="99" t="s">
        <v>96</v>
      </c>
      <c r="E19" s="204" t="s">
        <v>220</v>
      </c>
      <c r="F19" s="204" t="s">
        <v>5948</v>
      </c>
      <c r="J19" s="104"/>
      <c r="K19" s="297" t="s">
        <v>269</v>
      </c>
      <c r="L19" s="289" cm="1">
        <f t="array" ref="L19">_xll.PrecioBD(K19,24,"IMBALANCE","N")</f>
        <v>-1.15E-2</v>
      </c>
      <c r="M19" s="287"/>
      <c r="N19" s="327"/>
      <c r="P19" s="257" t="s">
        <v>5220</v>
      </c>
      <c r="Q19" s="255" cm="1">
        <f t="array" aca="1" ref="Q19" ca="1">INDIRECT("'" &amp; P19 &amp; "'!J6")</f>
        <v>2.0262211530109653E-2</v>
      </c>
      <c r="R19" s="281" cm="1">
        <f t="array" aca="1" ref="R19" ca="1">INDIRECT("'" &amp; P19&amp; "'!B3")</f>
        <v>46568</v>
      </c>
      <c r="S19" s="282" cm="1">
        <f t="array" ref="S19">_xll.PrecioBD(P19,24,"IMBALANCE","N")</f>
        <v>8.9999999999999998E-4</v>
      </c>
      <c r="T19" s="283" cm="1">
        <f t="array" aca="1" ref="T19" ca="1">INDIRECT("'" &amp; Tabla11[[#This Row],[Ticker]]&amp; "'!J5")</f>
        <v>0.28515078985160358</v>
      </c>
      <c r="U19" s="284">
        <f ca="1">Tabla11[[#This Row],[Vencimiento]]-$D$1</f>
        <v>500</v>
      </c>
      <c r="V19" s="302" cm="1">
        <f t="array" ref="V19">_xll.PrecioBD(Tabla11[[#This Row],[Ticker]],"24","BID","N")</f>
        <v>103.4</v>
      </c>
      <c r="W19" s="305" cm="1">
        <f t="array" ref="W19">_xll.PrecioBD(Tabla11[[#This Row],[Ticker]],"24","ASK","N")</f>
        <v>104.45</v>
      </c>
      <c r="X19" s="299" cm="1">
        <f t="array" ref="X19">_xll.PrecioBD(Tabla11[[#This Row],[Ticker]],24,"QUANTITY BID","N")</f>
        <v>84662</v>
      </c>
      <c r="Y19" s="299" cm="1">
        <f t="array" ref="Y19">_xll.PrecioBD(Tabla11[[#This Row],[Ticker]],24,"QUANTITY ASK","N")</f>
        <v>948843</v>
      </c>
      <c r="Z19" s="284" cm="1">
        <f t="array" ref="Z19">_xll.PrecioBD(Tabla11[[#This Row],[Ticker]],24,"VOLUME AMOUNT","N")</f>
        <v>265725705.72</v>
      </c>
      <c r="AA19" s="283">
        <f ca="1">Tabla11[[#This Row],[TNA]]/365*Tabla11[[#This Row],[Días a vencimiento]]</f>
        <v>0.39061752034466246</v>
      </c>
      <c r="AB19" s="285">
        <f ca="1">$I$15*(1+Tabla11[[#This Row],[TNA]]/365*Tabla11[[#This Row],[Días a vencimiento]])</f>
        <v>2000.5423308172083</v>
      </c>
      <c r="AC19" s="262"/>
      <c r="AE19" s="211" t="s">
        <v>5201</v>
      </c>
      <c r="AF19" s="212" cm="1">
        <f t="array" ref="AF19">_xll.PrecioBD("GD35D",24,"ASK","N")/_xll.PrecioBD("AL35D",24,"ASK","N")-1</f>
        <v>1.9535709755169384E-2</v>
      </c>
      <c r="AP19" s="337" t="s">
        <v>40</v>
      </c>
      <c r="AQ19" s="121" cm="1">
        <f t="array" aca="1" ref="AQ19" ca="1">INDIRECT("'" &amp; AP19 &amp; "'!K4")</f>
        <v>6.9892355799674982E-2</v>
      </c>
      <c r="AR19" s="344" cm="1">
        <f t="array" aca="1" ref="AR19" ca="1">INDIRECT("'" &amp; AP19 &amp; "'!K3")</f>
        <v>4.4359846521732527</v>
      </c>
      <c r="AS19" s="343">
        <v>48503</v>
      </c>
      <c r="AT19" s="347" cm="1">
        <f t="array" ref="AT19">_xll.PrecioBD(AP19,"24","BID","N")</f>
        <v>106.9</v>
      </c>
      <c r="AU19" s="305" cm="1">
        <f t="array" ref="AU19">_xll.PrecioBD(AP19,"24","ASK","N")</f>
        <v>107.25</v>
      </c>
      <c r="AV19" s="336" cm="1">
        <f t="array" ref="AV19">_xll.PrecioBD(AP19,24,"QUANTITY BID","N")</f>
        <v>1000</v>
      </c>
      <c r="AW19" s="336" cm="1">
        <f t="array" ref="AW19">_xll.PrecioBD(AP19,24,"QUANTITY ASK","N")</f>
        <v>5000</v>
      </c>
      <c r="AX19" s="335" cm="1">
        <f t="array" ref="AX19">_xll.PrecioBD(AP19,24,"VOLUME AMOUNT","N")</f>
        <v>14959.5</v>
      </c>
      <c r="AY19" s="120" cm="1">
        <f t="array" ref="AY19">_xll.PrecioBD(AP19,24,"IMBALANCE","N")</f>
        <v>0</v>
      </c>
      <c r="AZ19" s="350" t="s">
        <v>5186</v>
      </c>
      <c r="BA19" s="350">
        <v>1000</v>
      </c>
      <c r="BB19" s="350" t="s">
        <v>5184</v>
      </c>
      <c r="BC19" s="71"/>
    </row>
    <row r="20" spans="3:55">
      <c r="D20" s="253" cm="1">
        <f t="array" ref="D20">(1+_xll.PrecioBD("AL30","CI","IMBALANCE","N"))/(1+_xll.PrecioBD("AL30D","CI","IMBALANCE","N"))-1</f>
        <v>-9.377494014365495E-3</v>
      </c>
      <c r="E20" s="253" cm="1">
        <f t="array" ref="E20">(1+_xll.PrecioBD("AL30","CI","IMBALANCE","N"))/(1+_xll.PrecioBD("AL30C","CI","IMBALANCE","N"))-1</f>
        <v>-7.3970411835265759E-3</v>
      </c>
      <c r="F20" s="253">
        <f>I15/I18-1</f>
        <v>4.6089214985596261E-3</v>
      </c>
      <c r="J20" s="104"/>
      <c r="K20" s="241" t="s">
        <v>341</v>
      </c>
      <c r="L20" s="289" cm="1">
        <f t="array" ref="L20">_xll.PrecioBD(K20,24,"IMBALANCE","N")</f>
        <v>-1.5299999999999999E-2</v>
      </c>
      <c r="M20" s="248"/>
      <c r="N20" s="330"/>
      <c r="P20" s="314"/>
      <c r="Q20" s="315"/>
      <c r="R20" s="281"/>
      <c r="S20" s="282"/>
      <c r="T20" s="283"/>
      <c r="U20" s="284"/>
      <c r="V20" s="284"/>
      <c r="W20" s="284"/>
      <c r="X20" s="284"/>
      <c r="Y20" s="284"/>
      <c r="Z20" s="284"/>
      <c r="AA20" s="316"/>
      <c r="AB20" s="285"/>
      <c r="AC20" s="286"/>
      <c r="AD20" s="264"/>
      <c r="AE20" s="211" t="s">
        <v>5202</v>
      </c>
      <c r="AF20" s="212" cm="1">
        <f t="array" ref="AF20">_xll.PrecioBD("GD38D",24,"ASK","N")/_xll.PrecioBD("AE38D",24,"ASK","N")-1</f>
        <v>3.0314187530682268E-2</v>
      </c>
      <c r="AP20" s="338" t="s">
        <v>56</v>
      </c>
      <c r="AQ20" s="121" cm="1">
        <f t="array" aca="1" ref="AQ20" ca="1">INDIRECT("'" &amp; AP20 &amp; "'!K4")</f>
        <v>7.0659539103508015E-2</v>
      </c>
      <c r="AR20" s="344" cm="1">
        <f t="array" aca="1" ref="AR20" ca="1">INDIRECT("'" &amp; AP20 &amp; "'!K3")</f>
        <v>5.1788798713227875</v>
      </c>
      <c r="AS20" s="343">
        <v>48915</v>
      </c>
      <c r="AT20" s="347" cm="1">
        <f t="array" ref="AT20">_xll.PrecioBD(AP20,"24","BID","N")</f>
        <v>104.9</v>
      </c>
      <c r="AU20" s="305" cm="1">
        <f t="array" ref="AU20">_xll.PrecioBD(AP20,"24","ASK","N")</f>
        <v>105.9</v>
      </c>
      <c r="AV20" s="336" cm="1">
        <f t="array" ref="AV20">_xll.PrecioBD(AP20,24,"QUANTITY BID","N")</f>
        <v>1000</v>
      </c>
      <c r="AW20" s="336" cm="1">
        <f t="array" ref="AW20">_xll.PrecioBD(AP20,24,"QUANTITY ASK","N")</f>
        <v>15000</v>
      </c>
      <c r="AX20" s="335" cm="1">
        <f t="array" ref="AX20">_xll.PrecioBD(AP20,24,"VOLUME AMOUNT","N")</f>
        <v>37930.5</v>
      </c>
      <c r="AY20" s="120" cm="1">
        <f t="array" ref="AY20">_xll.PrecioBD(AP20,24,"IMBALANCE","N")</f>
        <v>5.7000000000000002E-3</v>
      </c>
      <c r="AZ20" s="350" t="s">
        <v>5186</v>
      </c>
      <c r="BA20" s="350">
        <v>1000</v>
      </c>
      <c r="BB20" s="350" t="s">
        <v>5185</v>
      </c>
      <c r="BC20" s="71"/>
    </row>
    <row r="21" spans="3:55">
      <c r="J21" s="90"/>
      <c r="K21" s="377" t="s">
        <v>288</v>
      </c>
      <c r="L21" s="295" cm="1">
        <f t="array" ref="L21">_xll.PrecioBD(K21,24,"IMBALANCE","N")</f>
        <v>-1.5100000000000001E-2</v>
      </c>
      <c r="M21" s="352"/>
      <c r="N21" s="90"/>
      <c r="P21" s="91" t="s">
        <v>96</v>
      </c>
      <c r="Q21" s="265">
        <f>W1</f>
        <v>1438.5999755859375</v>
      </c>
      <c r="R21" s="71"/>
      <c r="S21" s="71"/>
      <c r="T21" s="71"/>
      <c r="U21" s="71"/>
      <c r="V21" s="71"/>
      <c r="W21" s="71"/>
      <c r="X21" s="71"/>
      <c r="AE21" s="211" t="s">
        <v>5203</v>
      </c>
      <c r="AF21" s="212" cm="1">
        <f t="array" ref="AF21">_xll.PrecioBD("GD41D",24,"ASK","N")/_xll.PrecioBD("AL41D",24,"ASK","N")-1</f>
        <v>1.3486176668914274E-2</v>
      </c>
      <c r="AP21" s="340" t="s">
        <v>32</v>
      </c>
      <c r="AQ21" s="121" cm="1">
        <f t="array" aca="1" ref="AQ21" ca="1">INDIRECT("'" &amp; AP21 &amp; "'!K4")</f>
        <v>6.8281874060630812E-2</v>
      </c>
      <c r="AR21" s="344" cm="1">
        <f t="array" aca="1" ref="AR21" ca="1">INDIRECT("'" &amp; AP21 &amp; "'!K3")</f>
        <v>3.6058106100532541</v>
      </c>
      <c r="AS21" s="343">
        <v>48047</v>
      </c>
      <c r="AT21" s="347" cm="1">
        <f t="array" ref="AT21">_xll.PrecioBD(AP21,"24","BID","N")</f>
        <v>111.05</v>
      </c>
      <c r="AU21" s="305" cm="1">
        <f t="array" ref="AU21">_xll.PrecioBD(AP21,"24","ASK","N")</f>
        <v>111.2</v>
      </c>
      <c r="AV21" s="336" cm="1">
        <f t="array" ref="AV21">_xll.PrecioBD(AP21,24,"QUANTITY BID","N")</f>
        <v>7000</v>
      </c>
      <c r="AW21" s="336" cm="1">
        <f t="array" ref="AW21">_xll.PrecioBD(AP21,24,"QUANTITY ASK","N")</f>
        <v>12000</v>
      </c>
      <c r="AX21" s="335" cm="1">
        <f t="array" ref="AX21">_xll.PrecioBD(AP21,24,"VOLUME AMOUNT","N")</f>
        <v>194210</v>
      </c>
      <c r="AY21" s="120" cm="1">
        <f t="array" ref="AY21">_xll.PrecioBD(AP21,24,"IMBALANCE","N")</f>
        <v>-3.5000000000000001E-3</v>
      </c>
      <c r="AZ21" s="350" t="s">
        <v>5186</v>
      </c>
      <c r="BA21" s="350">
        <v>1000</v>
      </c>
      <c r="BB21" s="350" t="s">
        <v>5184</v>
      </c>
      <c r="BC21" s="71"/>
    </row>
    <row r="22" spans="3:55" s="219" customFormat="1">
      <c r="D22" s="97" t="s">
        <v>811</v>
      </c>
      <c r="E22" s="85" t="s">
        <v>5923</v>
      </c>
      <c r="F22" s="85" t="s">
        <v>5922</v>
      </c>
      <c r="H22" s="221"/>
      <c r="I22" s="221"/>
      <c r="J22" s="222"/>
      <c r="K22" s="351" t="s">
        <v>5924</v>
      </c>
      <c r="L22" s="296">
        <f>'Indices BYMA'!H5</f>
        <v>-2.2599999999999999E-2</v>
      </c>
      <c r="M22" s="352"/>
      <c r="N22" s="222"/>
      <c r="O22" s="222"/>
      <c r="Q22" s="372" t="s">
        <v>5969</v>
      </c>
      <c r="R22" s="372"/>
      <c r="S22" s="372"/>
      <c r="AE22" s="220"/>
      <c r="AF22" s="223"/>
      <c r="AP22" s="337" t="s">
        <v>46</v>
      </c>
      <c r="AQ22" s="121" cm="1">
        <f t="array" aca="1" ref="AQ22" ca="1">INDIRECT("'" &amp; AP22 &amp; "'!K4")</f>
        <v>6.6920939087867753E-2</v>
      </c>
      <c r="AR22" s="344" cm="1">
        <f t="array" aca="1" ref="AR22" ca="1">INDIRECT("'" &amp; AP22 &amp; "'!K3")</f>
        <v>4.9308554219326108</v>
      </c>
      <c r="AS22" s="343">
        <v>48852</v>
      </c>
      <c r="AT22" s="347" cm="1">
        <f t="array" ref="AT22">_xll.PrecioBD(AP22,"24","BID","N")</f>
        <v>104.6</v>
      </c>
      <c r="AU22" s="305" cm="1">
        <f t="array" ref="AU22">_xll.PrecioBD(AP22,"24","ASK","N")</f>
        <v>104.75</v>
      </c>
      <c r="AV22" s="336" cm="1">
        <f t="array" ref="AV22">_xll.PrecioBD(AP22,24,"QUANTITY BID","N")</f>
        <v>1083</v>
      </c>
      <c r="AW22" s="336" cm="1">
        <f t="array" ref="AW22">_xll.PrecioBD(AP22,24,"QUANTITY ASK","N")</f>
        <v>986</v>
      </c>
      <c r="AX22" s="335" cm="1">
        <f t="array" ref="AX22">_xll.PrecioBD(AP22,24,"VOLUME AMOUNT","N")</f>
        <v>198024.03</v>
      </c>
      <c r="AY22" s="120" cm="1">
        <f t="array" ref="AY22">_xll.PrecioBD(AP22,24,"IMBALANCE","N")</f>
        <v>2.8E-3</v>
      </c>
      <c r="AZ22" s="350" t="s">
        <v>5186</v>
      </c>
      <c r="BA22" s="350">
        <v>10000</v>
      </c>
      <c r="BB22" s="350" t="s">
        <v>5185</v>
      </c>
      <c r="BC22" s="220"/>
    </row>
    <row r="23" spans="3:55">
      <c r="D23" s="102">
        <v>0.25</v>
      </c>
      <c r="E23" s="247">
        <f>G8-D23</f>
        <v>4.7999999999999987E-2</v>
      </c>
      <c r="F23" s="248">
        <f ca="1">AVERAGE(T6:T19)-D23</f>
        <v>0.10393615809330697</v>
      </c>
      <c r="I23" s="90"/>
      <c r="J23" s="90"/>
      <c r="K23" s="377" t="s">
        <v>521</v>
      </c>
      <c r="L23" s="289" cm="1">
        <f t="array" ref="L23">_xll.PrecioBD(K23,24,"IMBALANCE","N")</f>
        <v>-2.2599999999999999E-2</v>
      </c>
      <c r="M23" s="352"/>
      <c r="N23" s="90"/>
      <c r="O23" s="90"/>
      <c r="Q23" s="99" t="s">
        <v>3</v>
      </c>
      <c r="R23" s="99">
        <v>1450</v>
      </c>
      <c r="S23" s="99">
        <v>1500</v>
      </c>
      <c r="T23" s="99">
        <v>1550</v>
      </c>
      <c r="U23" s="99">
        <v>1600</v>
      </c>
      <c r="V23" s="99">
        <v>1650</v>
      </c>
      <c r="W23" s="99">
        <v>1700</v>
      </c>
      <c r="X23" s="99">
        <v>1750</v>
      </c>
      <c r="Y23" s="309">
        <v>1800</v>
      </c>
      <c r="Z23" s="309">
        <v>1850</v>
      </c>
      <c r="AP23" s="338" t="s">
        <v>54</v>
      </c>
      <c r="AQ23" s="121" cm="1">
        <f t="array" aca="1" ref="AQ23" ca="1">INDIRECT("'" &amp; AP23 &amp; "'!K4")</f>
        <v>6.6471859812736497E-2</v>
      </c>
      <c r="AR23" s="344" cm="1">
        <f t="array" aca="1" ref="AR23" ca="1">INDIRECT("'" &amp; AP23 &amp; "'!K3")</f>
        <v>3.861949953999996</v>
      </c>
      <c r="AS23" s="343">
        <v>47791</v>
      </c>
      <c r="AT23" s="347" cm="1">
        <f t="array" ref="AT23">_xll.PrecioBD(AP23,"24","BID","N")</f>
        <v>106.3</v>
      </c>
      <c r="AU23" s="305" cm="1">
        <f t="array" ref="AU23">_xll.PrecioBD(AP23,"24","ASK","N")</f>
        <v>106.45</v>
      </c>
      <c r="AV23" s="336" cm="1">
        <f t="array" ref="AV23">_xll.PrecioBD(AP23,24,"QUANTITY BID","N")</f>
        <v>33000</v>
      </c>
      <c r="AW23" s="336" cm="1">
        <f t="array" ref="AW23">_xll.PrecioBD(AP23,24,"QUANTITY ASK","N")</f>
        <v>1000</v>
      </c>
      <c r="AX23" s="335" cm="1">
        <f t="array" ref="AX23">_xll.PrecioBD(AP23,24,"VOLUME AMOUNT","N")</f>
        <v>117155.5</v>
      </c>
      <c r="AY23" s="120" cm="1">
        <f t="array" ref="AY23">_xll.PrecioBD(AP23,24,"IMBALANCE","N")</f>
        <v>-4.0000000000000002E-4</v>
      </c>
      <c r="AZ23" s="350" t="s">
        <v>5186</v>
      </c>
      <c r="BA23" s="350">
        <v>1</v>
      </c>
      <c r="BB23" s="350" t="s">
        <v>5184</v>
      </c>
      <c r="BC23" s="71"/>
    </row>
    <row r="24" spans="3:55">
      <c r="D24" s="225" t="s">
        <v>5225</v>
      </c>
      <c r="K24" s="376" t="s">
        <v>340</v>
      </c>
      <c r="L24" s="378" cm="1">
        <f t="array" ref="L24">_xll.PrecioBD(K24,24,"IMBALANCE","N")</f>
        <v>-2.81E-2</v>
      </c>
      <c r="M24" s="352"/>
      <c r="Q24" s="266"/>
      <c r="R24" s="268"/>
      <c r="S24" s="268"/>
      <c r="T24" s="268"/>
      <c r="U24" s="268"/>
      <c r="V24" s="268"/>
      <c r="W24" s="268"/>
      <c r="X24" s="268"/>
      <c r="Y24" s="268"/>
      <c r="Z24" s="268"/>
      <c r="AP24" s="337" t="s">
        <v>33</v>
      </c>
      <c r="AQ24" s="121" cm="1">
        <f t="array" aca="1" ref="AQ24" ca="1">INDIRECT("'" &amp; AP24 &amp; "'!K4")</f>
        <v>6.5198668837547311E-2</v>
      </c>
      <c r="AR24" s="344" cm="1">
        <f t="array" aca="1" ref="AR24" ca="1">INDIRECT("'" &amp; AP24 &amp; "'!K3")</f>
        <v>4.3559698511727287</v>
      </c>
      <c r="AS24" s="343">
        <v>48053</v>
      </c>
      <c r="AT24" s="347" cm="1">
        <f t="array" ref="AT24">_xll.PrecioBD(AP24,"24","BID","N")</f>
        <v>109.4</v>
      </c>
      <c r="AU24" s="305" cm="1">
        <f t="array" ref="AU24">_xll.PrecioBD(AP24,"24","ASK","N")</f>
        <v>109.95</v>
      </c>
      <c r="AV24" s="336" cm="1">
        <f t="array" ref="AV24">_xll.PrecioBD(AP24,24,"QUANTITY BID","N")</f>
        <v>10000</v>
      </c>
      <c r="AW24" s="336" cm="1">
        <f t="array" ref="AW24">_xll.PrecioBD(AP24,24,"QUANTITY ASK","N")</f>
        <v>10000</v>
      </c>
      <c r="AX24" s="335" cm="1">
        <f t="array" ref="AX24">_xll.PrecioBD(AP24,24,"VOLUME AMOUNT","N")</f>
        <v>10920</v>
      </c>
      <c r="AY24" s="120" cm="1">
        <f t="array" ref="AY24">_xll.PrecioBD(AP24,24,"IMBALANCE","N")</f>
        <v>-2.2000000000000001E-3</v>
      </c>
      <c r="AZ24" s="350" t="s">
        <v>5186</v>
      </c>
      <c r="BA24" s="350">
        <v>1000</v>
      </c>
      <c r="BB24" s="350" t="s">
        <v>5185</v>
      </c>
      <c r="BC24" s="71"/>
    </row>
    <row r="25" spans="3:55">
      <c r="Q25" s="266" t="s">
        <v>5207</v>
      </c>
      <c r="R25" s="268">
        <f t="shared" ref="R25:R38" ca="1" si="0">AB6/$R$23-1</f>
        <v>4.2683005355168557E-3</v>
      </c>
      <c r="S25" s="268">
        <f t="shared" ref="S25:S38" ca="1" si="1">AB6/$S$23-1</f>
        <v>-2.9207309482333743E-2</v>
      </c>
      <c r="T25" s="268">
        <f t="shared" ref="T25:T38" ca="1" si="2">AB6/$T$23-1</f>
        <v>-6.0523202724839131E-2</v>
      </c>
      <c r="U25" s="268">
        <f t="shared" ref="U25:U38" ca="1" si="3">AB6/$U$23-1</f>
        <v>-8.9881852639687843E-2</v>
      </c>
      <c r="V25" s="268">
        <f t="shared" ref="V25:V38" ca="1" si="4">AB6/$V$23-1</f>
        <v>-0.11746119043848524</v>
      </c>
      <c r="W25" s="268">
        <f t="shared" ref="W25:W38" ca="1" si="5">AB6/$W$23-1</f>
        <v>-0.14341821424911805</v>
      </c>
      <c r="X25" s="268">
        <f t="shared" ref="X25:X38" ca="1" si="6">AB6/$X$23-1</f>
        <v>-0.1678919795562861</v>
      </c>
      <c r="Y25" s="268">
        <f t="shared" ref="Y25:Y38" ca="1" si="7">AB6/$Y$23-1</f>
        <v>-0.19100609123527812</v>
      </c>
      <c r="Z25" s="268">
        <f t="shared" ref="Z25:Z38" ca="1" si="8">AB6/$Z$23-1</f>
        <v>-0.21287079147216248</v>
      </c>
      <c r="AP25" s="340" t="s">
        <v>35</v>
      </c>
      <c r="AQ25" s="121" cm="1">
        <f t="array" aca="1" ref="AQ25" ca="1">INDIRECT("'" &amp; AP25 &amp; "'!K4")</f>
        <v>6.4246031641960133E-2</v>
      </c>
      <c r="AR25" s="344" cm="1">
        <f t="array" aca="1" ref="AR25" ca="1">INDIRECT("'" &amp; AP25 &amp; "'!K3")</f>
        <v>4.3651620407883085</v>
      </c>
      <c r="AS25" s="343">
        <v>48101</v>
      </c>
      <c r="AT25" s="347" cm="1">
        <f t="array" ref="AT25">_xll.PrecioBD(AP25,"24","BID","N")</f>
        <v>110.6</v>
      </c>
      <c r="AU25" s="305" cm="1">
        <f t="array" ref="AU25">_xll.PrecioBD(AP25,"24","ASK","N")</f>
        <v>111</v>
      </c>
      <c r="AV25" s="336" cm="1">
        <f t="array" ref="AV25">_xll.PrecioBD(AP25,24,"QUANTITY BID","N")</f>
        <v>10000</v>
      </c>
      <c r="AW25" s="336" cm="1">
        <f t="array" ref="AW25">_xll.PrecioBD(AP25,24,"QUANTITY ASK","N")</f>
        <v>10000</v>
      </c>
      <c r="AX25" s="335" cm="1">
        <f t="array" ref="AX25">_xll.PrecioBD(AP25,24,"VOLUME AMOUNT","N")</f>
        <v>0</v>
      </c>
      <c r="AY25" s="120" cm="1">
        <f t="array" ref="AY25">_xll.PrecioBD(AP25,24,"IMBALANCE","N")</f>
        <v>0</v>
      </c>
      <c r="AZ25" s="350" t="s">
        <v>5186</v>
      </c>
      <c r="BA25" s="350">
        <v>1000</v>
      </c>
      <c r="BB25" s="350" t="s">
        <v>5184</v>
      </c>
      <c r="BC25" s="71"/>
    </row>
    <row r="26" spans="3:55">
      <c r="C26" s="85" t="s">
        <v>5187</v>
      </c>
      <c r="D26" s="91" t="s">
        <v>3</v>
      </c>
      <c r="E26" s="95" t="s">
        <v>5</v>
      </c>
      <c r="F26" s="95" t="s">
        <v>99</v>
      </c>
      <c r="G26" s="96" t="s">
        <v>564</v>
      </c>
      <c r="I26" s="203" t="s">
        <v>6029</v>
      </c>
      <c r="J26" s="91" t="s">
        <v>3</v>
      </c>
      <c r="K26" s="95" t="s">
        <v>5</v>
      </c>
      <c r="L26" s="95" t="s">
        <v>99</v>
      </c>
      <c r="M26" s="96" t="s">
        <v>564</v>
      </c>
      <c r="N26" s="169"/>
      <c r="Q26" s="266" t="s">
        <v>5208</v>
      </c>
      <c r="R26" s="268">
        <f t="shared" ca="1" si="0"/>
        <v>2.02330482418005E-2</v>
      </c>
      <c r="S26" s="268">
        <f t="shared" ca="1" si="1"/>
        <v>-1.3774720032926124E-2</v>
      </c>
      <c r="T26" s="268">
        <f t="shared" ca="1" si="2"/>
        <v>-4.5588438741541504E-2</v>
      </c>
      <c r="U26" s="268">
        <f t="shared" ca="1" si="3"/>
        <v>-7.5413800030868283E-2</v>
      </c>
      <c r="V26" s="268">
        <f t="shared" ca="1" si="4"/>
        <v>-0.10343156366629647</v>
      </c>
      <c r="W26" s="268">
        <f t="shared" ca="1" si="5"/>
        <v>-0.12980122355846424</v>
      </c>
      <c r="X26" s="268">
        <f t="shared" ca="1" si="6"/>
        <v>-0.15466404574250814</v>
      </c>
      <c r="Y26" s="268">
        <f t="shared" ca="1" si="7"/>
        <v>-0.17814560002743851</v>
      </c>
      <c r="Z26" s="268">
        <f t="shared" ca="1" si="8"/>
        <v>-0.20035788110777797</v>
      </c>
      <c r="AP26" s="337" t="s">
        <v>42</v>
      </c>
      <c r="AQ26" s="121" cm="1">
        <f t="array" aca="1" ref="AQ26" ca="1">INDIRECT("'" &amp; AP26 &amp; "'!K4")</f>
        <v>6.3613894581794728E-2</v>
      </c>
      <c r="AR26" s="344" cm="1">
        <f t="array" aca="1" ref="AR26" ca="1">INDIRECT("'" &amp; AP26 &amp; "'!K3")</f>
        <v>4.7503804468937982</v>
      </c>
      <c r="AS26" s="343">
        <v>48601</v>
      </c>
      <c r="AT26" s="347" cm="1">
        <f t="array" ref="AT26">_xll.PrecioBD(AP26,"24","BID","N")</f>
        <v>106</v>
      </c>
      <c r="AU26" s="305" cm="1">
        <f t="array" ref="AU26">_xll.PrecioBD(AP26,"24","ASK","N")</f>
        <v>107.1</v>
      </c>
      <c r="AV26" s="336" cm="1">
        <f t="array" ref="AV26">_xll.PrecioBD(AP26,24,"QUANTITY BID","N")</f>
        <v>10000</v>
      </c>
      <c r="AW26" s="336" cm="1">
        <f t="array" ref="AW26">_xll.PrecioBD(AP26,24,"QUANTITY ASK","N")</f>
        <v>16000</v>
      </c>
      <c r="AX26" s="335" cm="1">
        <f t="array" ref="AX26">_xll.PrecioBD(AP26,24,"VOLUME AMOUNT","N")</f>
        <v>0</v>
      </c>
      <c r="AY26" s="120" cm="1">
        <f t="array" ref="AY26">_xll.PrecioBD(AP26,24,"IMBALANCE","N")</f>
        <v>0</v>
      </c>
      <c r="AZ26" s="350" t="s">
        <v>5186</v>
      </c>
      <c r="BA26" s="350">
        <v>1000</v>
      </c>
      <c r="BB26" s="350" t="s">
        <v>5184</v>
      </c>
      <c r="BC26" s="71"/>
    </row>
    <row r="27" spans="3:55">
      <c r="D27" s="249" t="s">
        <v>374</v>
      </c>
      <c r="E27" s="250" cm="1">
        <f t="array" ref="E27">_xll.PrecioBD(D27,24,"ASK","N")</f>
        <v>123650</v>
      </c>
      <c r="F27" s="250" cm="1">
        <f t="array" ref="F27">_xll.PrecioBD(D27,24,"VOLUME AMOUNT","N")</f>
        <v>8568427575</v>
      </c>
      <c r="G27" s="94" cm="1">
        <f t="array" ref="G27">_xll.PrecioBD(D27,24,"IMBALANCE","N")</f>
        <v>1.89E-2</v>
      </c>
      <c r="J27" s="92" t="s">
        <v>805</v>
      </c>
      <c r="K27" s="93" cm="1">
        <f t="array" ref="K27">_xll.PrecioBD(J27,24,"ASK","N")</f>
        <v>4545</v>
      </c>
      <c r="L27" s="93" cm="1">
        <f t="array" ref="L27">_xll.PrecioBD(J27,24,"VOLUME AMOUNT","N")</f>
        <v>265665242.5</v>
      </c>
      <c r="M27" s="167" cm="1">
        <f t="array" ref="M27">_xll.PrecioBD(J27,24,"IMBALANCE","N")</f>
        <v>2.2000000000000001E-3</v>
      </c>
      <c r="N27" s="325"/>
      <c r="Q27" s="266" t="s">
        <v>5209</v>
      </c>
      <c r="R27" s="268">
        <f t="shared" ca="1" si="0"/>
        <v>5.1627993171678987E-2</v>
      </c>
      <c r="S27" s="268">
        <f t="shared" ca="1" si="1"/>
        <v>1.6573726732622918E-2</v>
      </c>
      <c r="T27" s="268">
        <f t="shared" ca="1" si="2"/>
        <v>-1.6218974129719732E-2</v>
      </c>
      <c r="U27" s="268">
        <f t="shared" ca="1" si="3"/>
        <v>-4.6962131188166056E-2</v>
      </c>
      <c r="V27" s="268">
        <f t="shared" ca="1" si="4"/>
        <v>-7.5842066606706449E-2</v>
      </c>
      <c r="W27" s="268">
        <f t="shared" ca="1" si="5"/>
        <v>-0.1030231822947445</v>
      </c>
      <c r="X27" s="268">
        <f t="shared" ca="1" si="6"/>
        <v>-0.12865109137203745</v>
      </c>
      <c r="Y27" s="268">
        <f t="shared" ca="1" si="7"/>
        <v>-0.15285522772281424</v>
      </c>
      <c r="Z27" s="268">
        <f t="shared" ca="1" si="8"/>
        <v>-0.1757510323789544</v>
      </c>
      <c r="AP27" s="337" t="s">
        <v>37</v>
      </c>
      <c r="AQ27" s="121" cm="1">
        <f t="array" aca="1" ref="AQ27" ca="1">INDIRECT("'" &amp; AP27 &amp; "'!K4")</f>
        <v>6.218393743038178E-2</v>
      </c>
      <c r="AR27" s="344" cm="1">
        <f t="array" aca="1" ref="AR27" ca="1">INDIRECT("'" &amp; AP27 &amp; "'!K3")</f>
        <v>4.134957040703739</v>
      </c>
      <c r="AS27" s="343">
        <v>48334</v>
      </c>
      <c r="AT27" s="347" cm="1">
        <f t="array" ref="AT27">_xll.PrecioBD(AP27,"24","BID","N")</f>
        <v>112.35</v>
      </c>
      <c r="AU27" s="305" cm="1">
        <f t="array" ref="AU27">_xll.PrecioBD(AP27,"24","ASK","N")</f>
        <v>112.9</v>
      </c>
      <c r="AV27" s="336" cm="1">
        <f t="array" ref="AV27">_xll.PrecioBD(AP27,24,"QUANTITY BID","N")</f>
        <v>1000</v>
      </c>
      <c r="AW27" s="336" cm="1">
        <f t="array" ref="AW27">_xll.PrecioBD(AP27,24,"QUANTITY ASK","N")</f>
        <v>7000</v>
      </c>
      <c r="AX27" s="335" cm="1">
        <f t="array" ref="AX27">_xll.PrecioBD(AP27,24,"VOLUME AMOUNT","N")</f>
        <v>23591</v>
      </c>
      <c r="AY27" s="120" cm="1">
        <f t="array" ref="AY27">_xll.PrecioBD(AP27,24,"IMBALANCE","N")</f>
        <v>5.7000000000000002E-3</v>
      </c>
      <c r="AZ27" s="350" t="s">
        <v>5186</v>
      </c>
      <c r="BA27" s="350">
        <v>1</v>
      </c>
      <c r="BB27" s="350" t="s">
        <v>5184</v>
      </c>
      <c r="BC27" s="71"/>
    </row>
    <row r="28" spans="3:55">
      <c r="D28" s="249" t="s">
        <v>375</v>
      </c>
      <c r="E28" s="250" cm="1">
        <f t="array" ref="E28">_xll.PrecioBD(D28,24,"ASK","N")</f>
        <v>19630</v>
      </c>
      <c r="F28" s="250" cm="1">
        <f t="array" ref="F28">_xll.PrecioBD(D28,24,"VOLUME AMOUNT","N")</f>
        <v>2172524600</v>
      </c>
      <c r="G28" s="94" cm="1">
        <f t="array" ref="G28">_xll.PrecioBD(D28,24,"IMBALANCE","N")</f>
        <v>-1.6E-2</v>
      </c>
      <c r="I28" s="169"/>
      <c r="J28" s="92" t="s">
        <v>808</v>
      </c>
      <c r="K28" s="93" cm="1">
        <f t="array" ref="K28">_xll.PrecioBD(J28,24,"ASK","N")</f>
        <v>700</v>
      </c>
      <c r="L28" s="93" cm="1">
        <f t="array" ref="L28">_xll.PrecioBD(J28,24,"VOLUME AMOUNT","N")</f>
        <v>100395313.5</v>
      </c>
      <c r="M28" s="354" cm="1">
        <f t="array" ref="M28">_xll.PrecioBD(J28,24,"IMBALANCE","N")</f>
        <v>-6.9999999999999999E-4</v>
      </c>
      <c r="N28" s="325"/>
      <c r="Q28" s="266" t="s">
        <v>5210</v>
      </c>
      <c r="R28" s="268">
        <f t="shared" ca="1" si="0"/>
        <v>6.0266414198065332E-2</v>
      </c>
      <c r="S28" s="268">
        <f t="shared" ca="1" si="1"/>
        <v>2.4924200391463147E-2</v>
      </c>
      <c r="T28" s="268">
        <f t="shared" ca="1" si="2"/>
        <v>-8.1378705889066927E-3</v>
      </c>
      <c r="U28" s="268">
        <f t="shared" ca="1" si="3"/>
        <v>-3.9133562133003341E-2</v>
      </c>
      <c r="V28" s="268">
        <f t="shared" ca="1" si="4"/>
        <v>-6.8250726916851745E-2</v>
      </c>
      <c r="W28" s="268">
        <f t="shared" ca="1" si="5"/>
        <v>-9.5655117301650217E-2</v>
      </c>
      <c r="X28" s="268">
        <f t="shared" ca="1" si="6"/>
        <v>-0.12149354252160305</v>
      </c>
      <c r="Y28" s="268">
        <f t="shared" ca="1" si="7"/>
        <v>-0.14589649967378071</v>
      </c>
      <c r="Z28" s="268">
        <f t="shared" ca="1" si="8"/>
        <v>-0.16898037806097588</v>
      </c>
      <c r="AP28" s="341" t="s">
        <v>26</v>
      </c>
      <c r="AQ28" s="121" cm="1">
        <f t="array" aca="1" ref="AQ28" ca="1">INDIRECT("'" &amp; AP28 &amp; "'!K4")</f>
        <v>5.8027127385139474E-2</v>
      </c>
      <c r="AR28" s="344" cm="1">
        <f t="array" aca="1" ref="AR28" ca="1">INDIRECT("'" &amp; AP28 &amp; "'!K3")</f>
        <v>2.9104946996140848</v>
      </c>
      <c r="AS28" s="343">
        <v>47292</v>
      </c>
      <c r="AT28" s="347" cm="1">
        <f t="array" ref="AT28">_xll.PrecioBD(AP28,"24","BID","N")</f>
        <v>107.2</v>
      </c>
      <c r="AU28" s="305" cm="1">
        <f t="array" ref="AU28">_xll.PrecioBD(AP28,"24","ASK","N")</f>
        <v>108</v>
      </c>
      <c r="AV28" s="336" cm="1">
        <f t="array" ref="AV28">_xll.PrecioBD(AP28,24,"QUANTITY BID","N")</f>
        <v>6000</v>
      </c>
      <c r="AW28" s="336" cm="1">
        <f t="array" ref="AW28">_xll.PrecioBD(AP28,24,"QUANTITY ASK","N")</f>
        <v>11000</v>
      </c>
      <c r="AX28" s="335" cm="1">
        <f t="array" ref="AX28">_xll.PrecioBD(AP28,24,"VOLUME AMOUNT","N")</f>
        <v>20511.5</v>
      </c>
      <c r="AY28" s="120" cm="1">
        <f t="array" ref="AY28">_xll.PrecioBD(AP28,24,"IMBALANCE","N")</f>
        <v>7.9000000000000008E-3</v>
      </c>
      <c r="AZ28" s="350" t="s">
        <v>5186</v>
      </c>
      <c r="BA28" s="350">
        <v>10000</v>
      </c>
      <c r="BB28" s="350" t="s">
        <v>5185</v>
      </c>
      <c r="BC28" s="71"/>
    </row>
    <row r="29" spans="3:55">
      <c r="D29" s="249" t="s">
        <v>370</v>
      </c>
      <c r="E29" s="250" cm="1">
        <f t="array" ref="E29">_xll.PrecioBD(D29,24,"ASK","N")</f>
        <v>25300</v>
      </c>
      <c r="F29" s="250" cm="1">
        <f t="array" ref="F29">_xll.PrecioBD(D29,24,"VOLUME AMOUNT","N")</f>
        <v>1713938220</v>
      </c>
      <c r="G29" s="94" cm="1">
        <f t="array" ref="G29">_xll.PrecioBD(D29,24,"IMBALANCE","N")</f>
        <v>1.4800000000000001E-2</v>
      </c>
      <c r="J29" s="92" t="s">
        <v>794</v>
      </c>
      <c r="K29" s="93" cm="1">
        <f t="array" ref="K29">_xll.PrecioBD(J29,24,"ASK","N")</f>
        <v>995</v>
      </c>
      <c r="L29" s="93" cm="1">
        <f t="array" ref="L29">_xll.PrecioBD(J29,24,"VOLUME AMOUNT","N")</f>
        <v>187020498.5</v>
      </c>
      <c r="M29" s="167" cm="1">
        <f t="array" ref="M29">_xll.PrecioBD(J29,24,"IMBALANCE","N")</f>
        <v>-1.5E-3</v>
      </c>
      <c r="N29" s="325"/>
      <c r="Q29" s="266" t="s">
        <v>5211</v>
      </c>
      <c r="R29" s="268">
        <f t="shared" ca="1" si="0"/>
        <v>8.7978765775949208E-2</v>
      </c>
      <c r="S29" s="268">
        <f t="shared" ca="1" si="1"/>
        <v>5.1712806916750953E-2</v>
      </c>
      <c r="T29" s="268">
        <f t="shared" ca="1" si="2"/>
        <v>1.7786587338791238E-2</v>
      </c>
      <c r="U29" s="268">
        <f t="shared" ca="1" si="3"/>
        <v>-1.4019243515545954E-2</v>
      </c>
      <c r="V29" s="268">
        <f t="shared" ca="1" si="4"/>
        <v>-4.3897448257499083E-2</v>
      </c>
      <c r="W29" s="268">
        <f t="shared" ca="1" si="5"/>
        <v>-7.2018111544043251E-2</v>
      </c>
      <c r="X29" s="268">
        <f t="shared" ca="1" si="6"/>
        <v>-9.853187978564204E-2</v>
      </c>
      <c r="Y29" s="268">
        <f t="shared" ca="1" si="7"/>
        <v>-0.12357266090270758</v>
      </c>
      <c r="Z29" s="268">
        <f t="shared" ca="1" si="8"/>
        <v>-0.14725988628371545</v>
      </c>
      <c r="AP29" s="340" t="s">
        <v>34</v>
      </c>
      <c r="AQ29" s="121" cm="1">
        <f t="array" aca="1" ref="AQ29" ca="1">INDIRECT("'" &amp; AP29 &amp; "'!K4")</f>
        <v>6.1365076899528498E-2</v>
      </c>
      <c r="AR29" s="344" cm="1">
        <f t="array" aca="1" ref="AR29" ca="1">INDIRECT("'" &amp; AP29 &amp; "'!K3")</f>
        <v>2.9687022640638969</v>
      </c>
      <c r="AS29" s="343">
        <v>48061</v>
      </c>
      <c r="AT29" s="347" cm="1">
        <f t="array" ref="AT29">_xll.PrecioBD(AP29,"24","BID","N")</f>
        <v>106.15</v>
      </c>
      <c r="AU29" s="305" cm="1">
        <f t="array" ref="AU29">_xll.PrecioBD(AP29,"24","ASK","N")</f>
        <v>106.3</v>
      </c>
      <c r="AV29" s="336" cm="1">
        <f t="array" ref="AV29">_xll.PrecioBD(AP29,24,"QUANTITY BID","N")</f>
        <v>1000</v>
      </c>
      <c r="AW29" s="336" cm="1">
        <f t="array" ref="AW29">_xll.PrecioBD(AP29,24,"QUANTITY ASK","N")</f>
        <v>14000</v>
      </c>
      <c r="AX29" s="335" cm="1">
        <f t="array" ref="AX29">_xll.PrecioBD(AP29,24,"VOLUME AMOUNT","N")</f>
        <v>17005.5</v>
      </c>
      <c r="AY29" s="120" cm="1">
        <f t="array" ref="AY29">_xll.PrecioBD(AP29,24,"IMBALANCE","N")</f>
        <v>3.7000000000000002E-3</v>
      </c>
      <c r="AZ29" s="350" t="s">
        <v>5183</v>
      </c>
      <c r="BA29" s="350">
        <v>1000</v>
      </c>
      <c r="BB29" s="350" t="s">
        <v>5184</v>
      </c>
      <c r="BC29" s="71"/>
    </row>
    <row r="30" spans="3:55">
      <c r="D30" s="249" t="s">
        <v>537</v>
      </c>
      <c r="E30" s="250" cm="1">
        <f t="array" ref="E30">_xll.PrecioBD(D30,24,"ASK","N")</f>
        <v>27140</v>
      </c>
      <c r="F30" s="250" cm="1">
        <f t="array" ref="F30">_xll.PrecioBD(D30,24,"VOLUME AMOUNT","N")</f>
        <v>1691423680</v>
      </c>
      <c r="G30" s="94" cm="1">
        <f t="array" ref="G30">_xll.PrecioBD(D30,24,"IMBALANCE","N")</f>
        <v>-1.7299999999999999E-2</v>
      </c>
      <c r="J30" s="92" t="s">
        <v>807</v>
      </c>
      <c r="K30" s="93" cm="1">
        <f t="array" ref="K30">_xll.PrecioBD(J30,24,"ASK","N")</f>
        <v>4117.5</v>
      </c>
      <c r="L30" s="93" cm="1">
        <f t="array" ref="L30">_xll.PrecioBD(J30,24,"VOLUME AMOUNT","N")</f>
        <v>245508190</v>
      </c>
      <c r="M30" s="354" cm="1">
        <f t="array" ref="M30">_xll.PrecioBD(J30,24,"IMBALANCE","N")</f>
        <v>-4.1999999999999997E-3</v>
      </c>
      <c r="N30" s="325"/>
      <c r="Q30" s="266" t="s">
        <v>5212</v>
      </c>
      <c r="R30" s="268">
        <f t="shared" ca="1" si="0"/>
        <v>0.11911920893757921</v>
      </c>
      <c r="S30" s="268">
        <f t="shared" ca="1" si="1"/>
        <v>8.1815235306326617E-2</v>
      </c>
      <c r="T30" s="268">
        <f t="shared" ca="1" si="2"/>
        <v>4.6917969651283808E-2</v>
      </c>
      <c r="U30" s="268">
        <f t="shared" ca="1" si="3"/>
        <v>1.4201783099681231E-2</v>
      </c>
      <c r="V30" s="268">
        <f t="shared" ca="1" si="4"/>
        <v>-1.6531604266975752E-2</v>
      </c>
      <c r="W30" s="268">
        <f t="shared" ca="1" si="5"/>
        <v>-4.545714531794709E-2</v>
      </c>
      <c r="X30" s="268">
        <f t="shared" ca="1" si="6"/>
        <v>-7.2729798308862836E-2</v>
      </c>
      <c r="Y30" s="268">
        <f t="shared" ca="1" si="7"/>
        <v>-9.8487303911394486E-2</v>
      </c>
      <c r="Z30" s="268">
        <f t="shared" ca="1" si="8"/>
        <v>-0.12285251191378921</v>
      </c>
      <c r="AP30" s="337" t="s">
        <v>25</v>
      </c>
      <c r="AQ30" s="121" cm="1">
        <f t="array" aca="1" ref="AQ30" ca="1">INDIRECT("'" &amp; AP30 &amp; "'!K4")</f>
        <v>5.2494630217552199E-2</v>
      </c>
      <c r="AR30" s="344" cm="1">
        <f t="array" aca="1" ref="AR30" ca="1">INDIRECT("'" &amp; AP30 &amp; "'!K3")</f>
        <v>2.335530527403848</v>
      </c>
      <c r="AS30" s="343">
        <v>47036</v>
      </c>
      <c r="AT30" s="347" cm="1">
        <f t="array" ref="AT30">_xll.PrecioBD(AP30,"24","BID","N")</f>
        <v>106.75</v>
      </c>
      <c r="AU30" s="305" cm="1">
        <f t="array" ref="AU30">_xll.PrecioBD(AP30,"24","ASK","N")</f>
        <v>109</v>
      </c>
      <c r="AV30" s="336" cm="1">
        <f t="array" ref="AV30">_xll.PrecioBD(AP30,24,"QUANTITY BID","N")</f>
        <v>20000</v>
      </c>
      <c r="AW30" s="336" cm="1">
        <f t="array" ref="AW30">_xll.PrecioBD(AP30,24,"QUANTITY ASK","N")</f>
        <v>2700</v>
      </c>
      <c r="AX30" s="335" cm="1">
        <f t="array" ref="AX30">_xll.PrecioBD(AP30,24,"VOLUME AMOUNT","N")</f>
        <v>0</v>
      </c>
      <c r="AY30" s="120" cm="1">
        <f t="array" ref="AY30">_xll.PrecioBD(AP30,24,"IMBALANCE","N")</f>
        <v>0</v>
      </c>
      <c r="AZ30" s="350" t="s">
        <v>5186</v>
      </c>
      <c r="BA30" s="350">
        <v>10000</v>
      </c>
      <c r="BB30" s="350" t="s">
        <v>5185</v>
      </c>
      <c r="BC30" s="71"/>
    </row>
    <row r="31" spans="3:55">
      <c r="D31" s="249" t="s">
        <v>310</v>
      </c>
      <c r="E31" s="250" cm="1">
        <f t="array" ref="E31">_xll.PrecioBD(D31,24,"ASK","N")</f>
        <v>385900</v>
      </c>
      <c r="F31" s="250" cm="1">
        <f t="array" ref="F31">_xll.PrecioBD(D31,24,"VOLUME AMOUNT","N")</f>
        <v>1174584275</v>
      </c>
      <c r="G31" s="94" cm="1">
        <f t="array" ref="G31">_xll.PrecioBD(D31,24,"IMBALANCE","N")</f>
        <v>-1.83E-2</v>
      </c>
      <c r="I31" s="225"/>
      <c r="J31" s="92" t="s">
        <v>49</v>
      </c>
      <c r="K31" s="93" cm="1">
        <f t="array" ref="K31">_xll.PrecioBD(J31,24,"ASK","N")</f>
        <v>2325</v>
      </c>
      <c r="L31" s="93" cm="1">
        <f t="array" ref="L31">_xll.PrecioBD(J31,24,"VOLUME AMOUNT","N")</f>
        <v>43247005</v>
      </c>
      <c r="M31" s="167" cm="1">
        <f t="array" ref="M31">_xll.PrecioBD(J31,24,"IMBALANCE","N")</f>
        <v>-4.1999999999999997E-3</v>
      </c>
      <c r="N31" s="325"/>
      <c r="Q31" s="266" t="s">
        <v>5213</v>
      </c>
      <c r="R31" s="268">
        <f t="shared" ca="1" si="0"/>
        <v>0.15082942006444822</v>
      </c>
      <c r="S31" s="268">
        <f t="shared" ca="1" si="1"/>
        <v>0.11246843939563322</v>
      </c>
      <c r="T31" s="268">
        <f t="shared" ca="1" si="2"/>
        <v>7.6582360705451658E-2</v>
      </c>
      <c r="U31" s="268">
        <f t="shared" ca="1" si="3"/>
        <v>4.29391619334063E-2</v>
      </c>
      <c r="V31" s="268">
        <f t="shared" ca="1" si="4"/>
        <v>1.1334944905121214E-2</v>
      </c>
      <c r="W31" s="268">
        <f t="shared" ca="1" si="5"/>
        <v>-1.8410200533264698E-2</v>
      </c>
      <c r="X31" s="268">
        <f t="shared" ca="1" si="6"/>
        <v>-4.6455623375171506E-2</v>
      </c>
      <c r="Y31" s="268">
        <f t="shared" ca="1" si="7"/>
        <v>-7.2942967170305573E-2</v>
      </c>
      <c r="Z31" s="268">
        <f t="shared" ca="1" si="8"/>
        <v>-9.7998562652189203E-2</v>
      </c>
      <c r="AP31" s="337" t="s">
        <v>27</v>
      </c>
      <c r="AQ31" s="121" cm="1">
        <f t="array" aca="1" ref="AQ31" ca="1">INDIRECT("'" &amp; AP31 &amp; "'!K4")</f>
        <v>5.0438943505287173E-2</v>
      </c>
      <c r="AR31" s="344" cm="1">
        <f t="array" aca="1" ref="AR31" ca="1">INDIRECT("'" &amp; AP31 &amp; "'!K3")</f>
        <v>1.706041567520783</v>
      </c>
      <c r="AS31" s="343">
        <v>47299</v>
      </c>
      <c r="AT31" s="347" cm="1">
        <f t="array" ref="AT31">_xll.PrecioBD(AP31,"24","BID","N")</f>
        <v>108</v>
      </c>
      <c r="AU31" s="305" cm="1">
        <f t="array" ref="AU31">_xll.PrecioBD(AP31,"24","ASK","N")</f>
        <v>108.15</v>
      </c>
      <c r="AV31" s="336" cm="1">
        <f t="array" ref="AV31">_xll.PrecioBD(AP31,24,"QUANTITY BID","N")</f>
        <v>37818</v>
      </c>
      <c r="AW31" s="336" cm="1">
        <f t="array" ref="AW31">_xll.PrecioBD(AP31,24,"QUANTITY ASK","N")</f>
        <v>932</v>
      </c>
      <c r="AX31" s="335" cm="1">
        <f t="array" ref="AX31">_xll.PrecioBD(AP31,24,"VOLUME AMOUNT","N")</f>
        <v>319465.78000000003</v>
      </c>
      <c r="AY31" s="120" cm="1">
        <f t="array" ref="AY31">_xll.PrecioBD(AP31,24,"IMBALANCE","N")</f>
        <v>-2.3E-3</v>
      </c>
      <c r="AZ31" s="350" t="s">
        <v>5186</v>
      </c>
      <c r="BA31" s="350">
        <v>1000</v>
      </c>
      <c r="BB31" s="350" t="s">
        <v>5184</v>
      </c>
      <c r="BC31" s="71"/>
    </row>
    <row r="32" spans="3:55">
      <c r="D32" s="249" t="s">
        <v>485</v>
      </c>
      <c r="E32" s="250" cm="1">
        <f t="array" ref="E32">_xll.PrecioBD(D32,24,"ASK","N")</f>
        <v>41740</v>
      </c>
      <c r="F32" s="250" cm="1">
        <f t="array" ref="F32">_xll.PrecioBD(D32,24,"VOLUME AMOUNT","N")</f>
        <v>1128756160</v>
      </c>
      <c r="G32" s="94" cm="1">
        <f t="array" ref="G32">_xll.PrecioBD(D32,24,"IMBALANCE","N")</f>
        <v>-8.0000000000000002E-3</v>
      </c>
      <c r="J32" s="92" t="s">
        <v>796</v>
      </c>
      <c r="K32" s="93" cm="1">
        <f t="array" ref="K32">_xll.PrecioBD(J32,24,"ASK","N")</f>
        <v>323</v>
      </c>
      <c r="L32" s="93" cm="1">
        <f t="array" ref="L32">_xll.PrecioBD(J32,24,"VOLUME AMOUNT","N")</f>
        <v>323962573.5</v>
      </c>
      <c r="M32" s="167" cm="1">
        <f t="array" ref="M32">_xll.PrecioBD(J32,24,"IMBALANCE","N")</f>
        <v>-9.1999999999999998E-3</v>
      </c>
      <c r="N32" s="325"/>
      <c r="Q32" s="266" t="s">
        <v>5214</v>
      </c>
      <c r="R32" s="268">
        <f t="shared" ca="1" si="0"/>
        <v>0.18890037046735597</v>
      </c>
      <c r="S32" s="268">
        <f t="shared" ca="1" si="1"/>
        <v>0.14927035811844402</v>
      </c>
      <c r="T32" s="268">
        <f t="shared" ca="1" si="2"/>
        <v>0.1121971207597845</v>
      </c>
      <c r="U32" s="268">
        <f t="shared" ca="1" si="3"/>
        <v>7.7440960736041342E-2</v>
      </c>
      <c r="V32" s="268">
        <f t="shared" ca="1" si="4"/>
        <v>4.4791234653130951E-2</v>
      </c>
      <c r="W32" s="268">
        <f t="shared" ca="1" si="5"/>
        <v>1.4062080692744727E-2</v>
      </c>
      <c r="X32" s="268">
        <f t="shared" ca="1" si="6"/>
        <v>-1.4911121612762313E-2</v>
      </c>
      <c r="Y32" s="268">
        <f t="shared" ca="1" si="7"/>
        <v>-4.2274701567963313E-2</v>
      </c>
      <c r="Z32" s="268">
        <f t="shared" ca="1" si="8"/>
        <v>-6.8159169093153449E-2</v>
      </c>
      <c r="AP32" s="340" t="s">
        <v>23</v>
      </c>
      <c r="AQ32" s="121" cm="1">
        <f t="array" aca="1" ref="AQ32" ca="1">INDIRECT("'" &amp; AP32 &amp; "'!K4")</f>
        <v>5.5855002999305722E-2</v>
      </c>
      <c r="AR32" s="344" cm="1">
        <f t="array" aca="1" ref="AR32" ca="1">INDIRECT("'" &amp; AP32 &amp; "'!K3")</f>
        <v>1.4147671399811201</v>
      </c>
      <c r="AS32" s="343">
        <v>46926</v>
      </c>
      <c r="AT32" s="347" cm="1">
        <f t="array" ref="AT32">_xll.PrecioBD(AP32,"24","BID","N")</f>
        <v>68.62</v>
      </c>
      <c r="AU32" s="305" cm="1">
        <f t="array" ref="AU32">_xll.PrecioBD(AP32,"24","ASK","N")</f>
        <v>68.89</v>
      </c>
      <c r="AV32" s="336" cm="1">
        <f t="array" ref="AV32">_xll.PrecioBD(AP32,24,"QUANTITY BID","N")</f>
        <v>7216</v>
      </c>
      <c r="AW32" s="336" cm="1">
        <f t="array" ref="AW32">_xll.PrecioBD(AP32,24,"QUANTITY ASK","N")</f>
        <v>400</v>
      </c>
      <c r="AX32" s="335" cm="1">
        <f t="array" ref="AX32">_xll.PrecioBD(AP32,24,"VOLUME AMOUNT","N")</f>
        <v>22459.43</v>
      </c>
      <c r="AY32" s="120" cm="1">
        <f t="array" ref="AY32">_xll.PrecioBD(AP32,24,"IMBALANCE","N")</f>
        <v>5.0000000000000001E-4</v>
      </c>
      <c r="AZ32" s="350" t="s">
        <v>5186</v>
      </c>
      <c r="BA32" s="350">
        <v>1000</v>
      </c>
      <c r="BB32" s="350" t="s">
        <v>5185</v>
      </c>
      <c r="BC32" s="71"/>
    </row>
    <row r="33" spans="4:55">
      <c r="D33" s="249" t="s">
        <v>154</v>
      </c>
      <c r="E33" s="250" cm="1">
        <f t="array" ref="E33">_xll.PrecioBD(D33,24,"ASK","N")</f>
        <v>31120</v>
      </c>
      <c r="F33" s="250" cm="1">
        <f t="array" ref="F33">_xll.PrecioBD(D33,24,"VOLUME AMOUNT","N")</f>
        <v>1014853820</v>
      </c>
      <c r="G33" s="94" cm="1">
        <f t="array" ref="G33">_xll.PrecioBD(D33,24,"IMBALANCE","N")</f>
        <v>-1.01E-2</v>
      </c>
      <c r="J33" s="92" t="s">
        <v>6147</v>
      </c>
      <c r="K33" s="93" cm="1">
        <f t="array" ref="K33">_xll.PrecioBD(J33,24,"ASK","N")</f>
        <v>3380</v>
      </c>
      <c r="L33" s="93" cm="1">
        <f t="array" ref="L33">_xll.PrecioBD(J33,24,"VOLUME AMOUNT","N")</f>
        <v>583289432.5</v>
      </c>
      <c r="M33" s="167" cm="1">
        <f t="array" ref="M33">_xll.PrecioBD(J33,24,"IMBALANCE","N")</f>
        <v>-1.0200000000000001E-2</v>
      </c>
      <c r="N33" s="325"/>
      <c r="Q33" s="266" t="s">
        <v>5215</v>
      </c>
      <c r="R33" s="268">
        <f t="shared" ca="1" si="0"/>
        <v>0.23333471506833958</v>
      </c>
      <c r="S33" s="268">
        <f t="shared" ca="1" si="1"/>
        <v>0.19222355789939494</v>
      </c>
      <c r="T33" s="268">
        <f t="shared" ca="1" si="2"/>
        <v>0.15376473345102726</v>
      </c>
      <c r="U33" s="268">
        <f t="shared" ca="1" si="3"/>
        <v>0.11770958553068267</v>
      </c>
      <c r="V33" s="268">
        <f t="shared" ca="1" si="4"/>
        <v>8.3839598090359013E-2</v>
      </c>
      <c r="W33" s="268">
        <f t="shared" ca="1" si="5"/>
        <v>5.1961962852407284E-2</v>
      </c>
      <c r="X33" s="268">
        <f t="shared" ca="1" si="6"/>
        <v>2.1905906770909978E-2</v>
      </c>
      <c r="Y33" s="268">
        <f t="shared" ca="1" si="7"/>
        <v>-6.480368417170923E-3</v>
      </c>
      <c r="Z33" s="268">
        <f t="shared" ca="1" si="8"/>
        <v>-3.3332250351841952E-2</v>
      </c>
      <c r="AP33" s="340" t="s">
        <v>24</v>
      </c>
      <c r="AQ33" s="121" cm="1">
        <f t="array" aca="1" ref="AQ33" ca="1">INDIRECT("'" &amp; AP33 &amp; "'!K4")</f>
        <v>5.9898403286933896E-2</v>
      </c>
      <c r="AR33" s="344" cm="1">
        <f t="array" aca="1" ref="AR33" ca="1">INDIRECT("'" &amp; AP33 &amp; "'!K3")</f>
        <v>1.1419650058092492</v>
      </c>
      <c r="AS33" s="343">
        <v>46990</v>
      </c>
      <c r="AT33" s="347" cm="1">
        <f t="array" ref="AT33">_xll.PrecioBD(AP33,"24","BID","N")</f>
        <v>80.61</v>
      </c>
      <c r="AU33" s="305" cm="1">
        <f t="array" ref="AU33">_xll.PrecioBD(AP33,"24","ASK","N")</f>
        <v>81.28</v>
      </c>
      <c r="AV33" s="336" cm="1">
        <f t="array" ref="AV33">_xll.PrecioBD(AP33,24,"QUANTITY BID","N")</f>
        <v>1351</v>
      </c>
      <c r="AW33" s="336" cm="1">
        <f t="array" ref="AW33">_xll.PrecioBD(AP33,24,"QUANTITY ASK","N")</f>
        <v>916</v>
      </c>
      <c r="AX33" s="335" cm="1">
        <f t="array" ref="AX33">_xll.PrecioBD(AP33,24,"VOLUME AMOUNT","N")</f>
        <v>32006.09</v>
      </c>
      <c r="AY33" s="120" cm="1">
        <f t="array" ref="AY33">_xll.PrecioBD(AP33,24,"IMBALANCE","N")</f>
        <v>-0.01</v>
      </c>
      <c r="AZ33" s="350" t="s">
        <v>5186</v>
      </c>
      <c r="BA33" s="350">
        <v>1000</v>
      </c>
      <c r="BB33" s="350" t="s">
        <v>5184</v>
      </c>
      <c r="BC33" s="71"/>
    </row>
    <row r="34" spans="4:55">
      <c r="D34" s="249" t="s">
        <v>234</v>
      </c>
      <c r="E34" s="250" cm="1">
        <f t="array" ref="E34">_xll.PrecioBD(D34,24,"ASK","N")</f>
        <v>7910</v>
      </c>
      <c r="F34" s="250" cm="1">
        <f t="array" ref="F34">_xll.PrecioBD(D34,24,"VOLUME AMOUNT","N")</f>
        <v>1010921675</v>
      </c>
      <c r="G34" s="94" cm="1">
        <f t="array" ref="G34">_xll.PrecioBD(D34,24,"IMBALANCE","N")</f>
        <v>-5.6099999999999997E-2</v>
      </c>
      <c r="J34" s="92" t="s">
        <v>809</v>
      </c>
      <c r="K34" s="93" cm="1">
        <f t="array" ref="K34">_xll.PrecioBD(J34,24,"ASK","N")</f>
        <v>582</v>
      </c>
      <c r="L34" s="93" cm="1">
        <f t="array" ref="L34">_xll.PrecioBD(J34,24,"VOLUME AMOUNT","N")</f>
        <v>1681257433.5</v>
      </c>
      <c r="M34" s="354" cm="1">
        <f t="array" ref="M34">_xll.PrecioBD(J34,24,"IMBALANCE","N")</f>
        <v>-1.2699999999999999E-2</v>
      </c>
      <c r="N34" s="325"/>
      <c r="Q34" s="267" t="s">
        <v>5216</v>
      </c>
      <c r="R34" s="268">
        <f t="shared" ca="1" si="0"/>
        <v>0.27363895533181615</v>
      </c>
      <c r="S34" s="268">
        <f t="shared" ca="1" si="1"/>
        <v>0.23118432348742224</v>
      </c>
      <c r="T34" s="268">
        <f t="shared" ca="1" si="2"/>
        <v>0.19146870014911821</v>
      </c>
      <c r="U34" s="268">
        <f t="shared" ca="1" si="3"/>
        <v>0.15423530326945833</v>
      </c>
      <c r="V34" s="268">
        <f t="shared" ca="1" si="4"/>
        <v>0.1192584758976567</v>
      </c>
      <c r="W34" s="268">
        <f t="shared" ca="1" si="5"/>
        <v>8.6339108959490263E-2</v>
      </c>
      <c r="X34" s="268">
        <f t="shared" ca="1" si="6"/>
        <v>5.5300848703504712E-2</v>
      </c>
      <c r="Y34" s="268">
        <f t="shared" ca="1" si="7"/>
        <v>2.5986936239518643E-2</v>
      </c>
      <c r="Z34" s="268">
        <f t="shared" ca="1" si="8"/>
        <v>-1.7424404156035633E-3</v>
      </c>
      <c r="AP34" s="337" t="s">
        <v>15</v>
      </c>
      <c r="AQ34" s="121" cm="1">
        <f t="array" aca="1" ref="AQ34" ca="1">INDIRECT("'" &amp; AP34 &amp; "'!K4")</f>
        <v>2.8733989596366891E-2</v>
      </c>
      <c r="AR34" s="344" cm="1">
        <f t="array" aca="1" ref="AR34" ca="1">INDIRECT("'" &amp; AP34 &amp; "'!K3")</f>
        <v>0.36070615267366052</v>
      </c>
      <c r="AS34" s="343">
        <v>46203</v>
      </c>
      <c r="AT34" s="347" cm="1">
        <f t="array" ref="AT34">_xll.PrecioBD(AP34,"24","BID","N")</f>
        <v>104.3</v>
      </c>
      <c r="AU34" s="305" cm="1">
        <f t="array" ref="AU34">_xll.PrecioBD(AP34,"24","ASK","N")</f>
        <v>104.4</v>
      </c>
      <c r="AV34" s="336" cm="1">
        <f t="array" ref="AV34">_xll.PrecioBD(AP34,24,"QUANTITY BID","N")</f>
        <v>580</v>
      </c>
      <c r="AW34" s="336" cm="1">
        <f t="array" ref="AW34">_xll.PrecioBD(AP34,24,"QUANTITY ASK","N")</f>
        <v>2268</v>
      </c>
      <c r="AX34" s="335" cm="1">
        <f t="array" ref="AX34">_xll.PrecioBD(AP34,24,"VOLUME AMOUNT","N")</f>
        <v>17231.61</v>
      </c>
      <c r="AY34" s="120" cm="1">
        <f t="array" ref="AY34">_xll.PrecioBD(AP34,24,"IMBALANCE","N")</f>
        <v>8.9999999999999998E-4</v>
      </c>
      <c r="AZ34" s="350" t="s">
        <v>5183</v>
      </c>
      <c r="BA34" s="350">
        <v>2000</v>
      </c>
      <c r="BB34" s="350" t="s">
        <v>5185</v>
      </c>
      <c r="BC34" s="71"/>
    </row>
    <row r="35" spans="4:55">
      <c r="D35" s="249" t="s">
        <v>464</v>
      </c>
      <c r="E35" s="250" cm="1">
        <f t="array" ref="E35">_xll.PrecioBD(D35,24,"ASK","N")</f>
        <v>50675</v>
      </c>
      <c r="F35" s="250" cm="1">
        <f t="array" ref="F35">_xll.PrecioBD(D35,24,"VOLUME AMOUNT","N")</f>
        <v>1044567400</v>
      </c>
      <c r="G35" s="94" cm="1">
        <f t="array" ref="G35">_xll.PrecioBD(D35,24,"IMBALANCE","N")</f>
        <v>-1.0699999999999999E-2</v>
      </c>
      <c r="J35" s="92" t="s">
        <v>802</v>
      </c>
      <c r="K35" s="93" cm="1">
        <f t="array" ref="K35">_xll.PrecioBD(J35,24,"ASK","N")</f>
        <v>2339</v>
      </c>
      <c r="L35" s="93" cm="1">
        <f t="array" ref="L35">_xll.PrecioBD(J35,24,"VOLUME AMOUNT","N")</f>
        <v>325618803</v>
      </c>
      <c r="M35" s="167" cm="1">
        <f t="array" ref="M35">_xll.PrecioBD(J35,24,"IMBALANCE","N")</f>
        <v>-1.3100000000000001E-2</v>
      </c>
      <c r="N35" s="325"/>
      <c r="Q35" s="267" t="s">
        <v>5217</v>
      </c>
      <c r="R35" s="268">
        <f t="shared" ca="1" si="0"/>
        <v>0.33028229693856548</v>
      </c>
      <c r="S35" s="268">
        <f t="shared" ca="1" si="1"/>
        <v>0.28593955370727997</v>
      </c>
      <c r="T35" s="268">
        <f t="shared" ca="1" si="2"/>
        <v>0.24445763261994835</v>
      </c>
      <c r="U35" s="268">
        <f t="shared" ca="1" si="3"/>
        <v>0.20556833160057497</v>
      </c>
      <c r="V35" s="268">
        <f t="shared" ca="1" si="4"/>
        <v>0.16903595791570902</v>
      </c>
      <c r="W35" s="268">
        <f t="shared" ca="1" si="5"/>
        <v>0.1346525473887763</v>
      </c>
      <c r="X35" s="268">
        <f t="shared" ca="1" si="6"/>
        <v>0.10223390317766845</v>
      </c>
      <c r="Y35" s="268">
        <f t="shared" ca="1" si="7"/>
        <v>7.1616294756066567E-2</v>
      </c>
      <c r="Z35" s="268">
        <f t="shared" ca="1" si="8"/>
        <v>4.2653692195091741E-2</v>
      </c>
      <c r="AP35" s="337" t="s">
        <v>19</v>
      </c>
      <c r="AQ35" s="121" cm="1">
        <f t="array" aca="1" ref="AQ35" ca="1">INDIRECT("'" &amp; AP35 &amp; "'!K4")</f>
        <v>0</v>
      </c>
      <c r="AR35" s="344" cm="1">
        <f t="array" aca="1" ref="AR35" ca="1">INDIRECT("'" &amp; AP35 &amp; "'!K3")</f>
        <v>0</v>
      </c>
      <c r="AS35" s="343">
        <v>46589</v>
      </c>
      <c r="AT35" s="347" cm="1">
        <f t="array" ref="AT35">_xll.PrecioBD(AP35,"24","BID","N")</f>
        <v>0</v>
      </c>
      <c r="AU35" s="305" cm="1">
        <f t="array" ref="AU35">_xll.PrecioBD(AP35,"24","ASK","N")</f>
        <v>105.3</v>
      </c>
      <c r="AV35" s="336" cm="1">
        <f t="array" ref="AV35">_xll.PrecioBD(AP35,24,"QUANTITY BID","N")</f>
        <v>0</v>
      </c>
      <c r="AW35" s="336" cm="1">
        <f t="array" ref="AW35">_xll.PrecioBD(AP35,24,"QUANTITY ASK","N")</f>
        <v>26000</v>
      </c>
      <c r="AX35" s="335" cm="1">
        <f t="array" ref="AX35">_xll.PrecioBD(AP35,24,"VOLUME AMOUNT","N")</f>
        <v>0</v>
      </c>
      <c r="AY35" s="120" cm="1">
        <f t="array" ref="AY35">_xll.PrecioBD(AP35,24,"IMBALANCE","N")</f>
        <v>0</v>
      </c>
      <c r="AZ35" s="350" t="s">
        <v>5186</v>
      </c>
      <c r="BA35" s="350">
        <v>1</v>
      </c>
      <c r="BB35" s="350" t="s">
        <v>5184</v>
      </c>
      <c r="BC35" s="71"/>
    </row>
    <row r="36" spans="4:55">
      <c r="D36" s="249" t="s">
        <v>152</v>
      </c>
      <c r="E36" s="250" cm="1">
        <f t="array" ref="E36">_xll.PrecioBD(D36,24,"ASK","N")</f>
        <v>14290</v>
      </c>
      <c r="F36" s="250" cm="1">
        <f t="array" ref="F36">_xll.PrecioBD(D36,24,"VOLUME AMOUNT","N")</f>
        <v>902736040</v>
      </c>
      <c r="G36" s="94" cm="1">
        <f t="array" ref="G36">_xll.PrecioBD(D36,24,"IMBALANCE","N")</f>
        <v>-8.2000000000000007E-3</v>
      </c>
      <c r="J36" s="92" t="s">
        <v>793</v>
      </c>
      <c r="K36" s="93" cm="1">
        <f t="array" ref="K36">_xll.PrecioBD(J36,24,"ASK","N")</f>
        <v>56800</v>
      </c>
      <c r="L36" s="93" cm="1">
        <f t="array" ref="L36">_xll.PrecioBD(J36,24,"VOLUME AMOUNT","N")</f>
        <v>4231933225</v>
      </c>
      <c r="M36" s="354" cm="1">
        <f t="array" ref="M36">_xll.PrecioBD(J36,24,"IMBALANCE","N")</f>
        <v>-1.77E-2</v>
      </c>
      <c r="N36" s="325"/>
      <c r="Q36" s="267" t="s">
        <v>5218</v>
      </c>
      <c r="R36" s="268">
        <f t="shared" ca="1" si="0"/>
        <v>0.45963841065700062</v>
      </c>
      <c r="S36" s="268">
        <f t="shared" ca="1" si="1"/>
        <v>0.41098379696843401</v>
      </c>
      <c r="T36" s="268">
        <f t="shared" ca="1" si="2"/>
        <v>0.36546819061461355</v>
      </c>
      <c r="U36" s="268">
        <f t="shared" ca="1" si="3"/>
        <v>0.32279730965790687</v>
      </c>
      <c r="V36" s="268">
        <f t="shared" ca="1" si="4"/>
        <v>0.28271254269857637</v>
      </c>
      <c r="W36" s="268">
        <f t="shared" ca="1" si="5"/>
        <v>0.24498570320744184</v>
      </c>
      <c r="X36" s="268">
        <f t="shared" ca="1" si="6"/>
        <v>0.20941468311580058</v>
      </c>
      <c r="Y36" s="268">
        <f t="shared" ca="1" si="7"/>
        <v>0.17581983080702845</v>
      </c>
      <c r="Z36" s="268">
        <f t="shared" ca="1" si="8"/>
        <v>0.14404091646089245</v>
      </c>
      <c r="AP36" s="340" t="s">
        <v>18</v>
      </c>
      <c r="AQ36" s="121" cm="1">
        <f t="array" aca="1" ref="AQ36" ca="1">INDIRECT("'" &amp; AP36 &amp; "'!K4")</f>
        <v>2.4431377649307253E-3</v>
      </c>
      <c r="AR36" s="344" cm="1">
        <f t="array" aca="1" ref="AR36" ca="1">INDIRECT("'" &amp; AP36 &amp; "'!K3")</f>
        <v>0.68797657709823068</v>
      </c>
      <c r="AS36" s="343">
        <v>46507</v>
      </c>
      <c r="AT36" s="347" cm="1">
        <f t="array" ref="AT36">_xll.PrecioBD(AP36,"24","BID","N")</f>
        <v>64</v>
      </c>
      <c r="AU36" s="305" cm="1">
        <f t="array" ref="AU36">_xll.PrecioBD(AP36,"24","ASK","N")</f>
        <v>65.37</v>
      </c>
      <c r="AV36" s="336" cm="1">
        <f t="array" ref="AV36">_xll.PrecioBD(AP36,24,"QUANTITY BID","N")</f>
        <v>3000</v>
      </c>
      <c r="AW36" s="336" cm="1">
        <f t="array" ref="AW36">_xll.PrecioBD(AP36,24,"QUANTITY ASK","N")</f>
        <v>5000</v>
      </c>
      <c r="AX36" s="335" cm="1">
        <f t="array" ref="AX36">_xll.PrecioBD(AP36,24,"VOLUME AMOUNT","N")</f>
        <v>0</v>
      </c>
      <c r="AY36" s="120" cm="1">
        <f t="array" ref="AY36">_xll.PrecioBD(AP36,24,"IMBALANCE","N")</f>
        <v>0</v>
      </c>
      <c r="AZ36" s="350" t="s">
        <v>5186</v>
      </c>
      <c r="BA36" s="350">
        <v>1</v>
      </c>
      <c r="BB36" s="350" t="s">
        <v>5184</v>
      </c>
      <c r="BC36" s="71"/>
    </row>
    <row r="37" spans="4:55">
      <c r="D37" s="249" t="s">
        <v>322</v>
      </c>
      <c r="E37" s="250" cm="1">
        <f t="array" ref="E37">_xll.PrecioBD(D37,24,"ASK","N")</f>
        <v>5610</v>
      </c>
      <c r="F37" s="250" cm="1">
        <f t="array" ref="F37">_xll.PrecioBD(D37,24,"VOLUME AMOUNT","N")</f>
        <v>796716555</v>
      </c>
      <c r="G37" s="94" cm="1">
        <f t="array" ref="G37">_xll.PrecioBD(D37,24,"IMBALANCE","N")</f>
        <v>-1.14E-2</v>
      </c>
      <c r="J37" s="92" t="s">
        <v>799</v>
      </c>
      <c r="K37" s="93" cm="1">
        <f t="array" ref="K37">_xll.PrecioBD(J37,24,"ASK","N")</f>
        <v>1846</v>
      </c>
      <c r="L37" s="93" cm="1">
        <f t="array" ref="L37">_xll.PrecioBD(J37,24,"VOLUME AMOUNT","N")</f>
        <v>109461415</v>
      </c>
      <c r="M37" s="167" cm="1">
        <f t="array" ref="M37">_xll.PrecioBD(J37,24,"IMBALANCE","N")</f>
        <v>-1.9599999999999999E-2</v>
      </c>
      <c r="N37" s="325"/>
      <c r="Q37" s="267" t="s">
        <v>5219</v>
      </c>
      <c r="R37" s="268">
        <f t="shared" ca="1" si="0"/>
        <v>0.46171775222742539</v>
      </c>
      <c r="S37" s="268">
        <f t="shared" ca="1" si="1"/>
        <v>0.41299382715317789</v>
      </c>
      <c r="T37" s="268">
        <f t="shared" ca="1" si="2"/>
        <v>0.36741338111597854</v>
      </c>
      <c r="U37" s="268">
        <f t="shared" ca="1" si="3"/>
        <v>0.32468171295610437</v>
      </c>
      <c r="V37" s="268">
        <f t="shared" ca="1" si="4"/>
        <v>0.28453984286652534</v>
      </c>
      <c r="W37" s="268">
        <f t="shared" ca="1" si="5"/>
        <v>0.24675925925280406</v>
      </c>
      <c r="X37" s="268">
        <f t="shared" ca="1" si="6"/>
        <v>0.21113756613129531</v>
      </c>
      <c r="Y37" s="268">
        <f t="shared" ca="1" si="7"/>
        <v>0.17749485596098169</v>
      </c>
      <c r="Z37" s="268">
        <f t="shared" ca="1" si="8"/>
        <v>0.14567067066473882</v>
      </c>
    </row>
    <row r="38" spans="4:55">
      <c r="D38" s="249" t="s">
        <v>172</v>
      </c>
      <c r="E38" s="250" cm="1">
        <f t="array" ref="E38">_xll.PrecioBD(D38,24,"ASK","N")</f>
        <v>19870</v>
      </c>
      <c r="F38" s="250" cm="1">
        <f t="array" ref="F38">_xll.PrecioBD(D38,24,"VOLUME AMOUNT","N")</f>
        <v>765856910</v>
      </c>
      <c r="G38" s="94" cm="1">
        <f t="array" ref="G38">_xll.PrecioBD(D38,24,"IMBALANCE","N")</f>
        <v>-2.64E-2</v>
      </c>
      <c r="J38" s="92" t="s">
        <v>795</v>
      </c>
      <c r="K38" s="93" cm="1">
        <f t="array" ref="K38">_xll.PrecioBD(J38,24,"ASK","N")</f>
        <v>13590</v>
      </c>
      <c r="L38" s="93" cm="1">
        <f t="array" ref="L38">_xll.PrecioBD(J38,24,"VOLUME AMOUNT","N")</f>
        <v>1174789710</v>
      </c>
      <c r="M38" s="167" cm="1">
        <f t="array" ref="M38">_xll.PrecioBD(J38,24,"IMBALANCE","N")</f>
        <v>-2.5100000000000001E-2</v>
      </c>
      <c r="N38" s="325"/>
      <c r="Q38" s="267" t="s">
        <v>5220</v>
      </c>
      <c r="R38" s="268">
        <f t="shared" ca="1" si="0"/>
        <v>0.37968436608083334</v>
      </c>
      <c r="S38" s="268">
        <f t="shared" ca="1" si="1"/>
        <v>0.33369488721147222</v>
      </c>
      <c r="T38" s="268">
        <f t="shared" ca="1" si="2"/>
        <v>0.29067247149497311</v>
      </c>
      <c r="U38" s="268">
        <f t="shared" ca="1" si="3"/>
        <v>0.25033895676075524</v>
      </c>
      <c r="V38" s="268">
        <f t="shared" ca="1" si="4"/>
        <v>0.21244989746497467</v>
      </c>
      <c r="W38" s="268">
        <f t="shared" ca="1" si="5"/>
        <v>0.17678960636306362</v>
      </c>
      <c r="X38" s="268">
        <f t="shared" ca="1" si="6"/>
        <v>0.14316704618126197</v>
      </c>
      <c r="Y38" s="268">
        <f t="shared" ca="1" si="7"/>
        <v>0.11141240600956004</v>
      </c>
      <c r="Z38" s="268">
        <f t="shared" ca="1" si="8"/>
        <v>8.1374232874166674E-2</v>
      </c>
    </row>
    <row r="39" spans="4:55">
      <c r="D39" s="249" t="s">
        <v>163</v>
      </c>
      <c r="E39" s="250" cm="1">
        <f t="array" ref="E39">_xll.PrecioBD(D39,24,"ASK","N")</f>
        <v>2046</v>
      </c>
      <c r="F39" s="250" cm="1">
        <f t="array" ref="F39">_xll.PrecioBD(D39,24,"VOLUME AMOUNT","N")</f>
        <v>760295075</v>
      </c>
      <c r="G39" s="94" cm="1">
        <f t="array" ref="G39">_xll.PrecioBD(D39,24,"IMBALANCE","N")</f>
        <v>-2.8400000000000002E-2</v>
      </c>
      <c r="J39" s="92" t="s">
        <v>803</v>
      </c>
      <c r="K39" s="93" cm="1">
        <f t="array" ref="K39">_xll.PrecioBD(J39,24,"ASK","N")</f>
        <v>4940</v>
      </c>
      <c r="L39" s="93" cm="1">
        <f t="array" ref="L39">_xll.PrecioBD(J39,24,"VOLUME AMOUNT","N")</f>
        <v>1222518355</v>
      </c>
      <c r="M39" s="167" cm="1">
        <f t="array" ref="M39">_xll.PrecioBD(J39,24,"IMBALANCE","N")</f>
        <v>-2.5600000000000001E-2</v>
      </c>
      <c r="N39" s="325"/>
    </row>
    <row r="40" spans="4:55">
      <c r="D40" s="249" t="s">
        <v>159</v>
      </c>
      <c r="E40" s="250" cm="1">
        <f t="array" ref="E40">_xll.PrecioBD(D40,24,"ASK","N")</f>
        <v>7860</v>
      </c>
      <c r="F40" s="250" cm="1">
        <f t="array" ref="F40">_xll.PrecioBD(D40,24,"VOLUME AMOUNT","N")</f>
        <v>751712840</v>
      </c>
      <c r="G40" s="94" cm="1">
        <f t="array" ref="G40">_xll.PrecioBD(D40,24,"IMBALANCE","N")</f>
        <v>-9.4000000000000004E-3</v>
      </c>
      <c r="J40" s="92" t="s">
        <v>798</v>
      </c>
      <c r="K40" s="93" cm="1">
        <f t="array" ref="K40">_xll.PrecioBD(J40,24,"ASK","N")</f>
        <v>51.5</v>
      </c>
      <c r="L40" s="93" cm="1">
        <f t="array" ref="L40">_xll.PrecioBD(J40,24,"VOLUME AMOUNT","N")</f>
        <v>202815910.19999999</v>
      </c>
      <c r="M40" s="167" cm="1">
        <f t="array" ref="M40">_xll.PrecioBD(J40,24,"IMBALANCE","N")</f>
        <v>-2.8400000000000002E-2</v>
      </c>
      <c r="N40" s="325"/>
    </row>
    <row r="41" spans="4:55">
      <c r="D41" s="249" t="s">
        <v>404</v>
      </c>
      <c r="E41" s="250" cm="1">
        <f t="array" ref="E41">_xll.PrecioBD(D41,24,"ASK","N")</f>
        <v>76575</v>
      </c>
      <c r="F41" s="250" cm="1">
        <f t="array" ref="F41">_xll.PrecioBD(D41,24,"VOLUME AMOUNT","N")</f>
        <v>547981075</v>
      </c>
      <c r="G41" s="94" cm="1">
        <f t="array" ref="G41">_xll.PrecioBD(D41,24,"IMBALANCE","N")</f>
        <v>-8.3999999999999995E-3</v>
      </c>
      <c r="J41" s="92" t="s">
        <v>804</v>
      </c>
      <c r="K41" s="93" cm="1">
        <f t="array" ref="K41">_xll.PrecioBD(J41,24,"ASK","N")</f>
        <v>3347.5</v>
      </c>
      <c r="L41" s="93" cm="1">
        <f t="array" ref="L41">_xll.PrecioBD(J41,24,"VOLUME AMOUNT","N")</f>
        <v>782195907.5</v>
      </c>
      <c r="M41" s="167" cm="1">
        <f t="array" ref="M41">_xll.PrecioBD(J41,24,"IMBALANCE","N")</f>
        <v>-3.39E-2</v>
      </c>
      <c r="N41" s="325"/>
    </row>
    <row r="42" spans="4:55">
      <c r="D42" s="249" t="s">
        <v>376</v>
      </c>
      <c r="E42" s="250" cm="1">
        <f t="array" ref="E42">_xll.PrecioBD(D42,24,"ASK","N")</f>
        <v>9160</v>
      </c>
      <c r="F42" s="250" cm="1">
        <f t="array" ref="F42">_xll.PrecioBD(D42,24,"VOLUME AMOUNT","N")</f>
        <v>543604925</v>
      </c>
      <c r="G42" s="94" cm="1">
        <f t="array" ref="G42">_xll.PrecioBD(D42,24,"IMBALANCE","N")</f>
        <v>-2.5499999999999998E-2</v>
      </c>
      <c r="J42" s="92" t="s">
        <v>801</v>
      </c>
      <c r="K42" s="93" cm="1">
        <f t="array" ref="K42">_xll.PrecioBD(J42,24,"ASK","N")</f>
        <v>3435</v>
      </c>
      <c r="L42" s="93" cm="1">
        <f t="array" ref="L42">_xll.PrecioBD(J42,24,"VOLUME AMOUNT","N")</f>
        <v>254544617.5</v>
      </c>
      <c r="M42" s="167" cm="1">
        <f t="array" ref="M42">_xll.PrecioBD(J42,24,"IMBALANCE","N")</f>
        <v>-2.1999999999999999E-2</v>
      </c>
      <c r="N42" s="325"/>
      <c r="Q42" s="69" t="s">
        <v>5970</v>
      </c>
    </row>
    <row r="43" spans="4:55">
      <c r="D43" s="249" t="s">
        <v>147</v>
      </c>
      <c r="E43" s="250" cm="1">
        <f t="array" ref="E43">_xll.PrecioBD(D43,24,"ASK","N")</f>
        <v>138400</v>
      </c>
      <c r="F43" s="250" cm="1">
        <f t="array" ref="F43">_xll.PrecioBD(D43,24,"VOLUME AMOUNT","N")</f>
        <v>532248700</v>
      </c>
      <c r="G43" s="94" cm="1">
        <f t="array" ref="G43">_xll.PrecioBD(D43,24,"IMBALANCE","N")</f>
        <v>1.4500000000000001E-2</v>
      </c>
      <c r="J43" s="92" t="s">
        <v>6091</v>
      </c>
      <c r="K43" s="93" cm="1">
        <f t="array" ref="K43">_xll.PrecioBD(J43,24,"ASK","N")</f>
        <v>2145</v>
      </c>
      <c r="L43" s="93" cm="1">
        <f t="array" ref="L43">_xll.PrecioBD(J43,24,"VOLUME AMOUNT","N")</f>
        <v>130470167</v>
      </c>
      <c r="M43" s="167" cm="1">
        <f t="array" ref="M43">_xll.PrecioBD(J43,24,"IMBALANCE","N")</f>
        <v>-2.8500000000000001E-2</v>
      </c>
      <c r="N43" s="325"/>
      <c r="V43" s="69" t="s">
        <v>5975</v>
      </c>
      <c r="W43" s="69" t="s">
        <v>5976</v>
      </c>
    </row>
    <row r="44" spans="4:55" ht="18">
      <c r="D44" s="249" t="s">
        <v>401</v>
      </c>
      <c r="E44" s="250" cm="1">
        <f t="array" ref="E44">_xll.PrecioBD(D44,24,"ASK","N")</f>
        <v>11590</v>
      </c>
      <c r="F44" s="250" cm="1">
        <f t="array" ref="F44">_xll.PrecioBD(D44,24,"VOLUME AMOUNT","N")</f>
        <v>522846230</v>
      </c>
      <c r="G44" s="94" cm="1">
        <f t="array" ref="G44">_xll.PrecioBD(D44,24,"IMBALANCE","N")</f>
        <v>-1.6899999999999998E-2</v>
      </c>
      <c r="I44" s="219"/>
      <c r="J44" s="92" t="s">
        <v>806</v>
      </c>
      <c r="K44" s="93" cm="1">
        <f t="array" ref="K44">_xll.PrecioBD(J44,24,"ASK","N")</f>
        <v>8950</v>
      </c>
      <c r="L44" s="93" cm="1">
        <f t="array" ref="L44">_xll.PrecioBD(J44,24,"VOLUME AMOUNT","N")</f>
        <v>610401525</v>
      </c>
      <c r="M44" s="354" cm="1">
        <f t="array" ref="M44">_xll.PrecioBD(J44,24,"IMBALANCE","N")</f>
        <v>-2.87E-2</v>
      </c>
      <c r="N44" s="325"/>
      <c r="Q44" s="269" t="s">
        <v>5971</v>
      </c>
      <c r="R44" s="269" t="s">
        <v>5972</v>
      </c>
      <c r="S44" s="269" t="s">
        <v>5973</v>
      </c>
      <c r="V44" s="69">
        <v>1608</v>
      </c>
    </row>
    <row r="45" spans="4:55" ht="18">
      <c r="D45" s="249" t="s">
        <v>230</v>
      </c>
      <c r="E45" s="250" cm="1">
        <f t="array" ref="E45">_xll.PrecioBD(D45,24,"ASK","N")</f>
        <v>22540</v>
      </c>
      <c r="F45" s="250" cm="1">
        <f t="array" ref="F45">_xll.PrecioBD(D45,24,"VOLUME AMOUNT","N")</f>
        <v>518611820</v>
      </c>
      <c r="G45" s="94" cm="1">
        <f t="array" ref="G45">_xll.PrecioBD(D45,24,"IMBALANCE","N")</f>
        <v>-0.1118</v>
      </c>
      <c r="J45" s="92" t="s">
        <v>800</v>
      </c>
      <c r="K45" s="93" cm="1">
        <f t="array" ref="K45">_xll.PrecioBD(J45,24,"ASK","N")</f>
        <v>7365</v>
      </c>
      <c r="L45" s="93" cm="1">
        <f t="array" ref="L45">_xll.PrecioBD(J45,24,"VOLUME AMOUNT","N")</f>
        <v>8491021305</v>
      </c>
      <c r="M45" s="167" cm="1">
        <f t="array" ref="M45">_xll.PrecioBD(J45,24,"IMBALANCE","N")</f>
        <v>-2.7E-2</v>
      </c>
      <c r="N45" s="325"/>
      <c r="Q45" s="270">
        <v>46053</v>
      </c>
      <c r="R45" s="271" t="s">
        <v>5974</v>
      </c>
      <c r="S45" s="276">
        <v>2.4E-2</v>
      </c>
      <c r="T45" s="275">
        <f>+(1+S45)^(1/30)-1</f>
        <v>7.9086345495804622E-4</v>
      </c>
      <c r="U45" s="278">
        <v>46082</v>
      </c>
      <c r="V45" s="274">
        <f>+V44+(1+T45)</f>
        <v>1609.000790863455</v>
      </c>
    </row>
    <row r="46" spans="4:55" ht="18">
      <c r="D46" s="249" t="s">
        <v>178</v>
      </c>
      <c r="E46" s="250" cm="1">
        <f t="array" ref="E46">_xll.PrecioBD(D46,24,"ASK","N")</f>
        <v>8160</v>
      </c>
      <c r="F46" s="250" cm="1">
        <f t="array" ref="F46">_xll.PrecioBD(D46,24,"VOLUME AMOUNT","N")</f>
        <v>514164175</v>
      </c>
      <c r="G46" s="94" cm="1">
        <f t="array" ref="G46">_xll.PrecioBD(D46,24,"IMBALANCE","N")</f>
        <v>-0.15329999999999999</v>
      </c>
      <c r="J46" s="92" t="s">
        <v>792</v>
      </c>
      <c r="K46" s="93" cm="1">
        <f t="array" ref="K46">_xll.PrecioBD(J46,24,"ASK","N")</f>
        <v>8675</v>
      </c>
      <c r="L46" s="93" cm="1">
        <f t="array" ref="L46">_xll.PrecioBD(J46,24,"VOLUME AMOUNT","N")</f>
        <v>273700760</v>
      </c>
      <c r="M46" s="167" cm="1">
        <f t="array" ref="M46">_xll.PrecioBD(J46,24,"IMBALANCE","N")</f>
        <v>-3.3399999999999999E-2</v>
      </c>
      <c r="Q46" s="272">
        <v>46081</v>
      </c>
      <c r="R46" s="273" t="s">
        <v>5974</v>
      </c>
      <c r="S46" s="277">
        <v>2.1000000000000001E-2</v>
      </c>
      <c r="T46" s="275">
        <f t="shared" ref="T46:T51" si="9">+(1+S46)^(1/30)-1</f>
        <v>6.9299131368905087E-4</v>
      </c>
      <c r="U46" s="278">
        <f>+U45+1</f>
        <v>46083</v>
      </c>
      <c r="V46" s="274">
        <f>+V45+(1+$T$45)</f>
        <v>1610.00158172691</v>
      </c>
    </row>
    <row r="47" spans="4:55" ht="18">
      <c r="D47" s="249" t="s">
        <v>438</v>
      </c>
      <c r="E47" s="250" cm="1">
        <f t="array" ref="E47">_xll.PrecioBD(D47,24,"ASK","N")</f>
        <v>7305</v>
      </c>
      <c r="F47" s="250" cm="1">
        <f t="array" ref="F47">_xll.PrecioBD(D47,24,"VOLUME AMOUNT","N")</f>
        <v>496293840</v>
      </c>
      <c r="G47" s="94" cm="1">
        <f t="array" ref="G47">_xll.PrecioBD(D47,24,"IMBALANCE","N")</f>
        <v>2.7000000000000001E-3</v>
      </c>
      <c r="J47" s="92" t="s">
        <v>797</v>
      </c>
      <c r="K47" s="93" cm="1">
        <f t="array" ref="K47">_xll.PrecioBD(J47,24,"ASK","N")</f>
        <v>2309</v>
      </c>
      <c r="L47" s="93" cm="1">
        <f t="array" ref="L47">_xll.PrecioBD(J47,24,"VOLUME AMOUNT","N")</f>
        <v>419407719</v>
      </c>
      <c r="M47" s="167" cm="1">
        <f t="array" ref="M47">_xll.PrecioBD(J47,24,"IMBALANCE","N")</f>
        <v>-3.6700000000000003E-2</v>
      </c>
      <c r="Q47" s="270">
        <v>46112</v>
      </c>
      <c r="R47" s="271" t="s">
        <v>5974</v>
      </c>
      <c r="S47" s="276">
        <v>2.1999999999999999E-2</v>
      </c>
      <c r="T47" s="275">
        <f t="shared" si="9"/>
        <v>7.256462133005126E-4</v>
      </c>
      <c r="U47" s="278">
        <f t="shared" ref="U47:U104" si="10">+U46+1</f>
        <v>46084</v>
      </c>
      <c r="V47" s="274">
        <f t="shared" ref="V47:V75" si="11">+V46+(1+$T$45)</f>
        <v>1611.002372590365</v>
      </c>
    </row>
    <row r="48" spans="4:55" ht="18">
      <c r="D48" s="249" t="s">
        <v>489</v>
      </c>
      <c r="E48" s="250" cm="1">
        <f t="array" ref="E48">_xll.PrecioBD(D48,24,"ASK","N")</f>
        <v>23420</v>
      </c>
      <c r="F48" s="250" cm="1">
        <f t="array" ref="F48">_xll.PrecioBD(D48,24,"VOLUME AMOUNT","N")</f>
        <v>484759920</v>
      </c>
      <c r="G48" s="94" cm="1">
        <f t="array" ref="G48">_xll.PrecioBD(D48,24,"IMBALANCE","N")</f>
        <v>9.4000000000000004E-3</v>
      </c>
      <c r="J48" s="92"/>
      <c r="K48" s="93"/>
      <c r="L48" s="93"/>
      <c r="M48" s="354"/>
      <c r="Q48" s="272">
        <v>46142</v>
      </c>
      <c r="R48" s="273" t="s">
        <v>5974</v>
      </c>
      <c r="S48" s="277">
        <v>1.9E-2</v>
      </c>
      <c r="T48" s="275">
        <f t="shared" si="9"/>
        <v>6.2758865942558195E-4</v>
      </c>
      <c r="U48" s="278">
        <f t="shared" si="10"/>
        <v>46085</v>
      </c>
      <c r="V48" s="274">
        <f t="shared" si="11"/>
        <v>1612.00316345382</v>
      </c>
    </row>
    <row r="49" spans="4:25" ht="18">
      <c r="D49" s="249" t="s">
        <v>373</v>
      </c>
      <c r="E49" s="250" cm="1">
        <f t="array" ref="E49">_xll.PrecioBD(D49,24,"ASK","N")</f>
        <v>40060</v>
      </c>
      <c r="F49" s="250" cm="1">
        <f t="array" ref="F49">_xll.PrecioBD(D49,24,"VOLUME AMOUNT","N")</f>
        <v>480688820</v>
      </c>
      <c r="G49" s="94" cm="1">
        <f t="array" ref="G49">_xll.PrecioBD(D49,24,"IMBALANCE","N")</f>
        <v>-2.5700000000000001E-2</v>
      </c>
      <c r="J49" s="92"/>
      <c r="K49" s="93"/>
      <c r="L49" s="93"/>
      <c r="M49" s="354"/>
      <c r="Q49" s="270">
        <v>46173</v>
      </c>
      <c r="R49" s="271" t="s">
        <v>5974</v>
      </c>
      <c r="S49" s="276">
        <v>1.7000000000000001E-2</v>
      </c>
      <c r="T49" s="275">
        <f t="shared" si="9"/>
        <v>5.6206179978479653E-4</v>
      </c>
      <c r="U49" s="278">
        <f t="shared" si="10"/>
        <v>46086</v>
      </c>
      <c r="V49" s="274">
        <f t="shared" si="11"/>
        <v>1613.003954317275</v>
      </c>
    </row>
    <row r="50" spans="4:25" ht="18">
      <c r="D50" s="249" t="s">
        <v>340</v>
      </c>
      <c r="E50" s="250" cm="1">
        <f t="array" ref="E50">_xll.PrecioBD(D50,24,"ASK","N")</f>
        <v>18300</v>
      </c>
      <c r="F50" s="250" cm="1">
        <f t="array" ref="F50">_xll.PrecioBD(D50,24,"VOLUME AMOUNT","N")</f>
        <v>466500120</v>
      </c>
      <c r="G50" s="94" cm="1">
        <f t="array" ref="G50">_xll.PrecioBD(D50,24,"IMBALANCE","N")</f>
        <v>-2.81E-2</v>
      </c>
      <c r="J50" s="92"/>
      <c r="K50" s="93"/>
      <c r="L50" s="93"/>
      <c r="M50" s="354"/>
      <c r="Q50" s="272">
        <v>46203</v>
      </c>
      <c r="R50" s="273" t="s">
        <v>5974</v>
      </c>
      <c r="S50" s="277">
        <v>1.6E-2</v>
      </c>
      <c r="T50" s="275">
        <f t="shared" si="9"/>
        <v>5.2925164279749026E-4</v>
      </c>
      <c r="U50" s="278">
        <f t="shared" si="10"/>
        <v>46087</v>
      </c>
      <c r="V50" s="274">
        <f t="shared" si="11"/>
        <v>1614.00474518073</v>
      </c>
    </row>
    <row r="51" spans="4:25" ht="18">
      <c r="D51" s="249" t="s">
        <v>474</v>
      </c>
      <c r="E51" s="250" cm="1">
        <f t="array" ref="E51">_xll.PrecioBD(D51,24,"ASK","N")</f>
        <v>61175</v>
      </c>
      <c r="F51" s="250" cm="1">
        <f t="array" ref="F51">_xll.PrecioBD(D51,24,"VOLUME AMOUNT","N")</f>
        <v>458363850</v>
      </c>
      <c r="G51" s="94" cm="1">
        <f t="array" ref="G51">_xll.PrecioBD(D51,24,"IMBALANCE","N")</f>
        <v>-7.7000000000000002E-3</v>
      </c>
      <c r="P51" s="71"/>
      <c r="Q51" s="270">
        <v>46234</v>
      </c>
      <c r="R51" s="271" t="s">
        <v>5974</v>
      </c>
      <c r="S51" s="276">
        <v>1.4999999999999999E-2</v>
      </c>
      <c r="T51" s="275">
        <f t="shared" si="9"/>
        <v>4.9641025393465377E-4</v>
      </c>
      <c r="U51" s="278">
        <f t="shared" si="10"/>
        <v>46088</v>
      </c>
      <c r="V51" s="274">
        <f t="shared" si="11"/>
        <v>1615.005536044185</v>
      </c>
      <c r="W51" s="71"/>
    </row>
    <row r="52" spans="4:25">
      <c r="D52" s="249" t="s">
        <v>388</v>
      </c>
      <c r="E52" s="250" cm="1">
        <f t="array" ref="E52">_xll.PrecioBD(D52,24,"ASK","N")</f>
        <v>2331</v>
      </c>
      <c r="F52" s="250" cm="1">
        <f t="array" ref="F52">_xll.PrecioBD(D52,24,"VOLUME AMOUNT","N")</f>
        <v>426940746</v>
      </c>
      <c r="G52" s="94" cm="1">
        <f t="array" ref="G52">_xll.PrecioBD(D52,24,"IMBALANCE","N")</f>
        <v>-5.4699999999999999E-2</v>
      </c>
      <c r="N52" s="71"/>
      <c r="O52" s="71"/>
      <c r="P52" s="216"/>
      <c r="Q52" s="214"/>
      <c r="R52" s="214"/>
      <c r="S52" s="215"/>
      <c r="T52" s="71"/>
      <c r="U52" s="278">
        <f t="shared" si="10"/>
        <v>46089</v>
      </c>
      <c r="V52" s="274">
        <f t="shared" si="11"/>
        <v>1616.00632690764</v>
      </c>
      <c r="W52" s="71"/>
    </row>
    <row r="53" spans="4:25">
      <c r="D53" s="249" t="s">
        <v>260</v>
      </c>
      <c r="E53" s="250" cm="1">
        <f t="array" ref="E53">_xll.PrecioBD(D53,24,"ASK","N")</f>
        <v>59950</v>
      </c>
      <c r="F53" s="250" cm="1">
        <f t="array" ref="F53">_xll.PrecioBD(D53,24,"VOLUME AMOUNT","N")</f>
        <v>417858450</v>
      </c>
      <c r="G53" s="94" cm="1">
        <f t="array" ref="G53">_xll.PrecioBD(D53,24,"IMBALANCE","N")</f>
        <v>-2.47E-2</v>
      </c>
      <c r="I53" s="203" t="s">
        <v>6205</v>
      </c>
      <c r="J53" s="91" t="s">
        <v>3</v>
      </c>
      <c r="K53" s="95" t="s">
        <v>5</v>
      </c>
      <c r="L53" s="95" t="s">
        <v>99</v>
      </c>
      <c r="M53" s="96" t="s">
        <v>564</v>
      </c>
      <c r="N53" s="216"/>
      <c r="O53" s="216"/>
      <c r="P53" s="216"/>
      <c r="Q53" s="214"/>
      <c r="R53" s="214"/>
      <c r="S53" s="215"/>
      <c r="T53" s="71"/>
      <c r="U53" s="278">
        <f t="shared" si="10"/>
        <v>46090</v>
      </c>
      <c r="V53" s="274">
        <f t="shared" si="11"/>
        <v>1617.007117771095</v>
      </c>
      <c r="W53" s="71"/>
    </row>
    <row r="54" spans="4:25">
      <c r="D54" s="249" t="s">
        <v>512</v>
      </c>
      <c r="E54" s="250" cm="1">
        <f t="array" ref="E54">_xll.PrecioBD(D54,24,"ASK","N")</f>
        <v>7580</v>
      </c>
      <c r="F54" s="250" cm="1">
        <f t="array" ref="F54">_xll.PrecioBD(D54,24,"VOLUME AMOUNT","N")</f>
        <v>409396930</v>
      </c>
      <c r="G54" s="94" cm="1">
        <f t="array" ref="G54">_xll.PrecioBD(D54,24,"IMBALANCE","N")</f>
        <v>-0.15559999999999999</v>
      </c>
      <c r="J54" s="92" t="s">
        <v>6001</v>
      </c>
      <c r="K54" s="93" cm="1">
        <f t="array" ref="K54">_xll.PrecioBD(J54,24,"ASK","N")</f>
        <v>90</v>
      </c>
      <c r="L54" s="93" cm="1">
        <f t="array" ref="L54">_xll.PrecioBD(J54,24,"VOLUME AMOUNT","N")</f>
        <v>1134092.2</v>
      </c>
      <c r="M54" s="167" cm="1">
        <f t="array" ref="M54">_xll.PrecioBD(J54,24,"IMBALANCE","N")</f>
        <v>9.7500000000000003E-2</v>
      </c>
      <c r="N54" s="216"/>
      <c r="O54" s="216"/>
      <c r="P54" s="216"/>
      <c r="Q54" s="214"/>
      <c r="R54" s="214"/>
      <c r="S54" s="215"/>
      <c r="T54" s="71"/>
      <c r="U54" s="278">
        <f t="shared" si="10"/>
        <v>46091</v>
      </c>
      <c r="V54" s="274">
        <f t="shared" si="11"/>
        <v>1618.0079086345499</v>
      </c>
      <c r="W54" s="71"/>
    </row>
    <row r="55" spans="4:25">
      <c r="D55" s="249" t="s">
        <v>409</v>
      </c>
      <c r="E55" s="250" cm="1">
        <f t="array" ref="E55">_xll.PrecioBD(D55,24,"ASK","N")</f>
        <v>63875</v>
      </c>
      <c r="F55" s="250" cm="1">
        <f t="array" ref="F55">_xll.PrecioBD(D55,24,"VOLUME AMOUNT","N")</f>
        <v>412299825</v>
      </c>
      <c r="G55" s="94" cm="1">
        <f t="array" ref="G55">_xll.PrecioBD(D55,24,"IMBALANCE","N")</f>
        <v>-4.2599999999999999E-2</v>
      </c>
      <c r="I55" s="169"/>
      <c r="J55" s="92" t="s">
        <v>6007</v>
      </c>
      <c r="K55" s="93" cm="1">
        <f t="array" ref="K55">_xll.PrecioBD(J55,24,"ASK","N")</f>
        <v>2295</v>
      </c>
      <c r="L55" s="93" cm="1">
        <f t="array" ref="L55">_xll.PrecioBD(J55,24,"VOLUME AMOUNT","N")</f>
        <v>2590250</v>
      </c>
      <c r="M55" s="167" cm="1">
        <f t="array" ref="M55">_xll.PrecioBD(J55,24,"IMBALANCE","N")</f>
        <v>3.61E-2</v>
      </c>
      <c r="N55" s="216"/>
      <c r="O55" s="216"/>
      <c r="P55" s="216"/>
      <c r="Q55" s="214"/>
      <c r="R55" s="214"/>
      <c r="S55" s="215"/>
      <c r="T55" s="71"/>
      <c r="U55" s="278">
        <f t="shared" si="10"/>
        <v>46092</v>
      </c>
      <c r="V55" s="274">
        <f t="shared" si="11"/>
        <v>1619.0086994980049</v>
      </c>
      <c r="W55" s="71"/>
    </row>
    <row r="56" spans="4:25">
      <c r="D56" s="249" t="s">
        <v>436</v>
      </c>
      <c r="E56" s="250" cm="1">
        <f t="array" ref="E56">_xll.PrecioBD(D56,24,"ASK","N")</f>
        <v>11050</v>
      </c>
      <c r="F56" s="250" cm="1">
        <f t="array" ref="F56">_xll.PrecioBD(D56,24,"VOLUME AMOUNT","N")</f>
        <v>395812010</v>
      </c>
      <c r="G56" s="94" cm="1">
        <f t="array" ref="G56">_xll.PrecioBD(D56,24,"IMBALANCE","N")</f>
        <v>-9.9400000000000002E-2</v>
      </c>
      <c r="J56" s="92" t="s">
        <v>5997</v>
      </c>
      <c r="K56" s="93" cm="1">
        <f t="array" ref="K56">_xll.PrecioBD(J56,24,"ASK","N")</f>
        <v>336.5</v>
      </c>
      <c r="L56" s="93" cm="1">
        <f t="array" ref="L56">_xll.PrecioBD(J56,24,"VOLUME AMOUNT","N")</f>
        <v>36839742.520000003</v>
      </c>
      <c r="M56" s="167" cm="1">
        <f t="array" ref="M56">_xll.PrecioBD(J56,24,"IMBALANCE","N")</f>
        <v>4.1700000000000001E-2</v>
      </c>
      <c r="N56" s="216"/>
      <c r="O56" s="216"/>
      <c r="P56" s="216"/>
      <c r="Q56" s="214"/>
      <c r="R56" s="214"/>
      <c r="S56" s="215"/>
      <c r="T56" s="71"/>
      <c r="U56" s="278">
        <f t="shared" si="10"/>
        <v>46093</v>
      </c>
      <c r="V56" s="274">
        <f t="shared" si="11"/>
        <v>1620.0094903614599</v>
      </c>
      <c r="W56" s="71"/>
    </row>
    <row r="57" spans="4:25">
      <c r="D57" s="249" t="s">
        <v>290</v>
      </c>
      <c r="E57" s="250" cm="1">
        <f t="array" ref="E57">_xll.PrecioBD(D57,24,"ASK","N")</f>
        <v>4230</v>
      </c>
      <c r="F57" s="250" cm="1">
        <f t="array" ref="F57">_xll.PrecioBD(D57,24,"VOLUME AMOUNT","N")</f>
        <v>391479450</v>
      </c>
      <c r="G57" s="94" cm="1">
        <f t="array" ref="G57">_xll.PrecioBD(D57,24,"IMBALANCE","N")</f>
        <v>-8.3500000000000005E-2</v>
      </c>
      <c r="J57" s="92" t="s">
        <v>6003</v>
      </c>
      <c r="K57" s="93" cm="1">
        <f t="array" ref="K57">_xll.PrecioBD(J57,24,"ASK","N")</f>
        <v>25.8</v>
      </c>
      <c r="L57" s="93" cm="1">
        <f t="array" ref="L57">_xll.PrecioBD(J57,24,"VOLUME AMOUNT","N")</f>
        <v>5538082.7000000002</v>
      </c>
      <c r="M57" s="167" cm="1">
        <f t="array" ref="M57">_xll.PrecioBD(J57,24,"IMBALANCE","N")</f>
        <v>2.3800000000000002E-2</v>
      </c>
      <c r="N57" s="216"/>
      <c r="O57" s="216"/>
      <c r="P57" s="216"/>
      <c r="Q57" s="214"/>
      <c r="R57" s="214"/>
      <c r="S57" s="215"/>
      <c r="T57" s="71"/>
      <c r="U57" s="278">
        <f t="shared" si="10"/>
        <v>46094</v>
      </c>
      <c r="V57" s="274">
        <f t="shared" si="11"/>
        <v>1621.0102812249149</v>
      </c>
      <c r="W57" s="71">
        <v>1460</v>
      </c>
      <c r="X57" s="69" t="s">
        <v>5977</v>
      </c>
      <c r="Y57" s="69">
        <v>1457</v>
      </c>
    </row>
    <row r="58" spans="4:25">
      <c r="D58" s="249" t="s">
        <v>306</v>
      </c>
      <c r="E58" s="250" cm="1">
        <f t="array" ref="E58">_xll.PrecioBD(D58,24,"ASK","N")</f>
        <v>372425</v>
      </c>
      <c r="F58" s="250" cm="1">
        <f t="array" ref="F58">_xll.PrecioBD(D58,24,"VOLUME AMOUNT","N")</f>
        <v>377900400</v>
      </c>
      <c r="G58" s="94" cm="1">
        <f t="array" ref="G58">_xll.PrecioBD(D58,24,"IMBALANCE","N")</f>
        <v>8.4400000000000003E-2</v>
      </c>
      <c r="J58" s="92" t="s">
        <v>5999</v>
      </c>
      <c r="K58" s="93" cm="1">
        <f t="array" ref="K58">_xll.PrecioBD(J58,24,"ASK","N")</f>
        <v>2185</v>
      </c>
      <c r="L58" s="93" cm="1">
        <f t="array" ref="L58">_xll.PrecioBD(J58,24,"VOLUME AMOUNT","N")</f>
        <v>51476300</v>
      </c>
      <c r="M58" s="354" cm="1">
        <f t="array" ref="M58">_xll.PrecioBD(J58,24,"IMBALANCE","N")</f>
        <v>2.3E-2</v>
      </c>
      <c r="N58" s="216"/>
      <c r="O58" s="216"/>
      <c r="P58" s="216"/>
      <c r="Q58" s="214"/>
      <c r="R58" s="214"/>
      <c r="S58" s="215"/>
      <c r="T58" s="71"/>
      <c r="U58" s="278">
        <f t="shared" si="10"/>
        <v>46095</v>
      </c>
      <c r="V58" s="274">
        <f t="shared" si="11"/>
        <v>1622.0110720883699</v>
      </c>
      <c r="W58" s="71"/>
    </row>
    <row r="59" spans="4:25">
      <c r="D59" s="249" t="s">
        <v>333</v>
      </c>
      <c r="E59" s="250" cm="1">
        <f t="array" ref="E59">_xll.PrecioBD(D59,24,"ASK","N")</f>
        <v>28700</v>
      </c>
      <c r="F59" s="250" cm="1">
        <f t="array" ref="F59">_xll.PrecioBD(D59,24,"VOLUME AMOUNT","N")</f>
        <v>367796520</v>
      </c>
      <c r="G59" s="94" cm="1">
        <f t="array" ref="G59">_xll.PrecioBD(D59,24,"IMBALANCE","N")</f>
        <v>-8.8999999999999999E-3</v>
      </c>
      <c r="J59" s="92" t="s">
        <v>5995</v>
      </c>
      <c r="K59" s="93" cm="1">
        <f t="array" ref="K59">_xll.PrecioBD(J59,24,"ASK","N")</f>
        <v>27.8</v>
      </c>
      <c r="L59" s="93" cm="1">
        <f t="array" ref="L59">_xll.PrecioBD(J59,24,"VOLUME AMOUNT","N")</f>
        <v>1842537.5</v>
      </c>
      <c r="M59" s="167" cm="1">
        <f t="array" ref="M59">_xll.PrecioBD(J59,24,"IMBALANCE","N")</f>
        <v>2.18E-2</v>
      </c>
      <c r="N59" s="216"/>
      <c r="O59" s="216"/>
      <c r="P59" s="216"/>
      <c r="Q59" s="214"/>
      <c r="R59" s="214"/>
      <c r="S59" s="215"/>
      <c r="T59" s="71"/>
      <c r="U59" s="278">
        <f t="shared" si="10"/>
        <v>46096</v>
      </c>
      <c r="V59" s="274">
        <f t="shared" si="11"/>
        <v>1623.0118629518249</v>
      </c>
      <c r="W59" s="71"/>
    </row>
    <row r="60" spans="4:25">
      <c r="D60" s="249" t="s">
        <v>269</v>
      </c>
      <c r="E60" s="250" cm="1">
        <f t="array" ref="E60">_xll.PrecioBD(D60,24,"ASK","N")</f>
        <v>13670</v>
      </c>
      <c r="F60" s="250" cm="1">
        <f t="array" ref="F60">_xll.PrecioBD(D60,24,"VOLUME AMOUNT","N")</f>
        <v>337748120</v>
      </c>
      <c r="G60" s="94" cm="1">
        <f t="array" ref="G60">_xll.PrecioBD(D60,24,"IMBALANCE","N")</f>
        <v>-1.15E-2</v>
      </c>
      <c r="J60" s="92" t="s">
        <v>5992</v>
      </c>
      <c r="K60" s="93" cm="1">
        <f t="array" ref="K60">_xll.PrecioBD(J60,24,"ASK","N")</f>
        <v>2680</v>
      </c>
      <c r="L60" s="93" cm="1">
        <f t="array" ref="L60">_xll.PrecioBD(J60,24,"VOLUME AMOUNT","N")</f>
        <v>13713095</v>
      </c>
      <c r="M60" s="354" cm="1">
        <f t="array" ref="M60">_xll.PrecioBD(J60,24,"IMBALANCE","N")</f>
        <v>2.0899999999999998E-2</v>
      </c>
      <c r="N60" s="216"/>
      <c r="O60" s="216"/>
      <c r="P60" s="71"/>
      <c r="Q60" s="71"/>
      <c r="R60" s="71"/>
      <c r="S60" s="71"/>
      <c r="T60" s="71"/>
      <c r="U60" s="278">
        <f t="shared" si="10"/>
        <v>46097</v>
      </c>
      <c r="V60" s="274">
        <f t="shared" si="11"/>
        <v>1624.0126538152799</v>
      </c>
      <c r="W60" s="71"/>
    </row>
    <row r="61" spans="4:25">
      <c r="D61" s="249" t="s">
        <v>526</v>
      </c>
      <c r="E61" s="250" cm="1">
        <f t="array" ref="E61">_xll.PrecioBD(D61,24,"ASK","N")</f>
        <v>12940</v>
      </c>
      <c r="F61" s="250" cm="1">
        <f t="array" ref="F61">_xll.PrecioBD(D61,24,"VOLUME AMOUNT","N")</f>
        <v>328821340</v>
      </c>
      <c r="G61" s="94" cm="1">
        <f t="array" ref="G61">_xll.PrecioBD(D61,24,"IMBALANCE","N")</f>
        <v>1.2500000000000001E-2</v>
      </c>
      <c r="J61" s="92" t="s">
        <v>6024</v>
      </c>
      <c r="K61" s="93" cm="1">
        <f t="array" ref="K61">_xll.PrecioBD(J61,24,"ASK","N")</f>
        <v>1975</v>
      </c>
      <c r="L61" s="93" cm="1">
        <f t="array" ref="L61">_xll.PrecioBD(J61,24,"VOLUME AMOUNT","N")</f>
        <v>5238745</v>
      </c>
      <c r="M61" s="354" cm="1">
        <f t="array" ref="M61">_xll.PrecioBD(J61,24,"IMBALANCE","N")</f>
        <v>2.07E-2</v>
      </c>
      <c r="N61" s="71"/>
      <c r="O61" s="71"/>
      <c r="P61" s="71"/>
      <c r="Q61" s="71"/>
      <c r="R61" s="71"/>
      <c r="S61" s="71"/>
      <c r="T61" s="71"/>
      <c r="U61" s="278">
        <f t="shared" si="10"/>
        <v>46098</v>
      </c>
      <c r="V61" s="274">
        <f t="shared" si="11"/>
        <v>1625.0134446787349</v>
      </c>
      <c r="W61" s="71"/>
    </row>
    <row r="62" spans="4:25">
      <c r="D62" s="249" t="s">
        <v>449</v>
      </c>
      <c r="E62" s="250" cm="1">
        <f t="array" ref="E62">_xll.PrecioBD(D62,24,"ASK","N")</f>
        <v>4590</v>
      </c>
      <c r="F62" s="250" cm="1">
        <f t="array" ref="F62">_xll.PrecioBD(D62,24,"VOLUME AMOUNT","N")</f>
        <v>325378470</v>
      </c>
      <c r="G62" s="94" cm="1">
        <f t="array" ref="G62">_xll.PrecioBD(D62,24,"IMBALANCE","N")</f>
        <v>-4.7300000000000002E-2</v>
      </c>
      <c r="J62" s="92" t="s">
        <v>5991</v>
      </c>
      <c r="K62" s="93" cm="1">
        <f t="array" ref="K62">_xll.PrecioBD(J62,24,"ASK","N")</f>
        <v>42.2</v>
      </c>
      <c r="L62" s="93" cm="1">
        <f t="array" ref="L62">_xll.PrecioBD(J62,24,"VOLUME AMOUNT","N")</f>
        <v>5052512.9000000004</v>
      </c>
      <c r="M62" s="167" cm="1">
        <f t="array" ref="M62">_xll.PrecioBD(J62,24,"IMBALANCE","N")</f>
        <v>1.44E-2</v>
      </c>
      <c r="N62" s="71"/>
      <c r="O62" s="71"/>
      <c r="P62" s="71"/>
      <c r="Q62" s="71"/>
      <c r="R62" s="71"/>
      <c r="S62" s="71"/>
      <c r="T62" s="71"/>
      <c r="U62" s="278">
        <f t="shared" si="10"/>
        <v>46099</v>
      </c>
      <c r="V62" s="274">
        <f t="shared" si="11"/>
        <v>1626.0142355421899</v>
      </c>
      <c r="W62" s="71"/>
    </row>
    <row r="63" spans="4:25">
      <c r="D63" s="249" t="s">
        <v>200</v>
      </c>
      <c r="E63" s="250" cm="1">
        <f t="array" ref="E63">_xll.PrecioBD(D63,24,"ASK","N")</f>
        <v>33680</v>
      </c>
      <c r="F63" s="250" cm="1">
        <f t="array" ref="F63">_xll.PrecioBD(D63,24,"VOLUME AMOUNT","N")</f>
        <v>315273060</v>
      </c>
      <c r="G63" s="94" cm="1">
        <f t="array" ref="G63">_xll.PrecioBD(D63,24,"IMBALANCE","N")</f>
        <v>-2.3E-3</v>
      </c>
      <c r="J63" s="92" t="s">
        <v>6004</v>
      </c>
      <c r="K63" s="93" cm="1">
        <f t="array" ref="K63">_xll.PrecioBD(J63,24,"ASK","N")</f>
        <v>233</v>
      </c>
      <c r="L63" s="93" cm="1">
        <f t="array" ref="L63">_xll.PrecioBD(J63,24,"VOLUME AMOUNT","N")</f>
        <v>1721118</v>
      </c>
      <c r="M63" s="167" cm="1">
        <f t="array" ref="M63">_xll.PrecioBD(J63,24,"IMBALANCE","N")</f>
        <v>2.0999999999999999E-3</v>
      </c>
      <c r="N63" s="71"/>
      <c r="O63" s="71"/>
      <c r="P63" s="216"/>
      <c r="Q63" s="214"/>
      <c r="R63" s="214"/>
      <c r="S63" s="215"/>
      <c r="T63" s="71"/>
      <c r="U63" s="278">
        <f t="shared" si="10"/>
        <v>46100</v>
      </c>
      <c r="V63" s="274">
        <f t="shared" si="11"/>
        <v>1627.0150264056449</v>
      </c>
      <c r="W63" s="71"/>
    </row>
    <row r="64" spans="4:25">
      <c r="D64" s="249" t="s">
        <v>421</v>
      </c>
      <c r="E64" s="250" cm="1">
        <f t="array" ref="E64">_xll.PrecioBD(D64,24,"ASK","N")</f>
        <v>10190</v>
      </c>
      <c r="F64" s="250" cm="1">
        <f t="array" ref="F64">_xll.PrecioBD(D64,24,"VOLUME AMOUNT","N")</f>
        <v>310938990</v>
      </c>
      <c r="G64" s="94" cm="1">
        <f t="array" ref="G64">_xll.PrecioBD(D64,24,"IMBALANCE","N")</f>
        <v>-4.7999999999999996E-3</v>
      </c>
      <c r="J64" s="92" t="s">
        <v>6022</v>
      </c>
      <c r="K64" s="93" cm="1">
        <f t="array" ref="K64">_xll.PrecioBD(J64,24,"ASK","N")</f>
        <v>920</v>
      </c>
      <c r="L64" s="93" cm="1">
        <f t="array" ref="L64">_xll.PrecioBD(J64,24,"VOLUME AMOUNT","N")</f>
        <v>1965652.5</v>
      </c>
      <c r="M64" s="354" cm="1">
        <f t="array" ref="M64">_xll.PrecioBD(J64,24,"IMBALANCE","N")</f>
        <v>1.0800000000000001E-2</v>
      </c>
      <c r="N64" s="216"/>
      <c r="O64" s="216"/>
      <c r="P64" s="216"/>
      <c r="Q64" s="214"/>
      <c r="R64" s="214"/>
      <c r="S64" s="215"/>
      <c r="T64" s="71"/>
      <c r="U64" s="278">
        <f t="shared" si="10"/>
        <v>46101</v>
      </c>
      <c r="V64" s="274">
        <f t="shared" si="11"/>
        <v>1628.0158172690999</v>
      </c>
      <c r="W64" s="71"/>
    </row>
    <row r="65" spans="4:23">
      <c r="D65" s="249" t="s">
        <v>419</v>
      </c>
      <c r="E65" s="250" cm="1">
        <f t="array" ref="E65">_xll.PrecioBD(D65,24,"ASK","N")</f>
        <v>22860</v>
      </c>
      <c r="F65" s="250" cm="1">
        <f t="array" ref="F65">_xll.PrecioBD(D65,24,"VOLUME AMOUNT","N")</f>
        <v>282650670</v>
      </c>
      <c r="G65" s="94" cm="1">
        <f t="array" ref="G65">_xll.PrecioBD(D65,24,"IMBALANCE","N")</f>
        <v>-2.6800000000000001E-2</v>
      </c>
      <c r="J65" s="92" t="s">
        <v>6005</v>
      </c>
      <c r="K65" s="93" cm="1">
        <f t="array" ref="K65">_xll.PrecioBD(J65,24,"ASK","N")</f>
        <v>217</v>
      </c>
      <c r="L65" s="93" cm="1">
        <f t="array" ref="L65">_xll.PrecioBD(J65,24,"VOLUME AMOUNT","N")</f>
        <v>290138.5</v>
      </c>
      <c r="M65" s="354" cm="1">
        <f t="array" ref="M65">_xll.PrecioBD(J65,24,"IMBALANCE","N")</f>
        <v>9.1999999999999998E-3</v>
      </c>
      <c r="N65" s="216"/>
      <c r="O65" s="216"/>
      <c r="P65" s="71"/>
      <c r="Q65" s="71"/>
      <c r="R65" s="71"/>
      <c r="S65" s="71"/>
      <c r="T65" s="71"/>
      <c r="U65" s="278">
        <f t="shared" si="10"/>
        <v>46102</v>
      </c>
      <c r="V65" s="274">
        <f t="shared" si="11"/>
        <v>1629.0166081325549</v>
      </c>
      <c r="W65" s="71"/>
    </row>
    <row r="66" spans="4:23">
      <c r="D66" s="249" t="s">
        <v>330</v>
      </c>
      <c r="E66" s="250" cm="1">
        <f t="array" ref="E66">_xll.PrecioBD(D66,24,"ASK","N")</f>
        <v>4330</v>
      </c>
      <c r="F66" s="250" cm="1">
        <f t="array" ref="F66">_xll.PrecioBD(D66,24,"VOLUME AMOUNT","N")</f>
        <v>287885890</v>
      </c>
      <c r="G66" s="94" cm="1">
        <f t="array" ref="G66">_xll.PrecioBD(D66,24,"IMBALANCE","N")</f>
        <v>-4.0000000000000001E-3</v>
      </c>
      <c r="J66" s="92" t="s">
        <v>6009</v>
      </c>
      <c r="K66" s="93" cm="1">
        <f t="array" ref="K66">_xll.PrecioBD(J66,24,"ASK","N")</f>
        <v>2970</v>
      </c>
      <c r="L66" s="93" cm="1">
        <f t="array" ref="L66">_xll.PrecioBD(J66,24,"VOLUME AMOUNT","N")</f>
        <v>561305</v>
      </c>
      <c r="M66" s="354" cm="1">
        <f t="array" ref="M66">_xll.PrecioBD(J66,24,"IMBALANCE","N")</f>
        <v>8.3999999999999995E-3</v>
      </c>
      <c r="N66" s="71"/>
      <c r="O66" s="71"/>
      <c r="P66" s="71"/>
      <c r="Q66" s="71"/>
      <c r="R66" s="71"/>
      <c r="S66" s="71"/>
      <c r="T66" s="71"/>
      <c r="U66" s="278">
        <f t="shared" si="10"/>
        <v>46103</v>
      </c>
      <c r="V66" s="274">
        <f t="shared" si="11"/>
        <v>1630.0173989960099</v>
      </c>
      <c r="W66" s="71"/>
    </row>
    <row r="67" spans="4:23">
      <c r="D67" s="249" t="s">
        <v>300</v>
      </c>
      <c r="E67" s="250" cm="1">
        <f t="array" ref="E67">_xll.PrecioBD(D67,24,"ASK","N")</f>
        <v>31880</v>
      </c>
      <c r="F67" s="250" cm="1">
        <f t="array" ref="F67">_xll.PrecioBD(D67,24,"VOLUME AMOUNT","N")</f>
        <v>281066980</v>
      </c>
      <c r="G67" s="94" cm="1">
        <f t="array" ref="G67">_xll.PrecioBD(D67,24,"IMBALANCE","N")</f>
        <v>5.5999999999999999E-3</v>
      </c>
      <c r="J67" s="92" t="s">
        <v>6013</v>
      </c>
      <c r="K67" s="93" cm="1">
        <f t="array" ref="K67">_xll.PrecioBD(J67,24,"ASK","N")</f>
        <v>152.5</v>
      </c>
      <c r="L67" s="93" cm="1">
        <f t="array" ref="L67">_xll.PrecioBD(J67,24,"VOLUME AMOUNT","N")</f>
        <v>14700</v>
      </c>
      <c r="M67" s="354" cm="1">
        <f t="array" ref="M67">_xll.PrecioBD(J67,24,"IMBALANCE","N")</f>
        <v>6.7999999999999996E-3</v>
      </c>
      <c r="N67" s="71"/>
      <c r="O67" s="71"/>
      <c r="P67" s="71"/>
      <c r="Q67" s="71"/>
      <c r="R67" s="71"/>
      <c r="S67" s="71"/>
      <c r="T67" s="71"/>
      <c r="U67" s="278">
        <f t="shared" si="10"/>
        <v>46104</v>
      </c>
      <c r="V67" s="274">
        <f t="shared" si="11"/>
        <v>1631.0181898594649</v>
      </c>
      <c r="W67" s="71"/>
    </row>
    <row r="68" spans="4:23">
      <c r="D68" s="249" t="s">
        <v>465</v>
      </c>
      <c r="E68" s="250" cm="1">
        <f t="array" ref="E68">_xll.PrecioBD(D68,24,"ASK","N")</f>
        <v>23690</v>
      </c>
      <c r="F68" s="250" cm="1">
        <f t="array" ref="F68">_xll.PrecioBD(D68,24,"VOLUME AMOUNT","N")</f>
        <v>272260640</v>
      </c>
      <c r="G68" s="94" cm="1">
        <f t="array" ref="G68">_xll.PrecioBD(D68,24,"IMBALANCE","N")</f>
        <v>-7.51E-2</v>
      </c>
      <c r="J68" s="92" t="s">
        <v>6020</v>
      </c>
      <c r="K68" s="93" cm="1">
        <f t="array" ref="K68">_xll.PrecioBD(J68,24,"ASK","N")</f>
        <v>3110</v>
      </c>
      <c r="L68" s="93" cm="1">
        <f t="array" ref="L68">_xll.PrecioBD(J68,24,"VOLUME AMOUNT","N")</f>
        <v>4893970</v>
      </c>
      <c r="M68" s="354" cm="1">
        <f t="array" ref="M68">_xll.PrecioBD(J68,24,"IMBALANCE","N")</f>
        <v>6.4999999999999997E-3</v>
      </c>
      <c r="N68" s="71"/>
      <c r="O68" s="71"/>
      <c r="P68" s="216"/>
      <c r="Q68" s="214"/>
      <c r="R68" s="214"/>
      <c r="S68" s="215"/>
      <c r="T68" s="71"/>
      <c r="U68" s="278">
        <f t="shared" si="10"/>
        <v>46105</v>
      </c>
      <c r="V68" s="274">
        <f t="shared" si="11"/>
        <v>1632.0189807229199</v>
      </c>
      <c r="W68" s="71"/>
    </row>
    <row r="69" spans="4:23">
      <c r="D69" s="249" t="s">
        <v>523</v>
      </c>
      <c r="E69" s="250" cm="1">
        <f t="array" ref="E69">_xll.PrecioBD(D69,24,"ASK","N")</f>
        <v>9210</v>
      </c>
      <c r="F69" s="250" cm="1">
        <f t="array" ref="F69">_xll.PrecioBD(D69,24,"VOLUME AMOUNT","N")</f>
        <v>273086770</v>
      </c>
      <c r="G69" s="94" cm="1">
        <f t="array" ref="G69">_xll.PrecioBD(D69,24,"IMBALANCE","N")</f>
        <v>-8.0399999999999999E-2</v>
      </c>
      <c r="J69" s="92" t="s">
        <v>6010</v>
      </c>
      <c r="K69" s="93" cm="1">
        <f t="array" ref="K69">_xll.PrecioBD(J69,24,"ASK","N")</f>
        <v>2700</v>
      </c>
      <c r="L69" s="93" cm="1">
        <f t="array" ref="L69">_xll.PrecioBD(J69,24,"VOLUME AMOUNT","N")</f>
        <v>3548175</v>
      </c>
      <c r="M69" s="354" cm="1">
        <f t="array" ref="M69">_xll.PrecioBD(J69,24,"IMBALANCE","N")</f>
        <v>5.4999999999999997E-3</v>
      </c>
      <c r="N69" s="216"/>
      <c r="O69" s="216"/>
      <c r="P69" s="216"/>
      <c r="Q69" s="214"/>
      <c r="R69" s="214"/>
      <c r="S69" s="215"/>
      <c r="T69" s="71"/>
      <c r="U69" s="278">
        <f t="shared" si="10"/>
        <v>46106</v>
      </c>
      <c r="V69" s="274">
        <f t="shared" si="11"/>
        <v>1633.0197715863749</v>
      </c>
      <c r="W69" s="71"/>
    </row>
    <row r="70" spans="4:23">
      <c r="D70" s="249" t="s">
        <v>522</v>
      </c>
      <c r="E70" s="250" cm="1">
        <f t="array" ref="E70">_xll.PrecioBD(D70,24,"ASK","N")</f>
        <v>12540</v>
      </c>
      <c r="F70" s="250" cm="1">
        <f t="array" ref="F70">_xll.PrecioBD(D70,24,"VOLUME AMOUNT","N")</f>
        <v>252449990</v>
      </c>
      <c r="G70" s="94" cm="1">
        <f t="array" ref="G70">_xll.PrecioBD(D70,24,"IMBALANCE","N")</f>
        <v>3.2000000000000002E-3</v>
      </c>
      <c r="J70" s="92" t="s">
        <v>6002</v>
      </c>
      <c r="K70" s="93" cm="1">
        <f t="array" ref="K70">_xll.PrecioBD(J70,24,"ASK","N")</f>
        <v>3295</v>
      </c>
      <c r="L70" s="93" cm="1">
        <f t="array" ref="L70">_xll.PrecioBD(J70,24,"VOLUME AMOUNT","N")</f>
        <v>376178590</v>
      </c>
      <c r="M70" s="354" cm="1">
        <f t="array" ref="M70">_xll.PrecioBD(J70,24,"IMBALANCE","N")</f>
        <v>4.4999999999999997E-3</v>
      </c>
      <c r="N70" s="216"/>
      <c r="O70" s="216"/>
      <c r="P70" s="71"/>
      <c r="Q70" s="71"/>
      <c r="R70" s="71"/>
      <c r="S70" s="71"/>
      <c r="T70" s="71"/>
      <c r="U70" s="278">
        <f t="shared" si="10"/>
        <v>46107</v>
      </c>
      <c r="V70" s="274">
        <f t="shared" si="11"/>
        <v>1634.0205624498299</v>
      </c>
      <c r="W70" s="71"/>
    </row>
    <row r="71" spans="4:23">
      <c r="D71" s="249" t="s">
        <v>515</v>
      </c>
      <c r="E71" s="250" cm="1">
        <f t="array" ref="E71">_xll.PrecioBD(D71,24,"ASK","N")</f>
        <v>51800</v>
      </c>
      <c r="F71" s="250" cm="1">
        <f t="array" ref="F71">_xll.PrecioBD(D71,24,"VOLUME AMOUNT","N")</f>
        <v>250506250</v>
      </c>
      <c r="G71" s="94" cm="1">
        <f t="array" ref="G71">_xll.PrecioBD(D71,24,"IMBALANCE","N")</f>
        <v>-1.2800000000000001E-2</v>
      </c>
      <c r="I71" s="219"/>
      <c r="J71" s="92" t="s">
        <v>5988</v>
      </c>
      <c r="K71" s="93" cm="1">
        <f t="array" ref="K71">_xll.PrecioBD(J71,24,"ASK","N")</f>
        <v>50</v>
      </c>
      <c r="L71" s="93" cm="1">
        <f t="array" ref="L71">_xll.PrecioBD(J71,24,"VOLUME AMOUNT","N")</f>
        <v>55681237.899999999</v>
      </c>
      <c r="M71" s="167" cm="1">
        <f t="array" ref="M71">_xll.PrecioBD(J71,24,"IMBALANCE","N")</f>
        <v>4.0000000000000001E-3</v>
      </c>
      <c r="N71" s="71"/>
      <c r="O71" s="71"/>
      <c r="P71" s="71"/>
      <c r="Q71" s="71"/>
      <c r="R71" s="71"/>
      <c r="S71" s="71"/>
      <c r="T71" s="71"/>
      <c r="U71" s="278">
        <f t="shared" si="10"/>
        <v>46108</v>
      </c>
      <c r="V71" s="274">
        <f t="shared" si="11"/>
        <v>1635.0213533132849</v>
      </c>
      <c r="W71" s="71"/>
    </row>
    <row r="72" spans="4:23">
      <c r="D72" s="249" t="s">
        <v>288</v>
      </c>
      <c r="E72" s="250" cm="1">
        <f t="array" ref="E72">_xll.PrecioBD(D72,24,"ASK","N")</f>
        <v>9400</v>
      </c>
      <c r="F72" s="250" cm="1">
        <f t="array" ref="F72">_xll.PrecioBD(D72,24,"VOLUME AMOUNT","N")</f>
        <v>244770400</v>
      </c>
      <c r="G72" s="94" cm="1">
        <f t="array" ref="G72">_xll.PrecioBD(D72,24,"IMBALANCE","N")</f>
        <v>-1.5100000000000001E-2</v>
      </c>
      <c r="J72" s="92" t="s">
        <v>6008</v>
      </c>
      <c r="K72" s="93" cm="1">
        <f t="array" ref="K72">_xll.PrecioBD(J72,24,"ASK","N")</f>
        <v>17.55</v>
      </c>
      <c r="L72" s="93" cm="1">
        <f t="array" ref="L72">_xll.PrecioBD(J72,24,"VOLUME AMOUNT","N")</f>
        <v>766086.5</v>
      </c>
      <c r="M72" s="354" cm="1">
        <f t="array" ref="M72">_xll.PrecioBD(J72,24,"IMBALANCE","N")</f>
        <v>0</v>
      </c>
      <c r="N72" s="71"/>
      <c r="O72" s="71"/>
      <c r="P72" s="71"/>
      <c r="Q72" s="71"/>
      <c r="R72" s="71"/>
      <c r="S72" s="71"/>
      <c r="T72" s="71"/>
      <c r="U72" s="278">
        <f t="shared" si="10"/>
        <v>46109</v>
      </c>
      <c r="V72" s="274">
        <f t="shared" si="11"/>
        <v>1636.0221441767399</v>
      </c>
      <c r="W72" s="71"/>
    </row>
    <row r="73" spans="4:23">
      <c r="D73" s="249" t="s">
        <v>413</v>
      </c>
      <c r="E73" s="250" cm="1">
        <f t="array" ref="E73">_xll.PrecioBD(D73,24,"ASK","N")</f>
        <v>7250</v>
      </c>
      <c r="F73" s="250" cm="1">
        <f t="array" ref="F73">_xll.PrecioBD(D73,24,"VOLUME AMOUNT","N")</f>
        <v>249624505</v>
      </c>
      <c r="G73" s="94" cm="1">
        <f t="array" ref="G73">_xll.PrecioBD(D73,24,"IMBALANCE","N")</f>
        <v>-2.8799999999999999E-2</v>
      </c>
      <c r="J73" s="92" t="s">
        <v>6011</v>
      </c>
      <c r="K73" s="93" cm="1">
        <f t="array" ref="K73">_xll.PrecioBD(J73,24,"ASK","N")</f>
        <v>1845</v>
      </c>
      <c r="L73" s="93" cm="1">
        <f t="array" ref="L73">_xll.PrecioBD(J73,24,"VOLUME AMOUNT","N")</f>
        <v>21214615</v>
      </c>
      <c r="M73" s="354" cm="1">
        <f t="array" ref="M73">_xll.PrecioBD(J73,24,"IMBALANCE","N")</f>
        <v>0</v>
      </c>
      <c r="N73" s="71"/>
      <c r="O73" s="71"/>
      <c r="P73" s="71"/>
      <c r="Q73" s="71"/>
      <c r="R73" s="71"/>
      <c r="S73" s="71"/>
      <c r="T73" s="71"/>
      <c r="U73" s="278">
        <f t="shared" si="10"/>
        <v>46110</v>
      </c>
      <c r="V73" s="274">
        <f t="shared" si="11"/>
        <v>1637.0229350401949</v>
      </c>
      <c r="W73" s="71"/>
    </row>
    <row r="74" spans="4:23">
      <c r="D74" s="249" t="s">
        <v>149</v>
      </c>
      <c r="E74" s="250" cm="1">
        <f t="array" ref="E74">_xll.PrecioBD(D74,24,"ASK","N")</f>
        <v>13030</v>
      </c>
      <c r="F74" s="250" cm="1">
        <f t="array" ref="F74">_xll.PrecioBD(D74,24,"VOLUME AMOUNT","N")</f>
        <v>238023500</v>
      </c>
      <c r="G74" s="94" cm="1">
        <f t="array" ref="G74">_xll.PrecioBD(D74,24,"IMBALANCE","N")</f>
        <v>-2.3400000000000001E-2</v>
      </c>
      <c r="J74" s="172" t="s">
        <v>6006</v>
      </c>
      <c r="K74" s="170" cm="1">
        <f t="array" ref="K74">_xll.PrecioBD(J74,24,"ASK","N")</f>
        <v>211</v>
      </c>
      <c r="L74" s="170" cm="1">
        <f t="array" ref="L74">_xll.PrecioBD(J74,24,"VOLUME AMOUNT","N")</f>
        <v>1404071.5</v>
      </c>
      <c r="M74" s="173" cm="1">
        <f t="array" ref="M74">_xll.PrecioBD(J74,24,"IMBALANCE","N")</f>
        <v>0</v>
      </c>
      <c r="N74" s="71"/>
      <c r="O74" s="71"/>
      <c r="P74" s="71"/>
      <c r="Q74" s="71"/>
      <c r="R74" s="71"/>
      <c r="S74" s="71"/>
      <c r="T74" s="71"/>
      <c r="U74" s="278">
        <f t="shared" si="10"/>
        <v>46111</v>
      </c>
      <c r="V74" s="274">
        <f t="shared" si="11"/>
        <v>1638.0237259036498</v>
      </c>
      <c r="W74" s="71"/>
    </row>
    <row r="75" spans="4:23">
      <c r="D75" s="249" t="s">
        <v>399</v>
      </c>
      <c r="E75" s="250" cm="1">
        <f t="array" ref="E75">_xll.PrecioBD(D75,24,"ASK","N")</f>
        <v>12690</v>
      </c>
      <c r="F75" s="250" cm="1">
        <f t="array" ref="F75">_xll.PrecioBD(D75,24,"VOLUME AMOUNT","N")</f>
        <v>237418070</v>
      </c>
      <c r="G75" s="94" cm="1">
        <f t="array" ref="G75">_xll.PrecioBD(D75,24,"IMBALANCE","N")</f>
        <v>-1.7000000000000001E-2</v>
      </c>
      <c r="J75" s="92" t="s">
        <v>6027</v>
      </c>
      <c r="K75" s="93" cm="1">
        <f t="array" ref="K75">_xll.PrecioBD(J75,24,"ASK","N")</f>
        <v>655</v>
      </c>
      <c r="L75" s="93" cm="1">
        <f t="array" ref="L75">_xll.PrecioBD(J75,24,"VOLUME AMOUNT","N")</f>
        <v>25964389.199999999</v>
      </c>
      <c r="M75" s="354" cm="1">
        <f t="array" ref="M75">_xll.PrecioBD(J75,24,"IMBALANCE","N")</f>
        <v>-3.0000000000000001E-3</v>
      </c>
      <c r="N75" s="71"/>
      <c r="O75" s="71"/>
      <c r="P75" s="71"/>
      <c r="Q75" s="71"/>
      <c r="R75" s="71"/>
      <c r="S75" s="71"/>
      <c r="T75" s="71"/>
      <c r="U75" s="278">
        <f t="shared" si="10"/>
        <v>46112</v>
      </c>
      <c r="V75" s="274">
        <f t="shared" si="11"/>
        <v>1639.0245167671048</v>
      </c>
      <c r="W75" s="71"/>
    </row>
    <row r="76" spans="4:23">
      <c r="D76" s="249" t="s">
        <v>314</v>
      </c>
      <c r="E76" s="250" cm="1">
        <f t="array" ref="E76">_xll.PrecioBD(D76,24,"ASK","N")</f>
        <v>13970</v>
      </c>
      <c r="F76" s="250" cm="1">
        <f t="array" ref="F76">_xll.PrecioBD(D76,24,"VOLUME AMOUNT","N")</f>
        <v>227714720</v>
      </c>
      <c r="G76" s="94" cm="1">
        <f t="array" ref="G76">_xll.PrecioBD(D76,24,"IMBALANCE","N")</f>
        <v>-7.7999999999999996E-3</v>
      </c>
      <c r="J76" s="92" t="s">
        <v>49</v>
      </c>
      <c r="K76" s="93" cm="1">
        <f t="array" ref="K76">_xll.PrecioBD(J76,24,"ASK","N")</f>
        <v>2325</v>
      </c>
      <c r="L76" s="93" cm="1">
        <f t="array" ref="L76">_xll.PrecioBD(J76,24,"VOLUME AMOUNT","N")</f>
        <v>43247005</v>
      </c>
      <c r="M76" s="354" cm="1">
        <f t="array" ref="M76">_xll.PrecioBD(J76,24,"IMBALANCE","N")</f>
        <v>-4.1999999999999997E-3</v>
      </c>
      <c r="N76" s="71"/>
      <c r="O76" s="71"/>
      <c r="P76" s="71"/>
      <c r="Q76" s="71"/>
      <c r="R76" s="71"/>
      <c r="S76" s="71"/>
      <c r="T76" s="71"/>
      <c r="U76" s="278">
        <f t="shared" si="10"/>
        <v>46113</v>
      </c>
      <c r="V76" s="279">
        <f>+V74+(1+$T$46)</f>
        <v>1639.0244188949634</v>
      </c>
      <c r="W76" s="71"/>
    </row>
    <row r="77" spans="4:23">
      <c r="D77" s="249" t="s">
        <v>158</v>
      </c>
      <c r="E77" s="250" cm="1">
        <f t="array" ref="E77">_xll.PrecioBD(D77,24,"ASK","N")</f>
        <v>26160</v>
      </c>
      <c r="F77" s="250" cm="1">
        <f t="array" ref="F77">_xll.PrecioBD(D77,24,"VOLUME AMOUNT","N")</f>
        <v>227227400</v>
      </c>
      <c r="G77" s="94" cm="1">
        <f t="array" ref="G77">_xll.PrecioBD(D77,24,"IMBALANCE","N")</f>
        <v>-3.5400000000000001E-2</v>
      </c>
      <c r="J77" s="92" t="s">
        <v>5989</v>
      </c>
      <c r="K77" s="93" cm="1">
        <f t="array" ref="K77">_xll.PrecioBD(J77,24,"ASK","N")</f>
        <v>3890</v>
      </c>
      <c r="L77" s="93" cm="1">
        <f t="array" ref="L77">_xll.PrecioBD(J77,24,"VOLUME AMOUNT","N")</f>
        <v>5172290</v>
      </c>
      <c r="M77" s="167" cm="1">
        <f t="array" ref="M77">_xll.PrecioBD(J77,24,"IMBALANCE","N")</f>
        <v>-5.1000000000000004E-3</v>
      </c>
      <c r="N77" s="71"/>
      <c r="O77" s="71"/>
      <c r="P77" s="71"/>
      <c r="Q77" s="71"/>
      <c r="R77" s="71"/>
      <c r="S77" s="71"/>
      <c r="T77" s="71"/>
      <c r="U77" s="278">
        <f t="shared" si="10"/>
        <v>46114</v>
      </c>
      <c r="V77" s="279">
        <f t="shared" ref="V77:V104" si="12">+V75+(1+$T$46)</f>
        <v>1640.0252097584184</v>
      </c>
      <c r="W77" s="71"/>
    </row>
    <row r="78" spans="4:23">
      <c r="D78" s="249" t="s">
        <v>291</v>
      </c>
      <c r="E78" s="250" cm="1">
        <f t="array" ref="E78">_xll.PrecioBD(D78,24,"ASK","N")</f>
        <v>83650</v>
      </c>
      <c r="F78" s="250" cm="1">
        <f t="array" ref="F78">_xll.PrecioBD(D78,24,"VOLUME AMOUNT","N")</f>
        <v>223823425</v>
      </c>
      <c r="G78" s="94" cm="1">
        <f t="array" ref="G78">_xll.PrecioBD(D78,24,"IMBALANCE","N")</f>
        <v>-1.3299999999999999E-2</v>
      </c>
      <c r="J78" s="92" t="s">
        <v>6012</v>
      </c>
      <c r="K78" s="93" cm="1">
        <f t="array" ref="K78">_xll.PrecioBD(J78,24,"ASK","N")</f>
        <v>5510</v>
      </c>
      <c r="L78" s="93" cm="1">
        <f t="array" ref="L78">_xll.PrecioBD(J78,24,"VOLUME AMOUNT","N")</f>
        <v>6847030</v>
      </c>
      <c r="M78" s="354" cm="1">
        <f t="array" ref="M78">_xll.PrecioBD(J78,24,"IMBALANCE","N")</f>
        <v>-5.4000000000000003E-3</v>
      </c>
      <c r="N78" s="71"/>
      <c r="O78" s="71"/>
      <c r="P78" s="71"/>
      <c r="Q78" s="71"/>
      <c r="R78" s="71"/>
      <c r="S78" s="71"/>
      <c r="T78" s="71"/>
      <c r="U78" s="278">
        <f t="shared" si="10"/>
        <v>46115</v>
      </c>
      <c r="V78" s="279">
        <f t="shared" si="12"/>
        <v>1640.025111886277</v>
      </c>
      <c r="W78" s="71"/>
    </row>
    <row r="79" spans="4:23">
      <c r="D79" s="249" t="s">
        <v>356</v>
      </c>
      <c r="E79" s="250" cm="1">
        <f t="array" ref="E79">_xll.PrecioBD(D79,24,"ASK","N")</f>
        <v>10100</v>
      </c>
      <c r="F79" s="250" cm="1">
        <f t="array" ref="F79">_xll.PrecioBD(D79,24,"VOLUME AMOUNT","N")</f>
        <v>222621840</v>
      </c>
      <c r="G79" s="94" cm="1">
        <f t="array" ref="G79">_xll.PrecioBD(D79,24,"IMBALANCE","N")</f>
        <v>-4.6199999999999998E-2</v>
      </c>
      <c r="J79" s="92" t="s">
        <v>6025</v>
      </c>
      <c r="K79" s="93" cm="1">
        <f t="array" ref="K79">_xll.PrecioBD(J79,24,"ASK","N")</f>
        <v>523</v>
      </c>
      <c r="L79" s="93" cm="1">
        <f t="array" ref="L79">_xll.PrecioBD(J79,24,"VOLUME AMOUNT","N")</f>
        <v>73630</v>
      </c>
      <c r="M79" s="354" cm="1">
        <f t="array" ref="M79">_xll.PrecioBD(J79,24,"IMBALANCE","N")</f>
        <v>-5.5999999999999999E-3</v>
      </c>
      <c r="N79" s="71"/>
      <c r="O79" s="71"/>
      <c r="P79" s="71"/>
      <c r="Q79" s="71"/>
      <c r="R79" s="71"/>
      <c r="S79" s="71"/>
      <c r="T79" s="71"/>
      <c r="U79" s="278">
        <f t="shared" si="10"/>
        <v>46116</v>
      </c>
      <c r="V79" s="279">
        <f t="shared" si="12"/>
        <v>1641.025902749732</v>
      </c>
      <c r="W79" s="71"/>
    </row>
    <row r="80" spans="4:23">
      <c r="D80" s="249" t="s">
        <v>319</v>
      </c>
      <c r="E80" s="250" cm="1">
        <f t="array" ref="E80">_xll.PrecioBD(D80,24,"ASK","N")</f>
        <v>44680</v>
      </c>
      <c r="F80" s="250" cm="1">
        <f t="array" ref="F80">_xll.PrecioBD(D80,24,"VOLUME AMOUNT","N")</f>
        <v>270359140</v>
      </c>
      <c r="G80" s="94" cm="1">
        <f t="array" ref="G80">_xll.PrecioBD(D80,24,"IMBALANCE","N")</f>
        <v>-1.5800000000000002E-2</v>
      </c>
      <c r="J80" s="92" t="s">
        <v>6021</v>
      </c>
      <c r="K80" s="93" cm="1">
        <f t="array" ref="K80">_xll.PrecioBD(J80,24,"ASK","N")</f>
        <v>33.9</v>
      </c>
      <c r="L80" s="93" cm="1">
        <f t="array" ref="L80">_xll.PrecioBD(J80,24,"VOLUME AMOUNT","N")</f>
        <v>40102439.200000003</v>
      </c>
      <c r="M80" s="354" cm="1">
        <f t="array" ref="M80">_xll.PrecioBD(J80,24,"IMBALANCE","N")</f>
        <v>-5.7999999999999996E-3</v>
      </c>
      <c r="N80" s="71"/>
      <c r="O80" s="71"/>
      <c r="P80" s="71"/>
      <c r="Q80" s="71"/>
      <c r="R80" s="71"/>
      <c r="S80" s="71"/>
      <c r="T80" s="71"/>
      <c r="U80" s="278">
        <f t="shared" si="10"/>
        <v>46117</v>
      </c>
      <c r="V80" s="279">
        <f t="shared" si="12"/>
        <v>1641.0258048775906</v>
      </c>
      <c r="W80" s="71"/>
    </row>
    <row r="81" spans="4:23">
      <c r="D81" s="249" t="s">
        <v>242</v>
      </c>
      <c r="E81" s="250" cm="1">
        <f t="array" ref="E81">_xll.PrecioBD(D81,24,"ASK","N")</f>
        <v>5050</v>
      </c>
      <c r="F81" s="250" cm="1">
        <f t="array" ref="F81">_xll.PrecioBD(D81,24,"VOLUME AMOUNT","N")</f>
        <v>189361540</v>
      </c>
      <c r="G81" s="94" cm="1">
        <f t="array" ref="G81">_xll.PrecioBD(D81,24,"IMBALANCE","N")</f>
        <v>-2.76E-2</v>
      </c>
      <c r="J81" s="92" t="s">
        <v>6015</v>
      </c>
      <c r="K81" s="93" cm="1">
        <f t="array" ref="K81">_xll.PrecioBD(J81,24,"ASK","N")</f>
        <v>562</v>
      </c>
      <c r="L81" s="93" cm="1">
        <f t="array" ref="L81">_xll.PrecioBD(J81,24,"VOLUME AMOUNT","N")</f>
        <v>39542601</v>
      </c>
      <c r="M81" s="354" cm="1">
        <f t="array" ref="M81">_xll.PrecioBD(J81,24,"IMBALANCE","N")</f>
        <v>-8.8999999999999999E-3</v>
      </c>
      <c r="N81" s="71"/>
      <c r="O81" s="71"/>
      <c r="P81" s="71"/>
      <c r="Q81" s="71"/>
      <c r="R81" s="71"/>
      <c r="S81" s="71"/>
      <c r="T81" s="71"/>
      <c r="U81" s="278">
        <f t="shared" si="10"/>
        <v>46118</v>
      </c>
      <c r="V81" s="279">
        <f t="shared" si="12"/>
        <v>1642.0265957410456</v>
      </c>
      <c r="W81" s="71"/>
    </row>
    <row r="82" spans="4:23">
      <c r="D82" s="249" t="s">
        <v>354</v>
      </c>
      <c r="E82" s="250" cm="1">
        <f t="array" ref="E82">_xll.PrecioBD(D82,24,"ASK","N")</f>
        <v>6185</v>
      </c>
      <c r="F82" s="250" cm="1">
        <f t="array" ref="F82">_xll.PrecioBD(D82,24,"VOLUME AMOUNT","N")</f>
        <v>179955955</v>
      </c>
      <c r="G82" s="94" cm="1">
        <f t="array" ref="G82">_xll.PrecioBD(D82,24,"IMBALANCE","N")</f>
        <v>4.7999999999999996E-3</v>
      </c>
      <c r="J82" s="92" t="s">
        <v>6028</v>
      </c>
      <c r="K82" s="93" cm="1">
        <f t="array" ref="K82">_xll.PrecioBD(J82,24,"ASK","N")</f>
        <v>19.899999999999999</v>
      </c>
      <c r="L82" s="93" cm="1">
        <f t="array" ref="L82">_xll.PrecioBD(J82,24,"VOLUME AMOUNT","N")</f>
        <v>8639619.1999999993</v>
      </c>
      <c r="M82" s="354" cm="1">
        <f t="array" ref="M82">_xll.PrecioBD(J82,24,"IMBALANCE","N")</f>
        <v>-9.9000000000000008E-3</v>
      </c>
      <c r="N82" s="71"/>
      <c r="O82" s="71"/>
      <c r="P82" s="71"/>
      <c r="Q82" s="71"/>
      <c r="R82" s="71"/>
      <c r="S82" s="71"/>
      <c r="T82" s="71"/>
      <c r="U82" s="278">
        <f t="shared" si="10"/>
        <v>46119</v>
      </c>
      <c r="V82" s="279">
        <f t="shared" si="12"/>
        <v>1642.0264978689042</v>
      </c>
      <c r="W82" s="71"/>
    </row>
    <row r="83" spans="4:23">
      <c r="D83" s="249" t="s">
        <v>392</v>
      </c>
      <c r="E83" s="250" cm="1">
        <f t="array" ref="E83">_xll.PrecioBD(D83,24,"ASK","N")</f>
        <v>1858</v>
      </c>
      <c r="F83" s="250" cm="1">
        <f t="array" ref="F83">_xll.PrecioBD(D83,24,"VOLUME AMOUNT","N")</f>
        <v>167422327</v>
      </c>
      <c r="G83" s="94" cm="1">
        <f t="array" ref="G83">_xll.PrecioBD(D83,24,"IMBALANCE","N")</f>
        <v>-7.4000000000000003E-3</v>
      </c>
      <c r="J83" s="92" t="s">
        <v>5990</v>
      </c>
      <c r="K83" s="93" cm="1">
        <f t="array" ref="K83">_xll.PrecioBD(J83,24,"ASK","N")</f>
        <v>488</v>
      </c>
      <c r="L83" s="93" cm="1">
        <f t="array" ref="L83">_xll.PrecioBD(J83,24,"VOLUME AMOUNT","N")</f>
        <v>79231818</v>
      </c>
      <c r="M83" s="167" cm="1">
        <f t="array" ref="M83">_xll.PrecioBD(J83,24,"IMBALANCE","N")</f>
        <v>-1.01E-2</v>
      </c>
      <c r="N83" s="71"/>
      <c r="O83" s="71"/>
      <c r="P83" s="71"/>
      <c r="Q83" s="71"/>
      <c r="R83" s="71"/>
      <c r="S83" s="71"/>
      <c r="T83" s="71"/>
      <c r="U83" s="278">
        <f t="shared" si="10"/>
        <v>46120</v>
      </c>
      <c r="V83" s="279">
        <f t="shared" si="12"/>
        <v>1643.0272887323592</v>
      </c>
      <c r="W83" s="71"/>
    </row>
    <row r="84" spans="4:23">
      <c r="D84" s="249" t="s">
        <v>173</v>
      </c>
      <c r="E84" s="250" cm="1">
        <f t="array" ref="E84">_xll.PrecioBD(D84,24,"ASK","N")</f>
        <v>98300</v>
      </c>
      <c r="F84" s="250" cm="1">
        <f t="array" ref="F84">_xll.PrecioBD(D84,24,"VOLUME AMOUNT","N")</f>
        <v>161777000</v>
      </c>
      <c r="G84" s="94" cm="1">
        <f t="array" ref="G84">_xll.PrecioBD(D84,24,"IMBALANCE","N")</f>
        <v>-2.64E-2</v>
      </c>
      <c r="J84" s="92" t="s">
        <v>5996</v>
      </c>
      <c r="K84" s="93" cm="1">
        <f t="array" ref="K84">_xll.PrecioBD(J84,24,"ASK","N")</f>
        <v>443</v>
      </c>
      <c r="L84" s="93" cm="1">
        <f t="array" ref="L84">_xll.PrecioBD(J84,24,"VOLUME AMOUNT","N")</f>
        <v>7147778</v>
      </c>
      <c r="M84" s="167" cm="1">
        <f t="array" ref="M84">_xll.PrecioBD(J84,24,"IMBALANCE","N")</f>
        <v>-1.11E-2</v>
      </c>
      <c r="N84" s="71"/>
      <c r="O84" s="71"/>
      <c r="P84" s="71"/>
      <c r="Q84" s="71"/>
      <c r="R84" s="71"/>
      <c r="S84" s="71"/>
      <c r="T84" s="71"/>
      <c r="U84" s="278">
        <f t="shared" si="10"/>
        <v>46121</v>
      </c>
      <c r="V84" s="279">
        <f t="shared" si="12"/>
        <v>1643.0271908602178</v>
      </c>
      <c r="W84" s="71"/>
    </row>
    <row r="85" spans="4:23">
      <c r="D85" s="249" t="s">
        <v>440</v>
      </c>
      <c r="E85" s="250" cm="1">
        <f t="array" ref="E85">_xll.PrecioBD(D85,24,"ASK","N")</f>
        <v>46740</v>
      </c>
      <c r="F85" s="250" cm="1">
        <f t="array" ref="F85">_xll.PrecioBD(D85,24,"VOLUME AMOUNT","N")</f>
        <v>161473625</v>
      </c>
      <c r="G85" s="94" cm="1">
        <f t="array" ref="G85">_xll.PrecioBD(D85,24,"IMBALANCE","N")</f>
        <v>-7.7100000000000002E-2</v>
      </c>
      <c r="J85" s="92" t="s">
        <v>5998</v>
      </c>
      <c r="K85" s="93" cm="1">
        <f t="array" ref="K85">_xll.PrecioBD(J85,24,"ASK","N")</f>
        <v>2595</v>
      </c>
      <c r="L85" s="93" cm="1">
        <f t="array" ref="L85">_xll.PrecioBD(J85,24,"VOLUME AMOUNT","N")</f>
        <v>10085670</v>
      </c>
      <c r="M85" s="354" cm="1">
        <f t="array" ref="M85">_xll.PrecioBD(J85,24,"IMBALANCE","N")</f>
        <v>-1.9300000000000001E-2</v>
      </c>
      <c r="N85" s="71"/>
      <c r="O85" s="71"/>
      <c r="P85" s="71"/>
      <c r="Q85" s="71"/>
      <c r="R85" s="71"/>
      <c r="S85" s="71"/>
      <c r="T85" s="71"/>
      <c r="U85" s="278">
        <f t="shared" si="10"/>
        <v>46122</v>
      </c>
      <c r="V85" s="279">
        <f t="shared" si="12"/>
        <v>1644.0279817236728</v>
      </c>
      <c r="W85" s="71"/>
    </row>
    <row r="86" spans="4:23">
      <c r="D86" s="249" t="s">
        <v>357</v>
      </c>
      <c r="E86" s="250" cm="1">
        <f t="array" ref="E86">_xll.PrecioBD(D86,24,"ASK","N")</f>
        <v>6770</v>
      </c>
      <c r="F86" s="250" cm="1">
        <f t="array" ref="F86">_xll.PrecioBD(D86,24,"VOLUME AMOUNT","N")</f>
        <v>160720440</v>
      </c>
      <c r="G86" s="94" cm="1">
        <f t="array" ref="G86">_xll.PrecioBD(D86,24,"IMBALANCE","N")</f>
        <v>-3.5700000000000003E-2</v>
      </c>
      <c r="J86" s="92" t="s">
        <v>6017</v>
      </c>
      <c r="K86" s="93" cm="1">
        <f t="array" ref="K86">_xll.PrecioBD(J86,24,"ASK","N")</f>
        <v>20.95</v>
      </c>
      <c r="L86" s="93" cm="1">
        <f t="array" ref="L86">_xll.PrecioBD(J86,24,"VOLUME AMOUNT","N")</f>
        <v>2018150</v>
      </c>
      <c r="M86" s="354" cm="1">
        <f t="array" ref="M86">_xll.PrecioBD(J86,24,"IMBALANCE","N")</f>
        <v>-1.1900000000000001E-2</v>
      </c>
      <c r="N86" s="71"/>
      <c r="O86" s="71"/>
      <c r="P86" s="71"/>
      <c r="Q86" s="71"/>
      <c r="R86" s="71"/>
      <c r="S86" s="71"/>
      <c r="T86" s="71"/>
      <c r="U86" s="278">
        <f t="shared" si="10"/>
        <v>46123</v>
      </c>
      <c r="V86" s="279">
        <f t="shared" si="12"/>
        <v>1644.0278838515314</v>
      </c>
      <c r="W86" s="71"/>
    </row>
    <row r="87" spans="4:23">
      <c r="D87" s="249" t="s">
        <v>197</v>
      </c>
      <c r="E87" s="250" cm="1">
        <f t="array" ref="E87">_xll.PrecioBD(D87,24,"ASK","N")</f>
        <v>34860</v>
      </c>
      <c r="F87" s="250" cm="1">
        <f t="array" ref="F87">_xll.PrecioBD(D87,24,"VOLUME AMOUNT","N")</f>
        <v>151970380</v>
      </c>
      <c r="G87" s="94" cm="1">
        <f t="array" ref="G87">_xll.PrecioBD(D87,24,"IMBALANCE","N")</f>
        <v>-6.7999999999999996E-3</v>
      </c>
      <c r="J87" s="92" t="s">
        <v>6014</v>
      </c>
      <c r="K87" s="93" cm="1">
        <f t="array" ref="K87">_xll.PrecioBD(J87,24,"ASK","N")</f>
        <v>785</v>
      </c>
      <c r="L87" s="93" cm="1">
        <f t="array" ref="L87">_xll.PrecioBD(J87,24,"VOLUME AMOUNT","N")</f>
        <v>49969305.5</v>
      </c>
      <c r="M87" s="354" cm="1">
        <f t="array" ref="M87">_xll.PrecioBD(J87,24,"IMBALANCE","N")</f>
        <v>-1.38E-2</v>
      </c>
      <c r="N87" s="71"/>
      <c r="O87" s="71"/>
      <c r="P87" s="71"/>
      <c r="Q87" s="71"/>
      <c r="R87" s="71"/>
      <c r="S87" s="71"/>
      <c r="T87" s="71"/>
      <c r="U87" s="278">
        <f t="shared" si="10"/>
        <v>46124</v>
      </c>
      <c r="V87" s="279">
        <f t="shared" si="12"/>
        <v>1645.0286747149864</v>
      </c>
      <c r="W87" s="71"/>
    </row>
    <row r="88" spans="4:23">
      <c r="D88" s="249" t="s">
        <v>188</v>
      </c>
      <c r="E88" s="250" cm="1">
        <f t="array" ref="E88">_xll.PrecioBD(D88,24,"ASK","N")</f>
        <v>6075</v>
      </c>
      <c r="F88" s="250" cm="1">
        <f t="array" ref="F88">_xll.PrecioBD(D88,24,"VOLUME AMOUNT","N")</f>
        <v>144772425</v>
      </c>
      <c r="G88" s="94" cm="1">
        <f t="array" ref="G88">_xll.PrecioBD(D88,24,"IMBALANCE","N")</f>
        <v>-8.9999999999999993E-3</v>
      </c>
      <c r="J88" s="92" t="s">
        <v>6000</v>
      </c>
      <c r="K88" s="93" cm="1">
        <f t="array" ref="K88">_xll.PrecioBD(J88,24,"ASK","N")</f>
        <v>1800</v>
      </c>
      <c r="L88" s="93" cm="1">
        <f t="array" ref="L88">_xll.PrecioBD(J88,24,"VOLUME AMOUNT","N")</f>
        <v>36130555</v>
      </c>
      <c r="M88" s="167" cm="1">
        <f t="array" ref="M88">_xll.PrecioBD(J88,24,"IMBALANCE","N")</f>
        <v>2.7000000000000001E-3</v>
      </c>
      <c r="N88" s="71"/>
      <c r="O88" s="71"/>
      <c r="P88" s="71"/>
      <c r="Q88" s="71"/>
      <c r="R88" s="71"/>
      <c r="S88" s="71"/>
      <c r="T88" s="71"/>
      <c r="U88" s="278">
        <f t="shared" si="10"/>
        <v>46125</v>
      </c>
      <c r="V88" s="279">
        <f t="shared" si="12"/>
        <v>1645.028576842845</v>
      </c>
      <c r="W88" s="71"/>
    </row>
    <row r="89" spans="4:23">
      <c r="D89" s="249" t="s">
        <v>179</v>
      </c>
      <c r="E89" s="250" cm="1">
        <f t="array" ref="E89">_xll.PrecioBD(D89,24,"ASK","N")</f>
        <v>4622.5</v>
      </c>
      <c r="F89" s="250" cm="1">
        <f t="array" ref="F89">_xll.PrecioBD(D89,24,"VOLUME AMOUNT","N")</f>
        <v>139259772.5</v>
      </c>
      <c r="G89" s="94" cm="1">
        <f t="array" ref="G89">_xll.PrecioBD(D89,24,"IMBALANCE","N")</f>
        <v>-4.4600000000000001E-2</v>
      </c>
      <c r="J89" s="92" t="s">
        <v>6019</v>
      </c>
      <c r="K89" s="93" cm="1">
        <f t="array" ref="K89">_xll.PrecioBD(J89,24,"ASK","N")</f>
        <v>27500</v>
      </c>
      <c r="L89" s="93" cm="1">
        <f t="array" ref="L89">_xll.PrecioBD(J89,24,"VOLUME AMOUNT","N")</f>
        <v>8102700</v>
      </c>
      <c r="M89" s="354" cm="1">
        <f t="array" ref="M89">_xll.PrecioBD(J89,24,"IMBALANCE","N")</f>
        <v>-1.6199999999999999E-2</v>
      </c>
      <c r="N89" s="71"/>
      <c r="O89" s="71"/>
      <c r="P89" s="71"/>
      <c r="Q89" s="71"/>
      <c r="R89" s="71"/>
      <c r="S89" s="71"/>
      <c r="T89" s="71"/>
      <c r="U89" s="278">
        <f t="shared" si="10"/>
        <v>46126</v>
      </c>
      <c r="V89" s="279">
        <f t="shared" si="12"/>
        <v>1646.0293677063</v>
      </c>
      <c r="W89" s="71"/>
    </row>
    <row r="90" spans="4:23">
      <c r="D90" s="249" t="s">
        <v>536</v>
      </c>
      <c r="E90" s="250" cm="1">
        <f t="array" ref="E90">_xll.PrecioBD(D90,24,"ASK","N")</f>
        <v>26940</v>
      </c>
      <c r="F90" s="250" cm="1">
        <f t="array" ref="F90">_xll.PrecioBD(D90,24,"VOLUME AMOUNT","N")</f>
        <v>136930500</v>
      </c>
      <c r="G90" s="94" cm="1">
        <f t="array" ref="G90">_xll.PrecioBD(D90,24,"IMBALANCE","N")</f>
        <v>-3.7000000000000002E-3</v>
      </c>
      <c r="J90" s="92" t="s">
        <v>5993</v>
      </c>
      <c r="K90" s="93" cm="1">
        <f t="array" ref="K90">_xll.PrecioBD(J90,24,"ASK","N")</f>
        <v>594</v>
      </c>
      <c r="L90" s="93" cm="1">
        <f t="array" ref="L90">_xll.PrecioBD(J90,24,"VOLUME AMOUNT","N")</f>
        <v>6211827</v>
      </c>
      <c r="M90" s="167" cm="1">
        <f t="array" ref="M90">_xll.PrecioBD(J90,24,"IMBALANCE","N")</f>
        <v>-2.7E-2</v>
      </c>
      <c r="N90" s="71"/>
      <c r="O90" s="71"/>
      <c r="P90" s="71"/>
      <c r="Q90" s="71"/>
      <c r="R90" s="71"/>
      <c r="S90" s="71"/>
      <c r="T90" s="71"/>
      <c r="U90" s="278">
        <f t="shared" si="10"/>
        <v>46127</v>
      </c>
      <c r="V90" s="279">
        <f t="shared" si="12"/>
        <v>1646.0292698341586</v>
      </c>
      <c r="W90" s="71"/>
    </row>
    <row r="91" spans="4:23">
      <c r="D91" s="249" t="s">
        <v>437</v>
      </c>
      <c r="E91" s="250" cm="1">
        <f t="array" ref="E91">_xll.PrecioBD(D91,24,"ASK","N")</f>
        <v>18310</v>
      </c>
      <c r="F91" s="250" cm="1">
        <f t="array" ref="F91">_xll.PrecioBD(D91,24,"VOLUME AMOUNT","N")</f>
        <v>135094970</v>
      </c>
      <c r="G91" s="94" cm="1">
        <f t="array" ref="G91">_xll.PrecioBD(D91,24,"IMBALANCE","N")</f>
        <v>-3.8E-3</v>
      </c>
      <c r="J91" s="92" t="s">
        <v>6018</v>
      </c>
      <c r="K91" s="93" cm="1">
        <f t="array" ref="K91">_xll.PrecioBD(J91,24,"ASK","N")</f>
        <v>21000</v>
      </c>
      <c r="L91" s="93" cm="1">
        <f t="array" ref="L91">_xll.PrecioBD(J91,24,"VOLUME AMOUNT","N")</f>
        <v>18535675</v>
      </c>
      <c r="M91" s="354" cm="1">
        <f t="array" ref="M91">_xll.PrecioBD(J91,24,"IMBALANCE","N")</f>
        <v>-1.7600000000000001E-2</v>
      </c>
      <c r="N91" s="71"/>
      <c r="O91" s="71"/>
      <c r="P91" s="71"/>
      <c r="Q91" s="71"/>
      <c r="R91" s="71"/>
      <c r="S91" s="71"/>
      <c r="T91" s="71"/>
      <c r="U91" s="278">
        <f t="shared" si="10"/>
        <v>46128</v>
      </c>
      <c r="V91" s="279">
        <f t="shared" si="12"/>
        <v>1647.0300606976136</v>
      </c>
      <c r="W91" s="71"/>
    </row>
    <row r="92" spans="4:23">
      <c r="D92" s="249" t="s">
        <v>494</v>
      </c>
      <c r="E92" s="250" cm="1">
        <f t="array" ref="E92">_xll.PrecioBD(D92,24,"ASK","N")</f>
        <v>7970</v>
      </c>
      <c r="F92" s="250" cm="1">
        <f t="array" ref="F92">_xll.PrecioBD(D92,24,"VOLUME AMOUNT","N")</f>
        <v>132101655</v>
      </c>
      <c r="G92" s="94" cm="1">
        <f t="array" ref="G92">_xll.PrecioBD(D92,24,"IMBALANCE","N")</f>
        <v>0</v>
      </c>
      <c r="J92" s="92" t="s">
        <v>6026</v>
      </c>
      <c r="K92" s="93" cm="1">
        <f t="array" ref="K92">_xll.PrecioBD(J92,24,"ASK","N")</f>
        <v>221.5</v>
      </c>
      <c r="L92" s="93" cm="1">
        <f t="array" ref="L92">_xll.PrecioBD(J92,24,"VOLUME AMOUNT","N")</f>
        <v>1103906</v>
      </c>
      <c r="M92" s="354" cm="1">
        <f t="array" ref="M92">_xll.PrecioBD(J92,24,"IMBALANCE","N")</f>
        <v>-1.8100000000000002E-2</v>
      </c>
      <c r="N92" s="71"/>
      <c r="O92" s="71"/>
      <c r="P92" s="71"/>
      <c r="Q92" s="71"/>
      <c r="R92" s="71"/>
      <c r="S92" s="71"/>
      <c r="T92" s="71"/>
      <c r="U92" s="278">
        <f t="shared" si="10"/>
        <v>46129</v>
      </c>
      <c r="V92" s="279">
        <f t="shared" si="12"/>
        <v>1647.0299628254722</v>
      </c>
      <c r="W92" s="71"/>
    </row>
    <row r="93" spans="4:23">
      <c r="D93" s="249" t="s">
        <v>396</v>
      </c>
      <c r="E93" s="250" cm="1">
        <f t="array" ref="E93">_xll.PrecioBD(D93,24,"ASK","N")</f>
        <v>67875</v>
      </c>
      <c r="F93" s="250" cm="1">
        <f t="array" ref="F93">_xll.PrecioBD(D93,24,"VOLUME AMOUNT","N")</f>
        <v>128274950</v>
      </c>
      <c r="G93" s="94" cm="1">
        <f t="array" ref="G93">_xll.PrecioBD(D93,24,"IMBALANCE","N")</f>
        <v>3.3E-3</v>
      </c>
      <c r="J93" s="92" t="s">
        <v>5994</v>
      </c>
      <c r="K93" s="93" cm="1">
        <f t="array" ref="K93">_xll.PrecioBD(J93,24,"ASK","N")</f>
        <v>4795</v>
      </c>
      <c r="L93" s="93" cm="1">
        <f t="array" ref="L93">_xll.PrecioBD(J93,24,"VOLUME AMOUNT","N")</f>
        <v>7484275</v>
      </c>
      <c r="M93" s="167" cm="1">
        <f t="array" ref="M93">_xll.PrecioBD(J93,24,"IMBALANCE","N")</f>
        <v>-1.89E-2</v>
      </c>
      <c r="N93" s="71"/>
      <c r="O93" s="71"/>
      <c r="P93" s="71"/>
      <c r="Q93" s="71"/>
      <c r="R93" s="71"/>
      <c r="S93" s="71"/>
      <c r="T93" s="71"/>
      <c r="U93" s="278">
        <f t="shared" si="10"/>
        <v>46130</v>
      </c>
      <c r="V93" s="279">
        <f t="shared" si="12"/>
        <v>1648.0307536889272</v>
      </c>
      <c r="W93" s="71"/>
    </row>
    <row r="94" spans="4:23">
      <c r="D94" s="249" t="s">
        <v>320</v>
      </c>
      <c r="E94" s="250" cm="1">
        <f t="array" ref="E94">_xll.PrecioBD(D94,24,"ASK","N")</f>
        <v>8005</v>
      </c>
      <c r="F94" s="250" cm="1">
        <f t="array" ref="F94">_xll.PrecioBD(D94,24,"VOLUME AMOUNT","N")</f>
        <v>126732820</v>
      </c>
      <c r="G94" s="94" cm="1">
        <f t="array" ref="G94">_xll.PrecioBD(D94,24,"IMBALANCE","N")</f>
        <v>0</v>
      </c>
      <c r="J94" s="92" t="s">
        <v>6023</v>
      </c>
      <c r="K94" s="93" cm="1">
        <f t="array" ref="K94">_xll.PrecioBD(J94,24,"ASK","N")</f>
        <v>1300</v>
      </c>
      <c r="L94" s="93" cm="1">
        <f t="array" ref="L94">_xll.PrecioBD(J94,24,"VOLUME AMOUNT","N")</f>
        <v>2569640</v>
      </c>
      <c r="M94" s="354" cm="1">
        <f t="array" ref="M94">_xll.PrecioBD(J94,24,"IMBALANCE","N")</f>
        <v>-2.29E-2</v>
      </c>
      <c r="O94" s="71"/>
      <c r="P94" s="71"/>
      <c r="Q94" s="71"/>
      <c r="R94" s="71"/>
      <c r="S94" s="71"/>
      <c r="T94" s="71"/>
      <c r="U94" s="278">
        <f t="shared" si="10"/>
        <v>46131</v>
      </c>
      <c r="V94" s="279">
        <f t="shared" si="12"/>
        <v>1648.0306558167858</v>
      </c>
      <c r="W94" s="71"/>
    </row>
    <row r="95" spans="4:23">
      <c r="D95" s="249" t="s">
        <v>434</v>
      </c>
      <c r="E95" s="250" cm="1">
        <f t="array" ref="E95">_xll.PrecioBD(D95,24,"ASK","N")</f>
        <v>18660</v>
      </c>
      <c r="F95" s="250" cm="1">
        <f t="array" ref="F95">_xll.PrecioBD(D95,24,"VOLUME AMOUNT","N")</f>
        <v>154376010</v>
      </c>
      <c r="G95" s="94" cm="1">
        <f t="array" ref="G95">_xll.PrecioBD(D95,24,"IMBALANCE","N")</f>
        <v>-2.3E-2</v>
      </c>
      <c r="J95" s="92" t="s">
        <v>5978</v>
      </c>
      <c r="K95" s="93" cm="1">
        <f t="array" ref="K95">_xll.PrecioBD(J95,24,"ASK","N")</f>
        <v>3100</v>
      </c>
      <c r="L95" s="93" cm="1">
        <f t="array" ref="L95">_xll.PrecioBD(J95,24,"VOLUME AMOUNT","N")</f>
        <v>196064715</v>
      </c>
      <c r="M95" s="167" cm="1">
        <f t="array" ref="M95">_xll.PrecioBD(J95,24,"IMBALANCE","N")</f>
        <v>-3.8699999999999998E-2</v>
      </c>
      <c r="O95" s="71"/>
      <c r="P95" s="71"/>
      <c r="Q95" s="71"/>
      <c r="R95" s="71"/>
      <c r="S95" s="71"/>
      <c r="T95" s="71"/>
      <c r="U95" s="278">
        <f t="shared" si="10"/>
        <v>46132</v>
      </c>
      <c r="V95" s="279">
        <f t="shared" si="12"/>
        <v>1649.0314466802408</v>
      </c>
      <c r="W95" s="71"/>
    </row>
    <row r="96" spans="4:23">
      <c r="D96" s="249" t="s">
        <v>151</v>
      </c>
      <c r="E96" s="250" cm="1">
        <f t="array" ref="E96">_xll.PrecioBD(D96,24,"ASK","N")</f>
        <v>8545</v>
      </c>
      <c r="F96" s="250" cm="1">
        <f t="array" ref="F96">_xll.PrecioBD(D96,24,"VOLUME AMOUNT","N")</f>
        <v>123528280</v>
      </c>
      <c r="G96" s="94" cm="1">
        <f t="array" ref="G96">_xll.PrecioBD(D96,24,"IMBALANCE","N")</f>
        <v>-1.66E-2</v>
      </c>
      <c r="J96" s="172" t="s">
        <v>6016</v>
      </c>
      <c r="K96" s="170" cm="1">
        <f t="array" ref="K96">_xll.PrecioBD(J96,24,"ASK","N")</f>
        <v>822.5</v>
      </c>
      <c r="L96" s="170" cm="1">
        <f t="array" ref="L96">_xll.PrecioBD(J96,24,"VOLUME AMOUNT","N")</f>
        <v>6575062.5</v>
      </c>
      <c r="M96" s="355" cm="1">
        <f t="array" ref="M96">_xll.PrecioBD(J96,24,"IMBALANCE","N")</f>
        <v>-4.4699999999999997E-2</v>
      </c>
      <c r="O96" s="71"/>
      <c r="P96" s="71"/>
      <c r="Q96" s="71"/>
      <c r="R96" s="71"/>
      <c r="S96" s="71"/>
      <c r="T96" s="71"/>
      <c r="U96" s="278">
        <f t="shared" si="10"/>
        <v>46133</v>
      </c>
      <c r="V96" s="279">
        <f t="shared" si="12"/>
        <v>1649.0313488080994</v>
      </c>
      <c r="W96" s="71"/>
    </row>
    <row r="97" spans="4:23">
      <c r="D97" s="249" t="s">
        <v>285</v>
      </c>
      <c r="E97" s="250" cm="1">
        <f t="array" ref="E97">_xll.PrecioBD(D97,24,"ASK","N")</f>
        <v>12470</v>
      </c>
      <c r="F97" s="250" cm="1">
        <f t="array" ref="F97">_xll.PrecioBD(D97,24,"VOLUME AMOUNT","N")</f>
        <v>118308390</v>
      </c>
      <c r="G97" s="94" cm="1">
        <f t="array" ref="G97">_xll.PrecioBD(D97,24,"IMBALANCE","N")</f>
        <v>-2.5899999999999999E-2</v>
      </c>
      <c r="J97" s="92"/>
      <c r="K97" s="93"/>
      <c r="L97" s="93"/>
      <c r="M97" s="354"/>
      <c r="O97" s="71"/>
      <c r="P97" s="71"/>
      <c r="Q97" s="71"/>
      <c r="R97" s="71"/>
      <c r="S97" s="71"/>
      <c r="T97" s="71"/>
      <c r="U97" s="278">
        <f t="shared" si="10"/>
        <v>46134</v>
      </c>
      <c r="V97" s="279">
        <f t="shared" si="12"/>
        <v>1650.0321396715544</v>
      </c>
      <c r="W97" s="71"/>
    </row>
    <row r="98" spans="4:23">
      <c r="D98" s="249" t="s">
        <v>484</v>
      </c>
      <c r="E98" s="250" cm="1">
        <f t="array" ref="E98">_xll.PrecioBD(D98,24,"ASK","N")</f>
        <v>16480</v>
      </c>
      <c r="F98" s="250" cm="1">
        <f t="array" ref="F98">_xll.PrecioBD(D98,24,"VOLUME AMOUNT","N")</f>
        <v>114937740</v>
      </c>
      <c r="G98" s="94" cm="1">
        <f t="array" ref="G98">_xll.PrecioBD(D98,24,"IMBALANCE","N")</f>
        <v>-4.1999999999999997E-3</v>
      </c>
      <c r="J98" s="92"/>
      <c r="K98" s="93"/>
      <c r="L98" s="93"/>
      <c r="M98" s="354"/>
      <c r="O98" s="71"/>
      <c r="P98" s="71"/>
      <c r="Q98" s="71"/>
      <c r="R98" s="71"/>
      <c r="S98" s="71"/>
      <c r="T98" s="71"/>
      <c r="U98" s="278">
        <f t="shared" si="10"/>
        <v>46135</v>
      </c>
      <c r="V98" s="279">
        <f t="shared" si="12"/>
        <v>1650.032041799413</v>
      </c>
      <c r="W98" s="71"/>
    </row>
    <row r="99" spans="4:23">
      <c r="D99" s="249" t="s">
        <v>367</v>
      </c>
      <c r="E99" s="250" cm="1">
        <f t="array" ref="E99">_xll.PrecioBD(D99,24,"ASK","N")</f>
        <v>20050</v>
      </c>
      <c r="F99" s="250" cm="1">
        <f t="array" ref="F99">_xll.PrecioBD(D99,24,"VOLUME AMOUNT","N")</f>
        <v>110947950</v>
      </c>
      <c r="G99" s="94" cm="1">
        <f t="array" ref="G99">_xll.PrecioBD(D99,24,"IMBALANCE","N")</f>
        <v>3.0000000000000001E-3</v>
      </c>
      <c r="J99" s="92"/>
      <c r="K99" s="93"/>
      <c r="L99" s="93"/>
      <c r="M99" s="354"/>
      <c r="O99" s="71"/>
      <c r="P99" s="71"/>
      <c r="Q99" s="71"/>
      <c r="R99" s="71"/>
      <c r="S99" s="71"/>
      <c r="T99" s="71"/>
      <c r="U99" s="278">
        <f t="shared" si="10"/>
        <v>46136</v>
      </c>
      <c r="V99" s="279">
        <f t="shared" si="12"/>
        <v>1651.032832662868</v>
      </c>
      <c r="W99" s="71"/>
    </row>
    <row r="100" spans="4:23">
      <c r="D100" s="249" t="s">
        <v>212</v>
      </c>
      <c r="E100" s="250" cm="1">
        <f t="array" ref="E100">_xll.PrecioBD(D100,24,"ASK","N")</f>
        <v>2937.5</v>
      </c>
      <c r="F100" s="250" cm="1">
        <f t="array" ref="F100">_xll.PrecioBD(D100,24,"VOLUME AMOUNT","N")</f>
        <v>106711502.5</v>
      </c>
      <c r="G100" s="94" cm="1">
        <f t="array" ref="G100">_xll.PrecioBD(D100,24,"IMBALANCE","N")</f>
        <v>-7.0099999999999996E-2</v>
      </c>
      <c r="J100" s="92"/>
      <c r="K100" s="93"/>
      <c r="L100" s="93"/>
      <c r="M100" s="354"/>
      <c r="O100" s="71"/>
      <c r="P100" s="71"/>
      <c r="Q100" s="71"/>
      <c r="R100" s="71"/>
      <c r="S100" s="71"/>
      <c r="T100" s="71"/>
      <c r="U100" s="278">
        <f t="shared" si="10"/>
        <v>46137</v>
      </c>
      <c r="V100" s="279">
        <f t="shared" si="12"/>
        <v>1651.0327347907266</v>
      </c>
      <c r="W100" s="71"/>
    </row>
    <row r="101" spans="4:23">
      <c r="D101" s="249" t="s">
        <v>541</v>
      </c>
      <c r="E101" s="250" cm="1">
        <f t="array" ref="E101">_xll.PrecioBD(D101,24,"ASK","N")</f>
        <v>10830</v>
      </c>
      <c r="F101" s="250" cm="1">
        <f t="array" ref="F101">_xll.PrecioBD(D101,24,"VOLUME AMOUNT","N")</f>
        <v>106240550</v>
      </c>
      <c r="G101" s="94" cm="1">
        <f t="array" ref="G101">_xll.PrecioBD(D101,24,"IMBALANCE","N")</f>
        <v>2.3599999999999999E-2</v>
      </c>
      <c r="J101" s="92"/>
      <c r="K101" s="93"/>
      <c r="L101" s="93"/>
      <c r="M101" s="354"/>
      <c r="O101" s="71"/>
      <c r="P101" s="71"/>
      <c r="Q101" s="71"/>
      <c r="R101" s="71"/>
      <c r="S101" s="71"/>
      <c r="T101" s="71"/>
      <c r="U101" s="278">
        <f t="shared" si="10"/>
        <v>46138</v>
      </c>
      <c r="V101" s="279">
        <f t="shared" si="12"/>
        <v>1652.0335256541816</v>
      </c>
      <c r="W101" s="71"/>
    </row>
    <row r="102" spans="4:23">
      <c r="D102" s="249" t="s">
        <v>403</v>
      </c>
      <c r="E102" s="250" cm="1">
        <f t="array" ref="E102">_xll.PrecioBD(D102,24,"ASK","N")</f>
        <v>3452.5</v>
      </c>
      <c r="F102" s="250" cm="1">
        <f t="array" ref="F102">_xll.PrecioBD(D102,24,"VOLUME AMOUNT","N")</f>
        <v>105360062.5</v>
      </c>
      <c r="G102" s="94" cm="1">
        <f t="array" ref="G102">_xll.PrecioBD(D102,24,"IMBALANCE","N")</f>
        <v>-1.6299999999999999E-2</v>
      </c>
      <c r="J102" s="92"/>
      <c r="K102" s="93"/>
      <c r="L102" s="93"/>
      <c r="M102" s="354"/>
      <c r="O102" s="71"/>
      <c r="P102" s="71"/>
      <c r="Q102" s="71"/>
      <c r="R102" s="71"/>
      <c r="S102" s="71"/>
      <c r="T102" s="71"/>
      <c r="U102" s="278">
        <f t="shared" si="10"/>
        <v>46139</v>
      </c>
      <c r="V102" s="279">
        <f t="shared" si="12"/>
        <v>1652.0334277820402</v>
      </c>
      <c r="W102" s="71"/>
    </row>
    <row r="103" spans="4:23">
      <c r="D103" s="249" t="s">
        <v>429</v>
      </c>
      <c r="E103" s="250" cm="1">
        <f t="array" ref="E103">_xll.PrecioBD(D103,24,"ASK","N")</f>
        <v>32660</v>
      </c>
      <c r="F103" s="250" cm="1">
        <f t="array" ref="F103">_xll.PrecioBD(D103,24,"VOLUME AMOUNT","N")</f>
        <v>102732520</v>
      </c>
      <c r="G103" s="94" cm="1">
        <f t="array" ref="G103">_xll.PrecioBD(D103,24,"IMBALANCE","N")</f>
        <v>1.6799999999999999E-2</v>
      </c>
      <c r="J103" s="92"/>
      <c r="K103" s="93"/>
      <c r="L103" s="93"/>
      <c r="M103" s="354"/>
      <c r="O103" s="71"/>
      <c r="U103" s="278">
        <f t="shared" si="10"/>
        <v>46140</v>
      </c>
      <c r="V103" s="279">
        <f t="shared" si="12"/>
        <v>1653.0342186454952</v>
      </c>
    </row>
    <row r="104" spans="4:23">
      <c r="D104" s="249" t="s">
        <v>177</v>
      </c>
      <c r="E104" s="250" cm="1">
        <f t="array" ref="E104">_xll.PrecioBD(D104,24,"ASK","N")</f>
        <v>14390</v>
      </c>
      <c r="F104" s="250" cm="1">
        <f t="array" ref="F104">_xll.PrecioBD(D104,24,"VOLUME AMOUNT","N")</f>
        <v>101493310</v>
      </c>
      <c r="G104" s="94" cm="1">
        <f t="array" ref="G104">_xll.PrecioBD(D104,24,"IMBALANCE","N")</f>
        <v>-1.37E-2</v>
      </c>
      <c r="J104" s="92"/>
      <c r="K104" s="93"/>
      <c r="L104" s="93"/>
      <c r="M104" s="354"/>
      <c r="U104" s="278">
        <f t="shared" si="10"/>
        <v>46141</v>
      </c>
      <c r="V104" s="279">
        <f t="shared" si="12"/>
        <v>1653.0341207733538</v>
      </c>
    </row>
    <row r="105" spans="4:23">
      <c r="D105" s="249" t="s">
        <v>323</v>
      </c>
      <c r="E105" s="250" cm="1">
        <f t="array" ref="E105">_xll.PrecioBD(D105,24,"ASK","N")</f>
        <v>11430</v>
      </c>
      <c r="F105" s="250" cm="1">
        <f t="array" ref="F105">_xll.PrecioBD(D105,24,"VOLUME AMOUNT","N")</f>
        <v>96877400</v>
      </c>
      <c r="G105" s="94" cm="1">
        <f t="array" ref="G105">_xll.PrecioBD(D105,24,"IMBALANCE","N")</f>
        <v>-2.1299999999999999E-2</v>
      </c>
      <c r="J105" s="92"/>
      <c r="K105" s="93"/>
      <c r="L105" s="93"/>
      <c r="M105" s="354"/>
    </row>
    <row r="106" spans="4:23">
      <c r="D106" s="249" t="s">
        <v>233</v>
      </c>
      <c r="E106" s="250" cm="1">
        <f t="array" ref="E106">_xll.PrecioBD(D106,24,"ASK","N")</f>
        <v>33500</v>
      </c>
      <c r="F106" s="250" cm="1">
        <f t="array" ref="F106">_xll.PrecioBD(D106,24,"VOLUME AMOUNT","N")</f>
        <v>96488620</v>
      </c>
      <c r="G106" s="94" cm="1">
        <f t="array" ref="G106">_xll.PrecioBD(D106,24,"IMBALANCE","N")</f>
        <v>5.0000000000000001E-4</v>
      </c>
      <c r="J106" s="92"/>
      <c r="K106" s="93"/>
      <c r="L106" s="93"/>
      <c r="M106" s="354"/>
    </row>
    <row r="107" spans="4:23" ht="14.4" thickBot="1">
      <c r="D107" s="249" t="s">
        <v>439</v>
      </c>
      <c r="E107" s="250" cm="1">
        <f t="array" ref="E107">_xll.PrecioBD(D107,24,"ASK","N")</f>
        <v>3672.5</v>
      </c>
      <c r="F107" s="250" cm="1">
        <f t="array" ref="F107">_xll.PrecioBD(D107,24,"VOLUME AMOUNT","N")</f>
        <v>92035867.5</v>
      </c>
      <c r="G107" s="94" cm="1">
        <f t="array" ref="G107">_xll.PrecioBD(D107,24,"IMBALANCE","N")</f>
        <v>-6.9599999999999995E-2</v>
      </c>
      <c r="I107" s="203" t="s">
        <v>6214</v>
      </c>
      <c r="J107" s="91" t="s">
        <v>3</v>
      </c>
      <c r="K107" s="95" t="s">
        <v>5</v>
      </c>
      <c r="L107" s="95" t="s">
        <v>99</v>
      </c>
      <c r="M107" s="96" t="s">
        <v>564</v>
      </c>
      <c r="N107" s="69" t="s">
        <v>6215</v>
      </c>
      <c r="O107" s="69" t="s">
        <v>6216</v>
      </c>
    </row>
    <row r="108" spans="4:23" ht="14.4" thickBot="1">
      <c r="D108" s="249" t="s">
        <v>469</v>
      </c>
      <c r="E108" s="250" cm="1">
        <f t="array" ref="E108">_xll.PrecioBD(D108,24,"ASK","N")</f>
        <v>8460</v>
      </c>
      <c r="F108" s="250" cm="1">
        <f t="array" ref="F108">_xll.PrecioBD(D108,24,"VOLUME AMOUNT","N")</f>
        <v>87962620</v>
      </c>
      <c r="G108" s="94" cm="1">
        <f t="array" ref="G108">_xll.PrecioBD(D108,24,"IMBALANCE","N")</f>
        <v>-3.2099999999999997E-2</v>
      </c>
      <c r="J108" s="367" t="s">
        <v>279</v>
      </c>
      <c r="K108" s="93" cm="1">
        <f t="array" ref="K108">_xll.PrecioBD(J108,24,"ASK","N")</f>
        <v>20620</v>
      </c>
      <c r="L108" s="93" cm="1">
        <f t="array" ref="L108">_xll.PrecioBD(J108,24,"VOLUME AMOUNT","N")</f>
        <v>30235230</v>
      </c>
      <c r="M108" s="364" cm="1">
        <f t="array" ref="M108">_xll.PrecioBD(J108,24,"IMBALANCE","N")</f>
        <v>1.8200000000000001E-2</v>
      </c>
      <c r="N108" s="365">
        <v>4.2000000000000003E-2</v>
      </c>
      <c r="O108" s="366">
        <f>Tabla68[[#This Row],[Columna1]]*Tabla68[[#This Row],[Variación]]</f>
        <v>7.6440000000000004E-4</v>
      </c>
    </row>
    <row r="109" spans="4:23" ht="14.4" thickBot="1">
      <c r="D109" s="249" t="s">
        <v>315</v>
      </c>
      <c r="E109" s="250" cm="1">
        <f t="array" ref="E109">_xll.PrecioBD(D109,24,"ASK","N")</f>
        <v>25840</v>
      </c>
      <c r="F109" s="250" cm="1">
        <f t="array" ref="F109">_xll.PrecioBD(D109,24,"VOLUME AMOUNT","N")</f>
        <v>85028760</v>
      </c>
      <c r="G109" s="94" cm="1">
        <f t="array" ref="G109">_xll.PrecioBD(D109,24,"IMBALANCE","N")</f>
        <v>-4.65E-2</v>
      </c>
      <c r="I109" s="169"/>
      <c r="J109" s="368" t="s">
        <v>372</v>
      </c>
      <c r="K109" s="93" cm="1">
        <f t="array" ref="K109">_xll.PrecioBD(J109,24,"ASK","N")</f>
        <v>35540</v>
      </c>
      <c r="L109" s="93" cm="1">
        <f t="array" ref="L109">_xll.PrecioBD(J109,24,"VOLUME AMOUNT","N")</f>
        <v>17069620</v>
      </c>
      <c r="M109" s="363" cm="1">
        <f t="array" ref="M109">_xll.PrecioBD(J109,24,"IMBALANCE","N")</f>
        <v>1.37E-2</v>
      </c>
      <c r="N109" s="365">
        <v>4.2000000000000003E-2</v>
      </c>
      <c r="O109" s="366">
        <f>Tabla68[[#This Row],[Columna1]]*Tabla68[[#This Row],[Variación]]</f>
        <v>5.754E-4</v>
      </c>
    </row>
    <row r="110" spans="4:23" ht="14.4" thickBot="1">
      <c r="D110" s="249" t="s">
        <v>331</v>
      </c>
      <c r="E110" s="250" cm="1">
        <f t="array" ref="E110">_xll.PrecioBD(D110,24,"ASK","N")</f>
        <v>9095</v>
      </c>
      <c r="F110" s="250" cm="1">
        <f t="array" ref="F110">_xll.PrecioBD(D110,24,"VOLUME AMOUNT","N")</f>
        <v>84634925</v>
      </c>
      <c r="G110" s="94" cm="1">
        <f t="array" ref="G110">_xll.PrecioBD(D110,24,"IMBALANCE","N")</f>
        <v>-5.4000000000000003E-3</v>
      </c>
      <c r="J110" s="368" t="s">
        <v>489</v>
      </c>
      <c r="K110" s="93" cm="1">
        <f t="array" ref="K110">_xll.PrecioBD(J110,24,"ASK","N")</f>
        <v>23420</v>
      </c>
      <c r="L110" s="93" cm="1">
        <f t="array" ref="L110">_xll.PrecioBD(J110,24,"VOLUME AMOUNT","N")</f>
        <v>484759920</v>
      </c>
      <c r="M110" s="363" cm="1">
        <f t="array" ref="M110">_xll.PrecioBD(J110,24,"IMBALANCE","N")</f>
        <v>9.4000000000000004E-3</v>
      </c>
      <c r="N110" s="365">
        <v>4.2000000000000003E-2</v>
      </c>
      <c r="O110" s="366">
        <f>Tabla68[[#This Row],[Columna1]]*Tabla68[[#This Row],[Variación]]</f>
        <v>3.9480000000000006E-4</v>
      </c>
    </row>
    <row r="111" spans="4:23" ht="14.4" thickBot="1">
      <c r="D111" s="249" t="s">
        <v>281</v>
      </c>
      <c r="E111" s="250" cm="1">
        <f t="array" ref="E111">_xll.PrecioBD(D111,24,"ASK","N")</f>
        <v>31260</v>
      </c>
      <c r="F111" s="250" cm="1">
        <f t="array" ref="F111">_xll.PrecioBD(D111,24,"VOLUME AMOUNT","N")</f>
        <v>84207100</v>
      </c>
      <c r="G111" s="94" cm="1">
        <f t="array" ref="G111">_xll.PrecioBD(D111,24,"IMBALANCE","N")</f>
        <v>-2.4199999999999999E-2</v>
      </c>
      <c r="J111" s="368" t="s">
        <v>161</v>
      </c>
      <c r="K111" s="93" cm="1">
        <f t="array" ref="K111">_xll.PrecioBD(J111,24,"ASK","N")</f>
        <v>24540</v>
      </c>
      <c r="L111" s="93" cm="1">
        <f t="array" ref="L111">_xll.PrecioBD(J111,24,"VOLUME AMOUNT","N")</f>
        <v>33615640</v>
      </c>
      <c r="M111" s="364" cm="1">
        <f t="array" ref="M111">_xll.PrecioBD(J111,24,"IMBALANCE","N")</f>
        <v>7.4000000000000003E-3</v>
      </c>
      <c r="N111" s="365">
        <v>4.2000000000000003E-2</v>
      </c>
      <c r="O111" s="366">
        <f>Tabla68[[#This Row],[Columna1]]*Tabla68[[#This Row],[Variación]]</f>
        <v>3.1080000000000002E-4</v>
      </c>
    </row>
    <row r="112" spans="4:23" ht="14.4" thickBot="1">
      <c r="D112" s="249" t="s">
        <v>275</v>
      </c>
      <c r="E112" s="250" cm="1">
        <f t="array" ref="E112">_xll.PrecioBD(D112,24,"ASK","N")</f>
        <v>38500</v>
      </c>
      <c r="F112" s="250" cm="1">
        <f t="array" ref="F112">_xll.PrecioBD(D112,24,"VOLUME AMOUNT","N")</f>
        <v>83856120</v>
      </c>
      <c r="G112" s="94" cm="1">
        <f t="array" ref="G112">_xll.PrecioBD(D112,24,"IMBALANCE","N")</f>
        <v>-1.38E-2</v>
      </c>
      <c r="I112" s="225"/>
      <c r="J112" s="368" t="s">
        <v>450</v>
      </c>
      <c r="K112" s="93" cm="1">
        <f t="array" ref="K112">_xll.PrecioBD(J112,24,"ASK","N")</f>
        <v>25440</v>
      </c>
      <c r="L112" s="93" cm="1">
        <f t="array" ref="L112">_xll.PrecioBD(J112,24,"VOLUME AMOUNT","N")</f>
        <v>7124100</v>
      </c>
      <c r="M112" s="363" cm="1">
        <f t="array" ref="M112">_xll.PrecioBD(J112,24,"IMBALANCE","N")</f>
        <v>8.6999999999999994E-3</v>
      </c>
      <c r="N112" s="365">
        <v>4.2000000000000003E-2</v>
      </c>
      <c r="O112" s="366">
        <f>Tabla68[[#This Row],[Columna1]]*Tabla68[[#This Row],[Variación]]</f>
        <v>3.6539999999999999E-4</v>
      </c>
    </row>
    <row r="113" spans="4:15" ht="14.4" thickBot="1">
      <c r="D113" s="249" t="s">
        <v>226</v>
      </c>
      <c r="E113" s="250" cm="1">
        <f t="array" ref="E113">_xll.PrecioBD(D113,24,"ASK","N")</f>
        <v>16940</v>
      </c>
      <c r="F113" s="250" cm="1">
        <f t="array" ref="F113">_xll.PrecioBD(D113,24,"VOLUME AMOUNT","N")</f>
        <v>80378980</v>
      </c>
      <c r="G113" s="94" cm="1">
        <f t="array" ref="G113">_xll.PrecioBD(D113,24,"IMBALANCE","N")</f>
        <v>-1.0999999999999999E-2</v>
      </c>
      <c r="J113" s="368" t="s">
        <v>219</v>
      </c>
      <c r="K113" s="93" cm="1">
        <f t="array" ref="K113">_xll.PrecioBD(J113,24,"ASK","N")</f>
        <v>111450</v>
      </c>
      <c r="L113" s="93" cm="1">
        <f t="array" ref="L113">_xll.PrecioBD(J113,24,"VOLUME AMOUNT","N")</f>
        <v>999475</v>
      </c>
      <c r="M113" s="363" cm="1">
        <f t="array" ref="M113">_xll.PrecioBD(J113,24,"IMBALANCE","N")</f>
        <v>2.3999999999999998E-3</v>
      </c>
      <c r="N113" s="365">
        <v>4.2000000000000003E-2</v>
      </c>
      <c r="O113" s="366">
        <f>Tabla68[[#This Row],[Columna1]]*Tabla68[[#This Row],[Variación]]</f>
        <v>1.008E-4</v>
      </c>
    </row>
    <row r="114" spans="4:15" ht="14.4" thickBot="1">
      <c r="D114" s="249" t="s">
        <v>215</v>
      </c>
      <c r="E114" s="250" cm="1">
        <f t="array" ref="E114">_xll.PrecioBD(D114,24,"ASK","N")</f>
        <v>12760</v>
      </c>
      <c r="F114" s="250" cm="1">
        <f t="array" ref="F114">_xll.PrecioBD(D114,24,"VOLUME AMOUNT","N")</f>
        <v>78395050</v>
      </c>
      <c r="G114" s="94" cm="1">
        <f t="array" ref="G114">_xll.PrecioBD(D114,24,"IMBALANCE","N")</f>
        <v>-2.3699999999999999E-2</v>
      </c>
      <c r="J114" s="368" t="s">
        <v>520</v>
      </c>
      <c r="K114" s="93" cm="1">
        <f t="array" ref="K114">_xll.PrecioBD(J114,24,"ASK","N")</f>
        <v>33400</v>
      </c>
      <c r="L114" s="93" cm="1">
        <f t="array" ref="L114">_xll.PrecioBD(J114,24,"VOLUME AMOUNT","N")</f>
        <v>134240</v>
      </c>
      <c r="M114" s="363" cm="1">
        <f t="array" ref="M114">_xll.PrecioBD(J114,24,"IMBALANCE","N")</f>
        <v>0</v>
      </c>
      <c r="N114" s="365">
        <v>4.2000000000000003E-2</v>
      </c>
      <c r="O114" s="366">
        <f>Tabla68[[#This Row],[Columna1]]*Tabla68[[#This Row],[Variación]]</f>
        <v>0</v>
      </c>
    </row>
    <row r="115" spans="4:15" ht="14.4" thickBot="1">
      <c r="D115" s="249" t="s">
        <v>382</v>
      </c>
      <c r="E115" s="250" cm="1">
        <f t="array" ref="E115">_xll.PrecioBD(D115,24,"ASK","N")</f>
        <v>34340</v>
      </c>
      <c r="F115" s="250" cm="1">
        <f t="array" ref="F115">_xll.PrecioBD(D115,24,"VOLUME AMOUNT","N")</f>
        <v>72332520</v>
      </c>
      <c r="G115" s="94" cm="1">
        <f t="array" ref="G115">_xll.PrecioBD(D115,24,"IMBALANCE","N")</f>
        <v>9.9599999999999994E-2</v>
      </c>
      <c r="J115" s="368" t="s">
        <v>346</v>
      </c>
      <c r="K115" s="93" cm="1">
        <f t="array" ref="K115">_xll.PrecioBD(J115,24,"ASK","N")</f>
        <v>23780</v>
      </c>
      <c r="L115" s="93" cm="1">
        <f t="array" ref="L115">_xll.PrecioBD(J115,24,"VOLUME AMOUNT","N")</f>
        <v>47031220</v>
      </c>
      <c r="M115" s="363" cm="1">
        <f t="array" ref="M115">_xll.PrecioBD(J115,24,"IMBALANCE","N")</f>
        <v>1.1999999999999999E-3</v>
      </c>
      <c r="N115" s="365">
        <v>4.2000000000000003E-2</v>
      </c>
      <c r="O115" s="366">
        <f>Tabla68[[#This Row],[Columna1]]*Tabla68[[#This Row],[Variación]]</f>
        <v>5.0399999999999999E-5</v>
      </c>
    </row>
    <row r="116" spans="4:15" ht="14.4" thickBot="1">
      <c r="D116" s="249" t="s">
        <v>463</v>
      </c>
      <c r="E116" s="250" cm="1">
        <f t="array" ref="E116">_xll.PrecioBD(D116,24,"ASK","N")</f>
        <v>36800</v>
      </c>
      <c r="F116" s="250" cm="1">
        <f t="array" ref="F116">_xll.PrecioBD(D116,24,"VOLUME AMOUNT","N")</f>
        <v>71016320</v>
      </c>
      <c r="G116" s="94" cm="1">
        <f t="array" ref="G116">_xll.PrecioBD(D116,24,"IMBALANCE","N")</f>
        <v>-5.8999999999999999E-3</v>
      </c>
      <c r="J116" s="368" t="s">
        <v>397</v>
      </c>
      <c r="K116" s="93" cm="1">
        <f t="array" ref="K116">_xll.PrecioBD(J116,24,"ASK","N")</f>
        <v>59175</v>
      </c>
      <c r="L116" s="93" cm="1">
        <f t="array" ref="L116">_xll.PrecioBD(J116,24,"VOLUME AMOUNT","N")</f>
        <v>117775</v>
      </c>
      <c r="M116" s="363" cm="1">
        <f t="array" ref="M116">_xll.PrecioBD(J116,24,"IMBALANCE","N")</f>
        <v>-2.0999999999999999E-3</v>
      </c>
      <c r="N116" s="365">
        <v>4.2000000000000003E-2</v>
      </c>
      <c r="O116" s="366">
        <f>Tabla68[[#This Row],[Columna1]]*Tabla68[[#This Row],[Variación]]</f>
        <v>-8.8200000000000003E-5</v>
      </c>
    </row>
    <row r="117" spans="4:15" ht="14.4" thickBot="1">
      <c r="D117" s="249" t="s">
        <v>335</v>
      </c>
      <c r="E117" s="250" cm="1">
        <f t="array" ref="E117">_xll.PrecioBD(D117,24,"ASK","N")</f>
        <v>18080</v>
      </c>
      <c r="F117" s="250" cm="1">
        <f t="array" ref="F117">_xll.PrecioBD(D117,24,"VOLUME AMOUNT","N")</f>
        <v>70069570</v>
      </c>
      <c r="G117" s="94" cm="1">
        <f t="array" ref="G117">_xll.PrecioBD(D117,24,"IMBALANCE","N")</f>
        <v>-8.2000000000000007E-3</v>
      </c>
      <c r="J117" s="368" t="s">
        <v>416</v>
      </c>
      <c r="K117" s="93" cm="1">
        <f t="array" ref="K117">_xll.PrecioBD(J117,24,"ASK","N")</f>
        <v>13880</v>
      </c>
      <c r="L117" s="93" cm="1">
        <f t="array" ref="L117">_xll.PrecioBD(J117,24,"VOLUME AMOUNT","N")</f>
        <v>67238000</v>
      </c>
      <c r="M117" s="363" cm="1">
        <f t="array" ref="M117">_xll.PrecioBD(J117,24,"IMBALANCE","N")</f>
        <v>1.4E-3</v>
      </c>
      <c r="N117" s="365">
        <v>4.2000000000000003E-2</v>
      </c>
      <c r="O117" s="366">
        <f>Tabla68[[#This Row],[Columna1]]*Tabla68[[#This Row],[Variación]]</f>
        <v>5.8800000000000006E-5</v>
      </c>
    </row>
    <row r="118" spans="4:15" ht="14.4" thickBot="1">
      <c r="D118" s="249" t="s">
        <v>341</v>
      </c>
      <c r="E118" s="250" cm="1">
        <f t="array" ref="E118">_xll.PrecioBD(D118,24,"ASK","N")</f>
        <v>38660</v>
      </c>
      <c r="F118" s="250" cm="1">
        <f t="array" ref="F118">_xll.PrecioBD(D118,24,"VOLUME AMOUNT","N")</f>
        <v>69870500</v>
      </c>
      <c r="G118" s="94" cm="1">
        <f t="array" ref="G118">_xll.PrecioBD(D118,24,"IMBALANCE","N")</f>
        <v>-1.5299999999999999E-2</v>
      </c>
      <c r="J118" s="368" t="s">
        <v>391</v>
      </c>
      <c r="K118" s="93" cm="1">
        <f t="array" ref="K118">_xll.PrecioBD(J118,24,"ASK","N")</f>
        <v>7615</v>
      </c>
      <c r="L118" s="93" cm="1">
        <f t="array" ref="L118">_xll.PrecioBD(J118,24,"VOLUME AMOUNT","N")</f>
        <v>42820485</v>
      </c>
      <c r="M118" s="364" cm="1">
        <f t="array" ref="M118">_xll.PrecioBD(J118,24,"IMBALANCE","N")</f>
        <v>-9.1000000000000004E-3</v>
      </c>
      <c r="N118" s="365">
        <v>4.2000000000000003E-2</v>
      </c>
      <c r="O118" s="366">
        <f>Tabla68[[#This Row],[Columna1]]*Tabla68[[#This Row],[Variación]]</f>
        <v>-3.8220000000000002E-4</v>
      </c>
    </row>
    <row r="119" spans="4:15" ht="14.4" thickBot="1">
      <c r="D119" s="249" t="s">
        <v>416</v>
      </c>
      <c r="E119" s="250" cm="1">
        <f t="array" ref="E119">_xll.PrecioBD(D119,24,"ASK","N")</f>
        <v>13880</v>
      </c>
      <c r="F119" s="250" cm="1">
        <f t="array" ref="F119">_xll.PrecioBD(D119,24,"VOLUME AMOUNT","N")</f>
        <v>67238000</v>
      </c>
      <c r="G119" s="94" cm="1">
        <f t="array" ref="G119">_xll.PrecioBD(D119,24,"IMBALANCE","N")</f>
        <v>1.4E-3</v>
      </c>
      <c r="J119" s="368" t="s">
        <v>383</v>
      </c>
      <c r="K119" s="93" cm="1">
        <f t="array" ref="K119">_xll.PrecioBD(J119,24,"ASK","N")</f>
        <v>67050</v>
      </c>
      <c r="L119" s="93" cm="1">
        <f t="array" ref="L119">_xll.PrecioBD(J119,24,"VOLUME AMOUNT","N")</f>
        <v>132850</v>
      </c>
      <c r="M119" s="364" cm="1">
        <f t="array" ref="M119">_xll.PrecioBD(J119,24,"IMBALANCE","N")</f>
        <v>-7.4000000000000003E-3</v>
      </c>
      <c r="N119" s="365">
        <v>4.2000000000000003E-2</v>
      </c>
      <c r="O119" s="366">
        <f>Tabla68[[#This Row],[Columna1]]*Tabla68[[#This Row],[Variación]]</f>
        <v>-3.1080000000000002E-4</v>
      </c>
    </row>
    <row r="120" spans="4:15" ht="14.4" thickBot="1">
      <c r="D120" s="249" t="s">
        <v>503</v>
      </c>
      <c r="E120" s="250" cm="1">
        <f t="array" ref="E120">_xll.PrecioBD(D120,24,"ASK","N")</f>
        <v>12540</v>
      </c>
      <c r="F120" s="250" cm="1">
        <f t="array" ref="F120">_xll.PrecioBD(D120,24,"VOLUME AMOUNT","N")</f>
        <v>68051350</v>
      </c>
      <c r="G120" s="94" cm="1">
        <f t="array" ref="G120">_xll.PrecioBD(D120,24,"IMBALANCE","N")</f>
        <v>-5.5599999999999997E-2</v>
      </c>
      <c r="J120" s="368" t="s">
        <v>262</v>
      </c>
      <c r="K120" s="93" cm="1">
        <f t="array" ref="K120">_xll.PrecioBD(J120,24,"ASK","N")</f>
        <v>21150</v>
      </c>
      <c r="L120" s="93" cm="1">
        <f t="array" ref="L120">_xll.PrecioBD(J120,24,"VOLUME AMOUNT","N")</f>
        <v>573620</v>
      </c>
      <c r="M120" s="363" cm="1">
        <f t="array" ref="M120">_xll.PrecioBD(J120,24,"IMBALANCE","N")</f>
        <v>-7.4999999999999997E-3</v>
      </c>
      <c r="N120" s="365">
        <v>4.2000000000000003E-2</v>
      </c>
      <c r="O120" s="366">
        <f>Tabla68[[#This Row],[Columna1]]*Tabla68[[#This Row],[Variación]]</f>
        <v>-3.1500000000000001E-4</v>
      </c>
    </row>
    <row r="121" spans="4:15" ht="14.4" thickBot="1">
      <c r="D121" s="249" t="s">
        <v>533</v>
      </c>
      <c r="E121" s="250" cm="1">
        <f t="array" ref="E121">_xll.PrecioBD(D121,24,"ASK","N")</f>
        <v>18200</v>
      </c>
      <c r="F121" s="250" cm="1">
        <f t="array" ref="F121">_xll.PrecioBD(D121,24,"VOLUME AMOUNT","N")</f>
        <v>66658890</v>
      </c>
      <c r="G121" s="94" cm="1">
        <f t="array" ref="G121">_xll.PrecioBD(D121,24,"IMBALANCE","N")</f>
        <v>1.4999999999999999E-2</v>
      </c>
      <c r="J121" s="368" t="s">
        <v>421</v>
      </c>
      <c r="K121" s="93" cm="1">
        <f t="array" ref="K121">_xll.PrecioBD(J121,24,"ASK","N")</f>
        <v>10190</v>
      </c>
      <c r="L121" s="93" cm="1">
        <f t="array" ref="L121">_xll.PrecioBD(J121,24,"VOLUME AMOUNT","N")</f>
        <v>310938990</v>
      </c>
      <c r="M121" s="364" cm="1">
        <f t="array" ref="M121">_xll.PrecioBD(J121,24,"IMBALANCE","N")</f>
        <v>-4.7999999999999996E-3</v>
      </c>
      <c r="N121" s="365">
        <v>4.2000000000000003E-2</v>
      </c>
      <c r="O121" s="366">
        <f>Tabla68[[#This Row],[Columna1]]*Tabla68[[#This Row],[Variación]]</f>
        <v>-2.0159999999999999E-4</v>
      </c>
    </row>
    <row r="122" spans="4:15" ht="14.4" thickBot="1">
      <c r="D122" s="249" t="s">
        <v>529</v>
      </c>
      <c r="E122" s="250" cm="1">
        <f t="array" ref="E122">_xll.PrecioBD(D122,24,"ASK","N")</f>
        <v>12170</v>
      </c>
      <c r="F122" s="250" cm="1">
        <f t="array" ref="F122">_xll.PrecioBD(D122,24,"VOLUME AMOUNT","N")</f>
        <v>65527480</v>
      </c>
      <c r="G122" s="94" cm="1">
        <f t="array" ref="G122">_xll.PrecioBD(D122,24,"IMBALANCE","N")</f>
        <v>-8.8999999999999999E-3</v>
      </c>
      <c r="J122" s="368" t="s">
        <v>351</v>
      </c>
      <c r="K122" s="93" cm="1">
        <f t="array" ref="K122">_xll.PrecioBD(J122,24,"ASK","N")</f>
        <v>50550</v>
      </c>
      <c r="L122" s="93" cm="1">
        <f t="array" ref="L122">_xll.PrecioBD(J122,24,"VOLUME AMOUNT","N")</f>
        <v>10861600</v>
      </c>
      <c r="M122" s="363" cm="1">
        <f t="array" ref="M122">_xll.PrecioBD(J122,24,"IMBALANCE","N")</f>
        <v>-1.0200000000000001E-2</v>
      </c>
      <c r="N122" s="365">
        <v>4.2000000000000003E-2</v>
      </c>
      <c r="O122" s="366">
        <f>Tabla68[[#This Row],[Columna1]]*Tabla68[[#This Row],[Variación]]</f>
        <v>-4.2840000000000006E-4</v>
      </c>
    </row>
    <row r="123" spans="4:15" ht="14.4" thickBot="1">
      <c r="D123" s="249" t="s">
        <v>302</v>
      </c>
      <c r="E123" s="250" cm="1">
        <f t="array" ref="E123">_xll.PrecioBD(D123,24,"ASK","N")</f>
        <v>33540</v>
      </c>
      <c r="F123" s="250" cm="1">
        <f t="array" ref="F123">_xll.PrecioBD(D123,24,"VOLUME AMOUNT","N")</f>
        <v>63747780</v>
      </c>
      <c r="G123" s="94" cm="1">
        <f t="array" ref="G123">_xll.PrecioBD(D123,24,"IMBALANCE","N")</f>
        <v>-3.3399999999999999E-2</v>
      </c>
      <c r="J123" s="369" t="s">
        <v>505</v>
      </c>
      <c r="K123" s="93" cm="1">
        <f t="array" ref="K123">_xll.PrecioBD(J123,24,"ASK","N")</f>
        <v>39740</v>
      </c>
      <c r="L123" s="93" cm="1">
        <f t="array" ref="L123">_xll.PrecioBD(J123,24,"VOLUME AMOUNT","N")</f>
        <v>1186200</v>
      </c>
      <c r="M123" s="364" cm="1">
        <f t="array" ref="M123">_xll.PrecioBD(J123,24,"IMBALANCE","N")</f>
        <v>-1.04E-2</v>
      </c>
      <c r="N123" s="365">
        <v>4.2000000000000003E-2</v>
      </c>
      <c r="O123" s="366">
        <f>Tabla68[[#This Row],[Columna1]]*Tabla68[[#This Row],[Variación]]</f>
        <v>-4.3679999999999999E-4</v>
      </c>
    </row>
    <row r="124" spans="4:15" ht="14.4" thickBot="1">
      <c r="D124" s="249" t="s">
        <v>271</v>
      </c>
      <c r="E124" s="250" cm="1">
        <f t="array" ref="E124">_xll.PrecioBD(D124,24,"ASK","N")</f>
        <v>22550</v>
      </c>
      <c r="F124" s="250" cm="1">
        <f t="array" ref="F124">_xll.PrecioBD(D124,24,"VOLUME AMOUNT","N")</f>
        <v>63473810</v>
      </c>
      <c r="G124" s="94" cm="1">
        <f t="array" ref="G124">_xll.PrecioBD(D124,24,"IMBALANCE","N")</f>
        <v>-1.43E-2</v>
      </c>
      <c r="J124" s="369" t="s">
        <v>358</v>
      </c>
      <c r="K124" s="93" cm="1">
        <f t="array" ref="K124">_xll.PrecioBD(J124,24,"ASK","N")</f>
        <v>4215</v>
      </c>
      <c r="L124" s="93" cm="1">
        <f t="array" ref="L124">_xll.PrecioBD(J124,24,"VOLUME AMOUNT","N")</f>
        <v>1747057.5</v>
      </c>
      <c r="M124" s="363" cm="1">
        <f t="array" ref="M124">_xll.PrecioBD(J124,24,"IMBALANCE","N")</f>
        <v>-1.9900000000000001E-2</v>
      </c>
      <c r="N124" s="365">
        <v>4.2000000000000003E-2</v>
      </c>
      <c r="O124" s="366">
        <f>Tabla68[[#This Row],[Columna1]]*Tabla68[[#This Row],[Variación]]</f>
        <v>-8.3580000000000004E-4</v>
      </c>
    </row>
    <row r="125" spans="4:15" ht="14.4" thickBot="1">
      <c r="D125" s="249" t="s">
        <v>408</v>
      </c>
      <c r="E125" s="250" cm="1">
        <f t="array" ref="E125">_xll.PrecioBD(D125,24,"ASK","N")</f>
        <v>5385</v>
      </c>
      <c r="F125" s="250" cm="1">
        <f t="array" ref="F125">_xll.PrecioBD(D125,24,"VOLUME AMOUNT","N")</f>
        <v>64087620</v>
      </c>
      <c r="G125" s="94" cm="1">
        <f t="array" ref="G125">_xll.PrecioBD(D125,24,"IMBALANCE","N")</f>
        <v>-1.9099999999999999E-2</v>
      </c>
      <c r="I125" s="219"/>
      <c r="J125" s="369" t="s">
        <v>194</v>
      </c>
      <c r="K125" s="93" cm="1">
        <f t="array" ref="K125">_xll.PrecioBD(J125,24,"ASK","N")</f>
        <v>71650</v>
      </c>
      <c r="L125" s="93" cm="1">
        <f t="array" ref="L125">_xll.PrecioBD(J125,24,"VOLUME AMOUNT","N")</f>
        <v>5965025</v>
      </c>
      <c r="M125" s="363" cm="1">
        <f t="array" ref="M125">_xll.PrecioBD(J125,24,"IMBALANCE","N")</f>
        <v>-1.54E-2</v>
      </c>
      <c r="N125" s="365">
        <v>4.2000000000000003E-2</v>
      </c>
      <c r="O125" s="366">
        <f>Tabla68[[#This Row],[Columna1]]*Tabla68[[#This Row],[Variación]]</f>
        <v>-6.4680000000000011E-4</v>
      </c>
    </row>
    <row r="126" spans="4:15" ht="14.4" thickBot="1">
      <c r="D126" s="249" t="s">
        <v>411</v>
      </c>
      <c r="E126" s="250" cm="1">
        <f t="array" ref="E126">_xll.PrecioBD(D126,24,"ASK","N")</f>
        <v>28760</v>
      </c>
      <c r="F126" s="250" cm="1">
        <f t="array" ref="F126">_xll.PrecioBD(D126,24,"VOLUME AMOUNT","N")</f>
        <v>62505420</v>
      </c>
      <c r="G126" s="94" cm="1">
        <f t="array" ref="G126">_xll.PrecioBD(D126,24,"IMBALANCE","N")</f>
        <v>-2.3699999999999999E-2</v>
      </c>
      <c r="J126" s="368" t="s">
        <v>410</v>
      </c>
      <c r="K126" s="93" cm="1">
        <f t="array" ref="K126">_xll.PrecioBD(J126,24,"ASK","N")</f>
        <v>4802.5</v>
      </c>
      <c r="L126" s="93" cm="1">
        <f t="array" ref="L126">_xll.PrecioBD(J126,24,"VOLUME AMOUNT","N")</f>
        <v>13418867.5</v>
      </c>
      <c r="M126" s="363" cm="1">
        <f t="array" ref="M126">_xll.PrecioBD(J126,24,"IMBALANCE","N")</f>
        <v>-2.1399999999999999E-2</v>
      </c>
      <c r="N126" s="365">
        <v>4.2000000000000003E-2</v>
      </c>
      <c r="O126" s="366">
        <f>Tabla68[[#This Row],[Columna1]]*Tabla68[[#This Row],[Variación]]</f>
        <v>-8.9880000000000005E-4</v>
      </c>
    </row>
    <row r="127" spans="4:15" ht="14.4" thickBot="1">
      <c r="D127" s="249" t="s">
        <v>265</v>
      </c>
      <c r="E127" s="250" cm="1">
        <f t="array" ref="E127">_xll.PrecioBD(D127,24,"ASK","N")</f>
        <v>40280</v>
      </c>
      <c r="F127" s="250" cm="1">
        <f t="array" ref="F127">_xll.PrecioBD(D127,24,"VOLUME AMOUNT","N")</f>
        <v>60689960</v>
      </c>
      <c r="G127" s="94" cm="1">
        <f t="array" ref="G127">_xll.PrecioBD(D127,24,"IMBALANCE","N")</f>
        <v>-7.7999999999999996E-3</v>
      </c>
      <c r="J127" s="368" t="s">
        <v>215</v>
      </c>
      <c r="K127" s="93" cm="1">
        <f t="array" ref="K127">_xll.PrecioBD(J127,24,"ASK","N")</f>
        <v>12760</v>
      </c>
      <c r="L127" s="93" cm="1">
        <f t="array" ref="L127">_xll.PrecioBD(J127,24,"VOLUME AMOUNT","N")</f>
        <v>78395050</v>
      </c>
      <c r="M127" s="363" cm="1">
        <f t="array" ref="M127">_xll.PrecioBD(J127,24,"IMBALANCE","N")</f>
        <v>-2.3699999999999999E-2</v>
      </c>
      <c r="N127" s="365">
        <v>4.2000000000000003E-2</v>
      </c>
      <c r="O127" s="366">
        <f>Tabla68[[#This Row],[Columna1]]*Tabla68[[#This Row],[Variación]]</f>
        <v>-9.9540000000000002E-4</v>
      </c>
    </row>
    <row r="128" spans="4:15" ht="14.4" thickBot="1">
      <c r="D128" s="249" t="s">
        <v>287</v>
      </c>
      <c r="E128" s="250" cm="1">
        <f t="array" ref="E128">_xll.PrecioBD(D128,24,"ASK","N")</f>
        <v>56125</v>
      </c>
      <c r="F128" s="250" cm="1">
        <f t="array" ref="F128">_xll.PrecioBD(D128,24,"VOLUME AMOUNT","N")</f>
        <v>59828475</v>
      </c>
      <c r="G128" s="94" cm="1">
        <f t="array" ref="G128">_xll.PrecioBD(D128,24,"IMBALANCE","N")</f>
        <v>-2.9399999999999999E-2</v>
      </c>
      <c r="J128" s="368" t="s">
        <v>445</v>
      </c>
      <c r="K128" s="93" cm="1">
        <f t="array" ref="K128">_xll.PrecioBD(J128,24,"ASK","N")</f>
        <v>12700</v>
      </c>
      <c r="L128" s="93" cm="1">
        <f t="array" ref="L128">_xll.PrecioBD(J128,24,"VOLUME AMOUNT","N")</f>
        <v>16261890</v>
      </c>
      <c r="M128" s="363" cm="1">
        <f t="array" ref="M128">_xll.PrecioBD(J128,24,"IMBALANCE","N")</f>
        <v>-2.23E-2</v>
      </c>
      <c r="N128" s="365">
        <v>4.2000000000000003E-2</v>
      </c>
      <c r="O128" s="366">
        <f>Tabla68[[#This Row],[Columna1]]*Tabla68[[#This Row],[Variación]]</f>
        <v>-9.3660000000000011E-4</v>
      </c>
    </row>
    <row r="129" spans="4:15" ht="14.4" thickBot="1">
      <c r="D129" s="249" t="s">
        <v>257</v>
      </c>
      <c r="E129" s="250" cm="1">
        <f t="array" ref="E129">_xll.PrecioBD(D129,24,"ASK","N")</f>
        <v>8280</v>
      </c>
      <c r="F129" s="250" cm="1">
        <f t="array" ref="F129">_xll.PrecioBD(D129,24,"VOLUME AMOUNT","N")</f>
        <v>59011350</v>
      </c>
      <c r="G129" s="94" cm="1">
        <f t="array" ref="G129">_xll.PrecioBD(D129,24,"IMBALANCE","N")</f>
        <v>-9.4999999999999998E-3</v>
      </c>
      <c r="J129" s="369" t="s">
        <v>308</v>
      </c>
      <c r="K129" s="93" cm="1">
        <f t="array" ref="K129">_xll.PrecioBD(J129,24,"ASK","N")</f>
        <v>64425</v>
      </c>
      <c r="L129" s="93" cm="1">
        <f t="array" ref="L129">_xll.PrecioBD(J129,24,"VOLUME AMOUNT","N")</f>
        <v>776225</v>
      </c>
      <c r="M129" s="364" cm="1">
        <f t="array" ref="M129">_xll.PrecioBD(J129,24,"IMBALANCE","N")</f>
        <v>-2.98E-2</v>
      </c>
      <c r="N129" s="365">
        <v>4.2000000000000003E-2</v>
      </c>
      <c r="O129" s="366">
        <f>Tabla68[[#This Row],[Columna1]]*Tabla68[[#This Row],[Variación]]</f>
        <v>-1.2516000000000001E-3</v>
      </c>
    </row>
    <row r="130" spans="4:15" ht="14.4" thickBot="1">
      <c r="D130" s="249" t="s">
        <v>454</v>
      </c>
      <c r="E130" s="250" cm="1">
        <f t="array" ref="E130">_xll.PrecioBD(D130,24,"ASK","N")</f>
        <v>1472</v>
      </c>
      <c r="F130" s="250" cm="1">
        <f t="array" ref="F130">_xll.PrecioBD(D130,24,"VOLUME AMOUNT","N")</f>
        <v>58972362</v>
      </c>
      <c r="G130" s="94" cm="1">
        <f t="array" ref="G130">_xll.PrecioBD(D130,24,"IMBALANCE","N")</f>
        <v>-8.9300000000000004E-2</v>
      </c>
      <c r="J130" s="368" t="s">
        <v>516</v>
      </c>
      <c r="K130" s="93" cm="1">
        <f t="array" ref="K130">_xll.PrecioBD(J130,24,"ASK","N")</f>
        <v>8335</v>
      </c>
      <c r="L130" s="93" cm="1">
        <f t="array" ref="L130">_xll.PrecioBD(J130,24,"VOLUME AMOUNT","N")</f>
        <v>7836835</v>
      </c>
      <c r="M130" s="363" cm="1">
        <f t="array" ref="M130">_xll.PrecioBD(J130,24,"IMBALANCE","N")</f>
        <v>-3.1199999999999999E-2</v>
      </c>
      <c r="N130" s="365">
        <v>4.2000000000000003E-2</v>
      </c>
      <c r="O130" s="366">
        <f>Tabla68[[#This Row],[Columna1]]*Tabla68[[#This Row],[Variación]]</f>
        <v>-1.3104E-3</v>
      </c>
    </row>
    <row r="131" spans="4:15">
      <c r="D131" s="249" t="s">
        <v>276</v>
      </c>
      <c r="E131" s="250" cm="1">
        <f t="array" ref="E131">_xll.PrecioBD(D131,24,"ASK","N")</f>
        <v>18150</v>
      </c>
      <c r="F131" s="250" cm="1">
        <f t="array" ref="F131">_xll.PrecioBD(D131,24,"VOLUME AMOUNT","N")</f>
        <v>57816120</v>
      </c>
      <c r="G131" s="94" cm="1">
        <f t="array" ref="G131">_xll.PrecioBD(D131,24,"IMBALANCE","N")</f>
        <v>-2.9499999999999998E-2</v>
      </c>
      <c r="J131" s="370" t="s">
        <v>183</v>
      </c>
      <c r="K131" s="170" cm="1">
        <f t="array" ref="K131">_xll.PrecioBD(J131,24,"ASK","N")</f>
        <v>51950</v>
      </c>
      <c r="L131" s="170" cm="1">
        <f t="array" ref="L131">_xll.PrecioBD(J131,24,"VOLUME AMOUNT","N")</f>
        <v>11757350</v>
      </c>
      <c r="M131" s="379" cm="1">
        <f t="array" ref="M131">_xll.PrecioBD(J131,24,"IMBALANCE","N")</f>
        <v>-3.6700000000000003E-2</v>
      </c>
      <c r="N131" s="365">
        <v>4.2000000000000003E-2</v>
      </c>
      <c r="O131" s="366">
        <f>Tabla68[[#This Row],[Columna1]]*Tabla68[[#This Row],[Variación]]</f>
        <v>-1.5414000000000003E-3</v>
      </c>
    </row>
    <row r="132" spans="4:15">
      <c r="D132" s="249" t="s">
        <v>298</v>
      </c>
      <c r="E132" s="250" cm="1">
        <f t="array" ref="E132">_xll.PrecioBD(D132,24,"ASK","N")</f>
        <v>3152.5</v>
      </c>
      <c r="F132" s="250" cm="1">
        <f t="array" ref="F132">_xll.PrecioBD(D132,24,"VOLUME AMOUNT","N")</f>
        <v>57200330</v>
      </c>
      <c r="G132" s="94" cm="1">
        <f t="array" ref="G132">_xll.PrecioBD(D132,24,"IMBALANCE","N")</f>
        <v>-3.15E-2</v>
      </c>
      <c r="J132" s="172"/>
      <c r="K132" s="170"/>
      <c r="L132" s="170"/>
      <c r="M132" s="355"/>
      <c r="N132" s="71"/>
      <c r="O132" s="362">
        <f>SUM(Tabla68[Columna2])</f>
        <v>-7.9590000000000008E-3</v>
      </c>
    </row>
    <row r="133" spans="4:15">
      <c r="D133" s="249" t="s">
        <v>205</v>
      </c>
      <c r="E133" s="250" cm="1">
        <f t="array" ref="E133">_xll.PrecioBD(D133,24,"ASK","N")</f>
        <v>15360</v>
      </c>
      <c r="F133" s="250" cm="1">
        <f t="array" ref="F133">_xll.PrecioBD(D133,24,"VOLUME AMOUNT","N")</f>
        <v>55599960</v>
      </c>
      <c r="G133" s="94" cm="1">
        <f t="array" ref="G133">_xll.PrecioBD(D133,24,"IMBALANCE","N")</f>
        <v>-3.39E-2</v>
      </c>
      <c r="J133" s="92"/>
      <c r="K133" s="93"/>
      <c r="L133" s="93"/>
      <c r="M133" s="354"/>
    </row>
    <row r="134" spans="4:15">
      <c r="D134" s="249" t="s">
        <v>221</v>
      </c>
      <c r="E134" s="250" cm="1">
        <f t="array" ref="E134">_xll.PrecioBD(D134,24,"ASK","N")</f>
        <v>57025</v>
      </c>
      <c r="F134" s="250" cm="1">
        <f t="array" ref="F134">_xll.PrecioBD(D134,24,"VOLUME AMOUNT","N")</f>
        <v>54360950</v>
      </c>
      <c r="G134" s="94" cm="1">
        <f t="array" ref="G134">_xll.PrecioBD(D134,24,"IMBALANCE","N")</f>
        <v>3.0000000000000001E-3</v>
      </c>
    </row>
    <row r="135" spans="4:15">
      <c r="D135" s="249" t="s">
        <v>531</v>
      </c>
      <c r="E135" s="250" cm="1">
        <f t="array" ref="E135">_xll.PrecioBD(D135,24,"ASK","N")</f>
        <v>10150</v>
      </c>
      <c r="F135" s="250" cm="1">
        <f t="array" ref="F135">_xll.PrecioBD(D135,24,"VOLUME AMOUNT","N")</f>
        <v>54182850</v>
      </c>
      <c r="G135" s="94" cm="1">
        <f t="array" ref="G135">_xll.PrecioBD(D135,24,"IMBALANCE","N")</f>
        <v>-6.7999999999999996E-3</v>
      </c>
    </row>
    <row r="136" spans="4:15">
      <c r="D136" s="249" t="s">
        <v>458</v>
      </c>
      <c r="E136" s="250" cm="1">
        <f t="array" ref="E136">_xll.PrecioBD(D136,24,"ASK","N")</f>
        <v>7175</v>
      </c>
      <c r="F136" s="250" cm="1">
        <f t="array" ref="F136">_xll.PrecioBD(D136,24,"VOLUME AMOUNT","N")</f>
        <v>52607920</v>
      </c>
      <c r="G136" s="94" cm="1">
        <f t="array" ref="G136">_xll.PrecioBD(D136,24,"IMBALANCE","N")</f>
        <v>-2.5600000000000001E-2</v>
      </c>
    </row>
    <row r="137" spans="4:15">
      <c r="D137" s="249" t="s">
        <v>289</v>
      </c>
      <c r="E137" s="250" cm="1">
        <f t="array" ref="E137">_xll.PrecioBD(D137,24,"ASK","N")</f>
        <v>15620</v>
      </c>
      <c r="F137" s="250" cm="1">
        <f t="array" ref="F137">_xll.PrecioBD(D137,24,"VOLUME AMOUNT","N")</f>
        <v>51881330</v>
      </c>
      <c r="G137" s="94" cm="1">
        <f t="array" ref="G137">_xll.PrecioBD(D137,24,"IMBALANCE","N")</f>
        <v>-1.4500000000000001E-2</v>
      </c>
    </row>
    <row r="138" spans="4:15">
      <c r="D138" s="249" t="s">
        <v>164</v>
      </c>
      <c r="E138" s="250" cm="1">
        <f t="array" ref="E138">_xll.PrecioBD(D138,24,"ASK","N")</f>
        <v>14020</v>
      </c>
      <c r="F138" s="250" cm="1">
        <f t="array" ref="F138">_xll.PrecioBD(D138,24,"VOLUME AMOUNT","N")</f>
        <v>49972160</v>
      </c>
      <c r="G138" s="94" cm="1">
        <f t="array" ref="G138">_xll.PrecioBD(D138,24,"IMBALANCE","N")</f>
        <v>4.3099999999999999E-2</v>
      </c>
    </row>
    <row r="139" spans="4:15">
      <c r="D139" s="249" t="s">
        <v>430</v>
      </c>
      <c r="E139" s="250" cm="1">
        <f t="array" ref="E139">_xll.PrecioBD(D139,24,"ASK","N")</f>
        <v>15840</v>
      </c>
      <c r="F139" s="250" cm="1">
        <f t="array" ref="F139">_xll.PrecioBD(D139,24,"VOLUME AMOUNT","N")</f>
        <v>49816080</v>
      </c>
      <c r="G139" s="94" cm="1">
        <f t="array" ref="G139">_xll.PrecioBD(D139,24,"IMBALANCE","N")</f>
        <v>4.4000000000000003E-3</v>
      </c>
    </row>
    <row r="140" spans="4:15">
      <c r="D140" s="249" t="s">
        <v>251</v>
      </c>
      <c r="E140" s="250" cm="1">
        <f t="array" ref="E140">_xll.PrecioBD(D140,24,"ASK","N")</f>
        <v>22780</v>
      </c>
      <c r="F140" s="250" cm="1">
        <f t="array" ref="F140">_xll.PrecioBD(D140,24,"VOLUME AMOUNT","N")</f>
        <v>47205320</v>
      </c>
      <c r="G140" s="94" cm="1">
        <f t="array" ref="G140">_xll.PrecioBD(D140,24,"IMBALANCE","N")</f>
        <v>1.3299999999999999E-2</v>
      </c>
    </row>
    <row r="141" spans="4:15">
      <c r="D141" s="249" t="s">
        <v>203</v>
      </c>
      <c r="E141" s="250" cm="1">
        <f t="array" ref="E141">_xll.PrecioBD(D141,24,"ASK","N")</f>
        <v>890</v>
      </c>
      <c r="F141" s="250" cm="1">
        <f t="array" ref="F141">_xll.PrecioBD(D141,24,"VOLUME AMOUNT","N")</f>
        <v>47137920</v>
      </c>
      <c r="G141" s="94" cm="1">
        <f t="array" ref="G141">_xll.PrecioBD(D141,24,"IMBALANCE","N")</f>
        <v>-2.4199999999999999E-2</v>
      </c>
    </row>
    <row r="142" spans="4:15">
      <c r="D142" s="249" t="s">
        <v>528</v>
      </c>
      <c r="E142" s="250" cm="1">
        <f t="array" ref="E142">_xll.PrecioBD(D142,24,"ASK","N")</f>
        <v>15420</v>
      </c>
      <c r="F142" s="250" cm="1">
        <f t="array" ref="F142">_xll.PrecioBD(D142,24,"VOLUME AMOUNT","N")</f>
        <v>45700470</v>
      </c>
      <c r="G142" s="94" cm="1">
        <f t="array" ref="G142">_xll.PrecioBD(D142,24,"IMBALANCE","N")</f>
        <v>-5.7999999999999996E-3</v>
      </c>
    </row>
    <row r="143" spans="4:15">
      <c r="D143" s="249" t="s">
        <v>181</v>
      </c>
      <c r="E143" s="250" cm="1">
        <f t="array" ref="E143">_xll.PrecioBD(D143,24,"ASK","N")</f>
        <v>14210</v>
      </c>
      <c r="F143" s="250" cm="1">
        <f t="array" ref="F143">_xll.PrecioBD(D143,24,"VOLUME AMOUNT","N")</f>
        <v>45861930</v>
      </c>
      <c r="G143" s="94" cm="1">
        <f t="array" ref="G143">_xll.PrecioBD(D143,24,"IMBALANCE","N")</f>
        <v>2.3699999999999999E-2</v>
      </c>
    </row>
    <row r="144" spans="4:15">
      <c r="D144" s="249" t="s">
        <v>346</v>
      </c>
      <c r="E144" s="250" cm="1">
        <f t="array" ref="E144">_xll.PrecioBD(D144,24,"ASK","N")</f>
        <v>23780</v>
      </c>
      <c r="F144" s="250" cm="1">
        <f t="array" ref="F144">_xll.PrecioBD(D144,24,"VOLUME AMOUNT","N")</f>
        <v>47031220</v>
      </c>
      <c r="G144" s="94" cm="1">
        <f t="array" ref="G144">_xll.PrecioBD(D144,24,"IMBALANCE","N")</f>
        <v>1.1999999999999999E-3</v>
      </c>
    </row>
    <row r="145" spans="4:7">
      <c r="D145" s="249" t="s">
        <v>345</v>
      </c>
      <c r="E145" s="250" cm="1">
        <f t="array" ref="E145">_xll.PrecioBD(D145,24,"ASK","N")</f>
        <v>10100</v>
      </c>
      <c r="F145" s="250" cm="1">
        <f t="array" ref="F145">_xll.PrecioBD(D145,24,"VOLUME AMOUNT","N")</f>
        <v>43483050</v>
      </c>
      <c r="G145" s="94" cm="1">
        <f t="array" ref="G145">_xll.PrecioBD(D145,24,"IMBALANCE","N")</f>
        <v>-2.8799999999999999E-2</v>
      </c>
    </row>
    <row r="146" spans="4:7">
      <c r="D146" s="249" t="s">
        <v>344</v>
      </c>
      <c r="E146" s="250" cm="1">
        <f t="array" ref="E146">_xll.PrecioBD(D146,24,"ASK","N")</f>
        <v>30120</v>
      </c>
      <c r="F146" s="250" cm="1">
        <f t="array" ref="F146">_xll.PrecioBD(D146,24,"VOLUME AMOUNT","N")</f>
        <v>42836220</v>
      </c>
      <c r="G146" s="94" cm="1">
        <f t="array" ref="G146">_xll.PrecioBD(D146,24,"IMBALANCE","N")</f>
        <v>-1.6899999999999998E-2</v>
      </c>
    </row>
    <row r="147" spans="4:7">
      <c r="D147" s="249" t="s">
        <v>270</v>
      </c>
      <c r="E147" s="250" cm="1">
        <f t="array" ref="E147">_xll.PrecioBD(D147,24,"ASK","N")</f>
        <v>4347.5</v>
      </c>
      <c r="F147" s="250" cm="1">
        <f t="array" ref="F147">_xll.PrecioBD(D147,24,"VOLUME AMOUNT","N")</f>
        <v>42314915</v>
      </c>
      <c r="G147" s="94" cm="1">
        <f t="array" ref="G147">_xll.PrecioBD(D147,24,"IMBALANCE","N")</f>
        <v>-2.0199999999999999E-2</v>
      </c>
    </row>
    <row r="148" spans="4:7">
      <c r="D148" s="249" t="s">
        <v>446</v>
      </c>
      <c r="E148" s="250" cm="1">
        <f t="array" ref="E148">_xll.PrecioBD(D148,24,"ASK","N")</f>
        <v>15000</v>
      </c>
      <c r="F148" s="250" cm="1">
        <f t="array" ref="F148">_xll.PrecioBD(D148,24,"VOLUME AMOUNT","N")</f>
        <v>42613960</v>
      </c>
      <c r="G148" s="94" cm="1">
        <f t="array" ref="G148">_xll.PrecioBD(D148,24,"IMBALANCE","N")</f>
        <v>-1.44E-2</v>
      </c>
    </row>
    <row r="149" spans="4:7">
      <c r="D149" s="249" t="s">
        <v>274</v>
      </c>
      <c r="E149" s="250" cm="1">
        <f t="array" ref="E149">_xll.PrecioBD(D149,24,"ASK","N")</f>
        <v>6890</v>
      </c>
      <c r="F149" s="250" cm="1">
        <f t="array" ref="F149">_xll.PrecioBD(D149,24,"VOLUME AMOUNT","N")</f>
        <v>40132450</v>
      </c>
      <c r="G149" s="94" cm="1">
        <f t="array" ref="G149">_xll.PrecioBD(D149,24,"IMBALANCE","N")</f>
        <v>8.6999999999999994E-3</v>
      </c>
    </row>
    <row r="150" spans="4:7">
      <c r="D150" s="249" t="s">
        <v>532</v>
      </c>
      <c r="E150" s="250" cm="1">
        <f t="array" ref="E150">_xll.PrecioBD(D150,24,"ASK","N")</f>
        <v>52500</v>
      </c>
      <c r="F150" s="250" cm="1">
        <f t="array" ref="F150">_xll.PrecioBD(D150,24,"VOLUME AMOUNT","N")</f>
        <v>38301150</v>
      </c>
      <c r="G150" s="94" cm="1">
        <f t="array" ref="G150">_xll.PrecioBD(D150,24,"IMBALANCE","N")</f>
        <v>-8.8999999999999999E-3</v>
      </c>
    </row>
    <row r="151" spans="4:7">
      <c r="D151" s="249" t="s">
        <v>425</v>
      </c>
      <c r="E151" s="250" cm="1">
        <f t="array" ref="E151">_xll.PrecioBD(D151,24,"ASK","N")</f>
        <v>14870</v>
      </c>
      <c r="F151" s="250" cm="1">
        <f t="array" ref="F151">_xll.PrecioBD(D151,24,"VOLUME AMOUNT","N")</f>
        <v>37816650</v>
      </c>
      <c r="G151" s="94" cm="1">
        <f t="array" ref="G151">_xll.PrecioBD(D151,24,"IMBALANCE","N")</f>
        <v>-3.04E-2</v>
      </c>
    </row>
    <row r="152" spans="4:7">
      <c r="D152" s="249" t="s">
        <v>336</v>
      </c>
      <c r="E152" s="250" cm="1">
        <f t="array" ref="E152">_xll.PrecioBD(D152,24,"ASK","N")</f>
        <v>9840</v>
      </c>
      <c r="F152" s="250" cm="1">
        <f t="array" ref="F152">_xll.PrecioBD(D152,24,"VOLUME AMOUNT","N")</f>
        <v>36348970</v>
      </c>
      <c r="G152" s="94" cm="1">
        <f t="array" ref="G152">_xll.PrecioBD(D152,24,"IMBALANCE","N")</f>
        <v>-1.0500000000000001E-2</v>
      </c>
    </row>
    <row r="153" spans="4:7">
      <c r="D153" s="249" t="s">
        <v>391</v>
      </c>
      <c r="E153" s="250" cm="1">
        <f t="array" ref="E153">_xll.PrecioBD(D153,24,"ASK","N")</f>
        <v>7615</v>
      </c>
      <c r="F153" s="250" cm="1">
        <f t="array" ref="F153">_xll.PrecioBD(D153,24,"VOLUME AMOUNT","N")</f>
        <v>42820485</v>
      </c>
      <c r="G153" s="94" cm="1">
        <f t="array" ref="G153">_xll.PrecioBD(D153,24,"IMBALANCE","N")</f>
        <v>-9.1000000000000004E-3</v>
      </c>
    </row>
    <row r="154" spans="4:7">
      <c r="D154" s="249" t="s">
        <v>468</v>
      </c>
      <c r="E154" s="250" cm="1">
        <f t="array" ref="E154">_xll.PrecioBD(D154,24,"ASK","N")</f>
        <v>2350</v>
      </c>
      <c r="F154" s="250" cm="1">
        <f t="array" ref="F154">_xll.PrecioBD(D154,24,"VOLUME AMOUNT","N")</f>
        <v>36016137</v>
      </c>
      <c r="G154" s="94" cm="1">
        <f t="array" ref="G154">_xll.PrecioBD(D154,24,"IMBALANCE","N")</f>
        <v>3.3099999999999997E-2</v>
      </c>
    </row>
    <row r="155" spans="4:7">
      <c r="D155" s="249" t="s">
        <v>524</v>
      </c>
      <c r="E155" s="250" cm="1">
        <f t="array" ref="E155">_xll.PrecioBD(D155,24,"ASK","N")</f>
        <v>51675</v>
      </c>
      <c r="F155" s="250" cm="1">
        <f t="array" ref="F155">_xll.PrecioBD(D155,24,"VOLUME AMOUNT","N")</f>
        <v>35126650</v>
      </c>
      <c r="G155" s="94" cm="1">
        <f t="array" ref="G155">_xll.PrecioBD(D155,24,"IMBALANCE","N")</f>
        <v>0</v>
      </c>
    </row>
    <row r="156" spans="4:7">
      <c r="D156" s="249" t="s">
        <v>241</v>
      </c>
      <c r="E156" s="250" cm="1">
        <f t="array" ref="E156">_xll.PrecioBD(D156,24,"ASK","N")</f>
        <v>9055</v>
      </c>
      <c r="F156" s="250" cm="1">
        <f t="array" ref="F156">_xll.PrecioBD(D156,24,"VOLUME AMOUNT","N")</f>
        <v>37174845</v>
      </c>
      <c r="G156" s="94" cm="1">
        <f t="array" ref="G156">_xll.PrecioBD(D156,24,"IMBALANCE","N")</f>
        <v>1.6000000000000001E-3</v>
      </c>
    </row>
    <row r="157" spans="4:7">
      <c r="D157" s="249" t="s">
        <v>418</v>
      </c>
      <c r="E157" s="250" cm="1">
        <f t="array" ref="E157">_xll.PrecioBD(D157,24,"ASK","N")</f>
        <v>11510</v>
      </c>
      <c r="F157" s="250" cm="1">
        <f t="array" ref="F157">_xll.PrecioBD(D157,24,"VOLUME AMOUNT","N")</f>
        <v>33940960</v>
      </c>
      <c r="G157" s="94" cm="1">
        <f t="array" ref="G157">_xll.PrecioBD(D157,24,"IMBALANCE","N")</f>
        <v>-1.4500000000000001E-2</v>
      </c>
    </row>
    <row r="158" spans="4:7">
      <c r="D158" s="249" t="s">
        <v>161</v>
      </c>
      <c r="E158" s="250" cm="1">
        <f t="array" ref="E158">_xll.PrecioBD(D158,24,"ASK","N")</f>
        <v>24540</v>
      </c>
      <c r="F158" s="250" cm="1">
        <f t="array" ref="F158">_xll.PrecioBD(D158,24,"VOLUME AMOUNT","N")</f>
        <v>33615640</v>
      </c>
      <c r="G158" s="94" cm="1">
        <f t="array" ref="G158">_xll.PrecioBD(D158,24,"IMBALANCE","N")</f>
        <v>7.4000000000000003E-3</v>
      </c>
    </row>
    <row r="159" spans="4:7">
      <c r="D159" s="249" t="s">
        <v>305</v>
      </c>
      <c r="E159" s="250" cm="1">
        <f t="array" ref="E159">_xll.PrecioBD(D159,24,"ASK","N")</f>
        <v>44760</v>
      </c>
      <c r="F159" s="250" cm="1">
        <f t="array" ref="F159">_xll.PrecioBD(D159,24,"VOLUME AMOUNT","N")</f>
        <v>32990760</v>
      </c>
      <c r="G159" s="94" cm="1">
        <f t="array" ref="G159">_xll.PrecioBD(D159,24,"IMBALANCE","N")</f>
        <v>-7.9000000000000008E-3</v>
      </c>
    </row>
    <row r="160" spans="4:7">
      <c r="D160" s="249" t="s">
        <v>263</v>
      </c>
      <c r="E160" s="250" cm="1">
        <f t="array" ref="E160">_xll.PrecioBD(D160,24,"ASK","N")</f>
        <v>27240</v>
      </c>
      <c r="F160" s="250" cm="1">
        <f t="array" ref="F160">_xll.PrecioBD(D160,24,"VOLUME AMOUNT","N")</f>
        <v>33134780</v>
      </c>
      <c r="G160" s="94" cm="1">
        <f t="array" ref="G160">_xll.PrecioBD(D160,24,"IMBALANCE","N")</f>
        <v>1.6400000000000001E-2</v>
      </c>
    </row>
    <row r="161" spans="4:7">
      <c r="D161" s="249" t="s">
        <v>431</v>
      </c>
      <c r="E161" s="250" cm="1">
        <f t="array" ref="E161">_xll.PrecioBD(D161,24,"ASK","N")</f>
        <v>6545</v>
      </c>
      <c r="F161" s="250" cm="1">
        <f t="array" ref="F161">_xll.PrecioBD(D161,24,"VOLUME AMOUNT","N")</f>
        <v>32192965</v>
      </c>
      <c r="G161" s="94" cm="1">
        <f t="array" ref="G161">_xll.PrecioBD(D161,24,"IMBALANCE","N")</f>
        <v>-6.0000000000000001E-3</v>
      </c>
    </row>
    <row r="162" spans="4:7">
      <c r="D162" s="249" t="s">
        <v>167</v>
      </c>
      <c r="E162" s="250" cm="1">
        <f t="array" ref="E162">_xll.PrecioBD(D162,24,"ASK","N")</f>
        <v>10570</v>
      </c>
      <c r="F162" s="250" cm="1">
        <f t="array" ref="F162">_xll.PrecioBD(D162,24,"VOLUME AMOUNT","N")</f>
        <v>32064740</v>
      </c>
      <c r="G162" s="94" cm="1">
        <f t="array" ref="G162">_xll.PrecioBD(D162,24,"IMBALANCE","N")</f>
        <v>2.8E-3</v>
      </c>
    </row>
    <row r="163" spans="4:7">
      <c r="D163" s="249" t="s">
        <v>348</v>
      </c>
      <c r="E163" s="250" cm="1">
        <f t="array" ref="E163">_xll.PrecioBD(D163,24,"ASK","N")</f>
        <v>18280</v>
      </c>
      <c r="F163" s="250" cm="1">
        <f t="array" ref="F163">_xll.PrecioBD(D163,24,"VOLUME AMOUNT","N")</f>
        <v>31822770</v>
      </c>
      <c r="G163" s="94" cm="1">
        <f t="array" ref="G163">_xll.PrecioBD(D163,24,"IMBALANCE","N")</f>
        <v>-3.9199999999999999E-2</v>
      </c>
    </row>
    <row r="164" spans="4:7">
      <c r="D164" s="249" t="s">
        <v>365</v>
      </c>
      <c r="E164" s="250" cm="1">
        <f t="array" ref="E164">_xll.PrecioBD(D164,24,"ASK","N")</f>
        <v>8320</v>
      </c>
      <c r="F164" s="250" cm="1">
        <f t="array" ref="F164">_xll.PrecioBD(D164,24,"VOLUME AMOUNT","N")</f>
        <v>30887425</v>
      </c>
      <c r="G164" s="94" cm="1">
        <f t="array" ref="G164">_xll.PrecioBD(D164,24,"IMBALANCE","N")</f>
        <v>-3.15E-2</v>
      </c>
    </row>
    <row r="165" spans="4:7">
      <c r="D165" s="249" t="s">
        <v>239</v>
      </c>
      <c r="E165" s="250" cm="1">
        <f t="array" ref="E165">_xll.PrecioBD(D165,24,"ASK","N")</f>
        <v>21410</v>
      </c>
      <c r="F165" s="250" cm="1">
        <f t="array" ref="F165">_xll.PrecioBD(D165,24,"VOLUME AMOUNT","N")</f>
        <v>30261790</v>
      </c>
      <c r="G165" s="94" cm="1">
        <f t="array" ref="G165">_xll.PrecioBD(D165,24,"IMBALANCE","N")</f>
        <v>-3.9899999999999998E-2</v>
      </c>
    </row>
    <row r="166" spans="4:7">
      <c r="D166" s="249" t="s">
        <v>279</v>
      </c>
      <c r="E166" s="250" cm="1">
        <f t="array" ref="E166">_xll.PrecioBD(D166,24,"ASK","N")</f>
        <v>20620</v>
      </c>
      <c r="F166" s="250" cm="1">
        <f t="array" ref="F166">_xll.PrecioBD(D166,24,"VOLUME AMOUNT","N")</f>
        <v>30235230</v>
      </c>
      <c r="G166" s="94" cm="1">
        <f t="array" ref="G166">_xll.PrecioBD(D166,24,"IMBALANCE","N")</f>
        <v>1.8200000000000001E-2</v>
      </c>
    </row>
    <row r="167" spans="4:7">
      <c r="D167" s="249" t="s">
        <v>361</v>
      </c>
      <c r="E167" s="250" cm="1">
        <f t="array" ref="E167">_xll.PrecioBD(D167,24,"ASK","N")</f>
        <v>46980</v>
      </c>
      <c r="F167" s="250" cm="1">
        <f t="array" ref="F167">_xll.PrecioBD(D167,24,"VOLUME AMOUNT","N")</f>
        <v>29559140</v>
      </c>
      <c r="G167" s="94" cm="1">
        <f t="array" ref="G167">_xll.PrecioBD(D167,24,"IMBALANCE","N")</f>
        <v>8.5000000000000006E-3</v>
      </c>
    </row>
    <row r="168" spans="4:7">
      <c r="D168" s="249" t="s">
        <v>501</v>
      </c>
      <c r="E168" s="250" cm="1">
        <f t="array" ref="E168">_xll.PrecioBD(D168,24,"ASK","N")</f>
        <v>4525</v>
      </c>
      <c r="F168" s="250" cm="1">
        <f t="array" ref="F168">_xll.PrecioBD(D168,24,"VOLUME AMOUNT","N")</f>
        <v>29365842.5</v>
      </c>
      <c r="G168" s="94" cm="1">
        <f t="array" ref="G168">_xll.PrecioBD(D168,24,"IMBALANCE","N")</f>
        <v>-1.6299999999999999E-2</v>
      </c>
    </row>
    <row r="169" spans="4:7">
      <c r="D169" s="249" t="s">
        <v>366</v>
      </c>
      <c r="E169" s="250" cm="1">
        <f t="array" ref="E169">_xll.PrecioBD(D169,24,"ASK","N")</f>
        <v>23920</v>
      </c>
      <c r="F169" s="250" cm="1">
        <f t="array" ref="F169">_xll.PrecioBD(D169,24,"VOLUME AMOUNT","N")</f>
        <v>29225190</v>
      </c>
      <c r="G169" s="94" cm="1">
        <f t="array" ref="G169">_xll.PrecioBD(D169,24,"IMBALANCE","N")</f>
        <v>-1.3599999999999999E-2</v>
      </c>
    </row>
    <row r="170" spans="4:7">
      <c r="D170" s="249" t="s">
        <v>451</v>
      </c>
      <c r="E170" s="250" cm="1">
        <f t="array" ref="E170">_xll.PrecioBD(D170,24,"ASK","N")</f>
        <v>4925</v>
      </c>
      <c r="F170" s="250" cm="1">
        <f t="array" ref="F170">_xll.PrecioBD(D170,24,"VOLUME AMOUNT","N")</f>
        <v>29116362.5</v>
      </c>
      <c r="G170" s="94" cm="1">
        <f t="array" ref="G170">_xll.PrecioBD(D170,24,"IMBALANCE","N")</f>
        <v>-7.3499999999999996E-2</v>
      </c>
    </row>
    <row r="171" spans="4:7">
      <c r="D171" s="249" t="s">
        <v>389</v>
      </c>
      <c r="E171" s="250" cm="1">
        <f t="array" ref="E171">_xll.PrecioBD(D171,24,"ASK","N")</f>
        <v>60750</v>
      </c>
      <c r="F171" s="250" cm="1">
        <f t="array" ref="F171">_xll.PrecioBD(D171,24,"VOLUME AMOUNT","N")</f>
        <v>27672775</v>
      </c>
      <c r="G171" s="94" cm="1">
        <f t="array" ref="G171">_xll.PrecioBD(D171,24,"IMBALANCE","N")</f>
        <v>-2E-3</v>
      </c>
    </row>
    <row r="172" spans="4:7">
      <c r="D172" s="249" t="s">
        <v>433</v>
      </c>
      <c r="E172" s="250" cm="1">
        <f t="array" ref="E172">_xll.PrecioBD(D172,24,"ASK","N")</f>
        <v>2950</v>
      </c>
      <c r="F172" s="250" cm="1">
        <f t="array" ref="F172">_xll.PrecioBD(D172,24,"VOLUME AMOUNT","N")</f>
        <v>27498922.5</v>
      </c>
      <c r="G172" s="94" cm="1">
        <f t="array" ref="G172">_xll.PrecioBD(D172,24,"IMBALANCE","N")</f>
        <v>-2.47E-2</v>
      </c>
    </row>
    <row r="173" spans="4:7">
      <c r="D173" s="249" t="s">
        <v>402</v>
      </c>
      <c r="E173" s="250" cm="1">
        <f t="array" ref="E173">_xll.PrecioBD(D173,24,"ASK","N")</f>
        <v>13660</v>
      </c>
      <c r="F173" s="250" cm="1">
        <f t="array" ref="F173">_xll.PrecioBD(D173,24,"VOLUME AMOUNT","N")</f>
        <v>26708980</v>
      </c>
      <c r="G173" s="94" cm="1">
        <f t="array" ref="G173">_xll.PrecioBD(D173,24,"IMBALANCE","N")</f>
        <v>-2.3599999999999999E-2</v>
      </c>
    </row>
    <row r="174" spans="4:7">
      <c r="D174" s="249" t="s">
        <v>492</v>
      </c>
      <c r="E174" s="250" cm="1">
        <f t="array" ref="E174">_xll.PrecioBD(D174,24,"ASK","N")</f>
        <v>8200</v>
      </c>
      <c r="F174" s="250" cm="1">
        <f t="array" ref="F174">_xll.PrecioBD(D174,24,"VOLUME AMOUNT","N")</f>
        <v>26318680</v>
      </c>
      <c r="G174" s="94" cm="1">
        <f t="array" ref="G174">_xll.PrecioBD(D174,24,"IMBALANCE","N")</f>
        <v>4.8999999999999998E-3</v>
      </c>
    </row>
    <row r="175" spans="4:7">
      <c r="D175" s="249" t="s">
        <v>530</v>
      </c>
      <c r="E175" s="250" cm="1">
        <f t="array" ref="E175">_xll.PrecioBD(D175,24,"ASK","N")</f>
        <v>8640</v>
      </c>
      <c r="F175" s="250" cm="1">
        <f t="array" ref="F175">_xll.PrecioBD(D175,24,"VOLUME AMOUNT","N")</f>
        <v>26323285</v>
      </c>
      <c r="G175" s="94" cm="1">
        <f t="array" ref="G175">_xll.PrecioBD(D175,24,"IMBALANCE","N")</f>
        <v>-9.1000000000000004E-3</v>
      </c>
    </row>
    <row r="176" spans="4:7">
      <c r="D176" s="249" t="s">
        <v>321</v>
      </c>
      <c r="E176" s="250" cm="1">
        <f t="array" ref="E176">_xll.PrecioBD(D176,24,"ASK","N")</f>
        <v>5075</v>
      </c>
      <c r="F176" s="250" cm="1">
        <f t="array" ref="F176">_xll.PrecioBD(D176,24,"VOLUME AMOUNT","N")</f>
        <v>26483130</v>
      </c>
      <c r="G176" s="94" cm="1">
        <f t="array" ref="G176">_xll.PrecioBD(D176,24,"IMBALANCE","N")</f>
        <v>-3.4200000000000001E-2</v>
      </c>
    </row>
    <row r="177" spans="4:7">
      <c r="D177" s="249" t="s">
        <v>245</v>
      </c>
      <c r="E177" s="250" cm="1">
        <f t="array" ref="E177">_xll.PrecioBD(D177,24,"ASK","N")</f>
        <v>30360</v>
      </c>
      <c r="F177" s="250" cm="1">
        <f t="array" ref="F177">_xll.PrecioBD(D177,24,"VOLUME AMOUNT","N")</f>
        <v>28805120</v>
      </c>
      <c r="G177" s="94" cm="1">
        <f t="array" ref="G177">_xll.PrecioBD(D177,24,"IMBALANCE","N")</f>
        <v>8.6E-3</v>
      </c>
    </row>
    <row r="178" spans="4:7">
      <c r="D178" s="249" t="s">
        <v>466</v>
      </c>
      <c r="E178" s="250" cm="1">
        <f t="array" ref="E178">_xll.PrecioBD(D178,24,"ASK","N")</f>
        <v>3722.5</v>
      </c>
      <c r="F178" s="250" cm="1">
        <f t="array" ref="F178">_xll.PrecioBD(D178,24,"VOLUME AMOUNT","N")</f>
        <v>24372555</v>
      </c>
      <c r="G178" s="94" cm="1">
        <f t="array" ref="G178">_xll.PrecioBD(D178,24,"IMBALANCE","N")</f>
        <v>-6.2799999999999995E-2</v>
      </c>
    </row>
    <row r="179" spans="4:7">
      <c r="D179" s="249" t="s">
        <v>525</v>
      </c>
      <c r="E179" s="250" cm="1">
        <f t="array" ref="E179">_xll.PrecioBD(D179,24,"ASK","N")</f>
        <v>4450</v>
      </c>
      <c r="F179" s="250" cm="1">
        <f t="array" ref="F179">_xll.PrecioBD(D179,24,"VOLUME AMOUNT","N")</f>
        <v>23646942.5</v>
      </c>
      <c r="G179" s="94" cm="1">
        <f t="array" ref="G179">_xll.PrecioBD(D179,24,"IMBALANCE","N")</f>
        <v>1.1299999999999999E-2</v>
      </c>
    </row>
    <row r="180" spans="4:7">
      <c r="D180" s="249" t="s">
        <v>471</v>
      </c>
      <c r="E180" s="250" cm="1">
        <f t="array" ref="E180">_xll.PrecioBD(D180,24,"ASK","N")</f>
        <v>16310</v>
      </c>
      <c r="F180" s="250" cm="1">
        <f t="array" ref="F180">_xll.PrecioBD(D180,24,"VOLUME AMOUNT","N")</f>
        <v>22922400</v>
      </c>
      <c r="G180" s="94" cm="1">
        <f t="array" ref="G180">_xll.PrecioBD(D180,24,"IMBALANCE","N")</f>
        <v>-3.0000000000000001E-3</v>
      </c>
    </row>
    <row r="181" spans="4:7">
      <c r="D181" s="249" t="s">
        <v>283</v>
      </c>
      <c r="E181" s="250" cm="1">
        <f t="array" ref="E181">_xll.PrecioBD(D181,24,"ASK","N")</f>
        <v>58750</v>
      </c>
      <c r="F181" s="250" cm="1">
        <f t="array" ref="F181">_xll.PrecioBD(D181,24,"VOLUME AMOUNT","N")</f>
        <v>22999800</v>
      </c>
      <c r="G181" s="94" cm="1">
        <f t="array" ref="G181">_xll.PrecioBD(D181,24,"IMBALANCE","N")</f>
        <v>9.4000000000000004E-3</v>
      </c>
    </row>
    <row r="182" spans="4:7">
      <c r="D182" s="249" t="s">
        <v>223</v>
      </c>
      <c r="E182" s="250" cm="1">
        <f t="array" ref="E182">_xll.PrecioBD(D182,24,"ASK","N")</f>
        <v>18960</v>
      </c>
      <c r="F182" s="250" cm="1">
        <f t="array" ref="F182">_xll.PrecioBD(D182,24,"VOLUME AMOUNT","N")</f>
        <v>22238280</v>
      </c>
      <c r="G182" s="94" cm="1">
        <f t="array" ref="G182">_xll.PrecioBD(D182,24,"IMBALANCE","N")</f>
        <v>-1.83E-2</v>
      </c>
    </row>
    <row r="183" spans="4:7">
      <c r="D183" s="249" t="s">
        <v>237</v>
      </c>
      <c r="E183" s="250" cm="1">
        <f t="array" ref="E183">_xll.PrecioBD(D183,24,"ASK","N")</f>
        <v>87225</v>
      </c>
      <c r="F183" s="250" cm="1">
        <f t="array" ref="F183">_xll.PrecioBD(D183,24,"VOLUME AMOUNT","N")</f>
        <v>22050000</v>
      </c>
      <c r="G183" s="94" cm="1">
        <f t="array" ref="G183">_xll.PrecioBD(D183,24,"IMBALANCE","N")</f>
        <v>1.4E-3</v>
      </c>
    </row>
    <row r="184" spans="4:7">
      <c r="D184" s="249" t="s">
        <v>255</v>
      </c>
      <c r="E184" s="250" cm="1">
        <f t="array" ref="E184">_xll.PrecioBD(D184,24,"ASK","N")</f>
        <v>13240</v>
      </c>
      <c r="F184" s="250" cm="1">
        <f t="array" ref="F184">_xll.PrecioBD(D184,24,"VOLUME AMOUNT","N")</f>
        <v>20616860</v>
      </c>
      <c r="G184" s="94" cm="1">
        <f t="array" ref="G184">_xll.PrecioBD(D184,24,"IMBALANCE","N")</f>
        <v>-1.1900000000000001E-2</v>
      </c>
    </row>
    <row r="185" spans="4:7">
      <c r="D185" s="249" t="s">
        <v>462</v>
      </c>
      <c r="E185" s="250" cm="1">
        <f t="array" ref="E185">_xll.PrecioBD(D185,24,"ASK","N")</f>
        <v>150775</v>
      </c>
      <c r="F185" s="250" cm="1">
        <f t="array" ref="F185">_xll.PrecioBD(D185,24,"VOLUME AMOUNT","N")</f>
        <v>20475900</v>
      </c>
      <c r="G185" s="94" cm="1">
        <f t="array" ref="G185">_xll.PrecioBD(D185,24,"IMBALANCE","N")</f>
        <v>-5.7000000000000002E-3</v>
      </c>
    </row>
    <row r="186" spans="4:7">
      <c r="D186" s="249" t="s">
        <v>497</v>
      </c>
      <c r="E186" s="250" cm="1">
        <f t="array" ref="E186">_xll.PrecioBD(D186,24,"ASK","N")</f>
        <v>9220</v>
      </c>
      <c r="F186" s="250" cm="1">
        <f t="array" ref="F186">_xll.PrecioBD(D186,24,"VOLUME AMOUNT","N")</f>
        <v>19495665</v>
      </c>
      <c r="G186" s="94" cm="1">
        <f t="array" ref="G186">_xll.PrecioBD(D186,24,"IMBALANCE","N")</f>
        <v>0</v>
      </c>
    </row>
    <row r="187" spans="4:7">
      <c r="D187" s="249" t="s">
        <v>175</v>
      </c>
      <c r="E187" s="250" cm="1">
        <f t="array" ref="E187">_xll.PrecioBD(D187,24,"ASK","N")</f>
        <v>10160</v>
      </c>
      <c r="F187" s="250" cm="1">
        <f t="array" ref="F187">_xll.PrecioBD(D187,24,"VOLUME AMOUNT","N")</f>
        <v>19271300</v>
      </c>
      <c r="G187" s="94" cm="1">
        <f t="array" ref="G187">_xll.PrecioBD(D187,24,"IMBALANCE","N")</f>
        <v>-2.69E-2</v>
      </c>
    </row>
    <row r="188" spans="4:7">
      <c r="D188" s="249" t="s">
        <v>206</v>
      </c>
      <c r="E188" s="250" cm="1">
        <f t="array" ref="E188">_xll.PrecioBD(D188,24,"ASK","N")</f>
        <v>3585</v>
      </c>
      <c r="F188" s="250" cm="1">
        <f t="array" ref="F188">_xll.PrecioBD(D188,24,"VOLUME AMOUNT","N")</f>
        <v>18931490</v>
      </c>
      <c r="G188" s="94" cm="1">
        <f t="array" ref="G188">_xll.PrecioBD(D188,24,"IMBALANCE","N")</f>
        <v>4.1000000000000003E-3</v>
      </c>
    </row>
    <row r="189" spans="4:7">
      <c r="D189" s="249" t="s">
        <v>191</v>
      </c>
      <c r="E189" s="250" cm="1">
        <f t="array" ref="E189">_xll.PrecioBD(D189,24,"ASK","N")</f>
        <v>3580</v>
      </c>
      <c r="F189" s="250" cm="1">
        <f t="array" ref="F189">_xll.PrecioBD(D189,24,"VOLUME AMOUNT","N")</f>
        <v>18890862.5</v>
      </c>
      <c r="G189" s="94" cm="1">
        <f t="array" ref="G189">_xll.PrecioBD(D189,24,"IMBALANCE","N")</f>
        <v>1.4E-3</v>
      </c>
    </row>
    <row r="190" spans="4:7">
      <c r="D190" s="249" t="s">
        <v>372</v>
      </c>
      <c r="E190" s="250" cm="1">
        <f t="array" ref="E190">_xll.PrecioBD(D190,24,"ASK","N")</f>
        <v>35540</v>
      </c>
      <c r="F190" s="250" cm="1">
        <f t="array" ref="F190">_xll.PrecioBD(D190,24,"VOLUME AMOUNT","N")</f>
        <v>17069620</v>
      </c>
      <c r="G190" s="94" cm="1">
        <f t="array" ref="G190">_xll.PrecioBD(D190,24,"IMBALANCE","N")</f>
        <v>1.37E-2</v>
      </c>
    </row>
    <row r="191" spans="4:7">
      <c r="D191" s="249" t="s">
        <v>195</v>
      </c>
      <c r="E191" s="250" cm="1">
        <f t="array" ref="E191">_xll.PrecioBD(D191,24,"ASK","N")</f>
        <v>19410</v>
      </c>
      <c r="F191" s="250" cm="1">
        <f t="array" ref="F191">_xll.PrecioBD(D191,24,"VOLUME AMOUNT","N")</f>
        <v>16928780</v>
      </c>
      <c r="G191" s="94" cm="1">
        <f t="array" ref="G191">_xll.PrecioBD(D191,24,"IMBALANCE","N")</f>
        <v>-2.9499999999999998E-2</v>
      </c>
    </row>
    <row r="192" spans="4:7">
      <c r="D192" s="249" t="s">
        <v>339</v>
      </c>
      <c r="E192" s="250" cm="1">
        <f t="array" ref="E192">_xll.PrecioBD(D192,24,"ASK","N")</f>
        <v>8155</v>
      </c>
      <c r="F192" s="250" cm="1">
        <f t="array" ref="F192">_xll.PrecioBD(D192,24,"VOLUME AMOUNT","N")</f>
        <v>16910690</v>
      </c>
      <c r="G192" s="94" cm="1">
        <f t="array" ref="G192">_xll.PrecioBD(D192,24,"IMBALANCE","N")</f>
        <v>-6.0000000000000001E-3</v>
      </c>
    </row>
    <row r="193" spans="4:7">
      <c r="D193" s="249" t="s">
        <v>445</v>
      </c>
      <c r="E193" s="250" cm="1">
        <f t="array" ref="E193">_xll.PrecioBD(D193,24,"ASK","N")</f>
        <v>12700</v>
      </c>
      <c r="F193" s="250" cm="1">
        <f t="array" ref="F193">_xll.PrecioBD(D193,24,"VOLUME AMOUNT","N")</f>
        <v>16261890</v>
      </c>
      <c r="G193" s="94" cm="1">
        <f t="array" ref="G193">_xll.PrecioBD(D193,24,"IMBALANCE","N")</f>
        <v>-2.23E-2</v>
      </c>
    </row>
    <row r="194" spans="4:7">
      <c r="D194" s="249" t="s">
        <v>156</v>
      </c>
      <c r="E194" s="250" cm="1">
        <f t="array" ref="E194">_xll.PrecioBD(D194,24,"ASK","N")</f>
        <v>53125</v>
      </c>
      <c r="F194" s="250" cm="1">
        <f t="array" ref="F194">_xll.PrecioBD(D194,24,"VOLUME AMOUNT","N")</f>
        <v>16128200</v>
      </c>
      <c r="G194" s="94" cm="1">
        <f t="array" ref="G194">_xll.PrecioBD(D194,24,"IMBALANCE","N")</f>
        <v>-4.0000000000000002E-4</v>
      </c>
    </row>
    <row r="195" spans="4:7">
      <c r="D195" s="249" t="s">
        <v>435</v>
      </c>
      <c r="E195" s="250" cm="1">
        <f t="array" ref="E195">_xll.PrecioBD(D195,24,"ASK","N")</f>
        <v>58700</v>
      </c>
      <c r="F195" s="250" cm="1">
        <f t="array" ref="F195">_xll.PrecioBD(D195,24,"VOLUME AMOUNT","N")</f>
        <v>15386800</v>
      </c>
      <c r="G195" s="94" cm="1">
        <f t="array" ref="G195">_xll.PrecioBD(D195,24,"IMBALANCE","N")</f>
        <v>1.1999999999999999E-3</v>
      </c>
    </row>
    <row r="196" spans="4:7">
      <c r="D196" s="249" t="s">
        <v>222</v>
      </c>
      <c r="E196" s="250" cm="1">
        <f t="array" ref="E196">_xll.PrecioBD(D196,24,"ASK","N")</f>
        <v>20860</v>
      </c>
      <c r="F196" s="250" cm="1">
        <f t="array" ref="F196">_xll.PrecioBD(D196,24,"VOLUME AMOUNT","N")</f>
        <v>15292640</v>
      </c>
      <c r="G196" s="94" cm="1">
        <f t="array" ref="G196">_xll.PrecioBD(D196,24,"IMBALANCE","N")</f>
        <v>-4.1700000000000001E-2</v>
      </c>
    </row>
    <row r="197" spans="4:7">
      <c r="D197" s="249" t="s">
        <v>461</v>
      </c>
      <c r="E197" s="250" cm="1">
        <f t="array" ref="E197">_xll.PrecioBD(D197,24,"ASK","N")</f>
        <v>4210</v>
      </c>
      <c r="F197" s="250" cm="1">
        <f t="array" ref="F197">_xll.PrecioBD(D197,24,"VOLUME AMOUNT","N")</f>
        <v>15182750</v>
      </c>
      <c r="G197" s="94" cm="1">
        <f t="array" ref="G197">_xll.PrecioBD(D197,24,"IMBALANCE","N")</f>
        <v>-0.01</v>
      </c>
    </row>
    <row r="198" spans="4:7">
      <c r="D198" s="249" t="s">
        <v>500</v>
      </c>
      <c r="E198" s="250" cm="1">
        <f t="array" ref="E198">_xll.PrecioBD(D198,24,"ASK","N")</f>
        <v>7075</v>
      </c>
      <c r="F198" s="250" cm="1">
        <f t="array" ref="F198">_xll.PrecioBD(D198,24,"VOLUME AMOUNT","N")</f>
        <v>14936460</v>
      </c>
      <c r="G198" s="94" cm="1">
        <f t="array" ref="G198">_xll.PrecioBD(D198,24,"IMBALANCE","N")</f>
        <v>7.7999999999999996E-3</v>
      </c>
    </row>
    <row r="199" spans="4:7">
      <c r="D199" s="249" t="s">
        <v>235</v>
      </c>
      <c r="E199" s="250" cm="1">
        <f t="array" ref="E199">_xll.PrecioBD(D199,24,"ASK","N")</f>
        <v>47780</v>
      </c>
      <c r="F199" s="250" cm="1">
        <f t="array" ref="F199">_xll.PrecioBD(D199,24,"VOLUME AMOUNT","N")</f>
        <v>15025300</v>
      </c>
      <c r="G199" s="94" cm="1">
        <f t="array" ref="G199">_xll.PrecioBD(D199,24,"IMBALANCE","N")</f>
        <v>1.66E-2</v>
      </c>
    </row>
    <row r="200" spans="4:7">
      <c r="D200" s="249" t="s">
        <v>307</v>
      </c>
      <c r="E200" s="250" cm="1">
        <f t="array" ref="E200">_xll.PrecioBD(D200,24,"ASK","N")</f>
        <v>27920</v>
      </c>
      <c r="F200" s="250" cm="1">
        <f t="array" ref="F200">_xll.PrecioBD(D200,24,"VOLUME AMOUNT","N")</f>
        <v>14334580</v>
      </c>
      <c r="G200" s="94" cm="1">
        <f t="array" ref="G200">_xll.PrecioBD(D200,24,"IMBALANCE","N")</f>
        <v>-4.0599999999999997E-2</v>
      </c>
    </row>
    <row r="201" spans="4:7">
      <c r="D201" s="249" t="s">
        <v>539</v>
      </c>
      <c r="E201" s="250" cm="1">
        <f t="array" ref="E201">_xll.PrecioBD(D201,24,"ASK","N")</f>
        <v>22980</v>
      </c>
      <c r="F201" s="250" cm="1">
        <f t="array" ref="F201">_xll.PrecioBD(D201,24,"VOLUME AMOUNT","N")</f>
        <v>17306690</v>
      </c>
      <c r="G201" s="94" cm="1">
        <f t="array" ref="G201">_xll.PrecioBD(D201,24,"IMBALANCE","N")</f>
        <v>-8.9999999999999993E-3</v>
      </c>
    </row>
    <row r="202" spans="4:7">
      <c r="D202" s="249" t="s">
        <v>231</v>
      </c>
      <c r="E202" s="250" cm="1">
        <f t="array" ref="E202">_xll.PrecioBD(D202,24,"ASK","N")</f>
        <v>56300</v>
      </c>
      <c r="F202" s="250" cm="1">
        <f t="array" ref="F202">_xll.PrecioBD(D202,24,"VOLUME AMOUNT","N")</f>
        <v>13787725</v>
      </c>
      <c r="G202" s="94" cm="1">
        <f t="array" ref="G202">_xll.PrecioBD(D202,24,"IMBALANCE","N")</f>
        <v>-3.5900000000000001E-2</v>
      </c>
    </row>
    <row r="203" spans="4:7">
      <c r="D203" s="249" t="s">
        <v>277</v>
      </c>
      <c r="E203" s="250" cm="1">
        <f t="array" ref="E203">_xll.PrecioBD(D203,24,"ASK","N")</f>
        <v>9750</v>
      </c>
      <c r="F203" s="250" cm="1">
        <f t="array" ref="F203">_xll.PrecioBD(D203,24,"VOLUME AMOUNT","N")</f>
        <v>13615195</v>
      </c>
      <c r="G203" s="94" cm="1">
        <f t="array" ref="G203">_xll.PrecioBD(D203,24,"IMBALANCE","N")</f>
        <v>-2.8799999999999999E-2</v>
      </c>
    </row>
    <row r="204" spans="4:7">
      <c r="D204" s="249" t="s">
        <v>325</v>
      </c>
      <c r="E204" s="250" cm="1">
        <f t="array" ref="E204">_xll.PrecioBD(D204,24,"ASK","N")</f>
        <v>10110</v>
      </c>
      <c r="F204" s="250" cm="1">
        <f t="array" ref="F204">_xll.PrecioBD(D204,24,"VOLUME AMOUNT","N")</f>
        <v>13240120</v>
      </c>
      <c r="G204" s="94" cm="1">
        <f t="array" ref="G204">_xll.PrecioBD(D204,24,"IMBALANCE","N")</f>
        <v>-1.3599999999999999E-2</v>
      </c>
    </row>
    <row r="205" spans="4:7">
      <c r="D205" s="249" t="s">
        <v>256</v>
      </c>
      <c r="E205" s="250" cm="1">
        <f t="array" ref="E205">_xll.PrecioBD(D205,24,"ASK","N")</f>
        <v>2967.5</v>
      </c>
      <c r="F205" s="250" cm="1">
        <f t="array" ref="F205">_xll.PrecioBD(D205,24,"VOLUME AMOUNT","N")</f>
        <v>12854650</v>
      </c>
      <c r="G205" s="94" cm="1">
        <f t="array" ref="G205">_xll.PrecioBD(D205,24,"IMBALANCE","N")</f>
        <v>-1.83E-2</v>
      </c>
    </row>
    <row r="206" spans="4:7">
      <c r="D206" s="249" t="s">
        <v>432</v>
      </c>
      <c r="E206" s="250" cm="1">
        <f t="array" ref="E206">_xll.PrecioBD(D206,24,"ASK","N")</f>
        <v>5620</v>
      </c>
      <c r="F206" s="250" cm="1">
        <f t="array" ref="F206">_xll.PrecioBD(D206,24,"VOLUME AMOUNT","N")</f>
        <v>12739020</v>
      </c>
      <c r="G206" s="94" cm="1">
        <f t="array" ref="G206">_xll.PrecioBD(D206,24,"IMBALANCE","N")</f>
        <v>-6.1999999999999998E-3</v>
      </c>
    </row>
    <row r="207" spans="4:7">
      <c r="D207" s="249" t="s">
        <v>410</v>
      </c>
      <c r="E207" s="250" cm="1">
        <f t="array" ref="E207">_xll.PrecioBD(D207,24,"ASK","N")</f>
        <v>4802.5</v>
      </c>
      <c r="F207" s="250" cm="1">
        <f t="array" ref="F207">_xll.PrecioBD(D207,24,"VOLUME AMOUNT","N")</f>
        <v>13418867.5</v>
      </c>
      <c r="G207" s="94" cm="1">
        <f t="array" ref="G207">_xll.PrecioBD(D207,24,"IMBALANCE","N")</f>
        <v>-2.1399999999999999E-2</v>
      </c>
    </row>
    <row r="208" spans="4:7">
      <c r="D208" s="249" t="s">
        <v>441</v>
      </c>
      <c r="E208" s="250" cm="1">
        <f t="array" ref="E208">_xll.PrecioBD(D208,24,"ASK","N")</f>
        <v>8070</v>
      </c>
      <c r="F208" s="250" cm="1">
        <f t="array" ref="F208">_xll.PrecioBD(D208,24,"VOLUME AMOUNT","N")</f>
        <v>12658430</v>
      </c>
      <c r="G208" s="94" cm="1">
        <f t="array" ref="G208">_xll.PrecioBD(D208,24,"IMBALANCE","N")</f>
        <v>-5.9799999999999999E-2</v>
      </c>
    </row>
    <row r="209" spans="4:7">
      <c r="D209" s="249" t="s">
        <v>343</v>
      </c>
      <c r="E209" s="250" cm="1">
        <f t="array" ref="E209">_xll.PrecioBD(D209,24,"ASK","N")</f>
        <v>13840</v>
      </c>
      <c r="F209" s="250" cm="1">
        <f t="array" ref="F209">_xll.PrecioBD(D209,24,"VOLUME AMOUNT","N")</f>
        <v>12601470</v>
      </c>
      <c r="G209" s="94" cm="1">
        <f t="array" ref="G209">_xll.PrecioBD(D209,24,"IMBALANCE","N")</f>
        <v>-1.9900000000000001E-2</v>
      </c>
    </row>
    <row r="210" spans="4:7">
      <c r="D210" s="249" t="s">
        <v>250</v>
      </c>
      <c r="E210" s="250" cm="1">
        <f t="array" ref="E210">_xll.PrecioBD(D210,24,"ASK","N")</f>
        <v>6900</v>
      </c>
      <c r="F210" s="250" cm="1">
        <f t="array" ref="F210">_xll.PrecioBD(D210,24,"VOLUME AMOUNT","N")</f>
        <v>12432600</v>
      </c>
      <c r="G210" s="94" cm="1">
        <f t="array" ref="G210">_xll.PrecioBD(D210,24,"IMBALANCE","N")</f>
        <v>1.7600000000000001E-2</v>
      </c>
    </row>
    <row r="211" spans="4:7">
      <c r="D211" s="249" t="s">
        <v>324</v>
      </c>
      <c r="E211" s="250" cm="1">
        <f t="array" ref="E211">_xll.PrecioBD(D211,24,"ASK","N")</f>
        <v>9240</v>
      </c>
      <c r="F211" s="250" cm="1">
        <f t="array" ref="F211">_xll.PrecioBD(D211,24,"VOLUME AMOUNT","N")</f>
        <v>12167260</v>
      </c>
      <c r="G211" s="94" cm="1">
        <f t="array" ref="G211">_xll.PrecioBD(D211,24,"IMBALANCE","N")</f>
        <v>-7.4999999999999997E-3</v>
      </c>
    </row>
    <row r="212" spans="4:7">
      <c r="D212" s="249" t="s">
        <v>381</v>
      </c>
      <c r="E212" s="250" cm="1">
        <f t="array" ref="E212">_xll.PrecioBD(D212,24,"ASK","N")</f>
        <v>6100</v>
      </c>
      <c r="F212" s="250" cm="1">
        <f t="array" ref="F212">_xll.PrecioBD(D212,24,"VOLUME AMOUNT","N")</f>
        <v>11859050</v>
      </c>
      <c r="G212" s="94" cm="1">
        <f t="array" ref="G212">_xll.PrecioBD(D212,24,"IMBALANCE","N")</f>
        <v>2.3999999999999998E-3</v>
      </c>
    </row>
    <row r="213" spans="4:7">
      <c r="D213" s="249" t="s">
        <v>145</v>
      </c>
      <c r="E213" s="250" cm="1">
        <f t="array" ref="E213">_xll.PrecioBD(D213,24,"ASK","N")</f>
        <v>41320</v>
      </c>
      <c r="F213" s="250" cm="1">
        <f t="array" ref="F213">_xll.PrecioBD(D213,24,"VOLUME AMOUNT","N")</f>
        <v>11755440</v>
      </c>
      <c r="G213" s="94" cm="1">
        <f t="array" ref="G213">_xll.PrecioBD(D213,24,"IMBALANCE","N")</f>
        <v>-1.4800000000000001E-2</v>
      </c>
    </row>
    <row r="214" spans="4:7">
      <c r="D214" s="249" t="s">
        <v>508</v>
      </c>
      <c r="E214" s="250" cm="1">
        <f t="array" ref="E214">_xll.PrecioBD(D214,24,"ASK","N")</f>
        <v>9665</v>
      </c>
      <c r="F214" s="250" cm="1">
        <f t="array" ref="F214">_xll.PrecioBD(D214,24,"VOLUME AMOUNT","N")</f>
        <v>11648175</v>
      </c>
      <c r="G214" s="94" cm="1">
        <f t="array" ref="G214">_xll.PrecioBD(D214,24,"IMBALANCE","N")</f>
        <v>4.4299999999999999E-2</v>
      </c>
    </row>
    <row r="215" spans="4:7">
      <c r="D215" s="249" t="s">
        <v>460</v>
      </c>
      <c r="E215" s="250" cm="1">
        <f t="array" ref="E215">_xll.PrecioBD(D215,24,"ASK","N")</f>
        <v>8605</v>
      </c>
      <c r="F215" s="250" cm="1">
        <f t="array" ref="F215">_xll.PrecioBD(D215,24,"VOLUME AMOUNT","N")</f>
        <v>11317035</v>
      </c>
      <c r="G215" s="94" cm="1">
        <f t="array" ref="G215">_xll.PrecioBD(D215,24,"IMBALANCE","N")</f>
        <v>-1.77E-2</v>
      </c>
    </row>
    <row r="216" spans="4:7">
      <c r="D216" s="249" t="s">
        <v>183</v>
      </c>
      <c r="E216" s="250" cm="1">
        <f t="array" ref="E216">_xll.PrecioBD(D216,24,"ASK","N")</f>
        <v>51950</v>
      </c>
      <c r="F216" s="250" cm="1">
        <f t="array" ref="F216">_xll.PrecioBD(D216,24,"VOLUME AMOUNT","N")</f>
        <v>11757350</v>
      </c>
      <c r="G216" s="94" cm="1">
        <f t="array" ref="G216">_xll.PrecioBD(D216,24,"IMBALANCE","N")</f>
        <v>-3.6700000000000003E-2</v>
      </c>
    </row>
    <row r="217" spans="4:7">
      <c r="D217" s="249" t="s">
        <v>475</v>
      </c>
      <c r="E217" s="250" cm="1">
        <f t="array" ref="E217">_xll.PrecioBD(D217,24,"ASK","N")</f>
        <v>7020</v>
      </c>
      <c r="F217" s="250" cm="1">
        <f t="array" ref="F217">_xll.PrecioBD(D217,24,"VOLUME AMOUNT","N")</f>
        <v>11147915</v>
      </c>
      <c r="G217" s="94" cm="1">
        <f t="array" ref="G217">_xll.PrecioBD(D217,24,"IMBALANCE","N")</f>
        <v>-2.0999999999999999E-3</v>
      </c>
    </row>
    <row r="218" spans="4:7">
      <c r="D218" s="249" t="s">
        <v>351</v>
      </c>
      <c r="E218" s="250" cm="1">
        <f t="array" ref="E218">_xll.PrecioBD(D218,24,"ASK","N")</f>
        <v>50550</v>
      </c>
      <c r="F218" s="250" cm="1">
        <f t="array" ref="F218">_xll.PrecioBD(D218,24,"VOLUME AMOUNT","N")</f>
        <v>10861600</v>
      </c>
      <c r="G218" s="94" cm="1">
        <f t="array" ref="G218">_xll.PrecioBD(D218,24,"IMBALANCE","N")</f>
        <v>-1.0200000000000001E-2</v>
      </c>
    </row>
    <row r="219" spans="4:7">
      <c r="D219" s="249" t="s">
        <v>350</v>
      </c>
      <c r="E219" s="250" cm="1">
        <f t="array" ref="E219">_xll.PrecioBD(D219,24,"ASK","N")</f>
        <v>26840</v>
      </c>
      <c r="F219" s="250" cm="1">
        <f t="array" ref="F219">_xll.PrecioBD(D219,24,"VOLUME AMOUNT","N")</f>
        <v>10789500</v>
      </c>
      <c r="G219" s="94" cm="1">
        <f t="array" ref="G219">_xll.PrecioBD(D219,24,"IMBALANCE","N")</f>
        <v>1.21E-2</v>
      </c>
    </row>
    <row r="220" spans="4:7">
      <c r="D220" s="249" t="s">
        <v>380</v>
      </c>
      <c r="E220" s="250" cm="1">
        <f t="array" ref="E220">_xll.PrecioBD(D220,24,"ASK","N")</f>
        <v>3117.5</v>
      </c>
      <c r="F220" s="250" cm="1">
        <f t="array" ref="F220">_xll.PrecioBD(D220,24,"VOLUME AMOUNT","N")</f>
        <v>10756082.5</v>
      </c>
      <c r="G220" s="94" cm="1">
        <f t="array" ref="G220">_xll.PrecioBD(D220,24,"IMBALANCE","N")</f>
        <v>7.1999999999999998E-3</v>
      </c>
    </row>
    <row r="221" spans="4:7">
      <c r="D221" s="249" t="s">
        <v>496</v>
      </c>
      <c r="E221" s="250" cm="1">
        <f t="array" ref="E221">_xll.PrecioBD(D221,24,"ASK","N")</f>
        <v>18070</v>
      </c>
      <c r="F221" s="250" cm="1">
        <f t="array" ref="F221">_xll.PrecioBD(D221,24,"VOLUME AMOUNT","N")</f>
        <v>11225580</v>
      </c>
      <c r="G221" s="94" cm="1">
        <f t="array" ref="G221">_xll.PrecioBD(D221,24,"IMBALANCE","N")</f>
        <v>3.8E-3</v>
      </c>
    </row>
    <row r="222" spans="4:7">
      <c r="D222" s="249" t="s">
        <v>509</v>
      </c>
      <c r="E222" s="250" cm="1">
        <f t="array" ref="E222">_xll.PrecioBD(D222,24,"ASK","N")</f>
        <v>37480</v>
      </c>
      <c r="F222" s="250" cm="1">
        <f t="array" ref="F222">_xll.PrecioBD(D222,24,"VOLUME AMOUNT","N")</f>
        <v>10492600</v>
      </c>
      <c r="G222" s="94" cm="1">
        <f t="array" ref="G222">_xll.PrecioBD(D222,24,"IMBALANCE","N")</f>
        <v>-2.5000000000000001E-2</v>
      </c>
    </row>
    <row r="223" spans="4:7">
      <c r="D223" s="249" t="s">
        <v>368</v>
      </c>
      <c r="E223" s="250" cm="1">
        <f t="array" ref="E223">_xll.PrecioBD(D223,24,"ASK","N")</f>
        <v>19760</v>
      </c>
      <c r="F223" s="250" cm="1">
        <f t="array" ref="F223">_xll.PrecioBD(D223,24,"VOLUME AMOUNT","N")</f>
        <v>10459980</v>
      </c>
      <c r="G223" s="94" cm="1">
        <f t="array" ref="G223">_xll.PrecioBD(D223,24,"IMBALANCE","N")</f>
        <v>-0.01</v>
      </c>
    </row>
    <row r="224" spans="4:7">
      <c r="D224" s="249" t="s">
        <v>544</v>
      </c>
      <c r="E224" s="250" cm="1">
        <f t="array" ref="E224">_xll.PrecioBD(D224,24,"ASK","N")</f>
        <v>25760</v>
      </c>
      <c r="F224" s="250" cm="1">
        <f t="array" ref="F224">_xll.PrecioBD(D224,24,"VOLUME AMOUNT","N")</f>
        <v>10450160</v>
      </c>
      <c r="G224" s="94" cm="1">
        <f t="array" ref="G224">_xll.PrecioBD(D224,24,"IMBALANCE","N")</f>
        <v>-2.0400000000000001E-2</v>
      </c>
    </row>
    <row r="225" spans="4:7">
      <c r="D225" s="249" t="s">
        <v>217</v>
      </c>
      <c r="E225" s="250" cm="1">
        <f t="array" ref="E225">_xll.PrecioBD(D225,24,"ASK","N")</f>
        <v>3127.5</v>
      </c>
      <c r="F225" s="250" cm="1">
        <f t="array" ref="F225">_xll.PrecioBD(D225,24,"VOLUME AMOUNT","N")</f>
        <v>10451157.5</v>
      </c>
      <c r="G225" s="94" cm="1">
        <f t="array" ref="G225">_xll.PrecioBD(D225,24,"IMBALANCE","N")</f>
        <v>-2.2800000000000001E-2</v>
      </c>
    </row>
    <row r="226" spans="4:7">
      <c r="D226" s="249" t="s">
        <v>148</v>
      </c>
      <c r="E226" s="250" cm="1">
        <f t="array" ref="E226">_xll.PrecioBD(D226,24,"ASK","N")</f>
        <v>4355</v>
      </c>
      <c r="F226" s="250" cm="1">
        <f t="array" ref="F226">_xll.PrecioBD(D226,24,"VOLUME AMOUNT","N")</f>
        <v>10150397.5</v>
      </c>
      <c r="G226" s="94" cm="1">
        <f t="array" ref="G226">_xll.PrecioBD(D226,24,"IMBALANCE","N")</f>
        <v>-5.2999999999999999E-2</v>
      </c>
    </row>
    <row r="227" spans="4:7">
      <c r="D227" s="249" t="s">
        <v>153</v>
      </c>
      <c r="E227" s="250" cm="1">
        <f t="array" ref="E227">_xll.PrecioBD(D227,24,"ASK","N")</f>
        <v>6095</v>
      </c>
      <c r="F227" s="250" cm="1">
        <f t="array" ref="F227">_xll.PrecioBD(D227,24,"VOLUME AMOUNT","N")</f>
        <v>10312705</v>
      </c>
      <c r="G227" s="94" cm="1">
        <f t="array" ref="G227">_xll.PrecioBD(D227,24,"IMBALANCE","N")</f>
        <v>-2.8000000000000001E-2</v>
      </c>
    </row>
    <row r="228" spans="4:7">
      <c r="D228" s="249" t="s">
        <v>186</v>
      </c>
      <c r="E228" s="250" cm="1">
        <f t="array" ref="E228">_xll.PrecioBD(D228,24,"ASK","N")</f>
        <v>18690</v>
      </c>
      <c r="F228" s="250" cm="1">
        <f t="array" ref="F228">_xll.PrecioBD(D228,24,"VOLUME AMOUNT","N")</f>
        <v>10098330</v>
      </c>
      <c r="G228" s="94" cm="1">
        <f t="array" ref="G228">_xll.PrecioBD(D228,24,"IMBALANCE","N")</f>
        <v>-0.04</v>
      </c>
    </row>
    <row r="229" spans="4:7">
      <c r="D229" s="249" t="s">
        <v>546</v>
      </c>
      <c r="E229" s="250" cm="1">
        <f t="array" ref="E229">_xll.PrecioBD(D229,24,"ASK","N")</f>
        <v>7470</v>
      </c>
      <c r="F229" s="250" cm="1">
        <f t="array" ref="F229">_xll.PrecioBD(D229,24,"VOLUME AMOUNT","N")</f>
        <v>9995945</v>
      </c>
      <c r="G229" s="94" cm="1">
        <f t="array" ref="G229">_xll.PrecioBD(D229,24,"IMBALANCE","N")</f>
        <v>-7.3000000000000001E-3</v>
      </c>
    </row>
    <row r="230" spans="4:7">
      <c r="D230" s="249" t="s">
        <v>338</v>
      </c>
      <c r="E230" s="250" cm="1">
        <f t="array" ref="E230">_xll.PrecioBD(D230,24,"ASK","N")</f>
        <v>8890</v>
      </c>
      <c r="F230" s="250" cm="1">
        <f t="array" ref="F230">_xll.PrecioBD(D230,24,"VOLUME AMOUNT","N")</f>
        <v>9794715</v>
      </c>
      <c r="G230" s="94" cm="1">
        <f t="array" ref="G230">_xll.PrecioBD(D230,24,"IMBALANCE","N")</f>
        <v>-1.38E-2</v>
      </c>
    </row>
    <row r="231" spans="4:7">
      <c r="D231" s="249" t="s">
        <v>327</v>
      </c>
      <c r="E231" s="250" cm="1">
        <f t="array" ref="E231">_xll.PrecioBD(D231,24,"ASK","N")</f>
        <v>1477</v>
      </c>
      <c r="F231" s="250" cm="1">
        <f t="array" ref="F231">_xll.PrecioBD(D231,24,"VOLUME AMOUNT","N")</f>
        <v>9748439</v>
      </c>
      <c r="G231" s="94" cm="1">
        <f t="array" ref="G231">_xll.PrecioBD(D231,24,"IMBALANCE","N")</f>
        <v>-1.2E-2</v>
      </c>
    </row>
    <row r="232" spans="4:7">
      <c r="D232" s="249" t="s">
        <v>252</v>
      </c>
      <c r="E232" s="250" cm="1">
        <f t="array" ref="E232">_xll.PrecioBD(D232,24,"ASK","N")</f>
        <v>13080</v>
      </c>
      <c r="F232" s="250" cm="1">
        <f t="array" ref="F232">_xll.PrecioBD(D232,24,"VOLUME AMOUNT","N")</f>
        <v>8761690</v>
      </c>
      <c r="G232" s="94" cm="1">
        <f t="array" ref="G232">_xll.PrecioBD(D232,24,"IMBALANCE","N")</f>
        <v>5.3E-3</v>
      </c>
    </row>
    <row r="233" spans="4:7">
      <c r="D233" s="249" t="s">
        <v>390</v>
      </c>
      <c r="E233" s="250" cm="1">
        <f t="array" ref="E233">_xll.PrecioBD(D233,24,"ASK","N")</f>
        <v>17500</v>
      </c>
      <c r="F233" s="250" cm="1">
        <f t="array" ref="F233">_xll.PrecioBD(D233,24,"VOLUME AMOUNT","N")</f>
        <v>8750000</v>
      </c>
      <c r="G233" s="94" cm="1">
        <f t="array" ref="G233">_xll.PrecioBD(D233,24,"IMBALANCE","N")</f>
        <v>-2.2000000000000001E-3</v>
      </c>
    </row>
    <row r="234" spans="4:7">
      <c r="D234" s="249" t="s">
        <v>488</v>
      </c>
      <c r="E234" s="250" cm="1">
        <f t="array" ref="E234">_xll.PrecioBD(D234,24,"ASK","N")</f>
        <v>14820</v>
      </c>
      <c r="F234" s="250" cm="1">
        <f t="array" ref="F234">_xll.PrecioBD(D234,24,"VOLUME AMOUNT","N")</f>
        <v>8360390</v>
      </c>
      <c r="G234" s="94" cm="1">
        <f t="array" ref="G234">_xll.PrecioBD(D234,24,"IMBALANCE","N")</f>
        <v>1.23E-2</v>
      </c>
    </row>
    <row r="235" spans="4:7">
      <c r="D235" s="249" t="s">
        <v>337</v>
      </c>
      <c r="E235" s="250" cm="1">
        <f t="array" ref="E235">_xll.PrecioBD(D235,24,"ASK","N")</f>
        <v>9355</v>
      </c>
      <c r="F235" s="250" cm="1">
        <f t="array" ref="F235">_xll.PrecioBD(D235,24,"VOLUME AMOUNT","N")</f>
        <v>8006920</v>
      </c>
      <c r="G235" s="94" cm="1">
        <f t="array" ref="G235">_xll.PrecioBD(D235,24,"IMBALANCE","N")</f>
        <v>-6.3E-3</v>
      </c>
    </row>
    <row r="236" spans="4:7">
      <c r="D236" s="249" t="s">
        <v>516</v>
      </c>
      <c r="E236" s="250" cm="1">
        <f t="array" ref="E236">_xll.PrecioBD(D236,24,"ASK","N")</f>
        <v>8335</v>
      </c>
      <c r="F236" s="250" cm="1">
        <f t="array" ref="F236">_xll.PrecioBD(D236,24,"VOLUME AMOUNT","N")</f>
        <v>7836835</v>
      </c>
      <c r="G236" s="94" cm="1">
        <f t="array" ref="G236">_xll.PrecioBD(D236,24,"IMBALANCE","N")</f>
        <v>-3.1199999999999999E-2</v>
      </c>
    </row>
    <row r="237" spans="4:7">
      <c r="D237" s="249" t="s">
        <v>157</v>
      </c>
      <c r="E237" s="250" cm="1">
        <f t="array" ref="E237">_xll.PrecioBD(D237,24,"ASK","N")</f>
        <v>11710</v>
      </c>
      <c r="F237" s="250" cm="1">
        <f t="array" ref="F237">_xll.PrecioBD(D237,24,"VOLUME AMOUNT","N")</f>
        <v>7866650</v>
      </c>
      <c r="G237" s="94" cm="1">
        <f t="array" ref="G237">_xll.PrecioBD(D237,24,"IMBALANCE","N")</f>
        <v>-4.1999999999999997E-3</v>
      </c>
    </row>
    <row r="238" spans="4:7">
      <c r="D238" s="249" t="s">
        <v>332</v>
      </c>
      <c r="E238" s="250" cm="1">
        <f t="array" ref="E238">_xll.PrecioBD(D238,24,"ASK","N")</f>
        <v>8330</v>
      </c>
      <c r="F238" s="250" cm="1">
        <f t="array" ref="F238">_xll.PrecioBD(D238,24,"VOLUME AMOUNT","N")</f>
        <v>7687070</v>
      </c>
      <c r="G238" s="94" cm="1">
        <f t="array" ref="G238">_xll.PrecioBD(D238,24,"IMBALANCE","N")</f>
        <v>-1.12E-2</v>
      </c>
    </row>
    <row r="239" spans="4:7">
      <c r="D239" s="249" t="s">
        <v>482</v>
      </c>
      <c r="E239" s="250" cm="1">
        <f t="array" ref="E239">_xll.PrecioBD(D239,24,"ASK","N")</f>
        <v>6320</v>
      </c>
      <c r="F239" s="250" cm="1">
        <f t="array" ref="F239">_xll.PrecioBD(D239,24,"VOLUME AMOUNT","N")</f>
        <v>7357380</v>
      </c>
      <c r="G239" s="94" cm="1">
        <f t="array" ref="G239">_xll.PrecioBD(D239,24,"IMBALANCE","N")</f>
        <v>-3.5900000000000001E-2</v>
      </c>
    </row>
    <row r="240" spans="4:7">
      <c r="D240" s="249" t="s">
        <v>201</v>
      </c>
      <c r="E240" s="250" cm="1">
        <f t="array" ref="E240">_xll.PrecioBD(D240,24,"ASK","N")</f>
        <v>54650</v>
      </c>
      <c r="F240" s="250" cm="1">
        <f t="array" ref="F240">_xll.PrecioBD(D240,24,"VOLUME AMOUNT","N")</f>
        <v>7273825</v>
      </c>
      <c r="G240" s="94" cm="1">
        <f t="array" ref="G240">_xll.PrecioBD(D240,24,"IMBALANCE","N")</f>
        <v>-7.7000000000000002E-3</v>
      </c>
    </row>
    <row r="241" spans="4:7">
      <c r="D241" s="249" t="s">
        <v>450</v>
      </c>
      <c r="E241" s="250" cm="1">
        <f t="array" ref="E241">_xll.PrecioBD(D241,24,"ASK","N")</f>
        <v>25440</v>
      </c>
      <c r="F241" s="250" cm="1">
        <f t="array" ref="F241">_xll.PrecioBD(D241,24,"VOLUME AMOUNT","N")</f>
        <v>7124100</v>
      </c>
      <c r="G241" s="94" cm="1">
        <f t="array" ref="G241">_xll.PrecioBD(D241,24,"IMBALANCE","N")</f>
        <v>8.6999999999999994E-3</v>
      </c>
    </row>
    <row r="242" spans="4:7">
      <c r="D242" s="249" t="s">
        <v>527</v>
      </c>
      <c r="E242" s="250" cm="1">
        <f t="array" ref="E242">_xll.PrecioBD(D242,24,"ASK","N")</f>
        <v>26120</v>
      </c>
      <c r="F242" s="250" cm="1">
        <f t="array" ref="F242">_xll.PrecioBD(D242,24,"VOLUME AMOUNT","N")</f>
        <v>6998920</v>
      </c>
      <c r="G242" s="94" cm="1">
        <f t="array" ref="G242">_xll.PrecioBD(D242,24,"IMBALANCE","N")</f>
        <v>7.0000000000000001E-3</v>
      </c>
    </row>
    <row r="243" spans="4:7">
      <c r="D243" s="249" t="s">
        <v>493</v>
      </c>
      <c r="E243" s="250" cm="1">
        <f t="array" ref="E243">_xll.PrecioBD(D243,24,"ASK","N")</f>
        <v>106875</v>
      </c>
      <c r="F243" s="250" cm="1">
        <f t="array" ref="F243">_xll.PrecioBD(D243,24,"VOLUME AMOUNT","N")</f>
        <v>6710775</v>
      </c>
      <c r="G243" s="94" cm="1">
        <f t="array" ref="G243">_xll.PrecioBD(D243,24,"IMBALANCE","N")</f>
        <v>-6.8999999999999999E-3</v>
      </c>
    </row>
    <row r="244" spans="4:7">
      <c r="D244" s="249" t="s">
        <v>292</v>
      </c>
      <c r="E244" s="250" cm="1">
        <f t="array" ref="E244">_xll.PrecioBD(D244,24,"ASK","N")</f>
        <v>7190</v>
      </c>
      <c r="F244" s="250" cm="1">
        <f t="array" ref="F244">_xll.PrecioBD(D244,24,"VOLUME AMOUNT","N")</f>
        <v>6301340</v>
      </c>
      <c r="G244" s="94" cm="1">
        <f t="array" ref="G244">_xll.PrecioBD(D244,24,"IMBALANCE","N")</f>
        <v>2.93E-2</v>
      </c>
    </row>
    <row r="245" spans="4:7">
      <c r="D245" s="249" t="s">
        <v>166</v>
      </c>
      <c r="E245" s="250" cm="1">
        <f t="array" ref="E245">_xll.PrecioBD(D245,24,"ASK","N")</f>
        <v>34680</v>
      </c>
      <c r="F245" s="250" cm="1">
        <f t="array" ref="F245">_xll.PrecioBD(D245,24,"VOLUME AMOUNT","N")</f>
        <v>6023920</v>
      </c>
      <c r="G245" s="94" cm="1">
        <f t="array" ref="G245">_xll.PrecioBD(D245,24,"IMBALANCE","N")</f>
        <v>-5.1000000000000004E-3</v>
      </c>
    </row>
    <row r="246" spans="4:7">
      <c r="D246" s="249" t="s">
        <v>194</v>
      </c>
      <c r="E246" s="250" cm="1">
        <f t="array" ref="E246">_xll.PrecioBD(D246,24,"ASK","N")</f>
        <v>71650</v>
      </c>
      <c r="F246" s="250" cm="1">
        <f t="array" ref="F246">_xll.PrecioBD(D246,24,"VOLUME AMOUNT","N")</f>
        <v>5965025</v>
      </c>
      <c r="G246" s="94" cm="1">
        <f t="array" ref="G246">_xll.PrecioBD(D246,24,"IMBALANCE","N")</f>
        <v>-1.54E-2</v>
      </c>
    </row>
    <row r="247" spans="4:7">
      <c r="D247" s="249" t="s">
        <v>483</v>
      </c>
      <c r="E247" s="250" cm="1">
        <f t="array" ref="E247">_xll.PrecioBD(D247,24,"ASK","N")</f>
        <v>70025</v>
      </c>
      <c r="F247" s="250" cm="1">
        <f t="array" ref="F247">_xll.PrecioBD(D247,24,"VOLUME AMOUNT","N")</f>
        <v>5483175</v>
      </c>
      <c r="G247" s="94" cm="1">
        <f t="array" ref="G247">_xll.PrecioBD(D247,24,"IMBALANCE","N")</f>
        <v>-2.81E-2</v>
      </c>
    </row>
    <row r="248" spans="4:7">
      <c r="D248" s="249" t="s">
        <v>414</v>
      </c>
      <c r="E248" s="250" cm="1">
        <f t="array" ref="E248">_xll.PrecioBD(D248,24,"ASK","N")</f>
        <v>5975</v>
      </c>
      <c r="F248" s="250" cm="1">
        <f t="array" ref="F248">_xll.PrecioBD(D248,24,"VOLUME AMOUNT","N")</f>
        <v>5260115</v>
      </c>
      <c r="G248" s="94" cm="1">
        <f t="array" ref="G248">_xll.PrecioBD(D248,24,"IMBALANCE","N")</f>
        <v>-3.7100000000000001E-2</v>
      </c>
    </row>
    <row r="249" spans="4:7">
      <c r="D249" s="249" t="s">
        <v>144</v>
      </c>
      <c r="E249" s="250" cm="1">
        <f t="array" ref="E249">_xll.PrecioBD(D249,24,"ASK","N")</f>
        <v>25500</v>
      </c>
      <c r="F249" s="250" cm="1">
        <f t="array" ref="F249">_xll.PrecioBD(D249,24,"VOLUME AMOUNT","N")</f>
        <v>5165630</v>
      </c>
      <c r="G249" s="94" cm="1">
        <f t="array" ref="G249">_xll.PrecioBD(D249,24,"IMBALANCE","N")</f>
        <v>-7.7999999999999996E-3</v>
      </c>
    </row>
    <row r="250" spans="4:7">
      <c r="D250" s="249" t="s">
        <v>452</v>
      </c>
      <c r="E250" s="250" cm="1">
        <f t="array" ref="E250">_xll.PrecioBD(D250,24,"ASK","N")</f>
        <v>878</v>
      </c>
      <c r="F250" s="250" cm="1">
        <f t="array" ref="F250">_xll.PrecioBD(D250,24,"VOLUME AMOUNT","N")</f>
        <v>5088226.5</v>
      </c>
      <c r="G250" s="94" cm="1">
        <f t="array" ref="G250">_xll.PrecioBD(D250,24,"IMBALANCE","N")</f>
        <v>6.7999999999999996E-3</v>
      </c>
    </row>
    <row r="251" spans="4:7">
      <c r="D251" s="249" t="s">
        <v>168</v>
      </c>
      <c r="E251" s="250" cm="1">
        <f t="array" ref="E251">_xll.PrecioBD(D251,24,"ASK","N")</f>
        <v>34640</v>
      </c>
      <c r="F251" s="250" cm="1">
        <f t="array" ref="F251">_xll.PrecioBD(D251,24,"VOLUME AMOUNT","N")</f>
        <v>5424080</v>
      </c>
      <c r="G251" s="94" cm="1">
        <f t="array" ref="G251">_xll.PrecioBD(D251,24,"IMBALANCE","N")</f>
        <v>-1.3100000000000001E-2</v>
      </c>
    </row>
    <row r="252" spans="4:7">
      <c r="D252" s="249" t="s">
        <v>467</v>
      </c>
      <c r="E252" s="250" cm="1">
        <f t="array" ref="E252">_xll.PrecioBD(D252,24,"ASK","N")</f>
        <v>12310</v>
      </c>
      <c r="F252" s="250" cm="1">
        <f t="array" ref="F252">_xll.PrecioBD(D252,24,"VOLUME AMOUNT","N")</f>
        <v>4691770</v>
      </c>
      <c r="G252" s="94" cm="1">
        <f t="array" ref="G252">_xll.PrecioBD(D252,24,"IMBALANCE","N")</f>
        <v>1.23E-2</v>
      </c>
    </row>
    <row r="253" spans="4:7">
      <c r="D253" s="249" t="s">
        <v>304</v>
      </c>
      <c r="E253" s="250" cm="1">
        <f t="array" ref="E253">_xll.PrecioBD(D253,24,"ASK","N")</f>
        <v>46400</v>
      </c>
      <c r="F253" s="250" cm="1">
        <f t="array" ref="F253">_xll.PrecioBD(D253,24,"VOLUME AMOUNT","N")</f>
        <v>4671540</v>
      </c>
      <c r="G253" s="94" cm="1">
        <f t="array" ref="G253">_xll.PrecioBD(D253,24,"IMBALANCE","N")</f>
        <v>-2.9600000000000001E-2</v>
      </c>
    </row>
    <row r="254" spans="4:7">
      <c r="D254" s="249" t="s">
        <v>538</v>
      </c>
      <c r="E254" s="250" cm="1">
        <f t="array" ref="E254">_xll.PrecioBD(D254,24,"ASK","N")</f>
        <v>9280</v>
      </c>
      <c r="F254" s="250" cm="1">
        <f t="array" ref="F254">_xll.PrecioBD(D254,24,"VOLUME AMOUNT","N")</f>
        <v>4604275</v>
      </c>
      <c r="G254" s="94" cm="1">
        <f t="array" ref="G254">_xll.PrecioBD(D254,24,"IMBALANCE","N")</f>
        <v>1.3100000000000001E-2</v>
      </c>
    </row>
    <row r="255" spans="4:7">
      <c r="D255" s="249" t="s">
        <v>170</v>
      </c>
      <c r="E255" s="250" cm="1">
        <f t="array" ref="E255">_xll.PrecioBD(D255,24,"ASK","N")</f>
        <v>18020</v>
      </c>
      <c r="F255" s="250" cm="1">
        <f t="array" ref="F255">_xll.PrecioBD(D255,24,"VOLUME AMOUNT","N")</f>
        <v>4440750</v>
      </c>
      <c r="G255" s="94" cm="1">
        <f t="array" ref="G255">_xll.PrecioBD(D255,24,"IMBALANCE","N")</f>
        <v>-1.1000000000000001E-3</v>
      </c>
    </row>
    <row r="256" spans="4:7">
      <c r="D256" s="249" t="s">
        <v>273</v>
      </c>
      <c r="E256" s="250" cm="1">
        <f t="array" ref="E256">_xll.PrecioBD(D256,24,"ASK","N")</f>
        <v>55500</v>
      </c>
      <c r="F256" s="250" cm="1">
        <f t="array" ref="F256">_xll.PrecioBD(D256,24,"VOLUME AMOUNT","N")</f>
        <v>4428950</v>
      </c>
      <c r="G256" s="94" cm="1">
        <f t="array" ref="G256">_xll.PrecioBD(D256,24,"IMBALANCE","N")</f>
        <v>1.14E-2</v>
      </c>
    </row>
    <row r="257" spans="4:7">
      <c r="D257" s="249" t="s">
        <v>318</v>
      </c>
      <c r="E257" s="250" cm="1">
        <f t="array" ref="E257">_xll.PrecioBD(D257,24,"ASK","N")</f>
        <v>8200</v>
      </c>
      <c r="F257" s="250" cm="1">
        <f t="array" ref="F257">_xll.PrecioBD(D257,24,"VOLUME AMOUNT","N")</f>
        <v>4326775</v>
      </c>
      <c r="G257" s="94" cm="1">
        <f t="array" ref="G257">_xll.PrecioBD(D257,24,"IMBALANCE","N")</f>
        <v>-6.8999999999999999E-3</v>
      </c>
    </row>
    <row r="258" spans="4:7">
      <c r="D258" s="249" t="s">
        <v>214</v>
      </c>
      <c r="E258" s="250" cm="1">
        <f t="array" ref="E258">_xll.PrecioBD(D258,24,"ASK","N")</f>
        <v>29760</v>
      </c>
      <c r="F258" s="250" cm="1">
        <f t="array" ref="F258">_xll.PrecioBD(D258,24,"VOLUME AMOUNT","N")</f>
        <v>5305080</v>
      </c>
      <c r="G258" s="94" cm="1">
        <f t="array" ref="G258">_xll.PrecioBD(D258,24,"IMBALANCE","N")</f>
        <v>-2E-3</v>
      </c>
    </row>
    <row r="259" spans="4:7">
      <c r="D259" s="249" t="s">
        <v>254</v>
      </c>
      <c r="E259" s="250" cm="1">
        <f t="array" ref="E259">_xll.PrecioBD(D259,24,"ASK","N")</f>
        <v>24600</v>
      </c>
      <c r="F259" s="250" cm="1">
        <f t="array" ref="F259">_xll.PrecioBD(D259,24,"VOLUME AMOUNT","N")</f>
        <v>4212180</v>
      </c>
      <c r="G259" s="94" cm="1">
        <f t="array" ref="G259">_xll.PrecioBD(D259,24,"IMBALANCE","N")</f>
        <v>-4.7999999999999996E-3</v>
      </c>
    </row>
    <row r="260" spans="4:7">
      <c r="D260" s="249" t="s">
        <v>535</v>
      </c>
      <c r="E260" s="250" cm="1">
        <f t="array" ref="E260">_xll.PrecioBD(D260,24,"ASK","N")</f>
        <v>7535</v>
      </c>
      <c r="F260" s="250" cm="1">
        <f t="array" ref="F260">_xll.PrecioBD(D260,24,"VOLUME AMOUNT","N")</f>
        <v>4198745</v>
      </c>
      <c r="G260" s="94" cm="1">
        <f t="array" ref="G260">_xll.PrecioBD(D260,24,"IMBALANCE","N")</f>
        <v>-3.1099999999999999E-2</v>
      </c>
    </row>
    <row r="261" spans="4:7">
      <c r="D261" s="249" t="s">
        <v>247</v>
      </c>
      <c r="E261" s="250" cm="1">
        <f t="array" ref="E261">_xll.PrecioBD(D261,24,"ASK","N")</f>
        <v>7700</v>
      </c>
      <c r="F261" s="250" cm="1">
        <f t="array" ref="F261">_xll.PrecioBD(D261,24,"VOLUME AMOUNT","N")</f>
        <v>4116805</v>
      </c>
      <c r="G261" s="94" cm="1">
        <f t="array" ref="G261">_xll.PrecioBD(D261,24,"IMBALANCE","N")</f>
        <v>3.56E-2</v>
      </c>
    </row>
    <row r="262" spans="4:7">
      <c r="D262" s="249" t="s">
        <v>499</v>
      </c>
      <c r="E262" s="250" cm="1">
        <f t="array" ref="E262">_xll.PrecioBD(D262,24,"ASK","N")</f>
        <v>9010</v>
      </c>
      <c r="F262" s="250" cm="1">
        <f t="array" ref="F262">_xll.PrecioBD(D262,24,"VOLUME AMOUNT","N")</f>
        <v>4071105</v>
      </c>
      <c r="G262" s="94" cm="1">
        <f t="array" ref="G262">_xll.PrecioBD(D262,24,"IMBALANCE","N")</f>
        <v>-2.3900000000000001E-2</v>
      </c>
    </row>
    <row r="263" spans="4:7">
      <c r="D263" s="249" t="s">
        <v>204</v>
      </c>
      <c r="E263" s="250" cm="1">
        <f t="array" ref="E263">_xll.PrecioBD(D263,24,"ASK","N")</f>
        <v>22100</v>
      </c>
      <c r="F263" s="250" cm="1">
        <f t="array" ref="F263">_xll.PrecioBD(D263,24,"VOLUME AMOUNT","N")</f>
        <v>4030120</v>
      </c>
      <c r="G263" s="94" cm="1">
        <f t="array" ref="G263">_xll.PrecioBD(D263,24,"IMBALANCE","N")</f>
        <v>1.29E-2</v>
      </c>
    </row>
    <row r="264" spans="4:7">
      <c r="D264" s="249" t="s">
        <v>498</v>
      </c>
      <c r="E264" s="250" cm="1">
        <f t="array" ref="E264">_xll.PrecioBD(D264,24,"ASK","N")</f>
        <v>4385</v>
      </c>
      <c r="F264" s="250" cm="1">
        <f t="array" ref="F264">_xll.PrecioBD(D264,24,"VOLUME AMOUNT","N")</f>
        <v>3958537.5</v>
      </c>
      <c r="G264" s="94" cm="1">
        <f t="array" ref="G264">_xll.PrecioBD(D264,24,"IMBALANCE","N")</f>
        <v>-3.3999999999999998E-3</v>
      </c>
    </row>
    <row r="265" spans="4:7">
      <c r="D265" s="249" t="s">
        <v>297</v>
      </c>
      <c r="E265" s="250" cm="1">
        <f t="array" ref="E265">_xll.PrecioBD(D265,24,"ASK","N")</f>
        <v>25840</v>
      </c>
      <c r="F265" s="250" cm="1">
        <f t="array" ref="F265">_xll.PrecioBD(D265,24,"VOLUME AMOUNT","N")</f>
        <v>3631680</v>
      </c>
      <c r="G265" s="94" cm="1">
        <f t="array" ref="G265">_xll.PrecioBD(D265,24,"IMBALANCE","N")</f>
        <v>7.7999999999999996E-3</v>
      </c>
    </row>
    <row r="266" spans="4:7">
      <c r="D266" s="249" t="s">
        <v>510</v>
      </c>
      <c r="E266" s="250" cm="1">
        <f t="array" ref="E266">_xll.PrecioBD(D266,24,"ASK","N")</f>
        <v>23750</v>
      </c>
      <c r="F266" s="250" cm="1">
        <f t="array" ref="F266">_xll.PrecioBD(D266,24,"VOLUME AMOUNT","N")</f>
        <v>3631390</v>
      </c>
      <c r="G266" s="94" cm="1">
        <f t="array" ref="G266">_xll.PrecioBD(D266,24,"IMBALANCE","N")</f>
        <v>-1.1999999999999999E-3</v>
      </c>
    </row>
    <row r="267" spans="4:7">
      <c r="D267" s="249" t="s">
        <v>534</v>
      </c>
      <c r="E267" s="250" cm="1">
        <f t="array" ref="E267">_xll.PrecioBD(D267,24,"ASK","N")</f>
        <v>6815</v>
      </c>
      <c r="F267" s="250" cm="1">
        <f t="array" ref="F267">_xll.PrecioBD(D267,24,"VOLUME AMOUNT","N")</f>
        <v>3464410</v>
      </c>
      <c r="G267" s="94" cm="1">
        <f t="array" ref="G267">_xll.PrecioBD(D267,24,"IMBALANCE","N")</f>
        <v>7.4000000000000003E-3</v>
      </c>
    </row>
    <row r="268" spans="4:7">
      <c r="D268" s="249" t="s">
        <v>334</v>
      </c>
      <c r="E268" s="250" cm="1">
        <f t="array" ref="E268">_xll.PrecioBD(D268,24,"ASK","N")</f>
        <v>8550</v>
      </c>
      <c r="F268" s="250" cm="1">
        <f t="array" ref="F268">_xll.PrecioBD(D268,24,"VOLUME AMOUNT","N")</f>
        <v>3413960</v>
      </c>
      <c r="G268" s="94" cm="1">
        <f t="array" ref="G268">_xll.PrecioBD(D268,24,"IMBALANCE","N")</f>
        <v>-1.09E-2</v>
      </c>
    </row>
    <row r="269" spans="4:7">
      <c r="D269" s="249" t="s">
        <v>504</v>
      </c>
      <c r="E269" s="250" cm="1">
        <f t="array" ref="E269">_xll.PrecioBD(D269,24,"ASK","N")</f>
        <v>33900</v>
      </c>
      <c r="F269" s="250" cm="1">
        <f t="array" ref="F269">_xll.PrecioBD(D269,24,"VOLUME AMOUNT","N")</f>
        <v>3302420</v>
      </c>
      <c r="G269" s="94" cm="1">
        <f t="array" ref="G269">_xll.PrecioBD(D269,24,"IMBALANCE","N")</f>
        <v>-3.6900000000000002E-2</v>
      </c>
    </row>
    <row r="270" spans="4:7">
      <c r="D270" s="249" t="s">
        <v>176</v>
      </c>
      <c r="E270" s="250" cm="1">
        <f t="array" ref="E270">_xll.PrecioBD(D270,24,"ASK","N")</f>
        <v>6785</v>
      </c>
      <c r="F270" s="250" cm="1">
        <f t="array" ref="F270">_xll.PrecioBD(D270,24,"VOLUME AMOUNT","N")</f>
        <v>4084730</v>
      </c>
      <c r="G270" s="94" cm="1">
        <f t="array" ref="G270">_xll.PrecioBD(D270,24,"IMBALANCE","N")</f>
        <v>-7.3000000000000001E-3</v>
      </c>
    </row>
    <row r="271" spans="4:7">
      <c r="D271" s="249" t="s">
        <v>209</v>
      </c>
      <c r="E271" s="250" cm="1">
        <f t="array" ref="E271">_xll.PrecioBD(D271,24,"ASK","N")</f>
        <v>9140</v>
      </c>
      <c r="F271" s="250" cm="1">
        <f t="array" ref="F271">_xll.PrecioBD(D271,24,"VOLUME AMOUNT","N")</f>
        <v>3246710</v>
      </c>
      <c r="G271" s="94" cm="1">
        <f t="array" ref="G271">_xll.PrecioBD(D271,24,"IMBALANCE","N")</f>
        <v>-0.05</v>
      </c>
    </row>
    <row r="272" spans="4:7">
      <c r="D272" s="249" t="s">
        <v>486</v>
      </c>
      <c r="E272" s="250" cm="1">
        <f t="array" ref="E272">_xll.PrecioBD(D272,24,"ASK","N")</f>
        <v>66900</v>
      </c>
      <c r="F272" s="250" cm="1">
        <f t="array" ref="F272">_xll.PrecioBD(D272,24,"VOLUME AMOUNT","N")</f>
        <v>3208000</v>
      </c>
      <c r="G272" s="94" cm="1">
        <f t="array" ref="G272">_xll.PrecioBD(D272,24,"IMBALANCE","N")</f>
        <v>4.1000000000000003E-3</v>
      </c>
    </row>
    <row r="273" spans="4:7">
      <c r="D273" s="249" t="s">
        <v>444</v>
      </c>
      <c r="E273" s="250" cm="1">
        <f t="array" ref="E273">_xll.PrecioBD(D273,24,"ASK","N")</f>
        <v>58050</v>
      </c>
      <c r="F273" s="250" cm="1">
        <f t="array" ref="F273">_xll.PrecioBD(D273,24,"VOLUME AMOUNT","N")</f>
        <v>3677775</v>
      </c>
      <c r="G273" s="94" cm="1">
        <f t="array" ref="G273">_xll.PrecioBD(D273,24,"IMBALANCE","N")</f>
        <v>-2.23E-2</v>
      </c>
    </row>
    <row r="274" spans="4:7">
      <c r="D274" s="249" t="s">
        <v>312</v>
      </c>
      <c r="E274" s="250" cm="1">
        <f t="array" ref="E274">_xll.PrecioBD(D274,24,"ASK","N")</f>
        <v>21850</v>
      </c>
      <c r="F274" s="250" cm="1">
        <f t="array" ref="F274">_xll.PrecioBD(D274,24,"VOLUME AMOUNT","N")</f>
        <v>3059320</v>
      </c>
      <c r="G274" s="94" cm="1">
        <f t="array" ref="G274">_xll.PrecioBD(D274,24,"IMBALANCE","N")</f>
        <v>-7.0999999999999994E-2</v>
      </c>
    </row>
    <row r="275" spans="4:7">
      <c r="D275" s="249" t="s">
        <v>359</v>
      </c>
      <c r="E275" s="250" cm="1">
        <f t="array" ref="E275">_xll.PrecioBD(D275,24,"ASK","N")</f>
        <v>8025</v>
      </c>
      <c r="F275" s="250" cm="1">
        <f t="array" ref="F275">_xll.PrecioBD(D275,24,"VOLUME AMOUNT","N")</f>
        <v>3004350</v>
      </c>
      <c r="G275" s="94" cm="1">
        <f t="array" ref="G275">_xll.PrecioBD(D275,24,"IMBALANCE","N")</f>
        <v>-2.2499999999999999E-2</v>
      </c>
    </row>
    <row r="276" spans="4:7">
      <c r="D276" s="249" t="s">
        <v>511</v>
      </c>
      <c r="E276" s="250" cm="1">
        <f t="array" ref="E276">_xll.PrecioBD(D276,24,"ASK","N")</f>
        <v>40500</v>
      </c>
      <c r="F276" s="250" cm="1">
        <f t="array" ref="F276">_xll.PrecioBD(D276,24,"VOLUME AMOUNT","N")</f>
        <v>2956180</v>
      </c>
      <c r="G276" s="94" cm="1">
        <f t="array" ref="G276">_xll.PrecioBD(D276,24,"IMBALANCE","N")</f>
        <v>-5.3699999999999998E-2</v>
      </c>
    </row>
    <row r="277" spans="4:7">
      <c r="D277" s="249" t="s">
        <v>165</v>
      </c>
      <c r="E277" s="250" cm="1">
        <f t="array" ref="E277">_xll.PrecioBD(D277,24,"ASK","N")</f>
        <v>4742.5</v>
      </c>
      <c r="F277" s="250" cm="1">
        <f t="array" ref="F277">_xll.PrecioBD(D277,24,"VOLUME AMOUNT","N")</f>
        <v>2929177.5</v>
      </c>
      <c r="G277" s="94" cm="1">
        <f t="array" ref="G277">_xll.PrecioBD(D277,24,"IMBALANCE","N")</f>
        <v>6.1800000000000001E-2</v>
      </c>
    </row>
    <row r="278" spans="4:7">
      <c r="D278" s="249" t="s">
        <v>155</v>
      </c>
      <c r="E278" s="250" cm="1">
        <f t="array" ref="E278">_xll.PrecioBD(D278,24,"ASK","N")</f>
        <v>11370</v>
      </c>
      <c r="F278" s="250" cm="1">
        <f t="array" ref="F278">_xll.PrecioBD(D278,24,"VOLUME AMOUNT","N")</f>
        <v>2925930</v>
      </c>
      <c r="G278" s="94" cm="1">
        <f t="array" ref="G278">_xll.PrecioBD(D278,24,"IMBALANCE","N")</f>
        <v>-6.0000000000000001E-3</v>
      </c>
    </row>
    <row r="279" spans="4:7">
      <c r="D279" s="249" t="s">
        <v>296</v>
      </c>
      <c r="E279" s="250" cm="1">
        <f t="array" ref="E279">_xll.PrecioBD(D279,24,"ASK","N")</f>
        <v>21470</v>
      </c>
      <c r="F279" s="250" cm="1">
        <f t="array" ref="F279">_xll.PrecioBD(D279,24,"VOLUME AMOUNT","N")</f>
        <v>2921960</v>
      </c>
      <c r="G279" s="94" cm="1">
        <f t="array" ref="G279">_xll.PrecioBD(D279,24,"IMBALANCE","N")</f>
        <v>-1.29E-2</v>
      </c>
    </row>
    <row r="280" spans="4:7">
      <c r="D280" s="249" t="s">
        <v>196</v>
      </c>
      <c r="E280" s="250" cm="1">
        <f t="array" ref="E280">_xll.PrecioBD(D280,24,"ASK","N")</f>
        <v>37920</v>
      </c>
      <c r="F280" s="250" cm="1">
        <f t="array" ref="F280">_xll.PrecioBD(D280,24,"VOLUME AMOUNT","N")</f>
        <v>2842580</v>
      </c>
      <c r="G280" s="94" cm="1">
        <f t="array" ref="G280">_xll.PrecioBD(D280,24,"IMBALANCE","N")</f>
        <v>-1.7000000000000001E-2</v>
      </c>
    </row>
    <row r="281" spans="4:7">
      <c r="D281" s="249" t="s">
        <v>243</v>
      </c>
      <c r="E281" s="250" cm="1">
        <f t="array" ref="E281">_xll.PrecioBD(D281,24,"ASK","N")</f>
        <v>49840</v>
      </c>
      <c r="F281" s="250" cm="1">
        <f t="array" ref="F281">_xll.PrecioBD(D281,24,"VOLUME AMOUNT","N")</f>
        <v>2813700</v>
      </c>
      <c r="G281" s="94" cm="1">
        <f t="array" ref="G281">_xll.PrecioBD(D281,24,"IMBALANCE","N")</f>
        <v>1.6000000000000001E-3</v>
      </c>
    </row>
    <row r="282" spans="4:7">
      <c r="D282" s="249" t="s">
        <v>146</v>
      </c>
      <c r="E282" s="250" cm="1">
        <f t="array" ref="E282">_xll.PrecioBD(D282,24,"ASK","N")</f>
        <v>33180</v>
      </c>
      <c r="F282" s="250" cm="1">
        <f t="array" ref="F282">_xll.PrecioBD(D282,24,"VOLUME AMOUNT","N")</f>
        <v>2781640</v>
      </c>
      <c r="G282" s="94" cm="1">
        <f t="array" ref="G282">_xll.PrecioBD(D282,24,"IMBALANCE","N")</f>
        <v>1.78E-2</v>
      </c>
    </row>
    <row r="283" spans="4:7">
      <c r="D283" s="249" t="s">
        <v>202</v>
      </c>
      <c r="E283" s="250" cm="1">
        <f t="array" ref="E283">_xll.PrecioBD(D283,24,"ASK","N")</f>
        <v>34580</v>
      </c>
      <c r="F283" s="250" cm="1">
        <f t="array" ref="F283">_xll.PrecioBD(D283,24,"VOLUME AMOUNT","N")</f>
        <v>2686840</v>
      </c>
      <c r="G283" s="94" cm="1">
        <f t="array" ref="G283">_xll.PrecioBD(D283,24,"IMBALANCE","N")</f>
        <v>-2.9100000000000001E-2</v>
      </c>
    </row>
    <row r="284" spans="4:7">
      <c r="D284" s="249" t="s">
        <v>518</v>
      </c>
      <c r="E284" s="250" cm="1">
        <f t="array" ref="E284">_xll.PrecioBD(D284,24,"ASK","N")</f>
        <v>35460</v>
      </c>
      <c r="F284" s="250" cm="1">
        <f t="array" ref="F284">_xll.PrecioBD(D284,24,"VOLUME AMOUNT","N")</f>
        <v>2677900</v>
      </c>
      <c r="G284" s="94" cm="1">
        <f t="array" ref="G284">_xll.PrecioBD(D284,24,"IMBALANCE","N")</f>
        <v>-1.9900000000000001E-2</v>
      </c>
    </row>
    <row r="285" spans="4:7">
      <c r="D285" s="249" t="s">
        <v>377</v>
      </c>
      <c r="E285" s="250" cm="1">
        <f t="array" ref="E285">_xll.PrecioBD(D285,24,"ASK","N")</f>
        <v>29300</v>
      </c>
      <c r="F285" s="250" cm="1">
        <f t="array" ref="F285">_xll.PrecioBD(D285,24,"VOLUME AMOUNT","N")</f>
        <v>2674360</v>
      </c>
      <c r="G285" s="94" cm="1">
        <f t="array" ref="G285">_xll.PrecioBD(D285,24,"IMBALANCE","N")</f>
        <v>1.7299999999999999E-2</v>
      </c>
    </row>
    <row r="286" spans="4:7">
      <c r="D286" s="249" t="s">
        <v>422</v>
      </c>
      <c r="E286" s="250" cm="1">
        <f t="array" ref="E286">_xll.PrecioBD(D286,24,"ASK","N")</f>
        <v>15480</v>
      </c>
      <c r="F286" s="250" cm="1">
        <f t="array" ref="F286">_xll.PrecioBD(D286,24,"VOLUME AMOUNT","N")</f>
        <v>2548080</v>
      </c>
      <c r="G286" s="94" cm="1">
        <f t="array" ref="G286">_xll.PrecioBD(D286,24,"IMBALANCE","N")</f>
        <v>8.5000000000000006E-3</v>
      </c>
    </row>
    <row r="287" spans="4:7">
      <c r="D287" s="249" t="s">
        <v>210</v>
      </c>
      <c r="E287" s="250" cm="1">
        <f t="array" ref="E287">_xll.PrecioBD(D287,24,"ASK","N")</f>
        <v>11050</v>
      </c>
      <c r="F287" s="250" cm="1">
        <f t="array" ref="F287">_xll.PrecioBD(D287,24,"VOLUME AMOUNT","N")</f>
        <v>2517970</v>
      </c>
      <c r="G287" s="94" cm="1">
        <f t="array" ref="G287">_xll.PrecioBD(D287,24,"IMBALANCE","N")</f>
        <v>-3.2399999999999998E-2</v>
      </c>
    </row>
    <row r="288" spans="4:7">
      <c r="D288" s="249" t="s">
        <v>216</v>
      </c>
      <c r="E288" s="250" cm="1">
        <f t="array" ref="E288">_xll.PrecioBD(D288,24,"ASK","N")</f>
        <v>35960</v>
      </c>
      <c r="F288" s="250" cm="1">
        <f t="array" ref="F288">_xll.PrecioBD(D288,24,"VOLUME AMOUNT","N")</f>
        <v>2945740</v>
      </c>
      <c r="G288" s="94" cm="1">
        <f t="array" ref="G288">_xll.PrecioBD(D288,24,"IMBALANCE","N")</f>
        <v>-5.0000000000000001E-3</v>
      </c>
    </row>
    <row r="289" spans="4:7">
      <c r="D289" s="249" t="s">
        <v>316</v>
      </c>
      <c r="E289" s="250" cm="1">
        <f t="array" ref="E289">_xll.PrecioBD(D289,24,"ASK","N")</f>
        <v>10150</v>
      </c>
      <c r="F289" s="250" cm="1">
        <f t="array" ref="F289">_xll.PrecioBD(D289,24,"VOLUME AMOUNT","N")</f>
        <v>2504660</v>
      </c>
      <c r="G289" s="94" cm="1">
        <f t="array" ref="G289">_xll.PrecioBD(D289,24,"IMBALANCE","N")</f>
        <v>7.6999999999999999E-2</v>
      </c>
    </row>
    <row r="290" spans="4:7">
      <c r="D290" s="249" t="s">
        <v>369</v>
      </c>
      <c r="E290" s="250" cm="1">
        <f t="array" ref="E290">_xll.PrecioBD(D290,24,"ASK","N")</f>
        <v>37320</v>
      </c>
      <c r="F290" s="250" cm="1">
        <f t="array" ref="F290">_xll.PrecioBD(D290,24,"VOLUME AMOUNT","N")</f>
        <v>2411800</v>
      </c>
      <c r="G290" s="94" cm="1">
        <f t="array" ref="G290">_xll.PrecioBD(D290,24,"IMBALANCE","N")</f>
        <v>5.0000000000000001E-4</v>
      </c>
    </row>
    <row r="291" spans="4:7">
      <c r="D291" s="249" t="s">
        <v>169</v>
      </c>
      <c r="E291" s="250" cm="1">
        <f t="array" ref="E291">_xll.PrecioBD(D291,24,"ASK","N")</f>
        <v>23200</v>
      </c>
      <c r="F291" s="250" cm="1">
        <f t="array" ref="F291">_xll.PrecioBD(D291,24,"VOLUME AMOUNT","N")</f>
        <v>2353670</v>
      </c>
      <c r="G291" s="94" cm="1">
        <f t="array" ref="G291">_xll.PrecioBD(D291,24,"IMBALANCE","N")</f>
        <v>-1.5699999999999999E-2</v>
      </c>
    </row>
    <row r="292" spans="4:7">
      <c r="D292" s="249" t="s">
        <v>521</v>
      </c>
      <c r="E292" s="250" cm="1">
        <f t="array" ref="E292">_xll.PrecioBD(D292,24,"ASK","N")</f>
        <v>7550</v>
      </c>
      <c r="F292" s="250" cm="1">
        <f t="array" ref="F292">_xll.PrecioBD(D292,24,"VOLUME AMOUNT","N")</f>
        <v>2203915</v>
      </c>
      <c r="G292" s="94" cm="1">
        <f t="array" ref="G292">_xll.PrecioBD(D292,24,"IMBALANCE","N")</f>
        <v>-2.2599999999999999E-2</v>
      </c>
    </row>
    <row r="293" spans="4:7">
      <c r="D293" s="249" t="s">
        <v>182</v>
      </c>
      <c r="E293" s="250" cm="1">
        <f t="array" ref="E293">_xll.PrecioBD(D293,24,"ASK","N")</f>
        <v>2727.5</v>
      </c>
      <c r="F293" s="250" cm="1">
        <f t="array" ref="F293">_xll.PrecioBD(D293,24,"VOLUME AMOUNT","N")</f>
        <v>2049037.5</v>
      </c>
      <c r="G293" s="94" cm="1">
        <f t="array" ref="G293">_xll.PrecioBD(D293,24,"IMBALANCE","N")</f>
        <v>-8.2000000000000007E-3</v>
      </c>
    </row>
    <row r="294" spans="4:7">
      <c r="D294" s="249" t="s">
        <v>248</v>
      </c>
      <c r="E294" s="250" cm="1">
        <f t="array" ref="E294">_xll.PrecioBD(D294,24,"ASK","N")</f>
        <v>5865</v>
      </c>
      <c r="F294" s="250" cm="1">
        <f t="array" ref="F294">_xll.PrecioBD(D294,24,"VOLUME AMOUNT","N")</f>
        <v>2029610</v>
      </c>
      <c r="G294" s="94" cm="1">
        <f t="array" ref="G294">_xll.PrecioBD(D294,24,"IMBALANCE","N")</f>
        <v>-2.9000000000000001E-2</v>
      </c>
    </row>
    <row r="295" spans="4:7">
      <c r="D295" s="249" t="s">
        <v>171</v>
      </c>
      <c r="E295" s="250" cm="1">
        <f t="array" ref="E295">_xll.PrecioBD(D295,24,"ASK","N")</f>
        <v>33480</v>
      </c>
      <c r="F295" s="250" cm="1">
        <f t="array" ref="F295">_xll.PrecioBD(D295,24,"VOLUME AMOUNT","N")</f>
        <v>1839400</v>
      </c>
      <c r="G295" s="94" cm="1">
        <f t="array" ref="G295">_xll.PrecioBD(D295,24,"IMBALANCE","N")</f>
        <v>6.0000000000000001E-3</v>
      </c>
    </row>
    <row r="296" spans="4:7">
      <c r="D296" s="249" t="s">
        <v>547</v>
      </c>
      <c r="E296" s="250" cm="1">
        <f t="array" ref="E296">_xll.PrecioBD(D296,24,"ASK","N")</f>
        <v>6530</v>
      </c>
      <c r="F296" s="250" cm="1">
        <f t="array" ref="F296">_xll.PrecioBD(D296,24,"VOLUME AMOUNT","N")</f>
        <v>1818805</v>
      </c>
      <c r="G296" s="94" cm="1">
        <f t="array" ref="G296">_xll.PrecioBD(D296,24,"IMBALANCE","N")</f>
        <v>-2.24E-2</v>
      </c>
    </row>
    <row r="297" spans="4:7">
      <c r="D297" s="249" t="s">
        <v>459</v>
      </c>
      <c r="E297" s="250" cm="1">
        <f t="array" ref="E297">_xll.PrecioBD(D297,24,"ASK","N")</f>
        <v>94150</v>
      </c>
      <c r="F297" s="250" cm="1">
        <f t="array" ref="F297">_xll.PrecioBD(D297,24,"VOLUME AMOUNT","N")</f>
        <v>1705350</v>
      </c>
      <c r="G297" s="94" cm="1">
        <f t="array" ref="G297">_xll.PrecioBD(D297,24,"IMBALANCE","N")</f>
        <v>3.3999999999999998E-3</v>
      </c>
    </row>
    <row r="298" spans="4:7">
      <c r="D298" s="249" t="s">
        <v>286</v>
      </c>
      <c r="E298" s="250" cm="1">
        <f t="array" ref="E298">_xll.PrecioBD(D298,24,"ASK","N")</f>
        <v>25600</v>
      </c>
      <c r="F298" s="250" cm="1">
        <f t="array" ref="F298">_xll.PrecioBD(D298,24,"VOLUME AMOUNT","N")</f>
        <v>1682720</v>
      </c>
      <c r="G298" s="94" cm="1">
        <f t="array" ref="G298">_xll.PrecioBD(D298,24,"IMBALANCE","N")</f>
        <v>-1.3100000000000001E-2</v>
      </c>
    </row>
    <row r="299" spans="4:7">
      <c r="D299" s="249" t="s">
        <v>358</v>
      </c>
      <c r="E299" s="250" cm="1">
        <f t="array" ref="E299">_xll.PrecioBD(D299,24,"ASK","N")</f>
        <v>4215</v>
      </c>
      <c r="F299" s="250" cm="1">
        <f t="array" ref="F299">_xll.PrecioBD(D299,24,"VOLUME AMOUNT","N")</f>
        <v>1747057.5</v>
      </c>
      <c r="G299" s="94" cm="1">
        <f t="array" ref="G299">_xll.PrecioBD(D299,24,"IMBALANCE","N")</f>
        <v>-1.9900000000000001E-2</v>
      </c>
    </row>
    <row r="300" spans="4:7">
      <c r="D300" s="249" t="s">
        <v>299</v>
      </c>
      <c r="E300" s="250" cm="1">
        <f t="array" ref="E300">_xll.PrecioBD(D300,24,"ASK","N")</f>
        <v>9975</v>
      </c>
      <c r="F300" s="250" cm="1">
        <f t="array" ref="F300">_xll.PrecioBD(D300,24,"VOLUME AMOUNT","N")</f>
        <v>1660420</v>
      </c>
      <c r="G300" s="94" cm="1">
        <f t="array" ref="G300">_xll.PrecioBD(D300,24,"IMBALANCE","N")</f>
        <v>0</v>
      </c>
    </row>
    <row r="301" spans="4:7">
      <c r="D301" s="249" t="s">
        <v>424</v>
      </c>
      <c r="E301" s="250" cm="1">
        <f t="array" ref="E301">_xll.PrecioBD(D301,24,"ASK","N")</f>
        <v>3920</v>
      </c>
      <c r="F301" s="250" cm="1">
        <f t="array" ref="F301">_xll.PrecioBD(D301,24,"VOLUME AMOUNT","N")</f>
        <v>1656237.5</v>
      </c>
      <c r="G301" s="94" cm="1">
        <f t="array" ref="G301">_xll.PrecioBD(D301,24,"IMBALANCE","N")</f>
        <v>-3.6299999999999999E-2</v>
      </c>
    </row>
    <row r="302" spans="4:7">
      <c r="D302" s="249" t="s">
        <v>495</v>
      </c>
      <c r="E302" s="250" cm="1">
        <f t="array" ref="E302">_xll.PrecioBD(D302,24,"ASK","N")</f>
        <v>16110</v>
      </c>
      <c r="F302" s="250" cm="1">
        <f t="array" ref="F302">_xll.PrecioBD(D302,24,"VOLUME AMOUNT","N")</f>
        <v>1612680</v>
      </c>
      <c r="G302" s="94" cm="1">
        <f t="array" ref="G302">_xll.PrecioBD(D302,24,"IMBALANCE","N")</f>
        <v>-1.35E-2</v>
      </c>
    </row>
    <row r="303" spans="4:7">
      <c r="D303" s="249" t="s">
        <v>282</v>
      </c>
      <c r="E303" s="250" cm="1">
        <f t="array" ref="E303">_xll.PrecioBD(D303,24,"ASK","N")</f>
        <v>100375</v>
      </c>
      <c r="F303" s="250" cm="1">
        <f t="array" ref="F303">_xll.PrecioBD(D303,24,"VOLUME AMOUNT","N")</f>
        <v>1569500</v>
      </c>
      <c r="G303" s="94" cm="1">
        <f t="array" ref="G303">_xll.PrecioBD(D303,24,"IMBALANCE","N")</f>
        <v>-1.4999999999999999E-2</v>
      </c>
    </row>
    <row r="304" spans="4:7">
      <c r="D304" s="249" t="s">
        <v>240</v>
      </c>
      <c r="E304" s="250" cm="1">
        <f t="array" ref="E304">_xll.PrecioBD(D304,24,"ASK","N")</f>
        <v>2680</v>
      </c>
      <c r="F304" s="250" cm="1">
        <f t="array" ref="F304">_xll.PrecioBD(D304,24,"VOLUME AMOUNT","N")</f>
        <v>1475412.5</v>
      </c>
      <c r="G304" s="94" cm="1">
        <f t="array" ref="G304">_xll.PrecioBD(D304,24,"IMBALANCE","N")</f>
        <v>-4.24E-2</v>
      </c>
    </row>
    <row r="305" spans="4:7">
      <c r="D305" s="249" t="s">
        <v>363</v>
      </c>
      <c r="E305" s="250" cm="1">
        <f t="array" ref="E305">_xll.PrecioBD(D305,24,"ASK","N")</f>
        <v>3042.5</v>
      </c>
      <c r="F305" s="250" cm="1">
        <f t="array" ref="F305">_xll.PrecioBD(D305,24,"VOLUME AMOUNT","N")</f>
        <v>1455875</v>
      </c>
      <c r="G305" s="94" cm="1">
        <f t="array" ref="G305">_xll.PrecioBD(D305,24,"IMBALANCE","N")</f>
        <v>-4.4699999999999997E-2</v>
      </c>
    </row>
    <row r="306" spans="4:7">
      <c r="D306" s="249" t="s">
        <v>479</v>
      </c>
      <c r="E306" s="250" cm="1">
        <f t="array" ref="E306">_xll.PrecioBD(D306,24,"ASK","N")</f>
        <v>23640</v>
      </c>
      <c r="F306" s="250" cm="1">
        <f t="array" ref="F306">_xll.PrecioBD(D306,24,"VOLUME AMOUNT","N")</f>
        <v>1408510</v>
      </c>
      <c r="G306" s="94" cm="1">
        <f t="array" ref="G306">_xll.PrecioBD(D306,24,"IMBALANCE","N")</f>
        <v>3.3999999999999998E-3</v>
      </c>
    </row>
    <row r="307" spans="4:7">
      <c r="D307" s="249" t="s">
        <v>448</v>
      </c>
      <c r="E307" s="250" cm="1">
        <f t="array" ref="E307">_xll.PrecioBD(D307,24,"ASK","N")</f>
        <v>49580</v>
      </c>
      <c r="F307" s="250" cm="1">
        <f t="array" ref="F307">_xll.PrecioBD(D307,24,"VOLUME AMOUNT","N")</f>
        <v>1392860</v>
      </c>
      <c r="G307" s="94" cm="1">
        <f t="array" ref="G307">_xll.PrecioBD(D307,24,"IMBALANCE","N")</f>
        <v>-3.2000000000000002E-3</v>
      </c>
    </row>
    <row r="308" spans="4:7">
      <c r="D308" s="249" t="s">
        <v>545</v>
      </c>
      <c r="E308" s="250" cm="1">
        <f t="array" ref="E308">_xll.PrecioBD(D308,24,"ASK","N")</f>
        <v>2972.5</v>
      </c>
      <c r="F308" s="250" cm="1">
        <f t="array" ref="F308">_xll.PrecioBD(D308,24,"VOLUME AMOUNT","N")</f>
        <v>1375225</v>
      </c>
      <c r="G308" s="94" cm="1">
        <f t="array" ref="G308">_xll.PrecioBD(D308,24,"IMBALANCE","N")</f>
        <v>1.6000000000000001E-3</v>
      </c>
    </row>
    <row r="309" spans="4:7">
      <c r="D309" s="249" t="s">
        <v>193</v>
      </c>
      <c r="E309" s="250" cm="1">
        <f t="array" ref="E309">_xll.PrecioBD(D309,24,"ASK","N")</f>
        <v>10340</v>
      </c>
      <c r="F309" s="250" cm="1">
        <f t="array" ref="F309">_xll.PrecioBD(D309,24,"VOLUME AMOUNT","N")</f>
        <v>1364980</v>
      </c>
      <c r="G309" s="94" cm="1">
        <f t="array" ref="G309">_xll.PrecioBD(D309,24,"IMBALANCE","N")</f>
        <v>-9.5999999999999992E-3</v>
      </c>
    </row>
    <row r="310" spans="4:7">
      <c r="D310" s="249" t="s">
        <v>355</v>
      </c>
      <c r="E310" s="250" cm="1">
        <f t="array" ref="E310">_xll.PrecioBD(D310,24,"ASK","N")</f>
        <v>43040</v>
      </c>
      <c r="F310" s="250" cm="1">
        <f t="array" ref="F310">_xll.PrecioBD(D310,24,"VOLUME AMOUNT","N")</f>
        <v>1290000</v>
      </c>
      <c r="G310" s="94" cm="1">
        <f t="array" ref="G310">_xll.PrecioBD(D310,24,"IMBALANCE","N")</f>
        <v>9.7999999999999997E-3</v>
      </c>
    </row>
    <row r="311" spans="4:7">
      <c r="D311" s="249" t="s">
        <v>491</v>
      </c>
      <c r="E311" s="250" cm="1">
        <f t="array" ref="E311">_xll.PrecioBD(D311,24,"ASK","N")</f>
        <v>4027.5</v>
      </c>
      <c r="F311" s="250" cm="1">
        <f t="array" ref="F311">_xll.PrecioBD(D311,24,"VOLUME AMOUNT","N")</f>
        <v>1241867.5</v>
      </c>
      <c r="G311" s="94" cm="1">
        <f t="array" ref="G311">_xll.PrecioBD(D311,24,"IMBALANCE","N")</f>
        <v>-5.4999999999999997E-3</v>
      </c>
    </row>
    <row r="312" spans="4:7">
      <c r="D312" s="249" t="s">
        <v>352</v>
      </c>
      <c r="E312" s="250" cm="1">
        <f t="array" ref="E312">_xll.PrecioBD(D312,24,"ASK","N")</f>
        <v>9395</v>
      </c>
      <c r="F312" s="250" cm="1">
        <f t="array" ref="F312">_xll.PrecioBD(D312,24,"VOLUME AMOUNT","N")</f>
        <v>1228840</v>
      </c>
      <c r="G312" s="94" cm="1">
        <f t="array" ref="G312">_xll.PrecioBD(D312,24,"IMBALANCE","N")</f>
        <v>-0.01</v>
      </c>
    </row>
    <row r="313" spans="4:7">
      <c r="D313" s="249" t="s">
        <v>311</v>
      </c>
      <c r="E313" s="250" cm="1">
        <f t="array" ref="E313">_xll.PrecioBD(D313,24,"ASK","N")</f>
        <v>46300</v>
      </c>
      <c r="F313" s="250" cm="1">
        <f t="array" ref="F313">_xll.PrecioBD(D313,24,"VOLUME AMOUNT","N")</f>
        <v>1204440</v>
      </c>
      <c r="G313" s="94" cm="1">
        <f t="array" ref="G313">_xll.PrecioBD(D313,24,"IMBALANCE","N")</f>
        <v>8.6999999999999994E-3</v>
      </c>
    </row>
    <row r="314" spans="4:7">
      <c r="D314" s="249" t="s">
        <v>180</v>
      </c>
      <c r="E314" s="250" cm="1">
        <f t="array" ref="E314">_xll.PrecioBD(D314,24,"ASK","N")</f>
        <v>75175</v>
      </c>
      <c r="F314" s="250" cm="1">
        <f t="array" ref="F314">_xll.PrecioBD(D314,24,"VOLUME AMOUNT","N")</f>
        <v>1195750</v>
      </c>
      <c r="G314" s="94" cm="1">
        <f t="array" ref="G314">_xll.PrecioBD(D314,24,"IMBALANCE","N")</f>
        <v>-3.5999999999999999E-3</v>
      </c>
    </row>
    <row r="315" spans="4:7">
      <c r="D315" s="249" t="s">
        <v>505</v>
      </c>
      <c r="E315" s="250" cm="1">
        <f t="array" ref="E315">_xll.PrecioBD(D315,24,"ASK","N")</f>
        <v>39740</v>
      </c>
      <c r="F315" s="250" cm="1">
        <f t="array" ref="F315">_xll.PrecioBD(D315,24,"VOLUME AMOUNT","N")</f>
        <v>1186200</v>
      </c>
      <c r="G315" s="94" cm="1">
        <f t="array" ref="G315">_xll.PrecioBD(D315,24,"IMBALANCE","N")</f>
        <v>-1.04E-2</v>
      </c>
    </row>
    <row r="316" spans="4:7">
      <c r="D316" s="249" t="s">
        <v>342</v>
      </c>
      <c r="E316" s="250" cm="1">
        <f t="array" ref="E316">_xll.PrecioBD(D316,24,"ASK","N")</f>
        <v>6925</v>
      </c>
      <c r="F316" s="250" cm="1">
        <f t="array" ref="F316">_xll.PrecioBD(D316,24,"VOLUME AMOUNT","N")</f>
        <v>1184135</v>
      </c>
      <c r="G316" s="94" cm="1">
        <f t="array" ref="G316">_xll.PrecioBD(D316,24,"IMBALANCE","N")</f>
        <v>8.6999999999999994E-3</v>
      </c>
    </row>
    <row r="317" spans="4:7">
      <c r="D317" s="249" t="s">
        <v>406</v>
      </c>
      <c r="E317" s="250" cm="1">
        <f t="array" ref="E317">_xll.PrecioBD(D317,24,"ASK","N")</f>
        <v>634.5</v>
      </c>
      <c r="F317" s="250" cm="1">
        <f t="array" ref="F317">_xll.PrecioBD(D317,24,"VOLUME AMOUNT","N")</f>
        <v>1093592</v>
      </c>
      <c r="G317" s="94" cm="1">
        <f t="array" ref="G317">_xll.PrecioBD(D317,24,"IMBALANCE","N")</f>
        <v>-4.7000000000000002E-3</v>
      </c>
    </row>
    <row r="318" spans="4:7">
      <c r="D318" s="249" t="s">
        <v>284</v>
      </c>
      <c r="E318" s="250" cm="1">
        <f t="array" ref="E318">_xll.PrecioBD(D318,24,"ASK","N")</f>
        <v>19860</v>
      </c>
      <c r="F318" s="250" cm="1">
        <f t="array" ref="F318">_xll.PrecioBD(D318,24,"VOLUME AMOUNT","N")</f>
        <v>1051480</v>
      </c>
      <c r="G318" s="94" cm="1">
        <f t="array" ref="G318">_xll.PrecioBD(D318,24,"IMBALANCE","N")</f>
        <v>9.1000000000000004E-3</v>
      </c>
    </row>
    <row r="319" spans="4:7">
      <c r="D319" s="249" t="s">
        <v>470</v>
      </c>
      <c r="E319" s="250" cm="1">
        <f t="array" ref="E319">_xll.PrecioBD(D319,24,"ASK","N")</f>
        <v>1435</v>
      </c>
      <c r="F319" s="250" cm="1">
        <f t="array" ref="F319">_xll.PrecioBD(D319,24,"VOLUME AMOUNT","N")</f>
        <v>1009327</v>
      </c>
      <c r="G319" s="94" cm="1">
        <f t="array" ref="G319">_xll.PrecioBD(D319,24,"IMBALANCE","N")</f>
        <v>-5.2900000000000003E-2</v>
      </c>
    </row>
    <row r="320" spans="4:7">
      <c r="D320" s="249" t="s">
        <v>278</v>
      </c>
      <c r="E320" s="250" cm="1">
        <f t="array" ref="E320">_xll.PrecioBD(D320,24,"ASK","N")</f>
        <v>28100</v>
      </c>
      <c r="F320" s="250" cm="1">
        <f t="array" ref="F320">_xll.PrecioBD(D320,24,"VOLUME AMOUNT","N")</f>
        <v>1006640</v>
      </c>
      <c r="G320" s="94" cm="1">
        <f t="array" ref="G320">_xll.PrecioBD(D320,24,"IMBALANCE","N")</f>
        <v>1.0800000000000001E-2</v>
      </c>
    </row>
    <row r="321" spans="4:7">
      <c r="D321" s="249" t="s">
        <v>219</v>
      </c>
      <c r="E321" s="250" cm="1">
        <f t="array" ref="E321">_xll.PrecioBD(D321,24,"ASK","N")</f>
        <v>111450</v>
      </c>
      <c r="F321" s="250" cm="1">
        <f t="array" ref="F321">_xll.PrecioBD(D321,24,"VOLUME AMOUNT","N")</f>
        <v>999475</v>
      </c>
      <c r="G321" s="94" cm="1">
        <f t="array" ref="G321">_xll.PrecioBD(D321,24,"IMBALANCE","N")</f>
        <v>2.3999999999999998E-3</v>
      </c>
    </row>
    <row r="322" spans="4:7">
      <c r="D322" s="249" t="s">
        <v>174</v>
      </c>
      <c r="E322" s="250" cm="1">
        <f t="array" ref="E322">_xll.PrecioBD(D322,24,"ASK","N")</f>
        <v>24320</v>
      </c>
      <c r="F322" s="250" cm="1">
        <f t="array" ref="F322">_xll.PrecioBD(D322,24,"VOLUME AMOUNT","N")</f>
        <v>980810</v>
      </c>
      <c r="G322" s="94" cm="1">
        <f t="array" ref="G322">_xll.PrecioBD(D322,24,"IMBALANCE","N")</f>
        <v>-3.6400000000000002E-2</v>
      </c>
    </row>
    <row r="323" spans="4:7">
      <c r="D323" s="249" t="s">
        <v>378</v>
      </c>
      <c r="E323" s="250" cm="1">
        <f t="array" ref="E323">_xll.PrecioBD(D323,24,"ASK","N")</f>
        <v>14920</v>
      </c>
      <c r="F323" s="250" cm="1">
        <f t="array" ref="F323">_xll.PrecioBD(D323,24,"VOLUME AMOUNT","N")</f>
        <v>968810</v>
      </c>
      <c r="G323" s="94" cm="1">
        <f t="array" ref="G323">_xll.PrecioBD(D323,24,"IMBALANCE","N")</f>
        <v>1.0699999999999999E-2</v>
      </c>
    </row>
    <row r="324" spans="4:7">
      <c r="D324" s="249" t="s">
        <v>232</v>
      </c>
      <c r="E324" s="250" cm="1">
        <f t="array" ref="E324">_xll.PrecioBD(D324,24,"ASK","N")</f>
        <v>84500</v>
      </c>
      <c r="F324" s="250" cm="1">
        <f t="array" ref="F324">_xll.PrecioBD(D324,24,"VOLUME AMOUNT","N")</f>
        <v>925125</v>
      </c>
      <c r="G324" s="94" cm="1">
        <f t="array" ref="G324">_xll.PrecioBD(D324,24,"IMBALANCE","N")</f>
        <v>4.4999999999999997E-3</v>
      </c>
    </row>
    <row r="325" spans="4:7">
      <c r="D325" s="249" t="s">
        <v>394</v>
      </c>
      <c r="E325" s="250" cm="1">
        <f t="array" ref="E325">_xll.PrecioBD(D325,24,"ASK","N")</f>
        <v>10400</v>
      </c>
      <c r="F325" s="250" cm="1">
        <f t="array" ref="F325">_xll.PrecioBD(D325,24,"VOLUME AMOUNT","N")</f>
        <v>924300</v>
      </c>
      <c r="G325" s="94" cm="1">
        <f t="array" ref="G325">_xll.PrecioBD(D325,24,"IMBALANCE","N")</f>
        <v>-4.1500000000000002E-2</v>
      </c>
    </row>
    <row r="326" spans="4:7">
      <c r="D326" s="249" t="s">
        <v>328</v>
      </c>
      <c r="E326" s="250" cm="1">
        <f t="array" ref="E326">_xll.PrecioBD(D326,24,"ASK","N")</f>
        <v>8775</v>
      </c>
      <c r="F326" s="250" cm="1">
        <f t="array" ref="F326">_xll.PrecioBD(D326,24,"VOLUME AMOUNT","N")</f>
        <v>892375</v>
      </c>
      <c r="G326" s="94" cm="1">
        <f t="array" ref="G326">_xll.PrecioBD(D326,24,"IMBALANCE","N")</f>
        <v>4.4999999999999997E-3</v>
      </c>
    </row>
    <row r="327" spans="4:7">
      <c r="D327" s="249" t="s">
        <v>244</v>
      </c>
      <c r="E327" s="250" cm="1">
        <f t="array" ref="E327">_xll.PrecioBD(D327,24,"ASK","N")</f>
        <v>169100</v>
      </c>
      <c r="F327" s="250" cm="1">
        <f t="array" ref="F327">_xll.PrecioBD(D327,24,"VOLUME AMOUNT","N")</f>
        <v>867575</v>
      </c>
      <c r="G327" s="94" cm="1">
        <f t="array" ref="G327">_xll.PrecioBD(D327,24,"IMBALANCE","N")</f>
        <v>-7.4999999999999997E-3</v>
      </c>
    </row>
    <row r="328" spans="4:7">
      <c r="D328" s="249" t="s">
        <v>543</v>
      </c>
      <c r="E328" s="250" cm="1">
        <f t="array" ref="E328">_xll.PrecioBD(D328,24,"ASK","N")</f>
        <v>2472</v>
      </c>
      <c r="F328" s="250" cm="1">
        <f t="array" ref="F328">_xll.PrecioBD(D328,24,"VOLUME AMOUNT","N")</f>
        <v>781102.5</v>
      </c>
      <c r="G328" s="94" cm="1">
        <f t="array" ref="G328">_xll.PrecioBD(D328,24,"IMBALANCE","N")</f>
        <v>-1.2699999999999999E-2</v>
      </c>
    </row>
    <row r="329" spans="4:7">
      <c r="D329" s="249" t="s">
        <v>308</v>
      </c>
      <c r="E329" s="250" cm="1">
        <f t="array" ref="E329">_xll.PrecioBD(D329,24,"ASK","N")</f>
        <v>64425</v>
      </c>
      <c r="F329" s="250" cm="1">
        <f t="array" ref="F329">_xll.PrecioBD(D329,24,"VOLUME AMOUNT","N")</f>
        <v>776225</v>
      </c>
      <c r="G329" s="94" cm="1">
        <f t="array" ref="G329">_xll.PrecioBD(D329,24,"IMBALANCE","N")</f>
        <v>-2.98E-2</v>
      </c>
    </row>
    <row r="330" spans="4:7">
      <c r="D330" s="249" t="s">
        <v>208</v>
      </c>
      <c r="E330" s="250" cm="1">
        <f t="array" ref="E330">_xll.PrecioBD(D330,24,"ASK","N")</f>
        <v>6560</v>
      </c>
      <c r="F330" s="250" cm="1">
        <f t="array" ref="F330">_xll.PrecioBD(D330,24,"VOLUME AMOUNT","N")</f>
        <v>700940</v>
      </c>
      <c r="G330" s="94" cm="1">
        <f t="array" ref="G330">_xll.PrecioBD(D330,24,"IMBALANCE","N")</f>
        <v>-3.7000000000000002E-3</v>
      </c>
    </row>
    <row r="331" spans="4:7">
      <c r="D331" s="249" t="s">
        <v>387</v>
      </c>
      <c r="E331" s="250" cm="1">
        <f t="array" ref="E331">_xll.PrecioBD(D331,24,"ASK","N")</f>
        <v>12420</v>
      </c>
      <c r="F331" s="250" cm="1">
        <f t="array" ref="F331">_xll.PrecioBD(D331,24,"VOLUME AMOUNT","N")</f>
        <v>698810</v>
      </c>
      <c r="G331" s="94" cm="1">
        <f t="array" ref="G331">_xll.PrecioBD(D331,24,"IMBALANCE","N")</f>
        <v>-1.4200000000000001E-2</v>
      </c>
    </row>
    <row r="332" spans="4:7">
      <c r="D332" s="249" t="s">
        <v>442</v>
      </c>
      <c r="E332" s="250" cm="1">
        <f t="array" ref="E332">_xll.PrecioBD(D332,24,"ASK","N")</f>
        <v>9310</v>
      </c>
      <c r="F332" s="250" cm="1">
        <f t="array" ref="F332">_xll.PrecioBD(D332,24,"VOLUME AMOUNT","N")</f>
        <v>646325</v>
      </c>
      <c r="G332" s="94" cm="1">
        <f t="array" ref="G332">_xll.PrecioBD(D332,24,"IMBALANCE","N")</f>
        <v>-6.4399999999999999E-2</v>
      </c>
    </row>
    <row r="333" spans="4:7">
      <c r="D333" s="249" t="s">
        <v>519</v>
      </c>
      <c r="E333" s="250" cm="1">
        <f t="array" ref="E333">_xll.PrecioBD(D333,24,"ASK","N")</f>
        <v>19330</v>
      </c>
      <c r="F333" s="250" cm="1">
        <f t="array" ref="F333">_xll.PrecioBD(D333,24,"VOLUME AMOUNT","N")</f>
        <v>599830</v>
      </c>
      <c r="G333" s="94" cm="1">
        <f t="array" ref="G333">_xll.PrecioBD(D333,24,"IMBALANCE","N")</f>
        <v>-3.5999999999999999E-3</v>
      </c>
    </row>
    <row r="334" spans="4:7">
      <c r="D334" s="249" t="s">
        <v>262</v>
      </c>
      <c r="E334" s="250" cm="1">
        <f t="array" ref="E334">_xll.PrecioBD(D334,24,"ASK","N")</f>
        <v>21150</v>
      </c>
      <c r="F334" s="250" cm="1">
        <f t="array" ref="F334">_xll.PrecioBD(D334,24,"VOLUME AMOUNT","N")</f>
        <v>573620</v>
      </c>
      <c r="G334" s="94" cm="1">
        <f t="array" ref="G334">_xll.PrecioBD(D334,24,"IMBALANCE","N")</f>
        <v>-7.4999999999999997E-3</v>
      </c>
    </row>
    <row r="335" spans="4:7">
      <c r="D335" s="249" t="s">
        <v>211</v>
      </c>
      <c r="E335" s="250" cm="1">
        <f t="array" ref="E335">_xll.PrecioBD(D335,24,"ASK","N")</f>
        <v>5745</v>
      </c>
      <c r="F335" s="250" cm="1">
        <f t="array" ref="F335">_xll.PrecioBD(D335,24,"VOLUME AMOUNT","N")</f>
        <v>561895</v>
      </c>
      <c r="G335" s="94" cm="1">
        <f t="array" ref="G335">_xll.PrecioBD(D335,24,"IMBALANCE","N")</f>
        <v>-9.4000000000000004E-3</v>
      </c>
    </row>
    <row r="336" spans="4:7">
      <c r="D336" s="249" t="s">
        <v>258</v>
      </c>
      <c r="E336" s="250" cm="1">
        <f t="array" ref="E336">_xll.PrecioBD(D336,24,"ASK","N")</f>
        <v>15110</v>
      </c>
      <c r="F336" s="250" cm="1">
        <f t="array" ref="F336">_xll.PrecioBD(D336,24,"VOLUME AMOUNT","N")</f>
        <v>486450</v>
      </c>
      <c r="G336" s="94" cm="1">
        <f t="array" ref="G336">_xll.PrecioBD(D336,24,"IMBALANCE","N")</f>
        <v>4.5999999999999999E-3</v>
      </c>
    </row>
    <row r="337" spans="4:7">
      <c r="D337" s="249" t="s">
        <v>423</v>
      </c>
      <c r="E337" s="250" cm="1">
        <f t="array" ref="E337">_xll.PrecioBD(D337,24,"ASK","N")</f>
        <v>39480</v>
      </c>
      <c r="F337" s="250" cm="1">
        <f t="array" ref="F337">_xll.PrecioBD(D337,24,"VOLUME AMOUNT","N")</f>
        <v>475600</v>
      </c>
      <c r="G337" s="94" cm="1">
        <f t="array" ref="G337">_xll.PrecioBD(D337,24,"IMBALANCE","N")</f>
        <v>1.06E-2</v>
      </c>
    </row>
    <row r="338" spans="4:7">
      <c r="D338" s="249" t="s">
        <v>301</v>
      </c>
      <c r="E338" s="250" cm="1">
        <f t="array" ref="E338">_xll.PrecioBD(D338,24,"ASK","N")</f>
        <v>24210</v>
      </c>
      <c r="F338" s="250" cm="1">
        <f t="array" ref="F338">_xll.PrecioBD(D338,24,"VOLUME AMOUNT","N")</f>
        <v>444210</v>
      </c>
      <c r="G338" s="94" cm="1">
        <f t="array" ref="G338">_xll.PrecioBD(D338,24,"IMBALANCE","N")</f>
        <v>-1.2999999999999999E-2</v>
      </c>
    </row>
    <row r="339" spans="4:7">
      <c r="D339" s="249" t="s">
        <v>473</v>
      </c>
      <c r="E339" s="250" cm="1">
        <f t="array" ref="E339">_xll.PrecioBD(D339,24,"ASK","N")</f>
        <v>16660</v>
      </c>
      <c r="F339" s="250" cm="1">
        <f t="array" ref="F339">_xll.PrecioBD(D339,24,"VOLUME AMOUNT","N")</f>
        <v>443390</v>
      </c>
      <c r="G339" s="94" cm="1">
        <f t="array" ref="G339">_xll.PrecioBD(D339,24,"IMBALANCE","N")</f>
        <v>1.47E-2</v>
      </c>
    </row>
    <row r="340" spans="4:7">
      <c r="D340" s="249" t="s">
        <v>417</v>
      </c>
      <c r="E340" s="250" cm="1">
        <f t="array" ref="E340">_xll.PrecioBD(D340,24,"ASK","N")</f>
        <v>7580</v>
      </c>
      <c r="F340" s="250" cm="1">
        <f t="array" ref="F340">_xll.PrecioBD(D340,24,"VOLUME AMOUNT","N")</f>
        <v>408610</v>
      </c>
      <c r="G340" s="94" cm="1">
        <f t="array" ref="G340">_xll.PrecioBD(D340,24,"IMBALANCE","N")</f>
        <v>-1.23E-2</v>
      </c>
    </row>
    <row r="341" spans="4:7">
      <c r="D341" s="249" t="s">
        <v>207</v>
      </c>
      <c r="E341" s="250" cm="1">
        <f t="array" ref="E341">_xll.PrecioBD(D341,24,"ASK","N")</f>
        <v>1695</v>
      </c>
      <c r="F341" s="250" cm="1">
        <f t="array" ref="F341">_xll.PrecioBD(D341,24,"VOLUME AMOUNT","N")</f>
        <v>360682</v>
      </c>
      <c r="G341" s="94" cm="1">
        <f t="array" ref="G341">_xll.PrecioBD(D341,24,"IMBALANCE","N")</f>
        <v>-5.7999999999999996E-3</v>
      </c>
    </row>
    <row r="342" spans="4:7">
      <c r="D342" s="249" t="s">
        <v>517</v>
      </c>
      <c r="E342" s="250" cm="1">
        <f t="array" ref="E342">_xll.PrecioBD(D342,24,"ASK","N")</f>
        <v>7685</v>
      </c>
      <c r="F342" s="250" cm="1">
        <f t="array" ref="F342">_xll.PrecioBD(D342,24,"VOLUME AMOUNT","N")</f>
        <v>321115</v>
      </c>
      <c r="G342" s="94" cm="1">
        <f t="array" ref="G342">_xll.PrecioBD(D342,24,"IMBALANCE","N")</f>
        <v>-7.1000000000000004E-3</v>
      </c>
    </row>
    <row r="343" spans="4:7">
      <c r="D343" s="249" t="s">
        <v>353</v>
      </c>
      <c r="E343" s="250" cm="1">
        <f t="array" ref="E343">_xll.PrecioBD(D343,24,"ASK","N")</f>
        <v>31720</v>
      </c>
      <c r="F343" s="250" cm="1">
        <f t="array" ref="F343">_xll.PrecioBD(D343,24,"VOLUME AMOUNT","N")</f>
        <v>318140</v>
      </c>
      <c r="G343" s="94" cm="1">
        <f t="array" ref="G343">_xll.PrecioBD(D343,24,"IMBALANCE","N")</f>
        <v>1.3299999999999999E-2</v>
      </c>
    </row>
    <row r="344" spans="4:7">
      <c r="D344" s="249" t="s">
        <v>268</v>
      </c>
      <c r="E344" s="250" cm="1">
        <f t="array" ref="E344">_xll.PrecioBD(D344,24,"ASK","N")</f>
        <v>7045</v>
      </c>
      <c r="F344" s="250" cm="1">
        <f t="array" ref="F344">_xll.PrecioBD(D344,24,"VOLUME AMOUNT","N")</f>
        <v>358130</v>
      </c>
      <c r="G344" s="94" cm="1">
        <f t="array" ref="G344">_xll.PrecioBD(D344,24,"IMBALANCE","N")</f>
        <v>-3.1300000000000001E-2</v>
      </c>
    </row>
    <row r="345" spans="4:7">
      <c r="D345" s="249" t="s">
        <v>220</v>
      </c>
      <c r="E345" s="250" cm="1">
        <f t="array" ref="E345">_xll.PrecioBD(D345,24,"ASK","N")</f>
        <v>16250</v>
      </c>
      <c r="F345" s="250" cm="1">
        <f t="array" ref="F345">_xll.PrecioBD(D345,24,"VOLUME AMOUNT","N")</f>
        <v>295680</v>
      </c>
      <c r="G345" s="94" cm="1">
        <f t="array" ref="G345">_xll.PrecioBD(D345,24,"IMBALANCE","N")</f>
        <v>2.6200000000000001E-2</v>
      </c>
    </row>
    <row r="346" spans="4:7">
      <c r="D346" s="249" t="s">
        <v>490</v>
      </c>
      <c r="E346" s="250" cm="1">
        <f t="array" ref="E346">_xll.PrecioBD(D346,24,"ASK","N")</f>
        <v>8935</v>
      </c>
      <c r="F346" s="250" cm="1">
        <f t="array" ref="F346">_xll.PrecioBD(D346,24,"VOLUME AMOUNT","N")</f>
        <v>288325</v>
      </c>
      <c r="G346" s="94" cm="1">
        <f t="array" ref="G346">_xll.PrecioBD(D346,24,"IMBALANCE","N")</f>
        <v>-9.2999999999999992E-3</v>
      </c>
    </row>
    <row r="347" spans="4:7">
      <c r="D347" s="249" t="s">
        <v>400</v>
      </c>
      <c r="E347" s="250" cm="1">
        <f t="array" ref="E347">_xll.PrecioBD(D347,24,"ASK","N")</f>
        <v>17640</v>
      </c>
      <c r="F347" s="250" cm="1">
        <f t="array" ref="F347">_xll.PrecioBD(D347,24,"VOLUME AMOUNT","N")</f>
        <v>283150</v>
      </c>
      <c r="G347" s="94" cm="1">
        <f t="array" ref="G347">_xll.PrecioBD(D347,24,"IMBALANCE","N")</f>
        <v>-1.4500000000000001E-2</v>
      </c>
    </row>
    <row r="348" spans="4:7">
      <c r="D348" s="249" t="s">
        <v>548</v>
      </c>
      <c r="E348" s="250" cm="1">
        <f t="array" ref="E348">_xll.PrecioBD(D348,24,"ASK","N")</f>
        <v>16590</v>
      </c>
      <c r="F348" s="250" cm="1">
        <f t="array" ref="F348">_xll.PrecioBD(D348,24,"VOLUME AMOUNT","N")</f>
        <v>232410</v>
      </c>
      <c r="G348" s="94" cm="1">
        <f t="array" ref="G348">_xll.PrecioBD(D348,24,"IMBALANCE","N")</f>
        <v>-3.8300000000000001E-2</v>
      </c>
    </row>
    <row r="349" spans="4:7">
      <c r="D349" s="249" t="s">
        <v>395</v>
      </c>
      <c r="E349" s="250" cm="1">
        <f t="array" ref="E349">_xll.PrecioBD(D349,24,"ASK","N")</f>
        <v>13840</v>
      </c>
      <c r="F349" s="250" cm="1">
        <f t="array" ref="F349">_xll.PrecioBD(D349,24,"VOLUME AMOUNT","N")</f>
        <v>223040</v>
      </c>
      <c r="G349" s="94" cm="1">
        <f t="array" ref="G349">_xll.PrecioBD(D349,24,"IMBALANCE","N")</f>
        <v>0</v>
      </c>
    </row>
    <row r="350" spans="4:7">
      <c r="D350" s="249" t="s">
        <v>261</v>
      </c>
      <c r="E350" s="250" cm="1">
        <f t="array" ref="E350">_xll.PrecioBD(D350,24,"ASK","N")</f>
        <v>8010</v>
      </c>
      <c r="F350" s="250" cm="1">
        <f t="array" ref="F350">_xll.PrecioBD(D350,24,"VOLUME AMOUNT","N")</f>
        <v>200010</v>
      </c>
      <c r="G350" s="94" cm="1">
        <f t="array" ref="G350">_xll.PrecioBD(D350,24,"IMBALANCE","N")</f>
        <v>8.8000000000000005E-3</v>
      </c>
    </row>
    <row r="351" spans="4:7">
      <c r="D351" s="249" t="s">
        <v>480</v>
      </c>
      <c r="E351" s="250" cm="1">
        <f t="array" ref="E351">_xll.PrecioBD(D351,24,"ASK","N")</f>
        <v>11900</v>
      </c>
      <c r="F351" s="250" cm="1">
        <f t="array" ref="F351">_xll.PrecioBD(D351,24,"VOLUME AMOUNT","N")</f>
        <v>189200</v>
      </c>
      <c r="G351" s="94" cm="1">
        <f t="array" ref="G351">_xll.PrecioBD(D351,24,"IMBALANCE","N")</f>
        <v>2.8500000000000001E-2</v>
      </c>
    </row>
    <row r="352" spans="4:7">
      <c r="D352" s="249" t="s">
        <v>487</v>
      </c>
      <c r="E352" s="250" cm="1">
        <f t="array" ref="E352">_xll.PrecioBD(D352,24,"ASK","N")</f>
        <v>88375</v>
      </c>
      <c r="F352" s="250" cm="1">
        <f t="array" ref="F352">_xll.PrecioBD(D352,24,"VOLUME AMOUNT","N")</f>
        <v>179800</v>
      </c>
      <c r="G352" s="94" cm="1">
        <f t="array" ref="G352">_xll.PrecioBD(D352,24,"IMBALANCE","N")</f>
        <v>-1.0699999999999999E-2</v>
      </c>
    </row>
    <row r="353" spans="4:7">
      <c r="D353" s="249" t="s">
        <v>266</v>
      </c>
      <c r="E353" s="250" cm="1">
        <f t="array" ref="E353">_xll.PrecioBD(D353,24,"ASK","N")</f>
        <v>15890</v>
      </c>
      <c r="F353" s="250" cm="1">
        <f t="array" ref="F353">_xll.PrecioBD(D353,24,"VOLUME AMOUNT","N")</f>
        <v>158410</v>
      </c>
      <c r="G353" s="94" cm="1">
        <f t="array" ref="G353">_xll.PrecioBD(D353,24,"IMBALANCE","N")</f>
        <v>-1.49E-2</v>
      </c>
    </row>
    <row r="354" spans="4:7">
      <c r="D354" s="249" t="s">
        <v>190</v>
      </c>
      <c r="E354" s="250" cm="1">
        <f t="array" ref="E354">_xll.PrecioBD(D354,24,"ASK","N")</f>
        <v>16860</v>
      </c>
      <c r="F354" s="250" cm="1">
        <f t="array" ref="F354">_xll.PrecioBD(D354,24,"VOLUME AMOUNT","N")</f>
        <v>134480</v>
      </c>
      <c r="G354" s="94" cm="1">
        <f t="array" ref="G354">_xll.PrecioBD(D354,24,"IMBALANCE","N")</f>
        <v>-1.23E-2</v>
      </c>
    </row>
    <row r="355" spans="4:7">
      <c r="D355" s="249" t="s">
        <v>520</v>
      </c>
      <c r="E355" s="250" cm="1">
        <f t="array" ref="E355">_xll.PrecioBD(D355,24,"ASK","N")</f>
        <v>33400</v>
      </c>
      <c r="F355" s="250" cm="1">
        <f t="array" ref="F355">_xll.PrecioBD(D355,24,"VOLUME AMOUNT","N")</f>
        <v>134240</v>
      </c>
      <c r="G355" s="94" cm="1">
        <f t="array" ref="G355">_xll.PrecioBD(D355,24,"IMBALANCE","N")</f>
        <v>0</v>
      </c>
    </row>
    <row r="356" spans="4:7">
      <c r="D356" s="249" t="s">
        <v>506</v>
      </c>
      <c r="E356" s="250" cm="1">
        <f t="array" ref="E356">_xll.PrecioBD(D356,24,"ASK","N")</f>
        <v>7990</v>
      </c>
      <c r="F356" s="250" cm="1">
        <f t="array" ref="F356">_xll.PrecioBD(D356,24,"VOLUME AMOUNT","N")</f>
        <v>133740</v>
      </c>
      <c r="G356" s="94" cm="1">
        <f t="array" ref="G356">_xll.PrecioBD(D356,24,"IMBALANCE","N")</f>
        <v>-2.4799999999999999E-2</v>
      </c>
    </row>
    <row r="357" spans="4:7">
      <c r="D357" s="249" t="s">
        <v>383</v>
      </c>
      <c r="E357" s="250" cm="1">
        <f t="array" ref="E357">_xll.PrecioBD(D357,24,"ASK","N")</f>
        <v>67050</v>
      </c>
      <c r="F357" s="250" cm="1">
        <f t="array" ref="F357">_xll.PrecioBD(D357,24,"VOLUME AMOUNT","N")</f>
        <v>132850</v>
      </c>
      <c r="G357" s="94" cm="1">
        <f t="array" ref="G357">_xll.PrecioBD(D357,24,"IMBALANCE","N")</f>
        <v>-7.4000000000000003E-3</v>
      </c>
    </row>
    <row r="358" spans="4:7">
      <c r="D358" s="249" t="s">
        <v>185</v>
      </c>
      <c r="E358" s="250" cm="1">
        <f t="array" ref="E358">_xll.PrecioBD(D358,24,"ASK","N")</f>
        <v>6710</v>
      </c>
      <c r="F358" s="250" cm="1">
        <f t="array" ref="F358">_xll.PrecioBD(D358,24,"VOLUME AMOUNT","N")</f>
        <v>126300</v>
      </c>
      <c r="G358" s="94" cm="1">
        <f t="array" ref="G358">_xll.PrecioBD(D358,24,"IMBALANCE","N")</f>
        <v>3.2000000000000001E-2</v>
      </c>
    </row>
    <row r="359" spans="4:7">
      <c r="D359" s="249" t="s">
        <v>397</v>
      </c>
      <c r="E359" s="250" cm="1">
        <f t="array" ref="E359">_xll.PrecioBD(D359,24,"ASK","N")</f>
        <v>59175</v>
      </c>
      <c r="F359" s="250" cm="1">
        <f t="array" ref="F359">_xll.PrecioBD(D359,24,"VOLUME AMOUNT","N")</f>
        <v>117775</v>
      </c>
      <c r="G359" s="94" cm="1">
        <f t="array" ref="G359">_xll.PrecioBD(D359,24,"IMBALANCE","N")</f>
        <v>-2.0999999999999999E-3</v>
      </c>
    </row>
    <row r="360" spans="4:7">
      <c r="D360" s="249" t="s">
        <v>317</v>
      </c>
      <c r="E360" s="250" cm="1">
        <f t="array" ref="E360">_xll.PrecioBD(D360,24,"ASK","N")</f>
        <v>18290</v>
      </c>
      <c r="F360" s="250" cm="1">
        <f t="array" ref="F360">_xll.PrecioBD(D360,24,"VOLUME AMOUNT","N")</f>
        <v>109740</v>
      </c>
      <c r="G360" s="94" cm="1">
        <f t="array" ref="G360">_xll.PrecioBD(D360,24,"IMBALANCE","N")</f>
        <v>1.83E-2</v>
      </c>
    </row>
    <row r="361" spans="4:7">
      <c r="D361" s="249" t="s">
        <v>457</v>
      </c>
      <c r="E361" s="250" cm="1">
        <f t="array" ref="E361">_xll.PrecioBD(D361,24,"ASK","N")</f>
        <v>4450</v>
      </c>
      <c r="F361" s="250" cm="1">
        <f t="array" ref="F361">_xll.PrecioBD(D361,24,"VOLUME AMOUNT","N")</f>
        <v>98175</v>
      </c>
      <c r="G361" s="94" cm="1">
        <f t="array" ref="G361">_xll.PrecioBD(D361,24,"IMBALANCE","N")</f>
        <v>2.8E-3</v>
      </c>
    </row>
    <row r="362" spans="4:7">
      <c r="D362" s="249" t="s">
        <v>293</v>
      </c>
      <c r="E362" s="250" cm="1">
        <f t="array" ref="E362">_xll.PrecioBD(D362,24,"ASK","N")</f>
        <v>27160</v>
      </c>
      <c r="F362" s="250" cm="1">
        <f t="array" ref="F362">_xll.PrecioBD(D362,24,"VOLUME AMOUNT","N")</f>
        <v>79200</v>
      </c>
      <c r="G362" s="94" cm="1">
        <f t="array" ref="G362">_xll.PrecioBD(D362,24,"IMBALANCE","N")</f>
        <v>-1.7100000000000001E-2</v>
      </c>
    </row>
    <row r="363" spans="4:7">
      <c r="D363" s="249" t="s">
        <v>472</v>
      </c>
      <c r="E363" s="250" cm="1">
        <f t="array" ref="E363">_xll.PrecioBD(D363,24,"ASK","N")</f>
        <v>16310</v>
      </c>
      <c r="F363" s="250" cm="1">
        <f t="array" ref="F363">_xll.PrecioBD(D363,24,"VOLUME AMOUNT","N")</f>
        <v>78500</v>
      </c>
      <c r="G363" s="94" cm="1">
        <f t="array" ref="G363">_xll.PrecioBD(D363,24,"IMBALANCE","N")</f>
        <v>7.9000000000000001E-2</v>
      </c>
    </row>
    <row r="364" spans="4:7">
      <c r="D364" s="249" t="s">
        <v>514</v>
      </c>
      <c r="E364" s="250" cm="1">
        <f t="array" ref="E364">_xll.PrecioBD(D364,24,"ASK","N")</f>
        <v>17250</v>
      </c>
      <c r="F364" s="250" cm="1">
        <f t="array" ref="F364">_xll.PrecioBD(D364,24,"VOLUME AMOUNT","N")</f>
        <v>69690</v>
      </c>
      <c r="G364" s="94" cm="1">
        <f t="array" ref="G364">_xll.PrecioBD(D364,24,"IMBALANCE","N")</f>
        <v>-2.8E-3</v>
      </c>
    </row>
    <row r="365" spans="4:7">
      <c r="D365" s="249" t="s">
        <v>295</v>
      </c>
      <c r="E365" s="250" cm="1">
        <f t="array" ref="E365">_xll.PrecioBD(D365,24,"ASK","N")</f>
        <v>1680</v>
      </c>
      <c r="F365" s="250" cm="1">
        <f t="array" ref="F365">_xll.PrecioBD(D365,24,"VOLUME AMOUNT","N")</f>
        <v>62232</v>
      </c>
      <c r="G365" s="94" cm="1">
        <f t="array" ref="G365">_xll.PrecioBD(D365,24,"IMBALANCE","N")</f>
        <v>-3.5999999999999999E-3</v>
      </c>
    </row>
    <row r="366" spans="4:7">
      <c r="D366" s="249" t="s">
        <v>192</v>
      </c>
      <c r="E366" s="250" cm="1">
        <f t="array" ref="E366">_xll.PrecioBD(D366,24,"ASK","N")</f>
        <v>12820</v>
      </c>
      <c r="F366" s="250" cm="1">
        <f t="array" ref="F366">_xll.PrecioBD(D366,24,"VOLUME AMOUNT","N")</f>
        <v>51600</v>
      </c>
      <c r="G366" s="94" cm="1">
        <f t="array" ref="G366">_xll.PrecioBD(D366,24,"IMBALANCE","N")</f>
        <v>-1.4500000000000001E-2</v>
      </c>
    </row>
    <row r="367" spans="4:7">
      <c r="D367" s="249" t="s">
        <v>189</v>
      </c>
      <c r="E367" s="250" cm="1">
        <f t="array" ref="E367">_xll.PrecioBD(D367,24,"ASK","N")</f>
        <v>5245</v>
      </c>
      <c r="F367" s="250" cm="1">
        <f t="array" ref="F367">_xll.PrecioBD(D367,24,"VOLUME AMOUNT","N")</f>
        <v>41700</v>
      </c>
      <c r="G367" s="94" cm="1">
        <f t="array" ref="G367">_xll.PrecioBD(D367,24,"IMBALANCE","N")</f>
        <v>-1.9E-3</v>
      </c>
    </row>
    <row r="368" spans="4:7">
      <c r="D368" s="249" t="s">
        <v>542</v>
      </c>
      <c r="E368" s="250" cm="1">
        <f t="array" ref="E368">_xll.PrecioBD(D368,24,"ASK","N")</f>
        <v>15300</v>
      </c>
      <c r="F368" s="250" cm="1">
        <f t="array" ref="F368">_xll.PrecioBD(D368,24,"VOLUME AMOUNT","N")</f>
        <v>30500</v>
      </c>
      <c r="G368" s="94" cm="1">
        <f t="array" ref="G368">_xll.PrecioBD(D368,24,"IMBALANCE","N")</f>
        <v>-1.9E-3</v>
      </c>
    </row>
    <row r="369" spans="4:7">
      <c r="D369" s="249" t="s">
        <v>313</v>
      </c>
      <c r="E369" s="250" cm="1">
        <f t="array" ref="E369">_xll.PrecioBD(D369,24,"ASK","N")</f>
        <v>14380</v>
      </c>
      <c r="F369" s="250" cm="1">
        <f t="array" ref="F369">_xll.PrecioBD(D369,24,"VOLUME AMOUNT","N")</f>
        <v>29040</v>
      </c>
      <c r="G369" s="94" cm="1">
        <f t="array" ref="G369">_xll.PrecioBD(D369,24,"IMBALANCE","N")</f>
        <v>-2.2800000000000001E-2</v>
      </c>
    </row>
    <row r="370" spans="4:7">
      <c r="D370" s="249" t="s">
        <v>329</v>
      </c>
      <c r="E370" s="250" cm="1">
        <f t="array" ref="E370">_xll.PrecioBD(D370,24,"ASK","N")</f>
        <v>7350</v>
      </c>
      <c r="F370" s="250" cm="1">
        <f t="array" ref="F370">_xll.PrecioBD(D370,24,"VOLUME AMOUNT","N")</f>
        <v>14740</v>
      </c>
      <c r="G370" s="94" cm="1">
        <f t="array" ref="G370">_xll.PrecioBD(D370,24,"IMBALANCE","N")</f>
        <v>-9.4000000000000004E-3</v>
      </c>
    </row>
    <row r="371" spans="4:7">
      <c r="D371" s="249" t="s">
        <v>513</v>
      </c>
      <c r="E371" s="250" cm="1">
        <f t="array" ref="E371">_xll.PrecioBD(D371,24,"ASK","N")</f>
        <v>4525</v>
      </c>
      <c r="F371" s="250" cm="1">
        <f t="array" ref="F371">_xll.PrecioBD(D371,24,"VOLUME AMOUNT","N")</f>
        <v>9040</v>
      </c>
      <c r="G371" s="94" cm="1">
        <f t="array" ref="G371">_xll.PrecioBD(D371,24,"IMBALANCE","N")</f>
        <v>-3.3E-3</v>
      </c>
    </row>
    <row r="372" spans="4:7">
      <c r="D372" s="249" t="s">
        <v>362</v>
      </c>
      <c r="E372" s="250" cm="1">
        <f t="array" ref="E372">_xll.PrecioBD(D372,24,"ASK","N")</f>
        <v>4385</v>
      </c>
      <c r="F372" s="250" cm="1">
        <f t="array" ref="F372">_xll.PrecioBD(D372,24,"VOLUME AMOUNT","N")</f>
        <v>4372.5</v>
      </c>
      <c r="G372" s="94" cm="1">
        <f t="array" ref="G372">_xll.PrecioBD(D372,24,"IMBALANCE","N")</f>
        <v>-3.8999999999999998E-3</v>
      </c>
    </row>
    <row r="373" spans="4:7">
      <c r="D373" s="249" t="s">
        <v>187</v>
      </c>
      <c r="E373" s="250" cm="1">
        <f t="array" ref="E373">_xll.PrecioBD(D373,24,"ASK","N")</f>
        <v>12900</v>
      </c>
      <c r="F373" s="250" cm="1">
        <f t="array" ref="F373">_xll.PrecioBD(D373,24,"VOLUME AMOUNT","N")</f>
        <v>0</v>
      </c>
      <c r="G373" s="94" cm="1">
        <f t="array" ref="G373">_xll.PrecioBD(D373,24,"IMBALANCE","N")</f>
        <v>0</v>
      </c>
    </row>
    <row r="374" spans="4:7">
      <c r="D374" s="249" t="s">
        <v>507</v>
      </c>
      <c r="E374" s="250" cm="1">
        <f t="array" ref="E374">_xll.PrecioBD(D374,24,"ASK","N")</f>
        <v>10500</v>
      </c>
      <c r="F374" s="250" cm="1">
        <f t="array" ref="F374">_xll.PrecioBD(D374,24,"VOLUME AMOUNT","N")</f>
        <v>0</v>
      </c>
      <c r="G374" s="94" cm="1">
        <f t="array" ref="G374">_xll.PrecioBD(D374,24,"IMBALANCE","N")</f>
        <v>0</v>
      </c>
    </row>
    <row r="375" spans="4:7">
      <c r="D375" s="249" t="s">
        <v>229</v>
      </c>
      <c r="E375" s="250" cm="1">
        <f t="array" ref="E375">_xll.PrecioBD(D375,24,"ASK","N")</f>
        <v>43880</v>
      </c>
      <c r="F375" s="250" cm="1">
        <f t="array" ref="F375">_xll.PrecioBD(D375,24,"VOLUME AMOUNT","N")</f>
        <v>0</v>
      </c>
      <c r="G375" s="94" cm="1">
        <f t="array" ref="G375">_xll.PrecioBD(D375,24,"IMBALANCE","N")</f>
        <v>0</v>
      </c>
    </row>
    <row r="376" spans="4:7">
      <c r="D376" s="249" t="s">
        <v>407</v>
      </c>
      <c r="E376" s="250" cm="1">
        <f t="array" ref="E376">_xll.PrecioBD(D376,24,"ASK","N")</f>
        <v>62975</v>
      </c>
      <c r="F376" s="250" cm="1">
        <f t="array" ref="F376">_xll.PrecioBD(D376,24,"VOLUME AMOUNT","N")</f>
        <v>0</v>
      </c>
      <c r="G376" s="94" cm="1">
        <f t="array" ref="G376">_xll.PrecioBD(D376,24,"IMBALANCE","N")</f>
        <v>0</v>
      </c>
    </row>
    <row r="377" spans="4:7">
      <c r="D377" s="249" t="s">
        <v>294</v>
      </c>
      <c r="E377" s="250" cm="1">
        <f t="array" ref="E377">_xll.PrecioBD(D377,24,"ASK","N")</f>
        <v>27700</v>
      </c>
      <c r="F377" s="250" cm="1">
        <f t="array" ref="F377">_xll.PrecioBD(D377,24,"VOLUME AMOUNT","N")</f>
        <v>0</v>
      </c>
      <c r="G377" s="94" cm="1">
        <f t="array" ref="G377">_xll.PrecioBD(D377,24,"IMBALANCE","N")</f>
        <v>0</v>
      </c>
    </row>
    <row r="378" spans="4:7">
      <c r="D378" s="249" t="s">
        <v>267</v>
      </c>
      <c r="E378" s="250" cm="1">
        <f t="array" ref="E378">_xll.PrecioBD(D378,24,"ASK","N")</f>
        <v>17560</v>
      </c>
      <c r="F378" s="250" cm="1">
        <f t="array" ref="F378">_xll.PrecioBD(D378,24,"VOLUME AMOUNT","N")</f>
        <v>0</v>
      </c>
      <c r="G378" s="94" cm="1">
        <f t="array" ref="G378">_xll.PrecioBD(D378,24,"IMBALANCE","N")</f>
        <v>0</v>
      </c>
    </row>
    <row r="379" spans="4:7">
      <c r="D379" s="249" t="s">
        <v>264</v>
      </c>
      <c r="E379" s="250" cm="1">
        <f t="array" ref="E379">_xll.PrecioBD(D379,24,"ASK","N")</f>
        <v>45700</v>
      </c>
      <c r="F379" s="250" cm="1">
        <f t="array" ref="F379">_xll.PrecioBD(D379,24,"VOLUME AMOUNT","N")</f>
        <v>0</v>
      </c>
      <c r="G379" s="94" cm="1">
        <f t="array" ref="G379">_xll.PrecioBD(D379,24,"IMBALANCE","N")</f>
        <v>0</v>
      </c>
    </row>
    <row r="380" spans="4:7">
      <c r="D380" s="249" t="s">
        <v>502</v>
      </c>
      <c r="E380" s="250" cm="1">
        <f t="array" ref="E380">_xll.PrecioBD(D380,24,"ASK","N")</f>
        <v>73325</v>
      </c>
      <c r="F380" s="250" cm="1">
        <f t="array" ref="F380">_xll.PrecioBD(D380,24,"VOLUME AMOUNT","N")</f>
        <v>0</v>
      </c>
      <c r="G380" s="94" cm="1">
        <f t="array" ref="G380">_xll.PrecioBD(D380,24,"IMBALANCE","N")</f>
        <v>0</v>
      </c>
    </row>
    <row r="381" spans="4:7">
      <c r="D381" s="249" t="s">
        <v>349</v>
      </c>
      <c r="E381" s="250" cm="1">
        <f t="array" ref="E381">_xll.PrecioBD(D381,24,"ASK","N")</f>
        <v>83975</v>
      </c>
      <c r="F381" s="250" cm="1">
        <f t="array" ref="F381">_xll.PrecioBD(D381,24,"VOLUME AMOUNT","N")</f>
        <v>0</v>
      </c>
      <c r="G381" s="94" cm="1">
        <f t="array" ref="G381">_xll.PrecioBD(D381,24,"IMBALANCE","N")</f>
        <v>0</v>
      </c>
    </row>
    <row r="382" spans="4:7">
      <c r="D382" s="249" t="s">
        <v>272</v>
      </c>
      <c r="E382" s="250" cm="1">
        <f t="array" ref="E382">_xll.PrecioBD(D382,24,"ASK","N")</f>
        <v>15900</v>
      </c>
      <c r="F382" s="250" cm="1">
        <f t="array" ref="F382">_xll.PrecioBD(D382,24,"VOLUME AMOUNT","N")</f>
        <v>0</v>
      </c>
      <c r="G382" s="94" cm="1">
        <f t="array" ref="G382">_xll.PrecioBD(D382,24,"IMBALANCE","N")</f>
        <v>0</v>
      </c>
    </row>
    <row r="383" spans="4:7">
      <c r="D383" s="249" t="s">
        <v>347</v>
      </c>
      <c r="E383" s="250" cm="1">
        <f t="array" ref="E383">_xll.PrecioBD(D383,24,"ASK","N")</f>
        <v>109975</v>
      </c>
      <c r="F383" s="250" cm="1">
        <f t="array" ref="F383">_xll.PrecioBD(D383,24,"VOLUME AMOUNT","N")</f>
        <v>0</v>
      </c>
      <c r="G383" s="94" cm="1">
        <f t="array" ref="G383">_xll.PrecioBD(D383,24,"IMBALANCE","N")</f>
        <v>0</v>
      </c>
    </row>
    <row r="384" spans="4:7">
      <c r="D384" s="249" t="s">
        <v>150</v>
      </c>
      <c r="E384" s="250" cm="1">
        <f t="array" ref="E384">_xll.PrecioBD(D384,24,"ASK","N")</f>
        <v>0</v>
      </c>
      <c r="F384" s="250" cm="1">
        <f t="array" ref="F384">_xll.PrecioBD(D384,24,"VOLUME AMOUNT","N")</f>
        <v>0</v>
      </c>
      <c r="G384" s="94" cm="1">
        <f t="array" ref="G384">_xll.PrecioBD(D384,24,"IMBALANCE","N")</f>
        <v>0</v>
      </c>
    </row>
    <row r="385" spans="4:7">
      <c r="D385" s="249" t="s">
        <v>160</v>
      </c>
      <c r="E385" s="250" cm="1">
        <f t="array" ref="E385">_xll.PrecioBD(D385,24,"ASK","N")</f>
        <v>0</v>
      </c>
      <c r="F385" s="250" cm="1">
        <f t="array" ref="F385">_xll.PrecioBD(D385,24,"VOLUME AMOUNT","N")</f>
        <v>0</v>
      </c>
      <c r="G385" s="94" cm="1">
        <f t="array" ref="G385">_xll.PrecioBD(D385,24,"IMBALANCE","N")</f>
        <v>0</v>
      </c>
    </row>
    <row r="386" spans="4:7">
      <c r="D386" s="249" t="s">
        <v>162</v>
      </c>
      <c r="E386" s="250" cm="1">
        <f t="array" ref="E386">_xll.PrecioBD(D386,24,"ASK","N")</f>
        <v>0</v>
      </c>
      <c r="F386" s="250" cm="1">
        <f t="array" ref="F386">_xll.PrecioBD(D386,24,"VOLUME AMOUNT","N")</f>
        <v>0</v>
      </c>
      <c r="G386" s="94" cm="1">
        <f t="array" ref="G386">_xll.PrecioBD(D386,24,"IMBALANCE","N")</f>
        <v>0</v>
      </c>
    </row>
    <row r="387" spans="4:7">
      <c r="D387" s="249" t="s">
        <v>198</v>
      </c>
      <c r="E387" s="250" cm="1">
        <f t="array" ref="E387">_xll.PrecioBD(D387,24,"ASK","N")</f>
        <v>0</v>
      </c>
      <c r="F387" s="250" cm="1">
        <f t="array" ref="F387">_xll.PrecioBD(D387,24,"VOLUME AMOUNT","N")</f>
        <v>0</v>
      </c>
      <c r="G387" s="94" cm="1">
        <f t="array" ref="G387">_xll.PrecioBD(D387,24,"IMBALANCE","N")</f>
        <v>0</v>
      </c>
    </row>
    <row r="388" spans="4:7">
      <c r="D388" s="249" t="s">
        <v>199</v>
      </c>
      <c r="E388" s="250" cm="1">
        <f t="array" ref="E388">_xll.PrecioBD(D388,24,"ASK","N")</f>
        <v>0</v>
      </c>
      <c r="F388" s="250" cm="1">
        <f t="array" ref="F388">_xll.PrecioBD(D388,24,"VOLUME AMOUNT","N")</f>
        <v>0</v>
      </c>
      <c r="G388" s="94" cm="1">
        <f t="array" ref="G388">_xll.PrecioBD(D388,24,"IMBALANCE","N")</f>
        <v>0</v>
      </c>
    </row>
    <row r="389" spans="4:7">
      <c r="D389" s="249" t="s">
        <v>213</v>
      </c>
      <c r="E389" s="250" cm="1">
        <f t="array" ref="E389">_xll.PrecioBD(D389,24,"ASK","N")</f>
        <v>0</v>
      </c>
      <c r="F389" s="250" cm="1">
        <f t="array" ref="F389">_xll.PrecioBD(D389,24,"VOLUME AMOUNT","N")</f>
        <v>0</v>
      </c>
      <c r="G389" s="94" cm="1">
        <f t="array" ref="G389">_xll.PrecioBD(D389,24,"IMBALANCE","N")</f>
        <v>0</v>
      </c>
    </row>
    <row r="390" spans="4:7">
      <c r="D390" s="249" t="s">
        <v>218</v>
      </c>
      <c r="E390" s="250" cm="1">
        <f t="array" ref="E390">_xll.PrecioBD(D390,24,"ASK","N")</f>
        <v>0</v>
      </c>
      <c r="F390" s="250" cm="1">
        <f t="array" ref="F390">_xll.PrecioBD(D390,24,"VOLUME AMOUNT","N")</f>
        <v>0</v>
      </c>
      <c r="G390" s="94" cm="1">
        <f t="array" ref="G390">_xll.PrecioBD(D390,24,"IMBALANCE","N")</f>
        <v>0</v>
      </c>
    </row>
    <row r="391" spans="4:7">
      <c r="D391" s="249" t="s">
        <v>224</v>
      </c>
      <c r="E391" s="250" cm="1">
        <f t="array" ref="E391">_xll.PrecioBD(D391,24,"ASK","N")</f>
        <v>0</v>
      </c>
      <c r="F391" s="250" cm="1">
        <f t="array" ref="F391">_xll.PrecioBD(D391,24,"VOLUME AMOUNT","N")</f>
        <v>0</v>
      </c>
      <c r="G391" s="94" cm="1">
        <f t="array" ref="G391">_xll.PrecioBD(D391,24,"IMBALANCE","N")</f>
        <v>0</v>
      </c>
    </row>
    <row r="392" spans="4:7">
      <c r="D392" s="249" t="s">
        <v>225</v>
      </c>
      <c r="E392" s="250" cm="1">
        <f t="array" ref="E392">_xll.PrecioBD(D392,24,"ASK","N")</f>
        <v>0</v>
      </c>
      <c r="F392" s="250" cm="1">
        <f t="array" ref="F392">_xll.PrecioBD(D392,24,"VOLUME AMOUNT","N")</f>
        <v>0</v>
      </c>
      <c r="G392" s="94" cm="1">
        <f t="array" ref="G392">_xll.PrecioBD(D392,24,"IMBALANCE","N")</f>
        <v>0</v>
      </c>
    </row>
    <row r="393" spans="4:7">
      <c r="D393" s="249" t="s">
        <v>227</v>
      </c>
      <c r="E393" s="250" cm="1">
        <f t="array" ref="E393">_xll.PrecioBD(D393,24,"ASK","N")</f>
        <v>0</v>
      </c>
      <c r="F393" s="250" cm="1">
        <f t="array" ref="F393">_xll.PrecioBD(D393,24,"VOLUME AMOUNT","N")</f>
        <v>0</v>
      </c>
      <c r="G393" s="94" cm="1">
        <f t="array" ref="G393">_xll.PrecioBD(D393,24,"IMBALANCE","N")</f>
        <v>0</v>
      </c>
    </row>
    <row r="394" spans="4:7">
      <c r="D394" s="249" t="s">
        <v>228</v>
      </c>
      <c r="E394" s="250" cm="1">
        <f t="array" ref="E394">_xll.PrecioBD(D394,24,"ASK","N")</f>
        <v>0</v>
      </c>
      <c r="F394" s="250" cm="1">
        <f t="array" ref="F394">_xll.PrecioBD(D394,24,"VOLUME AMOUNT","N")</f>
        <v>0</v>
      </c>
      <c r="G394" s="94" cm="1">
        <f t="array" ref="G394">_xll.PrecioBD(D394,24,"IMBALANCE","N")</f>
        <v>0</v>
      </c>
    </row>
    <row r="395" spans="4:7">
      <c r="D395" s="249" t="s">
        <v>236</v>
      </c>
      <c r="E395" s="250" cm="1">
        <f t="array" ref="E395">_xll.PrecioBD(D395,24,"ASK","N")</f>
        <v>0</v>
      </c>
      <c r="F395" s="250" cm="1">
        <f t="array" ref="F395">_xll.PrecioBD(D395,24,"VOLUME AMOUNT","N")</f>
        <v>0</v>
      </c>
      <c r="G395" s="94" cm="1">
        <f t="array" ref="G395">_xll.PrecioBD(D395,24,"IMBALANCE","N")</f>
        <v>0</v>
      </c>
    </row>
    <row r="396" spans="4:7">
      <c r="D396" s="249" t="s">
        <v>238</v>
      </c>
      <c r="E396" s="250" cm="1">
        <f t="array" ref="E396">_xll.PrecioBD(D396,24,"ASK","N")</f>
        <v>0</v>
      </c>
      <c r="F396" s="250" cm="1">
        <f t="array" ref="F396">_xll.PrecioBD(D396,24,"VOLUME AMOUNT","N")</f>
        <v>0</v>
      </c>
      <c r="G396" s="94" cm="1">
        <f t="array" ref="G396">_xll.PrecioBD(D396,24,"IMBALANCE","N")</f>
        <v>0</v>
      </c>
    </row>
    <row r="397" spans="4:7">
      <c r="D397" s="249" t="s">
        <v>246</v>
      </c>
      <c r="E397" s="250" cm="1">
        <f t="array" ref="E397">_xll.PrecioBD(D397,24,"ASK","N")</f>
        <v>0</v>
      </c>
      <c r="F397" s="250" cm="1">
        <f t="array" ref="F397">_xll.PrecioBD(D397,24,"VOLUME AMOUNT","N")</f>
        <v>0</v>
      </c>
      <c r="G397" s="94" cm="1">
        <f t="array" ref="G397">_xll.PrecioBD(D397,24,"IMBALANCE","N")</f>
        <v>0</v>
      </c>
    </row>
    <row r="398" spans="4:7">
      <c r="D398" s="249" t="s">
        <v>249</v>
      </c>
      <c r="E398" s="250" cm="1">
        <f t="array" ref="E398">_xll.PrecioBD(D398,24,"ASK","N")</f>
        <v>0</v>
      </c>
      <c r="F398" s="250" cm="1">
        <f t="array" ref="F398">_xll.PrecioBD(D398,24,"VOLUME AMOUNT","N")</f>
        <v>0</v>
      </c>
      <c r="G398" s="94" cm="1">
        <f t="array" ref="G398">_xll.PrecioBD(D398,24,"IMBALANCE","N")</f>
        <v>0</v>
      </c>
    </row>
    <row r="399" spans="4:7">
      <c r="D399" s="249" t="s">
        <v>253</v>
      </c>
      <c r="E399" s="250" cm="1">
        <f t="array" ref="E399">_xll.PrecioBD(D399,24,"ASK","N")</f>
        <v>0</v>
      </c>
      <c r="F399" s="250" cm="1">
        <f t="array" ref="F399">_xll.PrecioBD(D399,24,"VOLUME AMOUNT","N")</f>
        <v>0</v>
      </c>
      <c r="G399" s="94" cm="1">
        <f t="array" ref="G399">_xll.PrecioBD(D399,24,"IMBALANCE","N")</f>
        <v>0</v>
      </c>
    </row>
    <row r="400" spans="4:7">
      <c r="D400" s="249" t="s">
        <v>259</v>
      </c>
      <c r="E400" s="250" cm="1">
        <f t="array" ref="E400">_xll.PrecioBD(D400,24,"ASK","N")</f>
        <v>0</v>
      </c>
      <c r="F400" s="250" cm="1">
        <f t="array" ref="F400">_xll.PrecioBD(D400,24,"VOLUME AMOUNT","N")</f>
        <v>0</v>
      </c>
      <c r="G400" s="94" cm="1">
        <f t="array" ref="G400">_xll.PrecioBD(D400,24,"IMBALANCE","N")</f>
        <v>0</v>
      </c>
    </row>
    <row r="401" spans="4:7">
      <c r="D401" s="249" t="s">
        <v>280</v>
      </c>
      <c r="E401" s="250" cm="1">
        <f t="array" ref="E401">_xll.PrecioBD(D401,24,"ASK","N")</f>
        <v>0</v>
      </c>
      <c r="F401" s="250" cm="1">
        <f t="array" ref="F401">_xll.PrecioBD(D401,24,"VOLUME AMOUNT","N")</f>
        <v>0</v>
      </c>
      <c r="G401" s="94" cm="1">
        <f t="array" ref="G401">_xll.PrecioBD(D401,24,"IMBALANCE","N")</f>
        <v>0</v>
      </c>
    </row>
    <row r="402" spans="4:7">
      <c r="D402" s="249" t="s">
        <v>303</v>
      </c>
      <c r="E402" s="250" cm="1">
        <f t="array" ref="E402">_xll.PrecioBD(D402,24,"ASK","N")</f>
        <v>0</v>
      </c>
      <c r="F402" s="250" cm="1">
        <f t="array" ref="F402">_xll.PrecioBD(D402,24,"VOLUME AMOUNT","N")</f>
        <v>0</v>
      </c>
      <c r="G402" s="94" cm="1">
        <f t="array" ref="G402">_xll.PrecioBD(D402,24,"IMBALANCE","N")</f>
        <v>0</v>
      </c>
    </row>
    <row r="403" spans="4:7">
      <c r="D403" s="249" t="s">
        <v>309</v>
      </c>
      <c r="E403" s="250" cm="1">
        <f t="array" ref="E403">_xll.PrecioBD(D403,24,"ASK","N")</f>
        <v>0</v>
      </c>
      <c r="F403" s="250" cm="1">
        <f t="array" ref="F403">_xll.PrecioBD(D403,24,"VOLUME AMOUNT","N")</f>
        <v>0</v>
      </c>
      <c r="G403" s="94" cm="1">
        <f t="array" ref="G403">_xll.PrecioBD(D403,24,"IMBALANCE","N")</f>
        <v>0</v>
      </c>
    </row>
    <row r="404" spans="4:7">
      <c r="D404" s="249" t="s">
        <v>326</v>
      </c>
      <c r="E404" s="250" cm="1">
        <f t="array" ref="E404">_xll.PrecioBD(D404,24,"ASK","N")</f>
        <v>0</v>
      </c>
      <c r="F404" s="250" cm="1">
        <f t="array" ref="F404">_xll.PrecioBD(D404,24,"VOLUME AMOUNT","N")</f>
        <v>0</v>
      </c>
      <c r="G404" s="94" cm="1">
        <f t="array" ref="G404">_xll.PrecioBD(D404,24,"IMBALANCE","N")</f>
        <v>0</v>
      </c>
    </row>
    <row r="405" spans="4:7">
      <c r="D405" s="249" t="s">
        <v>364</v>
      </c>
      <c r="E405" s="250" cm="1">
        <f t="array" ref="E405">_xll.PrecioBD(D405,24,"ASK","N")</f>
        <v>0</v>
      </c>
      <c r="F405" s="250" cm="1">
        <f t="array" ref="F405">_xll.PrecioBD(D405,24,"VOLUME AMOUNT","N")</f>
        <v>0</v>
      </c>
      <c r="G405" s="94" cm="1">
        <f t="array" ref="G405">_xll.PrecioBD(D405,24,"IMBALANCE","N")</f>
        <v>0</v>
      </c>
    </row>
    <row r="406" spans="4:7">
      <c r="D406" s="249" t="s">
        <v>371</v>
      </c>
      <c r="E406" s="250" cm="1">
        <f t="array" ref="E406">_xll.PrecioBD(D406,24,"ASK","N")</f>
        <v>0</v>
      </c>
      <c r="F406" s="250" cm="1">
        <f t="array" ref="F406">_xll.PrecioBD(D406,24,"VOLUME AMOUNT","N")</f>
        <v>0</v>
      </c>
      <c r="G406" s="94" cm="1">
        <f t="array" ref="G406">_xll.PrecioBD(D406,24,"IMBALANCE","N")</f>
        <v>0</v>
      </c>
    </row>
    <row r="407" spans="4:7">
      <c r="D407" s="249" t="s">
        <v>379</v>
      </c>
      <c r="E407" s="250" cm="1">
        <f t="array" ref="E407">_xll.PrecioBD(D407,24,"ASK","N")</f>
        <v>0</v>
      </c>
      <c r="F407" s="250" cm="1">
        <f t="array" ref="F407">_xll.PrecioBD(D407,24,"VOLUME AMOUNT","N")</f>
        <v>0</v>
      </c>
      <c r="G407" s="94" cm="1">
        <f t="array" ref="G407">_xll.PrecioBD(D407,24,"IMBALANCE","N")</f>
        <v>0</v>
      </c>
    </row>
    <row r="408" spans="4:7">
      <c r="D408" s="249" t="s">
        <v>384</v>
      </c>
      <c r="E408" s="250" cm="1">
        <f t="array" ref="E408">_xll.PrecioBD(D408,24,"ASK","N")</f>
        <v>0</v>
      </c>
      <c r="F408" s="250" cm="1">
        <f t="array" ref="F408">_xll.PrecioBD(D408,24,"VOLUME AMOUNT","N")</f>
        <v>0</v>
      </c>
      <c r="G408" s="94" cm="1">
        <f t="array" ref="G408">_xll.PrecioBD(D408,24,"IMBALANCE","N")</f>
        <v>0</v>
      </c>
    </row>
    <row r="409" spans="4:7">
      <c r="D409" s="249" t="s">
        <v>385</v>
      </c>
      <c r="E409" s="250" cm="1">
        <f t="array" ref="E409">_xll.PrecioBD(D409,24,"ASK","N")</f>
        <v>0</v>
      </c>
      <c r="F409" s="250" cm="1">
        <f t="array" ref="F409">_xll.PrecioBD(D409,24,"VOLUME AMOUNT","N")</f>
        <v>0</v>
      </c>
      <c r="G409" s="94" cm="1">
        <f t="array" ref="G409">_xll.PrecioBD(D409,24,"IMBALANCE","N")</f>
        <v>0</v>
      </c>
    </row>
    <row r="410" spans="4:7">
      <c r="D410" s="249" t="s">
        <v>386</v>
      </c>
      <c r="E410" s="250" cm="1">
        <f t="array" ref="E410">_xll.PrecioBD(D410,24,"ASK","N")</f>
        <v>0</v>
      </c>
      <c r="F410" s="250" cm="1">
        <f t="array" ref="F410">_xll.PrecioBD(D410,24,"VOLUME AMOUNT","N")</f>
        <v>0</v>
      </c>
      <c r="G410" s="94" cm="1">
        <f t="array" ref="G410">_xll.PrecioBD(D410,24,"IMBALANCE","N")</f>
        <v>0</v>
      </c>
    </row>
    <row r="411" spans="4:7">
      <c r="D411" s="249" t="s">
        <v>393</v>
      </c>
      <c r="E411" s="250" cm="1">
        <f t="array" ref="E411">_xll.PrecioBD(D411,24,"ASK","N")</f>
        <v>0</v>
      </c>
      <c r="F411" s="250" cm="1">
        <f t="array" ref="F411">_xll.PrecioBD(D411,24,"VOLUME AMOUNT","N")</f>
        <v>0</v>
      </c>
      <c r="G411" s="94" cm="1">
        <f t="array" ref="G411">_xll.PrecioBD(D411,24,"IMBALANCE","N")</f>
        <v>0</v>
      </c>
    </row>
    <row r="412" spans="4:7">
      <c r="D412" s="249" t="s">
        <v>398</v>
      </c>
      <c r="E412" s="250" cm="1">
        <f t="array" ref="E412">_xll.PrecioBD(D412,24,"ASK","N")</f>
        <v>0</v>
      </c>
      <c r="F412" s="250" cm="1">
        <f t="array" ref="F412">_xll.PrecioBD(D412,24,"VOLUME AMOUNT","N")</f>
        <v>0</v>
      </c>
      <c r="G412" s="94" cm="1">
        <f t="array" ref="G412">_xll.PrecioBD(D412,24,"IMBALANCE","N")</f>
        <v>0</v>
      </c>
    </row>
    <row r="413" spans="4:7">
      <c r="D413" s="249" t="s">
        <v>405</v>
      </c>
      <c r="E413" s="250" cm="1">
        <f t="array" ref="E413">_xll.PrecioBD(D413,24,"ASK","N")</f>
        <v>0</v>
      </c>
      <c r="F413" s="250" cm="1">
        <f t="array" ref="F413">_xll.PrecioBD(D413,24,"VOLUME AMOUNT","N")</f>
        <v>0</v>
      </c>
      <c r="G413" s="94" cm="1">
        <f t="array" ref="G413">_xll.PrecioBD(D413,24,"IMBALANCE","N")</f>
        <v>0</v>
      </c>
    </row>
    <row r="414" spans="4:7">
      <c r="D414" s="249" t="s">
        <v>412</v>
      </c>
      <c r="E414" s="250" cm="1">
        <f t="array" ref="E414">_xll.PrecioBD(D414,24,"ASK","N")</f>
        <v>0</v>
      </c>
      <c r="F414" s="250" cm="1">
        <f t="array" ref="F414">_xll.PrecioBD(D414,24,"VOLUME AMOUNT","N")</f>
        <v>0</v>
      </c>
      <c r="G414" s="94" cm="1">
        <f t="array" ref="G414">_xll.PrecioBD(D414,24,"IMBALANCE","N")</f>
        <v>0</v>
      </c>
    </row>
    <row r="415" spans="4:7">
      <c r="D415" s="249" t="s">
        <v>415</v>
      </c>
      <c r="E415" s="250" cm="1">
        <f t="array" ref="E415">_xll.PrecioBD(D415,24,"ASK","N")</f>
        <v>0</v>
      </c>
      <c r="F415" s="250" cm="1">
        <f t="array" ref="F415">_xll.PrecioBD(D415,24,"VOLUME AMOUNT","N")</f>
        <v>0</v>
      </c>
      <c r="G415" s="94" cm="1">
        <f t="array" ref="G415">_xll.PrecioBD(D415,24,"IMBALANCE","N")</f>
        <v>0</v>
      </c>
    </row>
    <row r="416" spans="4:7">
      <c r="D416" s="249" t="s">
        <v>420</v>
      </c>
      <c r="E416" s="250" cm="1">
        <f t="array" ref="E416">_xll.PrecioBD(D416,24,"ASK","N")</f>
        <v>0</v>
      </c>
      <c r="F416" s="250" cm="1">
        <f t="array" ref="F416">_xll.PrecioBD(D416,24,"VOLUME AMOUNT","N")</f>
        <v>0</v>
      </c>
      <c r="G416" s="94" cm="1">
        <f t="array" ref="G416">_xll.PrecioBD(D416,24,"IMBALANCE","N")</f>
        <v>0</v>
      </c>
    </row>
    <row r="417" spans="4:7">
      <c r="D417" s="249" t="s">
        <v>426</v>
      </c>
      <c r="E417" s="250" cm="1">
        <f t="array" ref="E417">_xll.PrecioBD(D417,24,"ASK","N")</f>
        <v>0</v>
      </c>
      <c r="F417" s="250" cm="1">
        <f t="array" ref="F417">_xll.PrecioBD(D417,24,"VOLUME AMOUNT","N")</f>
        <v>0</v>
      </c>
      <c r="G417" s="94" cm="1">
        <f t="array" ref="G417">_xll.PrecioBD(D417,24,"IMBALANCE","N")</f>
        <v>0</v>
      </c>
    </row>
    <row r="418" spans="4:7">
      <c r="D418" s="249" t="s">
        <v>427</v>
      </c>
      <c r="E418" s="250" cm="1">
        <f t="array" ref="E418">_xll.PrecioBD(D418,24,"ASK","N")</f>
        <v>0</v>
      </c>
      <c r="F418" s="250" cm="1">
        <f t="array" ref="F418">_xll.PrecioBD(D418,24,"VOLUME AMOUNT","N")</f>
        <v>0</v>
      </c>
      <c r="G418" s="94" cm="1">
        <f t="array" ref="G418">_xll.PrecioBD(D418,24,"IMBALANCE","N")</f>
        <v>0</v>
      </c>
    </row>
    <row r="419" spans="4:7">
      <c r="D419" s="249" t="s">
        <v>428</v>
      </c>
      <c r="E419" s="250" cm="1">
        <f t="array" ref="E419">_xll.PrecioBD(D419,24,"ASK","N")</f>
        <v>0</v>
      </c>
      <c r="F419" s="250" cm="1">
        <f t="array" ref="F419">_xll.PrecioBD(D419,24,"VOLUME AMOUNT","N")</f>
        <v>0</v>
      </c>
      <c r="G419" s="94" cm="1">
        <f t="array" ref="G419">_xll.PrecioBD(D419,24,"IMBALANCE","N")</f>
        <v>0</v>
      </c>
    </row>
    <row r="420" spans="4:7">
      <c r="D420" s="249" t="s">
        <v>447</v>
      </c>
      <c r="E420" s="250" cm="1">
        <f t="array" ref="E420">_xll.PrecioBD(D420,24,"ASK","N")</f>
        <v>0</v>
      </c>
      <c r="F420" s="250" cm="1">
        <f t="array" ref="F420">_xll.PrecioBD(D420,24,"VOLUME AMOUNT","N")</f>
        <v>0</v>
      </c>
      <c r="G420" s="94" cm="1">
        <f t="array" ref="G420">_xll.PrecioBD(D420,24,"IMBALANCE","N")</f>
        <v>0</v>
      </c>
    </row>
    <row r="421" spans="4:7">
      <c r="D421" s="249" t="s">
        <v>453</v>
      </c>
      <c r="E421" s="250" cm="1">
        <f t="array" ref="E421">_xll.PrecioBD(D421,24,"ASK","N")</f>
        <v>0</v>
      </c>
      <c r="F421" s="250" cm="1">
        <f t="array" ref="F421">_xll.PrecioBD(D421,24,"VOLUME AMOUNT","N")</f>
        <v>0</v>
      </c>
      <c r="G421" s="94" cm="1">
        <f t="array" ref="G421">_xll.PrecioBD(D421,24,"IMBALANCE","N")</f>
        <v>0</v>
      </c>
    </row>
    <row r="422" spans="4:7">
      <c r="D422" s="249" t="s">
        <v>455</v>
      </c>
      <c r="E422" s="250" cm="1">
        <f t="array" ref="E422">_xll.PrecioBD(D422,24,"ASK","N")</f>
        <v>0</v>
      </c>
      <c r="F422" s="250" cm="1">
        <f t="array" ref="F422">_xll.PrecioBD(D422,24,"VOLUME AMOUNT","N")</f>
        <v>0</v>
      </c>
      <c r="G422" s="94" cm="1">
        <f t="array" ref="G422">_xll.PrecioBD(D422,24,"IMBALANCE","N")</f>
        <v>0</v>
      </c>
    </row>
    <row r="423" spans="4:7">
      <c r="D423" s="249" t="s">
        <v>456</v>
      </c>
      <c r="E423" s="250" cm="1">
        <f t="array" ref="E423">_xll.PrecioBD(D423,24,"ASK","N")</f>
        <v>0</v>
      </c>
      <c r="F423" s="250" cm="1">
        <f t="array" ref="F423">_xll.PrecioBD(D423,24,"VOLUME AMOUNT","N")</f>
        <v>0</v>
      </c>
      <c r="G423" s="94" cm="1">
        <f t="array" ref="G423">_xll.PrecioBD(D423,24,"IMBALANCE","N")</f>
        <v>0</v>
      </c>
    </row>
    <row r="424" spans="4:7">
      <c r="D424" s="249" t="s">
        <v>476</v>
      </c>
      <c r="E424" s="250" cm="1">
        <f t="array" ref="E424">_xll.PrecioBD(D424,24,"ASK","N")</f>
        <v>0</v>
      </c>
      <c r="F424" s="250" cm="1">
        <f t="array" ref="F424">_xll.PrecioBD(D424,24,"VOLUME AMOUNT","N")</f>
        <v>0</v>
      </c>
      <c r="G424" s="94" cm="1">
        <f t="array" ref="G424">_xll.PrecioBD(D424,24,"IMBALANCE","N")</f>
        <v>0</v>
      </c>
    </row>
    <row r="425" spans="4:7">
      <c r="D425" s="249" t="s">
        <v>477</v>
      </c>
      <c r="E425" s="250" cm="1">
        <f t="array" ref="E425">_xll.PrecioBD(D425,24,"ASK","N")</f>
        <v>0</v>
      </c>
      <c r="F425" s="250" cm="1">
        <f t="array" ref="F425">_xll.PrecioBD(D425,24,"VOLUME AMOUNT","N")</f>
        <v>0</v>
      </c>
      <c r="G425" s="94" cm="1">
        <f t="array" ref="G425">_xll.PrecioBD(D425,24,"IMBALANCE","N")</f>
        <v>0</v>
      </c>
    </row>
    <row r="426" spans="4:7">
      <c r="D426" s="249" t="s">
        <v>478</v>
      </c>
      <c r="E426" s="250" cm="1">
        <f t="array" ref="E426">_xll.PrecioBD(D426,24,"ASK","N")</f>
        <v>0</v>
      </c>
      <c r="F426" s="250" cm="1">
        <f t="array" ref="F426">_xll.PrecioBD(D426,24,"VOLUME AMOUNT","N")</f>
        <v>0</v>
      </c>
      <c r="G426" s="94" cm="1">
        <f t="array" ref="G426">_xll.PrecioBD(D426,24,"IMBALANCE","N")</f>
        <v>0</v>
      </c>
    </row>
    <row r="427" spans="4:7">
      <c r="D427" s="249" t="s">
        <v>481</v>
      </c>
      <c r="E427" s="250" cm="1">
        <f t="array" ref="E427">_xll.PrecioBD(D427,24,"ASK","N")</f>
        <v>0</v>
      </c>
      <c r="F427" s="250" cm="1">
        <f t="array" ref="F427">_xll.PrecioBD(D427,24,"VOLUME AMOUNT","N")</f>
        <v>0</v>
      </c>
      <c r="G427" s="94" cm="1">
        <f t="array" ref="G427">_xll.PrecioBD(D427,24,"IMBALANCE","N")</f>
        <v>0</v>
      </c>
    </row>
    <row r="428" spans="4:7">
      <c r="D428" s="249" t="s">
        <v>443</v>
      </c>
      <c r="E428" s="250" cm="1">
        <f t="array" ref="E428">_xll.PrecioBD(D428,24,"ASK","N")</f>
        <v>72150</v>
      </c>
      <c r="F428" s="250" cm="1">
        <f t="array" ref="F428">_xll.PrecioBD(D428,24,"VOLUME AMOUNT","N")</f>
        <v>0</v>
      </c>
      <c r="G428" s="94" cm="1">
        <f t="array" ref="G428">_xll.PrecioBD(D428,24,"IMBALANCE","N")</f>
        <v>0</v>
      </c>
    </row>
    <row r="429" spans="4:7">
      <c r="D429" s="249" t="s">
        <v>360</v>
      </c>
      <c r="E429" s="250" cm="1">
        <f t="array" ref="E429">_xll.PrecioBD(D429,24,"ASK","N")</f>
        <v>7340</v>
      </c>
      <c r="F429" s="250" cm="1">
        <f t="array" ref="F429">_xll.PrecioBD(D429,24,"VOLUME AMOUNT","N")</f>
        <v>0</v>
      </c>
      <c r="G429" s="94" cm="1">
        <f t="array" ref="G429">_xll.PrecioBD(D429,24,"IMBALANCE","N")</f>
        <v>0</v>
      </c>
    </row>
    <row r="430" spans="4:7">
      <c r="D430" s="249" t="s">
        <v>184</v>
      </c>
      <c r="E430" s="250" cm="1">
        <f t="array" ref="E430">_xll.PrecioBD(D430,24,"ASK","N")</f>
        <v>16050</v>
      </c>
      <c r="F430" s="250" cm="1">
        <f t="array" ref="F430">_xll.PrecioBD(D430,24,"VOLUME AMOUNT","N")</f>
        <v>0</v>
      </c>
      <c r="G430" s="94" cm="1">
        <f t="array" ref="G430">_xll.PrecioBD(D430,24,"IMBALANCE","N")</f>
        <v>0</v>
      </c>
    </row>
    <row r="431" spans="4:7">
      <c r="D431" s="251" t="s">
        <v>540</v>
      </c>
      <c r="E431" s="252" cm="1">
        <f t="array" ref="E431">_xll.PrecioBD(D431,24,"ASK","N")</f>
        <v>0</v>
      </c>
      <c r="F431" s="252" cm="1">
        <f t="array" ref="F431">_xll.PrecioBD(D431,24,"VOLUME AMOUNT","N")</f>
        <v>0</v>
      </c>
      <c r="G431" s="171"/>
    </row>
    <row r="1048576" spans="18:19">
      <c r="R1048576" s="226"/>
      <c r="S1048576" s="226"/>
    </row>
  </sheetData>
  <mergeCells count="1">
    <mergeCell ref="Q22:S22"/>
  </mergeCells>
  <phoneticPr fontId="28" type="noConversion"/>
  <conditionalFormatting sqref="G27:G43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">
    <cfRule type="colorScale" priority="89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AF5:AF14">
    <cfRule type="colorScale" priority="91">
      <colorScale>
        <cfvo type="min"/>
        <cfvo type="max"/>
        <color rgb="FFFFFFFF"/>
        <color rgb="FF57BB8A"/>
      </colorScale>
    </cfRule>
  </conditionalFormatting>
  <conditionalFormatting sqref="AF5:AF14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M14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2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N41 N42:N44 M42:M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0:AD20 S5:S20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9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:S59 S63:S64 S68:S69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:X3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G14">
    <cfRule type="colorScale" priority="166">
      <colorScale>
        <cfvo type="percent" val="2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AG5:AG14">
    <cfRule type="colorScale" priority="168">
      <colorScale>
        <cfvo type="min"/>
        <cfvo type="max"/>
        <color rgb="FFFFFFFF"/>
        <color rgb="FF57BB8A"/>
      </colorScale>
    </cfRule>
  </conditionalFormatting>
  <conditionalFormatting sqref="AG5:AG14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4:Y38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4:Z3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:AQ36">
    <cfRule type="colorScale" priority="32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AQ5:AQ36">
    <cfRule type="colorScale" priority="33">
      <colorScale>
        <cfvo type="min"/>
        <cfvo type="max"/>
        <color rgb="FFFFFFFF"/>
        <color rgb="FF57BB8A"/>
      </colorScale>
    </cfRule>
  </conditionalFormatting>
  <conditionalFormatting sqref="AQ5:AQ3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:AR36">
    <cfRule type="colorScale" priority="28">
      <colorScale>
        <cfvo type="percent" val="2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AR5:AR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AR5:AR3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:AY3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M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1:M9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:M9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7:M106 M44:M50 N4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7:M106 M27:N41 N42:N45 M42:M50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5:M133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8:M133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:M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custom" allowBlank="1" showDropDown="1" sqref="AM5:AM14 AB20:AD20 S5:U20 AA5:AA20 Z6:Z20 V20:Y20 AY5:AY36" xr:uid="{EAB9273B-2036-4287-85EF-307ACFA43ED7}">
      <formula1>OR(NOT(ISERROR(DATEVALUE(S5))), AND(ISNUMBER(S5), LEFT(CELL("format", S5))="D"))</formula1>
    </dataValidation>
    <dataValidation type="custom" allowBlank="1" showDropDown="1" sqref="AF5:AL14 V5:Z5 V6:Y19 AQ5:AR36 AT5:AX36" xr:uid="{841CC0A2-ABA6-4BB4-8C63-65464666D701}">
      <formula1>AND(ISNUMBER(V5),(NOT(OR(NOT(ISERROR(DATEVALUE(V5))), AND(ISNUMBER(V5), LEFT(CELL("format", V5))="D")))))</formula1>
    </dataValidation>
  </dataValidations>
  <hyperlinks>
    <hyperlink ref="AE12" location="AL29D!A1" display="AL29D" xr:uid="{0E57D465-EB95-4704-9192-81574EE71602}"/>
    <hyperlink ref="AE9" location="AL30D!A1" display="AL30D" xr:uid="{B2DA8A56-D043-4A36-BA4F-7F66DBA05A6E}"/>
    <hyperlink ref="AE6" location="AL35D!A1" display="AL35D" xr:uid="{FDC263ED-4EF1-4D15-86BA-852844FAD54C}"/>
    <hyperlink ref="AE5" location="AE38D!A1" display="AE38D" xr:uid="{30FFD6F0-1EC6-476C-A9AB-B681C87F85E3}"/>
    <hyperlink ref="AE7" location="AL41D!A1" display="AL41D" xr:uid="{8B5AB30F-2B99-4D02-9061-F6C49B935A65}"/>
    <hyperlink ref="AE14" location="GD29D!A1" display="GD29D" xr:uid="{1BF69E36-66D3-416E-A386-69DE211889A1}"/>
    <hyperlink ref="AE13" location="GD30D!A1" display="GD30D" xr:uid="{9649DFC2-E627-4974-881A-3FDEF2F6C11A}"/>
    <hyperlink ref="AE10" location="GD35D!A1" display="GD35D" xr:uid="{1F084521-528F-4F8E-94B0-5B35FC2C6D05}"/>
    <hyperlink ref="AE11" location="GD38D!A1" display="GD38D" xr:uid="{95805392-E35B-4292-93D5-99AC2A7D306C}"/>
    <hyperlink ref="AE8" location="GD41D!A1" display="GD41D" xr:uid="{882766EB-9509-45B2-AEFF-EACE8B1EF296}"/>
    <hyperlink ref="C4" location="Caucho!A1" display="Caución" xr:uid="{627F59BC-F152-41E6-97EE-F51D9206790D}"/>
    <hyperlink ref="D24" r:id="rId1" xr:uid="{5F462279-B14E-44E6-9C0B-90E2420E6472}"/>
    <hyperlink ref="P16" location="T15E7!A1" display="T15E7" xr:uid="{CB64DBF8-1F04-4558-AE82-0B871783FF70}"/>
    <hyperlink ref="P15" location="S30N6!A1" display="S30N6" xr:uid="{784AAEA9-661D-4A49-95E7-9D279A09DFD9}"/>
    <hyperlink ref="P14" location="S30O6!A1" display="S30O6" xr:uid="{C659705D-E68E-49EF-9097-A51BC40184C1}"/>
    <hyperlink ref="P13" location="S31G6!A1" display="S31G6" xr:uid="{B2FA187D-0F1A-4E15-AA15-93F70208F3DD}"/>
    <hyperlink ref="P12" location="S31L6!A1" display="S31L6" xr:uid="{EA903620-7D33-424C-A0D3-C7202E068911}"/>
    <hyperlink ref="P11" location="T30J6!A1" display="T30J6" xr:uid="{351BA93F-E5A1-478D-9727-923DFF6A368D}"/>
    <hyperlink ref="P10" location="S29Y6!A1" display="S29Y6" xr:uid="{FAFEAE6E-2905-4857-BA64-00B9AA94CF9F}"/>
    <hyperlink ref="P9" location="S30A6!A1" display="S30A6" xr:uid="{FB379C65-58A6-42ED-B5EB-AC1C77A6BF57}"/>
    <hyperlink ref="P8" location="S17A6!A1" display="S17A6" xr:uid="{C9AEC8F7-E574-47F9-988C-A32F24129805}"/>
    <hyperlink ref="P7" location="S16M6!A1" display="S16M6" xr:uid="{07CBC4B9-4E6B-4BC9-94A7-F732D7FA6134}"/>
    <hyperlink ref="P6" location="S27F6!A1" display="S27F6" xr:uid="{1C23D372-60E9-4532-9184-A8F33F4571E0}"/>
    <hyperlink ref="P17" location="T30A7!A1" display="T30A7" xr:uid="{2206486D-E85C-4BB0-BF7E-A7CA19DCD305}"/>
    <hyperlink ref="P18" location="T31Y7!A1" display="T31Y7" xr:uid="{1CC845A7-D7E7-4EA6-BDA6-E1B28C07E56E}"/>
    <hyperlink ref="P19" location="T30J7!A1" display="T30J7" xr:uid="{34BD47BD-5A15-4F4A-BF8D-F3FA45CFF20E}"/>
    <hyperlink ref="O4" location="LECAPs!A1" display="LECAPS" xr:uid="{F95EB965-D9B2-488E-B9F7-F6D350593FB0}"/>
    <hyperlink ref="AD4" location="'Soberanos HD'!A1" display="Soberanos HD" xr:uid="{DC12F42F-1622-4D18-97A0-D7CEF22A07A5}"/>
    <hyperlink ref="Q35" location="T15E7!A1" display="T15E7" xr:uid="{E3FA5125-B6A6-49F3-95CA-CAE0BB7FA09A}"/>
    <hyperlink ref="Q34" location="S30N6!A1" display="S30N6" xr:uid="{48D9A99C-03E7-4CB9-90D2-E83E74CEABEB}"/>
    <hyperlink ref="Q33" location="S30O6!A1" display="S30O6" xr:uid="{FB4604B6-7892-46AA-85AD-36DEF9098EDC}"/>
    <hyperlink ref="Q32" location="S31G6!A1" display="S31G6" xr:uid="{E4206FE0-93AE-4BEE-87C0-5C4FE75A3D89}"/>
    <hyperlink ref="Q31" location="S31L6!A1" display="S31L6" xr:uid="{5B63C4F2-D0E6-4267-AE8E-7805CC2398C8}"/>
    <hyperlink ref="Q30" location="T30J6!A1" display="T30J6" xr:uid="{4260E2C2-9E81-486F-8A87-A213843F0C9E}"/>
    <hyperlink ref="Q29" location="S29Y6!A1" display="S29Y6" xr:uid="{FFBCA825-1E94-440E-8FAC-D00816050D6D}"/>
    <hyperlink ref="Q28" location="S30A6!A1" display="S30A6" xr:uid="{02257CC3-20DB-4FFC-8241-4A8F29CD04DC}"/>
    <hyperlink ref="Q27" location="S17A6!A1" display="S17A6" xr:uid="{83FCE631-74E6-4217-B65B-099AD94618D0}"/>
    <hyperlink ref="Q26" location="S16M6!A1" display="S16M6" xr:uid="{3C130C5F-3111-4C6B-A57C-17E68C4448E8}"/>
    <hyperlink ref="Q25" location="S27F6!A1" display="S27F6" xr:uid="{5254C64E-16BA-45B5-AD4C-3E4D0E6959E7}"/>
    <hyperlink ref="Q36" location="T30A7!A1" display="T30A7" xr:uid="{3658DDFC-3551-4461-82EE-92F7B84AD201}"/>
    <hyperlink ref="Q37" location="T31Y7!A1" display="T31Y7" xr:uid="{DD4F78F9-C717-475D-ABB4-A9F20221B6C3}"/>
    <hyperlink ref="Q38" location="T30J7!A1" display="T30J7" xr:uid="{F5A0D74A-71B9-4979-BF5E-5E8A96B7ECA1}"/>
    <hyperlink ref="A2" location="Main!C4" display="Caución" xr:uid="{F5F4D1E2-4402-4198-8796-6C0EC1BA4F9B}"/>
    <hyperlink ref="A3" location="Main!C12" display="FX" xr:uid="{A42F15AA-98DF-4AFB-87E8-A194DEFF3525}"/>
    <hyperlink ref="A4" location="Main!K4" display="Favoritos" xr:uid="{8F6681BC-0A9D-457C-8390-32249AC9A91A}"/>
    <hyperlink ref="A5" location="Main!O4" display="LECAPs" xr:uid="{D83B1A38-582D-4E01-821B-A7E2E9073864}"/>
    <hyperlink ref="A6" location="Main!AD4" display="Soberanos HD" xr:uid="{659A7E9A-C4E2-428A-B65F-C47AF8601C8A}"/>
    <hyperlink ref="A8" location="Main!C25" display="CEDEARs" xr:uid="{5F52FDAE-93C6-4F8C-B688-DB85E733E59A}"/>
    <hyperlink ref="A9" location="Main!I30" display="Acciones" xr:uid="{382D301A-1E72-4C90-966A-5A88D2F809C6}"/>
    <hyperlink ref="AP34" location="MTCGD!A1" display="MTCGD" xr:uid="{CC91C59B-7644-4A5E-A74E-386AE6AA24E6}"/>
    <hyperlink ref="AP36" location="PNDCD!A1" display="PNDCD" xr:uid="{0331B260-B323-465E-A6EC-80E521FA5A7E}"/>
    <hyperlink ref="AP35" location="YCAMO!A1" display="YCAMD" xr:uid="{3EFC7DAB-A12A-4F0C-BB9D-04B91B31FB5E}"/>
    <hyperlink ref="AP32" location="IRCFO!A1" display="IRCFD" xr:uid="{5C2C90CA-172C-4FD1-BCF4-D591B24D0168}"/>
    <hyperlink ref="AP33" location="CAC5D!A1" display="CAC5D" xr:uid="{7B4C7C9C-03B0-4349-B269-6E661D753244}"/>
    <hyperlink ref="AP30" location="BYCHD!A1" display="BYCHD" xr:uid="{6D51A589-E605-4615-9E2F-0FCA81C59309}"/>
    <hyperlink ref="AP31" location="YMCID!A1" display="YMCID" xr:uid="{71A3A89C-C88F-40FE-B35D-7271BF22F43E}"/>
    <hyperlink ref="AP6" location="DNC7D!A1" display="DNC7D" xr:uid="{54E0FC5A-C21E-4CA2-A3FB-FEB954BA0B49}"/>
    <hyperlink ref="AP5" location="RUCDO!A1" display="RUCDD" xr:uid="{4576BF1F-6CD5-40AA-A77E-8575BB756C45}"/>
    <hyperlink ref="AP21" location="TLCMO!A1" display="TLCMD" xr:uid="{ADD4A2A2-C529-461D-9174-6CDAECB370D3}"/>
    <hyperlink ref="AP24" location="TSC3D!A1" display="TSC3D" xr:uid="{C7A0B05B-CC67-4592-B5E4-44BC04799D39}"/>
    <hyperlink ref="AP29" location="ARC1D!A1" display="ARC1D" xr:uid="{88A0B7A6-304A-4538-83E8-D920C847D7E9}"/>
    <hyperlink ref="AP25" location="MGCMD!A1" display="MGCMD" xr:uid="{ACA0DFDE-188F-4C53-9839-A2F2AF6A3208}"/>
    <hyperlink ref="AP18" location="YMCXO!A1" display="YMCXD" xr:uid="{C03C54F3-442C-4BDC-9232-70343A7E282A}"/>
    <hyperlink ref="AP27" location="PNXCD!A1" display="PNXCD" xr:uid="{8005B00B-8E0A-4E8E-990B-E0F80BC86A50}"/>
    <hyperlink ref="AP19" location="YFCJD!A1" display="YFCJD" xr:uid="{1B87C530-1B55-4EBA-A42A-244DED196690}"/>
    <hyperlink ref="AP26" location="TTCAD!A1" display="TTCAD" xr:uid="{9A0B6CEE-EF74-48FE-AA90-F8F5D4E2FE0C}"/>
    <hyperlink ref="AP8" location="TLCPD!A1" display="TLCPD" xr:uid="{F0D739BA-E5D1-4316-89FE-F97FB7F8095B}"/>
    <hyperlink ref="AP22" location="YMCJO!A1" display="YMCJD" xr:uid="{552DD204-E4F3-4426-9B80-D830508E8F67}"/>
    <hyperlink ref="AP10" location="YM34D!A1" display="YM34D" xr:uid="{BBE54A9C-6643-4897-A838-790D60115CF4}"/>
    <hyperlink ref="AP13" location="MGCOD!A1" display="MGCOD" xr:uid="{BF8A0221-7615-4CD8-ABD8-1A5F22559FB9}"/>
    <hyperlink ref="AP12" location="IRCPD!A1" display="IRCPD" xr:uid="{1F17F512-7BC6-4867-9C86-705AED83C867}"/>
    <hyperlink ref="AP17" location="VSCTD!A1" display="VSCTD" xr:uid="{3837C59A-6928-49A0-8779-C564816A7C81}"/>
    <hyperlink ref="AP11" location="TSC4D!A1" display="TSC4D" xr:uid="{6E75B407-008D-4B14-913A-EFEE130BB69F}"/>
    <hyperlink ref="AP9" location="MGCRD!A1" display="MGCRD" xr:uid="{4EDFE6A3-9ED4-43F3-8388-AFEFC86AC655}"/>
    <hyperlink ref="AP23" location="TTCDD!A1" display="TTCDD" xr:uid="{97AD298D-D544-4A73-B9AB-0B765BBC0646}"/>
    <hyperlink ref="AP15" location="PLC5D!A1" display="PLC5D" xr:uid="{0DD5EDE6-C4CC-4C8C-B1E6-303D49A67179}"/>
    <hyperlink ref="AP20" location="GN49D!A1" display="GN49D" xr:uid="{833C3B5D-8ED9-4FE9-9A10-304905CC34A6}"/>
    <hyperlink ref="AP28" location="BACGD!A1" display="BACGD" xr:uid="{1DCCF238-9BA7-4653-89BA-0C120A700A77}"/>
    <hyperlink ref="AP16" location="PCL4D!A1" display="PLC4D" xr:uid="{3699E519-5ED8-42CB-8DF3-2798326D612B}"/>
    <hyperlink ref="A7" location="Main!AP4" display="Ons NY" xr:uid="{A797C0BB-03BD-419C-AFE8-937CF9DF6D62}"/>
    <hyperlink ref="A10" location="Main!I52" display="Panel General" xr:uid="{BDEDC0A5-F031-41EA-98D6-D776A52141EE}"/>
    <hyperlink ref="A1" location="Main!D1" display="Indice" xr:uid="{AF23D388-A170-4A49-9D76-C9969F727694}"/>
    <hyperlink ref="A11" location="Main!I106" display="Factor Alfa" xr:uid="{91F4BB6C-6356-4C8D-9CC1-BB4020983442}"/>
  </hyperlinks>
  <pageMargins left="0.7" right="0.7" top="0.75" bottom="0.75" header="0.3" footer="0.3"/>
  <pageSetup paperSize="9" orientation="portrait"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5DF7-185A-4B8E-B04A-D9D4C4CEE3B0}">
  <dimension ref="B3:M23"/>
  <sheetViews>
    <sheetView topLeftCell="A14" workbookViewId="0">
      <selection activeCell="B3" sqref="B3:B23"/>
    </sheetView>
  </sheetViews>
  <sheetFormatPr baseColWidth="10" defaultRowHeight="13.8"/>
  <sheetData>
    <row r="3" spans="2:13" ht="27.6">
      <c r="B3" s="356" t="s">
        <v>794</v>
      </c>
      <c r="C3" s="357" t="s">
        <v>6030</v>
      </c>
      <c r="D3" s="358" t="s">
        <v>6031</v>
      </c>
      <c r="E3" s="359" t="s">
        <v>6032</v>
      </c>
      <c r="F3" s="358" t="s">
        <v>6033</v>
      </c>
      <c r="G3" s="357" t="s">
        <v>6034</v>
      </c>
      <c r="H3" s="357" t="s">
        <v>6030</v>
      </c>
      <c r="I3" s="357" t="s">
        <v>6035</v>
      </c>
      <c r="J3" s="357" t="s">
        <v>6036</v>
      </c>
      <c r="K3" s="360">
        <v>0.69513888888888886</v>
      </c>
      <c r="L3" s="357">
        <v>729.54700000000003</v>
      </c>
      <c r="M3" s="357" t="s">
        <v>6037</v>
      </c>
    </row>
    <row r="4" spans="2:13" ht="27.6">
      <c r="B4" s="356" t="s">
        <v>792</v>
      </c>
      <c r="C4" s="357" t="s">
        <v>6038</v>
      </c>
      <c r="D4" s="358" t="s">
        <v>6039</v>
      </c>
      <c r="E4" s="359" t="s">
        <v>6040</v>
      </c>
      <c r="F4" s="359" t="s">
        <v>6041</v>
      </c>
      <c r="G4" s="357" t="s">
        <v>6042</v>
      </c>
      <c r="H4" s="357" t="s">
        <v>6043</v>
      </c>
      <c r="I4" s="357" t="s">
        <v>6044</v>
      </c>
      <c r="J4" s="357" t="s">
        <v>6045</v>
      </c>
      <c r="K4" s="360">
        <v>0.69513888888888886</v>
      </c>
      <c r="L4" s="357">
        <v>234.589</v>
      </c>
      <c r="M4" s="357" t="s">
        <v>6046</v>
      </c>
    </row>
    <row r="5" spans="2:13" ht="27.6">
      <c r="B5" s="356" t="s">
        <v>795</v>
      </c>
      <c r="C5" s="357" t="s">
        <v>6047</v>
      </c>
      <c r="D5" s="358" t="s">
        <v>6048</v>
      </c>
      <c r="E5" s="359" t="s">
        <v>6049</v>
      </c>
      <c r="F5" s="358" t="s">
        <v>6050</v>
      </c>
      <c r="G5" s="357" t="s">
        <v>6051</v>
      </c>
      <c r="H5" s="357" t="s">
        <v>6052</v>
      </c>
      <c r="I5" s="357" t="s">
        <v>6052</v>
      </c>
      <c r="J5" s="357" t="s">
        <v>6053</v>
      </c>
      <c r="K5" s="360">
        <v>0.69513888888888886</v>
      </c>
      <c r="L5" s="357">
        <v>136.00899999999999</v>
      </c>
      <c r="M5" s="357" t="s">
        <v>6054</v>
      </c>
    </row>
    <row r="6" spans="2:13" ht="27.6">
      <c r="B6" s="356" t="s">
        <v>796</v>
      </c>
      <c r="C6" s="357" t="s">
        <v>6055</v>
      </c>
      <c r="D6" s="359" t="s">
        <v>6056</v>
      </c>
      <c r="E6" s="359" t="s">
        <v>6057</v>
      </c>
      <c r="F6" s="358" t="s">
        <v>6058</v>
      </c>
      <c r="G6" s="357" t="s">
        <v>6059</v>
      </c>
      <c r="H6" s="357" t="s">
        <v>6055</v>
      </c>
      <c r="I6" s="357" t="s">
        <v>6060</v>
      </c>
      <c r="J6" s="357" t="s">
        <v>6061</v>
      </c>
      <c r="K6" s="360">
        <v>0.69513888888888886</v>
      </c>
      <c r="L6" s="357" t="s">
        <v>6062</v>
      </c>
      <c r="M6" s="357" t="s">
        <v>6063</v>
      </c>
    </row>
    <row r="7" spans="2:13" ht="27.6">
      <c r="B7" s="356" t="s">
        <v>797</v>
      </c>
      <c r="C7" s="357" t="s">
        <v>6064</v>
      </c>
      <c r="D7" s="358" t="s">
        <v>6065</v>
      </c>
      <c r="E7" s="359" t="s">
        <v>6066</v>
      </c>
      <c r="F7" s="359" t="s">
        <v>6067</v>
      </c>
      <c r="G7" s="357" t="s">
        <v>6068</v>
      </c>
      <c r="H7" s="357" t="s">
        <v>6069</v>
      </c>
      <c r="I7" s="357" t="s">
        <v>6070</v>
      </c>
      <c r="J7" s="357" t="s">
        <v>6071</v>
      </c>
      <c r="K7" s="360">
        <v>0.69513888888888886</v>
      </c>
      <c r="L7" s="357">
        <v>430.71699999999998</v>
      </c>
      <c r="M7" s="357" t="s">
        <v>6072</v>
      </c>
    </row>
    <row r="8" spans="2:13" ht="27.6">
      <c r="B8" s="356" t="s">
        <v>798</v>
      </c>
      <c r="C8" s="357" t="s">
        <v>6073</v>
      </c>
      <c r="D8" s="358" t="s">
        <v>6074</v>
      </c>
      <c r="E8" s="359" t="s">
        <v>6075</v>
      </c>
      <c r="F8" s="359" t="s">
        <v>6076</v>
      </c>
      <c r="G8" s="357" t="s">
        <v>6077</v>
      </c>
      <c r="H8" s="357" t="s">
        <v>6078</v>
      </c>
      <c r="I8" s="357" t="s">
        <v>6079</v>
      </c>
      <c r="J8" s="357" t="s">
        <v>6073</v>
      </c>
      <c r="K8" s="360">
        <v>0.69513888888888886</v>
      </c>
      <c r="L8" s="357" t="s">
        <v>6080</v>
      </c>
      <c r="M8" s="357" t="s">
        <v>6081</v>
      </c>
    </row>
    <row r="9" spans="2:13" ht="27.6">
      <c r="B9" s="356" t="s">
        <v>799</v>
      </c>
      <c r="C9" s="357" t="s">
        <v>6082</v>
      </c>
      <c r="D9" s="358" t="s">
        <v>6083</v>
      </c>
      <c r="E9" s="359" t="s">
        <v>6084</v>
      </c>
      <c r="F9" s="358" t="s">
        <v>6085</v>
      </c>
      <c r="G9" s="357" t="s">
        <v>6086</v>
      </c>
      <c r="H9" s="357" t="s">
        <v>6087</v>
      </c>
      <c r="I9" s="357" t="s">
        <v>6088</v>
      </c>
      <c r="J9" s="357" t="s">
        <v>6089</v>
      </c>
      <c r="K9" s="360">
        <v>0.69513888888888886</v>
      </c>
      <c r="L9" s="357">
        <v>312.66800000000001</v>
      </c>
      <c r="M9" s="357" t="s">
        <v>6090</v>
      </c>
    </row>
    <row r="10" spans="2:13" ht="27.6">
      <c r="B10" s="356" t="s">
        <v>6091</v>
      </c>
      <c r="C10" s="357" t="s">
        <v>6092</v>
      </c>
      <c r="D10" s="358" t="s">
        <v>6093</v>
      </c>
      <c r="E10" s="359" t="s">
        <v>6094</v>
      </c>
      <c r="F10" s="359" t="s">
        <v>6095</v>
      </c>
      <c r="G10" s="357" t="s">
        <v>6096</v>
      </c>
      <c r="H10" s="357" t="s">
        <v>6097</v>
      </c>
      <c r="I10" s="357" t="s">
        <v>6097</v>
      </c>
      <c r="J10" s="357" t="s">
        <v>6098</v>
      </c>
      <c r="K10" s="360">
        <v>0.68055555555555558</v>
      </c>
      <c r="L10" s="357">
        <v>339.66199999999998</v>
      </c>
      <c r="M10" s="357" t="s">
        <v>6099</v>
      </c>
    </row>
    <row r="11" spans="2:13" ht="27.6">
      <c r="B11" s="356" t="s">
        <v>800</v>
      </c>
      <c r="C11" s="357" t="s">
        <v>6100</v>
      </c>
      <c r="D11" s="358" t="s">
        <v>6101</v>
      </c>
      <c r="E11" s="359" t="s">
        <v>6102</v>
      </c>
      <c r="F11" s="359" t="s">
        <v>6103</v>
      </c>
      <c r="G11" s="357" t="s">
        <v>6104</v>
      </c>
      <c r="H11" s="357" t="s">
        <v>6100</v>
      </c>
      <c r="I11" s="357" t="s">
        <v>6105</v>
      </c>
      <c r="J11" s="357" t="s">
        <v>6106</v>
      </c>
      <c r="K11" s="360">
        <v>0.69513888888888886</v>
      </c>
      <c r="L11" s="357" t="s">
        <v>6107</v>
      </c>
      <c r="M11" s="357" t="s">
        <v>6108</v>
      </c>
    </row>
    <row r="12" spans="2:13" ht="27.6">
      <c r="B12" s="356" t="s">
        <v>49</v>
      </c>
      <c r="C12" s="357" t="s">
        <v>6109</v>
      </c>
      <c r="D12" s="357" t="s">
        <v>6110</v>
      </c>
      <c r="E12" s="359" t="s">
        <v>6111</v>
      </c>
      <c r="F12" s="359" t="s">
        <v>6112</v>
      </c>
      <c r="G12" s="357" t="s">
        <v>6109</v>
      </c>
      <c r="H12" s="357" t="s">
        <v>6109</v>
      </c>
      <c r="I12" s="357" t="s">
        <v>6113</v>
      </c>
      <c r="J12" s="357" t="s">
        <v>6114</v>
      </c>
      <c r="K12" s="360">
        <v>0.69513888888888886</v>
      </c>
      <c r="L12" s="357">
        <v>168.41300000000001</v>
      </c>
      <c r="M12" s="357" t="s">
        <v>6115</v>
      </c>
    </row>
    <row r="13" spans="2:13" ht="27.6">
      <c r="B13" s="356" t="s">
        <v>801</v>
      </c>
      <c r="C13" s="357" t="s">
        <v>6116</v>
      </c>
      <c r="D13" s="358" t="s">
        <v>6117</v>
      </c>
      <c r="E13" s="359" t="s">
        <v>6118</v>
      </c>
      <c r="F13" s="359" t="s">
        <v>6119</v>
      </c>
      <c r="G13" s="357" t="s">
        <v>6120</v>
      </c>
      <c r="H13" s="357" t="s">
        <v>6121</v>
      </c>
      <c r="I13" s="357" t="s">
        <v>6121</v>
      </c>
      <c r="J13" s="357" t="s">
        <v>6122</v>
      </c>
      <c r="K13" s="360">
        <v>0.69513888888888886</v>
      </c>
      <c r="L13" s="357">
        <v>200.82300000000001</v>
      </c>
      <c r="M13" s="357" t="s">
        <v>6123</v>
      </c>
    </row>
    <row r="14" spans="2:13" ht="27.6">
      <c r="B14" s="356" t="s">
        <v>802</v>
      </c>
      <c r="C14" s="357" t="s">
        <v>6124</v>
      </c>
      <c r="D14" s="358" t="s">
        <v>6125</v>
      </c>
      <c r="E14" s="359" t="s">
        <v>6126</v>
      </c>
      <c r="F14" s="359" t="s">
        <v>6127</v>
      </c>
      <c r="G14" s="357" t="s">
        <v>6128</v>
      </c>
      <c r="H14" s="357" t="s">
        <v>6129</v>
      </c>
      <c r="I14" s="357" t="s">
        <v>6129</v>
      </c>
      <c r="J14" s="357" t="s">
        <v>6130</v>
      </c>
      <c r="K14" s="360">
        <v>0.69513888888888886</v>
      </c>
      <c r="L14" s="357">
        <v>435.19</v>
      </c>
      <c r="M14" s="357" t="s">
        <v>6131</v>
      </c>
    </row>
    <row r="15" spans="2:13" ht="27.6">
      <c r="B15" s="356" t="s">
        <v>803</v>
      </c>
      <c r="C15" s="357" t="s">
        <v>6132</v>
      </c>
      <c r="D15" s="358" t="s">
        <v>6133</v>
      </c>
      <c r="E15" s="359" t="s">
        <v>6134</v>
      </c>
      <c r="F15" s="359" t="s">
        <v>6135</v>
      </c>
      <c r="G15" s="357" t="s">
        <v>6132</v>
      </c>
      <c r="H15" s="357" t="s">
        <v>6132</v>
      </c>
      <c r="I15" s="357" t="s">
        <v>6136</v>
      </c>
      <c r="J15" s="357" t="s">
        <v>6137</v>
      </c>
      <c r="K15" s="360">
        <v>0.69513888888888886</v>
      </c>
      <c r="L15" s="357">
        <v>895.56399999999996</v>
      </c>
      <c r="M15" s="357" t="s">
        <v>6138</v>
      </c>
    </row>
    <row r="16" spans="2:13" ht="27.6">
      <c r="B16" s="356" t="s">
        <v>804</v>
      </c>
      <c r="C16" s="357" t="s">
        <v>6139</v>
      </c>
      <c r="D16" s="358" t="s">
        <v>6140</v>
      </c>
      <c r="E16" s="359" t="s">
        <v>6141</v>
      </c>
      <c r="F16" s="359" t="s">
        <v>6142</v>
      </c>
      <c r="G16" s="357" t="s">
        <v>6143</v>
      </c>
      <c r="H16" s="357" t="s">
        <v>6144</v>
      </c>
      <c r="I16" s="357" t="s">
        <v>6144</v>
      </c>
      <c r="J16" s="357" t="s">
        <v>6145</v>
      </c>
      <c r="K16" s="360">
        <v>0.69513888888888886</v>
      </c>
      <c r="L16" s="357">
        <v>629.97</v>
      </c>
      <c r="M16" s="357" t="s">
        <v>6146</v>
      </c>
    </row>
    <row r="17" spans="2:13" ht="27.6">
      <c r="B17" s="356" t="s">
        <v>6147</v>
      </c>
      <c r="C17" s="357" t="s">
        <v>6148</v>
      </c>
      <c r="D17" s="358" t="s">
        <v>6149</v>
      </c>
      <c r="E17" s="359" t="s">
        <v>6150</v>
      </c>
      <c r="F17" s="358" t="s">
        <v>6151</v>
      </c>
      <c r="G17" s="357" t="s">
        <v>6152</v>
      </c>
      <c r="H17" s="357" t="s">
        <v>6153</v>
      </c>
      <c r="I17" s="357" t="s">
        <v>6154</v>
      </c>
      <c r="J17" s="357" t="s">
        <v>6155</v>
      </c>
      <c r="K17" s="360">
        <v>0.68055555555555558</v>
      </c>
      <c r="L17" s="357">
        <v>71.927999999999997</v>
      </c>
      <c r="M17" s="357" t="s">
        <v>6156</v>
      </c>
    </row>
    <row r="18" spans="2:13" ht="27.6">
      <c r="B18" s="356" t="s">
        <v>805</v>
      </c>
      <c r="C18" s="357" t="s">
        <v>6157</v>
      </c>
      <c r="D18" s="358" t="s">
        <v>6158</v>
      </c>
      <c r="E18" s="359" t="s">
        <v>6159</v>
      </c>
      <c r="F18" s="359" t="s">
        <v>6160</v>
      </c>
      <c r="G18" s="357" t="s">
        <v>6161</v>
      </c>
      <c r="H18" s="357" t="s">
        <v>6162</v>
      </c>
      <c r="I18" s="357" t="s">
        <v>6163</v>
      </c>
      <c r="J18" s="357" t="s">
        <v>6164</v>
      </c>
      <c r="K18" s="360">
        <v>0.69513888888888886</v>
      </c>
      <c r="L18" s="357">
        <v>211.601</v>
      </c>
      <c r="M18" s="357" t="s">
        <v>6165</v>
      </c>
    </row>
    <row r="19" spans="2:13" ht="27.6">
      <c r="B19" s="356" t="s">
        <v>806</v>
      </c>
      <c r="C19" s="357" t="s">
        <v>6166</v>
      </c>
      <c r="D19" s="358" t="s">
        <v>6167</v>
      </c>
      <c r="E19" s="359" t="s">
        <v>6168</v>
      </c>
      <c r="F19" s="359" t="s">
        <v>6169</v>
      </c>
      <c r="G19" s="357" t="s">
        <v>6170</v>
      </c>
      <c r="H19" s="357" t="s">
        <v>6166</v>
      </c>
      <c r="I19" s="357" t="s">
        <v>6166</v>
      </c>
      <c r="J19" s="357" t="s">
        <v>6171</v>
      </c>
      <c r="K19" s="360">
        <v>0.69513888888888886</v>
      </c>
      <c r="L19" s="357">
        <v>159.01900000000001</v>
      </c>
      <c r="M19" s="357" t="s">
        <v>6172</v>
      </c>
    </row>
    <row r="20" spans="2:13" ht="27.6">
      <c r="B20" s="356" t="s">
        <v>807</v>
      </c>
      <c r="C20" s="357" t="s">
        <v>6173</v>
      </c>
      <c r="D20" s="358" t="s">
        <v>6174</v>
      </c>
      <c r="E20" s="358" t="s">
        <v>6175</v>
      </c>
      <c r="F20" s="358" t="s">
        <v>6176</v>
      </c>
      <c r="G20" s="357" t="s">
        <v>6177</v>
      </c>
      <c r="H20" s="357" t="s">
        <v>6178</v>
      </c>
      <c r="I20" s="357" t="s">
        <v>6179</v>
      </c>
      <c r="J20" s="357" t="s">
        <v>6180</v>
      </c>
      <c r="K20" s="360">
        <v>0.69513888888888886</v>
      </c>
      <c r="L20" s="357">
        <v>379.21499999999997</v>
      </c>
      <c r="M20" s="357" t="s">
        <v>6181</v>
      </c>
    </row>
    <row r="21" spans="2:13" ht="27.6">
      <c r="B21" s="356" t="s">
        <v>808</v>
      </c>
      <c r="C21" s="357" t="s">
        <v>6182</v>
      </c>
      <c r="D21" s="358" t="s">
        <v>6183</v>
      </c>
      <c r="E21" s="359" t="s">
        <v>6184</v>
      </c>
      <c r="F21" s="358" t="s">
        <v>6185</v>
      </c>
      <c r="G21" s="357" t="s">
        <v>6186</v>
      </c>
      <c r="H21" s="357" t="s">
        <v>6182</v>
      </c>
      <c r="I21" s="357" t="s">
        <v>6187</v>
      </c>
      <c r="J21" s="357" t="s">
        <v>6188</v>
      </c>
      <c r="K21" s="360">
        <v>0.69513888888888886</v>
      </c>
      <c r="L21" s="357">
        <v>684.82299999999998</v>
      </c>
      <c r="M21" s="357" t="s">
        <v>6189</v>
      </c>
    </row>
    <row r="22" spans="2:13" ht="27.6">
      <c r="B22" s="356" t="s">
        <v>809</v>
      </c>
      <c r="C22" s="357" t="s">
        <v>6190</v>
      </c>
      <c r="D22" s="358" t="s">
        <v>6191</v>
      </c>
      <c r="E22" s="359" t="s">
        <v>6192</v>
      </c>
      <c r="F22" s="358" t="s">
        <v>6193</v>
      </c>
      <c r="G22" s="357" t="s">
        <v>6194</v>
      </c>
      <c r="H22" s="357" t="s">
        <v>6190</v>
      </c>
      <c r="I22" s="357" t="s">
        <v>6190</v>
      </c>
      <c r="J22" s="357" t="s">
        <v>6195</v>
      </c>
      <c r="K22" s="360">
        <v>0.69513888888888886</v>
      </c>
      <c r="L22" s="357" t="s">
        <v>6196</v>
      </c>
      <c r="M22" s="357" t="s">
        <v>6197</v>
      </c>
    </row>
    <row r="23" spans="2:13" ht="27.6">
      <c r="B23" s="356" t="s">
        <v>793</v>
      </c>
      <c r="C23" s="357" t="s">
        <v>6198</v>
      </c>
      <c r="D23" s="358" t="s">
        <v>6199</v>
      </c>
      <c r="E23" s="359" t="s">
        <v>6200</v>
      </c>
      <c r="F23" s="358" t="s">
        <v>6201</v>
      </c>
      <c r="G23" s="357" t="s">
        <v>6202</v>
      </c>
      <c r="H23" s="357" t="s">
        <v>6198</v>
      </c>
      <c r="I23" s="357" t="s">
        <v>6198</v>
      </c>
      <c r="J23" s="357" t="s">
        <v>6203</v>
      </c>
      <c r="K23" s="360">
        <v>0.69513888888888886</v>
      </c>
      <c r="L23" s="357">
        <v>214.24199999999999</v>
      </c>
      <c r="M23" s="357" t="s">
        <v>6204</v>
      </c>
    </row>
  </sheetData>
  <hyperlinks>
    <hyperlink ref="B3" r:id="rId1" display="https://www.rava.com/perfil/ALUA" xr:uid="{4BF08FBD-9F8D-4DA5-8AB0-EACF4633ACA0}"/>
    <hyperlink ref="B4" r:id="rId2" display="https://www.rava.com/perfil/BBAR" xr:uid="{15E97A64-4DF1-49D0-85D3-533FA4A12E3B}"/>
    <hyperlink ref="B5" r:id="rId3" display="https://www.rava.com/perfil/BMA" xr:uid="{0B2FA576-13ED-4112-96B9-805B8D04D34A}"/>
    <hyperlink ref="B6" r:id="rId4" display="https://www.rava.com/perfil/BYMA" xr:uid="{2F863DF2-523A-4B84-9D70-9FCE61C6FC68}"/>
    <hyperlink ref="B7" r:id="rId5" display="https://www.rava.com/perfil/CEPU" xr:uid="{23AEFC4E-A09F-4E1C-8A0A-AB66C658D5F2}"/>
    <hyperlink ref="B8" r:id="rId6" display="https://www.rava.com/perfil/COME" xr:uid="{63563869-44E4-44B5-90C8-785BE7CDC3E3}"/>
    <hyperlink ref="B9" r:id="rId7" display="https://www.rava.com/perfil/CRES" xr:uid="{BD7F1165-9C71-444C-864E-97C322DB5444}"/>
    <hyperlink ref="B10" r:id="rId8" display="https://www.rava.com/perfil/EDN" xr:uid="{256C3209-1E99-44D0-B786-9443B8F84FC6}"/>
    <hyperlink ref="B11" r:id="rId9" display="https://www.rava.com/perfil/GGAL" xr:uid="{1CAAABB6-B584-464B-A9EC-C3FC7643D41A}"/>
    <hyperlink ref="B12" r:id="rId10" display="https://www.rava.com/perfil/IRSA" xr:uid="{EC0ACC42-0B1C-4130-B21D-F8D19AAA2E2A}"/>
    <hyperlink ref="B13" r:id="rId11" display="https://www.rava.com/perfil/LOMA" xr:uid="{EB01F991-EBA9-4153-810F-124AC89461AD}"/>
    <hyperlink ref="B14" r:id="rId12" display="https://www.rava.com/perfil/METR" xr:uid="{CF0A3B09-4016-4AB1-870C-C59E1F267A01}"/>
    <hyperlink ref="B15" r:id="rId13" display="https://www.rava.com/perfil/PAMP" xr:uid="{465199A7-DFB2-4023-92CA-B9838CA66591}"/>
    <hyperlink ref="B16" r:id="rId14" display="https://www.rava.com/perfil/SUPV" xr:uid="{8B636475-CDEA-441D-B672-36C9637ED96C}"/>
    <hyperlink ref="B17" r:id="rId15" display="https://www.rava.com/perfil/TECO2" xr:uid="{69ED7705-81FD-4271-BA90-7EE6F5597D5B}"/>
    <hyperlink ref="B18" r:id="rId16" display="https://www.rava.com/perfil/TGNO4" xr:uid="{2DF90A25-D1E7-4E94-87E3-FE5EAE751F51}"/>
    <hyperlink ref="B19" r:id="rId17" display="https://www.rava.com/perfil/TGSU2" xr:uid="{C42A96A9-7C70-4DE1-A600-1E85FA6CC49F}"/>
    <hyperlink ref="B20" r:id="rId18" display="https://www.rava.com/perfil/TRAN" xr:uid="{39C046E0-E712-45A1-B4B0-AA68C4F43C9B}"/>
    <hyperlink ref="B21" r:id="rId19" display="https://www.rava.com/perfil/TXAR" xr:uid="{DE3DD67B-9E23-4776-A73D-4F93E387E54F}"/>
    <hyperlink ref="B22" r:id="rId20" display="https://www.rava.com/perfil/VALO" xr:uid="{7D0A3AE3-A933-48E9-9D5E-590286275CF1}"/>
    <hyperlink ref="B23" r:id="rId21" display="https://www.rava.com/perfil/YPFD" xr:uid="{BAC7B360-1F94-49BA-82D4-D38CAC3D21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A15-2E3A-4F95-A8F5-7A76BB6663F7}">
  <dimension ref="A1:W33"/>
  <sheetViews>
    <sheetView topLeftCell="A2" zoomScale="85" zoomScaleNormal="85" workbookViewId="0">
      <selection activeCell="F13" sqref="F13"/>
    </sheetView>
  </sheetViews>
  <sheetFormatPr baseColWidth="10" defaultColWidth="11" defaultRowHeight="13.8"/>
  <cols>
    <col min="1" max="1" width="12.09765625" style="69" customWidth="1"/>
    <col min="2" max="2" width="9.19921875" style="69" bestFit="1" customWidth="1"/>
    <col min="3" max="3" width="19.69921875" style="69" customWidth="1"/>
    <col min="4" max="4" width="13.69921875" style="69" customWidth="1"/>
    <col min="5" max="5" width="16.3984375" style="69" customWidth="1"/>
    <col min="6" max="6" width="14.59765625" style="69" bestFit="1" customWidth="1"/>
    <col min="7" max="7" width="21.5" style="69" bestFit="1" customWidth="1"/>
    <col min="8" max="8" width="19.5" style="69" bestFit="1" customWidth="1"/>
    <col min="9" max="9" width="11" style="69"/>
    <col min="10" max="11" width="18.69921875" style="69" bestFit="1" customWidth="1"/>
    <col min="12" max="16384" width="11" style="69"/>
  </cols>
  <sheetData>
    <row r="1" spans="1:23">
      <c r="A1" s="69" t="s">
        <v>3</v>
      </c>
      <c r="B1" s="70" t="s">
        <v>5196</v>
      </c>
      <c r="C1" s="69">
        <v>24</v>
      </c>
    </row>
    <row r="2" spans="1:23">
      <c r="C2" s="71"/>
    </row>
    <row r="3" spans="1:23">
      <c r="B3" s="71" t="s">
        <v>551</v>
      </c>
      <c r="C3" s="74" cm="1">
        <f t="array" ref="C3">_xll.PrecioBD(B1,C1,"PREVIOUS","N")</f>
        <v>74.98</v>
      </c>
      <c r="D3" s="71" t="s">
        <v>554</v>
      </c>
      <c r="E3" s="74" cm="1">
        <f t="array" ref="E3">_xll.PrecioBD(B1,C1,"LAST","N")</f>
        <v>75.12</v>
      </c>
      <c r="F3" s="69" t="s">
        <v>558</v>
      </c>
      <c r="G3" s="75" cm="1">
        <f t="array" ref="G3">_xll.PrecioBD(B1,C1,"IMBALANCE","N")</f>
        <v>1.8E-3</v>
      </c>
    </row>
    <row r="4" spans="1:23">
      <c r="B4" s="71" t="s">
        <v>552</v>
      </c>
      <c r="C4" s="77" cm="1">
        <f t="array" ref="C4">_xll.PrecioBD(B1,C1,"VWAP","N")</f>
        <v>75.037905199999997</v>
      </c>
      <c r="D4" s="71" t="s">
        <v>561</v>
      </c>
      <c r="E4" s="76" cm="1">
        <f t="array" ref="E4">_xll.PrecioBD(B1,C1,"TRADE VOLUME","N")</f>
        <v>223225</v>
      </c>
      <c r="F4" s="69" t="s">
        <v>560</v>
      </c>
      <c r="G4" s="76" cm="1">
        <f t="array" ref="G4">_xll.PrecioBD(B1,C1,"VOLUME AMOUNT","N")</f>
        <v>167503.41</v>
      </c>
      <c r="H4" s="78"/>
      <c r="I4" s="69" t="s">
        <v>97</v>
      </c>
      <c r="J4" s="69" t="s">
        <v>97</v>
      </c>
      <c r="K4" s="69" t="s">
        <v>97</v>
      </c>
      <c r="L4" s="69" t="s">
        <v>97</v>
      </c>
      <c r="M4" s="69" t="s">
        <v>97</v>
      </c>
      <c r="N4" s="69" t="s">
        <v>97</v>
      </c>
      <c r="O4" s="69" t="s">
        <v>97</v>
      </c>
      <c r="P4" s="69" t="s">
        <v>97</v>
      </c>
      <c r="Q4" s="69" t="s">
        <v>97</v>
      </c>
      <c r="R4" s="69" t="s">
        <v>97</v>
      </c>
      <c r="S4" s="69" t="s">
        <v>97</v>
      </c>
      <c r="T4" s="69" t="s">
        <v>97</v>
      </c>
      <c r="U4" s="69" t="s">
        <v>97</v>
      </c>
      <c r="V4" s="69" t="s">
        <v>97</v>
      </c>
      <c r="W4" s="69" t="s">
        <v>97</v>
      </c>
    </row>
    <row r="5" spans="1:23">
      <c r="C5" s="71"/>
      <c r="D5" s="71"/>
      <c r="G5" s="76"/>
    </row>
    <row r="6" spans="1:23">
      <c r="B6" s="373" cm="1">
        <f t="array" ref="B6">_xll.PrecioBD(B1,C1,"BID","N")</f>
        <v>75.11</v>
      </c>
      <c r="C6" s="373"/>
      <c r="D6" s="373"/>
      <c r="E6" s="374" cm="1">
        <f t="array" ref="E6">_xll.PrecioBD(B1,C1,"ASK","N")</f>
        <v>75.150000000000006</v>
      </c>
      <c r="F6" s="374"/>
      <c r="G6" s="374"/>
    </row>
    <row r="7" spans="1:23">
      <c r="A7" s="68" t="str" cm="1">
        <f t="array" ref="A7">_xll.ProfundidadBD(B1,C1)</f>
        <v>GD41D - 24hs</v>
      </c>
      <c r="B7" s="73" t="s">
        <v>555</v>
      </c>
      <c r="C7" s="73" t="s">
        <v>556</v>
      </c>
      <c r="D7" s="73" t="s">
        <v>557</v>
      </c>
      <c r="E7" s="73" t="s">
        <v>557</v>
      </c>
      <c r="F7" s="73" t="s">
        <v>556</v>
      </c>
      <c r="G7" s="73" t="s">
        <v>555</v>
      </c>
    </row>
    <row r="8" spans="1:23">
      <c r="B8" s="72">
        <v>2</v>
      </c>
      <c r="C8" s="72">
        <v>763</v>
      </c>
      <c r="D8" s="72">
        <v>75.069999999999993</v>
      </c>
      <c r="E8" s="72">
        <v>75.150000000000006</v>
      </c>
      <c r="F8" s="72">
        <v>10</v>
      </c>
      <c r="G8" s="72">
        <v>1</v>
      </c>
    </row>
    <row r="9" spans="1:23">
      <c r="B9" s="72">
        <v>1</v>
      </c>
      <c r="C9" s="72">
        <v>146</v>
      </c>
      <c r="D9" s="72">
        <v>75.02</v>
      </c>
      <c r="E9" s="72">
        <v>75.209999999999994</v>
      </c>
      <c r="F9" s="72">
        <v>559</v>
      </c>
      <c r="G9" s="72">
        <v>1</v>
      </c>
    </row>
    <row r="10" spans="1:23">
      <c r="B10" s="72">
        <v>1</v>
      </c>
      <c r="C10" s="72">
        <v>632</v>
      </c>
      <c r="D10" s="72">
        <v>74.989999999999995</v>
      </c>
      <c r="E10" s="72">
        <v>75.22</v>
      </c>
      <c r="F10" s="72">
        <v>244</v>
      </c>
      <c r="G10" s="72">
        <v>1</v>
      </c>
    </row>
    <row r="11" spans="1:23">
      <c r="B11" s="72">
        <v>1</v>
      </c>
      <c r="C11" s="72">
        <v>94</v>
      </c>
      <c r="D11" s="72">
        <v>74.95</v>
      </c>
      <c r="E11" s="72">
        <v>75.23</v>
      </c>
      <c r="F11" s="72">
        <v>960</v>
      </c>
      <c r="G11" s="72">
        <v>1</v>
      </c>
      <c r="I11" s="107"/>
    </row>
    <row r="12" spans="1:23">
      <c r="B12" s="72">
        <v>1</v>
      </c>
      <c r="C12" s="72">
        <v>8</v>
      </c>
      <c r="D12" s="72">
        <v>74.92</v>
      </c>
      <c r="E12" s="72">
        <v>75.239999999999995</v>
      </c>
      <c r="F12" s="72">
        <v>996</v>
      </c>
      <c r="G12" s="72">
        <v>1</v>
      </c>
      <c r="I12" s="107"/>
    </row>
    <row r="13" spans="1:23">
      <c r="I13" s="111"/>
      <c r="J13" s="71"/>
      <c r="K13" s="71"/>
    </row>
    <row r="14" spans="1:23">
      <c r="B14" s="79"/>
      <c r="I14" s="375" t="s">
        <v>567</v>
      </c>
      <c r="J14" s="375"/>
      <c r="K14" s="375"/>
    </row>
    <row r="15" spans="1:23">
      <c r="A15" s="69" t="s">
        <v>3</v>
      </c>
      <c r="B15" s="70" t="str">
        <f>B1</f>
        <v>GD41D</v>
      </c>
      <c r="C15" s="81" t="s">
        <v>559</v>
      </c>
      <c r="I15" s="108"/>
      <c r="J15" s="108" t="s">
        <v>568</v>
      </c>
      <c r="K15" s="108" t="s">
        <v>569</v>
      </c>
    </row>
    <row r="16" spans="1:23">
      <c r="C16" s="71"/>
      <c r="I16" s="108" t="s">
        <v>565</v>
      </c>
      <c r="J16" s="109">
        <f>D22/E8-1</f>
        <v>-1.1976047904191933E-3</v>
      </c>
      <c r="K16" s="109">
        <f>D8/E22-1</f>
        <v>-1.1974454497073461E-3</v>
      </c>
    </row>
    <row r="17" spans="1:11">
      <c r="B17" s="71" t="s">
        <v>551</v>
      </c>
      <c r="C17" s="74" cm="1">
        <f t="array" ref="C17">_xll.PrecioBD(B15,C15,"PREVIOUS","N")</f>
        <v>74.95</v>
      </c>
      <c r="D17" s="71" t="s">
        <v>554</v>
      </c>
      <c r="E17" s="74" cm="1">
        <f t="array" ref="E17">_xll.PrecioBD(B15,C15,"LAST","N")</f>
        <v>75.16</v>
      </c>
      <c r="F17" s="69" t="s">
        <v>558</v>
      </c>
      <c r="G17" s="75" cm="1">
        <f t="array" ref="G17">_xll.PrecioBD(B15,C15,"IMBALANCE","N")</f>
        <v>2.8E-3</v>
      </c>
      <c r="I17" s="108" t="s">
        <v>566</v>
      </c>
      <c r="J17" s="110">
        <f>+J16*365</f>
        <v>-0.43712574850300556</v>
      </c>
      <c r="K17" s="110">
        <f>+K16*365</f>
        <v>-0.43706758914318133</v>
      </c>
    </row>
    <row r="18" spans="1:11">
      <c r="B18" s="71" t="s">
        <v>552</v>
      </c>
      <c r="C18" s="77" cm="1">
        <f t="array" ref="C18">_xll.PrecioBD(B15,C15,"VWAP","N")</f>
        <v>75.070863799999998</v>
      </c>
      <c r="D18" s="71" t="s">
        <v>561</v>
      </c>
      <c r="E18" s="76" cm="1">
        <f t="array" ref="E18">_xll.PrecioBD(B15,C15,"TRADE VOLUME","N")</f>
        <v>54350</v>
      </c>
      <c r="F18" s="69" t="s">
        <v>560</v>
      </c>
      <c r="G18" s="76" cm="1">
        <f t="array" ref="G18">_xll.PrecioBD(B15,C15,"VOLUME AMOUNT","N")</f>
        <v>40801.019999999997</v>
      </c>
    </row>
    <row r="19" spans="1:11">
      <c r="C19" s="71"/>
      <c r="D19" s="71"/>
    </row>
    <row r="20" spans="1:11">
      <c r="B20" s="373" cm="1">
        <f t="array" ref="B20">_xll.PrecioBD(B15,C15,"BID","N")</f>
        <v>75.099999999999994</v>
      </c>
      <c r="C20" s="373"/>
      <c r="D20" s="373"/>
      <c r="E20" s="374" cm="1">
        <f t="array" ref="E20">_xll.PrecioBD(B15,C15,"ASK","N")</f>
        <v>75.16</v>
      </c>
      <c r="F20" s="374"/>
      <c r="G20" s="374"/>
    </row>
    <row r="21" spans="1:11">
      <c r="A21" s="68" t="str" cm="1">
        <f t="array" ref="A21">_xll.ProfundidadBD(B15,C15)</f>
        <v>GD41D - CI</v>
      </c>
      <c r="B21" s="73" t="s">
        <v>555</v>
      </c>
      <c r="C21" s="73" t="s">
        <v>556</v>
      </c>
      <c r="D21" s="73" t="s">
        <v>557</v>
      </c>
      <c r="E21" s="73" t="s">
        <v>557</v>
      </c>
      <c r="F21" s="73" t="s">
        <v>556</v>
      </c>
      <c r="G21" s="73" t="s">
        <v>555</v>
      </c>
    </row>
    <row r="22" spans="1:11">
      <c r="B22" s="72">
        <v>2</v>
      </c>
      <c r="C22" s="72">
        <v>1227</v>
      </c>
      <c r="D22" s="72">
        <v>75.06</v>
      </c>
      <c r="E22" s="72">
        <v>75.16</v>
      </c>
      <c r="F22" s="72">
        <v>10</v>
      </c>
      <c r="G22" s="72">
        <v>1</v>
      </c>
    </row>
    <row r="23" spans="1:11">
      <c r="B23" s="72">
        <v>1</v>
      </c>
      <c r="C23" s="72">
        <v>10</v>
      </c>
      <c r="D23" s="72">
        <v>75.03</v>
      </c>
      <c r="E23" s="72">
        <v>75.209999999999994</v>
      </c>
      <c r="F23" s="72">
        <v>10</v>
      </c>
      <c r="G23" s="72">
        <v>1</v>
      </c>
    </row>
    <row r="24" spans="1:11">
      <c r="B24" s="72">
        <v>1</v>
      </c>
      <c r="C24" s="72">
        <v>599</v>
      </c>
      <c r="D24" s="72">
        <v>74.95</v>
      </c>
      <c r="E24" s="72">
        <v>75.23</v>
      </c>
      <c r="F24" s="72">
        <v>5480</v>
      </c>
      <c r="G24" s="72">
        <v>1</v>
      </c>
    </row>
    <row r="25" spans="1:11">
      <c r="B25" s="72">
        <v>1</v>
      </c>
      <c r="C25" s="72">
        <v>557</v>
      </c>
      <c r="D25" s="72">
        <v>74.930000000000007</v>
      </c>
      <c r="E25" s="72">
        <v>75.25</v>
      </c>
      <c r="F25" s="72">
        <v>159</v>
      </c>
      <c r="G25" s="72">
        <v>1</v>
      </c>
    </row>
    <row r="26" spans="1:11">
      <c r="B26" s="72">
        <v>1</v>
      </c>
      <c r="C26" s="72">
        <v>2</v>
      </c>
      <c r="D26" s="72">
        <v>74.88</v>
      </c>
      <c r="E26" s="72">
        <v>75.260000000000005</v>
      </c>
      <c r="F26" s="72">
        <v>3720</v>
      </c>
      <c r="G26" s="72">
        <v>1</v>
      </c>
    </row>
    <row r="27" spans="1:11">
      <c r="B27" s="80"/>
      <c r="C27" s="80"/>
      <c r="D27" s="80"/>
      <c r="E27" s="80"/>
      <c r="F27" s="80"/>
      <c r="G27" s="80"/>
    </row>
    <row r="32" spans="1:11">
      <c r="A32" s="82"/>
    </row>
    <row r="33" spans="10:15">
      <c r="J33" s="69" t="s">
        <v>97</v>
      </c>
      <c r="K33" s="69" t="s">
        <v>97</v>
      </c>
      <c r="L33" s="69" t="s">
        <v>97</v>
      </c>
      <c r="M33" s="69" t="s">
        <v>97</v>
      </c>
      <c r="N33" s="69" t="s">
        <v>97</v>
      </c>
      <c r="O33" s="69" t="s">
        <v>97</v>
      </c>
    </row>
  </sheetData>
  <mergeCells count="5">
    <mergeCell ref="B6:D6"/>
    <mergeCell ref="E6:G6"/>
    <mergeCell ref="B20:D20"/>
    <mergeCell ref="E20:G20"/>
    <mergeCell ref="I14:K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5C77-C9B3-4180-B388-793F760F16E0}">
  <dimension ref="B3:M32"/>
  <sheetViews>
    <sheetView topLeftCell="A19" workbookViewId="0">
      <selection activeCell="N27" sqref="N27"/>
    </sheetView>
  </sheetViews>
  <sheetFormatPr baseColWidth="10" defaultRowHeight="13.8"/>
  <cols>
    <col min="3" max="3" width="12" bestFit="1" customWidth="1"/>
    <col min="13" max="13" width="12.59765625" bestFit="1" customWidth="1"/>
  </cols>
  <sheetData>
    <row r="3" spans="2:10">
      <c r="B3" t="str" cm="1">
        <f t="array" ref="B3">_xll.IndicesBYMABD()</f>
        <v>INDICES BYMA</v>
      </c>
      <c r="C3" t="s">
        <v>5925</v>
      </c>
      <c r="D3" t="s">
        <v>5926</v>
      </c>
      <c r="E3" t="s">
        <v>557</v>
      </c>
      <c r="F3" t="s">
        <v>829</v>
      </c>
      <c r="G3" t="s">
        <v>828</v>
      </c>
      <c r="H3" t="s">
        <v>5927</v>
      </c>
      <c r="I3" t="s">
        <v>834</v>
      </c>
      <c r="J3" t="s">
        <v>5928</v>
      </c>
    </row>
    <row r="4" spans="2:10">
      <c r="C4" t="s">
        <v>5929</v>
      </c>
      <c r="E4">
        <v>120831772.40000001</v>
      </c>
      <c r="F4">
        <v>124763793.93000001</v>
      </c>
      <c r="G4">
        <v>120794386.63</v>
      </c>
      <c r="H4" s="232">
        <v>-2.07E-2</v>
      </c>
      <c r="I4">
        <v>0</v>
      </c>
      <c r="J4">
        <v>123385694.02</v>
      </c>
    </row>
    <row r="5" spans="2:10">
      <c r="C5" t="s">
        <v>5930</v>
      </c>
      <c r="E5">
        <v>2949567.16</v>
      </c>
      <c r="F5">
        <v>3051946.03</v>
      </c>
      <c r="G5">
        <v>2948383.6</v>
      </c>
      <c r="H5" s="217">
        <v>-2.2599999999999999E-2</v>
      </c>
      <c r="I5">
        <v>0</v>
      </c>
      <c r="J5">
        <v>3017641.26</v>
      </c>
    </row>
    <row r="6" spans="2:10">
      <c r="C6" t="s">
        <v>5931</v>
      </c>
      <c r="E6">
        <v>43895.26</v>
      </c>
      <c r="F6">
        <v>45769.96</v>
      </c>
      <c r="G6">
        <v>43728.74</v>
      </c>
      <c r="H6" s="232">
        <v>-2.0299999999999999E-2</v>
      </c>
      <c r="I6">
        <v>0</v>
      </c>
      <c r="J6">
        <v>44806.34</v>
      </c>
    </row>
    <row r="7" spans="2:10">
      <c r="C7" t="s">
        <v>5932</v>
      </c>
      <c r="E7">
        <v>34712.410000000003</v>
      </c>
      <c r="F7">
        <v>35283.660000000003</v>
      </c>
      <c r="G7">
        <v>34710.36</v>
      </c>
      <c r="H7" s="232">
        <v>-1.49E-2</v>
      </c>
      <c r="I7">
        <v>0</v>
      </c>
      <c r="J7">
        <v>35237.17</v>
      </c>
    </row>
    <row r="8" spans="2:10">
      <c r="C8" t="s">
        <v>5933</v>
      </c>
      <c r="E8">
        <v>23678.1</v>
      </c>
      <c r="F8">
        <v>24173.33</v>
      </c>
      <c r="G8">
        <v>23654.2</v>
      </c>
      <c r="H8" s="232">
        <v>-2.0500000000000001E-2</v>
      </c>
      <c r="I8">
        <v>0</v>
      </c>
      <c r="J8">
        <v>24173.33</v>
      </c>
    </row>
    <row r="9" spans="2:10">
      <c r="C9" t="s">
        <v>5934</v>
      </c>
      <c r="E9">
        <v>104946.17</v>
      </c>
      <c r="F9">
        <v>107722.98</v>
      </c>
      <c r="G9">
        <v>104439.2</v>
      </c>
      <c r="H9" s="232">
        <v>-1.8499999999999999E-2</v>
      </c>
      <c r="I9">
        <v>0</v>
      </c>
      <c r="J9">
        <v>106929.61</v>
      </c>
    </row>
    <row r="10" spans="2:10">
      <c r="C10" t="s">
        <v>5935</v>
      </c>
      <c r="E10">
        <v>50288.99</v>
      </c>
      <c r="F10">
        <v>51272.74</v>
      </c>
      <c r="G10">
        <v>50112.959999999999</v>
      </c>
      <c r="H10" s="232">
        <v>-7.1000000000000004E-3</v>
      </c>
      <c r="I10">
        <v>0</v>
      </c>
      <c r="J10">
        <v>50646.76</v>
      </c>
    </row>
    <row r="11" spans="2:10">
      <c r="C11" t="s">
        <v>5936</v>
      </c>
      <c r="E11">
        <v>46180.62</v>
      </c>
      <c r="F11">
        <v>47178.02</v>
      </c>
      <c r="G11">
        <v>46016.63</v>
      </c>
      <c r="H11" s="232">
        <v>3.5999999999999999E-3</v>
      </c>
      <c r="I11">
        <v>0</v>
      </c>
      <c r="J11">
        <v>46016.63</v>
      </c>
    </row>
    <row r="12" spans="2:10">
      <c r="C12" t="s">
        <v>5937</v>
      </c>
      <c r="E12">
        <v>63004.83</v>
      </c>
      <c r="F12">
        <v>63999.08</v>
      </c>
      <c r="G12">
        <v>61451.65</v>
      </c>
      <c r="H12" s="232">
        <v>-1.09E-2</v>
      </c>
      <c r="I12">
        <v>0</v>
      </c>
      <c r="J12">
        <v>63701.25</v>
      </c>
    </row>
    <row r="13" spans="2:10">
      <c r="C13" t="s">
        <v>5938</v>
      </c>
      <c r="E13">
        <v>86354.63</v>
      </c>
      <c r="F13">
        <v>88722.6</v>
      </c>
      <c r="G13">
        <v>86354.63</v>
      </c>
      <c r="H13" s="232">
        <v>-1.5800000000000002E-2</v>
      </c>
      <c r="I13">
        <v>0</v>
      </c>
      <c r="J13">
        <v>87737.9</v>
      </c>
    </row>
    <row r="14" spans="2:10">
      <c r="C14" t="s">
        <v>5939</v>
      </c>
      <c r="E14">
        <v>82879.02</v>
      </c>
      <c r="F14">
        <v>86440.639999999999</v>
      </c>
      <c r="G14">
        <v>82854.25</v>
      </c>
      <c r="H14" s="232">
        <v>-2.5899999999999999E-2</v>
      </c>
      <c r="I14">
        <v>0</v>
      </c>
      <c r="J14">
        <v>85080.46</v>
      </c>
    </row>
    <row r="15" spans="2:10">
      <c r="C15" t="s">
        <v>5940</v>
      </c>
      <c r="E15">
        <v>45802.18</v>
      </c>
      <c r="F15">
        <v>46420.68</v>
      </c>
      <c r="G15">
        <v>45710.39</v>
      </c>
      <c r="H15" s="232">
        <v>1.4E-3</v>
      </c>
      <c r="I15">
        <v>0</v>
      </c>
      <c r="J15">
        <v>45739.519999999997</v>
      </c>
    </row>
    <row r="16" spans="2:10">
      <c r="C16" t="s">
        <v>5941</v>
      </c>
      <c r="E16">
        <v>92111.24</v>
      </c>
      <c r="F16">
        <v>95685.85</v>
      </c>
      <c r="G16">
        <v>91988.45</v>
      </c>
      <c r="H16" s="232">
        <v>-2.46E-2</v>
      </c>
      <c r="I16">
        <v>0</v>
      </c>
      <c r="J16">
        <v>94437.15</v>
      </c>
    </row>
    <row r="17" spans="3:13">
      <c r="C17" t="s">
        <v>5942</v>
      </c>
      <c r="E17">
        <v>111507.7</v>
      </c>
      <c r="F17">
        <v>116063.93</v>
      </c>
      <c r="G17">
        <v>110548.49</v>
      </c>
      <c r="H17" s="232">
        <v>-4.3E-3</v>
      </c>
      <c r="I17">
        <v>0</v>
      </c>
      <c r="J17">
        <v>111987.3</v>
      </c>
    </row>
    <row r="18" spans="3:13">
      <c r="C18" t="s">
        <v>5943</v>
      </c>
      <c r="E18">
        <v>107781.18</v>
      </c>
      <c r="F18">
        <v>111096.07</v>
      </c>
      <c r="G18">
        <v>107403.24</v>
      </c>
      <c r="H18" s="232">
        <v>-2.0799999999999999E-2</v>
      </c>
      <c r="I18">
        <v>0</v>
      </c>
      <c r="J18">
        <v>110070.32</v>
      </c>
    </row>
    <row r="22" spans="3:13">
      <c r="C22" t="str" cm="1">
        <f t="array" ref="C22">_xll.IndicesIAMCBD()</f>
        <v>INDICES IAMC</v>
      </c>
      <c r="D22" t="s">
        <v>5950</v>
      </c>
      <c r="E22" t="s">
        <v>5951</v>
      </c>
      <c r="F22" t="s">
        <v>5926</v>
      </c>
      <c r="G22" t="s">
        <v>562</v>
      </c>
      <c r="H22" t="s">
        <v>834</v>
      </c>
      <c r="I22" t="s">
        <v>5952</v>
      </c>
      <c r="J22" t="s">
        <v>5927</v>
      </c>
      <c r="K22" t="s">
        <v>834</v>
      </c>
    </row>
    <row r="23" spans="3:13"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 t="s">
        <v>97</v>
      </c>
      <c r="J23" s="217">
        <v>5.5999999999999999E-3</v>
      </c>
      <c r="K23">
        <v>981.42</v>
      </c>
      <c r="L23" s="217">
        <v>5.5999999999999999E-3</v>
      </c>
      <c r="M23" t="b">
        <f>J23=L23</f>
        <v>1</v>
      </c>
    </row>
    <row r="24" spans="3:13">
      <c r="D24" t="s">
        <v>5953</v>
      </c>
      <c r="E24" t="s">
        <v>5954</v>
      </c>
      <c r="F24" t="s">
        <v>5955</v>
      </c>
      <c r="G24" t="s">
        <v>553</v>
      </c>
      <c r="H24">
        <v>1065.8267189999999</v>
      </c>
      <c r="I24">
        <v>1.00289381</v>
      </c>
      <c r="J24" s="217">
        <v>-1.7299999999999999E-2</v>
      </c>
      <c r="K24">
        <v>2366.48</v>
      </c>
      <c r="L24" s="217">
        <v>-1.7299999999999999E-2</v>
      </c>
      <c r="M24" t="b">
        <f t="shared" ref="M24:M31" si="0">J24=L24</f>
        <v>1</v>
      </c>
    </row>
    <row r="25" spans="3:13">
      <c r="D25" t="s">
        <v>5953</v>
      </c>
      <c r="E25" t="s">
        <v>5956</v>
      </c>
      <c r="F25" t="s">
        <v>5957</v>
      </c>
      <c r="G25" t="s">
        <v>563</v>
      </c>
      <c r="H25">
        <v>661145.69254199998</v>
      </c>
      <c r="I25">
        <v>1.0021711600000001</v>
      </c>
      <c r="J25" s="217">
        <v>7.6E-3</v>
      </c>
      <c r="K25">
        <v>24491.06</v>
      </c>
      <c r="L25" s="217">
        <v>7.6E-3</v>
      </c>
      <c r="M25" t="b">
        <f t="shared" si="0"/>
        <v>1</v>
      </c>
    </row>
    <row r="26" spans="3:13">
      <c r="D26" t="s">
        <v>5953</v>
      </c>
      <c r="E26" t="s">
        <v>5956</v>
      </c>
      <c r="F26" t="s">
        <v>5957</v>
      </c>
      <c r="G26" t="s">
        <v>553</v>
      </c>
      <c r="H26">
        <v>2794.6275519999999</v>
      </c>
      <c r="I26">
        <v>0.99772453000000005</v>
      </c>
      <c r="J26" s="217">
        <v>1.5100000000000001E-2</v>
      </c>
      <c r="K26">
        <v>48908.72</v>
      </c>
      <c r="L26" s="217">
        <v>1.5100000000000001E-2</v>
      </c>
      <c r="M26" t="b">
        <f t="shared" si="0"/>
        <v>1</v>
      </c>
    </row>
    <row r="27" spans="3:13">
      <c r="D27" t="s">
        <v>5953</v>
      </c>
      <c r="E27" t="s">
        <v>5958</v>
      </c>
      <c r="F27" t="s">
        <v>5959</v>
      </c>
      <c r="G27" t="s">
        <v>563</v>
      </c>
      <c r="H27">
        <v>920301.81628699997</v>
      </c>
      <c r="I27">
        <v>1.00369007</v>
      </c>
      <c r="J27" s="217">
        <v>-1.1999999999999999E-3</v>
      </c>
      <c r="K27">
        <v>45819.57</v>
      </c>
      <c r="L27" s="217">
        <v>-1.1999999999999999E-3</v>
      </c>
      <c r="M27" t="b">
        <f t="shared" si="0"/>
        <v>1</v>
      </c>
    </row>
    <row r="28" spans="3:13">
      <c r="D28" t="s">
        <v>5953</v>
      </c>
      <c r="E28" t="s">
        <v>5958</v>
      </c>
      <c r="F28" t="s">
        <v>5959</v>
      </c>
      <c r="G28" t="s">
        <v>553</v>
      </c>
      <c r="H28">
        <v>1190.3694640000001</v>
      </c>
      <c r="I28">
        <v>0.99923669999999998</v>
      </c>
      <c r="J28" s="217">
        <v>1.17E-2</v>
      </c>
      <c r="K28">
        <v>17746.3</v>
      </c>
      <c r="L28" s="217">
        <v>1.17E-2</v>
      </c>
      <c r="M28" t="b">
        <f t="shared" si="0"/>
        <v>1</v>
      </c>
    </row>
    <row r="29" spans="3:13">
      <c r="D29" t="s">
        <v>5953</v>
      </c>
      <c r="E29" t="s">
        <v>5960</v>
      </c>
      <c r="F29" t="s">
        <v>5961</v>
      </c>
      <c r="G29" t="s">
        <v>563</v>
      </c>
      <c r="H29">
        <v>754723.46719400003</v>
      </c>
      <c r="I29">
        <v>1.00404122</v>
      </c>
      <c r="J29" s="217">
        <v>4.0000000000000002E-4</v>
      </c>
      <c r="K29">
        <v>182127.25</v>
      </c>
      <c r="L29" s="217">
        <v>4.0000000000000002E-4</v>
      </c>
      <c r="M29" t="b">
        <f t="shared" si="0"/>
        <v>1</v>
      </c>
    </row>
    <row r="30" spans="3:13">
      <c r="D30" t="s">
        <v>5953</v>
      </c>
      <c r="E30" t="s">
        <v>5960</v>
      </c>
      <c r="F30" t="s">
        <v>5961</v>
      </c>
      <c r="G30" t="s">
        <v>553</v>
      </c>
      <c r="H30">
        <v>1194.960008</v>
      </c>
      <c r="I30">
        <v>0.99958628999999999</v>
      </c>
      <c r="J30" s="217">
        <v>0</v>
      </c>
      <c r="K30">
        <v>3483</v>
      </c>
      <c r="L30" s="217">
        <v>0</v>
      </c>
      <c r="M30" t="b">
        <f t="shared" si="0"/>
        <v>1</v>
      </c>
    </row>
    <row r="31" spans="3:13">
      <c r="D31" t="s">
        <v>5953</v>
      </c>
      <c r="E31" t="s">
        <v>5962</v>
      </c>
      <c r="F31" t="s">
        <v>5963</v>
      </c>
      <c r="G31" t="s">
        <v>563</v>
      </c>
      <c r="H31">
        <v>142296.332199</v>
      </c>
      <c r="I31">
        <v>1.00467024</v>
      </c>
      <c r="J31" s="217">
        <v>2.0000000000000001E-4</v>
      </c>
      <c r="K31">
        <v>68858.28</v>
      </c>
      <c r="L31" s="217">
        <v>2.0000000000000001E-4</v>
      </c>
      <c r="M31" t="b">
        <f t="shared" si="0"/>
        <v>1</v>
      </c>
    </row>
    <row r="32" spans="3:13">
      <c r="D32" t="s">
        <v>5953</v>
      </c>
      <c r="E32" t="s">
        <v>5962</v>
      </c>
      <c r="F32" t="s">
        <v>5963</v>
      </c>
      <c r="G32" t="s">
        <v>553</v>
      </c>
      <c r="H32">
        <v>1044.433796</v>
      </c>
      <c r="I32">
        <v>1.0002125100000001</v>
      </c>
      <c r="J32" s="217">
        <v>0</v>
      </c>
      <c r="K32">
        <v>8954.6</v>
      </c>
      <c r="L32" s="217">
        <v>0</v>
      </c>
      <c r="M32" t="b">
        <f>J32=L32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7E8E-67AD-43AD-B297-5587EC85C9CC}">
  <dimension ref="A1:S5053"/>
  <sheetViews>
    <sheetView workbookViewId="0">
      <selection activeCell="B6" sqref="B6"/>
    </sheetView>
  </sheetViews>
  <sheetFormatPr baseColWidth="10" defaultRowHeight="13.8"/>
  <cols>
    <col min="2" max="2" width="24.69921875" customWidth="1"/>
    <col min="15" max="15" width="11.59765625" bestFit="1" customWidth="1"/>
  </cols>
  <sheetData>
    <row r="1" spans="1:19">
      <c r="A1" t="str">
        <f>_xll.PanelOpcionesBD()</f>
        <v>OPCIONES</v>
      </c>
      <c r="B1" t="s">
        <v>570</v>
      </c>
      <c r="C1" t="s">
        <v>573</v>
      </c>
      <c r="D1" t="s">
        <v>562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  <c r="J1" t="s">
        <v>828</v>
      </c>
      <c r="K1" t="s">
        <v>829</v>
      </c>
      <c r="L1" t="s">
        <v>783</v>
      </c>
      <c r="M1" t="s">
        <v>830</v>
      </c>
      <c r="N1" t="s">
        <v>831</v>
      </c>
      <c r="O1" t="s">
        <v>832</v>
      </c>
      <c r="P1" t="s">
        <v>833</v>
      </c>
      <c r="Q1" t="s">
        <v>581</v>
      </c>
      <c r="R1" t="s">
        <v>834</v>
      </c>
      <c r="S1" t="s">
        <v>835</v>
      </c>
    </row>
    <row r="2" spans="1:19">
      <c r="B2" t="s">
        <v>5965</v>
      </c>
      <c r="C2" t="s">
        <v>836</v>
      </c>
      <c r="D2" t="s">
        <v>563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9">
      <c r="B3" t="s">
        <v>5226</v>
      </c>
      <c r="C3" t="s">
        <v>836</v>
      </c>
      <c r="D3" t="s">
        <v>563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9">
      <c r="B4" t="s">
        <v>5227</v>
      </c>
      <c r="C4" t="s">
        <v>836</v>
      </c>
      <c r="D4" t="s">
        <v>563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68">
        <v>0</v>
      </c>
      <c r="O4">
        <v>0</v>
      </c>
      <c r="P4">
        <v>0</v>
      </c>
      <c r="Q4">
        <v>0</v>
      </c>
      <c r="R4">
        <v>0</v>
      </c>
    </row>
    <row r="5" spans="1:19">
      <c r="B5" t="s">
        <v>5228</v>
      </c>
      <c r="C5" t="s">
        <v>836</v>
      </c>
      <c r="D5" t="s">
        <v>563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9">
      <c r="B6" t="s">
        <v>5229</v>
      </c>
      <c r="C6" t="s">
        <v>836</v>
      </c>
      <c r="D6" t="s">
        <v>563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B7" t="s">
        <v>5230</v>
      </c>
      <c r="C7" t="s">
        <v>836</v>
      </c>
      <c r="D7" t="s">
        <v>563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>
      <c r="B8" t="s">
        <v>5231</v>
      </c>
      <c r="C8" t="s">
        <v>836</v>
      </c>
      <c r="D8" t="s">
        <v>563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9">
      <c r="B9" t="s">
        <v>5232</v>
      </c>
      <c r="C9" t="s">
        <v>836</v>
      </c>
      <c r="D9" t="s">
        <v>563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>
      <c r="B10" t="s">
        <v>5233</v>
      </c>
      <c r="C10" t="s">
        <v>836</v>
      </c>
      <c r="D10" t="s">
        <v>563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>
      <c r="B11" t="s">
        <v>5234</v>
      </c>
      <c r="C11" t="s">
        <v>836</v>
      </c>
      <c r="D11" t="s">
        <v>563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B12" t="s">
        <v>5235</v>
      </c>
      <c r="C12" t="s">
        <v>836</v>
      </c>
      <c r="D12" t="s">
        <v>563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9">
      <c r="B13" t="s">
        <v>5236</v>
      </c>
      <c r="C13" t="s">
        <v>836</v>
      </c>
      <c r="D13" t="s">
        <v>563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>
      <c r="B14" t="s">
        <v>5237</v>
      </c>
      <c r="C14" t="s">
        <v>836</v>
      </c>
      <c r="D14" t="s">
        <v>563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B15" t="s">
        <v>5238</v>
      </c>
      <c r="C15" t="s">
        <v>836</v>
      </c>
      <c r="D15" t="s">
        <v>563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9">
      <c r="B16" t="s">
        <v>5239</v>
      </c>
      <c r="C16" t="s">
        <v>836</v>
      </c>
      <c r="D16" t="s">
        <v>563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2:18">
      <c r="B17" t="s">
        <v>837</v>
      </c>
      <c r="C17" t="s">
        <v>836</v>
      </c>
      <c r="D17" t="s">
        <v>563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2:18">
      <c r="B18" t="s">
        <v>838</v>
      </c>
      <c r="C18" t="s">
        <v>836</v>
      </c>
      <c r="D18" t="s">
        <v>563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2:18">
      <c r="B19" t="s">
        <v>839</v>
      </c>
      <c r="C19" t="s">
        <v>836</v>
      </c>
      <c r="D19" t="s">
        <v>563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2:18">
      <c r="B20" t="s">
        <v>840</v>
      </c>
      <c r="C20" t="s">
        <v>836</v>
      </c>
      <c r="D20" t="s">
        <v>563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2:18">
      <c r="B21" t="s">
        <v>841</v>
      </c>
      <c r="C21" t="s">
        <v>836</v>
      </c>
      <c r="D21" t="s">
        <v>563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2:18">
      <c r="B22" t="s">
        <v>842</v>
      </c>
      <c r="C22" t="s">
        <v>836</v>
      </c>
      <c r="D22" t="s">
        <v>563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2:18">
      <c r="B23" t="s">
        <v>5240</v>
      </c>
      <c r="C23" t="s">
        <v>836</v>
      </c>
      <c r="D23" t="s">
        <v>563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2:18">
      <c r="B24" t="s">
        <v>5241</v>
      </c>
      <c r="C24" t="s">
        <v>836</v>
      </c>
      <c r="D24" t="s">
        <v>563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2:18">
      <c r="B25" t="s">
        <v>5242</v>
      </c>
      <c r="C25" t="s">
        <v>836</v>
      </c>
      <c r="D25" t="s">
        <v>563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2:18">
      <c r="B26" t="s">
        <v>5243</v>
      </c>
      <c r="C26" t="s">
        <v>836</v>
      </c>
      <c r="D26" t="s">
        <v>563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2:18">
      <c r="B27" t="s">
        <v>5244</v>
      </c>
      <c r="C27" t="s">
        <v>836</v>
      </c>
      <c r="D27" t="s">
        <v>563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2:18">
      <c r="B28" t="s">
        <v>5245</v>
      </c>
      <c r="C28" t="s">
        <v>836</v>
      </c>
      <c r="D28" t="s">
        <v>563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2:18">
      <c r="B29" t="s">
        <v>5246</v>
      </c>
      <c r="C29" t="s">
        <v>836</v>
      </c>
      <c r="D29" t="s">
        <v>563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2:18">
      <c r="B30" t="s">
        <v>5247</v>
      </c>
      <c r="C30" t="s">
        <v>836</v>
      </c>
      <c r="D30" t="s">
        <v>563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2:18">
      <c r="B31" t="s">
        <v>5248</v>
      </c>
      <c r="C31" t="s">
        <v>836</v>
      </c>
      <c r="D31" t="s">
        <v>563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2:18">
      <c r="B32" t="s">
        <v>5249</v>
      </c>
      <c r="C32" t="s">
        <v>836</v>
      </c>
      <c r="D32" t="s">
        <v>563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2:18">
      <c r="B33" t="s">
        <v>5250</v>
      </c>
      <c r="C33" t="s">
        <v>836</v>
      </c>
      <c r="D33" t="s">
        <v>563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18">
      <c r="B34" t="s">
        <v>5251</v>
      </c>
      <c r="C34" t="s">
        <v>836</v>
      </c>
      <c r="D34" t="s">
        <v>563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2:18">
      <c r="B35" t="s">
        <v>5252</v>
      </c>
      <c r="C35" t="s">
        <v>836</v>
      </c>
      <c r="D35" t="s">
        <v>563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2:18">
      <c r="B36" t="s">
        <v>5253</v>
      </c>
      <c r="C36" t="s">
        <v>836</v>
      </c>
      <c r="D36" t="s">
        <v>563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2:18">
      <c r="B37" t="s">
        <v>5254</v>
      </c>
      <c r="C37" t="s">
        <v>836</v>
      </c>
      <c r="D37" t="s">
        <v>563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2:18">
      <c r="B38" t="s">
        <v>843</v>
      </c>
      <c r="C38" t="s">
        <v>836</v>
      </c>
      <c r="D38" t="s">
        <v>563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2:18">
      <c r="B39" t="s">
        <v>844</v>
      </c>
      <c r="C39" t="s">
        <v>836</v>
      </c>
      <c r="D39" t="s">
        <v>563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2:18">
      <c r="B40" t="s">
        <v>845</v>
      </c>
      <c r="C40" t="s">
        <v>836</v>
      </c>
      <c r="D40" t="s">
        <v>563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2:18">
      <c r="B41" t="s">
        <v>846</v>
      </c>
      <c r="C41" t="s">
        <v>836</v>
      </c>
      <c r="D41" t="s">
        <v>563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2:18">
      <c r="B42" t="s">
        <v>847</v>
      </c>
      <c r="C42" t="s">
        <v>836</v>
      </c>
      <c r="D42" t="s">
        <v>563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2:18">
      <c r="B43" t="s">
        <v>848</v>
      </c>
      <c r="C43" t="s">
        <v>836</v>
      </c>
      <c r="D43" t="s">
        <v>563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2:18">
      <c r="B44" t="s">
        <v>849</v>
      </c>
      <c r="C44" t="s">
        <v>836</v>
      </c>
      <c r="D44" t="s">
        <v>563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2:18">
      <c r="B45" t="s">
        <v>850</v>
      </c>
      <c r="C45" t="s">
        <v>836</v>
      </c>
      <c r="D45" t="s">
        <v>563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2:18">
      <c r="B46" t="s">
        <v>851</v>
      </c>
      <c r="C46" t="s">
        <v>836</v>
      </c>
      <c r="D46" t="s">
        <v>563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2:18">
      <c r="B47" t="s">
        <v>852</v>
      </c>
      <c r="C47" t="s">
        <v>836</v>
      </c>
      <c r="D47" t="s">
        <v>563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2:18">
      <c r="B48" t="s">
        <v>853</v>
      </c>
      <c r="C48" t="s">
        <v>836</v>
      </c>
      <c r="D48" t="s">
        <v>563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2:18">
      <c r="B49" t="s">
        <v>854</v>
      </c>
      <c r="C49" t="s">
        <v>836</v>
      </c>
      <c r="D49" t="s">
        <v>563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2:18">
      <c r="B50" t="s">
        <v>855</v>
      </c>
      <c r="C50" t="s">
        <v>836</v>
      </c>
      <c r="D50" t="s">
        <v>563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2:18">
      <c r="B51" t="s">
        <v>856</v>
      </c>
      <c r="C51" t="s">
        <v>836</v>
      </c>
      <c r="D51" t="s">
        <v>563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2:18">
      <c r="B52" t="s">
        <v>857</v>
      </c>
      <c r="C52" t="s">
        <v>836</v>
      </c>
      <c r="D52" t="s">
        <v>563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2:18">
      <c r="B53" t="s">
        <v>858</v>
      </c>
      <c r="C53" t="s">
        <v>836</v>
      </c>
      <c r="D53" t="s">
        <v>563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2:18">
      <c r="B54" t="s">
        <v>859</v>
      </c>
      <c r="C54" t="s">
        <v>836</v>
      </c>
      <c r="D54" t="s">
        <v>563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2:18">
      <c r="B55" t="s">
        <v>860</v>
      </c>
      <c r="C55" t="s">
        <v>836</v>
      </c>
      <c r="D55" t="s">
        <v>563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2:18">
      <c r="B56" t="s">
        <v>861</v>
      </c>
      <c r="C56" t="s">
        <v>836</v>
      </c>
      <c r="D56" t="s">
        <v>563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2:18">
      <c r="B57" t="s">
        <v>862</v>
      </c>
      <c r="C57" t="s">
        <v>836</v>
      </c>
      <c r="D57" t="s">
        <v>563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2:18">
      <c r="B58" t="s">
        <v>863</v>
      </c>
      <c r="C58" t="s">
        <v>836</v>
      </c>
      <c r="D58" t="s">
        <v>563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2:18">
      <c r="B59" t="s">
        <v>864</v>
      </c>
      <c r="C59" t="s">
        <v>836</v>
      </c>
      <c r="D59" t="s">
        <v>563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2:18">
      <c r="B60" t="s">
        <v>865</v>
      </c>
      <c r="C60" t="s">
        <v>836</v>
      </c>
      <c r="D60" t="s">
        <v>563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2:18">
      <c r="B61" t="s">
        <v>866</v>
      </c>
      <c r="C61" t="s">
        <v>836</v>
      </c>
      <c r="D61" t="s">
        <v>563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2:18">
      <c r="B62" t="s">
        <v>867</v>
      </c>
      <c r="C62" t="s">
        <v>836</v>
      </c>
      <c r="D62" t="s">
        <v>563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2:18">
      <c r="B63" t="s">
        <v>868</v>
      </c>
      <c r="C63" t="s">
        <v>836</v>
      </c>
      <c r="D63" t="s">
        <v>563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2:18">
      <c r="B64" t="s">
        <v>869</v>
      </c>
      <c r="C64" t="s">
        <v>836</v>
      </c>
      <c r="D64" t="s">
        <v>563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2:18">
      <c r="B65" t="s">
        <v>870</v>
      </c>
      <c r="C65" t="s">
        <v>836</v>
      </c>
      <c r="D65" t="s">
        <v>563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2:18">
      <c r="B66" t="s">
        <v>871</v>
      </c>
      <c r="C66" t="s">
        <v>836</v>
      </c>
      <c r="D66" t="s">
        <v>563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2:18">
      <c r="B67" t="s">
        <v>872</v>
      </c>
      <c r="C67" t="s">
        <v>836</v>
      </c>
      <c r="D67" t="s">
        <v>563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2:18">
      <c r="B68" t="s">
        <v>873</v>
      </c>
      <c r="C68" t="s">
        <v>836</v>
      </c>
      <c r="D68" t="s">
        <v>563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>
      <c r="B69" t="s">
        <v>874</v>
      </c>
      <c r="C69" t="s">
        <v>836</v>
      </c>
      <c r="D69" t="s">
        <v>563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2:18">
      <c r="B70" t="s">
        <v>875</v>
      </c>
      <c r="C70" t="s">
        <v>836</v>
      </c>
      <c r="D70" t="s">
        <v>563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2:18">
      <c r="B71" t="s">
        <v>876</v>
      </c>
      <c r="C71" t="s">
        <v>836</v>
      </c>
      <c r="D71" t="s">
        <v>563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2:18">
      <c r="B72" t="s">
        <v>877</v>
      </c>
      <c r="C72" t="s">
        <v>836</v>
      </c>
      <c r="D72" t="s">
        <v>563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2:18">
      <c r="B73" t="s">
        <v>878</v>
      </c>
      <c r="C73" t="s">
        <v>836</v>
      </c>
      <c r="D73" t="s">
        <v>563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2:18">
      <c r="B74" t="s">
        <v>879</v>
      </c>
      <c r="C74" t="s">
        <v>836</v>
      </c>
      <c r="D74" t="s">
        <v>563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2:18">
      <c r="B75" t="s">
        <v>880</v>
      </c>
      <c r="C75" t="s">
        <v>836</v>
      </c>
      <c r="D75" t="s">
        <v>563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2:18">
      <c r="B76" t="s">
        <v>881</v>
      </c>
      <c r="C76" t="s">
        <v>836</v>
      </c>
      <c r="D76" t="s">
        <v>563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2:18">
      <c r="B77" t="s">
        <v>882</v>
      </c>
      <c r="C77" t="s">
        <v>836</v>
      </c>
      <c r="D77" t="s">
        <v>563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2:18">
      <c r="B78" t="s">
        <v>883</v>
      </c>
      <c r="C78" t="s">
        <v>836</v>
      </c>
      <c r="D78" t="s">
        <v>563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2:18">
      <c r="B79" t="s">
        <v>884</v>
      </c>
      <c r="C79" t="s">
        <v>836</v>
      </c>
      <c r="D79" t="s">
        <v>563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2:18">
      <c r="B80" t="s">
        <v>885</v>
      </c>
      <c r="C80" t="s">
        <v>836</v>
      </c>
      <c r="D80" t="s">
        <v>563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2:18">
      <c r="B81" t="s">
        <v>886</v>
      </c>
      <c r="C81" t="s">
        <v>836</v>
      </c>
      <c r="D81" t="s">
        <v>563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2:18">
      <c r="B82" t="s">
        <v>887</v>
      </c>
      <c r="C82" t="s">
        <v>836</v>
      </c>
      <c r="D82" t="s">
        <v>563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2:18">
      <c r="B83" t="s">
        <v>888</v>
      </c>
      <c r="C83" t="s">
        <v>836</v>
      </c>
      <c r="D83" t="s">
        <v>563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2:18">
      <c r="B84" t="s">
        <v>889</v>
      </c>
      <c r="C84" t="s">
        <v>836</v>
      </c>
      <c r="D84" t="s">
        <v>563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2:18">
      <c r="B85" t="s">
        <v>890</v>
      </c>
      <c r="C85" t="s">
        <v>836</v>
      </c>
      <c r="D85" t="s">
        <v>563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2:18">
      <c r="B86" t="s">
        <v>891</v>
      </c>
      <c r="C86" t="s">
        <v>836</v>
      </c>
      <c r="D86" t="s">
        <v>563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2:18">
      <c r="B87" t="s">
        <v>892</v>
      </c>
      <c r="C87" t="s">
        <v>836</v>
      </c>
      <c r="D87" t="s">
        <v>563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2:18">
      <c r="B88" t="s">
        <v>893</v>
      </c>
      <c r="C88" t="s">
        <v>836</v>
      </c>
      <c r="D88" t="s">
        <v>563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2:18">
      <c r="B89" t="s">
        <v>894</v>
      </c>
      <c r="C89" t="s">
        <v>836</v>
      </c>
      <c r="D89" t="s">
        <v>563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2:18">
      <c r="B90" t="s">
        <v>895</v>
      </c>
      <c r="C90" t="s">
        <v>836</v>
      </c>
      <c r="D90" t="s">
        <v>563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2:18">
      <c r="B91" t="s">
        <v>896</v>
      </c>
      <c r="C91" t="s">
        <v>836</v>
      </c>
      <c r="D91" t="s">
        <v>563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2:18">
      <c r="B92" t="s">
        <v>897</v>
      </c>
      <c r="C92" t="s">
        <v>836</v>
      </c>
      <c r="D92" t="s">
        <v>563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2:18">
      <c r="B93" t="s">
        <v>898</v>
      </c>
      <c r="C93" t="s">
        <v>836</v>
      </c>
      <c r="D93" t="s">
        <v>563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2:18">
      <c r="B94" t="s">
        <v>899</v>
      </c>
      <c r="C94" t="s">
        <v>836</v>
      </c>
      <c r="D94" t="s">
        <v>563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2:18">
      <c r="B95" t="s">
        <v>900</v>
      </c>
      <c r="C95" t="s">
        <v>836</v>
      </c>
      <c r="D95" t="s">
        <v>563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2:18">
      <c r="B96" t="s">
        <v>901</v>
      </c>
      <c r="C96" t="s">
        <v>836</v>
      </c>
      <c r="D96" t="s">
        <v>563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2:18">
      <c r="B97" t="s">
        <v>902</v>
      </c>
      <c r="C97" t="s">
        <v>836</v>
      </c>
      <c r="D97" t="s">
        <v>563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2:18">
      <c r="B98" t="s">
        <v>903</v>
      </c>
      <c r="C98" t="s">
        <v>836</v>
      </c>
      <c r="D98" t="s">
        <v>563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2:18">
      <c r="B99" t="s">
        <v>904</v>
      </c>
      <c r="C99" t="s">
        <v>836</v>
      </c>
      <c r="D99" t="s">
        <v>563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2:18">
      <c r="B100" t="s">
        <v>905</v>
      </c>
      <c r="C100" t="s">
        <v>836</v>
      </c>
      <c r="D100" t="s">
        <v>563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2:18">
      <c r="B101" t="s">
        <v>906</v>
      </c>
      <c r="C101" t="s">
        <v>836</v>
      </c>
      <c r="D101" t="s">
        <v>563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2:18">
      <c r="B102" t="s">
        <v>907</v>
      </c>
      <c r="C102" t="s">
        <v>836</v>
      </c>
      <c r="D102" t="s">
        <v>563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2:18">
      <c r="B103" t="s">
        <v>908</v>
      </c>
      <c r="C103" t="s">
        <v>836</v>
      </c>
      <c r="D103" t="s">
        <v>563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2:18">
      <c r="B104" t="s">
        <v>909</v>
      </c>
      <c r="C104" t="s">
        <v>836</v>
      </c>
      <c r="D104" t="s">
        <v>563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2:18">
      <c r="B105" t="s">
        <v>910</v>
      </c>
      <c r="C105" t="s">
        <v>836</v>
      </c>
      <c r="D105" t="s">
        <v>563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2:18">
      <c r="B106" t="s">
        <v>911</v>
      </c>
      <c r="C106" t="s">
        <v>836</v>
      </c>
      <c r="D106" t="s">
        <v>563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2:18">
      <c r="B107" t="s">
        <v>912</v>
      </c>
      <c r="C107" t="s">
        <v>836</v>
      </c>
      <c r="D107" t="s">
        <v>563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2:18">
      <c r="B108" t="s">
        <v>913</v>
      </c>
      <c r="C108" t="s">
        <v>836</v>
      </c>
      <c r="D108" t="s">
        <v>563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2:18">
      <c r="B109" t="s">
        <v>914</v>
      </c>
      <c r="C109" t="s">
        <v>836</v>
      </c>
      <c r="D109" t="s">
        <v>563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2:18">
      <c r="B110" t="s">
        <v>915</v>
      </c>
      <c r="C110" t="s">
        <v>836</v>
      </c>
      <c r="D110" t="s">
        <v>563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2:18">
      <c r="B111" t="s">
        <v>916</v>
      </c>
      <c r="C111" t="s">
        <v>836</v>
      </c>
      <c r="D111" t="s">
        <v>563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2:18">
      <c r="B112" t="s">
        <v>917</v>
      </c>
      <c r="C112" t="s">
        <v>836</v>
      </c>
      <c r="D112" t="s">
        <v>563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2:18">
      <c r="B113" t="s">
        <v>918</v>
      </c>
      <c r="C113" t="s">
        <v>836</v>
      </c>
      <c r="D113" t="s">
        <v>563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2:18">
      <c r="B114" t="s">
        <v>919</v>
      </c>
      <c r="C114" t="s">
        <v>836</v>
      </c>
      <c r="D114" t="s">
        <v>563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2:18">
      <c r="B115" t="s">
        <v>5255</v>
      </c>
      <c r="C115" t="s">
        <v>836</v>
      </c>
      <c r="D115" t="s">
        <v>563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2:18">
      <c r="B116" t="s">
        <v>5256</v>
      </c>
      <c r="C116" t="s">
        <v>836</v>
      </c>
      <c r="D116" t="s">
        <v>563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2:18">
      <c r="B117" t="s">
        <v>920</v>
      </c>
      <c r="C117" t="s">
        <v>836</v>
      </c>
      <c r="D117" t="s">
        <v>563</v>
      </c>
      <c r="E117">
        <v>2</v>
      </c>
      <c r="F117">
        <v>38.200000000000003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36.000999999999998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2:18">
      <c r="B118" t="s">
        <v>921</v>
      </c>
      <c r="C118" t="s">
        <v>836</v>
      </c>
      <c r="D118" t="s">
        <v>563</v>
      </c>
      <c r="E118">
        <v>0</v>
      </c>
      <c r="F118">
        <v>0</v>
      </c>
      <c r="G118">
        <v>10</v>
      </c>
      <c r="H118">
        <v>13</v>
      </c>
      <c r="I118">
        <v>0</v>
      </c>
      <c r="J118">
        <v>0</v>
      </c>
      <c r="K118">
        <v>0</v>
      </c>
      <c r="L118">
        <v>0</v>
      </c>
      <c r="M118">
        <v>10.500999999999999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2:18">
      <c r="B119" t="s">
        <v>922</v>
      </c>
      <c r="C119" t="s">
        <v>836</v>
      </c>
      <c r="D119" t="s">
        <v>563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2:18">
      <c r="B120" t="s">
        <v>923</v>
      </c>
      <c r="C120" t="s">
        <v>836</v>
      </c>
      <c r="D120" t="s">
        <v>563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2:18">
      <c r="B121" t="s">
        <v>924</v>
      </c>
      <c r="C121" t="s">
        <v>836</v>
      </c>
      <c r="D121" t="s">
        <v>563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2:18">
      <c r="B122" t="s">
        <v>5257</v>
      </c>
      <c r="C122" t="s">
        <v>836</v>
      </c>
      <c r="D122" t="s">
        <v>563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2:18">
      <c r="B123" t="s">
        <v>925</v>
      </c>
      <c r="C123" t="s">
        <v>836</v>
      </c>
      <c r="D123" t="s">
        <v>563</v>
      </c>
      <c r="E123">
        <v>15</v>
      </c>
      <c r="F123">
        <v>27.300999999999998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2:18">
      <c r="B124" t="s">
        <v>926</v>
      </c>
      <c r="C124" t="s">
        <v>836</v>
      </c>
      <c r="D124" t="s">
        <v>563</v>
      </c>
      <c r="E124">
        <v>48</v>
      </c>
      <c r="F124">
        <v>5.0000000000000001E-3</v>
      </c>
      <c r="G124">
        <v>19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12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2:18">
      <c r="B125" t="s">
        <v>927</v>
      </c>
      <c r="C125" t="s">
        <v>836</v>
      </c>
      <c r="D125" t="s">
        <v>563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2:18">
      <c r="B126" t="s">
        <v>928</v>
      </c>
      <c r="C126" t="s">
        <v>836</v>
      </c>
      <c r="D126" t="s">
        <v>563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2:18">
      <c r="B127" t="s">
        <v>929</v>
      </c>
      <c r="C127" t="s">
        <v>836</v>
      </c>
      <c r="D127" t="s">
        <v>563</v>
      </c>
      <c r="E127">
        <v>2</v>
      </c>
      <c r="F127">
        <v>59.9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56.2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2:18">
      <c r="B128" t="s">
        <v>5258</v>
      </c>
      <c r="C128" t="s">
        <v>836</v>
      </c>
      <c r="D128" t="s">
        <v>563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2:18">
      <c r="B129" t="s">
        <v>930</v>
      </c>
      <c r="C129" t="s">
        <v>836</v>
      </c>
      <c r="D129" t="s">
        <v>563</v>
      </c>
      <c r="E129">
        <v>4</v>
      </c>
      <c r="F129">
        <v>15.82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25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2:18">
      <c r="B130" t="s">
        <v>931</v>
      </c>
      <c r="C130" t="s">
        <v>836</v>
      </c>
      <c r="D130" t="s">
        <v>563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2:18">
      <c r="B131" t="s">
        <v>932</v>
      </c>
      <c r="C131" t="s">
        <v>836</v>
      </c>
      <c r="D131" t="s">
        <v>563</v>
      </c>
      <c r="E131">
        <v>2</v>
      </c>
      <c r="F131">
        <v>44.9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2:18">
      <c r="B132" t="s">
        <v>5259</v>
      </c>
      <c r="C132" t="s">
        <v>836</v>
      </c>
      <c r="D132" t="s">
        <v>563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2:18">
      <c r="B133" t="s">
        <v>933</v>
      </c>
      <c r="C133" t="s">
        <v>836</v>
      </c>
      <c r="D133" t="s">
        <v>563</v>
      </c>
      <c r="E133">
        <v>0</v>
      </c>
      <c r="F133">
        <v>0</v>
      </c>
      <c r="G133">
        <v>15</v>
      </c>
      <c r="H133">
        <v>10</v>
      </c>
      <c r="I133">
        <v>0</v>
      </c>
      <c r="J133">
        <v>0</v>
      </c>
      <c r="K133">
        <v>0</v>
      </c>
      <c r="L133">
        <v>0</v>
      </c>
      <c r="M133">
        <v>8.92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2:18">
      <c r="B134" t="s">
        <v>934</v>
      </c>
      <c r="C134" t="s">
        <v>836</v>
      </c>
      <c r="D134" t="s">
        <v>563</v>
      </c>
      <c r="E134">
        <v>15</v>
      </c>
      <c r="F134">
        <v>8.7810000000000006</v>
      </c>
      <c r="G134">
        <v>15</v>
      </c>
      <c r="H134">
        <v>95</v>
      </c>
      <c r="I134">
        <v>0</v>
      </c>
      <c r="J134">
        <v>0</v>
      </c>
      <c r="K134">
        <v>0</v>
      </c>
      <c r="L134">
        <v>0</v>
      </c>
      <c r="M134">
        <v>9.1910000000000007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2:18">
      <c r="B135" t="s">
        <v>935</v>
      </c>
      <c r="C135" t="s">
        <v>836</v>
      </c>
      <c r="D135" t="s">
        <v>563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2:18">
      <c r="B136" t="s">
        <v>936</v>
      </c>
      <c r="C136" t="s">
        <v>836</v>
      </c>
      <c r="D136" t="s">
        <v>563</v>
      </c>
      <c r="E136">
        <v>2</v>
      </c>
      <c r="F136">
        <v>40</v>
      </c>
      <c r="G136">
        <v>102.7</v>
      </c>
      <c r="H136">
        <v>10</v>
      </c>
      <c r="I136">
        <v>0</v>
      </c>
      <c r="J136">
        <v>0</v>
      </c>
      <c r="K136">
        <v>0</v>
      </c>
      <c r="L136">
        <v>0</v>
      </c>
      <c r="M136">
        <v>28.8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2:18">
      <c r="B137" t="s">
        <v>5260</v>
      </c>
      <c r="C137" t="s">
        <v>836</v>
      </c>
      <c r="D137" t="s">
        <v>563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2:18">
      <c r="B138" t="s">
        <v>937</v>
      </c>
      <c r="C138" t="s">
        <v>836</v>
      </c>
      <c r="D138" t="s">
        <v>563</v>
      </c>
      <c r="E138">
        <v>124</v>
      </c>
      <c r="F138">
        <v>0.435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2:18">
      <c r="B139" t="s">
        <v>938</v>
      </c>
      <c r="C139" t="s">
        <v>836</v>
      </c>
      <c r="D139" t="s">
        <v>563</v>
      </c>
      <c r="E139">
        <v>7</v>
      </c>
      <c r="F139">
        <v>4.5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2:18">
      <c r="B140" t="s">
        <v>939</v>
      </c>
      <c r="C140" t="s">
        <v>836</v>
      </c>
      <c r="D140" t="s">
        <v>563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2:18">
      <c r="B141" t="s">
        <v>940</v>
      </c>
      <c r="C141" t="s">
        <v>836</v>
      </c>
      <c r="D141" t="s">
        <v>563</v>
      </c>
      <c r="E141">
        <v>3</v>
      </c>
      <c r="F141">
        <v>26.4</v>
      </c>
      <c r="G141">
        <v>88.3</v>
      </c>
      <c r="H141">
        <v>18</v>
      </c>
      <c r="I141">
        <v>0</v>
      </c>
      <c r="J141">
        <v>0</v>
      </c>
      <c r="K141">
        <v>0</v>
      </c>
      <c r="L141">
        <v>0</v>
      </c>
      <c r="M141">
        <v>21.2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2:18">
      <c r="B142" t="s">
        <v>5261</v>
      </c>
      <c r="C142" t="s">
        <v>836</v>
      </c>
      <c r="D142" t="s">
        <v>563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2:18">
      <c r="B143" t="s">
        <v>941</v>
      </c>
      <c r="C143" t="s">
        <v>836</v>
      </c>
      <c r="D143" t="s">
        <v>563</v>
      </c>
      <c r="E143">
        <v>10</v>
      </c>
      <c r="F143">
        <v>1.99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6.13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2:18">
      <c r="B144" t="s">
        <v>942</v>
      </c>
      <c r="C144" t="s">
        <v>836</v>
      </c>
      <c r="D144" t="s">
        <v>563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2:18">
      <c r="B145" t="s">
        <v>943</v>
      </c>
      <c r="C145" t="s">
        <v>836</v>
      </c>
      <c r="D145" t="s">
        <v>563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2:18">
      <c r="B146" t="s">
        <v>944</v>
      </c>
      <c r="C146" t="s">
        <v>836</v>
      </c>
      <c r="D146" t="s">
        <v>563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2:18">
      <c r="B147" t="s">
        <v>945</v>
      </c>
      <c r="C147" t="s">
        <v>836</v>
      </c>
      <c r="D147" t="s">
        <v>563</v>
      </c>
      <c r="E147">
        <v>3</v>
      </c>
      <c r="F147">
        <v>19.39</v>
      </c>
      <c r="G147">
        <v>76.8</v>
      </c>
      <c r="H147">
        <v>13</v>
      </c>
      <c r="I147">
        <v>0</v>
      </c>
      <c r="J147">
        <v>0</v>
      </c>
      <c r="K147">
        <v>0</v>
      </c>
      <c r="L147">
        <v>0</v>
      </c>
      <c r="M147">
        <v>16.97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2:18">
      <c r="B148" t="s">
        <v>5262</v>
      </c>
      <c r="C148" t="s">
        <v>836</v>
      </c>
      <c r="D148" t="s">
        <v>563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2:18">
      <c r="B149" t="s">
        <v>946</v>
      </c>
      <c r="C149" t="s">
        <v>836</v>
      </c>
      <c r="D149" t="s">
        <v>563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8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2:18">
      <c r="B150" t="s">
        <v>947</v>
      </c>
      <c r="C150" t="s">
        <v>836</v>
      </c>
      <c r="D150" t="s">
        <v>563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2:18">
      <c r="B151" t="s">
        <v>948</v>
      </c>
      <c r="C151" t="s">
        <v>836</v>
      </c>
      <c r="D151" t="s">
        <v>563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2:18">
      <c r="B152" t="s">
        <v>949</v>
      </c>
      <c r="C152" t="s">
        <v>836</v>
      </c>
      <c r="D152" t="s">
        <v>563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2:18">
      <c r="B153" t="s">
        <v>950</v>
      </c>
      <c r="C153" t="s">
        <v>836</v>
      </c>
      <c r="D153" t="s">
        <v>563</v>
      </c>
      <c r="E153">
        <v>4</v>
      </c>
      <c r="F153">
        <v>13.93</v>
      </c>
      <c r="G153">
        <v>63.7</v>
      </c>
      <c r="H153">
        <v>33</v>
      </c>
      <c r="I153">
        <v>0</v>
      </c>
      <c r="J153">
        <v>0</v>
      </c>
      <c r="K153">
        <v>0</v>
      </c>
      <c r="L153">
        <v>0</v>
      </c>
      <c r="M153">
        <v>10.84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2:18">
      <c r="B154" t="s">
        <v>5263</v>
      </c>
      <c r="C154" t="s">
        <v>836</v>
      </c>
      <c r="D154" t="s">
        <v>563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2:18">
      <c r="B155" t="s">
        <v>951</v>
      </c>
      <c r="C155" t="s">
        <v>836</v>
      </c>
      <c r="D155" t="s">
        <v>563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2:18">
      <c r="B156" t="s">
        <v>952</v>
      </c>
      <c r="C156" t="s">
        <v>836</v>
      </c>
      <c r="D156" t="s">
        <v>563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2:18">
      <c r="B157" t="s">
        <v>953</v>
      </c>
      <c r="C157" t="s">
        <v>836</v>
      </c>
      <c r="D157" t="s">
        <v>563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2:18">
      <c r="B158" t="s">
        <v>954</v>
      </c>
      <c r="C158" t="s">
        <v>836</v>
      </c>
      <c r="D158" t="s">
        <v>563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2:18">
      <c r="B159" t="s">
        <v>955</v>
      </c>
      <c r="C159" t="s">
        <v>836</v>
      </c>
      <c r="D159" t="s">
        <v>563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2:18">
      <c r="B160" t="s">
        <v>956</v>
      </c>
      <c r="C160" t="s">
        <v>836</v>
      </c>
      <c r="D160" t="s">
        <v>563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2:18">
      <c r="B161" t="s">
        <v>957</v>
      </c>
      <c r="C161" t="s">
        <v>836</v>
      </c>
      <c r="D161" t="s">
        <v>563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2:18">
      <c r="B162" t="s">
        <v>958</v>
      </c>
      <c r="C162" t="s">
        <v>836</v>
      </c>
      <c r="D162" t="s">
        <v>563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2:18">
      <c r="B163" t="s">
        <v>959</v>
      </c>
      <c r="C163" t="s">
        <v>836</v>
      </c>
      <c r="D163" t="s">
        <v>563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2:18">
      <c r="B164" t="s">
        <v>960</v>
      </c>
      <c r="C164" t="s">
        <v>836</v>
      </c>
      <c r="D164" t="s">
        <v>563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2:18">
      <c r="B165" t="s">
        <v>961</v>
      </c>
      <c r="C165" t="s">
        <v>836</v>
      </c>
      <c r="D165" t="s">
        <v>563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>
      <c r="B166" t="s">
        <v>962</v>
      </c>
      <c r="C166" t="s">
        <v>836</v>
      </c>
      <c r="D166" t="s">
        <v>563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2:18">
      <c r="B167" t="s">
        <v>963</v>
      </c>
      <c r="C167" t="s">
        <v>836</v>
      </c>
      <c r="D167" t="s">
        <v>563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2:18">
      <c r="B168" t="s">
        <v>964</v>
      </c>
      <c r="C168" t="s">
        <v>836</v>
      </c>
      <c r="D168" t="s">
        <v>563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>
      <c r="B169" t="s">
        <v>965</v>
      </c>
      <c r="C169" t="s">
        <v>836</v>
      </c>
      <c r="D169" t="s">
        <v>563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>
      <c r="B170" t="s">
        <v>966</v>
      </c>
      <c r="C170" t="s">
        <v>836</v>
      </c>
      <c r="D170" t="s">
        <v>563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2:18">
      <c r="B171" t="s">
        <v>967</v>
      </c>
      <c r="C171" t="s">
        <v>836</v>
      </c>
      <c r="D171" t="s">
        <v>563</v>
      </c>
      <c r="E171">
        <v>10</v>
      </c>
      <c r="F171">
        <v>598</v>
      </c>
      <c r="G171">
        <v>604</v>
      </c>
      <c r="H171">
        <v>10</v>
      </c>
      <c r="I171">
        <v>0</v>
      </c>
      <c r="J171">
        <v>0</v>
      </c>
      <c r="K171">
        <v>0</v>
      </c>
      <c r="L171">
        <v>0</v>
      </c>
      <c r="M171">
        <v>599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2:18">
      <c r="B172" t="s">
        <v>968</v>
      </c>
      <c r="C172" t="s">
        <v>836</v>
      </c>
      <c r="D172" t="s">
        <v>563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>
      <c r="B173" t="s">
        <v>969</v>
      </c>
      <c r="C173" t="s">
        <v>836</v>
      </c>
      <c r="D173" t="s">
        <v>563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>
      <c r="B174" t="s">
        <v>970</v>
      </c>
      <c r="C174" t="s">
        <v>836</v>
      </c>
      <c r="D174" t="s">
        <v>563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>
      <c r="B175" t="s">
        <v>971</v>
      </c>
      <c r="C175" t="s">
        <v>836</v>
      </c>
      <c r="D175" t="s">
        <v>563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8">
      <c r="B176" t="s">
        <v>972</v>
      </c>
      <c r="C176" t="s">
        <v>836</v>
      </c>
      <c r="D176" t="s">
        <v>563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2:18">
      <c r="B177" t="s">
        <v>973</v>
      </c>
      <c r="C177" t="s">
        <v>836</v>
      </c>
      <c r="D177" t="s">
        <v>563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2:18">
      <c r="B178" t="s">
        <v>974</v>
      </c>
      <c r="C178" t="s">
        <v>836</v>
      </c>
      <c r="D178" t="s">
        <v>563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2:18">
      <c r="B179" t="s">
        <v>975</v>
      </c>
      <c r="C179" t="s">
        <v>836</v>
      </c>
      <c r="D179" t="s">
        <v>563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2:18">
      <c r="B180" t="s">
        <v>976</v>
      </c>
      <c r="C180" t="s">
        <v>836</v>
      </c>
      <c r="D180" t="s">
        <v>563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2:18">
      <c r="B181" t="s">
        <v>977</v>
      </c>
      <c r="C181" t="s">
        <v>836</v>
      </c>
      <c r="D181" t="s">
        <v>563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2:18">
      <c r="B182" t="s">
        <v>978</v>
      </c>
      <c r="C182" t="s">
        <v>836</v>
      </c>
      <c r="D182" t="s">
        <v>563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2:18">
      <c r="B183" t="s">
        <v>979</v>
      </c>
      <c r="C183" t="s">
        <v>836</v>
      </c>
      <c r="D183" t="s">
        <v>563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2:18">
      <c r="B184" t="s">
        <v>980</v>
      </c>
      <c r="C184" t="s">
        <v>836</v>
      </c>
      <c r="D184" t="s">
        <v>563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2:18">
      <c r="B185" t="s">
        <v>981</v>
      </c>
      <c r="C185" t="s">
        <v>836</v>
      </c>
      <c r="D185" t="s">
        <v>563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2:18">
      <c r="B186" t="s">
        <v>982</v>
      </c>
      <c r="C186" t="s">
        <v>836</v>
      </c>
      <c r="D186" t="s">
        <v>563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2:18">
      <c r="B187" t="s">
        <v>983</v>
      </c>
      <c r="C187" t="s">
        <v>836</v>
      </c>
      <c r="D187" t="s">
        <v>563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2:18">
      <c r="B188" t="s">
        <v>984</v>
      </c>
      <c r="C188" t="s">
        <v>836</v>
      </c>
      <c r="D188" t="s">
        <v>563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2:18">
      <c r="B189" t="s">
        <v>985</v>
      </c>
      <c r="C189" t="s">
        <v>836</v>
      </c>
      <c r="D189" t="s">
        <v>563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2:18">
      <c r="B190" t="s">
        <v>986</v>
      </c>
      <c r="C190" t="s">
        <v>836</v>
      </c>
      <c r="D190" t="s">
        <v>563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2:18">
      <c r="B191" t="s">
        <v>987</v>
      </c>
      <c r="C191" t="s">
        <v>836</v>
      </c>
      <c r="D191" t="s">
        <v>563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2:18">
      <c r="B192" t="s">
        <v>988</v>
      </c>
      <c r="C192" t="s">
        <v>836</v>
      </c>
      <c r="D192" t="s">
        <v>563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2:18">
      <c r="B193" t="s">
        <v>989</v>
      </c>
      <c r="C193" t="s">
        <v>836</v>
      </c>
      <c r="D193" t="s">
        <v>563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2:18">
      <c r="B194" t="s">
        <v>990</v>
      </c>
      <c r="C194" t="s">
        <v>836</v>
      </c>
      <c r="D194" t="s">
        <v>563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2:18">
      <c r="B195" t="s">
        <v>991</v>
      </c>
      <c r="C195" t="s">
        <v>836</v>
      </c>
      <c r="D195" t="s">
        <v>563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2:18">
      <c r="B196" t="s">
        <v>992</v>
      </c>
      <c r="C196" t="s">
        <v>836</v>
      </c>
      <c r="D196" t="s">
        <v>563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2:18">
      <c r="B197" t="s">
        <v>993</v>
      </c>
      <c r="C197" t="s">
        <v>836</v>
      </c>
      <c r="D197" t="s">
        <v>563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2:18">
      <c r="B198" t="s">
        <v>994</v>
      </c>
      <c r="C198" t="s">
        <v>836</v>
      </c>
      <c r="D198" t="s">
        <v>563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2:18">
      <c r="B199" t="s">
        <v>995</v>
      </c>
      <c r="C199" t="s">
        <v>836</v>
      </c>
      <c r="D199" t="s">
        <v>563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>
      <c r="B200" t="s">
        <v>996</v>
      </c>
      <c r="C200" t="s">
        <v>836</v>
      </c>
      <c r="D200" t="s">
        <v>563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2:18">
      <c r="B201" t="s">
        <v>997</v>
      </c>
      <c r="C201" t="s">
        <v>836</v>
      </c>
      <c r="D201" t="s">
        <v>563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2:18">
      <c r="B202" t="s">
        <v>998</v>
      </c>
      <c r="C202" t="s">
        <v>836</v>
      </c>
      <c r="D202" t="s">
        <v>563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2:18">
      <c r="B203" t="s">
        <v>999</v>
      </c>
      <c r="C203" t="s">
        <v>836</v>
      </c>
      <c r="D203" t="s">
        <v>563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2:18">
      <c r="B204" t="s">
        <v>1000</v>
      </c>
      <c r="C204" t="s">
        <v>836</v>
      </c>
      <c r="D204" t="s">
        <v>563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2:18">
      <c r="B205" t="s">
        <v>1001</v>
      </c>
      <c r="C205" t="s">
        <v>836</v>
      </c>
      <c r="D205" t="s">
        <v>563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2:18">
      <c r="B206" t="s">
        <v>1002</v>
      </c>
      <c r="C206" t="s">
        <v>836</v>
      </c>
      <c r="D206" t="s">
        <v>563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2:18">
      <c r="B207" t="s">
        <v>1003</v>
      </c>
      <c r="C207" t="s">
        <v>836</v>
      </c>
      <c r="D207" t="s">
        <v>563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2:18">
      <c r="B208" t="s">
        <v>1004</v>
      </c>
      <c r="C208" t="s">
        <v>836</v>
      </c>
      <c r="D208" t="s">
        <v>563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2:19">
      <c r="B209" t="s">
        <v>1005</v>
      </c>
      <c r="C209" t="s">
        <v>836</v>
      </c>
      <c r="D209" t="s">
        <v>563</v>
      </c>
      <c r="E209">
        <v>10</v>
      </c>
      <c r="F209">
        <v>348</v>
      </c>
      <c r="G209">
        <v>355.96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321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2:19">
      <c r="B210" t="s">
        <v>1006</v>
      </c>
      <c r="C210" t="s">
        <v>836</v>
      </c>
      <c r="D210" t="s">
        <v>563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2:19">
      <c r="B211" t="s">
        <v>1007</v>
      </c>
      <c r="C211" t="s">
        <v>836</v>
      </c>
      <c r="D211" t="s">
        <v>563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2:19">
      <c r="B212" t="s">
        <v>1008</v>
      </c>
      <c r="C212" t="s">
        <v>836</v>
      </c>
      <c r="D212" t="s">
        <v>563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2:19">
      <c r="B213" t="s">
        <v>1009</v>
      </c>
      <c r="C213" t="s">
        <v>836</v>
      </c>
      <c r="D213" t="s">
        <v>563</v>
      </c>
      <c r="E213">
        <v>20</v>
      </c>
      <c r="F213">
        <v>220</v>
      </c>
      <c r="G213">
        <v>247.53</v>
      </c>
      <c r="H213">
        <v>2</v>
      </c>
      <c r="I213">
        <v>260.56</v>
      </c>
      <c r="J213">
        <v>250.03</v>
      </c>
      <c r="K213">
        <v>260.56</v>
      </c>
      <c r="L213">
        <v>250.03</v>
      </c>
      <c r="M213">
        <v>0</v>
      </c>
      <c r="N213">
        <v>0</v>
      </c>
      <c r="O213">
        <v>10</v>
      </c>
      <c r="P213">
        <v>255295</v>
      </c>
      <c r="Q213">
        <v>255.29499999999999</v>
      </c>
      <c r="R213">
        <v>0</v>
      </c>
      <c r="S213" t="s">
        <v>6225</v>
      </c>
    </row>
    <row r="214" spans="2:19">
      <c r="B214" t="s">
        <v>1010</v>
      </c>
      <c r="C214" t="s">
        <v>836</v>
      </c>
      <c r="D214" t="s">
        <v>563</v>
      </c>
      <c r="E214">
        <v>10</v>
      </c>
      <c r="F214">
        <v>198</v>
      </c>
      <c r="G214">
        <v>207.11</v>
      </c>
      <c r="H214">
        <v>2</v>
      </c>
      <c r="I214">
        <v>204.75</v>
      </c>
      <c r="J214">
        <v>204.75</v>
      </c>
      <c r="K214">
        <v>204.75</v>
      </c>
      <c r="L214">
        <v>204.75</v>
      </c>
      <c r="M214">
        <v>189.06700000000001</v>
      </c>
      <c r="N214">
        <v>8.2900000000000001E-2</v>
      </c>
      <c r="O214">
        <v>2</v>
      </c>
      <c r="P214">
        <v>40950</v>
      </c>
      <c r="Q214">
        <v>204.75</v>
      </c>
      <c r="R214">
        <v>0</v>
      </c>
      <c r="S214" t="s">
        <v>6226</v>
      </c>
    </row>
    <row r="215" spans="2:19">
      <c r="B215" t="s">
        <v>1011</v>
      </c>
      <c r="C215" t="s">
        <v>836</v>
      </c>
      <c r="D215" t="s">
        <v>563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2:19">
      <c r="B216" t="s">
        <v>1012</v>
      </c>
      <c r="C216" t="s">
        <v>836</v>
      </c>
      <c r="D216" t="s">
        <v>563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2:19">
      <c r="B217" t="s">
        <v>1013</v>
      </c>
      <c r="C217" t="s">
        <v>836</v>
      </c>
      <c r="D217" t="s">
        <v>563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2:19">
      <c r="B218" t="s">
        <v>5264</v>
      </c>
      <c r="C218" t="s">
        <v>836</v>
      </c>
      <c r="D218" t="s">
        <v>563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2:19">
      <c r="B219" t="s">
        <v>1014</v>
      </c>
      <c r="C219" t="s">
        <v>836</v>
      </c>
      <c r="D219" t="s">
        <v>563</v>
      </c>
      <c r="E219">
        <v>20</v>
      </c>
      <c r="F219">
        <v>205</v>
      </c>
      <c r="G219">
        <v>230</v>
      </c>
      <c r="H219">
        <v>39</v>
      </c>
      <c r="I219">
        <v>0</v>
      </c>
      <c r="J219">
        <v>0</v>
      </c>
      <c r="K219">
        <v>0</v>
      </c>
      <c r="L219">
        <v>0</v>
      </c>
      <c r="M219">
        <v>220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2:19">
      <c r="B220" t="s">
        <v>1015</v>
      </c>
      <c r="C220" t="s">
        <v>836</v>
      </c>
      <c r="D220" t="s">
        <v>563</v>
      </c>
      <c r="E220">
        <v>10</v>
      </c>
      <c r="F220">
        <v>148</v>
      </c>
      <c r="G220">
        <v>151.25</v>
      </c>
      <c r="H220">
        <v>5</v>
      </c>
      <c r="I220">
        <v>151.25</v>
      </c>
      <c r="J220">
        <v>151.25</v>
      </c>
      <c r="K220">
        <v>151.25</v>
      </c>
      <c r="L220">
        <v>151.25</v>
      </c>
      <c r="M220">
        <v>132.624</v>
      </c>
      <c r="N220">
        <v>0.1404</v>
      </c>
      <c r="O220">
        <v>790</v>
      </c>
      <c r="P220">
        <v>11948750</v>
      </c>
      <c r="Q220">
        <v>151.25</v>
      </c>
      <c r="R220">
        <v>0</v>
      </c>
      <c r="S220" t="s">
        <v>6227</v>
      </c>
    </row>
    <row r="221" spans="2:19">
      <c r="B221" t="s">
        <v>1016</v>
      </c>
      <c r="C221" t="s">
        <v>836</v>
      </c>
      <c r="D221" t="s">
        <v>563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2:19">
      <c r="B222" t="s">
        <v>1017</v>
      </c>
      <c r="C222" t="s">
        <v>836</v>
      </c>
      <c r="D222" t="s">
        <v>563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2:19">
      <c r="B223" t="s">
        <v>5265</v>
      </c>
      <c r="C223" t="s">
        <v>836</v>
      </c>
      <c r="D223" t="s">
        <v>563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2:19">
      <c r="B224" t="s">
        <v>5266</v>
      </c>
      <c r="C224" t="s">
        <v>836</v>
      </c>
      <c r="D224" t="s">
        <v>563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2:19">
      <c r="B225" t="s">
        <v>1018</v>
      </c>
      <c r="C225" t="s">
        <v>836</v>
      </c>
      <c r="D225" t="s">
        <v>563</v>
      </c>
      <c r="E225">
        <v>5</v>
      </c>
      <c r="F225">
        <v>85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95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2:19">
      <c r="B226" t="s">
        <v>1019</v>
      </c>
      <c r="C226" t="s">
        <v>836</v>
      </c>
      <c r="D226" t="s">
        <v>563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2:19">
      <c r="B227" t="s">
        <v>1020</v>
      </c>
      <c r="C227" t="s">
        <v>836</v>
      </c>
      <c r="D227" t="s">
        <v>563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2:19">
      <c r="B228" t="s">
        <v>5267</v>
      </c>
      <c r="C228" t="s">
        <v>836</v>
      </c>
      <c r="D228" t="s">
        <v>563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2:19">
      <c r="B229" t="s">
        <v>5268</v>
      </c>
      <c r="C229" t="s">
        <v>836</v>
      </c>
      <c r="D229" t="s">
        <v>563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2:19">
      <c r="B230" t="s">
        <v>1021</v>
      </c>
      <c r="C230" t="s">
        <v>836</v>
      </c>
      <c r="D230" t="s">
        <v>563</v>
      </c>
      <c r="E230">
        <v>10</v>
      </c>
      <c r="F230">
        <v>48</v>
      </c>
      <c r="G230">
        <v>80</v>
      </c>
      <c r="H230">
        <v>50</v>
      </c>
      <c r="I230">
        <v>60</v>
      </c>
      <c r="J230">
        <v>60</v>
      </c>
      <c r="K230">
        <v>60</v>
      </c>
      <c r="L230">
        <v>60</v>
      </c>
      <c r="M230">
        <v>63</v>
      </c>
      <c r="N230">
        <v>-4.7600000000000003E-2</v>
      </c>
      <c r="O230">
        <v>4</v>
      </c>
      <c r="P230">
        <v>24000</v>
      </c>
      <c r="Q230">
        <v>60</v>
      </c>
      <c r="R230">
        <v>0</v>
      </c>
      <c r="S230" t="s">
        <v>6228</v>
      </c>
    </row>
    <row r="231" spans="2:19">
      <c r="B231" t="s">
        <v>1022</v>
      </c>
      <c r="C231" t="s">
        <v>836</v>
      </c>
      <c r="D231" t="s">
        <v>563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2:19">
      <c r="B232" t="s">
        <v>1023</v>
      </c>
      <c r="C232" t="s">
        <v>836</v>
      </c>
      <c r="D232" t="s">
        <v>563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2:19">
      <c r="B233" t="s">
        <v>5269</v>
      </c>
      <c r="C233" t="s">
        <v>836</v>
      </c>
      <c r="D233" t="s">
        <v>563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2:19">
      <c r="B234" t="s">
        <v>1024</v>
      </c>
      <c r="C234" t="s">
        <v>836</v>
      </c>
      <c r="D234" t="s">
        <v>563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2:19">
      <c r="B235" t="s">
        <v>1025</v>
      </c>
      <c r="C235" t="s">
        <v>836</v>
      </c>
      <c r="D235" t="s">
        <v>563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2:19">
      <c r="B236" t="s">
        <v>1026</v>
      </c>
      <c r="C236" t="s">
        <v>836</v>
      </c>
      <c r="D236" t="s">
        <v>563</v>
      </c>
      <c r="E236">
        <v>4</v>
      </c>
      <c r="F236">
        <v>8.32</v>
      </c>
      <c r="G236">
        <v>63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29.998999999999999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2:19">
      <c r="B237" t="s">
        <v>1027</v>
      </c>
      <c r="C237" t="s">
        <v>836</v>
      </c>
      <c r="D237" t="s">
        <v>563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2:19">
      <c r="B238" t="s">
        <v>1028</v>
      </c>
      <c r="C238" t="s">
        <v>836</v>
      </c>
      <c r="D238" t="s">
        <v>563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2:19">
      <c r="B239" t="s">
        <v>1029</v>
      </c>
      <c r="C239" t="s">
        <v>836</v>
      </c>
      <c r="D239" t="s">
        <v>563</v>
      </c>
      <c r="E239">
        <v>3</v>
      </c>
      <c r="F239">
        <v>37.799999999999997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2:19">
      <c r="B240" t="s">
        <v>5270</v>
      </c>
      <c r="C240" t="s">
        <v>836</v>
      </c>
      <c r="D240" t="s">
        <v>563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2:18">
      <c r="B241" t="s">
        <v>1030</v>
      </c>
      <c r="C241" t="s">
        <v>836</v>
      </c>
      <c r="D241" t="s">
        <v>563</v>
      </c>
      <c r="E241">
        <v>3</v>
      </c>
      <c r="F241">
        <v>53.2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2:18">
      <c r="B242" t="s">
        <v>1031</v>
      </c>
      <c r="C242" t="s">
        <v>836</v>
      </c>
      <c r="D242" t="s">
        <v>563</v>
      </c>
      <c r="E242">
        <v>10</v>
      </c>
      <c r="F242">
        <v>46</v>
      </c>
      <c r="G242">
        <v>94</v>
      </c>
      <c r="H242">
        <v>10</v>
      </c>
      <c r="I242">
        <v>0</v>
      </c>
      <c r="J242">
        <v>0</v>
      </c>
      <c r="K242">
        <v>0</v>
      </c>
      <c r="L242">
        <v>0</v>
      </c>
      <c r="M242">
        <v>32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2:18">
      <c r="B243" t="s">
        <v>1032</v>
      </c>
      <c r="C243" t="s">
        <v>836</v>
      </c>
      <c r="D243" t="s">
        <v>563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2:18">
      <c r="B244" t="s">
        <v>1033</v>
      </c>
      <c r="C244" t="s">
        <v>836</v>
      </c>
      <c r="D244" t="s">
        <v>563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2:18">
      <c r="B245" t="s">
        <v>1034</v>
      </c>
      <c r="C245" t="s">
        <v>836</v>
      </c>
      <c r="D245" t="s">
        <v>563</v>
      </c>
      <c r="E245">
        <v>2</v>
      </c>
      <c r="F245">
        <v>61.1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2:18">
      <c r="B246" t="s">
        <v>5271</v>
      </c>
      <c r="C246" t="s">
        <v>836</v>
      </c>
      <c r="D246" t="s">
        <v>563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2:18">
      <c r="B247" t="s">
        <v>1035</v>
      </c>
      <c r="C247" t="s">
        <v>836</v>
      </c>
      <c r="D247" t="s">
        <v>563</v>
      </c>
      <c r="E247">
        <v>2</v>
      </c>
      <c r="F247">
        <v>79.900000000000006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80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2:18">
      <c r="B248" t="s">
        <v>1036</v>
      </c>
      <c r="C248" t="s">
        <v>836</v>
      </c>
      <c r="D248" t="s">
        <v>563</v>
      </c>
      <c r="E248">
        <v>10</v>
      </c>
      <c r="F248">
        <v>92</v>
      </c>
      <c r="G248">
        <v>134</v>
      </c>
      <c r="H248">
        <v>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2:18">
      <c r="B249" t="s">
        <v>1037</v>
      </c>
      <c r="C249" t="s">
        <v>836</v>
      </c>
      <c r="D249" t="s">
        <v>563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2:18">
      <c r="B250" t="s">
        <v>1038</v>
      </c>
      <c r="C250" t="s">
        <v>836</v>
      </c>
      <c r="D250" t="s">
        <v>563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2:18">
      <c r="B251" t="s">
        <v>1039</v>
      </c>
      <c r="C251" t="s">
        <v>836</v>
      </c>
      <c r="D251" t="s">
        <v>563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2:18">
      <c r="B252" t="s">
        <v>5272</v>
      </c>
      <c r="C252" t="s">
        <v>836</v>
      </c>
      <c r="D252" t="s">
        <v>563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2:18">
      <c r="B253" t="s">
        <v>1040</v>
      </c>
      <c r="C253" t="s">
        <v>836</v>
      </c>
      <c r="D253" t="s">
        <v>563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2:18">
      <c r="B254" t="s">
        <v>1041</v>
      </c>
      <c r="C254" t="s">
        <v>836</v>
      </c>
      <c r="D254" t="s">
        <v>563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2:18">
      <c r="B255" t="s">
        <v>5273</v>
      </c>
      <c r="C255" t="s">
        <v>836</v>
      </c>
      <c r="D255" t="s">
        <v>563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2:18">
      <c r="B256" t="s">
        <v>5274</v>
      </c>
      <c r="C256" t="s">
        <v>836</v>
      </c>
      <c r="D256" t="s">
        <v>563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2:18">
      <c r="B257" t="s">
        <v>1042</v>
      </c>
      <c r="C257" t="s">
        <v>836</v>
      </c>
      <c r="D257" t="s">
        <v>563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2:18">
      <c r="B258" t="s">
        <v>1043</v>
      </c>
      <c r="C258" t="s">
        <v>836</v>
      </c>
      <c r="D258" t="s">
        <v>563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2:18">
      <c r="B259" t="s">
        <v>1044</v>
      </c>
      <c r="C259" t="s">
        <v>836</v>
      </c>
      <c r="D259" t="s">
        <v>563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2:18">
      <c r="B260" t="s">
        <v>5275</v>
      </c>
      <c r="C260" t="s">
        <v>836</v>
      </c>
      <c r="D260" t="s">
        <v>563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2:18">
      <c r="B261" t="s">
        <v>5276</v>
      </c>
      <c r="C261" t="s">
        <v>836</v>
      </c>
      <c r="D261" t="s">
        <v>563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2:18">
      <c r="B262" t="s">
        <v>1045</v>
      </c>
      <c r="C262" t="s">
        <v>836</v>
      </c>
      <c r="D262" t="s">
        <v>563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2:18">
      <c r="B263" t="s">
        <v>1046</v>
      </c>
      <c r="C263" t="s">
        <v>836</v>
      </c>
      <c r="D263" t="s">
        <v>563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2:18">
      <c r="B264" t="s">
        <v>1047</v>
      </c>
      <c r="C264" t="s">
        <v>836</v>
      </c>
      <c r="D264" t="s">
        <v>563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2:18">
      <c r="B265" t="s">
        <v>5277</v>
      </c>
      <c r="C265" t="s">
        <v>836</v>
      </c>
      <c r="D265" t="s">
        <v>563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2:18">
      <c r="B266" t="s">
        <v>5278</v>
      </c>
      <c r="C266" t="s">
        <v>836</v>
      </c>
      <c r="D266" t="s">
        <v>563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2:18">
      <c r="B267" t="s">
        <v>1048</v>
      </c>
      <c r="C267" t="s">
        <v>836</v>
      </c>
      <c r="D267" t="s">
        <v>563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2:18">
      <c r="B268" t="s">
        <v>1049</v>
      </c>
      <c r="C268" t="s">
        <v>836</v>
      </c>
      <c r="D268" t="s">
        <v>563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2:18">
      <c r="B269" t="s">
        <v>1050</v>
      </c>
      <c r="C269" t="s">
        <v>836</v>
      </c>
      <c r="D269" t="s">
        <v>563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2:18">
      <c r="B270" t="s">
        <v>1051</v>
      </c>
      <c r="C270" t="s">
        <v>836</v>
      </c>
      <c r="D270" t="s">
        <v>563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2:18">
      <c r="B271" t="s">
        <v>5279</v>
      </c>
      <c r="C271" t="s">
        <v>836</v>
      </c>
      <c r="D271" t="s">
        <v>563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2:18">
      <c r="B272" t="s">
        <v>5280</v>
      </c>
      <c r="C272" t="s">
        <v>836</v>
      </c>
      <c r="D272" t="s">
        <v>563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2:18">
      <c r="B273" t="s">
        <v>1052</v>
      </c>
      <c r="C273" t="s">
        <v>836</v>
      </c>
      <c r="D273" t="s">
        <v>563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2:18">
      <c r="B274" t="s">
        <v>1053</v>
      </c>
      <c r="C274" t="s">
        <v>836</v>
      </c>
      <c r="D274" t="s">
        <v>563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2:18">
      <c r="B275" t="s">
        <v>5281</v>
      </c>
      <c r="C275" t="s">
        <v>836</v>
      </c>
      <c r="D275" t="s">
        <v>563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2:18">
      <c r="B276" t="s">
        <v>5282</v>
      </c>
      <c r="C276" t="s">
        <v>836</v>
      </c>
      <c r="D276" t="s">
        <v>563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2:18">
      <c r="B277" t="s">
        <v>1054</v>
      </c>
      <c r="C277" t="s">
        <v>836</v>
      </c>
      <c r="D277" t="s">
        <v>563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2:18">
      <c r="B278" t="s">
        <v>1055</v>
      </c>
      <c r="C278" t="s">
        <v>836</v>
      </c>
      <c r="D278" t="s">
        <v>563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2:18">
      <c r="B279" t="s">
        <v>1056</v>
      </c>
      <c r="C279" t="s">
        <v>836</v>
      </c>
      <c r="D279" t="s">
        <v>563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2:18">
      <c r="B280" t="s">
        <v>1057</v>
      </c>
      <c r="C280" t="s">
        <v>836</v>
      </c>
      <c r="D280" t="s">
        <v>563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2:18">
      <c r="B281" t="s">
        <v>1058</v>
      </c>
      <c r="C281" t="s">
        <v>836</v>
      </c>
      <c r="D281" t="s">
        <v>563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2:18">
      <c r="B282" t="s">
        <v>1059</v>
      </c>
      <c r="C282" t="s">
        <v>836</v>
      </c>
      <c r="D282" t="s">
        <v>563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2:18">
      <c r="B283" t="s">
        <v>1060</v>
      </c>
      <c r="C283" t="s">
        <v>836</v>
      </c>
      <c r="D283" t="s">
        <v>563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2:18">
      <c r="B284" t="s">
        <v>1061</v>
      </c>
      <c r="C284" t="s">
        <v>836</v>
      </c>
      <c r="D284" t="s">
        <v>563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2:18">
      <c r="B285" t="s">
        <v>1062</v>
      </c>
      <c r="C285" t="s">
        <v>836</v>
      </c>
      <c r="D285" t="s">
        <v>563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2:18">
      <c r="B286" t="s">
        <v>1063</v>
      </c>
      <c r="C286" t="s">
        <v>836</v>
      </c>
      <c r="D286" t="s">
        <v>563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2:18">
      <c r="B287" t="s">
        <v>1064</v>
      </c>
      <c r="C287" t="s">
        <v>836</v>
      </c>
      <c r="D287" t="s">
        <v>563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2:18">
      <c r="B288" t="s">
        <v>1065</v>
      </c>
      <c r="C288" t="s">
        <v>836</v>
      </c>
      <c r="D288" t="s">
        <v>563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2:18">
      <c r="B289" t="s">
        <v>1066</v>
      </c>
      <c r="C289" t="s">
        <v>836</v>
      </c>
      <c r="D289" t="s">
        <v>563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2:18">
      <c r="B290" t="s">
        <v>1067</v>
      </c>
      <c r="C290" t="s">
        <v>836</v>
      </c>
      <c r="D290" t="s">
        <v>563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2:18">
      <c r="B291" t="s">
        <v>1068</v>
      </c>
      <c r="C291" t="s">
        <v>836</v>
      </c>
      <c r="D291" t="s">
        <v>563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2:18">
      <c r="B292" t="s">
        <v>1069</v>
      </c>
      <c r="C292" t="s">
        <v>836</v>
      </c>
      <c r="D292" t="s">
        <v>563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2:18">
      <c r="B293" t="s">
        <v>1070</v>
      </c>
      <c r="C293" t="s">
        <v>836</v>
      </c>
      <c r="D293" t="s">
        <v>563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2:18">
      <c r="B294" t="s">
        <v>1071</v>
      </c>
      <c r="C294" t="s">
        <v>836</v>
      </c>
      <c r="D294" t="s">
        <v>563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2:18">
      <c r="B295" t="s">
        <v>1072</v>
      </c>
      <c r="C295" t="s">
        <v>836</v>
      </c>
      <c r="D295" t="s">
        <v>563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2:18">
      <c r="B296" t="s">
        <v>1073</v>
      </c>
      <c r="C296" t="s">
        <v>836</v>
      </c>
      <c r="D296" t="s">
        <v>563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2:18">
      <c r="B297" t="s">
        <v>1074</v>
      </c>
      <c r="C297" t="s">
        <v>836</v>
      </c>
      <c r="D297" t="s">
        <v>563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2:18">
      <c r="B298" t="s">
        <v>1075</v>
      </c>
      <c r="C298" t="s">
        <v>836</v>
      </c>
      <c r="D298" t="s">
        <v>563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2:18">
      <c r="B299" t="s">
        <v>1076</v>
      </c>
      <c r="C299" t="s">
        <v>836</v>
      </c>
      <c r="D299" t="s">
        <v>563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2:18">
      <c r="B300" t="s">
        <v>1077</v>
      </c>
      <c r="C300" t="s">
        <v>836</v>
      </c>
      <c r="D300" t="s">
        <v>563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2:18">
      <c r="B301" t="s">
        <v>1078</v>
      </c>
      <c r="C301" t="s">
        <v>836</v>
      </c>
      <c r="D301" t="s">
        <v>563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2:18">
      <c r="B302" t="s">
        <v>1079</v>
      </c>
      <c r="C302" t="s">
        <v>836</v>
      </c>
      <c r="D302" t="s">
        <v>563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2:18">
      <c r="B303" t="s">
        <v>1080</v>
      </c>
      <c r="C303" t="s">
        <v>836</v>
      </c>
      <c r="D303" t="s">
        <v>563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2:18">
      <c r="B304" t="s">
        <v>1081</v>
      </c>
      <c r="C304" t="s">
        <v>836</v>
      </c>
      <c r="D304" t="s">
        <v>563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2:18">
      <c r="B305" t="s">
        <v>1082</v>
      </c>
      <c r="C305" t="s">
        <v>836</v>
      </c>
      <c r="D305" t="s">
        <v>563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2:18">
      <c r="B306" t="s">
        <v>1083</v>
      </c>
      <c r="C306" t="s">
        <v>836</v>
      </c>
      <c r="D306" t="s">
        <v>563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2:18">
      <c r="B307" t="s">
        <v>1084</v>
      </c>
      <c r="C307" t="s">
        <v>836</v>
      </c>
      <c r="D307" t="s">
        <v>563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2:18">
      <c r="B308" t="s">
        <v>1085</v>
      </c>
      <c r="C308" t="s">
        <v>836</v>
      </c>
      <c r="D308" t="s">
        <v>563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2:18">
      <c r="B309" t="s">
        <v>1086</v>
      </c>
      <c r="C309" t="s">
        <v>836</v>
      </c>
      <c r="D309" t="s">
        <v>563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2:18">
      <c r="B310" t="s">
        <v>1087</v>
      </c>
      <c r="C310" t="s">
        <v>836</v>
      </c>
      <c r="D310" t="s">
        <v>563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2:18">
      <c r="B311" t="s">
        <v>1088</v>
      </c>
      <c r="C311" t="s">
        <v>836</v>
      </c>
      <c r="D311" t="s">
        <v>563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2:18">
      <c r="B312" t="s">
        <v>1089</v>
      </c>
      <c r="C312" t="s">
        <v>836</v>
      </c>
      <c r="D312" t="s">
        <v>563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2:18">
      <c r="B313" t="s">
        <v>1090</v>
      </c>
      <c r="C313" t="s">
        <v>836</v>
      </c>
      <c r="D313" t="s">
        <v>563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2:18">
      <c r="B314" t="s">
        <v>1091</v>
      </c>
      <c r="C314" t="s">
        <v>836</v>
      </c>
      <c r="D314" t="s">
        <v>563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2:18">
      <c r="B315" t="s">
        <v>1092</v>
      </c>
      <c r="C315" t="s">
        <v>836</v>
      </c>
      <c r="D315" t="s">
        <v>563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20.399999999999999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2:18">
      <c r="B316" t="s">
        <v>1093</v>
      </c>
      <c r="C316" t="s">
        <v>836</v>
      </c>
      <c r="D316" t="s">
        <v>563</v>
      </c>
      <c r="E316">
        <v>0</v>
      </c>
      <c r="F316">
        <v>0</v>
      </c>
      <c r="G316">
        <v>5</v>
      </c>
      <c r="H316">
        <v>10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2:18">
      <c r="B317" t="s">
        <v>1094</v>
      </c>
      <c r="C317" t="s">
        <v>836</v>
      </c>
      <c r="D317" t="s">
        <v>563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2:18">
      <c r="B318" t="s">
        <v>1095</v>
      </c>
      <c r="C318" t="s">
        <v>836</v>
      </c>
      <c r="D318" t="s">
        <v>563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2:18">
      <c r="B319" t="s">
        <v>1096</v>
      </c>
      <c r="C319" t="s">
        <v>836</v>
      </c>
      <c r="D319" t="s">
        <v>563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2:18">
      <c r="B320" t="s">
        <v>5283</v>
      </c>
      <c r="C320" t="s">
        <v>836</v>
      </c>
      <c r="D320" t="s">
        <v>563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2:18">
      <c r="B321" t="s">
        <v>1097</v>
      </c>
      <c r="C321" t="s">
        <v>836</v>
      </c>
      <c r="D321" t="s">
        <v>563</v>
      </c>
      <c r="E321">
        <v>19</v>
      </c>
      <c r="F321">
        <v>2.58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2:18">
      <c r="B322" t="s">
        <v>1098</v>
      </c>
      <c r="C322" t="s">
        <v>836</v>
      </c>
      <c r="D322" t="s">
        <v>563</v>
      </c>
      <c r="E322">
        <v>14</v>
      </c>
      <c r="F322">
        <v>0.38500000000000001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9.1319999999999997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2:18">
      <c r="B323" t="s">
        <v>1099</v>
      </c>
      <c r="C323" t="s">
        <v>836</v>
      </c>
      <c r="D323" t="s">
        <v>563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2:18">
      <c r="B324" t="s">
        <v>1100</v>
      </c>
      <c r="C324" t="s">
        <v>836</v>
      </c>
      <c r="D324" t="s">
        <v>563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2:18">
      <c r="B325" t="s">
        <v>1101</v>
      </c>
      <c r="C325" t="s">
        <v>836</v>
      </c>
      <c r="D325" t="s">
        <v>563</v>
      </c>
      <c r="E325">
        <v>9</v>
      </c>
      <c r="F325">
        <v>6.1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2:18">
      <c r="B326" t="s">
        <v>5284</v>
      </c>
      <c r="C326" t="s">
        <v>836</v>
      </c>
      <c r="D326" t="s">
        <v>563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2:18">
      <c r="B327" t="s">
        <v>1102</v>
      </c>
      <c r="C327" t="s">
        <v>836</v>
      </c>
      <c r="D327" t="s">
        <v>563</v>
      </c>
      <c r="E327">
        <v>8</v>
      </c>
      <c r="F327">
        <v>1.2999999999999999E-2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11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2:18">
      <c r="B328" t="s">
        <v>1103</v>
      </c>
      <c r="C328" t="s">
        <v>836</v>
      </c>
      <c r="D328" t="s">
        <v>563</v>
      </c>
      <c r="E328">
        <v>10</v>
      </c>
      <c r="F328">
        <v>5.44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2:18">
      <c r="B329" t="s">
        <v>1104</v>
      </c>
      <c r="C329" t="s">
        <v>836</v>
      </c>
      <c r="D329" t="s">
        <v>563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2:18">
      <c r="B330" t="s">
        <v>1105</v>
      </c>
      <c r="C330" t="s">
        <v>836</v>
      </c>
      <c r="D330" t="s">
        <v>563</v>
      </c>
      <c r="E330">
        <v>6</v>
      </c>
      <c r="F330">
        <v>13.9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2:18">
      <c r="B331" t="s">
        <v>5285</v>
      </c>
      <c r="C331" t="s">
        <v>836</v>
      </c>
      <c r="D331" t="s">
        <v>563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2:18">
      <c r="B332" t="s">
        <v>1106</v>
      </c>
      <c r="C332" t="s">
        <v>836</v>
      </c>
      <c r="D332" t="s">
        <v>563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2:18">
      <c r="B333" t="s">
        <v>1107</v>
      </c>
      <c r="C333" t="s">
        <v>836</v>
      </c>
      <c r="D333" t="s">
        <v>563</v>
      </c>
      <c r="E333">
        <v>6</v>
      </c>
      <c r="F333">
        <v>15.83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2:18">
      <c r="B334" t="s">
        <v>1108</v>
      </c>
      <c r="C334" t="s">
        <v>836</v>
      </c>
      <c r="D334" t="s">
        <v>563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2:18">
      <c r="B335" t="s">
        <v>1109</v>
      </c>
      <c r="C335" t="s">
        <v>836</v>
      </c>
      <c r="D335" t="s">
        <v>563</v>
      </c>
      <c r="E335">
        <v>4</v>
      </c>
      <c r="F335">
        <v>23.117000000000001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2:18">
      <c r="B336" t="s">
        <v>5286</v>
      </c>
      <c r="C336" t="s">
        <v>836</v>
      </c>
      <c r="D336" t="s">
        <v>563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2:18">
      <c r="B337" t="s">
        <v>1110</v>
      </c>
      <c r="C337" t="s">
        <v>836</v>
      </c>
      <c r="D337" t="s">
        <v>563</v>
      </c>
      <c r="E337">
        <v>4</v>
      </c>
      <c r="F337">
        <v>28.1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25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2:18">
      <c r="B338" t="s">
        <v>1111</v>
      </c>
      <c r="C338" t="s">
        <v>836</v>
      </c>
      <c r="D338" t="s">
        <v>563</v>
      </c>
      <c r="E338">
        <v>10</v>
      </c>
      <c r="F338">
        <v>13</v>
      </c>
      <c r="G338">
        <v>55</v>
      </c>
      <c r="H338">
        <v>28</v>
      </c>
      <c r="I338">
        <v>0</v>
      </c>
      <c r="J338">
        <v>0</v>
      </c>
      <c r="K338">
        <v>0</v>
      </c>
      <c r="L338">
        <v>0</v>
      </c>
      <c r="M338">
        <v>47.1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2:18">
      <c r="B339" t="s">
        <v>5287</v>
      </c>
      <c r="C339" t="s">
        <v>836</v>
      </c>
      <c r="D339" t="s">
        <v>563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2:18">
      <c r="B340" t="s">
        <v>5288</v>
      </c>
      <c r="C340" t="s">
        <v>836</v>
      </c>
      <c r="D340" t="s">
        <v>563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2:18">
      <c r="B341" t="s">
        <v>5289</v>
      </c>
      <c r="C341" t="s">
        <v>836</v>
      </c>
      <c r="D341" t="s">
        <v>563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2:18">
      <c r="B342" t="s">
        <v>5290</v>
      </c>
      <c r="C342" t="s">
        <v>836</v>
      </c>
      <c r="D342" t="s">
        <v>563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2:18">
      <c r="B343" t="s">
        <v>5291</v>
      </c>
      <c r="C343" t="s">
        <v>836</v>
      </c>
      <c r="D343" t="s">
        <v>563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2:18">
      <c r="B344" t="s">
        <v>5292</v>
      </c>
      <c r="C344" t="s">
        <v>836</v>
      </c>
      <c r="D344" t="s">
        <v>563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2:18">
      <c r="B345" t="s">
        <v>5293</v>
      </c>
      <c r="C345" t="s">
        <v>836</v>
      </c>
      <c r="D345" t="s">
        <v>563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2:18">
      <c r="B346" t="s">
        <v>5294</v>
      </c>
      <c r="C346" t="s">
        <v>836</v>
      </c>
      <c r="D346" t="s">
        <v>563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2:18">
      <c r="B347" t="s">
        <v>5295</v>
      </c>
      <c r="C347" t="s">
        <v>836</v>
      </c>
      <c r="D347" t="s">
        <v>563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2:18">
      <c r="B348" t="s">
        <v>5296</v>
      </c>
      <c r="C348" t="s">
        <v>836</v>
      </c>
      <c r="D348" t="s">
        <v>563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2:18">
      <c r="B349" t="s">
        <v>5297</v>
      </c>
      <c r="C349" t="s">
        <v>836</v>
      </c>
      <c r="D349" t="s">
        <v>563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2:18">
      <c r="B350" t="s">
        <v>5298</v>
      </c>
      <c r="C350" t="s">
        <v>836</v>
      </c>
      <c r="D350" t="s">
        <v>563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2:18">
      <c r="B351" t="s">
        <v>5299</v>
      </c>
      <c r="C351" t="s">
        <v>836</v>
      </c>
      <c r="D351" t="s">
        <v>563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2:18">
      <c r="B352" t="s">
        <v>5300</v>
      </c>
      <c r="C352" t="s">
        <v>836</v>
      </c>
      <c r="D352" t="s">
        <v>563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2:18">
      <c r="B353" t="s">
        <v>5301</v>
      </c>
      <c r="C353" t="s">
        <v>836</v>
      </c>
      <c r="D353" t="s">
        <v>563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2:18">
      <c r="B354" t="s">
        <v>5302</v>
      </c>
      <c r="C354" t="s">
        <v>836</v>
      </c>
      <c r="D354" t="s">
        <v>563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2:18">
      <c r="B355" t="s">
        <v>5303</v>
      </c>
      <c r="C355" t="s">
        <v>836</v>
      </c>
      <c r="D355" t="s">
        <v>563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2:18">
      <c r="B356" t="s">
        <v>5304</v>
      </c>
      <c r="C356" t="s">
        <v>836</v>
      </c>
      <c r="D356" t="s">
        <v>563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2:18">
      <c r="B357" t="s">
        <v>5305</v>
      </c>
      <c r="C357" t="s">
        <v>836</v>
      </c>
      <c r="D357" t="s">
        <v>563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2:18">
      <c r="B358" t="s">
        <v>5306</v>
      </c>
      <c r="C358" t="s">
        <v>836</v>
      </c>
      <c r="D358" t="s">
        <v>563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2:18">
      <c r="B359" t="s">
        <v>1112</v>
      </c>
      <c r="C359" t="s">
        <v>836</v>
      </c>
      <c r="D359" t="s">
        <v>563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2:18">
      <c r="B360" t="s">
        <v>1113</v>
      </c>
      <c r="C360" t="s">
        <v>836</v>
      </c>
      <c r="D360" t="s">
        <v>563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2:18">
      <c r="B361" t="s">
        <v>1114</v>
      </c>
      <c r="C361" t="s">
        <v>836</v>
      </c>
      <c r="D361" t="s">
        <v>563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2:18">
      <c r="B362" t="s">
        <v>1115</v>
      </c>
      <c r="C362" t="s">
        <v>836</v>
      </c>
      <c r="D362" t="s">
        <v>563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2:18">
      <c r="B363" t="s">
        <v>1116</v>
      </c>
      <c r="C363" t="s">
        <v>836</v>
      </c>
      <c r="D363" t="s">
        <v>563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2:18">
      <c r="B364" t="s">
        <v>1117</v>
      </c>
      <c r="C364" t="s">
        <v>836</v>
      </c>
      <c r="D364" t="s">
        <v>563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2:18">
      <c r="B365" t="s">
        <v>1118</v>
      </c>
      <c r="C365" t="s">
        <v>836</v>
      </c>
      <c r="D365" t="s">
        <v>563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2:18">
      <c r="B366" t="s">
        <v>1119</v>
      </c>
      <c r="C366" t="s">
        <v>836</v>
      </c>
      <c r="D366" t="s">
        <v>563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2:18">
      <c r="B367" t="s">
        <v>1120</v>
      </c>
      <c r="C367" t="s">
        <v>836</v>
      </c>
      <c r="D367" t="s">
        <v>563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2:18">
      <c r="B368" t="s">
        <v>1121</v>
      </c>
      <c r="C368" t="s">
        <v>836</v>
      </c>
      <c r="D368" t="s">
        <v>563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2:18">
      <c r="B369" t="s">
        <v>1122</v>
      </c>
      <c r="C369" t="s">
        <v>836</v>
      </c>
      <c r="D369" t="s">
        <v>563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2:18">
      <c r="B370" t="s">
        <v>1123</v>
      </c>
      <c r="C370" t="s">
        <v>836</v>
      </c>
      <c r="D370" t="s">
        <v>563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2:18">
      <c r="B371" t="s">
        <v>1124</v>
      </c>
      <c r="C371" t="s">
        <v>836</v>
      </c>
      <c r="D371" t="s">
        <v>563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2:18">
      <c r="B372" t="s">
        <v>1125</v>
      </c>
      <c r="C372" t="s">
        <v>836</v>
      </c>
      <c r="D372" t="s">
        <v>563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2:18">
      <c r="B373" t="s">
        <v>1126</v>
      </c>
      <c r="C373" t="s">
        <v>836</v>
      </c>
      <c r="D373" t="s">
        <v>563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2:18">
      <c r="B374" t="s">
        <v>1127</v>
      </c>
      <c r="C374" t="s">
        <v>836</v>
      </c>
      <c r="D374" t="s">
        <v>563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2:18">
      <c r="B375" t="s">
        <v>1128</v>
      </c>
      <c r="C375" t="s">
        <v>836</v>
      </c>
      <c r="D375" t="s">
        <v>563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2:18">
      <c r="B376" t="s">
        <v>1129</v>
      </c>
      <c r="C376" t="s">
        <v>836</v>
      </c>
      <c r="D376" t="s">
        <v>563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2:18">
      <c r="B377" t="s">
        <v>1130</v>
      </c>
      <c r="C377" t="s">
        <v>836</v>
      </c>
      <c r="D377" t="s">
        <v>563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2:18">
      <c r="B378" t="s">
        <v>5307</v>
      </c>
      <c r="C378" t="s">
        <v>836</v>
      </c>
      <c r="D378" t="s">
        <v>563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2:18">
      <c r="B379" t="s">
        <v>5308</v>
      </c>
      <c r="C379" t="s">
        <v>836</v>
      </c>
      <c r="D379" t="s">
        <v>563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2:18">
      <c r="B380" t="s">
        <v>5309</v>
      </c>
      <c r="C380" t="s">
        <v>836</v>
      </c>
      <c r="D380" t="s">
        <v>563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2:18">
      <c r="B381" t="s">
        <v>5310</v>
      </c>
      <c r="C381" t="s">
        <v>836</v>
      </c>
      <c r="D381" t="s">
        <v>563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2:18">
      <c r="B382" t="s">
        <v>5311</v>
      </c>
      <c r="C382" t="s">
        <v>836</v>
      </c>
      <c r="D382" t="s">
        <v>563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2:18">
      <c r="B383" t="s">
        <v>5312</v>
      </c>
      <c r="C383" t="s">
        <v>836</v>
      </c>
      <c r="D383" t="s">
        <v>563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2:18">
      <c r="B384" t="s">
        <v>5313</v>
      </c>
      <c r="C384" t="s">
        <v>836</v>
      </c>
      <c r="D384" t="s">
        <v>563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2:18">
      <c r="B385" t="s">
        <v>5314</v>
      </c>
      <c r="C385" t="s">
        <v>836</v>
      </c>
      <c r="D385" t="s">
        <v>563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2:18">
      <c r="B386" t="s">
        <v>5315</v>
      </c>
      <c r="C386" t="s">
        <v>836</v>
      </c>
      <c r="D386" t="s">
        <v>563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2:18">
      <c r="B387" t="s">
        <v>5316</v>
      </c>
      <c r="C387" t="s">
        <v>836</v>
      </c>
      <c r="D387" t="s">
        <v>563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2:18">
      <c r="B388" t="s">
        <v>5317</v>
      </c>
      <c r="C388" t="s">
        <v>836</v>
      </c>
      <c r="D388" t="s">
        <v>563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2:18">
      <c r="B389" t="s">
        <v>5318</v>
      </c>
      <c r="C389" t="s">
        <v>836</v>
      </c>
      <c r="D389" t="s">
        <v>563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2:18">
      <c r="B390" t="s">
        <v>5319</v>
      </c>
      <c r="C390" t="s">
        <v>836</v>
      </c>
      <c r="D390" t="s">
        <v>563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8">
      <c r="B391" t="s">
        <v>5320</v>
      </c>
      <c r="C391" t="s">
        <v>836</v>
      </c>
      <c r="D391" t="s">
        <v>563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8">
      <c r="B392" t="s">
        <v>5321</v>
      </c>
      <c r="C392" t="s">
        <v>836</v>
      </c>
      <c r="D392" t="s">
        <v>563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8">
      <c r="B393" t="s">
        <v>5322</v>
      </c>
      <c r="C393" t="s">
        <v>836</v>
      </c>
      <c r="D393" t="s">
        <v>563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2:18">
      <c r="B394" t="s">
        <v>5323</v>
      </c>
      <c r="C394" t="s">
        <v>836</v>
      </c>
      <c r="D394" t="s">
        <v>563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8">
      <c r="B395" t="s">
        <v>5324</v>
      </c>
      <c r="C395" t="s">
        <v>836</v>
      </c>
      <c r="D395" t="s">
        <v>563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8">
      <c r="B396" t="s">
        <v>5325</v>
      </c>
      <c r="C396" t="s">
        <v>836</v>
      </c>
      <c r="D396" t="s">
        <v>563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8">
      <c r="B397" t="s">
        <v>5326</v>
      </c>
      <c r="C397" t="s">
        <v>836</v>
      </c>
      <c r="D397" t="s">
        <v>563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8">
      <c r="B398" t="s">
        <v>1131</v>
      </c>
      <c r="C398" t="s">
        <v>836</v>
      </c>
      <c r="D398" t="s">
        <v>563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8">
      <c r="B399" t="s">
        <v>1132</v>
      </c>
      <c r="C399" t="s">
        <v>836</v>
      </c>
      <c r="D399" t="s">
        <v>563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8">
      <c r="B400" t="s">
        <v>1133</v>
      </c>
      <c r="C400" t="s">
        <v>836</v>
      </c>
      <c r="D400" t="s">
        <v>563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2:18">
      <c r="B401" t="s">
        <v>1134</v>
      </c>
      <c r="C401" t="s">
        <v>836</v>
      </c>
      <c r="D401" t="s">
        <v>563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2:18">
      <c r="B402" t="s">
        <v>1135</v>
      </c>
      <c r="C402" t="s">
        <v>836</v>
      </c>
      <c r="D402" t="s">
        <v>563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2:18">
      <c r="B403" t="s">
        <v>1136</v>
      </c>
      <c r="C403" t="s">
        <v>836</v>
      </c>
      <c r="D403" t="s">
        <v>563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2:18">
      <c r="B404" t="s">
        <v>1137</v>
      </c>
      <c r="C404" t="s">
        <v>836</v>
      </c>
      <c r="D404" t="s">
        <v>563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2:18">
      <c r="B405" t="s">
        <v>1138</v>
      </c>
      <c r="C405" t="s">
        <v>836</v>
      </c>
      <c r="D405" t="s">
        <v>563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2:18">
      <c r="B406" t="s">
        <v>5327</v>
      </c>
      <c r="C406" t="s">
        <v>836</v>
      </c>
      <c r="D406" t="s">
        <v>563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2:18">
      <c r="B407" t="s">
        <v>1139</v>
      </c>
      <c r="C407" t="s">
        <v>836</v>
      </c>
      <c r="D407" t="s">
        <v>563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2:18">
      <c r="B408" t="s">
        <v>1140</v>
      </c>
      <c r="C408" t="s">
        <v>836</v>
      </c>
      <c r="D408" t="s">
        <v>563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2:18">
      <c r="B409" t="s">
        <v>1141</v>
      </c>
      <c r="C409" t="s">
        <v>836</v>
      </c>
      <c r="D409" t="s">
        <v>563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2:18">
      <c r="B410" t="s">
        <v>1142</v>
      </c>
      <c r="C410" t="s">
        <v>836</v>
      </c>
      <c r="D410" t="s">
        <v>563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2:18">
      <c r="B411" t="s">
        <v>1143</v>
      </c>
      <c r="C411" t="s">
        <v>836</v>
      </c>
      <c r="D411" t="s">
        <v>563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2:18">
      <c r="B412" t="s">
        <v>1144</v>
      </c>
      <c r="C412" t="s">
        <v>836</v>
      </c>
      <c r="D412" t="s">
        <v>563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2:18">
      <c r="B413" t="s">
        <v>1145</v>
      </c>
      <c r="C413" t="s">
        <v>836</v>
      </c>
      <c r="D413" t="s">
        <v>563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2:18">
      <c r="B414" t="s">
        <v>1146</v>
      </c>
      <c r="C414" t="s">
        <v>836</v>
      </c>
      <c r="D414" t="s">
        <v>563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2:18">
      <c r="B415" t="s">
        <v>1147</v>
      </c>
      <c r="C415" t="s">
        <v>836</v>
      </c>
      <c r="D415" t="s">
        <v>563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2:18">
      <c r="B416" t="s">
        <v>5328</v>
      </c>
      <c r="C416" t="s">
        <v>836</v>
      </c>
      <c r="D416" t="s">
        <v>563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2:18">
      <c r="B417" t="s">
        <v>5329</v>
      </c>
      <c r="C417" t="s">
        <v>836</v>
      </c>
      <c r="D417" t="s">
        <v>563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2:18">
      <c r="B418" t="s">
        <v>5330</v>
      </c>
      <c r="C418" t="s">
        <v>836</v>
      </c>
      <c r="D418" t="s">
        <v>563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2:18">
      <c r="B419" t="s">
        <v>5331</v>
      </c>
      <c r="C419" t="s">
        <v>836</v>
      </c>
      <c r="D419" t="s">
        <v>563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2:18">
      <c r="B420" t="s">
        <v>1148</v>
      </c>
      <c r="C420" t="s">
        <v>836</v>
      </c>
      <c r="D420" t="s">
        <v>563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2:18">
      <c r="B421" t="s">
        <v>1149</v>
      </c>
      <c r="C421" t="s">
        <v>836</v>
      </c>
      <c r="D421" t="s">
        <v>563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2:18">
      <c r="B422" t="s">
        <v>1150</v>
      </c>
      <c r="C422" t="s">
        <v>836</v>
      </c>
      <c r="D422" t="s">
        <v>563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2:18">
      <c r="B423" t="s">
        <v>5332</v>
      </c>
      <c r="C423" t="s">
        <v>836</v>
      </c>
      <c r="D423" t="s">
        <v>563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2:18">
      <c r="B424" t="s">
        <v>5333</v>
      </c>
      <c r="C424" t="s">
        <v>836</v>
      </c>
      <c r="D424" t="s">
        <v>563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2:18">
      <c r="B425" t="s">
        <v>5334</v>
      </c>
      <c r="C425" t="s">
        <v>836</v>
      </c>
      <c r="D425" t="s">
        <v>563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2:18">
      <c r="B426" t="s">
        <v>5335</v>
      </c>
      <c r="C426" t="s">
        <v>836</v>
      </c>
      <c r="D426" t="s">
        <v>563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2:18">
      <c r="B427" t="s">
        <v>1151</v>
      </c>
      <c r="C427" t="s">
        <v>836</v>
      </c>
      <c r="D427" t="s">
        <v>563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2:18">
      <c r="B428" t="s">
        <v>1152</v>
      </c>
      <c r="C428" t="s">
        <v>836</v>
      </c>
      <c r="D428" t="s">
        <v>563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2:18">
      <c r="B429" t="s">
        <v>1153</v>
      </c>
      <c r="C429" t="s">
        <v>836</v>
      </c>
      <c r="D429" t="s">
        <v>563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18">
      <c r="B430" t="s">
        <v>1154</v>
      </c>
      <c r="C430" t="s">
        <v>836</v>
      </c>
      <c r="D430" t="s">
        <v>563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2:18">
      <c r="B431" t="s">
        <v>1155</v>
      </c>
      <c r="C431" t="s">
        <v>836</v>
      </c>
      <c r="D431" t="s">
        <v>563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2:18">
      <c r="B432" t="s">
        <v>1156</v>
      </c>
      <c r="C432" t="s">
        <v>836</v>
      </c>
      <c r="D432" t="s">
        <v>563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2:18">
      <c r="B433" t="s">
        <v>1157</v>
      </c>
      <c r="C433" t="s">
        <v>836</v>
      </c>
      <c r="D433" t="s">
        <v>563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2:18">
      <c r="B434" t="s">
        <v>1158</v>
      </c>
      <c r="C434" t="s">
        <v>836</v>
      </c>
      <c r="D434" t="s">
        <v>563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2:18">
      <c r="B435" t="s">
        <v>1159</v>
      </c>
      <c r="C435" t="s">
        <v>836</v>
      </c>
      <c r="D435" t="s">
        <v>563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2:18">
      <c r="B436" t="s">
        <v>1160</v>
      </c>
      <c r="C436" t="s">
        <v>836</v>
      </c>
      <c r="D436" t="s">
        <v>563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2:18">
      <c r="B437" t="s">
        <v>1161</v>
      </c>
      <c r="C437" t="s">
        <v>836</v>
      </c>
      <c r="D437" t="s">
        <v>563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2:18">
      <c r="B438" t="s">
        <v>1162</v>
      </c>
      <c r="C438" t="s">
        <v>836</v>
      </c>
      <c r="D438" t="s">
        <v>563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2:18">
      <c r="B439" t="s">
        <v>1163</v>
      </c>
      <c r="C439" t="s">
        <v>836</v>
      </c>
      <c r="D439" t="s">
        <v>563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2:18">
      <c r="B440" t="s">
        <v>1164</v>
      </c>
      <c r="C440" t="s">
        <v>836</v>
      </c>
      <c r="D440" t="s">
        <v>563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2:18">
      <c r="B441" t="s">
        <v>1165</v>
      </c>
      <c r="C441" t="s">
        <v>836</v>
      </c>
      <c r="D441" t="s">
        <v>563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2:18">
      <c r="B442" t="s">
        <v>1166</v>
      </c>
      <c r="C442" t="s">
        <v>836</v>
      </c>
      <c r="D442" t="s">
        <v>563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2:18">
      <c r="B443" t="s">
        <v>1167</v>
      </c>
      <c r="C443" t="s">
        <v>836</v>
      </c>
      <c r="D443" t="s">
        <v>563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2:18">
      <c r="B444" t="s">
        <v>1168</v>
      </c>
      <c r="C444" t="s">
        <v>836</v>
      </c>
      <c r="D444" t="s">
        <v>563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2:18">
      <c r="B445" t="s">
        <v>1169</v>
      </c>
      <c r="C445" t="s">
        <v>836</v>
      </c>
      <c r="D445" t="s">
        <v>563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2:18">
      <c r="B446" t="s">
        <v>1170</v>
      </c>
      <c r="C446" t="s">
        <v>836</v>
      </c>
      <c r="D446" t="s">
        <v>563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2:18">
      <c r="B447" t="s">
        <v>1171</v>
      </c>
      <c r="C447" t="s">
        <v>836</v>
      </c>
      <c r="D447" t="s">
        <v>563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2:18">
      <c r="B448" t="s">
        <v>1172</v>
      </c>
      <c r="C448" t="s">
        <v>836</v>
      </c>
      <c r="D448" t="s">
        <v>563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2:18">
      <c r="B449" t="s">
        <v>1173</v>
      </c>
      <c r="C449" t="s">
        <v>836</v>
      </c>
      <c r="D449" t="s">
        <v>563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2:18">
      <c r="B450" t="s">
        <v>1174</v>
      </c>
      <c r="C450" t="s">
        <v>836</v>
      </c>
      <c r="D450" t="s">
        <v>563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2:18">
      <c r="B451" t="s">
        <v>1175</v>
      </c>
      <c r="C451" t="s">
        <v>836</v>
      </c>
      <c r="D451" t="s">
        <v>563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8">
      <c r="B452" t="s">
        <v>1176</v>
      </c>
      <c r="C452" t="s">
        <v>836</v>
      </c>
      <c r="D452" t="s">
        <v>563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8">
      <c r="B453" t="s">
        <v>1177</v>
      </c>
      <c r="C453" t="s">
        <v>836</v>
      </c>
      <c r="D453" t="s">
        <v>563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8">
      <c r="B454" t="s">
        <v>1178</v>
      </c>
      <c r="C454" t="s">
        <v>836</v>
      </c>
      <c r="D454" t="s">
        <v>563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2:18">
      <c r="B455" t="s">
        <v>1179</v>
      </c>
      <c r="C455" t="s">
        <v>836</v>
      </c>
      <c r="D455" t="s">
        <v>563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2:18">
      <c r="B456" t="s">
        <v>1180</v>
      </c>
      <c r="C456" t="s">
        <v>836</v>
      </c>
      <c r="D456" t="s">
        <v>563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8">
      <c r="B457" t="s">
        <v>1181</v>
      </c>
      <c r="C457" t="s">
        <v>836</v>
      </c>
      <c r="D457" t="s">
        <v>563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2:18">
      <c r="B458" t="s">
        <v>1182</v>
      </c>
      <c r="C458" t="s">
        <v>836</v>
      </c>
      <c r="D458" t="s">
        <v>563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2:18">
      <c r="B459" t="s">
        <v>1183</v>
      </c>
      <c r="C459" t="s">
        <v>836</v>
      </c>
      <c r="D459" t="s">
        <v>563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18">
      <c r="B460" t="s">
        <v>1184</v>
      </c>
      <c r="C460" t="s">
        <v>836</v>
      </c>
      <c r="D460" t="s">
        <v>563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2:18">
      <c r="B461" t="s">
        <v>1185</v>
      </c>
      <c r="C461" t="s">
        <v>836</v>
      </c>
      <c r="D461" t="s">
        <v>563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2:18">
      <c r="B462" t="s">
        <v>1186</v>
      </c>
      <c r="C462" t="s">
        <v>836</v>
      </c>
      <c r="D462" t="s">
        <v>563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8">
      <c r="B463" t="s">
        <v>1187</v>
      </c>
      <c r="C463" t="s">
        <v>836</v>
      </c>
      <c r="D463" t="s">
        <v>563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2:18">
      <c r="B464" t="s">
        <v>1188</v>
      </c>
      <c r="C464" t="s">
        <v>836</v>
      </c>
      <c r="D464" t="s">
        <v>563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2:18">
      <c r="B465" t="s">
        <v>5336</v>
      </c>
      <c r="C465" t="s">
        <v>836</v>
      </c>
      <c r="D465" t="s">
        <v>563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2:18">
      <c r="B466" t="s">
        <v>5337</v>
      </c>
      <c r="C466" t="s">
        <v>836</v>
      </c>
      <c r="D466" t="s">
        <v>563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2:18">
      <c r="B467" t="s">
        <v>5338</v>
      </c>
      <c r="C467" t="s">
        <v>836</v>
      </c>
      <c r="D467" t="s">
        <v>563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2:18">
      <c r="B468" t="s">
        <v>5339</v>
      </c>
      <c r="C468" t="s">
        <v>836</v>
      </c>
      <c r="D468" t="s">
        <v>563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2:18">
      <c r="B469" t="s">
        <v>5340</v>
      </c>
      <c r="C469" t="s">
        <v>836</v>
      </c>
      <c r="D469" t="s">
        <v>563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2:18">
      <c r="B470" t="s">
        <v>5341</v>
      </c>
      <c r="C470" t="s">
        <v>836</v>
      </c>
      <c r="D470" t="s">
        <v>563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2:18">
      <c r="B471" t="s">
        <v>5342</v>
      </c>
      <c r="C471" t="s">
        <v>836</v>
      </c>
      <c r="D471" t="s">
        <v>563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2:18">
      <c r="B472" t="s">
        <v>5343</v>
      </c>
      <c r="C472" t="s">
        <v>836</v>
      </c>
      <c r="D472" t="s">
        <v>563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2:18">
      <c r="B473" t="s">
        <v>1189</v>
      </c>
      <c r="C473" t="s">
        <v>836</v>
      </c>
      <c r="D473" t="s">
        <v>563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2:18">
      <c r="B474" t="s">
        <v>1190</v>
      </c>
      <c r="C474" t="s">
        <v>836</v>
      </c>
      <c r="D474" t="s">
        <v>563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2:18">
      <c r="B475" t="s">
        <v>1191</v>
      </c>
      <c r="C475" t="s">
        <v>836</v>
      </c>
      <c r="D475" t="s">
        <v>563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2:18">
      <c r="B476" t="s">
        <v>1192</v>
      </c>
      <c r="C476" t="s">
        <v>836</v>
      </c>
      <c r="D476" t="s">
        <v>563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2:18">
      <c r="B477" t="s">
        <v>1193</v>
      </c>
      <c r="C477" t="s">
        <v>836</v>
      </c>
      <c r="D477" t="s">
        <v>563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2:18">
      <c r="B478" t="s">
        <v>1194</v>
      </c>
      <c r="C478" t="s">
        <v>836</v>
      </c>
      <c r="D478" t="s">
        <v>563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2:18">
      <c r="B479" t="s">
        <v>1195</v>
      </c>
      <c r="C479" t="s">
        <v>836</v>
      </c>
      <c r="D479" t="s">
        <v>563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2:18">
      <c r="B480" t="s">
        <v>1196</v>
      </c>
      <c r="C480" t="s">
        <v>836</v>
      </c>
      <c r="D480" t="s">
        <v>563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2:18">
      <c r="B481" t="s">
        <v>1197</v>
      </c>
      <c r="C481" t="s">
        <v>836</v>
      </c>
      <c r="D481" t="s">
        <v>563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2:18">
      <c r="B482" t="s">
        <v>1198</v>
      </c>
      <c r="C482" t="s">
        <v>836</v>
      </c>
      <c r="D482" t="s">
        <v>563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2:18">
      <c r="B483" t="s">
        <v>1199</v>
      </c>
      <c r="C483" t="s">
        <v>836</v>
      </c>
      <c r="D483" t="s">
        <v>563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2:18">
      <c r="B484" t="s">
        <v>1200</v>
      </c>
      <c r="C484" t="s">
        <v>836</v>
      </c>
      <c r="D484" t="s">
        <v>563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2:18">
      <c r="B485" t="s">
        <v>1201</v>
      </c>
      <c r="C485" t="s">
        <v>836</v>
      </c>
      <c r="D485" t="s">
        <v>563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2:18">
      <c r="B486" t="s">
        <v>1202</v>
      </c>
      <c r="C486" t="s">
        <v>836</v>
      </c>
      <c r="D486" t="s">
        <v>563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2:18">
      <c r="B487" t="s">
        <v>1203</v>
      </c>
      <c r="C487" t="s">
        <v>836</v>
      </c>
      <c r="D487" t="s">
        <v>563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2:18">
      <c r="B488" t="s">
        <v>5344</v>
      </c>
      <c r="C488" t="s">
        <v>836</v>
      </c>
      <c r="D488" t="s">
        <v>563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2:18">
      <c r="B489" t="s">
        <v>5345</v>
      </c>
      <c r="C489" t="s">
        <v>836</v>
      </c>
      <c r="D489" t="s">
        <v>563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2:18">
      <c r="B490" t="s">
        <v>5346</v>
      </c>
      <c r="C490" t="s">
        <v>836</v>
      </c>
      <c r="D490" t="s">
        <v>563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2:18">
      <c r="B491" t="s">
        <v>5347</v>
      </c>
      <c r="C491" t="s">
        <v>836</v>
      </c>
      <c r="D491" t="s">
        <v>563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2:18">
      <c r="B492" t="s">
        <v>1204</v>
      </c>
      <c r="C492" t="s">
        <v>836</v>
      </c>
      <c r="D492" t="s">
        <v>563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2:18">
      <c r="B493" t="s">
        <v>1205</v>
      </c>
      <c r="C493" t="s">
        <v>836</v>
      </c>
      <c r="D493" t="s">
        <v>563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2:18">
      <c r="B494" t="s">
        <v>1206</v>
      </c>
      <c r="C494" t="s">
        <v>836</v>
      </c>
      <c r="D494" t="s">
        <v>563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2:18">
      <c r="B495" t="s">
        <v>1207</v>
      </c>
      <c r="C495" t="s">
        <v>836</v>
      </c>
      <c r="D495" t="s">
        <v>563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2:18">
      <c r="B496" t="s">
        <v>1208</v>
      </c>
      <c r="C496" t="s">
        <v>836</v>
      </c>
      <c r="D496" t="s">
        <v>563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2:18">
      <c r="B497" t="s">
        <v>1209</v>
      </c>
      <c r="C497" t="s">
        <v>836</v>
      </c>
      <c r="D497" t="s">
        <v>563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2:18">
      <c r="B498" t="s">
        <v>1210</v>
      </c>
      <c r="C498" t="s">
        <v>836</v>
      </c>
      <c r="D498" t="s">
        <v>563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2:18">
      <c r="B499" t="s">
        <v>1211</v>
      </c>
      <c r="C499" t="s">
        <v>836</v>
      </c>
      <c r="D499" t="s">
        <v>563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2:18">
      <c r="B500" t="s">
        <v>1212</v>
      </c>
      <c r="C500" t="s">
        <v>836</v>
      </c>
      <c r="D500" t="s">
        <v>563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2:18">
      <c r="B501" t="s">
        <v>1213</v>
      </c>
      <c r="C501" t="s">
        <v>836</v>
      </c>
      <c r="D501" t="s">
        <v>563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2:18">
      <c r="B502" t="s">
        <v>1214</v>
      </c>
      <c r="C502" t="s">
        <v>836</v>
      </c>
      <c r="D502" t="s">
        <v>563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2:18">
      <c r="B503" t="s">
        <v>1215</v>
      </c>
      <c r="C503" t="s">
        <v>836</v>
      </c>
      <c r="D503" t="s">
        <v>563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2:18">
      <c r="B504" t="s">
        <v>1216</v>
      </c>
      <c r="C504" t="s">
        <v>836</v>
      </c>
      <c r="D504" t="s">
        <v>563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2:18">
      <c r="B505" t="s">
        <v>1217</v>
      </c>
      <c r="C505" t="s">
        <v>836</v>
      </c>
      <c r="D505" t="s">
        <v>563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2:18">
      <c r="B506" t="s">
        <v>1218</v>
      </c>
      <c r="C506" t="s">
        <v>836</v>
      </c>
      <c r="D506" t="s">
        <v>563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2:18">
      <c r="B507" t="s">
        <v>1219</v>
      </c>
      <c r="C507" t="s">
        <v>836</v>
      </c>
      <c r="D507" t="s">
        <v>563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2:18">
      <c r="B508" t="s">
        <v>1220</v>
      </c>
      <c r="C508" t="s">
        <v>836</v>
      </c>
      <c r="D508" t="s">
        <v>563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2:18">
      <c r="B509" t="s">
        <v>1221</v>
      </c>
      <c r="C509" t="s">
        <v>836</v>
      </c>
      <c r="D509" t="s">
        <v>563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2:18">
      <c r="B510" t="s">
        <v>1222</v>
      </c>
      <c r="C510" t="s">
        <v>836</v>
      </c>
      <c r="D510" t="s">
        <v>563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2:18">
      <c r="B511" t="s">
        <v>1223</v>
      </c>
      <c r="C511" t="s">
        <v>836</v>
      </c>
      <c r="D511" t="s">
        <v>563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2:18">
      <c r="B512" t="s">
        <v>1224</v>
      </c>
      <c r="C512" t="s">
        <v>836</v>
      </c>
      <c r="D512" t="s">
        <v>563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2:18">
      <c r="B513" t="s">
        <v>1225</v>
      </c>
      <c r="C513" t="s">
        <v>836</v>
      </c>
      <c r="D513" t="s">
        <v>563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2:18">
      <c r="B514" t="s">
        <v>1226</v>
      </c>
      <c r="C514" t="s">
        <v>836</v>
      </c>
      <c r="D514" t="s">
        <v>563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2:18">
      <c r="B515" t="s">
        <v>1227</v>
      </c>
      <c r="C515" t="s">
        <v>836</v>
      </c>
      <c r="D515" t="s">
        <v>563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2:18">
      <c r="B516" t="s">
        <v>1228</v>
      </c>
      <c r="C516" t="s">
        <v>836</v>
      </c>
      <c r="D516" t="s">
        <v>563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2:18">
      <c r="B517" t="s">
        <v>1229</v>
      </c>
      <c r="C517" t="s">
        <v>836</v>
      </c>
      <c r="D517" t="s">
        <v>563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2:18">
      <c r="B518" t="s">
        <v>1230</v>
      </c>
      <c r="C518" t="s">
        <v>836</v>
      </c>
      <c r="D518" t="s">
        <v>563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2:18">
      <c r="B519" t="s">
        <v>1231</v>
      </c>
      <c r="C519" t="s">
        <v>836</v>
      </c>
      <c r="D519" t="s">
        <v>563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2:18">
      <c r="B520" t="s">
        <v>1232</v>
      </c>
      <c r="C520" t="s">
        <v>836</v>
      </c>
      <c r="D520" t="s">
        <v>563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2:18">
      <c r="B521" t="s">
        <v>1233</v>
      </c>
      <c r="C521" t="s">
        <v>836</v>
      </c>
      <c r="D521" t="s">
        <v>563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2:18">
      <c r="B522" t="s">
        <v>1234</v>
      </c>
      <c r="C522" t="s">
        <v>836</v>
      </c>
      <c r="D522" t="s">
        <v>563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2:18">
      <c r="B523" t="s">
        <v>1235</v>
      </c>
      <c r="C523" t="s">
        <v>836</v>
      </c>
      <c r="D523" t="s">
        <v>563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2:18">
      <c r="B524" t="s">
        <v>1236</v>
      </c>
      <c r="C524" t="s">
        <v>836</v>
      </c>
      <c r="D524" t="s">
        <v>563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2:18">
      <c r="B525" t="s">
        <v>1237</v>
      </c>
      <c r="C525" t="s">
        <v>836</v>
      </c>
      <c r="D525" t="s">
        <v>563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2:18">
      <c r="B526" t="s">
        <v>1238</v>
      </c>
      <c r="C526" t="s">
        <v>836</v>
      </c>
      <c r="D526" t="s">
        <v>563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2:18">
      <c r="B527" t="s">
        <v>1239</v>
      </c>
      <c r="C527" t="s">
        <v>836</v>
      </c>
      <c r="D527" t="s">
        <v>563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2:18">
      <c r="B528" t="s">
        <v>1240</v>
      </c>
      <c r="C528" t="s">
        <v>836</v>
      </c>
      <c r="D528" t="s">
        <v>563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2:18">
      <c r="B529" t="s">
        <v>1241</v>
      </c>
      <c r="C529" t="s">
        <v>836</v>
      </c>
      <c r="D529" t="s">
        <v>563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2:18">
      <c r="B530" t="s">
        <v>1242</v>
      </c>
      <c r="C530" t="s">
        <v>836</v>
      </c>
      <c r="D530" t="s">
        <v>563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2:18">
      <c r="B531" t="s">
        <v>5348</v>
      </c>
      <c r="C531" t="s">
        <v>836</v>
      </c>
      <c r="D531" t="s">
        <v>563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2:18">
      <c r="B532" t="s">
        <v>5349</v>
      </c>
      <c r="C532" t="s">
        <v>836</v>
      </c>
      <c r="D532" t="s">
        <v>563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2:18">
      <c r="B533" t="s">
        <v>5350</v>
      </c>
      <c r="C533" t="s">
        <v>836</v>
      </c>
      <c r="D533" t="s">
        <v>563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2:18">
      <c r="B534" t="s">
        <v>5351</v>
      </c>
      <c r="C534" t="s">
        <v>836</v>
      </c>
      <c r="D534" t="s">
        <v>563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2:18">
      <c r="B535" t="s">
        <v>5352</v>
      </c>
      <c r="C535" t="s">
        <v>836</v>
      </c>
      <c r="D535" t="s">
        <v>563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2:18">
      <c r="B536" t="s">
        <v>5353</v>
      </c>
      <c r="C536" t="s">
        <v>836</v>
      </c>
      <c r="D536" t="s">
        <v>563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2:18">
      <c r="B537" t="s">
        <v>5354</v>
      </c>
      <c r="C537" t="s">
        <v>836</v>
      </c>
      <c r="D537" t="s">
        <v>563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2:18">
      <c r="B538" t="s">
        <v>5355</v>
      </c>
      <c r="C538" t="s">
        <v>836</v>
      </c>
      <c r="D538" t="s">
        <v>563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2:18">
      <c r="B539" t="s">
        <v>5356</v>
      </c>
      <c r="C539" t="s">
        <v>836</v>
      </c>
      <c r="D539" t="s">
        <v>563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2:18">
      <c r="B540" t="s">
        <v>5357</v>
      </c>
      <c r="C540" t="s">
        <v>836</v>
      </c>
      <c r="D540" t="s">
        <v>563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2:18">
      <c r="B541" t="s">
        <v>5358</v>
      </c>
      <c r="C541" t="s">
        <v>836</v>
      </c>
      <c r="D541" t="s">
        <v>563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2:18">
      <c r="B542" t="s">
        <v>5359</v>
      </c>
      <c r="C542" t="s">
        <v>836</v>
      </c>
      <c r="D542" t="s">
        <v>563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2:18">
      <c r="B543" t="s">
        <v>5360</v>
      </c>
      <c r="C543" t="s">
        <v>836</v>
      </c>
      <c r="D543" t="s">
        <v>563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2:18">
      <c r="B544" t="s">
        <v>5361</v>
      </c>
      <c r="C544" t="s">
        <v>836</v>
      </c>
      <c r="D544" t="s">
        <v>563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2:18">
      <c r="B545" t="s">
        <v>5362</v>
      </c>
      <c r="C545" t="s">
        <v>836</v>
      </c>
      <c r="D545" t="s">
        <v>563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2:18">
      <c r="B546" t="s">
        <v>1243</v>
      </c>
      <c r="C546" t="s">
        <v>836</v>
      </c>
      <c r="D546" t="s">
        <v>563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2:18">
      <c r="B547" t="s">
        <v>5363</v>
      </c>
      <c r="C547" t="s">
        <v>836</v>
      </c>
      <c r="D547" t="s">
        <v>563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2:18">
      <c r="B548" t="s">
        <v>5364</v>
      </c>
      <c r="C548" t="s">
        <v>836</v>
      </c>
      <c r="D548" t="s">
        <v>563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2:18">
      <c r="B549" t="s">
        <v>5365</v>
      </c>
      <c r="C549" t="s">
        <v>836</v>
      </c>
      <c r="D549" t="s">
        <v>563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2:18">
      <c r="B550" t="s">
        <v>1244</v>
      </c>
      <c r="C550" t="s">
        <v>836</v>
      </c>
      <c r="D550" t="s">
        <v>563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2:18">
      <c r="B551" t="s">
        <v>5366</v>
      </c>
      <c r="C551" t="s">
        <v>836</v>
      </c>
      <c r="D551" t="s">
        <v>563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2:18">
      <c r="B552" t="s">
        <v>5367</v>
      </c>
      <c r="C552" t="s">
        <v>836</v>
      </c>
      <c r="D552" t="s">
        <v>563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2:18">
      <c r="B553" t="s">
        <v>1245</v>
      </c>
      <c r="C553" t="s">
        <v>836</v>
      </c>
      <c r="D553" t="s">
        <v>563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2:18">
      <c r="B554" t="s">
        <v>1246</v>
      </c>
      <c r="C554" t="s">
        <v>836</v>
      </c>
      <c r="D554" t="s">
        <v>563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2:18">
      <c r="B555" t="s">
        <v>5368</v>
      </c>
      <c r="C555" t="s">
        <v>836</v>
      </c>
      <c r="D555" t="s">
        <v>563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2:18">
      <c r="B556" t="s">
        <v>5369</v>
      </c>
      <c r="C556" t="s">
        <v>836</v>
      </c>
      <c r="D556" t="s">
        <v>563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2:18">
      <c r="B557" t="s">
        <v>1247</v>
      </c>
      <c r="C557" t="s">
        <v>836</v>
      </c>
      <c r="D557" t="s">
        <v>563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2:18">
      <c r="B558" t="s">
        <v>1248</v>
      </c>
      <c r="C558" t="s">
        <v>836</v>
      </c>
      <c r="D558" t="s">
        <v>563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2:18">
      <c r="B559" t="s">
        <v>1249</v>
      </c>
      <c r="C559" t="s">
        <v>836</v>
      </c>
      <c r="D559" t="s">
        <v>563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2:18">
      <c r="B560" t="s">
        <v>1250</v>
      </c>
      <c r="C560" t="s">
        <v>836</v>
      </c>
      <c r="D560" t="s">
        <v>563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2:18">
      <c r="B561" t="s">
        <v>1251</v>
      </c>
      <c r="C561" t="s">
        <v>836</v>
      </c>
      <c r="D561" t="s">
        <v>563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2:18">
      <c r="B562" t="s">
        <v>1252</v>
      </c>
      <c r="C562" t="s">
        <v>836</v>
      </c>
      <c r="D562" t="s">
        <v>563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2:18">
      <c r="B563" t="s">
        <v>1253</v>
      </c>
      <c r="C563" t="s">
        <v>836</v>
      </c>
      <c r="D563" t="s">
        <v>563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2:18">
      <c r="B564" t="s">
        <v>1254</v>
      </c>
      <c r="C564" t="s">
        <v>836</v>
      </c>
      <c r="D564" t="s">
        <v>563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2:18">
      <c r="B565" t="s">
        <v>1255</v>
      </c>
      <c r="C565" t="s">
        <v>836</v>
      </c>
      <c r="D565" t="s">
        <v>563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2:18">
      <c r="B566" t="s">
        <v>1256</v>
      </c>
      <c r="C566" t="s">
        <v>836</v>
      </c>
      <c r="D566" t="s">
        <v>563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2:18">
      <c r="B567" t="s">
        <v>1257</v>
      </c>
      <c r="C567" t="s">
        <v>836</v>
      </c>
      <c r="D567" t="s">
        <v>563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2:18">
      <c r="B568" t="s">
        <v>1258</v>
      </c>
      <c r="C568" t="s">
        <v>836</v>
      </c>
      <c r="D568" t="s">
        <v>563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2:18">
      <c r="B569" t="s">
        <v>1259</v>
      </c>
      <c r="C569" t="s">
        <v>836</v>
      </c>
      <c r="D569" t="s">
        <v>563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2:18">
      <c r="B570" t="s">
        <v>1260</v>
      </c>
      <c r="C570" t="s">
        <v>836</v>
      </c>
      <c r="D570" t="s">
        <v>563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2:18">
      <c r="B571" t="s">
        <v>1261</v>
      </c>
      <c r="C571" t="s">
        <v>836</v>
      </c>
      <c r="D571" t="s">
        <v>563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2:18">
      <c r="B572" t="s">
        <v>1262</v>
      </c>
      <c r="C572" t="s">
        <v>836</v>
      </c>
      <c r="D572" t="s">
        <v>563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2:18">
      <c r="B573" t="s">
        <v>1263</v>
      </c>
      <c r="C573" t="s">
        <v>836</v>
      </c>
      <c r="D573" t="s">
        <v>563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2:18">
      <c r="B574" t="s">
        <v>1264</v>
      </c>
      <c r="C574" t="s">
        <v>836</v>
      </c>
      <c r="D574" t="s">
        <v>563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2:18">
      <c r="B575" t="s">
        <v>1265</v>
      </c>
      <c r="C575" t="s">
        <v>836</v>
      </c>
      <c r="D575" t="s">
        <v>563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2:18">
      <c r="B576" t="s">
        <v>1266</v>
      </c>
      <c r="C576" t="s">
        <v>836</v>
      </c>
      <c r="D576" t="s">
        <v>563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2:18">
      <c r="B577" t="s">
        <v>1267</v>
      </c>
      <c r="C577" t="s">
        <v>836</v>
      </c>
      <c r="D577" t="s">
        <v>563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2:18">
      <c r="B578" t="s">
        <v>1268</v>
      </c>
      <c r="C578" t="s">
        <v>836</v>
      </c>
      <c r="D578" t="s">
        <v>563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2:18">
      <c r="B579" t="s">
        <v>1269</v>
      </c>
      <c r="C579" t="s">
        <v>836</v>
      </c>
      <c r="D579" t="s">
        <v>563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2:18">
      <c r="B580" t="s">
        <v>1270</v>
      </c>
      <c r="C580" t="s">
        <v>836</v>
      </c>
      <c r="D580" t="s">
        <v>563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2:18">
      <c r="B581" t="s">
        <v>1271</v>
      </c>
      <c r="C581" t="s">
        <v>836</v>
      </c>
      <c r="D581" t="s">
        <v>563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2:18">
      <c r="B582" t="s">
        <v>1272</v>
      </c>
      <c r="C582" t="s">
        <v>836</v>
      </c>
      <c r="D582" t="s">
        <v>563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2:18">
      <c r="B583" t="s">
        <v>1273</v>
      </c>
      <c r="C583" t="s">
        <v>836</v>
      </c>
      <c r="D583" t="s">
        <v>563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2:18">
      <c r="B584" t="s">
        <v>1274</v>
      </c>
      <c r="C584" t="s">
        <v>836</v>
      </c>
      <c r="D584" t="s">
        <v>563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2:18">
      <c r="B585" t="s">
        <v>1275</v>
      </c>
      <c r="C585" t="s">
        <v>836</v>
      </c>
      <c r="D585" t="s">
        <v>563</v>
      </c>
      <c r="E585">
        <v>2</v>
      </c>
      <c r="F585">
        <v>23.3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28.122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2:18">
      <c r="B586" t="s">
        <v>5370</v>
      </c>
      <c r="C586" t="s">
        <v>836</v>
      </c>
      <c r="D586" t="s">
        <v>563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2:18">
      <c r="B587" t="s">
        <v>1276</v>
      </c>
      <c r="C587" t="s">
        <v>836</v>
      </c>
      <c r="D587" t="s">
        <v>563</v>
      </c>
      <c r="E587">
        <v>3</v>
      </c>
      <c r="F587">
        <v>20.824999999999999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2:18">
      <c r="B588" t="s">
        <v>1277</v>
      </c>
      <c r="C588" t="s">
        <v>836</v>
      </c>
      <c r="D588" t="s">
        <v>563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2:18">
      <c r="B589" t="s">
        <v>1278</v>
      </c>
      <c r="C589" t="s">
        <v>836</v>
      </c>
      <c r="D589" t="s">
        <v>563</v>
      </c>
      <c r="E589">
        <v>1</v>
      </c>
      <c r="F589">
        <v>52.4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2:18">
      <c r="B590" t="s">
        <v>5371</v>
      </c>
      <c r="C590" t="s">
        <v>836</v>
      </c>
      <c r="D590" t="s">
        <v>563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2:18">
      <c r="B591" t="s">
        <v>1279</v>
      </c>
      <c r="C591" t="s">
        <v>836</v>
      </c>
      <c r="D591" t="s">
        <v>563</v>
      </c>
      <c r="E591">
        <v>1</v>
      </c>
      <c r="F591">
        <v>46.3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2:18">
      <c r="B592" t="s">
        <v>5372</v>
      </c>
      <c r="C592" t="s">
        <v>836</v>
      </c>
      <c r="D592" t="s">
        <v>563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2:18">
      <c r="B593" t="s">
        <v>1280</v>
      </c>
      <c r="C593" t="s">
        <v>836</v>
      </c>
      <c r="D593" t="s">
        <v>563</v>
      </c>
      <c r="E593">
        <v>1</v>
      </c>
      <c r="F593">
        <v>67.5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43.332999999999998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2:18">
      <c r="B594" t="s">
        <v>5373</v>
      </c>
      <c r="C594" t="s">
        <v>836</v>
      </c>
      <c r="D594" t="s">
        <v>563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2:18">
      <c r="B595" t="s">
        <v>1281</v>
      </c>
      <c r="C595" t="s">
        <v>836</v>
      </c>
      <c r="D595" t="s">
        <v>563</v>
      </c>
      <c r="E595">
        <v>1</v>
      </c>
      <c r="F595">
        <v>87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2:18">
      <c r="B596" t="s">
        <v>1282</v>
      </c>
      <c r="C596" t="s">
        <v>836</v>
      </c>
      <c r="D596" t="s">
        <v>563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2:18">
      <c r="B597" t="s">
        <v>1283</v>
      </c>
      <c r="C597" t="s">
        <v>836</v>
      </c>
      <c r="D597" t="s">
        <v>563</v>
      </c>
      <c r="E597">
        <v>1</v>
      </c>
      <c r="F597">
        <v>161.6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2:18">
      <c r="B598" t="s">
        <v>5374</v>
      </c>
      <c r="C598" t="s">
        <v>836</v>
      </c>
      <c r="D598" t="s">
        <v>563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2:18">
      <c r="B599" t="s">
        <v>1284</v>
      </c>
      <c r="C599" t="s">
        <v>836</v>
      </c>
      <c r="D599" t="s">
        <v>563</v>
      </c>
      <c r="E599">
        <v>1</v>
      </c>
      <c r="F599">
        <v>166.2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2:18">
      <c r="B600" t="s">
        <v>1285</v>
      </c>
      <c r="C600" t="s">
        <v>836</v>
      </c>
      <c r="D600" t="s">
        <v>563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2:18">
      <c r="B601" t="s">
        <v>1286</v>
      </c>
      <c r="C601" t="s">
        <v>836</v>
      </c>
      <c r="D601" t="s">
        <v>563</v>
      </c>
      <c r="E601">
        <v>1</v>
      </c>
      <c r="F601">
        <v>247.4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2:18">
      <c r="B602" t="s">
        <v>5375</v>
      </c>
      <c r="C602" t="s">
        <v>836</v>
      </c>
      <c r="D602" t="s">
        <v>563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2:18">
      <c r="B603" t="s">
        <v>1287</v>
      </c>
      <c r="C603" t="s">
        <v>836</v>
      </c>
      <c r="D603" t="s">
        <v>563</v>
      </c>
      <c r="E603">
        <v>1</v>
      </c>
      <c r="F603">
        <v>258.60000000000002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2:18">
      <c r="B604" t="s">
        <v>1288</v>
      </c>
      <c r="C604" t="s">
        <v>836</v>
      </c>
      <c r="D604" t="s">
        <v>563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2:18">
      <c r="B605" t="s">
        <v>1289</v>
      </c>
      <c r="C605" t="s">
        <v>836</v>
      </c>
      <c r="D605" t="s">
        <v>563</v>
      </c>
      <c r="E605">
        <v>1</v>
      </c>
      <c r="F605">
        <v>361.7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2:18">
      <c r="B606" t="s">
        <v>5376</v>
      </c>
      <c r="C606" t="s">
        <v>836</v>
      </c>
      <c r="D606" t="s">
        <v>563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2:18">
      <c r="B607" t="s">
        <v>1290</v>
      </c>
      <c r="C607" t="s">
        <v>836</v>
      </c>
      <c r="D607" t="s">
        <v>563</v>
      </c>
      <c r="E607">
        <v>1</v>
      </c>
      <c r="F607">
        <v>429.1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2:18">
      <c r="B608" t="s">
        <v>1291</v>
      </c>
      <c r="C608" t="s">
        <v>836</v>
      </c>
      <c r="D608" t="s">
        <v>563</v>
      </c>
      <c r="E608">
        <v>1</v>
      </c>
      <c r="F608">
        <v>254.9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2:18">
      <c r="B609" t="s">
        <v>1292</v>
      </c>
      <c r="C609" t="s">
        <v>836</v>
      </c>
      <c r="D609" t="s">
        <v>563</v>
      </c>
      <c r="E609">
        <v>1</v>
      </c>
      <c r="F609">
        <v>492.7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2:18">
      <c r="B610" t="s">
        <v>5377</v>
      </c>
      <c r="C610" t="s">
        <v>836</v>
      </c>
      <c r="D610" t="s">
        <v>563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2:18">
      <c r="B611" t="s">
        <v>1293</v>
      </c>
      <c r="C611" t="s">
        <v>836</v>
      </c>
      <c r="D611" t="s">
        <v>563</v>
      </c>
      <c r="E611">
        <v>1</v>
      </c>
      <c r="F611">
        <v>488.1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2:18">
      <c r="B612" t="s">
        <v>1294</v>
      </c>
      <c r="C612" t="s">
        <v>836</v>
      </c>
      <c r="D612" t="s">
        <v>563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2:18">
      <c r="B613" t="s">
        <v>1295</v>
      </c>
      <c r="C613" t="s">
        <v>836</v>
      </c>
      <c r="D613" t="s">
        <v>563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2:18">
      <c r="B614" t="s">
        <v>1296</v>
      </c>
      <c r="C614" t="s">
        <v>836</v>
      </c>
      <c r="D614" t="s">
        <v>563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2:18">
      <c r="B615" t="s">
        <v>1297</v>
      </c>
      <c r="C615" t="s">
        <v>836</v>
      </c>
      <c r="D615" t="s">
        <v>563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2:18">
      <c r="B616" t="s">
        <v>1298</v>
      </c>
      <c r="C616" t="s">
        <v>836</v>
      </c>
      <c r="D616" t="s">
        <v>563</v>
      </c>
      <c r="E616">
        <v>0</v>
      </c>
      <c r="F616">
        <v>0</v>
      </c>
      <c r="G616">
        <v>500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330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2:18">
      <c r="B617" t="s">
        <v>1299</v>
      </c>
      <c r="C617" t="s">
        <v>836</v>
      </c>
      <c r="D617" t="s">
        <v>563</v>
      </c>
      <c r="E617">
        <v>0</v>
      </c>
      <c r="F617">
        <v>0</v>
      </c>
      <c r="G617">
        <v>372.5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360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2:18">
      <c r="B618" t="s">
        <v>1300</v>
      </c>
      <c r="C618" t="s">
        <v>836</v>
      </c>
      <c r="D618" t="s">
        <v>563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2:18">
      <c r="B619" t="s">
        <v>1301</v>
      </c>
      <c r="C619" t="s">
        <v>836</v>
      </c>
      <c r="D619" t="s">
        <v>563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2:18">
      <c r="B620" t="s">
        <v>1302</v>
      </c>
      <c r="C620" t="s">
        <v>836</v>
      </c>
      <c r="D620" t="s">
        <v>563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2:18">
      <c r="B621" t="s">
        <v>1303</v>
      </c>
      <c r="C621" t="s">
        <v>836</v>
      </c>
      <c r="D621" t="s">
        <v>563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2:18">
      <c r="B622" t="s">
        <v>1304</v>
      </c>
      <c r="C622" t="s">
        <v>836</v>
      </c>
      <c r="D622" t="s">
        <v>563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2:18">
      <c r="B623" t="s">
        <v>1305</v>
      </c>
      <c r="C623" t="s">
        <v>836</v>
      </c>
      <c r="D623" t="s">
        <v>563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2:18">
      <c r="B624" t="s">
        <v>1306</v>
      </c>
      <c r="C624" t="s">
        <v>836</v>
      </c>
      <c r="D624" t="s">
        <v>563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19">
      <c r="B625" t="s">
        <v>1307</v>
      </c>
      <c r="C625" t="s">
        <v>836</v>
      </c>
      <c r="D625" t="s">
        <v>563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2:19">
      <c r="B626" t="s">
        <v>1308</v>
      </c>
      <c r="C626" t="s">
        <v>836</v>
      </c>
      <c r="D626" t="s">
        <v>563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2:19">
      <c r="B627" t="s">
        <v>1309</v>
      </c>
      <c r="C627" t="s">
        <v>836</v>
      </c>
      <c r="D627" t="s">
        <v>563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2:19">
      <c r="B628" t="s">
        <v>1310</v>
      </c>
      <c r="C628" t="s">
        <v>836</v>
      </c>
      <c r="D628" t="s">
        <v>563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2:19">
      <c r="B629" t="s">
        <v>1311</v>
      </c>
      <c r="C629" t="s">
        <v>836</v>
      </c>
      <c r="D629" t="s">
        <v>563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2:19">
      <c r="B630" t="s">
        <v>1312</v>
      </c>
      <c r="C630" t="s">
        <v>836</v>
      </c>
      <c r="D630" t="s">
        <v>563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2:19">
      <c r="B631" t="s">
        <v>1313</v>
      </c>
      <c r="C631" t="s">
        <v>836</v>
      </c>
      <c r="D631" t="s">
        <v>563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215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2:19">
      <c r="B632" t="s">
        <v>1314</v>
      </c>
      <c r="C632" t="s">
        <v>836</v>
      </c>
      <c r="D632" t="s">
        <v>563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2:19">
      <c r="B633" t="s">
        <v>1315</v>
      </c>
      <c r="C633" t="s">
        <v>836</v>
      </c>
      <c r="D633" t="s">
        <v>563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2:19">
      <c r="B634" t="s">
        <v>1316</v>
      </c>
      <c r="C634" t="s">
        <v>836</v>
      </c>
      <c r="D634" t="s">
        <v>563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2:19">
      <c r="B635" t="s">
        <v>1317</v>
      </c>
      <c r="C635" t="s">
        <v>836</v>
      </c>
      <c r="D635" t="s">
        <v>563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2:19">
      <c r="B636" t="s">
        <v>1318</v>
      </c>
      <c r="C636" t="s">
        <v>836</v>
      </c>
      <c r="D636" t="s">
        <v>563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2:19">
      <c r="B637" t="s">
        <v>1319</v>
      </c>
      <c r="C637" t="s">
        <v>836</v>
      </c>
      <c r="D637" t="s">
        <v>563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2:19">
      <c r="B638" t="s">
        <v>1320</v>
      </c>
      <c r="C638" t="s">
        <v>836</v>
      </c>
      <c r="D638" t="s">
        <v>563</v>
      </c>
      <c r="E638">
        <v>0</v>
      </c>
      <c r="F638">
        <v>0</v>
      </c>
      <c r="G638">
        <v>259.99900000000002</v>
      </c>
      <c r="H638">
        <v>1</v>
      </c>
      <c r="I638">
        <v>245</v>
      </c>
      <c r="J638">
        <v>245</v>
      </c>
      <c r="K638">
        <v>245</v>
      </c>
      <c r="L638">
        <v>245</v>
      </c>
      <c r="M638">
        <v>250</v>
      </c>
      <c r="N638">
        <v>-0.02</v>
      </c>
      <c r="O638">
        <v>1</v>
      </c>
      <c r="P638">
        <v>24500</v>
      </c>
      <c r="Q638">
        <v>245</v>
      </c>
      <c r="R638">
        <v>0</v>
      </c>
      <c r="S638" t="s">
        <v>6229</v>
      </c>
    </row>
    <row r="639" spans="2:19">
      <c r="B639" t="s">
        <v>1321</v>
      </c>
      <c r="C639" t="s">
        <v>836</v>
      </c>
      <c r="D639" t="s">
        <v>563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2:19">
      <c r="B640" t="s">
        <v>1322</v>
      </c>
      <c r="C640" t="s">
        <v>836</v>
      </c>
      <c r="D640" t="s">
        <v>563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2:18">
      <c r="B641" t="s">
        <v>1323</v>
      </c>
      <c r="C641" t="s">
        <v>836</v>
      </c>
      <c r="D641" t="s">
        <v>563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2:18">
      <c r="B642" t="s">
        <v>1324</v>
      </c>
      <c r="C642" t="s">
        <v>836</v>
      </c>
      <c r="D642" t="s">
        <v>563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2:18">
      <c r="B643" t="s">
        <v>1325</v>
      </c>
      <c r="C643" t="s">
        <v>836</v>
      </c>
      <c r="D643" t="s">
        <v>563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2:18">
      <c r="B644" t="s">
        <v>1326</v>
      </c>
      <c r="C644" t="s">
        <v>836</v>
      </c>
      <c r="D644" t="s">
        <v>563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2:18">
      <c r="B645" t="s">
        <v>1327</v>
      </c>
      <c r="C645" t="s">
        <v>836</v>
      </c>
      <c r="D645" t="s">
        <v>563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2:18">
      <c r="B646" t="s">
        <v>1328</v>
      </c>
      <c r="C646" t="s">
        <v>836</v>
      </c>
      <c r="D646" t="s">
        <v>563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2:18">
      <c r="B647" t="s">
        <v>5378</v>
      </c>
      <c r="C647" t="s">
        <v>836</v>
      </c>
      <c r="D647" t="s">
        <v>563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2:18">
      <c r="B648" t="s">
        <v>1329</v>
      </c>
      <c r="C648" t="s">
        <v>836</v>
      </c>
      <c r="D648" t="s">
        <v>563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2:18">
      <c r="B649" t="s">
        <v>1330</v>
      </c>
      <c r="C649" t="s">
        <v>836</v>
      </c>
      <c r="D649" t="s">
        <v>563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2:18">
      <c r="B650" t="s">
        <v>1331</v>
      </c>
      <c r="C650" t="s">
        <v>836</v>
      </c>
      <c r="D650" t="s">
        <v>563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2:18">
      <c r="B651" t="s">
        <v>5379</v>
      </c>
      <c r="C651" t="s">
        <v>836</v>
      </c>
      <c r="D651" t="s">
        <v>563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2:18">
      <c r="B652" t="s">
        <v>1332</v>
      </c>
      <c r="C652" t="s">
        <v>836</v>
      </c>
      <c r="D652" t="s">
        <v>563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2:18">
      <c r="B653" t="s">
        <v>1333</v>
      </c>
      <c r="C653" t="s">
        <v>836</v>
      </c>
      <c r="D653" t="s">
        <v>563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2:18">
      <c r="B654" t="s">
        <v>1334</v>
      </c>
      <c r="C654" t="s">
        <v>836</v>
      </c>
      <c r="D654" t="s">
        <v>563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2:18">
      <c r="B655" t="s">
        <v>1335</v>
      </c>
      <c r="C655" t="s">
        <v>836</v>
      </c>
      <c r="D655" t="s">
        <v>563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2:18">
      <c r="B656" t="s">
        <v>5380</v>
      </c>
      <c r="C656" t="s">
        <v>836</v>
      </c>
      <c r="D656" t="s">
        <v>563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2:18">
      <c r="B657" t="s">
        <v>1336</v>
      </c>
      <c r="C657" t="s">
        <v>836</v>
      </c>
      <c r="D657" t="s">
        <v>563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2:18">
      <c r="B658" t="s">
        <v>1337</v>
      </c>
      <c r="C658" t="s">
        <v>836</v>
      </c>
      <c r="D658" t="s">
        <v>563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2:18">
      <c r="B659" t="s">
        <v>1338</v>
      </c>
      <c r="C659" t="s">
        <v>836</v>
      </c>
      <c r="D659" t="s">
        <v>563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2:18">
      <c r="B660" t="s">
        <v>1339</v>
      </c>
      <c r="C660" t="s">
        <v>836</v>
      </c>
      <c r="D660" t="s">
        <v>563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2:18">
      <c r="B661" t="s">
        <v>5381</v>
      </c>
      <c r="C661" t="s">
        <v>836</v>
      </c>
      <c r="D661" t="s">
        <v>563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2:18">
      <c r="B662" t="s">
        <v>1340</v>
      </c>
      <c r="C662" t="s">
        <v>836</v>
      </c>
      <c r="D662" t="s">
        <v>563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2:18">
      <c r="B663" t="s">
        <v>1341</v>
      </c>
      <c r="C663" t="s">
        <v>836</v>
      </c>
      <c r="D663" t="s">
        <v>563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2:18">
      <c r="B664" t="s">
        <v>1342</v>
      </c>
      <c r="C664" t="s">
        <v>836</v>
      </c>
      <c r="D664" t="s">
        <v>563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110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2:18">
      <c r="B665" t="s">
        <v>1343</v>
      </c>
      <c r="C665" t="s">
        <v>836</v>
      </c>
      <c r="D665" t="s">
        <v>563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2:18">
      <c r="B666" t="s">
        <v>1344</v>
      </c>
      <c r="C666" t="s">
        <v>836</v>
      </c>
      <c r="D666" t="s">
        <v>563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2:18">
      <c r="B667" t="s">
        <v>1345</v>
      </c>
      <c r="C667" t="s">
        <v>836</v>
      </c>
      <c r="D667" t="s">
        <v>563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2:18">
      <c r="B668" t="s">
        <v>1346</v>
      </c>
      <c r="C668" t="s">
        <v>836</v>
      </c>
      <c r="D668" t="s">
        <v>563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2:18">
      <c r="B669" t="s">
        <v>1347</v>
      </c>
      <c r="C669" t="s">
        <v>836</v>
      </c>
      <c r="D669" t="s">
        <v>563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2:18">
      <c r="B670" t="s">
        <v>1348</v>
      </c>
      <c r="C670" t="s">
        <v>836</v>
      </c>
      <c r="D670" t="s">
        <v>563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2:18">
      <c r="B671" t="s">
        <v>5382</v>
      </c>
      <c r="C671" t="s">
        <v>836</v>
      </c>
      <c r="D671" t="s">
        <v>563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2:18">
      <c r="B672" t="s">
        <v>1349</v>
      </c>
      <c r="C672" t="s">
        <v>836</v>
      </c>
      <c r="D672" t="s">
        <v>563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2:18">
      <c r="B673" t="s">
        <v>1350</v>
      </c>
      <c r="C673" t="s">
        <v>836</v>
      </c>
      <c r="D673" t="s">
        <v>563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2:18">
      <c r="B674" t="s">
        <v>5383</v>
      </c>
      <c r="C674" t="s">
        <v>836</v>
      </c>
      <c r="D674" t="s">
        <v>563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2:18">
      <c r="B675" t="s">
        <v>5384</v>
      </c>
      <c r="C675" t="s">
        <v>836</v>
      </c>
      <c r="D675" t="s">
        <v>563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2:18">
      <c r="B676" t="s">
        <v>1351</v>
      </c>
      <c r="C676" t="s">
        <v>836</v>
      </c>
      <c r="D676" t="s">
        <v>563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2:18">
      <c r="B677" t="s">
        <v>1352</v>
      </c>
      <c r="C677" t="s">
        <v>836</v>
      </c>
      <c r="D677" t="s">
        <v>563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2:18">
      <c r="B678" t="s">
        <v>5385</v>
      </c>
      <c r="C678" t="s">
        <v>836</v>
      </c>
      <c r="D678" t="s">
        <v>563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2:18">
      <c r="B679" t="s">
        <v>5386</v>
      </c>
      <c r="C679" t="s">
        <v>836</v>
      </c>
      <c r="D679" t="s">
        <v>563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2:18">
      <c r="B680" t="s">
        <v>1353</v>
      </c>
      <c r="C680" t="s">
        <v>836</v>
      </c>
      <c r="D680" t="s">
        <v>563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2:18">
      <c r="B681" t="s">
        <v>1354</v>
      </c>
      <c r="C681" t="s">
        <v>836</v>
      </c>
      <c r="D681" t="s">
        <v>563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2:18">
      <c r="B682" t="s">
        <v>1355</v>
      </c>
      <c r="C682" t="s">
        <v>836</v>
      </c>
      <c r="D682" t="s">
        <v>563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2:18">
      <c r="B683" t="s">
        <v>5387</v>
      </c>
      <c r="C683" t="s">
        <v>836</v>
      </c>
      <c r="D683" t="s">
        <v>563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2:18">
      <c r="B684" t="s">
        <v>1356</v>
      </c>
      <c r="C684" t="s">
        <v>836</v>
      </c>
      <c r="D684" t="s">
        <v>563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2:18">
      <c r="B685" t="s">
        <v>1357</v>
      </c>
      <c r="C685" t="s">
        <v>836</v>
      </c>
      <c r="D685" t="s">
        <v>563</v>
      </c>
      <c r="E685">
        <v>1</v>
      </c>
      <c r="F685">
        <v>66.2</v>
      </c>
      <c r="G685">
        <v>89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90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2:18">
      <c r="B686" t="s">
        <v>1358</v>
      </c>
      <c r="C686" t="s">
        <v>836</v>
      </c>
      <c r="D686" t="s">
        <v>563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2:18">
      <c r="B687" t="s">
        <v>1359</v>
      </c>
      <c r="C687" t="s">
        <v>836</v>
      </c>
      <c r="D687" t="s">
        <v>563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125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2:18">
      <c r="B688" t="s">
        <v>1360</v>
      </c>
      <c r="C688" t="s">
        <v>836</v>
      </c>
      <c r="D688" t="s">
        <v>563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2:19">
      <c r="B689" t="s">
        <v>1361</v>
      </c>
      <c r="C689" t="s">
        <v>836</v>
      </c>
      <c r="D689" t="s">
        <v>563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2:19">
      <c r="B690" t="s">
        <v>1362</v>
      </c>
      <c r="C690" t="s">
        <v>836</v>
      </c>
      <c r="D690" t="s">
        <v>563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2:19">
      <c r="B691" t="s">
        <v>1363</v>
      </c>
      <c r="C691" t="s">
        <v>836</v>
      </c>
      <c r="D691" t="s">
        <v>563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2:19">
      <c r="B692" t="s">
        <v>1364</v>
      </c>
      <c r="C692" t="s">
        <v>836</v>
      </c>
      <c r="D692" t="s">
        <v>563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2:19">
      <c r="B693" t="s">
        <v>1365</v>
      </c>
      <c r="C693" t="s">
        <v>836</v>
      </c>
      <c r="D693" t="s">
        <v>563</v>
      </c>
      <c r="E693">
        <v>0</v>
      </c>
      <c r="F693">
        <v>0</v>
      </c>
      <c r="G693">
        <v>61.2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64.400000000000006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2:19">
      <c r="B694" t="s">
        <v>1366</v>
      </c>
      <c r="C694" t="s">
        <v>836</v>
      </c>
      <c r="D694" t="s">
        <v>563</v>
      </c>
      <c r="E694">
        <v>0</v>
      </c>
      <c r="F694">
        <v>0</v>
      </c>
      <c r="G694">
        <v>20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2:19">
      <c r="B695" t="s">
        <v>1367</v>
      </c>
      <c r="C695" t="s">
        <v>836</v>
      </c>
      <c r="D695" t="s">
        <v>563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2:19">
      <c r="B696" t="s">
        <v>1368</v>
      </c>
      <c r="C696" t="s">
        <v>836</v>
      </c>
      <c r="D696" t="s">
        <v>563</v>
      </c>
      <c r="E696">
        <v>1</v>
      </c>
      <c r="F696">
        <v>70</v>
      </c>
      <c r="G696">
        <v>81.8</v>
      </c>
      <c r="H696">
        <v>1</v>
      </c>
      <c r="I696">
        <v>57.7</v>
      </c>
      <c r="J696">
        <v>57.7</v>
      </c>
      <c r="K696">
        <v>70</v>
      </c>
      <c r="L696">
        <v>70</v>
      </c>
      <c r="M696">
        <v>55</v>
      </c>
      <c r="N696">
        <v>0.2727</v>
      </c>
      <c r="O696">
        <v>2</v>
      </c>
      <c r="P696">
        <v>12770</v>
      </c>
      <c r="Q696">
        <v>63.85</v>
      </c>
      <c r="R696">
        <v>0</v>
      </c>
      <c r="S696" t="s">
        <v>6230</v>
      </c>
    </row>
    <row r="697" spans="2:19">
      <c r="B697" t="s">
        <v>1369</v>
      </c>
      <c r="C697" t="s">
        <v>836</v>
      </c>
      <c r="D697" t="s">
        <v>563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2:19">
      <c r="B698" t="s">
        <v>1370</v>
      </c>
      <c r="C698" t="s">
        <v>836</v>
      </c>
      <c r="D698" t="s">
        <v>563</v>
      </c>
      <c r="E698">
        <v>2</v>
      </c>
      <c r="F698">
        <v>45</v>
      </c>
      <c r="G698">
        <v>94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47.6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2:19">
      <c r="B699" t="s">
        <v>1371</v>
      </c>
      <c r="C699" t="s">
        <v>836</v>
      </c>
      <c r="D699" t="s">
        <v>563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2:19">
      <c r="B700" t="s">
        <v>1372</v>
      </c>
      <c r="C700" t="s">
        <v>836</v>
      </c>
      <c r="D700" t="s">
        <v>563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2:19">
      <c r="B701" t="s">
        <v>1373</v>
      </c>
      <c r="C701" t="s">
        <v>836</v>
      </c>
      <c r="D701" t="s">
        <v>563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2:19">
      <c r="B702" t="s">
        <v>1374</v>
      </c>
      <c r="C702" t="s">
        <v>836</v>
      </c>
      <c r="D702" t="s">
        <v>563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2:19">
      <c r="B703" t="s">
        <v>1375</v>
      </c>
      <c r="C703" t="s">
        <v>836</v>
      </c>
      <c r="D703" t="s">
        <v>563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2:19">
      <c r="B704" t="s">
        <v>1376</v>
      </c>
      <c r="C704" t="s">
        <v>836</v>
      </c>
      <c r="D704" t="s">
        <v>563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2:18">
      <c r="B705" t="s">
        <v>1377</v>
      </c>
      <c r="C705" t="s">
        <v>836</v>
      </c>
      <c r="D705" t="s">
        <v>563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2:18">
      <c r="B706" t="s">
        <v>1378</v>
      </c>
      <c r="C706" t="s">
        <v>836</v>
      </c>
      <c r="D706" t="s">
        <v>563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2:18">
      <c r="B707" t="s">
        <v>1379</v>
      </c>
      <c r="C707" t="s">
        <v>836</v>
      </c>
      <c r="D707" t="s">
        <v>563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2:18">
      <c r="B708" t="s">
        <v>1380</v>
      </c>
      <c r="C708" t="s">
        <v>836</v>
      </c>
      <c r="D708" t="s">
        <v>563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2:18">
      <c r="B709" t="s">
        <v>1381</v>
      </c>
      <c r="C709" t="s">
        <v>836</v>
      </c>
      <c r="D709" t="s">
        <v>563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2:18">
      <c r="B710" t="s">
        <v>1382</v>
      </c>
      <c r="C710" t="s">
        <v>836</v>
      </c>
      <c r="D710" t="s">
        <v>563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2:18">
      <c r="B711" t="s">
        <v>1383</v>
      </c>
      <c r="C711" t="s">
        <v>836</v>
      </c>
      <c r="D711" t="s">
        <v>563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2:18">
      <c r="B712" t="s">
        <v>1384</v>
      </c>
      <c r="C712" t="s">
        <v>836</v>
      </c>
      <c r="D712" t="s">
        <v>563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2:18">
      <c r="B713" t="s">
        <v>1385</v>
      </c>
      <c r="C713" t="s">
        <v>836</v>
      </c>
      <c r="D713" t="s">
        <v>563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2:18">
      <c r="B714" t="s">
        <v>1386</v>
      </c>
      <c r="C714" t="s">
        <v>836</v>
      </c>
      <c r="D714" t="s">
        <v>563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2:18">
      <c r="B715" t="s">
        <v>1387</v>
      </c>
      <c r="C715" t="s">
        <v>836</v>
      </c>
      <c r="D715" t="s">
        <v>563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2:18">
      <c r="B716" t="s">
        <v>1388</v>
      </c>
      <c r="C716" t="s">
        <v>836</v>
      </c>
      <c r="D716" t="s">
        <v>563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2:18">
      <c r="B717" t="s">
        <v>1389</v>
      </c>
      <c r="C717" t="s">
        <v>836</v>
      </c>
      <c r="D717" t="s">
        <v>563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2:18">
      <c r="B718" t="s">
        <v>1390</v>
      </c>
      <c r="C718" t="s">
        <v>836</v>
      </c>
      <c r="D718" t="s">
        <v>563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2:18">
      <c r="B719" t="s">
        <v>1391</v>
      </c>
      <c r="C719" t="s">
        <v>836</v>
      </c>
      <c r="D719" t="s">
        <v>563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2:18">
      <c r="B720" t="s">
        <v>1392</v>
      </c>
      <c r="C720" t="s">
        <v>836</v>
      </c>
      <c r="D720" t="s">
        <v>563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2:18">
      <c r="B721" t="s">
        <v>1393</v>
      </c>
      <c r="C721" t="s">
        <v>836</v>
      </c>
      <c r="D721" t="s">
        <v>563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2:18">
      <c r="B722" t="s">
        <v>1394</v>
      </c>
      <c r="C722" t="s">
        <v>836</v>
      </c>
      <c r="D722" t="s">
        <v>563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2:18">
      <c r="B723" t="s">
        <v>1395</v>
      </c>
      <c r="C723" t="s">
        <v>836</v>
      </c>
      <c r="D723" t="s">
        <v>563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2:18">
      <c r="B724" t="s">
        <v>1396</v>
      </c>
      <c r="C724" t="s">
        <v>836</v>
      </c>
      <c r="D724" t="s">
        <v>563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2:18">
      <c r="B725" t="s">
        <v>1397</v>
      </c>
      <c r="C725" t="s">
        <v>836</v>
      </c>
      <c r="D725" t="s">
        <v>563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2:18">
      <c r="B726" t="s">
        <v>1398</v>
      </c>
      <c r="C726" t="s">
        <v>836</v>
      </c>
      <c r="D726" t="s">
        <v>563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2:18">
      <c r="B727" t="s">
        <v>1399</v>
      </c>
      <c r="C727" t="s">
        <v>836</v>
      </c>
      <c r="D727" t="s">
        <v>563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2:18">
      <c r="B728" t="s">
        <v>1400</v>
      </c>
      <c r="C728" t="s">
        <v>836</v>
      </c>
      <c r="D728" t="s">
        <v>563</v>
      </c>
      <c r="E728">
        <v>79</v>
      </c>
      <c r="F728">
        <v>0.53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2:18">
      <c r="B729" t="s">
        <v>1401</v>
      </c>
      <c r="C729" t="s">
        <v>836</v>
      </c>
      <c r="D729" t="s">
        <v>563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2:18">
      <c r="B730" t="s">
        <v>1402</v>
      </c>
      <c r="C730" t="s">
        <v>836</v>
      </c>
      <c r="D730" t="s">
        <v>563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2:18">
      <c r="B731" t="s">
        <v>1403</v>
      </c>
      <c r="C731" t="s">
        <v>836</v>
      </c>
      <c r="D731" t="s">
        <v>563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2:18">
      <c r="B732" t="s">
        <v>1404</v>
      </c>
      <c r="C732" t="s">
        <v>836</v>
      </c>
      <c r="D732" t="s">
        <v>563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2:18">
      <c r="B733" t="s">
        <v>1405</v>
      </c>
      <c r="C733" t="s">
        <v>836</v>
      </c>
      <c r="D733" t="s">
        <v>563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2:18">
      <c r="B734" t="s">
        <v>1406</v>
      </c>
      <c r="C734" t="s">
        <v>836</v>
      </c>
      <c r="D734" t="s">
        <v>563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2:18">
      <c r="B735" t="s">
        <v>1407</v>
      </c>
      <c r="C735" t="s">
        <v>836</v>
      </c>
      <c r="D735" t="s">
        <v>563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2:18">
      <c r="B736" t="s">
        <v>1408</v>
      </c>
      <c r="C736" t="s">
        <v>836</v>
      </c>
      <c r="D736" t="s">
        <v>563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2:18">
      <c r="B737" t="s">
        <v>1409</v>
      </c>
      <c r="C737" t="s">
        <v>836</v>
      </c>
      <c r="D737" t="s">
        <v>563</v>
      </c>
      <c r="E737">
        <v>39</v>
      </c>
      <c r="F737">
        <v>1.25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2:18">
      <c r="B738" t="s">
        <v>1410</v>
      </c>
      <c r="C738" t="s">
        <v>836</v>
      </c>
      <c r="D738" t="s">
        <v>563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2:18">
      <c r="B739" t="s">
        <v>1411</v>
      </c>
      <c r="C739" t="s">
        <v>836</v>
      </c>
      <c r="D739" t="s">
        <v>563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0.62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2:18">
      <c r="B740" t="s">
        <v>1412</v>
      </c>
      <c r="C740" t="s">
        <v>836</v>
      </c>
      <c r="D740" t="s">
        <v>563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2:18">
      <c r="B741" t="s">
        <v>1413</v>
      </c>
      <c r="C741" t="s">
        <v>836</v>
      </c>
      <c r="D741" t="s">
        <v>563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2:18">
      <c r="B742" t="s">
        <v>1414</v>
      </c>
      <c r="C742" t="s">
        <v>836</v>
      </c>
      <c r="D742" t="s">
        <v>563</v>
      </c>
      <c r="E742">
        <v>26</v>
      </c>
      <c r="F742">
        <v>2.4300000000000002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2:18">
      <c r="B743" t="s">
        <v>1415</v>
      </c>
      <c r="C743" t="s">
        <v>836</v>
      </c>
      <c r="D743" t="s">
        <v>563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2:18">
      <c r="B744" t="s">
        <v>1416</v>
      </c>
      <c r="C744" t="s">
        <v>836</v>
      </c>
      <c r="D744" t="s">
        <v>563</v>
      </c>
      <c r="E744">
        <v>50</v>
      </c>
      <c r="F744">
        <v>1.073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2:18">
      <c r="B745" t="s">
        <v>1417</v>
      </c>
      <c r="C745" t="s">
        <v>836</v>
      </c>
      <c r="D745" t="s">
        <v>563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2:18">
      <c r="B746" t="s">
        <v>1418</v>
      </c>
      <c r="C746" t="s">
        <v>836</v>
      </c>
      <c r="D746" t="s">
        <v>563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2:18">
      <c r="B747" t="s">
        <v>1419</v>
      </c>
      <c r="C747" t="s">
        <v>836</v>
      </c>
      <c r="D747" t="s">
        <v>563</v>
      </c>
      <c r="E747">
        <v>19</v>
      </c>
      <c r="F747">
        <v>1.4690000000000001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0.98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2:18">
      <c r="B748" t="s">
        <v>1420</v>
      </c>
      <c r="C748" t="s">
        <v>836</v>
      </c>
      <c r="D748" t="s">
        <v>563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2:18">
      <c r="B749" t="s">
        <v>1421</v>
      </c>
      <c r="C749" t="s">
        <v>836</v>
      </c>
      <c r="D749" t="s">
        <v>563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2:18">
      <c r="B750" t="s">
        <v>1422</v>
      </c>
      <c r="C750" t="s">
        <v>836</v>
      </c>
      <c r="D750" t="s">
        <v>563</v>
      </c>
      <c r="E750">
        <v>28</v>
      </c>
      <c r="F750">
        <v>2.4820000000000002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2:18">
      <c r="B751" t="s">
        <v>1423</v>
      </c>
      <c r="C751" t="s">
        <v>836</v>
      </c>
      <c r="D751" t="s">
        <v>563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2:18">
      <c r="B752" t="s">
        <v>1424</v>
      </c>
      <c r="C752" t="s">
        <v>836</v>
      </c>
      <c r="D752" t="s">
        <v>563</v>
      </c>
      <c r="E752">
        <v>14</v>
      </c>
      <c r="F752">
        <v>5.36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2:18">
      <c r="B753" t="s">
        <v>1425</v>
      </c>
      <c r="C753" t="s">
        <v>836</v>
      </c>
      <c r="D753" t="s">
        <v>563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2:18">
      <c r="B754" t="s">
        <v>1426</v>
      </c>
      <c r="C754" t="s">
        <v>836</v>
      </c>
      <c r="D754" t="s">
        <v>563</v>
      </c>
      <c r="E754">
        <v>25</v>
      </c>
      <c r="F754">
        <v>2.52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2:18">
      <c r="B755" t="s">
        <v>1427</v>
      </c>
      <c r="C755" t="s">
        <v>836</v>
      </c>
      <c r="D755" t="s">
        <v>563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2:18">
      <c r="B756" t="s">
        <v>1428</v>
      </c>
      <c r="C756" t="s">
        <v>836</v>
      </c>
      <c r="D756" t="s">
        <v>563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2:18">
      <c r="B757" t="s">
        <v>1429</v>
      </c>
      <c r="C757" t="s">
        <v>836</v>
      </c>
      <c r="D757" t="s">
        <v>563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2:18">
      <c r="B758" t="s">
        <v>1430</v>
      </c>
      <c r="C758" t="s">
        <v>836</v>
      </c>
      <c r="D758" t="s">
        <v>563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2:18">
      <c r="B759" t="s">
        <v>1431</v>
      </c>
      <c r="C759" t="s">
        <v>836</v>
      </c>
      <c r="D759" t="s">
        <v>563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2:18">
      <c r="B760" t="s">
        <v>1432</v>
      </c>
      <c r="C760" t="s">
        <v>836</v>
      </c>
      <c r="D760" t="s">
        <v>563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2:18">
      <c r="B761" t="s">
        <v>1433</v>
      </c>
      <c r="C761" t="s">
        <v>836</v>
      </c>
      <c r="D761" t="s">
        <v>563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2:18">
      <c r="B762" t="s">
        <v>1434</v>
      </c>
      <c r="C762" t="s">
        <v>836</v>
      </c>
      <c r="D762" t="s">
        <v>563</v>
      </c>
      <c r="E762">
        <v>10</v>
      </c>
      <c r="F762">
        <v>7.8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2:18">
      <c r="B763" t="s">
        <v>1435</v>
      </c>
      <c r="C763" t="s">
        <v>836</v>
      </c>
      <c r="D763" t="s">
        <v>563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2:18">
      <c r="B764" t="s">
        <v>1436</v>
      </c>
      <c r="C764" t="s">
        <v>836</v>
      </c>
      <c r="D764" t="s">
        <v>563</v>
      </c>
      <c r="E764">
        <v>13</v>
      </c>
      <c r="F764">
        <v>6.55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2:18">
      <c r="B765" t="s">
        <v>1437</v>
      </c>
      <c r="C765" t="s">
        <v>836</v>
      </c>
      <c r="D765" t="s">
        <v>563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2:18">
      <c r="B766" t="s">
        <v>1438</v>
      </c>
      <c r="C766" t="s">
        <v>836</v>
      </c>
      <c r="D766" t="s">
        <v>563</v>
      </c>
      <c r="E766">
        <v>8</v>
      </c>
      <c r="F766">
        <v>10.89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2:18">
      <c r="B767" t="s">
        <v>1439</v>
      </c>
      <c r="C767" t="s">
        <v>836</v>
      </c>
      <c r="D767" t="s">
        <v>563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2:18">
      <c r="B768" t="s">
        <v>1440</v>
      </c>
      <c r="C768" t="s">
        <v>836</v>
      </c>
      <c r="D768" t="s">
        <v>563</v>
      </c>
      <c r="E768">
        <v>9</v>
      </c>
      <c r="F768">
        <v>10.220000000000001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2:18">
      <c r="B769" t="s">
        <v>1441</v>
      </c>
      <c r="C769" t="s">
        <v>836</v>
      </c>
      <c r="D769" t="s">
        <v>563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2:18">
      <c r="B770" t="s">
        <v>1442</v>
      </c>
      <c r="C770" t="s">
        <v>836</v>
      </c>
      <c r="D770" t="s">
        <v>563</v>
      </c>
      <c r="E770">
        <v>6</v>
      </c>
      <c r="F770">
        <v>14.86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2:18">
      <c r="B771" t="s">
        <v>1443</v>
      </c>
      <c r="C771" t="s">
        <v>836</v>
      </c>
      <c r="D771" t="s">
        <v>563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2:18">
      <c r="B772" t="s">
        <v>1444</v>
      </c>
      <c r="C772" t="s">
        <v>836</v>
      </c>
      <c r="D772" t="s">
        <v>563</v>
      </c>
      <c r="E772">
        <v>7</v>
      </c>
      <c r="F772">
        <v>13.73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2:18">
      <c r="B773" t="s">
        <v>1445</v>
      </c>
      <c r="C773" t="s">
        <v>836</v>
      </c>
      <c r="D773" t="s">
        <v>563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2:18">
      <c r="B774" t="s">
        <v>1446</v>
      </c>
      <c r="C774" t="s">
        <v>836</v>
      </c>
      <c r="D774" t="s">
        <v>563</v>
      </c>
      <c r="E774">
        <v>5</v>
      </c>
      <c r="F774">
        <v>19.489999999999998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2:18">
      <c r="B775" t="s">
        <v>1447</v>
      </c>
      <c r="C775" t="s">
        <v>836</v>
      </c>
      <c r="D775" t="s">
        <v>563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2:18">
      <c r="B776" t="s">
        <v>1448</v>
      </c>
      <c r="C776" t="s">
        <v>836</v>
      </c>
      <c r="D776" t="s">
        <v>563</v>
      </c>
      <c r="E776">
        <v>7</v>
      </c>
      <c r="F776">
        <v>15.77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2:18">
      <c r="B777" t="s">
        <v>1449</v>
      </c>
      <c r="C777" t="s">
        <v>836</v>
      </c>
      <c r="D777" t="s">
        <v>563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2:18">
      <c r="B778" t="s">
        <v>1450</v>
      </c>
      <c r="C778" t="s">
        <v>836</v>
      </c>
      <c r="D778" t="s">
        <v>563</v>
      </c>
      <c r="E778">
        <v>4</v>
      </c>
      <c r="F778">
        <v>23.702999999999999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2:18">
      <c r="B779" t="s">
        <v>1451</v>
      </c>
      <c r="C779" t="s">
        <v>836</v>
      </c>
      <c r="D779" t="s">
        <v>563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2:18">
      <c r="B780" t="s">
        <v>1452</v>
      </c>
      <c r="C780" t="s">
        <v>836</v>
      </c>
      <c r="D780" t="s">
        <v>563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2:18">
      <c r="B781" t="s">
        <v>1453</v>
      </c>
      <c r="C781" t="s">
        <v>836</v>
      </c>
      <c r="D781" t="s">
        <v>563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2:18">
      <c r="B782" t="s">
        <v>1454</v>
      </c>
      <c r="C782" t="s">
        <v>836</v>
      </c>
      <c r="D782" t="s">
        <v>563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2:18">
      <c r="B783" t="s">
        <v>1455</v>
      </c>
      <c r="C783" t="s">
        <v>836</v>
      </c>
      <c r="D783" t="s">
        <v>563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2:18">
      <c r="B784" t="s">
        <v>1456</v>
      </c>
      <c r="C784" t="s">
        <v>836</v>
      </c>
      <c r="D784" t="s">
        <v>563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2:18">
      <c r="B785" t="s">
        <v>1457</v>
      </c>
      <c r="C785" t="s">
        <v>836</v>
      </c>
      <c r="D785" t="s">
        <v>563</v>
      </c>
      <c r="E785">
        <v>3</v>
      </c>
      <c r="F785">
        <v>33.1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2:18">
      <c r="B786" t="s">
        <v>1458</v>
      </c>
      <c r="C786" t="s">
        <v>836</v>
      </c>
      <c r="D786" t="s">
        <v>563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2:18">
      <c r="B787" t="s">
        <v>1459</v>
      </c>
      <c r="C787" t="s">
        <v>836</v>
      </c>
      <c r="D787" t="s">
        <v>563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2:18">
      <c r="B788" t="s">
        <v>1460</v>
      </c>
      <c r="C788" t="s">
        <v>836</v>
      </c>
      <c r="D788" t="s">
        <v>563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2:18">
      <c r="B789" t="s">
        <v>1461</v>
      </c>
      <c r="C789" t="s">
        <v>836</v>
      </c>
      <c r="D789" t="s">
        <v>563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2:18">
      <c r="B790" t="s">
        <v>1462</v>
      </c>
      <c r="C790" t="s">
        <v>836</v>
      </c>
      <c r="D790" t="s">
        <v>563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2:18">
      <c r="B791" t="s">
        <v>1463</v>
      </c>
      <c r="C791" t="s">
        <v>836</v>
      </c>
      <c r="D791" t="s">
        <v>563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2:18">
      <c r="B792" t="s">
        <v>1464</v>
      </c>
      <c r="C792" t="s">
        <v>836</v>
      </c>
      <c r="D792" t="s">
        <v>563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2:18">
      <c r="B793" t="s">
        <v>1465</v>
      </c>
      <c r="C793" t="s">
        <v>836</v>
      </c>
      <c r="D793" t="s">
        <v>563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2:18">
      <c r="B794" t="s">
        <v>1466</v>
      </c>
      <c r="C794" t="s">
        <v>836</v>
      </c>
      <c r="D794" t="s">
        <v>563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2:18">
      <c r="B795" t="s">
        <v>1467</v>
      </c>
      <c r="C795" t="s">
        <v>836</v>
      </c>
      <c r="D795" t="s">
        <v>563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2:18">
      <c r="B796" t="s">
        <v>1468</v>
      </c>
      <c r="C796" t="s">
        <v>836</v>
      </c>
      <c r="D796" t="s">
        <v>563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2:18">
      <c r="B797" t="s">
        <v>1469</v>
      </c>
      <c r="C797" t="s">
        <v>836</v>
      </c>
      <c r="D797" t="s">
        <v>563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2:18">
      <c r="B798" t="s">
        <v>1470</v>
      </c>
      <c r="C798" t="s">
        <v>836</v>
      </c>
      <c r="D798" t="s">
        <v>563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2:18">
      <c r="B799" t="s">
        <v>1471</v>
      </c>
      <c r="C799" t="s">
        <v>836</v>
      </c>
      <c r="D799" t="s">
        <v>563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2:18">
      <c r="B800" t="s">
        <v>1472</v>
      </c>
      <c r="C800" t="s">
        <v>836</v>
      </c>
      <c r="D800" t="s">
        <v>563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2:18">
      <c r="B801" t="s">
        <v>1473</v>
      </c>
      <c r="C801" t="s">
        <v>836</v>
      </c>
      <c r="D801" t="s">
        <v>563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2:18">
      <c r="B802" t="s">
        <v>1474</v>
      </c>
      <c r="C802" t="s">
        <v>836</v>
      </c>
      <c r="D802" t="s">
        <v>563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2:18">
      <c r="B803" t="s">
        <v>1475</v>
      </c>
      <c r="C803" t="s">
        <v>836</v>
      </c>
      <c r="D803" t="s">
        <v>563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2:18">
      <c r="B804" t="s">
        <v>1476</v>
      </c>
      <c r="C804" t="s">
        <v>836</v>
      </c>
      <c r="D804" t="s">
        <v>563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2:18">
      <c r="B805" t="s">
        <v>1477</v>
      </c>
      <c r="C805" t="s">
        <v>836</v>
      </c>
      <c r="D805" t="s">
        <v>563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2:18">
      <c r="B806" t="s">
        <v>1478</v>
      </c>
      <c r="C806" t="s">
        <v>836</v>
      </c>
      <c r="D806" t="s">
        <v>563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2:18">
      <c r="B807" t="s">
        <v>1479</v>
      </c>
      <c r="C807" t="s">
        <v>836</v>
      </c>
      <c r="D807" t="s">
        <v>563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2:18">
      <c r="B808" t="s">
        <v>1480</v>
      </c>
      <c r="C808" t="s">
        <v>836</v>
      </c>
      <c r="D808" t="s">
        <v>563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2:18">
      <c r="B809" t="s">
        <v>1481</v>
      </c>
      <c r="C809" t="s">
        <v>836</v>
      </c>
      <c r="D809" t="s">
        <v>563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2:18">
      <c r="B810" t="s">
        <v>5388</v>
      </c>
      <c r="C810" t="s">
        <v>836</v>
      </c>
      <c r="D810" t="s">
        <v>563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2:18">
      <c r="B811" t="s">
        <v>1482</v>
      </c>
      <c r="C811" t="s">
        <v>836</v>
      </c>
      <c r="D811" t="s">
        <v>563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2:18">
      <c r="B812" t="s">
        <v>5389</v>
      </c>
      <c r="C812" t="s">
        <v>836</v>
      </c>
      <c r="D812" t="s">
        <v>563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2:18">
      <c r="B813" t="s">
        <v>5390</v>
      </c>
      <c r="C813" t="s">
        <v>836</v>
      </c>
      <c r="D813" t="s">
        <v>563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2:18">
      <c r="B814" t="s">
        <v>5391</v>
      </c>
      <c r="C814" t="s">
        <v>836</v>
      </c>
      <c r="D814" t="s">
        <v>563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2:18">
      <c r="B815" t="s">
        <v>5392</v>
      </c>
      <c r="C815" t="s">
        <v>836</v>
      </c>
      <c r="D815" t="s">
        <v>563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2:18">
      <c r="B816" t="s">
        <v>5393</v>
      </c>
      <c r="C816" t="s">
        <v>836</v>
      </c>
      <c r="D816" t="s">
        <v>563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2:18">
      <c r="B817" t="s">
        <v>5394</v>
      </c>
      <c r="C817" t="s">
        <v>836</v>
      </c>
      <c r="D817" t="s">
        <v>563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2:18">
      <c r="B818" t="s">
        <v>5395</v>
      </c>
      <c r="C818" t="s">
        <v>836</v>
      </c>
      <c r="D818" t="s">
        <v>563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2:18">
      <c r="B819" t="s">
        <v>5396</v>
      </c>
      <c r="C819" t="s">
        <v>836</v>
      </c>
      <c r="D819" t="s">
        <v>563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2:18">
      <c r="B820" t="s">
        <v>5397</v>
      </c>
      <c r="C820" t="s">
        <v>836</v>
      </c>
      <c r="D820" t="s">
        <v>563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2:18">
      <c r="B821" t="s">
        <v>5398</v>
      </c>
      <c r="C821" t="s">
        <v>836</v>
      </c>
      <c r="D821" t="s">
        <v>563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2:18">
      <c r="B822" t="s">
        <v>5399</v>
      </c>
      <c r="C822" t="s">
        <v>836</v>
      </c>
      <c r="D822" t="s">
        <v>563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2:18">
      <c r="B823" t="s">
        <v>5400</v>
      </c>
      <c r="C823" t="s">
        <v>836</v>
      </c>
      <c r="D823" t="s">
        <v>563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2:18">
      <c r="B824" t="s">
        <v>5401</v>
      </c>
      <c r="C824" t="s">
        <v>836</v>
      </c>
      <c r="D824" t="s">
        <v>563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2:18">
      <c r="B825" t="s">
        <v>5402</v>
      </c>
      <c r="C825" t="s">
        <v>836</v>
      </c>
      <c r="D825" t="s">
        <v>563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2:18">
      <c r="B826" t="s">
        <v>1483</v>
      </c>
      <c r="C826" t="s">
        <v>836</v>
      </c>
      <c r="D826" t="s">
        <v>563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2:18">
      <c r="B827" t="s">
        <v>5403</v>
      </c>
      <c r="C827" t="s">
        <v>836</v>
      </c>
      <c r="D827" t="s">
        <v>563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2:18">
      <c r="B828" t="s">
        <v>5404</v>
      </c>
      <c r="C828" t="s">
        <v>836</v>
      </c>
      <c r="D828" t="s">
        <v>563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2:18">
      <c r="B829" t="s">
        <v>5405</v>
      </c>
      <c r="C829" t="s">
        <v>836</v>
      </c>
      <c r="D829" t="s">
        <v>563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2:18">
      <c r="B830" t="s">
        <v>1484</v>
      </c>
      <c r="C830" t="s">
        <v>836</v>
      </c>
      <c r="D830" t="s">
        <v>563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2:18">
      <c r="B831" t="s">
        <v>5406</v>
      </c>
      <c r="C831" t="s">
        <v>836</v>
      </c>
      <c r="D831" t="s">
        <v>563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2:18">
      <c r="B832" t="s">
        <v>5407</v>
      </c>
      <c r="C832" t="s">
        <v>836</v>
      </c>
      <c r="D832" t="s">
        <v>563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2:18">
      <c r="B833" t="s">
        <v>5408</v>
      </c>
      <c r="C833" t="s">
        <v>836</v>
      </c>
      <c r="D833" t="s">
        <v>563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2:18">
      <c r="B834" t="s">
        <v>1485</v>
      </c>
      <c r="C834" t="s">
        <v>836</v>
      </c>
      <c r="D834" t="s">
        <v>563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2:18">
      <c r="B835" t="s">
        <v>5409</v>
      </c>
      <c r="C835" t="s">
        <v>836</v>
      </c>
      <c r="D835" t="s">
        <v>563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2:18">
      <c r="B836" t="s">
        <v>5410</v>
      </c>
      <c r="C836" t="s">
        <v>836</v>
      </c>
      <c r="D836" t="s">
        <v>563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2:18">
      <c r="B837" t="s">
        <v>1486</v>
      </c>
      <c r="C837" t="s">
        <v>836</v>
      </c>
      <c r="D837" t="s">
        <v>563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2:18">
      <c r="B838" t="s">
        <v>1487</v>
      </c>
      <c r="C838" t="s">
        <v>836</v>
      </c>
      <c r="D838" t="s">
        <v>563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2:18">
      <c r="B839" t="s">
        <v>1488</v>
      </c>
      <c r="C839" t="s">
        <v>836</v>
      </c>
      <c r="D839" t="s">
        <v>563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2:18">
      <c r="B840" t="s">
        <v>5411</v>
      </c>
      <c r="C840" t="s">
        <v>836</v>
      </c>
      <c r="D840" t="s">
        <v>563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2:18">
      <c r="B841" t="s">
        <v>1489</v>
      </c>
      <c r="C841" t="s">
        <v>836</v>
      </c>
      <c r="D841" t="s">
        <v>563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2:18">
      <c r="B842" t="s">
        <v>1490</v>
      </c>
      <c r="C842" t="s">
        <v>836</v>
      </c>
      <c r="D842" t="s">
        <v>563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2:18">
      <c r="B843" t="s">
        <v>1491</v>
      </c>
      <c r="C843" t="s">
        <v>836</v>
      </c>
      <c r="D843" t="s">
        <v>563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2:18">
      <c r="B844" t="s">
        <v>5412</v>
      </c>
      <c r="C844" t="s">
        <v>836</v>
      </c>
      <c r="D844" t="s">
        <v>563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2:18">
      <c r="B845" t="s">
        <v>1492</v>
      </c>
      <c r="C845" t="s">
        <v>836</v>
      </c>
      <c r="D845" t="s">
        <v>563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2:18">
      <c r="B846" t="s">
        <v>1493</v>
      </c>
      <c r="C846" t="s">
        <v>836</v>
      </c>
      <c r="D846" t="s">
        <v>563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2:18">
      <c r="B847" t="s">
        <v>1494</v>
      </c>
      <c r="C847" t="s">
        <v>836</v>
      </c>
      <c r="D847" t="s">
        <v>563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2:18">
      <c r="B848" t="s">
        <v>5413</v>
      </c>
      <c r="C848" t="s">
        <v>836</v>
      </c>
      <c r="D848" t="s">
        <v>563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2:18">
      <c r="B849" t="s">
        <v>5414</v>
      </c>
      <c r="C849" t="s">
        <v>836</v>
      </c>
      <c r="D849" t="s">
        <v>563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2:18">
      <c r="B850" t="s">
        <v>1495</v>
      </c>
      <c r="C850" t="s">
        <v>836</v>
      </c>
      <c r="D850" t="s">
        <v>563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2:18">
      <c r="B851" t="s">
        <v>1496</v>
      </c>
      <c r="C851" t="s">
        <v>836</v>
      </c>
      <c r="D851" t="s">
        <v>563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2:18">
      <c r="B852" t="s">
        <v>1497</v>
      </c>
      <c r="C852" t="s">
        <v>836</v>
      </c>
      <c r="D852" t="s">
        <v>563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2:18">
      <c r="B853" t="s">
        <v>1498</v>
      </c>
      <c r="C853" t="s">
        <v>836</v>
      </c>
      <c r="D853" t="s">
        <v>563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2:18">
      <c r="B854" t="s">
        <v>1499</v>
      </c>
      <c r="C854" t="s">
        <v>836</v>
      </c>
      <c r="D854" t="s">
        <v>563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2:18">
      <c r="B855" t="s">
        <v>1500</v>
      </c>
      <c r="C855" t="s">
        <v>836</v>
      </c>
      <c r="D855" t="s">
        <v>563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2:18">
      <c r="B856" t="s">
        <v>1501</v>
      </c>
      <c r="C856" t="s">
        <v>836</v>
      </c>
      <c r="D856" t="s">
        <v>563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2:18">
      <c r="B857" t="s">
        <v>1502</v>
      </c>
      <c r="C857" t="s">
        <v>836</v>
      </c>
      <c r="D857" t="s">
        <v>563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2:18">
      <c r="B858" t="s">
        <v>1503</v>
      </c>
      <c r="C858" t="s">
        <v>836</v>
      </c>
      <c r="D858" t="s">
        <v>563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2:18">
      <c r="B859" t="s">
        <v>1504</v>
      </c>
      <c r="C859" t="s">
        <v>836</v>
      </c>
      <c r="D859" t="s">
        <v>563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2:18">
      <c r="B860" t="s">
        <v>1505</v>
      </c>
      <c r="C860" t="s">
        <v>836</v>
      </c>
      <c r="D860" t="s">
        <v>563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2:18">
      <c r="B861" t="s">
        <v>1506</v>
      </c>
      <c r="C861" t="s">
        <v>836</v>
      </c>
      <c r="D861" t="s">
        <v>563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2:18">
      <c r="B862" t="s">
        <v>1507</v>
      </c>
      <c r="C862" t="s">
        <v>836</v>
      </c>
      <c r="D862" t="s">
        <v>563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2:18">
      <c r="B863" t="s">
        <v>1508</v>
      </c>
      <c r="C863" t="s">
        <v>836</v>
      </c>
      <c r="D863" t="s">
        <v>563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2:18">
      <c r="B864" t="s">
        <v>1509</v>
      </c>
      <c r="C864" t="s">
        <v>836</v>
      </c>
      <c r="D864" t="s">
        <v>563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2:18">
      <c r="B865" t="s">
        <v>1510</v>
      </c>
      <c r="C865" t="s">
        <v>836</v>
      </c>
      <c r="D865" t="s">
        <v>563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2:18">
      <c r="B866" t="s">
        <v>1511</v>
      </c>
      <c r="C866" t="s">
        <v>836</v>
      </c>
      <c r="D866" t="s">
        <v>563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2:18">
      <c r="B867" t="s">
        <v>1512</v>
      </c>
      <c r="C867" t="s">
        <v>836</v>
      </c>
      <c r="D867" t="s">
        <v>563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2:18">
      <c r="B868" t="s">
        <v>1513</v>
      </c>
      <c r="C868" t="s">
        <v>836</v>
      </c>
      <c r="D868" t="s">
        <v>563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2:18">
      <c r="B869" t="s">
        <v>1514</v>
      </c>
      <c r="C869" t="s">
        <v>836</v>
      </c>
      <c r="D869" t="s">
        <v>563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2:18">
      <c r="B870" t="s">
        <v>1515</v>
      </c>
      <c r="C870" t="s">
        <v>836</v>
      </c>
      <c r="D870" t="s">
        <v>563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2:18">
      <c r="B871" t="s">
        <v>1516</v>
      </c>
      <c r="C871" t="s">
        <v>836</v>
      </c>
      <c r="D871" t="s">
        <v>563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2:18">
      <c r="B872" t="s">
        <v>1517</v>
      </c>
      <c r="C872" t="s">
        <v>836</v>
      </c>
      <c r="D872" t="s">
        <v>563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2:18">
      <c r="B873" t="s">
        <v>1518</v>
      </c>
      <c r="C873" t="s">
        <v>836</v>
      </c>
      <c r="D873" t="s">
        <v>563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2:18">
      <c r="B874" t="s">
        <v>1519</v>
      </c>
      <c r="C874" t="s">
        <v>836</v>
      </c>
      <c r="D874" t="s">
        <v>563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2:18">
      <c r="B875" t="s">
        <v>1520</v>
      </c>
      <c r="C875" t="s">
        <v>836</v>
      </c>
      <c r="D875" t="s">
        <v>563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2:18">
      <c r="B876" t="s">
        <v>1521</v>
      </c>
      <c r="C876" t="s">
        <v>836</v>
      </c>
      <c r="D876" t="s">
        <v>563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2:18">
      <c r="B877" t="s">
        <v>1522</v>
      </c>
      <c r="C877" t="s">
        <v>836</v>
      </c>
      <c r="D877" t="s">
        <v>563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2:18">
      <c r="B878" t="s">
        <v>1523</v>
      </c>
      <c r="C878" t="s">
        <v>836</v>
      </c>
      <c r="D878" t="s">
        <v>563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2:18">
      <c r="B879" t="s">
        <v>1524</v>
      </c>
      <c r="C879" t="s">
        <v>836</v>
      </c>
      <c r="D879" t="s">
        <v>563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2:18">
      <c r="B880" t="s">
        <v>1525</v>
      </c>
      <c r="C880" t="s">
        <v>836</v>
      </c>
      <c r="D880" t="s">
        <v>563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2:18">
      <c r="B881" t="s">
        <v>1526</v>
      </c>
      <c r="C881" t="s">
        <v>836</v>
      </c>
      <c r="D881" t="s">
        <v>563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2:18">
      <c r="B882" t="s">
        <v>1527</v>
      </c>
      <c r="C882" t="s">
        <v>836</v>
      </c>
      <c r="D882" t="s">
        <v>563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2:18">
      <c r="B883" t="s">
        <v>5415</v>
      </c>
      <c r="C883" t="s">
        <v>836</v>
      </c>
      <c r="D883" t="s">
        <v>563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2:18">
      <c r="B884" t="s">
        <v>1528</v>
      </c>
      <c r="C884" t="s">
        <v>836</v>
      </c>
      <c r="D884" t="s">
        <v>563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2:18">
      <c r="B885" t="s">
        <v>5416</v>
      </c>
      <c r="C885" t="s">
        <v>836</v>
      </c>
      <c r="D885" t="s">
        <v>563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2:18">
      <c r="B886" t="s">
        <v>1529</v>
      </c>
      <c r="C886" t="s">
        <v>836</v>
      </c>
      <c r="D886" t="s">
        <v>563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2:18">
      <c r="B887" t="s">
        <v>5417</v>
      </c>
      <c r="C887" t="s">
        <v>836</v>
      </c>
      <c r="D887" t="s">
        <v>563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2:18">
      <c r="B888" t="s">
        <v>1530</v>
      </c>
      <c r="C888" t="s">
        <v>836</v>
      </c>
      <c r="D888" t="s">
        <v>563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2:18">
      <c r="B889" t="s">
        <v>5418</v>
      </c>
      <c r="C889" t="s">
        <v>836</v>
      </c>
      <c r="D889" t="s">
        <v>563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2:18">
      <c r="B890" t="s">
        <v>1531</v>
      </c>
      <c r="C890" t="s">
        <v>836</v>
      </c>
      <c r="D890" t="s">
        <v>563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2:18">
      <c r="B891" t="s">
        <v>1532</v>
      </c>
      <c r="C891" t="s">
        <v>836</v>
      </c>
      <c r="D891" t="s">
        <v>563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2:18">
      <c r="B892" t="s">
        <v>1533</v>
      </c>
      <c r="C892" t="s">
        <v>836</v>
      </c>
      <c r="D892" t="s">
        <v>563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55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2:18">
      <c r="B893" t="s">
        <v>5419</v>
      </c>
      <c r="C893" t="s">
        <v>836</v>
      </c>
      <c r="D893" t="s">
        <v>563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2:18">
      <c r="B894" t="s">
        <v>1534</v>
      </c>
      <c r="C894" t="s">
        <v>836</v>
      </c>
      <c r="D894" t="s">
        <v>563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2:18">
      <c r="B895" t="s">
        <v>5420</v>
      </c>
      <c r="C895" t="s">
        <v>836</v>
      </c>
      <c r="D895" t="s">
        <v>563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2:18">
      <c r="B896" t="s">
        <v>1535</v>
      </c>
      <c r="C896" t="s">
        <v>836</v>
      </c>
      <c r="D896" t="s">
        <v>563</v>
      </c>
      <c r="E896">
        <v>1</v>
      </c>
      <c r="F896">
        <v>66.2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2:18">
      <c r="B897" t="s">
        <v>5421</v>
      </c>
      <c r="C897" t="s">
        <v>836</v>
      </c>
      <c r="D897" t="s">
        <v>563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2:18">
      <c r="B898" t="s">
        <v>1536</v>
      </c>
      <c r="C898" t="s">
        <v>836</v>
      </c>
      <c r="D898" t="s">
        <v>563</v>
      </c>
      <c r="E898">
        <v>1</v>
      </c>
      <c r="F898">
        <v>41.8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2:18">
      <c r="B899" t="s">
        <v>5422</v>
      </c>
      <c r="C899" t="s">
        <v>836</v>
      </c>
      <c r="D899" t="s">
        <v>563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2:18">
      <c r="B900" t="s">
        <v>1537</v>
      </c>
      <c r="C900" t="s">
        <v>836</v>
      </c>
      <c r="D900" t="s">
        <v>563</v>
      </c>
      <c r="E900">
        <v>1</v>
      </c>
      <c r="F900">
        <v>101.2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2:18">
      <c r="B901" t="s">
        <v>5423</v>
      </c>
      <c r="C901" t="s">
        <v>836</v>
      </c>
      <c r="D901" t="s">
        <v>563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2:18">
      <c r="B902" t="s">
        <v>1538</v>
      </c>
      <c r="C902" t="s">
        <v>836</v>
      </c>
      <c r="D902" t="s">
        <v>563</v>
      </c>
      <c r="E902">
        <v>1</v>
      </c>
      <c r="F902">
        <v>68.2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2:18">
      <c r="B903" t="s">
        <v>5424</v>
      </c>
      <c r="C903" t="s">
        <v>836</v>
      </c>
      <c r="D903" t="s">
        <v>563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2:18">
      <c r="B904" t="s">
        <v>1539</v>
      </c>
      <c r="C904" t="s">
        <v>836</v>
      </c>
      <c r="D904" t="s">
        <v>563</v>
      </c>
      <c r="E904">
        <v>1</v>
      </c>
      <c r="F904">
        <v>138.4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2:18">
      <c r="B905" t="s">
        <v>5425</v>
      </c>
      <c r="C905" t="s">
        <v>836</v>
      </c>
      <c r="D905" t="s">
        <v>563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2:18">
      <c r="B906" t="s">
        <v>1540</v>
      </c>
      <c r="C906" t="s">
        <v>836</v>
      </c>
      <c r="D906" t="s">
        <v>563</v>
      </c>
      <c r="E906">
        <v>1</v>
      </c>
      <c r="F906">
        <v>126.1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2:18">
      <c r="B907" t="s">
        <v>5426</v>
      </c>
      <c r="C907" t="s">
        <v>836</v>
      </c>
      <c r="D907" t="s">
        <v>563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2:18">
      <c r="B908" t="s">
        <v>1541</v>
      </c>
      <c r="C908" t="s">
        <v>836</v>
      </c>
      <c r="D908" t="s">
        <v>563</v>
      </c>
      <c r="E908">
        <v>1</v>
      </c>
      <c r="F908">
        <v>191.2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2:18">
      <c r="B909" t="s">
        <v>5427</v>
      </c>
      <c r="C909" t="s">
        <v>836</v>
      </c>
      <c r="D909" t="s">
        <v>563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2:18">
      <c r="B910" t="s">
        <v>1542</v>
      </c>
      <c r="C910" t="s">
        <v>836</v>
      </c>
      <c r="D910" t="s">
        <v>563</v>
      </c>
      <c r="E910">
        <v>1</v>
      </c>
      <c r="F910">
        <v>185.1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2:18">
      <c r="B911" t="s">
        <v>1543</v>
      </c>
      <c r="C911" t="s">
        <v>836</v>
      </c>
      <c r="D911" t="s">
        <v>563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2:18">
      <c r="B912" t="s">
        <v>1544</v>
      </c>
      <c r="C912" t="s">
        <v>836</v>
      </c>
      <c r="D912" t="s">
        <v>563</v>
      </c>
      <c r="E912">
        <v>1</v>
      </c>
      <c r="F912">
        <v>291.2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2:18">
      <c r="B913" t="s">
        <v>1545</v>
      </c>
      <c r="C913" t="s">
        <v>836</v>
      </c>
      <c r="D913" t="s">
        <v>563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2:18">
      <c r="B914" t="s">
        <v>1546</v>
      </c>
      <c r="C914" t="s">
        <v>836</v>
      </c>
      <c r="D914" t="s">
        <v>563</v>
      </c>
      <c r="E914">
        <v>1</v>
      </c>
      <c r="F914">
        <v>273.8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2:18">
      <c r="B915" t="s">
        <v>1547</v>
      </c>
      <c r="C915" t="s">
        <v>836</v>
      </c>
      <c r="D915" t="s">
        <v>563</v>
      </c>
      <c r="E915">
        <v>1</v>
      </c>
      <c r="F915">
        <v>37.6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2:18">
      <c r="B916" t="s">
        <v>1548</v>
      </c>
      <c r="C916" t="s">
        <v>836</v>
      </c>
      <c r="D916" t="s">
        <v>563</v>
      </c>
      <c r="E916">
        <v>1</v>
      </c>
      <c r="F916">
        <v>381.2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2:18">
      <c r="B917" t="s">
        <v>1549</v>
      </c>
      <c r="C917" t="s">
        <v>836</v>
      </c>
      <c r="D917" t="s">
        <v>563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2:18">
      <c r="B918" t="s">
        <v>1550</v>
      </c>
      <c r="C918" t="s">
        <v>836</v>
      </c>
      <c r="D918" t="s">
        <v>563</v>
      </c>
      <c r="E918">
        <v>1</v>
      </c>
      <c r="F918">
        <v>389.5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2:18">
      <c r="B919" t="s">
        <v>1551</v>
      </c>
      <c r="C919" t="s">
        <v>836</v>
      </c>
      <c r="D919" t="s">
        <v>563</v>
      </c>
      <c r="E919">
        <v>1</v>
      </c>
      <c r="F919">
        <v>118.3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2:18">
      <c r="B920" t="s">
        <v>1552</v>
      </c>
      <c r="C920" t="s">
        <v>836</v>
      </c>
      <c r="D920" t="s">
        <v>563</v>
      </c>
      <c r="E920">
        <v>1</v>
      </c>
      <c r="F920">
        <v>500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2:18">
      <c r="B921" t="s">
        <v>5428</v>
      </c>
      <c r="C921" t="s">
        <v>836</v>
      </c>
      <c r="D921" t="s">
        <v>563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2:18">
      <c r="B922" t="s">
        <v>1553</v>
      </c>
      <c r="C922" t="s">
        <v>836</v>
      </c>
      <c r="D922" t="s">
        <v>563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2:18">
      <c r="B923" t="s">
        <v>1554</v>
      </c>
      <c r="C923" t="s">
        <v>836</v>
      </c>
      <c r="D923" t="s">
        <v>563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2:18">
      <c r="B924" t="s">
        <v>1555</v>
      </c>
      <c r="C924" t="s">
        <v>836</v>
      </c>
      <c r="D924" t="s">
        <v>563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2:18">
      <c r="B925" t="s">
        <v>1556</v>
      </c>
      <c r="C925" t="s">
        <v>836</v>
      </c>
      <c r="D925" t="s">
        <v>563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2:18">
      <c r="B926" t="s">
        <v>1557</v>
      </c>
      <c r="C926" t="s">
        <v>836</v>
      </c>
      <c r="D926" t="s">
        <v>563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2:18">
      <c r="B927" t="s">
        <v>1558</v>
      </c>
      <c r="C927" t="s">
        <v>836</v>
      </c>
      <c r="D927" t="s">
        <v>563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2:18">
      <c r="B928" t="s">
        <v>1559</v>
      </c>
      <c r="C928" t="s">
        <v>836</v>
      </c>
      <c r="D928" t="s">
        <v>563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2:18">
      <c r="B929" t="s">
        <v>1560</v>
      </c>
      <c r="C929" t="s">
        <v>836</v>
      </c>
      <c r="D929" t="s">
        <v>563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2:18">
      <c r="B930" t="s">
        <v>1561</v>
      </c>
      <c r="C930" t="s">
        <v>836</v>
      </c>
      <c r="D930" t="s">
        <v>563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2:18">
      <c r="B931" t="s">
        <v>1562</v>
      </c>
      <c r="C931" t="s">
        <v>836</v>
      </c>
      <c r="D931" t="s">
        <v>563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2:18">
      <c r="B932" t="s">
        <v>1563</v>
      </c>
      <c r="C932" t="s">
        <v>836</v>
      </c>
      <c r="D932" t="s">
        <v>563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2:18">
      <c r="B933" t="s">
        <v>1564</v>
      </c>
      <c r="C933" t="s">
        <v>836</v>
      </c>
      <c r="D933" t="s">
        <v>563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2:18">
      <c r="B934" t="s">
        <v>1565</v>
      </c>
      <c r="C934" t="s">
        <v>836</v>
      </c>
      <c r="D934" t="s">
        <v>563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2:18">
      <c r="B935" t="s">
        <v>1566</v>
      </c>
      <c r="C935" t="s">
        <v>836</v>
      </c>
      <c r="D935" t="s">
        <v>563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2:18">
      <c r="B936" t="s">
        <v>1567</v>
      </c>
      <c r="C936" t="s">
        <v>836</v>
      </c>
      <c r="D936" t="s">
        <v>563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2:18">
      <c r="B937" t="s">
        <v>1568</v>
      </c>
      <c r="C937" t="s">
        <v>836</v>
      </c>
      <c r="D937" t="s">
        <v>563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2:18">
      <c r="B938" t="s">
        <v>1569</v>
      </c>
      <c r="C938" t="s">
        <v>836</v>
      </c>
      <c r="D938" t="s">
        <v>563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2:18">
      <c r="B939" t="s">
        <v>1570</v>
      </c>
      <c r="C939" t="s">
        <v>836</v>
      </c>
      <c r="D939" t="s">
        <v>563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2:18">
      <c r="B940" t="s">
        <v>1571</v>
      </c>
      <c r="C940" t="s">
        <v>836</v>
      </c>
      <c r="D940" t="s">
        <v>563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2:18">
      <c r="B941" t="s">
        <v>1572</v>
      </c>
      <c r="C941" t="s">
        <v>836</v>
      </c>
      <c r="D941" t="s">
        <v>563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2:18">
      <c r="B942" t="s">
        <v>1573</v>
      </c>
      <c r="C942" t="s">
        <v>836</v>
      </c>
      <c r="D942" t="s">
        <v>563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2:18">
      <c r="B943" t="s">
        <v>1574</v>
      </c>
      <c r="C943" t="s">
        <v>836</v>
      </c>
      <c r="D943" t="s">
        <v>563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2:18">
      <c r="B944" t="s">
        <v>1575</v>
      </c>
      <c r="C944" t="s">
        <v>836</v>
      </c>
      <c r="D944" t="s">
        <v>563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2:18">
      <c r="B945" t="s">
        <v>1576</v>
      </c>
      <c r="C945" t="s">
        <v>836</v>
      </c>
      <c r="D945" t="s">
        <v>563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2:18">
      <c r="B946" t="s">
        <v>1577</v>
      </c>
      <c r="C946" t="s">
        <v>836</v>
      </c>
      <c r="D946" t="s">
        <v>563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2:18">
      <c r="B947" t="s">
        <v>1578</v>
      </c>
      <c r="C947" t="s">
        <v>836</v>
      </c>
      <c r="D947" t="s">
        <v>563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2:18">
      <c r="B948" t="s">
        <v>1579</v>
      </c>
      <c r="C948" t="s">
        <v>836</v>
      </c>
      <c r="D948" t="s">
        <v>563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2:18">
      <c r="B949" t="s">
        <v>1580</v>
      </c>
      <c r="C949" t="s">
        <v>836</v>
      </c>
      <c r="D949" t="s">
        <v>563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2:18">
      <c r="B950" t="s">
        <v>1581</v>
      </c>
      <c r="C950" t="s">
        <v>836</v>
      </c>
      <c r="D950" t="s">
        <v>563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2:18">
      <c r="B951" t="s">
        <v>1582</v>
      </c>
      <c r="C951" t="s">
        <v>836</v>
      </c>
      <c r="D951" t="s">
        <v>563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2:18">
      <c r="B952" t="s">
        <v>1583</v>
      </c>
      <c r="C952" t="s">
        <v>836</v>
      </c>
      <c r="D952" t="s">
        <v>563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2:18">
      <c r="B953" t="s">
        <v>1584</v>
      </c>
      <c r="C953" t="s">
        <v>836</v>
      </c>
      <c r="D953" t="s">
        <v>563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2:18">
      <c r="B954" t="s">
        <v>1585</v>
      </c>
      <c r="C954" t="s">
        <v>836</v>
      </c>
      <c r="D954" t="s">
        <v>563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2:18">
      <c r="B955" t="s">
        <v>1586</v>
      </c>
      <c r="C955" t="s">
        <v>836</v>
      </c>
      <c r="D955" t="s">
        <v>563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2:18">
      <c r="B956" t="s">
        <v>1587</v>
      </c>
      <c r="C956" t="s">
        <v>836</v>
      </c>
      <c r="D956" t="s">
        <v>563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2:18">
      <c r="B957" t="s">
        <v>1588</v>
      </c>
      <c r="C957" t="s">
        <v>836</v>
      </c>
      <c r="D957" t="s">
        <v>563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2:18">
      <c r="B958" t="s">
        <v>1589</v>
      </c>
      <c r="C958" t="s">
        <v>836</v>
      </c>
      <c r="D958" t="s">
        <v>563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2:18">
      <c r="B959" t="s">
        <v>1590</v>
      </c>
      <c r="C959" t="s">
        <v>836</v>
      </c>
      <c r="D959" t="s">
        <v>563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2:18">
      <c r="B960" t="s">
        <v>1591</v>
      </c>
      <c r="C960" t="s">
        <v>836</v>
      </c>
      <c r="D960" t="s">
        <v>563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2:18">
      <c r="B961" t="s">
        <v>1592</v>
      </c>
      <c r="C961" t="s">
        <v>836</v>
      </c>
      <c r="D961" t="s">
        <v>563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2:18">
      <c r="B962" t="s">
        <v>1593</v>
      </c>
      <c r="C962" t="s">
        <v>836</v>
      </c>
      <c r="D962" t="s">
        <v>563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2:18">
      <c r="B963" t="s">
        <v>1594</v>
      </c>
      <c r="C963" t="s">
        <v>836</v>
      </c>
      <c r="D963" t="s">
        <v>563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2:18">
      <c r="B964" t="s">
        <v>1595</v>
      </c>
      <c r="C964" t="s">
        <v>836</v>
      </c>
      <c r="D964" t="s">
        <v>563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2:18">
      <c r="B965" t="s">
        <v>1596</v>
      </c>
      <c r="C965" t="s">
        <v>836</v>
      </c>
      <c r="D965" t="s">
        <v>563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2:18">
      <c r="B966" t="s">
        <v>1597</v>
      </c>
      <c r="C966" t="s">
        <v>836</v>
      </c>
      <c r="D966" t="s">
        <v>563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2:18">
      <c r="B967" t="s">
        <v>1598</v>
      </c>
      <c r="C967" t="s">
        <v>836</v>
      </c>
      <c r="D967" t="s">
        <v>563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2:18">
      <c r="B968" t="s">
        <v>1599</v>
      </c>
      <c r="C968" t="s">
        <v>836</v>
      </c>
      <c r="D968" t="s">
        <v>563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2:18">
      <c r="B969" t="s">
        <v>1600</v>
      </c>
      <c r="C969" t="s">
        <v>836</v>
      </c>
      <c r="D969" t="s">
        <v>563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2:18">
      <c r="B970" t="s">
        <v>1601</v>
      </c>
      <c r="C970" t="s">
        <v>836</v>
      </c>
      <c r="D970" t="s">
        <v>563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2:18">
      <c r="B971" t="s">
        <v>1602</v>
      </c>
      <c r="C971" t="s">
        <v>836</v>
      </c>
      <c r="D971" t="s">
        <v>563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2:18">
      <c r="B972" t="s">
        <v>1603</v>
      </c>
      <c r="C972" t="s">
        <v>836</v>
      </c>
      <c r="D972" t="s">
        <v>563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2:18">
      <c r="B973" t="s">
        <v>1604</v>
      </c>
      <c r="C973" t="s">
        <v>836</v>
      </c>
      <c r="D973" t="s">
        <v>563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2:18">
      <c r="B974" t="s">
        <v>1605</v>
      </c>
      <c r="C974" t="s">
        <v>836</v>
      </c>
      <c r="D974" t="s">
        <v>563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2:18">
      <c r="B975" t="s">
        <v>1606</v>
      </c>
      <c r="C975" t="s">
        <v>836</v>
      </c>
      <c r="D975" t="s">
        <v>563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2:18">
      <c r="B976" t="s">
        <v>1607</v>
      </c>
      <c r="C976" t="s">
        <v>836</v>
      </c>
      <c r="D976" t="s">
        <v>563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2:18">
      <c r="B977" t="s">
        <v>1608</v>
      </c>
      <c r="C977" t="s">
        <v>836</v>
      </c>
      <c r="D977" t="s">
        <v>563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2:18">
      <c r="B978" t="s">
        <v>1609</v>
      </c>
      <c r="C978" t="s">
        <v>836</v>
      </c>
      <c r="D978" t="s">
        <v>563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2:18">
      <c r="B979" t="s">
        <v>1610</v>
      </c>
      <c r="C979" t="s">
        <v>836</v>
      </c>
      <c r="D979" t="s">
        <v>563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2:18">
      <c r="B980" t="s">
        <v>1611</v>
      </c>
      <c r="C980" t="s">
        <v>836</v>
      </c>
      <c r="D980" t="s">
        <v>563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2:18">
      <c r="B981" t="s">
        <v>1612</v>
      </c>
      <c r="C981" t="s">
        <v>836</v>
      </c>
      <c r="D981" t="s">
        <v>563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2:18">
      <c r="B982" t="s">
        <v>1613</v>
      </c>
      <c r="C982" t="s">
        <v>836</v>
      </c>
      <c r="D982" t="s">
        <v>563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2:18">
      <c r="B983" t="s">
        <v>1614</v>
      </c>
      <c r="C983" t="s">
        <v>836</v>
      </c>
      <c r="D983" t="s">
        <v>563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2:18">
      <c r="B984" t="s">
        <v>1615</v>
      </c>
      <c r="C984" t="s">
        <v>836</v>
      </c>
      <c r="D984" t="s">
        <v>563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2:18">
      <c r="B985" t="s">
        <v>1616</v>
      </c>
      <c r="C985" t="s">
        <v>836</v>
      </c>
      <c r="D985" t="s">
        <v>563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2:18">
      <c r="B986" t="s">
        <v>1617</v>
      </c>
      <c r="C986" t="s">
        <v>836</v>
      </c>
      <c r="D986" t="s">
        <v>563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2:18">
      <c r="B987" t="s">
        <v>1618</v>
      </c>
      <c r="C987" t="s">
        <v>836</v>
      </c>
      <c r="D987" t="s">
        <v>563</v>
      </c>
      <c r="E987">
        <v>2</v>
      </c>
      <c r="F987">
        <v>20.271999999999998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13.515000000000001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2:18">
      <c r="B988" t="s">
        <v>1619</v>
      </c>
      <c r="C988" t="s">
        <v>836</v>
      </c>
      <c r="D988" t="s">
        <v>563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2:18">
      <c r="B989" t="s">
        <v>1620</v>
      </c>
      <c r="C989" t="s">
        <v>836</v>
      </c>
      <c r="D989" t="s">
        <v>563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2:18">
      <c r="B990" t="s">
        <v>1621</v>
      </c>
      <c r="C990" t="s">
        <v>836</v>
      </c>
      <c r="D990" t="s">
        <v>563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2:18">
      <c r="B991" t="s">
        <v>1622</v>
      </c>
      <c r="C991" t="s">
        <v>836</v>
      </c>
      <c r="D991" t="s">
        <v>563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2:18">
      <c r="B992" t="s">
        <v>1623</v>
      </c>
      <c r="C992" t="s">
        <v>836</v>
      </c>
      <c r="D992" t="s">
        <v>563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2:19">
      <c r="B993" t="s">
        <v>1624</v>
      </c>
      <c r="C993" t="s">
        <v>836</v>
      </c>
      <c r="D993" t="s">
        <v>563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2:19">
      <c r="B994" t="s">
        <v>1625</v>
      </c>
      <c r="C994" t="s">
        <v>836</v>
      </c>
      <c r="D994" t="s">
        <v>563</v>
      </c>
      <c r="E994">
        <v>0</v>
      </c>
      <c r="F994">
        <v>0</v>
      </c>
      <c r="G994">
        <v>96.8</v>
      </c>
      <c r="H994">
        <v>10</v>
      </c>
      <c r="I994">
        <v>0</v>
      </c>
      <c r="J994">
        <v>0</v>
      </c>
      <c r="K994">
        <v>0</v>
      </c>
      <c r="L994">
        <v>0</v>
      </c>
      <c r="M994">
        <v>87.5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2:19">
      <c r="B995" t="s">
        <v>1626</v>
      </c>
      <c r="C995" t="s">
        <v>836</v>
      </c>
      <c r="D995" t="s">
        <v>563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2:19">
      <c r="B996" t="s">
        <v>5429</v>
      </c>
      <c r="C996" t="s">
        <v>836</v>
      </c>
      <c r="D996" t="s">
        <v>563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2:19">
      <c r="B997" t="s">
        <v>1627</v>
      </c>
      <c r="C997" t="s">
        <v>836</v>
      </c>
      <c r="D997" t="s">
        <v>563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2:19">
      <c r="B998" t="s">
        <v>1628</v>
      </c>
      <c r="C998" t="s">
        <v>836</v>
      </c>
      <c r="D998" t="s">
        <v>563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2:19">
      <c r="B999" t="s">
        <v>1629</v>
      </c>
      <c r="C999" t="s">
        <v>836</v>
      </c>
      <c r="D999" t="s">
        <v>563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2:19">
      <c r="B1000" t="s">
        <v>1630</v>
      </c>
      <c r="C1000" t="s">
        <v>836</v>
      </c>
      <c r="D1000" t="s">
        <v>563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60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2:19">
      <c r="B1001" t="s">
        <v>1631</v>
      </c>
      <c r="C1001" t="s">
        <v>836</v>
      </c>
      <c r="D1001" t="s">
        <v>563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2:19">
      <c r="B1002" t="s">
        <v>1632</v>
      </c>
      <c r="C1002" t="s">
        <v>836</v>
      </c>
      <c r="D1002" t="s">
        <v>563</v>
      </c>
      <c r="E1002">
        <v>9</v>
      </c>
      <c r="F1002">
        <v>26</v>
      </c>
      <c r="G1002">
        <v>47.99</v>
      </c>
      <c r="H1002">
        <v>9</v>
      </c>
      <c r="I1002">
        <v>26</v>
      </c>
      <c r="J1002">
        <v>26</v>
      </c>
      <c r="K1002">
        <v>26</v>
      </c>
      <c r="L1002">
        <v>26</v>
      </c>
      <c r="M1002">
        <v>26.5</v>
      </c>
      <c r="N1002">
        <v>-1.8800000000000001E-2</v>
      </c>
      <c r="O1002">
        <v>4</v>
      </c>
      <c r="P1002">
        <v>10400</v>
      </c>
      <c r="Q1002">
        <v>26</v>
      </c>
      <c r="R1002">
        <v>0</v>
      </c>
      <c r="S1002" t="s">
        <v>6231</v>
      </c>
    </row>
    <row r="1003" spans="2:19">
      <c r="B1003" t="s">
        <v>1633</v>
      </c>
      <c r="C1003" t="s">
        <v>836</v>
      </c>
      <c r="D1003" t="s">
        <v>563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2:19">
      <c r="B1004" t="s">
        <v>1634</v>
      </c>
      <c r="C1004" t="s">
        <v>836</v>
      </c>
      <c r="D1004" t="s">
        <v>563</v>
      </c>
      <c r="E1004">
        <v>25</v>
      </c>
      <c r="F1004">
        <v>44</v>
      </c>
      <c r="G1004">
        <v>46</v>
      </c>
      <c r="H1004">
        <v>81</v>
      </c>
      <c r="I1004">
        <v>46</v>
      </c>
      <c r="J1004">
        <v>46</v>
      </c>
      <c r="K1004">
        <v>46</v>
      </c>
      <c r="L1004">
        <v>46</v>
      </c>
      <c r="M1004">
        <v>44</v>
      </c>
      <c r="N1004">
        <v>4.5400000000000003E-2</v>
      </c>
      <c r="O1004">
        <v>19</v>
      </c>
      <c r="P1004">
        <v>87400</v>
      </c>
      <c r="Q1004">
        <v>46</v>
      </c>
      <c r="R1004">
        <v>0</v>
      </c>
      <c r="S1004" t="s">
        <v>6232</v>
      </c>
    </row>
    <row r="1005" spans="2:19">
      <c r="B1005" t="s">
        <v>1635</v>
      </c>
      <c r="C1005" t="s">
        <v>836</v>
      </c>
      <c r="D1005" t="s">
        <v>563</v>
      </c>
      <c r="E1005">
        <v>8</v>
      </c>
      <c r="F1005">
        <v>10.58</v>
      </c>
      <c r="G1005">
        <v>22</v>
      </c>
      <c r="H1005">
        <v>50</v>
      </c>
      <c r="I1005">
        <v>0</v>
      </c>
      <c r="J1005">
        <v>0</v>
      </c>
      <c r="K1005">
        <v>0</v>
      </c>
      <c r="L1005">
        <v>0</v>
      </c>
      <c r="M1005">
        <v>24.5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2:19">
      <c r="B1006" t="s">
        <v>5430</v>
      </c>
      <c r="C1006" t="s">
        <v>836</v>
      </c>
      <c r="D1006" t="s">
        <v>563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2:19">
      <c r="B1007" t="s">
        <v>5431</v>
      </c>
      <c r="C1007" t="s">
        <v>836</v>
      </c>
      <c r="D1007" t="s">
        <v>563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2:19">
      <c r="B1008" t="s">
        <v>1636</v>
      </c>
      <c r="C1008" t="s">
        <v>836</v>
      </c>
      <c r="D1008" t="s">
        <v>563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2:19">
      <c r="B1009" t="s">
        <v>1637</v>
      </c>
      <c r="C1009" t="s">
        <v>836</v>
      </c>
      <c r="D1009" t="s">
        <v>563</v>
      </c>
      <c r="E1009">
        <v>10</v>
      </c>
      <c r="F1009">
        <v>6</v>
      </c>
      <c r="G1009">
        <v>12.99</v>
      </c>
      <c r="H1009">
        <v>5</v>
      </c>
      <c r="I1009">
        <v>0</v>
      </c>
      <c r="J1009">
        <v>0</v>
      </c>
      <c r="K1009">
        <v>0</v>
      </c>
      <c r="L1009">
        <v>0</v>
      </c>
      <c r="M1009">
        <v>11.46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2:19">
      <c r="B1010" t="s">
        <v>1638</v>
      </c>
      <c r="C1010" t="s">
        <v>836</v>
      </c>
      <c r="D1010" t="s">
        <v>563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2:19">
      <c r="B1011" t="s">
        <v>5432</v>
      </c>
      <c r="C1011" t="s">
        <v>836</v>
      </c>
      <c r="D1011" t="s">
        <v>563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2:19">
      <c r="B1012" t="s">
        <v>1639</v>
      </c>
      <c r="C1012" t="s">
        <v>836</v>
      </c>
      <c r="D1012" t="s">
        <v>563</v>
      </c>
      <c r="E1012">
        <v>6</v>
      </c>
      <c r="F1012">
        <v>13.88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2:19">
      <c r="B1013" t="s">
        <v>1640</v>
      </c>
      <c r="C1013" t="s">
        <v>836</v>
      </c>
      <c r="D1013" t="s">
        <v>563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9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2:19">
      <c r="B1014" t="s">
        <v>5433</v>
      </c>
      <c r="C1014" t="s">
        <v>836</v>
      </c>
      <c r="D1014" t="s">
        <v>563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2:19">
      <c r="B1015" t="s">
        <v>5434</v>
      </c>
      <c r="C1015" t="s">
        <v>836</v>
      </c>
      <c r="D1015" t="s">
        <v>563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2:19">
      <c r="B1016" t="s">
        <v>1641</v>
      </c>
      <c r="C1016" t="s">
        <v>836</v>
      </c>
      <c r="D1016" t="s">
        <v>563</v>
      </c>
      <c r="E1016">
        <v>10</v>
      </c>
      <c r="F1016">
        <v>20</v>
      </c>
      <c r="G1016">
        <v>26.4</v>
      </c>
      <c r="H1016">
        <v>252</v>
      </c>
      <c r="I1016">
        <v>25</v>
      </c>
      <c r="J1016">
        <v>25</v>
      </c>
      <c r="K1016">
        <v>25</v>
      </c>
      <c r="L1016">
        <v>25</v>
      </c>
      <c r="M1016">
        <v>25</v>
      </c>
      <c r="N1016">
        <v>0</v>
      </c>
      <c r="O1016">
        <v>50</v>
      </c>
      <c r="P1016">
        <v>125000</v>
      </c>
      <c r="Q1016">
        <v>25</v>
      </c>
      <c r="R1016">
        <v>0</v>
      </c>
      <c r="S1016" t="s">
        <v>6233</v>
      </c>
    </row>
    <row r="1017" spans="2:19">
      <c r="B1017" t="s">
        <v>1642</v>
      </c>
      <c r="C1017" t="s">
        <v>836</v>
      </c>
      <c r="D1017" t="s">
        <v>563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3.6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2:19">
      <c r="B1018" t="s">
        <v>1643</v>
      </c>
      <c r="C1018" t="s">
        <v>836</v>
      </c>
      <c r="D1018" t="s">
        <v>563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2:19">
      <c r="B1019" t="s">
        <v>1644</v>
      </c>
      <c r="C1019" t="s">
        <v>836</v>
      </c>
      <c r="D1019" t="s">
        <v>563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2:19">
      <c r="B1020" t="s">
        <v>1645</v>
      </c>
      <c r="C1020" t="s">
        <v>836</v>
      </c>
      <c r="D1020" t="s">
        <v>563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2:19">
      <c r="B1021" t="s">
        <v>1646</v>
      </c>
      <c r="C1021" t="s">
        <v>836</v>
      </c>
      <c r="D1021" t="s">
        <v>563</v>
      </c>
      <c r="E1021">
        <v>54</v>
      </c>
      <c r="F1021">
        <v>0.6</v>
      </c>
      <c r="G1021">
        <v>7</v>
      </c>
      <c r="H1021">
        <v>5</v>
      </c>
      <c r="I1021">
        <v>0</v>
      </c>
      <c r="J1021">
        <v>0</v>
      </c>
      <c r="K1021">
        <v>0</v>
      </c>
      <c r="L1021">
        <v>0</v>
      </c>
      <c r="M1021">
        <v>10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2:19">
      <c r="B1022" t="s">
        <v>1647</v>
      </c>
      <c r="C1022" t="s">
        <v>836</v>
      </c>
      <c r="D1022" t="s">
        <v>563</v>
      </c>
      <c r="E1022">
        <v>5</v>
      </c>
      <c r="F1022">
        <v>17.95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2:19">
      <c r="B1023" t="s">
        <v>1648</v>
      </c>
      <c r="C1023" t="s">
        <v>836</v>
      </c>
      <c r="D1023" t="s">
        <v>563</v>
      </c>
      <c r="E1023">
        <v>0</v>
      </c>
      <c r="F1023">
        <v>0</v>
      </c>
      <c r="G1023">
        <v>20</v>
      </c>
      <c r="H1023">
        <v>110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2:19">
      <c r="B1024" t="s">
        <v>1649</v>
      </c>
      <c r="C1024" t="s">
        <v>836</v>
      </c>
      <c r="D1024" t="s">
        <v>563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15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2:18">
      <c r="B1025" t="s">
        <v>1650</v>
      </c>
      <c r="C1025" t="s">
        <v>836</v>
      </c>
      <c r="D1025" t="s">
        <v>563</v>
      </c>
      <c r="E1025">
        <v>101</v>
      </c>
      <c r="F1025">
        <v>0.3</v>
      </c>
      <c r="G1025">
        <v>1</v>
      </c>
      <c r="H1025">
        <v>1999</v>
      </c>
      <c r="I1025">
        <v>0</v>
      </c>
      <c r="J1025">
        <v>0</v>
      </c>
      <c r="K1025">
        <v>0</v>
      </c>
      <c r="L1025">
        <v>0</v>
      </c>
      <c r="M1025">
        <v>6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2:18">
      <c r="B1026" t="s">
        <v>1651</v>
      </c>
      <c r="C1026" t="s">
        <v>836</v>
      </c>
      <c r="D1026" t="s">
        <v>563</v>
      </c>
      <c r="E1026">
        <v>6</v>
      </c>
      <c r="F1026">
        <v>15.04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2:18">
      <c r="B1027" t="s">
        <v>1652</v>
      </c>
      <c r="C1027" t="s">
        <v>836</v>
      </c>
      <c r="D1027" t="s">
        <v>563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2:18">
      <c r="B1028" t="s">
        <v>1653</v>
      </c>
      <c r="C1028" t="s">
        <v>836</v>
      </c>
      <c r="D1028" t="s">
        <v>563</v>
      </c>
      <c r="E1028">
        <v>15</v>
      </c>
      <c r="F1028">
        <v>2.1920000000000002</v>
      </c>
      <c r="G1028">
        <v>18</v>
      </c>
      <c r="H1028">
        <v>20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2:18">
      <c r="B1029" t="s">
        <v>5435</v>
      </c>
      <c r="C1029" t="s">
        <v>836</v>
      </c>
      <c r="D1029" t="s">
        <v>563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2:18">
      <c r="B1030" t="s">
        <v>1654</v>
      </c>
      <c r="C1030" t="s">
        <v>836</v>
      </c>
      <c r="D1030" t="s">
        <v>563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2:18">
      <c r="B1031" t="s">
        <v>1655</v>
      </c>
      <c r="C1031" t="s">
        <v>836</v>
      </c>
      <c r="D1031" t="s">
        <v>563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2:18">
      <c r="B1032" t="s">
        <v>1656</v>
      </c>
      <c r="C1032" t="s">
        <v>836</v>
      </c>
      <c r="D1032" t="s">
        <v>563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2:18">
      <c r="B1033" t="s">
        <v>1657</v>
      </c>
      <c r="C1033" t="s">
        <v>836</v>
      </c>
      <c r="D1033" t="s">
        <v>563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2:18">
      <c r="B1034" t="s">
        <v>1658</v>
      </c>
      <c r="C1034" t="s">
        <v>836</v>
      </c>
      <c r="D1034" t="s">
        <v>563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2:18">
      <c r="B1035" t="s">
        <v>1659</v>
      </c>
      <c r="C1035" t="s">
        <v>836</v>
      </c>
      <c r="D1035" t="s">
        <v>563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2:18">
      <c r="B1036" t="s">
        <v>1660</v>
      </c>
      <c r="C1036" t="s">
        <v>836</v>
      </c>
      <c r="D1036" t="s">
        <v>563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2:18">
      <c r="B1037" t="s">
        <v>5436</v>
      </c>
      <c r="C1037" t="s">
        <v>836</v>
      </c>
      <c r="D1037" t="s">
        <v>563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2:18">
      <c r="B1038" t="s">
        <v>1661</v>
      </c>
      <c r="C1038" t="s">
        <v>836</v>
      </c>
      <c r="D1038" t="s">
        <v>563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2:18">
      <c r="B1039" t="s">
        <v>1662</v>
      </c>
      <c r="C1039" t="s">
        <v>836</v>
      </c>
      <c r="D1039" t="s">
        <v>563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2:18">
      <c r="B1040" t="s">
        <v>1663</v>
      </c>
      <c r="C1040" t="s">
        <v>836</v>
      </c>
      <c r="D1040" t="s">
        <v>563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2:18">
      <c r="B1041" t="s">
        <v>5437</v>
      </c>
      <c r="C1041" t="s">
        <v>836</v>
      </c>
      <c r="D1041" t="s">
        <v>563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2:18">
      <c r="B1042" t="s">
        <v>1664</v>
      </c>
      <c r="C1042" t="s">
        <v>836</v>
      </c>
      <c r="D1042" t="s">
        <v>563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2:18">
      <c r="B1043" t="s">
        <v>5438</v>
      </c>
      <c r="C1043" t="s">
        <v>836</v>
      </c>
      <c r="D1043" t="s">
        <v>563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2:18">
      <c r="B1044" t="s">
        <v>1665</v>
      </c>
      <c r="C1044" t="s">
        <v>836</v>
      </c>
      <c r="D1044" t="s">
        <v>563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2:18">
      <c r="B1045" t="s">
        <v>1666</v>
      </c>
      <c r="C1045" t="s">
        <v>836</v>
      </c>
      <c r="D1045" t="s">
        <v>563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2:18">
      <c r="B1046" t="s">
        <v>1667</v>
      </c>
      <c r="C1046" t="s">
        <v>836</v>
      </c>
      <c r="D1046" t="s">
        <v>563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2:18">
      <c r="B1047" t="s">
        <v>1668</v>
      </c>
      <c r="C1047" t="s">
        <v>836</v>
      </c>
      <c r="D1047" t="s">
        <v>563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2:18">
      <c r="B1048" t="s">
        <v>1669</v>
      </c>
      <c r="C1048" t="s">
        <v>836</v>
      </c>
      <c r="D1048" t="s">
        <v>563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</row>
    <row r="1049" spans="2:18">
      <c r="B1049" t="s">
        <v>1670</v>
      </c>
      <c r="C1049" t="s">
        <v>836</v>
      </c>
      <c r="D1049" t="s">
        <v>563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2:18">
      <c r="B1050" t="s">
        <v>1671</v>
      </c>
      <c r="C1050" t="s">
        <v>836</v>
      </c>
      <c r="D1050" t="s">
        <v>563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2:18">
      <c r="B1051" t="s">
        <v>1672</v>
      </c>
      <c r="C1051" t="s">
        <v>836</v>
      </c>
      <c r="D1051" t="s">
        <v>563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2:18">
      <c r="B1052" t="s">
        <v>1673</v>
      </c>
      <c r="C1052" t="s">
        <v>836</v>
      </c>
      <c r="D1052" t="s">
        <v>563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2:18">
      <c r="B1053" t="s">
        <v>1674</v>
      </c>
      <c r="C1053" t="s">
        <v>836</v>
      </c>
      <c r="D1053" t="s">
        <v>563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2:18">
      <c r="B1054" t="s">
        <v>1675</v>
      </c>
      <c r="C1054" t="s">
        <v>836</v>
      </c>
      <c r="D1054" t="s">
        <v>563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2:18">
      <c r="B1055" t="s">
        <v>1676</v>
      </c>
      <c r="C1055" t="s">
        <v>836</v>
      </c>
      <c r="D1055" t="s">
        <v>563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2:18">
      <c r="B1056" t="s">
        <v>1677</v>
      </c>
      <c r="C1056" t="s">
        <v>836</v>
      </c>
      <c r="D1056" t="s">
        <v>563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2:18">
      <c r="B1057" t="s">
        <v>1678</v>
      </c>
      <c r="C1057" t="s">
        <v>836</v>
      </c>
      <c r="D1057" t="s">
        <v>563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2:18">
      <c r="B1058" t="s">
        <v>1679</v>
      </c>
      <c r="C1058" t="s">
        <v>836</v>
      </c>
      <c r="D1058" t="s">
        <v>563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2:18">
      <c r="B1059" t="s">
        <v>1680</v>
      </c>
      <c r="C1059" t="s">
        <v>836</v>
      </c>
      <c r="D1059" t="s">
        <v>563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2:18">
      <c r="B1060" t="s">
        <v>1681</v>
      </c>
      <c r="C1060" t="s">
        <v>836</v>
      </c>
      <c r="D1060" t="s">
        <v>563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2:18">
      <c r="B1061" t="s">
        <v>1682</v>
      </c>
      <c r="C1061" t="s">
        <v>836</v>
      </c>
      <c r="D1061" t="s">
        <v>563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</row>
    <row r="1062" spans="2:18">
      <c r="B1062" t="s">
        <v>1683</v>
      </c>
      <c r="C1062" t="s">
        <v>836</v>
      </c>
      <c r="D1062" t="s">
        <v>563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2:18">
      <c r="B1063" t="s">
        <v>1684</v>
      </c>
      <c r="C1063" t="s">
        <v>836</v>
      </c>
      <c r="D1063" t="s">
        <v>563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2:18">
      <c r="B1064" t="s">
        <v>1685</v>
      </c>
      <c r="C1064" t="s">
        <v>836</v>
      </c>
      <c r="D1064" t="s">
        <v>563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2:18">
      <c r="B1065" t="s">
        <v>1686</v>
      </c>
      <c r="C1065" t="s">
        <v>836</v>
      </c>
      <c r="D1065" t="s">
        <v>563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2:18">
      <c r="B1066" t="s">
        <v>1687</v>
      </c>
      <c r="C1066" t="s">
        <v>836</v>
      </c>
      <c r="D1066" t="s">
        <v>563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2:18">
      <c r="B1067" t="s">
        <v>1688</v>
      </c>
      <c r="C1067" t="s">
        <v>836</v>
      </c>
      <c r="D1067" t="s">
        <v>563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4.57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2:18">
      <c r="B1068" t="s">
        <v>1689</v>
      </c>
      <c r="C1068" t="s">
        <v>836</v>
      </c>
      <c r="D1068" t="s">
        <v>563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12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2:18">
      <c r="B1069" t="s">
        <v>1690</v>
      </c>
      <c r="C1069" t="s">
        <v>836</v>
      </c>
      <c r="D1069" t="s">
        <v>563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2:18">
      <c r="B1070" t="s">
        <v>1691</v>
      </c>
      <c r="C1070" t="s">
        <v>836</v>
      </c>
      <c r="D1070" t="s">
        <v>563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2:18">
      <c r="B1071" t="s">
        <v>1692</v>
      </c>
      <c r="C1071" t="s">
        <v>836</v>
      </c>
      <c r="D1071" t="s">
        <v>563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2:18">
      <c r="B1072" t="s">
        <v>1693</v>
      </c>
      <c r="C1072" t="s">
        <v>836</v>
      </c>
      <c r="D1072" t="s">
        <v>563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2:18">
      <c r="B1073" t="s">
        <v>1694</v>
      </c>
      <c r="C1073" t="s">
        <v>836</v>
      </c>
      <c r="D1073" t="s">
        <v>563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7.75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2:18">
      <c r="B1074" t="s">
        <v>1695</v>
      </c>
      <c r="C1074" t="s">
        <v>836</v>
      </c>
      <c r="D1074" t="s">
        <v>563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2:18">
      <c r="B1075" t="s">
        <v>1696</v>
      </c>
      <c r="C1075" t="s">
        <v>836</v>
      </c>
      <c r="D1075" t="s">
        <v>563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2:18">
      <c r="B1076" t="s">
        <v>1697</v>
      </c>
      <c r="C1076" t="s">
        <v>836</v>
      </c>
      <c r="D1076" t="s">
        <v>563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2:18">
      <c r="B1077" t="s">
        <v>1698</v>
      </c>
      <c r="C1077" t="s">
        <v>836</v>
      </c>
      <c r="D1077" t="s">
        <v>563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2:18">
      <c r="B1078" t="s">
        <v>1699</v>
      </c>
      <c r="C1078" t="s">
        <v>836</v>
      </c>
      <c r="D1078" t="s">
        <v>563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2:18">
      <c r="B1079" t="s">
        <v>1700</v>
      </c>
      <c r="C1079" t="s">
        <v>836</v>
      </c>
      <c r="D1079" t="s">
        <v>563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2:18">
      <c r="B1080" t="s">
        <v>1701</v>
      </c>
      <c r="C1080" t="s">
        <v>836</v>
      </c>
      <c r="D1080" t="s">
        <v>563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2:18">
      <c r="B1081" t="s">
        <v>1702</v>
      </c>
      <c r="C1081" t="s">
        <v>836</v>
      </c>
      <c r="D1081" t="s">
        <v>563</v>
      </c>
      <c r="E1081">
        <v>16</v>
      </c>
      <c r="F1081">
        <v>3.78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2:18">
      <c r="B1082" t="s">
        <v>5439</v>
      </c>
      <c r="C1082" t="s">
        <v>836</v>
      </c>
      <c r="D1082" t="s">
        <v>563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2:18">
      <c r="B1083" t="s">
        <v>1703</v>
      </c>
      <c r="C1083" t="s">
        <v>836</v>
      </c>
      <c r="D1083" t="s">
        <v>563</v>
      </c>
      <c r="E1083">
        <v>18</v>
      </c>
      <c r="F1083">
        <v>3.55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2:18">
      <c r="B1084" t="s">
        <v>1704</v>
      </c>
      <c r="C1084" t="s">
        <v>836</v>
      </c>
      <c r="D1084" t="s">
        <v>563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17.53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2:18">
      <c r="B1085" t="s">
        <v>1705</v>
      </c>
      <c r="C1085" t="s">
        <v>836</v>
      </c>
      <c r="D1085" t="s">
        <v>563</v>
      </c>
      <c r="E1085">
        <v>12</v>
      </c>
      <c r="F1085">
        <v>6.36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2:18">
      <c r="B1086" t="s">
        <v>5440</v>
      </c>
      <c r="C1086" t="s">
        <v>836</v>
      </c>
      <c r="D1086" t="s">
        <v>563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2:18">
      <c r="B1087" t="s">
        <v>1706</v>
      </c>
      <c r="C1087" t="s">
        <v>836</v>
      </c>
      <c r="D1087" t="s">
        <v>563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2:18">
      <c r="B1088" t="s">
        <v>1707</v>
      </c>
      <c r="C1088" t="s">
        <v>836</v>
      </c>
      <c r="D1088" t="s">
        <v>563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6.62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2:18">
      <c r="B1089" t="s">
        <v>1708</v>
      </c>
      <c r="C1089" t="s">
        <v>836</v>
      </c>
      <c r="D1089" t="s">
        <v>563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2:18">
      <c r="B1090" t="s">
        <v>1709</v>
      </c>
      <c r="C1090" t="s">
        <v>836</v>
      </c>
      <c r="D1090" t="s">
        <v>563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2:18">
      <c r="B1091" t="s">
        <v>1710</v>
      </c>
      <c r="C1091" t="s">
        <v>836</v>
      </c>
      <c r="D1091" t="s">
        <v>563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2:18">
      <c r="B1092" t="s">
        <v>1711</v>
      </c>
      <c r="C1092" t="s">
        <v>836</v>
      </c>
      <c r="D1092" t="s">
        <v>563</v>
      </c>
      <c r="E1092">
        <v>18</v>
      </c>
      <c r="F1092">
        <v>8.75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2:18">
      <c r="B1093" t="s">
        <v>1712</v>
      </c>
      <c r="C1093" t="s">
        <v>836</v>
      </c>
      <c r="D1093" t="s">
        <v>563</v>
      </c>
      <c r="E1093">
        <v>8</v>
      </c>
      <c r="F1093">
        <v>15.09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2:18">
      <c r="B1094" t="s">
        <v>1713</v>
      </c>
      <c r="C1094" t="s">
        <v>836</v>
      </c>
      <c r="D1094" t="s">
        <v>563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2:18">
      <c r="B1095" t="s">
        <v>1714</v>
      </c>
      <c r="C1095" t="s">
        <v>836</v>
      </c>
      <c r="D1095" t="s">
        <v>563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2:18">
      <c r="B1096" t="s">
        <v>1715</v>
      </c>
      <c r="C1096" t="s">
        <v>836</v>
      </c>
      <c r="D1096" t="s">
        <v>563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2:18">
      <c r="B1097" t="s">
        <v>1716</v>
      </c>
      <c r="C1097" t="s">
        <v>836</v>
      </c>
      <c r="D1097" t="s">
        <v>563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2:18">
      <c r="B1098" t="s">
        <v>1717</v>
      </c>
      <c r="C1098" t="s">
        <v>836</v>
      </c>
      <c r="D1098" t="s">
        <v>563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2:18">
      <c r="B1099" t="s">
        <v>1718</v>
      </c>
      <c r="C1099" t="s">
        <v>836</v>
      </c>
      <c r="D1099" t="s">
        <v>563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2:18">
      <c r="B1100" t="s">
        <v>1719</v>
      </c>
      <c r="C1100" t="s">
        <v>836</v>
      </c>
      <c r="D1100" t="s">
        <v>563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2:18">
      <c r="B1101" t="s">
        <v>1720</v>
      </c>
      <c r="C1101" t="s">
        <v>836</v>
      </c>
      <c r="D1101" t="s">
        <v>563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2:18">
      <c r="B1102" t="s">
        <v>1721</v>
      </c>
      <c r="C1102" t="s">
        <v>836</v>
      </c>
      <c r="D1102" t="s">
        <v>563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2:18">
      <c r="B1103" t="s">
        <v>5441</v>
      </c>
      <c r="C1103" t="s">
        <v>836</v>
      </c>
      <c r="D1103" t="s">
        <v>563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2:18">
      <c r="B1104" t="s">
        <v>5442</v>
      </c>
      <c r="C1104" t="s">
        <v>836</v>
      </c>
      <c r="D1104" t="s">
        <v>563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2:18">
      <c r="B1105" t="s">
        <v>5443</v>
      </c>
      <c r="C1105" t="s">
        <v>836</v>
      </c>
      <c r="D1105" t="s">
        <v>563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2:18">
      <c r="B1106" t="s">
        <v>1722</v>
      </c>
      <c r="C1106" t="s">
        <v>836</v>
      </c>
      <c r="D1106" t="s">
        <v>563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2:18">
      <c r="B1107" t="s">
        <v>5444</v>
      </c>
      <c r="C1107" t="s">
        <v>836</v>
      </c>
      <c r="D1107" t="s">
        <v>563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2:18">
      <c r="B1108" t="s">
        <v>5445</v>
      </c>
      <c r="C1108" t="s">
        <v>836</v>
      </c>
      <c r="D1108" t="s">
        <v>563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2:18">
      <c r="B1109" t="s">
        <v>5446</v>
      </c>
      <c r="C1109" t="s">
        <v>836</v>
      </c>
      <c r="D1109" t="s">
        <v>563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2:18">
      <c r="B1110" t="s">
        <v>1723</v>
      </c>
      <c r="C1110" t="s">
        <v>836</v>
      </c>
      <c r="D1110" t="s">
        <v>563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2:18">
      <c r="B1111" t="s">
        <v>1724</v>
      </c>
      <c r="C1111" t="s">
        <v>836</v>
      </c>
      <c r="D1111" t="s">
        <v>563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2:18">
      <c r="B1112" t="s">
        <v>5447</v>
      </c>
      <c r="C1112" t="s">
        <v>836</v>
      </c>
      <c r="D1112" t="s">
        <v>563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2:18">
      <c r="B1113" t="s">
        <v>5448</v>
      </c>
      <c r="C1113" t="s">
        <v>836</v>
      </c>
      <c r="D1113" t="s">
        <v>563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2:18">
      <c r="B1114" t="s">
        <v>1725</v>
      </c>
      <c r="C1114" t="s">
        <v>836</v>
      </c>
      <c r="D1114" t="s">
        <v>563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2:18">
      <c r="B1115" t="s">
        <v>5449</v>
      </c>
      <c r="C1115" t="s">
        <v>836</v>
      </c>
      <c r="D1115" t="s">
        <v>563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2:18">
      <c r="B1116" t="s">
        <v>5450</v>
      </c>
      <c r="C1116" t="s">
        <v>836</v>
      </c>
      <c r="D1116" t="s">
        <v>563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2:18">
      <c r="B1117" t="s">
        <v>5451</v>
      </c>
      <c r="C1117" t="s">
        <v>836</v>
      </c>
      <c r="D1117" t="s">
        <v>563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2:18">
      <c r="B1118" t="s">
        <v>5452</v>
      </c>
      <c r="C1118" t="s">
        <v>836</v>
      </c>
      <c r="D1118" t="s">
        <v>563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2:18">
      <c r="B1119" t="s">
        <v>1726</v>
      </c>
      <c r="C1119" t="s">
        <v>836</v>
      </c>
      <c r="D1119" t="s">
        <v>563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2:18">
      <c r="B1120" t="s">
        <v>1727</v>
      </c>
      <c r="C1120" t="s">
        <v>836</v>
      </c>
      <c r="D1120" t="s">
        <v>563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2:18">
      <c r="B1121" t="s">
        <v>1728</v>
      </c>
      <c r="C1121" t="s">
        <v>836</v>
      </c>
      <c r="D1121" t="s">
        <v>563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2:18">
      <c r="B1122" t="s">
        <v>1729</v>
      </c>
      <c r="C1122" t="s">
        <v>836</v>
      </c>
      <c r="D1122" t="s">
        <v>563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2:18">
      <c r="B1123" t="s">
        <v>1730</v>
      </c>
      <c r="C1123" t="s">
        <v>836</v>
      </c>
      <c r="D1123" t="s">
        <v>563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2:18">
      <c r="B1124" t="s">
        <v>1731</v>
      </c>
      <c r="C1124" t="s">
        <v>836</v>
      </c>
      <c r="D1124" t="s">
        <v>563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2:18">
      <c r="B1125" t="s">
        <v>1732</v>
      </c>
      <c r="C1125" t="s">
        <v>836</v>
      </c>
      <c r="D1125" t="s">
        <v>563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2:18">
      <c r="B1126" t="s">
        <v>5453</v>
      </c>
      <c r="C1126" t="s">
        <v>836</v>
      </c>
      <c r="D1126" t="s">
        <v>563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2:18">
      <c r="B1127" t="s">
        <v>5454</v>
      </c>
      <c r="C1127" t="s">
        <v>836</v>
      </c>
      <c r="D1127" t="s">
        <v>563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2:18">
      <c r="B1128" t="s">
        <v>5455</v>
      </c>
      <c r="C1128" t="s">
        <v>836</v>
      </c>
      <c r="D1128" t="s">
        <v>563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2:18">
      <c r="B1129" t="s">
        <v>1733</v>
      </c>
      <c r="C1129" t="s">
        <v>836</v>
      </c>
      <c r="D1129" t="s">
        <v>563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2:18">
      <c r="B1130" t="s">
        <v>5456</v>
      </c>
      <c r="C1130" t="s">
        <v>836</v>
      </c>
      <c r="D1130" t="s">
        <v>563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2:18">
      <c r="B1131" t="s">
        <v>5457</v>
      </c>
      <c r="C1131" t="s">
        <v>836</v>
      </c>
      <c r="D1131" t="s">
        <v>563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2:18">
      <c r="B1132" t="s">
        <v>1734</v>
      </c>
      <c r="C1132" t="s">
        <v>836</v>
      </c>
      <c r="D1132" t="s">
        <v>563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2:18">
      <c r="B1133" t="s">
        <v>1735</v>
      </c>
      <c r="C1133" t="s">
        <v>836</v>
      </c>
      <c r="D1133" t="s">
        <v>563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2:18">
      <c r="B1134" t="s">
        <v>5458</v>
      </c>
      <c r="C1134" t="s">
        <v>836</v>
      </c>
      <c r="D1134" t="s">
        <v>563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2:18">
      <c r="B1135" t="s">
        <v>5459</v>
      </c>
      <c r="C1135" t="s">
        <v>836</v>
      </c>
      <c r="D1135" t="s">
        <v>563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2:18">
      <c r="B1136" t="s">
        <v>1736</v>
      </c>
      <c r="C1136" t="s">
        <v>836</v>
      </c>
      <c r="D1136" t="s">
        <v>563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2:18">
      <c r="B1137" t="s">
        <v>1737</v>
      </c>
      <c r="C1137" t="s">
        <v>836</v>
      </c>
      <c r="D1137" t="s">
        <v>563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2:18">
      <c r="B1138" t="s">
        <v>5460</v>
      </c>
      <c r="C1138" t="s">
        <v>836</v>
      </c>
      <c r="D1138" t="s">
        <v>563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2:18">
      <c r="B1139" t="s">
        <v>5461</v>
      </c>
      <c r="C1139" t="s">
        <v>836</v>
      </c>
      <c r="D1139" t="s">
        <v>563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2:18">
      <c r="B1140" t="s">
        <v>1738</v>
      </c>
      <c r="C1140" t="s">
        <v>836</v>
      </c>
      <c r="D1140" t="s">
        <v>563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2:18">
      <c r="B1141" t="s">
        <v>1739</v>
      </c>
      <c r="C1141" t="s">
        <v>836</v>
      </c>
      <c r="D1141" t="s">
        <v>563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2:18">
      <c r="B1142" t="s">
        <v>5462</v>
      </c>
      <c r="C1142" t="s">
        <v>836</v>
      </c>
      <c r="D1142" t="s">
        <v>563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2:18">
      <c r="B1143" t="s">
        <v>1740</v>
      </c>
      <c r="C1143" t="s">
        <v>836</v>
      </c>
      <c r="D1143" t="s">
        <v>563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2:18">
      <c r="B1144" t="s">
        <v>5463</v>
      </c>
      <c r="C1144" t="s">
        <v>836</v>
      </c>
      <c r="D1144" t="s">
        <v>563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2:18">
      <c r="B1145" t="s">
        <v>5464</v>
      </c>
      <c r="C1145" t="s">
        <v>836</v>
      </c>
      <c r="D1145" t="s">
        <v>563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2:18">
      <c r="B1146" t="s">
        <v>5465</v>
      </c>
      <c r="C1146" t="s">
        <v>836</v>
      </c>
      <c r="D1146" t="s">
        <v>563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2:18">
      <c r="B1147" t="s">
        <v>1741</v>
      </c>
      <c r="C1147" t="s">
        <v>836</v>
      </c>
      <c r="D1147" t="s">
        <v>563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2:18">
      <c r="B1148" t="s">
        <v>5466</v>
      </c>
      <c r="C1148" t="s">
        <v>836</v>
      </c>
      <c r="D1148" t="s">
        <v>563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2:18">
      <c r="B1149" t="s">
        <v>5467</v>
      </c>
      <c r="C1149" t="s">
        <v>836</v>
      </c>
      <c r="D1149" t="s">
        <v>563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2:18">
      <c r="B1150" t="s">
        <v>5468</v>
      </c>
      <c r="C1150" t="s">
        <v>836</v>
      </c>
      <c r="D1150" t="s">
        <v>563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2:18">
      <c r="B1151" t="s">
        <v>1742</v>
      </c>
      <c r="C1151" t="s">
        <v>836</v>
      </c>
      <c r="D1151" t="s">
        <v>563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2:18">
      <c r="B1152" t="s">
        <v>5469</v>
      </c>
      <c r="C1152" t="s">
        <v>836</v>
      </c>
      <c r="D1152" t="s">
        <v>563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2:18">
      <c r="B1153" t="s">
        <v>1743</v>
      </c>
      <c r="C1153" t="s">
        <v>836</v>
      </c>
      <c r="D1153" t="s">
        <v>563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2:18">
      <c r="B1154" t="s">
        <v>1744</v>
      </c>
      <c r="C1154" t="s">
        <v>836</v>
      </c>
      <c r="D1154" t="s">
        <v>563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2:18">
      <c r="B1155" t="s">
        <v>1745</v>
      </c>
      <c r="C1155" t="s">
        <v>836</v>
      </c>
      <c r="D1155" t="s">
        <v>563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2:18">
      <c r="B1156" t="s">
        <v>5470</v>
      </c>
      <c r="C1156" t="s">
        <v>836</v>
      </c>
      <c r="D1156" t="s">
        <v>563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2:18">
      <c r="B1157" t="s">
        <v>1746</v>
      </c>
      <c r="C1157" t="s">
        <v>836</v>
      </c>
      <c r="D1157" t="s">
        <v>563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2:18">
      <c r="B1158" t="s">
        <v>1747</v>
      </c>
      <c r="C1158" t="s">
        <v>836</v>
      </c>
      <c r="D1158" t="s">
        <v>563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2:18">
      <c r="B1159" t="s">
        <v>1748</v>
      </c>
      <c r="C1159" t="s">
        <v>836</v>
      </c>
      <c r="D1159" t="s">
        <v>563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2:18">
      <c r="B1160" t="s">
        <v>5471</v>
      </c>
      <c r="C1160" t="s">
        <v>836</v>
      </c>
      <c r="D1160" t="s">
        <v>563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2:18">
      <c r="B1161" t="s">
        <v>5472</v>
      </c>
      <c r="C1161" t="s">
        <v>836</v>
      </c>
      <c r="D1161" t="s">
        <v>563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2:18">
      <c r="B1162" t="s">
        <v>1749</v>
      </c>
      <c r="C1162" t="s">
        <v>836</v>
      </c>
      <c r="D1162" t="s">
        <v>563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2:18">
      <c r="B1163" t="s">
        <v>1750</v>
      </c>
      <c r="C1163" t="s">
        <v>836</v>
      </c>
      <c r="D1163" t="s">
        <v>563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2:18">
      <c r="B1164" t="s">
        <v>1751</v>
      </c>
      <c r="C1164" t="s">
        <v>836</v>
      </c>
      <c r="D1164" t="s">
        <v>563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2:18">
      <c r="B1165" t="s">
        <v>1752</v>
      </c>
      <c r="C1165" t="s">
        <v>836</v>
      </c>
      <c r="D1165" t="s">
        <v>563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2:18">
      <c r="B1166" t="s">
        <v>1753</v>
      </c>
      <c r="C1166" t="s">
        <v>836</v>
      </c>
      <c r="D1166" t="s">
        <v>563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2:18">
      <c r="B1167" t="s">
        <v>1754</v>
      </c>
      <c r="C1167" t="s">
        <v>836</v>
      </c>
      <c r="D1167" t="s">
        <v>563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993.7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2:18">
      <c r="B1168" t="s">
        <v>1755</v>
      </c>
      <c r="C1168" t="s">
        <v>836</v>
      </c>
      <c r="D1168" t="s">
        <v>563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500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2:18">
      <c r="B1169" t="s">
        <v>1756</v>
      </c>
      <c r="C1169" t="s">
        <v>836</v>
      </c>
      <c r="D1169" t="s">
        <v>563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2:18">
      <c r="B1170" t="s">
        <v>1757</v>
      </c>
      <c r="C1170" t="s">
        <v>836</v>
      </c>
      <c r="D1170" t="s">
        <v>563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2:18">
      <c r="B1171" t="s">
        <v>1758</v>
      </c>
      <c r="C1171" t="s">
        <v>836</v>
      </c>
      <c r="D1171" t="s">
        <v>563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2:18">
      <c r="B1172" t="s">
        <v>1759</v>
      </c>
      <c r="C1172" t="s">
        <v>836</v>
      </c>
      <c r="D1172" t="s">
        <v>563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2:18">
      <c r="B1173" t="s">
        <v>1760</v>
      </c>
      <c r="C1173" t="s">
        <v>836</v>
      </c>
      <c r="D1173" t="s">
        <v>563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2:18">
      <c r="B1174" t="s">
        <v>1761</v>
      </c>
      <c r="C1174" t="s">
        <v>836</v>
      </c>
      <c r="D1174" t="s">
        <v>563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2:18">
      <c r="B1175" t="s">
        <v>1762</v>
      </c>
      <c r="C1175" t="s">
        <v>836</v>
      </c>
      <c r="D1175" t="s">
        <v>563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2:18">
      <c r="B1176" t="s">
        <v>1763</v>
      </c>
      <c r="C1176" t="s">
        <v>836</v>
      </c>
      <c r="D1176" t="s">
        <v>563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2:18">
      <c r="B1177" t="s">
        <v>1764</v>
      </c>
      <c r="C1177" t="s">
        <v>836</v>
      </c>
      <c r="D1177" t="s">
        <v>563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2:18">
      <c r="B1178" t="s">
        <v>1765</v>
      </c>
      <c r="C1178" t="s">
        <v>836</v>
      </c>
      <c r="D1178" t="s">
        <v>563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2:18">
      <c r="B1179" t="s">
        <v>1766</v>
      </c>
      <c r="C1179" t="s">
        <v>836</v>
      </c>
      <c r="D1179" t="s">
        <v>563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2:18">
      <c r="B1180" t="s">
        <v>1767</v>
      </c>
      <c r="C1180" t="s">
        <v>836</v>
      </c>
      <c r="D1180" t="s">
        <v>563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2:18">
      <c r="B1181" t="s">
        <v>1768</v>
      </c>
      <c r="C1181" t="s">
        <v>836</v>
      </c>
      <c r="D1181" t="s">
        <v>563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2:18">
      <c r="B1182" t="s">
        <v>1769</v>
      </c>
      <c r="C1182" t="s">
        <v>836</v>
      </c>
      <c r="D1182" t="s">
        <v>563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2:18">
      <c r="B1183" t="s">
        <v>1770</v>
      </c>
      <c r="C1183" t="s">
        <v>836</v>
      </c>
      <c r="D1183" t="s">
        <v>563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2:18">
      <c r="B1184" t="s">
        <v>1771</v>
      </c>
      <c r="C1184" t="s">
        <v>836</v>
      </c>
      <c r="D1184" t="s">
        <v>563</v>
      </c>
      <c r="E1184">
        <v>0</v>
      </c>
      <c r="F1184">
        <v>0</v>
      </c>
      <c r="G1184">
        <v>280</v>
      </c>
      <c r="H1184">
        <v>30</v>
      </c>
      <c r="I1184">
        <v>0</v>
      </c>
      <c r="J1184">
        <v>0</v>
      </c>
      <c r="K1184">
        <v>0</v>
      </c>
      <c r="L1184">
        <v>0</v>
      </c>
      <c r="M1184">
        <v>270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2:18">
      <c r="B1185" t="s">
        <v>1772</v>
      </c>
      <c r="C1185" t="s">
        <v>836</v>
      </c>
      <c r="D1185" t="s">
        <v>563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2:18">
      <c r="B1186" t="s">
        <v>1773</v>
      </c>
      <c r="C1186" t="s">
        <v>836</v>
      </c>
      <c r="D1186" t="s">
        <v>563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2:18">
      <c r="B1187" t="s">
        <v>1774</v>
      </c>
      <c r="C1187" t="s">
        <v>836</v>
      </c>
      <c r="D1187" t="s">
        <v>563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2:18">
      <c r="B1188" t="s">
        <v>1775</v>
      </c>
      <c r="C1188" t="s">
        <v>836</v>
      </c>
      <c r="D1188" t="s">
        <v>563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2:18">
      <c r="B1189" t="s">
        <v>1776</v>
      </c>
      <c r="C1189" t="s">
        <v>836</v>
      </c>
      <c r="D1189" t="s">
        <v>563</v>
      </c>
      <c r="E1189">
        <v>0</v>
      </c>
      <c r="F1189">
        <v>0</v>
      </c>
      <c r="G1189">
        <v>80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90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2:18">
      <c r="B1190" t="s">
        <v>1777</v>
      </c>
      <c r="C1190" t="s">
        <v>836</v>
      </c>
      <c r="D1190" t="s">
        <v>563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2:18">
      <c r="B1191" t="s">
        <v>1778</v>
      </c>
      <c r="C1191" t="s">
        <v>836</v>
      </c>
      <c r="D1191" t="s">
        <v>563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2:18">
      <c r="B1192" t="s">
        <v>1779</v>
      </c>
      <c r="C1192" t="s">
        <v>836</v>
      </c>
      <c r="D1192" t="s">
        <v>563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2:18">
      <c r="B1193" t="s">
        <v>1780</v>
      </c>
      <c r="C1193" t="s">
        <v>836</v>
      </c>
      <c r="D1193" t="s">
        <v>563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2:18">
      <c r="B1194" t="s">
        <v>1781</v>
      </c>
      <c r="C1194" t="s">
        <v>836</v>
      </c>
      <c r="D1194" t="s">
        <v>563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2:18">
      <c r="B1195" t="s">
        <v>1782</v>
      </c>
      <c r="C1195" t="s">
        <v>836</v>
      </c>
      <c r="D1195" t="s">
        <v>563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2:18">
      <c r="B1196" t="s">
        <v>1783</v>
      </c>
      <c r="C1196" t="s">
        <v>836</v>
      </c>
      <c r="D1196" t="s">
        <v>563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2:18">
      <c r="B1197" t="s">
        <v>1784</v>
      </c>
      <c r="C1197" t="s">
        <v>836</v>
      </c>
      <c r="D1197" t="s">
        <v>563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2:18">
      <c r="B1198" t="s">
        <v>1785</v>
      </c>
      <c r="C1198" t="s">
        <v>836</v>
      </c>
      <c r="D1198" t="s">
        <v>563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2:18">
      <c r="B1199" t="s">
        <v>1786</v>
      </c>
      <c r="C1199" t="s">
        <v>836</v>
      </c>
      <c r="D1199" t="s">
        <v>563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2:18">
      <c r="B1200" t="s">
        <v>1787</v>
      </c>
      <c r="C1200" t="s">
        <v>836</v>
      </c>
      <c r="D1200" t="s">
        <v>563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2:18">
      <c r="B1201" t="s">
        <v>1788</v>
      </c>
      <c r="C1201" t="s">
        <v>836</v>
      </c>
      <c r="D1201" t="s">
        <v>563</v>
      </c>
      <c r="E1201">
        <v>3</v>
      </c>
      <c r="F1201">
        <v>30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45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2:18">
      <c r="B1202" t="s">
        <v>1789</v>
      </c>
      <c r="C1202" t="s">
        <v>836</v>
      </c>
      <c r="D1202" t="s">
        <v>563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2:18">
      <c r="B1203" t="s">
        <v>1790</v>
      </c>
      <c r="C1203" t="s">
        <v>836</v>
      </c>
      <c r="D1203" t="s">
        <v>563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2:18">
      <c r="B1204" t="s">
        <v>1791</v>
      </c>
      <c r="C1204" t="s">
        <v>836</v>
      </c>
      <c r="D1204" t="s">
        <v>563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2:18">
      <c r="B1205" t="s">
        <v>1792</v>
      </c>
      <c r="C1205" t="s">
        <v>836</v>
      </c>
      <c r="D1205" t="s">
        <v>563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2:18">
      <c r="B1206" t="s">
        <v>1793</v>
      </c>
      <c r="C1206" t="s">
        <v>836</v>
      </c>
      <c r="D1206" t="s">
        <v>563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2:18">
      <c r="B1207" t="s">
        <v>1794</v>
      </c>
      <c r="C1207" t="s">
        <v>836</v>
      </c>
      <c r="D1207" t="s">
        <v>563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2:18">
      <c r="B1208" t="s">
        <v>1795</v>
      </c>
      <c r="C1208" t="s">
        <v>836</v>
      </c>
      <c r="D1208" t="s">
        <v>563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2:18">
      <c r="B1209" t="s">
        <v>1796</v>
      </c>
      <c r="C1209" t="s">
        <v>836</v>
      </c>
      <c r="D1209" t="s">
        <v>563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2:18">
      <c r="B1210" t="s">
        <v>1797</v>
      </c>
      <c r="C1210" t="s">
        <v>836</v>
      </c>
      <c r="D1210" t="s">
        <v>563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2:18">
      <c r="B1211" t="s">
        <v>1798</v>
      </c>
      <c r="C1211" t="s">
        <v>836</v>
      </c>
      <c r="D1211" t="s">
        <v>563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2:18">
      <c r="B1212" t="s">
        <v>1799</v>
      </c>
      <c r="C1212" t="s">
        <v>836</v>
      </c>
      <c r="D1212" t="s">
        <v>563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2:18">
      <c r="B1213" t="s">
        <v>1800</v>
      </c>
      <c r="C1213" t="s">
        <v>836</v>
      </c>
      <c r="D1213" t="s">
        <v>563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2:18">
      <c r="B1214" t="s">
        <v>1801</v>
      </c>
      <c r="C1214" t="s">
        <v>836</v>
      </c>
      <c r="D1214" t="s">
        <v>563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2:18">
      <c r="B1215" t="s">
        <v>1802</v>
      </c>
      <c r="C1215" t="s">
        <v>836</v>
      </c>
      <c r="D1215" t="s">
        <v>563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2:18">
      <c r="B1216" t="s">
        <v>1803</v>
      </c>
      <c r="C1216" t="s">
        <v>836</v>
      </c>
      <c r="D1216" t="s">
        <v>563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2:18">
      <c r="B1217" t="s">
        <v>1804</v>
      </c>
      <c r="C1217" t="s">
        <v>836</v>
      </c>
      <c r="D1217" t="s">
        <v>563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2:18">
      <c r="B1218" t="s">
        <v>1805</v>
      </c>
      <c r="C1218" t="s">
        <v>836</v>
      </c>
      <c r="D1218" t="s">
        <v>563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2:18">
      <c r="B1219" t="s">
        <v>1806</v>
      </c>
      <c r="C1219" t="s">
        <v>836</v>
      </c>
      <c r="D1219" t="s">
        <v>563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2:18">
      <c r="B1220" t="s">
        <v>1807</v>
      </c>
      <c r="C1220" t="s">
        <v>836</v>
      </c>
      <c r="D1220" t="s">
        <v>563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2:18">
      <c r="B1221" t="s">
        <v>1808</v>
      </c>
      <c r="C1221" t="s">
        <v>836</v>
      </c>
      <c r="D1221" t="s">
        <v>563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2:18">
      <c r="B1222" t="s">
        <v>1809</v>
      </c>
      <c r="C1222" t="s">
        <v>836</v>
      </c>
      <c r="D1222" t="s">
        <v>563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2:18">
      <c r="B1223" t="s">
        <v>1810</v>
      </c>
      <c r="C1223" t="s">
        <v>836</v>
      </c>
      <c r="D1223" t="s">
        <v>563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2:18">
      <c r="B1224" t="s">
        <v>1811</v>
      </c>
      <c r="C1224" t="s">
        <v>836</v>
      </c>
      <c r="D1224" t="s">
        <v>563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2:18">
      <c r="B1225" t="s">
        <v>1812</v>
      </c>
      <c r="C1225" t="s">
        <v>836</v>
      </c>
      <c r="D1225" t="s">
        <v>563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2:18">
      <c r="B1226" t="s">
        <v>1813</v>
      </c>
      <c r="C1226" t="s">
        <v>836</v>
      </c>
      <c r="D1226" t="s">
        <v>563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2:18">
      <c r="B1227" t="s">
        <v>1814</v>
      </c>
      <c r="C1227" t="s">
        <v>836</v>
      </c>
      <c r="D1227" t="s">
        <v>563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2:18">
      <c r="B1228" t="s">
        <v>1815</v>
      </c>
      <c r="C1228" t="s">
        <v>836</v>
      </c>
      <c r="D1228" t="s">
        <v>563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2:18">
      <c r="B1229" t="s">
        <v>1816</v>
      </c>
      <c r="C1229" t="s">
        <v>836</v>
      </c>
      <c r="D1229" t="s">
        <v>563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2:18">
      <c r="B1230" t="s">
        <v>1817</v>
      </c>
      <c r="C1230" t="s">
        <v>836</v>
      </c>
      <c r="D1230" t="s">
        <v>563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2:18">
      <c r="B1231" t="s">
        <v>1818</v>
      </c>
      <c r="C1231" t="s">
        <v>836</v>
      </c>
      <c r="D1231" t="s">
        <v>563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2:18">
      <c r="B1232" t="s">
        <v>1819</v>
      </c>
      <c r="C1232" t="s">
        <v>836</v>
      </c>
      <c r="D1232" t="s">
        <v>563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2:18">
      <c r="B1233" t="s">
        <v>1820</v>
      </c>
      <c r="C1233" t="s">
        <v>836</v>
      </c>
      <c r="D1233" t="s">
        <v>563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2:18">
      <c r="B1234" t="s">
        <v>1821</v>
      </c>
      <c r="C1234" t="s">
        <v>836</v>
      </c>
      <c r="D1234" t="s">
        <v>563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2:18">
      <c r="B1235" t="s">
        <v>1822</v>
      </c>
      <c r="C1235" t="s">
        <v>836</v>
      </c>
      <c r="D1235" t="s">
        <v>563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2:18">
      <c r="B1236" t="s">
        <v>1823</v>
      </c>
      <c r="C1236" t="s">
        <v>836</v>
      </c>
      <c r="D1236" t="s">
        <v>563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2:18">
      <c r="B1237" t="s">
        <v>1824</v>
      </c>
      <c r="C1237" t="s">
        <v>836</v>
      </c>
      <c r="D1237" t="s">
        <v>563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2:18">
      <c r="B1238" t="s">
        <v>1825</v>
      </c>
      <c r="C1238" t="s">
        <v>836</v>
      </c>
      <c r="D1238" t="s">
        <v>563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2:18">
      <c r="B1239" t="s">
        <v>1826</v>
      </c>
      <c r="C1239" t="s">
        <v>836</v>
      </c>
      <c r="D1239" t="s">
        <v>563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2:18">
      <c r="B1240" t="s">
        <v>1827</v>
      </c>
      <c r="C1240" t="s">
        <v>836</v>
      </c>
      <c r="D1240" t="s">
        <v>563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2:18">
      <c r="B1241" t="s">
        <v>1828</v>
      </c>
      <c r="C1241" t="s">
        <v>836</v>
      </c>
      <c r="D1241" t="s">
        <v>563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2:18">
      <c r="B1242" t="s">
        <v>1829</v>
      </c>
      <c r="C1242" t="s">
        <v>836</v>
      </c>
      <c r="D1242" t="s">
        <v>563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2:18">
      <c r="B1243" t="s">
        <v>1830</v>
      </c>
      <c r="C1243" t="s">
        <v>836</v>
      </c>
      <c r="D1243" t="s">
        <v>563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12.75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2:18">
      <c r="B1244" t="s">
        <v>1831</v>
      </c>
      <c r="C1244" t="s">
        <v>836</v>
      </c>
      <c r="D1244" t="s">
        <v>563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2:18">
      <c r="B1245" t="s">
        <v>1832</v>
      </c>
      <c r="C1245" t="s">
        <v>836</v>
      </c>
      <c r="D1245" t="s">
        <v>563</v>
      </c>
      <c r="E1245">
        <v>3</v>
      </c>
      <c r="F1245">
        <v>24.5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18.89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2:18">
      <c r="B1246" t="s">
        <v>1833</v>
      </c>
      <c r="C1246" t="s">
        <v>836</v>
      </c>
      <c r="D1246" t="s">
        <v>563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8.83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2:18">
      <c r="B1247" t="s">
        <v>1834</v>
      </c>
      <c r="C1247" t="s">
        <v>836</v>
      </c>
      <c r="D1247" t="s">
        <v>563</v>
      </c>
      <c r="E1247">
        <v>2</v>
      </c>
      <c r="F1247">
        <v>43.1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38.6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2:18">
      <c r="B1248" t="s">
        <v>1835</v>
      </c>
      <c r="C1248" t="s">
        <v>836</v>
      </c>
      <c r="D1248" t="s">
        <v>563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2:18">
      <c r="B1249" t="s">
        <v>1836</v>
      </c>
      <c r="C1249" t="s">
        <v>836</v>
      </c>
      <c r="D1249" t="s">
        <v>563</v>
      </c>
      <c r="E1249">
        <v>2</v>
      </c>
      <c r="F1249">
        <v>46.4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2:18">
      <c r="B1250" t="s">
        <v>1837</v>
      </c>
      <c r="C1250" t="s">
        <v>836</v>
      </c>
      <c r="D1250" t="s">
        <v>563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2:18">
      <c r="B1251" t="s">
        <v>1838</v>
      </c>
      <c r="C1251" t="s">
        <v>836</v>
      </c>
      <c r="D1251" t="s">
        <v>563</v>
      </c>
      <c r="E1251">
        <v>1</v>
      </c>
      <c r="F1251">
        <v>65.5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50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2:18">
      <c r="B1252" t="s">
        <v>1839</v>
      </c>
      <c r="C1252" t="s">
        <v>836</v>
      </c>
      <c r="D1252" t="s">
        <v>563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2:18">
      <c r="B1253" t="s">
        <v>1840</v>
      </c>
      <c r="C1253" t="s">
        <v>836</v>
      </c>
      <c r="D1253" t="s">
        <v>563</v>
      </c>
      <c r="E1253">
        <v>2</v>
      </c>
      <c r="F1253">
        <v>43.798999999999999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29.2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2:18">
      <c r="B1254" t="s">
        <v>1841</v>
      </c>
      <c r="C1254" t="s">
        <v>836</v>
      </c>
      <c r="D1254" t="s">
        <v>563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2:18">
      <c r="B1255" t="s">
        <v>1842</v>
      </c>
      <c r="C1255" t="s">
        <v>836</v>
      </c>
      <c r="D1255" t="s">
        <v>563</v>
      </c>
      <c r="E1255">
        <v>1</v>
      </c>
      <c r="F1255">
        <v>91.3</v>
      </c>
      <c r="G1255">
        <v>182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85.9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2:18">
      <c r="B1256" t="s">
        <v>1843</v>
      </c>
      <c r="C1256" t="s">
        <v>836</v>
      </c>
      <c r="D1256" t="s">
        <v>563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2:18">
      <c r="B1257" t="s">
        <v>1844</v>
      </c>
      <c r="C1257" t="s">
        <v>836</v>
      </c>
      <c r="D1257" t="s">
        <v>563</v>
      </c>
      <c r="E1257">
        <v>1</v>
      </c>
      <c r="F1257">
        <v>113.9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</row>
    <row r="1258" spans="2:18">
      <c r="B1258" t="s">
        <v>1845</v>
      </c>
      <c r="C1258" t="s">
        <v>836</v>
      </c>
      <c r="D1258" t="s">
        <v>563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2:18">
      <c r="B1259" t="s">
        <v>1846</v>
      </c>
      <c r="C1259" t="s">
        <v>836</v>
      </c>
      <c r="D1259" t="s">
        <v>563</v>
      </c>
      <c r="E1259">
        <v>1</v>
      </c>
      <c r="F1259">
        <v>128.19999999999999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2:18">
      <c r="B1260" t="s">
        <v>1847</v>
      </c>
      <c r="C1260" t="s">
        <v>836</v>
      </c>
      <c r="D1260" t="s">
        <v>563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2:18">
      <c r="B1261" t="s">
        <v>1848</v>
      </c>
      <c r="C1261" t="s">
        <v>836</v>
      </c>
      <c r="D1261" t="s">
        <v>563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2:18">
      <c r="B1262" t="s">
        <v>1849</v>
      </c>
      <c r="C1262" t="s">
        <v>836</v>
      </c>
      <c r="D1262" t="s">
        <v>563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2:18">
      <c r="B1263" t="s">
        <v>1850</v>
      </c>
      <c r="C1263" t="s">
        <v>836</v>
      </c>
      <c r="D1263" t="s">
        <v>563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2:18">
      <c r="B1264" t="s">
        <v>1851</v>
      </c>
      <c r="C1264" t="s">
        <v>836</v>
      </c>
      <c r="D1264" t="s">
        <v>563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2:18">
      <c r="B1265" t="s">
        <v>1852</v>
      </c>
      <c r="C1265" t="s">
        <v>836</v>
      </c>
      <c r="D1265" t="s">
        <v>563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2:18">
      <c r="B1266" t="s">
        <v>1853</v>
      </c>
      <c r="C1266" t="s">
        <v>836</v>
      </c>
      <c r="D1266" t="s">
        <v>563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2:18">
      <c r="B1267" t="s">
        <v>1854</v>
      </c>
      <c r="C1267" t="s">
        <v>836</v>
      </c>
      <c r="D1267" t="s">
        <v>563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2:18">
      <c r="B1268" t="s">
        <v>1855</v>
      </c>
      <c r="C1268" t="s">
        <v>836</v>
      </c>
      <c r="D1268" t="s">
        <v>563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2:18">
      <c r="B1269" t="s">
        <v>1856</v>
      </c>
      <c r="C1269" t="s">
        <v>836</v>
      </c>
      <c r="D1269" t="s">
        <v>563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2:18">
      <c r="B1270" t="s">
        <v>1857</v>
      </c>
      <c r="C1270" t="s">
        <v>836</v>
      </c>
      <c r="D1270" t="s">
        <v>563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2:18">
      <c r="B1271" t="s">
        <v>1858</v>
      </c>
      <c r="C1271" t="s">
        <v>836</v>
      </c>
      <c r="D1271" t="s">
        <v>563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2:18">
      <c r="B1272" t="s">
        <v>1859</v>
      </c>
      <c r="C1272" t="s">
        <v>836</v>
      </c>
      <c r="D1272" t="s">
        <v>563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2:18">
      <c r="B1273" t="s">
        <v>1860</v>
      </c>
      <c r="C1273" t="s">
        <v>836</v>
      </c>
      <c r="D1273" t="s">
        <v>563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2:18">
      <c r="B1274" t="s">
        <v>1861</v>
      </c>
      <c r="C1274" t="s">
        <v>836</v>
      </c>
      <c r="D1274" t="s">
        <v>563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2:18">
      <c r="B1275" t="s">
        <v>1862</v>
      </c>
      <c r="C1275" t="s">
        <v>836</v>
      </c>
      <c r="D1275" t="s">
        <v>563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2:18">
      <c r="B1276" t="s">
        <v>1863</v>
      </c>
      <c r="C1276" t="s">
        <v>836</v>
      </c>
      <c r="D1276" t="s">
        <v>563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2:18">
      <c r="B1277" t="s">
        <v>1864</v>
      </c>
      <c r="C1277" t="s">
        <v>836</v>
      </c>
      <c r="D1277" t="s">
        <v>563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2:18">
      <c r="B1278" t="s">
        <v>1865</v>
      </c>
      <c r="C1278" t="s">
        <v>836</v>
      </c>
      <c r="D1278" t="s">
        <v>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2:18">
      <c r="B1279" t="s">
        <v>1866</v>
      </c>
      <c r="C1279" t="s">
        <v>836</v>
      </c>
      <c r="D1279" t="s">
        <v>563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2:18">
      <c r="B1280" t="s">
        <v>1867</v>
      </c>
      <c r="C1280" t="s">
        <v>836</v>
      </c>
      <c r="D1280" t="s">
        <v>563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2:19">
      <c r="B1281" t="s">
        <v>1868</v>
      </c>
      <c r="C1281" t="s">
        <v>836</v>
      </c>
      <c r="D1281" t="s">
        <v>563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2:19">
      <c r="B1282" t="s">
        <v>1869</v>
      </c>
      <c r="C1282" t="s">
        <v>836</v>
      </c>
      <c r="D1282" t="s">
        <v>563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2:19">
      <c r="B1283" t="s">
        <v>1870</v>
      </c>
      <c r="C1283" t="s">
        <v>836</v>
      </c>
      <c r="D1283" t="s">
        <v>563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2:19">
      <c r="B1284" t="s">
        <v>1871</v>
      </c>
      <c r="C1284" t="s">
        <v>836</v>
      </c>
      <c r="D1284" t="s">
        <v>563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2:19">
      <c r="B1285" t="s">
        <v>1872</v>
      </c>
      <c r="C1285" t="s">
        <v>836</v>
      </c>
      <c r="D1285" t="s">
        <v>563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2:19">
      <c r="B1286" t="s">
        <v>1873</v>
      </c>
      <c r="C1286" t="s">
        <v>836</v>
      </c>
      <c r="D1286" t="s">
        <v>563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2:19">
      <c r="B1287" t="s">
        <v>1874</v>
      </c>
      <c r="C1287" t="s">
        <v>836</v>
      </c>
      <c r="D1287" t="s">
        <v>563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2:19">
      <c r="B1288" t="s">
        <v>1875</v>
      </c>
      <c r="C1288" t="s">
        <v>836</v>
      </c>
      <c r="D1288" t="s">
        <v>563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2:19">
      <c r="B1289" t="s">
        <v>1876</v>
      </c>
      <c r="C1289" t="s">
        <v>836</v>
      </c>
      <c r="D1289" t="s">
        <v>563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2:19">
      <c r="B1290" t="s">
        <v>1877</v>
      </c>
      <c r="C1290" t="s">
        <v>836</v>
      </c>
      <c r="D1290" t="s">
        <v>563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2:19">
      <c r="B1291" t="s">
        <v>1878</v>
      </c>
      <c r="C1291" t="s">
        <v>836</v>
      </c>
      <c r="D1291" t="s">
        <v>563</v>
      </c>
      <c r="E1291">
        <v>50</v>
      </c>
      <c r="F1291">
        <v>0.4</v>
      </c>
      <c r="G1291">
        <v>0.44400000000000001</v>
      </c>
      <c r="H1291">
        <v>44</v>
      </c>
      <c r="I1291">
        <v>0.4</v>
      </c>
      <c r="J1291">
        <v>0.4</v>
      </c>
      <c r="K1291">
        <v>0.4</v>
      </c>
      <c r="L1291">
        <v>0.4</v>
      </c>
      <c r="M1291">
        <v>0.5</v>
      </c>
      <c r="N1291">
        <v>-0.19989999999999999</v>
      </c>
      <c r="O1291">
        <v>299</v>
      </c>
      <c r="P1291">
        <v>11960</v>
      </c>
      <c r="Q1291">
        <v>0.4</v>
      </c>
      <c r="R1291">
        <v>0</v>
      </c>
      <c r="S1291" t="s">
        <v>6234</v>
      </c>
    </row>
    <row r="1292" spans="2:19">
      <c r="B1292" t="s">
        <v>1879</v>
      </c>
      <c r="C1292" t="s">
        <v>836</v>
      </c>
      <c r="D1292" t="s">
        <v>563</v>
      </c>
      <c r="E1292">
        <v>2657</v>
      </c>
      <c r="F1292">
        <v>1E-3</v>
      </c>
      <c r="G1292">
        <v>0.05</v>
      </c>
      <c r="H1292">
        <v>1500</v>
      </c>
      <c r="I1292">
        <v>0</v>
      </c>
      <c r="J1292">
        <v>0</v>
      </c>
      <c r="K1292">
        <v>0</v>
      </c>
      <c r="L1292">
        <v>0</v>
      </c>
      <c r="M1292">
        <v>2.5000000000000001E-2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2:19">
      <c r="B1293" t="s">
        <v>1880</v>
      </c>
      <c r="C1293" t="s">
        <v>836</v>
      </c>
      <c r="D1293" t="s">
        <v>563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2:19">
      <c r="B1294" t="s">
        <v>1881</v>
      </c>
      <c r="C1294" t="s">
        <v>836</v>
      </c>
      <c r="D1294" t="s">
        <v>563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0.01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2:19">
      <c r="B1295" t="s">
        <v>1882</v>
      </c>
      <c r="C1295" t="s">
        <v>836</v>
      </c>
      <c r="D1295" t="s">
        <v>563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2:19">
      <c r="B1296" t="s">
        <v>1883</v>
      </c>
      <c r="C1296" t="s">
        <v>836</v>
      </c>
      <c r="D1296" t="s">
        <v>563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2:19">
      <c r="B1297" t="s">
        <v>1884</v>
      </c>
      <c r="C1297" t="s">
        <v>836</v>
      </c>
      <c r="D1297" t="s">
        <v>563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2:19">
      <c r="B1298" t="s">
        <v>1885</v>
      </c>
      <c r="C1298" t="s">
        <v>836</v>
      </c>
      <c r="D1298" t="s">
        <v>563</v>
      </c>
      <c r="E1298">
        <v>0</v>
      </c>
      <c r="F1298">
        <v>0</v>
      </c>
      <c r="G1298">
        <v>2.4500000000000002</v>
      </c>
      <c r="H1298">
        <v>90</v>
      </c>
      <c r="I1298">
        <v>0</v>
      </c>
      <c r="J1298">
        <v>0</v>
      </c>
      <c r="K1298">
        <v>0</v>
      </c>
      <c r="L1298">
        <v>0</v>
      </c>
      <c r="M1298">
        <v>0.4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2:19">
      <c r="B1299" t="s">
        <v>1886</v>
      </c>
      <c r="C1299" t="s">
        <v>836</v>
      </c>
      <c r="D1299" t="s">
        <v>563</v>
      </c>
      <c r="E1299">
        <v>0</v>
      </c>
      <c r="F1299">
        <v>0</v>
      </c>
      <c r="G1299">
        <v>2.9000000000000001E-2</v>
      </c>
      <c r="H1299">
        <v>1399</v>
      </c>
      <c r="I1299">
        <v>0.03</v>
      </c>
      <c r="J1299">
        <v>2.9000000000000001E-2</v>
      </c>
      <c r="K1299">
        <v>0.03</v>
      </c>
      <c r="L1299">
        <v>2.9000000000000001E-2</v>
      </c>
      <c r="M1299">
        <v>0.03</v>
      </c>
      <c r="N1299">
        <v>-3.3300000000000003E-2</v>
      </c>
      <c r="O1299">
        <v>192</v>
      </c>
      <c r="P1299">
        <v>565.79999999999995</v>
      </c>
      <c r="Q1299">
        <v>2.94688E-2</v>
      </c>
      <c r="R1299">
        <v>0</v>
      </c>
      <c r="S1299" t="s">
        <v>6235</v>
      </c>
    </row>
    <row r="1300" spans="2:19">
      <c r="B1300" t="s">
        <v>1887</v>
      </c>
      <c r="C1300" t="s">
        <v>836</v>
      </c>
      <c r="D1300" t="s">
        <v>563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2:19">
      <c r="B1301" t="s">
        <v>1888</v>
      </c>
      <c r="C1301" t="s">
        <v>836</v>
      </c>
      <c r="D1301" t="s">
        <v>563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2:19">
      <c r="B1302" t="s">
        <v>1889</v>
      </c>
      <c r="C1302" t="s">
        <v>836</v>
      </c>
      <c r="D1302" t="s">
        <v>563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2:19">
      <c r="B1303" t="s">
        <v>1890</v>
      </c>
      <c r="C1303" t="s">
        <v>836</v>
      </c>
      <c r="D1303" t="s">
        <v>563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2:19">
      <c r="B1304" t="s">
        <v>1891</v>
      </c>
      <c r="C1304" t="s">
        <v>836</v>
      </c>
      <c r="D1304" t="s">
        <v>563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2:19">
      <c r="B1305" t="s">
        <v>1892</v>
      </c>
      <c r="C1305" t="s">
        <v>836</v>
      </c>
      <c r="D1305" t="s">
        <v>563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2:19">
      <c r="B1306" t="s">
        <v>1893</v>
      </c>
      <c r="C1306" t="s">
        <v>836</v>
      </c>
      <c r="D1306" t="s">
        <v>563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2:19">
      <c r="B1307" t="s">
        <v>1894</v>
      </c>
      <c r="C1307" t="s">
        <v>836</v>
      </c>
      <c r="D1307" t="s">
        <v>563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2:19">
      <c r="B1308" t="s">
        <v>1895</v>
      </c>
      <c r="C1308" t="s">
        <v>836</v>
      </c>
      <c r="D1308" t="s">
        <v>563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2:19">
      <c r="B1309" t="s">
        <v>1896</v>
      </c>
      <c r="C1309" t="s">
        <v>836</v>
      </c>
      <c r="D1309" t="s">
        <v>563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2:19">
      <c r="B1310" t="s">
        <v>1897</v>
      </c>
      <c r="C1310" t="s">
        <v>836</v>
      </c>
      <c r="D1310" t="s">
        <v>563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2:19">
      <c r="B1311" t="s">
        <v>1898</v>
      </c>
      <c r="C1311" t="s">
        <v>836</v>
      </c>
      <c r="D1311" t="s">
        <v>563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2:19">
      <c r="B1312" t="s">
        <v>1899</v>
      </c>
      <c r="C1312" t="s">
        <v>836</v>
      </c>
      <c r="D1312" t="s">
        <v>563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2:18">
      <c r="B1313" t="s">
        <v>1900</v>
      </c>
      <c r="C1313" t="s">
        <v>836</v>
      </c>
      <c r="D1313" t="s">
        <v>563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2:18">
      <c r="B1314" t="s">
        <v>1901</v>
      </c>
      <c r="C1314" t="s">
        <v>836</v>
      </c>
      <c r="D1314" t="s">
        <v>563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2:18">
      <c r="B1315" t="s">
        <v>1902</v>
      </c>
      <c r="C1315" t="s">
        <v>836</v>
      </c>
      <c r="D1315" t="s">
        <v>563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2:18">
      <c r="B1316" t="s">
        <v>1903</v>
      </c>
      <c r="C1316" t="s">
        <v>836</v>
      </c>
      <c r="D1316" t="s">
        <v>563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2:18">
      <c r="B1317" t="s">
        <v>1904</v>
      </c>
      <c r="C1317" t="s">
        <v>836</v>
      </c>
      <c r="D1317" t="s">
        <v>563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2:18">
      <c r="B1318" t="s">
        <v>1905</v>
      </c>
      <c r="C1318" t="s">
        <v>836</v>
      </c>
      <c r="D1318" t="s">
        <v>563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2:18">
      <c r="B1319" t="s">
        <v>1906</v>
      </c>
      <c r="C1319" t="s">
        <v>836</v>
      </c>
      <c r="D1319" t="s">
        <v>563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2:18">
      <c r="B1320" t="s">
        <v>1907</v>
      </c>
      <c r="C1320" t="s">
        <v>836</v>
      </c>
      <c r="D1320" t="s">
        <v>563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2:18">
      <c r="B1321" t="s">
        <v>1908</v>
      </c>
      <c r="C1321" t="s">
        <v>836</v>
      </c>
      <c r="D1321" t="s">
        <v>563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2:18">
      <c r="B1322" t="s">
        <v>1909</v>
      </c>
      <c r="C1322" t="s">
        <v>836</v>
      </c>
      <c r="D1322" t="s">
        <v>563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2:18">
      <c r="B1323" t="s">
        <v>1910</v>
      </c>
      <c r="C1323" t="s">
        <v>836</v>
      </c>
      <c r="D1323" t="s">
        <v>563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2:18">
      <c r="B1324" t="s">
        <v>1911</v>
      </c>
      <c r="C1324" t="s">
        <v>836</v>
      </c>
      <c r="D1324" t="s">
        <v>563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2:18">
      <c r="B1325" t="s">
        <v>1912</v>
      </c>
      <c r="C1325" t="s">
        <v>836</v>
      </c>
      <c r="D1325" t="s">
        <v>563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2:18">
      <c r="B1326" t="s">
        <v>1913</v>
      </c>
      <c r="C1326" t="s">
        <v>836</v>
      </c>
      <c r="D1326" t="s">
        <v>563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2:18">
      <c r="B1327" t="s">
        <v>1914</v>
      </c>
      <c r="C1327" t="s">
        <v>836</v>
      </c>
      <c r="D1327" t="s">
        <v>563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2:18">
      <c r="B1328" t="s">
        <v>1915</v>
      </c>
      <c r="C1328" t="s">
        <v>836</v>
      </c>
      <c r="D1328" t="s">
        <v>563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2:18">
      <c r="B1329" t="s">
        <v>1916</v>
      </c>
      <c r="C1329" t="s">
        <v>836</v>
      </c>
      <c r="D1329" t="s">
        <v>563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2:18">
      <c r="B1330" t="s">
        <v>1917</v>
      </c>
      <c r="C1330" t="s">
        <v>836</v>
      </c>
      <c r="D1330" t="s">
        <v>563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2:18">
      <c r="B1331" t="s">
        <v>1918</v>
      </c>
      <c r="C1331" t="s">
        <v>836</v>
      </c>
      <c r="D1331" t="s">
        <v>563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2:18">
      <c r="B1332" t="s">
        <v>1919</v>
      </c>
      <c r="C1332" t="s">
        <v>836</v>
      </c>
      <c r="D1332" t="s">
        <v>563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2:18">
      <c r="B1333" t="s">
        <v>1920</v>
      </c>
      <c r="C1333" t="s">
        <v>836</v>
      </c>
      <c r="D1333" t="s">
        <v>563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</row>
    <row r="1334" spans="2:18">
      <c r="B1334" t="s">
        <v>1921</v>
      </c>
      <c r="C1334" t="s">
        <v>836</v>
      </c>
      <c r="D1334" t="s">
        <v>563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2:18">
      <c r="B1335" t="s">
        <v>1922</v>
      </c>
      <c r="C1335" t="s">
        <v>836</v>
      </c>
      <c r="D1335" t="s">
        <v>563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</row>
    <row r="1336" spans="2:18">
      <c r="B1336" t="s">
        <v>1923</v>
      </c>
      <c r="C1336" t="s">
        <v>836</v>
      </c>
      <c r="D1336" t="s">
        <v>563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2:18">
      <c r="B1337" t="s">
        <v>1924</v>
      </c>
      <c r="C1337" t="s">
        <v>836</v>
      </c>
      <c r="D1337" t="s">
        <v>563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</row>
    <row r="1338" spans="2:18">
      <c r="B1338" t="s">
        <v>1925</v>
      </c>
      <c r="C1338" t="s">
        <v>836</v>
      </c>
      <c r="D1338" t="s">
        <v>563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2:18">
      <c r="B1339" t="s">
        <v>1926</v>
      </c>
      <c r="C1339" t="s">
        <v>836</v>
      </c>
      <c r="D1339" t="s">
        <v>563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2:18">
      <c r="B1340" t="s">
        <v>1927</v>
      </c>
      <c r="C1340" t="s">
        <v>836</v>
      </c>
      <c r="D1340" t="s">
        <v>563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</row>
    <row r="1341" spans="2:18">
      <c r="B1341" t="s">
        <v>1928</v>
      </c>
      <c r="C1341" t="s">
        <v>836</v>
      </c>
      <c r="D1341" t="s">
        <v>563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2:18">
      <c r="B1342" t="s">
        <v>1929</v>
      </c>
      <c r="C1342" t="s">
        <v>836</v>
      </c>
      <c r="D1342" t="s">
        <v>563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2:18">
      <c r="B1343" t="s">
        <v>1930</v>
      </c>
      <c r="C1343" t="s">
        <v>836</v>
      </c>
      <c r="D1343" t="s">
        <v>563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</row>
    <row r="1344" spans="2:18">
      <c r="B1344" t="s">
        <v>1931</v>
      </c>
      <c r="C1344" t="s">
        <v>836</v>
      </c>
      <c r="D1344" t="s">
        <v>563</v>
      </c>
      <c r="E1344">
        <v>25</v>
      </c>
      <c r="F1344">
        <v>28.5</v>
      </c>
      <c r="G1344">
        <v>30</v>
      </c>
      <c r="H1344">
        <v>200</v>
      </c>
      <c r="I1344">
        <v>0</v>
      </c>
      <c r="J1344">
        <v>0</v>
      </c>
      <c r="K1344">
        <v>0</v>
      </c>
      <c r="L1344">
        <v>0</v>
      </c>
      <c r="M1344">
        <v>28.5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2:19">
      <c r="B1345" t="s">
        <v>1932</v>
      </c>
      <c r="C1345" t="s">
        <v>836</v>
      </c>
      <c r="D1345" t="s">
        <v>563</v>
      </c>
      <c r="E1345">
        <v>20</v>
      </c>
      <c r="F1345">
        <v>27</v>
      </c>
      <c r="G1345">
        <v>28.257999999999999</v>
      </c>
      <c r="H1345">
        <v>575</v>
      </c>
      <c r="I1345">
        <v>29</v>
      </c>
      <c r="J1345">
        <v>29</v>
      </c>
      <c r="K1345">
        <v>29</v>
      </c>
      <c r="L1345">
        <v>29</v>
      </c>
      <c r="M1345">
        <v>28</v>
      </c>
      <c r="N1345">
        <v>3.5700000000000003E-2</v>
      </c>
      <c r="O1345">
        <v>400</v>
      </c>
      <c r="P1345">
        <v>1160000</v>
      </c>
      <c r="Q1345">
        <v>29</v>
      </c>
      <c r="R1345">
        <v>0</v>
      </c>
      <c r="S1345" t="s">
        <v>6236</v>
      </c>
    </row>
    <row r="1346" spans="2:19">
      <c r="B1346" t="s">
        <v>1933</v>
      </c>
      <c r="C1346" t="s">
        <v>836</v>
      </c>
      <c r="D1346" t="s">
        <v>563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2:19">
      <c r="B1347" t="s">
        <v>1934</v>
      </c>
      <c r="C1347" t="s">
        <v>836</v>
      </c>
      <c r="D1347" t="s">
        <v>563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2:19">
      <c r="B1348" t="s">
        <v>1935</v>
      </c>
      <c r="C1348" t="s">
        <v>836</v>
      </c>
      <c r="D1348" t="s">
        <v>563</v>
      </c>
      <c r="E1348">
        <v>2</v>
      </c>
      <c r="F1348">
        <v>23.524000000000001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24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2:19">
      <c r="B1349" t="s">
        <v>1936</v>
      </c>
      <c r="C1349" t="s">
        <v>836</v>
      </c>
      <c r="D1349" t="s">
        <v>563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2:19">
      <c r="B1350" t="s">
        <v>1937</v>
      </c>
      <c r="C1350" t="s">
        <v>836</v>
      </c>
      <c r="D1350" t="s">
        <v>563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2:19">
      <c r="B1351" t="s">
        <v>1938</v>
      </c>
      <c r="C1351" t="s">
        <v>836</v>
      </c>
      <c r="D1351" t="s">
        <v>563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2:19">
      <c r="B1352" t="s">
        <v>1939</v>
      </c>
      <c r="C1352" t="s">
        <v>836</v>
      </c>
      <c r="D1352" t="s">
        <v>563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</row>
    <row r="1353" spans="2:19">
      <c r="B1353" t="s">
        <v>1940</v>
      </c>
      <c r="C1353" t="s">
        <v>836</v>
      </c>
      <c r="D1353" t="s">
        <v>563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2:19">
      <c r="B1354" t="s">
        <v>1941</v>
      </c>
      <c r="C1354" t="s">
        <v>836</v>
      </c>
      <c r="D1354" t="s">
        <v>563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2:19">
      <c r="B1355" t="s">
        <v>1942</v>
      </c>
      <c r="C1355" t="s">
        <v>836</v>
      </c>
      <c r="D1355" t="s">
        <v>563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2:19">
      <c r="B1356" t="s">
        <v>1943</v>
      </c>
      <c r="C1356" t="s">
        <v>836</v>
      </c>
      <c r="D1356" t="s">
        <v>563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2:19">
      <c r="B1357" t="s">
        <v>1944</v>
      </c>
      <c r="C1357" t="s">
        <v>836</v>
      </c>
      <c r="D1357" t="s">
        <v>563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2:19">
      <c r="B1358" t="s">
        <v>1945</v>
      </c>
      <c r="C1358" t="s">
        <v>836</v>
      </c>
      <c r="D1358" t="s">
        <v>563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2:19">
      <c r="B1359" t="s">
        <v>1946</v>
      </c>
      <c r="C1359" t="s">
        <v>836</v>
      </c>
      <c r="D1359" t="s">
        <v>563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2:19">
      <c r="B1360" t="s">
        <v>1947</v>
      </c>
      <c r="C1360" t="s">
        <v>836</v>
      </c>
      <c r="D1360" t="s">
        <v>563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2:18">
      <c r="B1361" t="s">
        <v>1948</v>
      </c>
      <c r="C1361" t="s">
        <v>836</v>
      </c>
      <c r="D1361" t="s">
        <v>563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2:18">
      <c r="B1362" t="s">
        <v>1949</v>
      </c>
      <c r="C1362" t="s">
        <v>836</v>
      </c>
      <c r="D1362" t="s">
        <v>563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2:18">
      <c r="B1363" t="s">
        <v>1950</v>
      </c>
      <c r="C1363" t="s">
        <v>836</v>
      </c>
      <c r="D1363" t="s">
        <v>563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2:18">
      <c r="B1364" t="s">
        <v>1951</v>
      </c>
      <c r="C1364" t="s">
        <v>836</v>
      </c>
      <c r="D1364" t="s">
        <v>563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2:18">
      <c r="B1365" t="s">
        <v>1952</v>
      </c>
      <c r="C1365" t="s">
        <v>836</v>
      </c>
      <c r="D1365" t="s">
        <v>563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2:18">
      <c r="B1366" t="s">
        <v>1953</v>
      </c>
      <c r="C1366" t="s">
        <v>836</v>
      </c>
      <c r="D1366" t="s">
        <v>563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</row>
    <row r="1367" spans="2:18">
      <c r="B1367" t="s">
        <v>1954</v>
      </c>
      <c r="C1367" t="s">
        <v>836</v>
      </c>
      <c r="D1367" t="s">
        <v>563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2:18">
      <c r="B1368" t="s">
        <v>1955</v>
      </c>
      <c r="C1368" t="s">
        <v>836</v>
      </c>
      <c r="D1368" t="s">
        <v>563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</row>
    <row r="1369" spans="2:18">
      <c r="B1369" t="s">
        <v>1956</v>
      </c>
      <c r="C1369" t="s">
        <v>836</v>
      </c>
      <c r="D1369" t="s">
        <v>563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</row>
    <row r="1370" spans="2:18">
      <c r="B1370" t="s">
        <v>1957</v>
      </c>
      <c r="C1370" t="s">
        <v>836</v>
      </c>
      <c r="D1370" t="s">
        <v>563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</row>
    <row r="1371" spans="2:18">
      <c r="B1371" t="s">
        <v>1958</v>
      </c>
      <c r="C1371" t="s">
        <v>836</v>
      </c>
      <c r="D1371" t="s">
        <v>563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2:18">
      <c r="B1372" t="s">
        <v>1959</v>
      </c>
      <c r="C1372" t="s">
        <v>836</v>
      </c>
      <c r="D1372" t="s">
        <v>563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2:18">
      <c r="B1373" t="s">
        <v>1960</v>
      </c>
      <c r="C1373" t="s">
        <v>836</v>
      </c>
      <c r="D1373" t="s">
        <v>563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2:18">
      <c r="B1374" t="s">
        <v>1961</v>
      </c>
      <c r="C1374" t="s">
        <v>836</v>
      </c>
      <c r="D1374" t="s">
        <v>563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</row>
    <row r="1375" spans="2:18">
      <c r="B1375" t="s">
        <v>1962</v>
      </c>
      <c r="C1375" t="s">
        <v>836</v>
      </c>
      <c r="D1375" t="s">
        <v>563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</row>
    <row r="1376" spans="2:18">
      <c r="B1376" t="s">
        <v>1963</v>
      </c>
      <c r="C1376" t="s">
        <v>836</v>
      </c>
      <c r="D1376" t="s">
        <v>563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</row>
    <row r="1377" spans="2:19">
      <c r="B1377" t="s">
        <v>1964</v>
      </c>
      <c r="C1377" t="s">
        <v>836</v>
      </c>
      <c r="D1377" t="s">
        <v>563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</row>
    <row r="1378" spans="2:19">
      <c r="B1378" t="s">
        <v>1965</v>
      </c>
      <c r="C1378" t="s">
        <v>836</v>
      </c>
      <c r="D1378" t="s">
        <v>563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2:19">
      <c r="B1379" t="s">
        <v>1966</v>
      </c>
      <c r="C1379" t="s">
        <v>836</v>
      </c>
      <c r="D1379" t="s">
        <v>563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</row>
    <row r="1380" spans="2:19">
      <c r="B1380" t="s">
        <v>1967</v>
      </c>
      <c r="C1380" t="s">
        <v>836</v>
      </c>
      <c r="D1380" t="s">
        <v>563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2:19">
      <c r="B1381" t="s">
        <v>1968</v>
      </c>
      <c r="C1381" t="s">
        <v>836</v>
      </c>
      <c r="D1381" t="s">
        <v>563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2:19">
      <c r="B1382" t="s">
        <v>1969</v>
      </c>
      <c r="C1382" t="s">
        <v>836</v>
      </c>
      <c r="D1382" t="s">
        <v>563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2:19">
      <c r="B1383" t="s">
        <v>1970</v>
      </c>
      <c r="C1383" t="s">
        <v>836</v>
      </c>
      <c r="D1383" t="s">
        <v>563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</row>
    <row r="1384" spans="2:19">
      <c r="B1384" t="s">
        <v>1971</v>
      </c>
      <c r="C1384" t="s">
        <v>836</v>
      </c>
      <c r="D1384" t="s">
        <v>563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2:19">
      <c r="B1385" t="s">
        <v>1972</v>
      </c>
      <c r="C1385" t="s">
        <v>836</v>
      </c>
      <c r="D1385" t="s">
        <v>563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2:19">
      <c r="B1386" t="s">
        <v>1973</v>
      </c>
      <c r="C1386" t="s">
        <v>836</v>
      </c>
      <c r="D1386" t="s">
        <v>563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</row>
    <row r="1387" spans="2:19">
      <c r="B1387" t="s">
        <v>1974</v>
      </c>
      <c r="C1387" t="s">
        <v>836</v>
      </c>
      <c r="D1387" t="s">
        <v>563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2:19">
      <c r="B1388" t="s">
        <v>1975</v>
      </c>
      <c r="C1388" t="s">
        <v>836</v>
      </c>
      <c r="D1388" t="s">
        <v>563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</row>
    <row r="1389" spans="2:19">
      <c r="B1389" t="s">
        <v>1976</v>
      </c>
      <c r="C1389" t="s">
        <v>836</v>
      </c>
      <c r="D1389" t="s">
        <v>563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2:19">
      <c r="B1390" t="s">
        <v>1977</v>
      </c>
      <c r="C1390" t="s">
        <v>836</v>
      </c>
      <c r="D1390" t="s">
        <v>563</v>
      </c>
      <c r="E1390">
        <v>181</v>
      </c>
      <c r="F1390">
        <v>19.8</v>
      </c>
      <c r="G1390">
        <v>22.096</v>
      </c>
      <c r="H1390">
        <v>475</v>
      </c>
      <c r="I1390">
        <v>21.5</v>
      </c>
      <c r="J1390">
        <v>21.5</v>
      </c>
      <c r="K1390">
        <v>21.5</v>
      </c>
      <c r="L1390">
        <v>21.5</v>
      </c>
      <c r="M1390">
        <v>23</v>
      </c>
      <c r="N1390">
        <v>-6.5199999999999994E-2</v>
      </c>
      <c r="O1390">
        <v>2</v>
      </c>
      <c r="P1390">
        <v>4300</v>
      </c>
      <c r="Q1390">
        <v>21.5</v>
      </c>
      <c r="R1390">
        <v>0</v>
      </c>
      <c r="S1390" t="s">
        <v>6235</v>
      </c>
    </row>
    <row r="1391" spans="2:19">
      <c r="B1391" t="s">
        <v>1978</v>
      </c>
      <c r="C1391" t="s">
        <v>836</v>
      </c>
      <c r="D1391" t="s">
        <v>563</v>
      </c>
      <c r="E1391">
        <v>2</v>
      </c>
      <c r="F1391">
        <v>19.16</v>
      </c>
      <c r="G1391">
        <v>22</v>
      </c>
      <c r="H1391">
        <v>550</v>
      </c>
      <c r="I1391">
        <v>20.5</v>
      </c>
      <c r="J1391">
        <v>20.5</v>
      </c>
      <c r="K1391">
        <v>20.5</v>
      </c>
      <c r="L1391">
        <v>20.5</v>
      </c>
      <c r="M1391">
        <v>21.5</v>
      </c>
      <c r="N1391">
        <v>-4.65E-2</v>
      </c>
      <c r="O1391">
        <v>2</v>
      </c>
      <c r="P1391">
        <v>4100</v>
      </c>
      <c r="Q1391">
        <v>20.5</v>
      </c>
      <c r="R1391">
        <v>0</v>
      </c>
      <c r="S1391" t="s">
        <v>6235</v>
      </c>
    </row>
    <row r="1392" spans="2:19">
      <c r="B1392" t="s">
        <v>1979</v>
      </c>
      <c r="C1392" t="s">
        <v>836</v>
      </c>
      <c r="D1392" t="s">
        <v>563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2:18">
      <c r="B1393" t="s">
        <v>1980</v>
      </c>
      <c r="C1393" t="s">
        <v>836</v>
      </c>
      <c r="D1393" t="s">
        <v>563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</row>
    <row r="1394" spans="2:18">
      <c r="B1394" t="s">
        <v>1981</v>
      </c>
      <c r="C1394" t="s">
        <v>836</v>
      </c>
      <c r="D1394" t="s">
        <v>563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2:18">
      <c r="B1395" t="s">
        <v>1982</v>
      </c>
      <c r="C1395" t="s">
        <v>836</v>
      </c>
      <c r="D1395" t="s">
        <v>563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2:18">
      <c r="B1396" t="s">
        <v>1983</v>
      </c>
      <c r="C1396" t="s">
        <v>836</v>
      </c>
      <c r="D1396" t="s">
        <v>563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</row>
    <row r="1397" spans="2:18">
      <c r="B1397" t="s">
        <v>1984</v>
      </c>
      <c r="C1397" t="s">
        <v>836</v>
      </c>
      <c r="D1397" t="s">
        <v>563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2:18">
      <c r="B1398" t="s">
        <v>1985</v>
      </c>
      <c r="C1398" t="s">
        <v>836</v>
      </c>
      <c r="D1398" t="s">
        <v>563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2:18">
      <c r="B1399" t="s">
        <v>1986</v>
      </c>
      <c r="C1399" t="s">
        <v>836</v>
      </c>
      <c r="D1399" t="s">
        <v>563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2:18">
      <c r="B1400" t="s">
        <v>1987</v>
      </c>
      <c r="C1400" t="s">
        <v>836</v>
      </c>
      <c r="D1400" t="s">
        <v>563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2:18">
      <c r="B1401" t="s">
        <v>1988</v>
      </c>
      <c r="C1401" t="s">
        <v>836</v>
      </c>
      <c r="D1401" t="s">
        <v>563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2:18">
      <c r="B1402" t="s">
        <v>1989</v>
      </c>
      <c r="C1402" t="s">
        <v>836</v>
      </c>
      <c r="D1402" t="s">
        <v>563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2:18">
      <c r="B1403" t="s">
        <v>1990</v>
      </c>
      <c r="C1403" t="s">
        <v>836</v>
      </c>
      <c r="D1403" t="s">
        <v>563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2:18">
      <c r="B1404" t="s">
        <v>1991</v>
      </c>
      <c r="C1404" t="s">
        <v>836</v>
      </c>
      <c r="D1404" t="s">
        <v>563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2:18">
      <c r="B1405" t="s">
        <v>1992</v>
      </c>
      <c r="C1405" t="s">
        <v>836</v>
      </c>
      <c r="D1405" t="s">
        <v>563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2:18">
      <c r="B1406" t="s">
        <v>1993</v>
      </c>
      <c r="C1406" t="s">
        <v>836</v>
      </c>
      <c r="D1406" t="s">
        <v>563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2:18">
      <c r="B1407" t="s">
        <v>1994</v>
      </c>
      <c r="C1407" t="s">
        <v>836</v>
      </c>
      <c r="D1407" t="s">
        <v>563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</row>
    <row r="1408" spans="2:18">
      <c r="B1408" t="s">
        <v>1995</v>
      </c>
      <c r="C1408" t="s">
        <v>836</v>
      </c>
      <c r="D1408" t="s">
        <v>563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</row>
    <row r="1409" spans="2:19">
      <c r="B1409" t="s">
        <v>1996</v>
      </c>
      <c r="C1409" t="s">
        <v>836</v>
      </c>
      <c r="D1409" t="s">
        <v>563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</row>
    <row r="1410" spans="2:19">
      <c r="B1410" t="s">
        <v>1997</v>
      </c>
      <c r="C1410" t="s">
        <v>836</v>
      </c>
      <c r="D1410" t="s">
        <v>563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</row>
    <row r="1411" spans="2:19">
      <c r="B1411" t="s">
        <v>1998</v>
      </c>
      <c r="C1411" t="s">
        <v>836</v>
      </c>
      <c r="D1411" t="s">
        <v>563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</row>
    <row r="1412" spans="2:19">
      <c r="B1412" t="s">
        <v>1999</v>
      </c>
      <c r="C1412" t="s">
        <v>836</v>
      </c>
      <c r="D1412" t="s">
        <v>563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2:19">
      <c r="B1413" t="s">
        <v>2000</v>
      </c>
      <c r="C1413" t="s">
        <v>836</v>
      </c>
      <c r="D1413" t="s">
        <v>563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2:19">
      <c r="B1414" t="s">
        <v>2001</v>
      </c>
      <c r="C1414" t="s">
        <v>836</v>
      </c>
      <c r="D1414" t="s">
        <v>563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2:19">
      <c r="B1415" t="s">
        <v>2002</v>
      </c>
      <c r="C1415" t="s">
        <v>836</v>
      </c>
      <c r="D1415" t="s">
        <v>563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</row>
    <row r="1416" spans="2:19">
      <c r="B1416" t="s">
        <v>2003</v>
      </c>
      <c r="C1416" t="s">
        <v>836</v>
      </c>
      <c r="D1416" t="s">
        <v>563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2:19">
      <c r="B1417" t="s">
        <v>2004</v>
      </c>
      <c r="C1417" t="s">
        <v>836</v>
      </c>
      <c r="D1417" t="s">
        <v>563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2:19">
      <c r="B1418" t="s">
        <v>2005</v>
      </c>
      <c r="C1418" t="s">
        <v>836</v>
      </c>
      <c r="D1418" t="s">
        <v>563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2:19">
      <c r="B1419" t="s">
        <v>2006</v>
      </c>
      <c r="C1419" t="s">
        <v>836</v>
      </c>
      <c r="D1419" t="s">
        <v>563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</row>
    <row r="1420" spans="2:19">
      <c r="B1420" t="s">
        <v>2007</v>
      </c>
      <c r="C1420" t="s">
        <v>836</v>
      </c>
      <c r="D1420" t="s">
        <v>563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</row>
    <row r="1421" spans="2:19">
      <c r="B1421" t="s">
        <v>2008</v>
      </c>
      <c r="C1421" t="s">
        <v>836</v>
      </c>
      <c r="D1421" t="s">
        <v>563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2:19">
      <c r="B1422" t="s">
        <v>2009</v>
      </c>
      <c r="C1422" t="s">
        <v>836</v>
      </c>
      <c r="D1422" t="s">
        <v>563</v>
      </c>
      <c r="E1422">
        <v>48</v>
      </c>
      <c r="F1422">
        <v>6.8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10.605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2:19">
      <c r="B1423" t="s">
        <v>2010</v>
      </c>
      <c r="C1423" t="s">
        <v>836</v>
      </c>
      <c r="D1423" t="s">
        <v>563</v>
      </c>
      <c r="E1423">
        <v>2</v>
      </c>
      <c r="F1423">
        <v>5.03</v>
      </c>
      <c r="G1423">
        <v>0</v>
      </c>
      <c r="H1423">
        <v>0</v>
      </c>
      <c r="I1423">
        <v>6.05</v>
      </c>
      <c r="J1423">
        <v>6.05</v>
      </c>
      <c r="K1423">
        <v>6.05</v>
      </c>
      <c r="L1423">
        <v>6.05</v>
      </c>
      <c r="M1423">
        <v>6.51</v>
      </c>
      <c r="N1423">
        <v>-7.0599999999999996E-2</v>
      </c>
      <c r="O1423">
        <v>10</v>
      </c>
      <c r="P1423">
        <v>6050</v>
      </c>
      <c r="Q1423">
        <v>6.05</v>
      </c>
      <c r="R1423">
        <v>0</v>
      </c>
      <c r="S1423" t="s">
        <v>6237</v>
      </c>
    </row>
    <row r="1424" spans="2:19">
      <c r="B1424" t="s">
        <v>2011</v>
      </c>
      <c r="C1424" t="s">
        <v>836</v>
      </c>
      <c r="D1424" t="s">
        <v>563</v>
      </c>
      <c r="E1424">
        <v>7</v>
      </c>
      <c r="F1424">
        <v>11.51</v>
      </c>
      <c r="G1424">
        <v>17</v>
      </c>
      <c r="H1424">
        <v>90</v>
      </c>
      <c r="I1424">
        <v>0</v>
      </c>
      <c r="J1424">
        <v>0</v>
      </c>
      <c r="K1424">
        <v>0</v>
      </c>
      <c r="L1424">
        <v>0</v>
      </c>
      <c r="M1424">
        <v>24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2:19">
      <c r="B1425" t="s">
        <v>2012</v>
      </c>
      <c r="C1425" t="s">
        <v>836</v>
      </c>
      <c r="D1425" t="s">
        <v>563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13.55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2:19">
      <c r="B1426" t="s">
        <v>2013</v>
      </c>
      <c r="C1426" t="s">
        <v>836</v>
      </c>
      <c r="D1426" t="s">
        <v>563</v>
      </c>
      <c r="E1426">
        <v>43</v>
      </c>
      <c r="F1426">
        <v>8.5</v>
      </c>
      <c r="G1426">
        <v>9</v>
      </c>
      <c r="H1426">
        <v>52</v>
      </c>
      <c r="I1426">
        <v>10</v>
      </c>
      <c r="J1426">
        <v>9</v>
      </c>
      <c r="K1426">
        <v>10</v>
      </c>
      <c r="L1426">
        <v>9</v>
      </c>
      <c r="M1426">
        <v>9.9640000000000004</v>
      </c>
      <c r="N1426">
        <v>-9.6699999999999994E-2</v>
      </c>
      <c r="O1426">
        <v>45</v>
      </c>
      <c r="P1426">
        <v>42500</v>
      </c>
      <c r="Q1426">
        <v>9.4444444000000001</v>
      </c>
      <c r="R1426">
        <v>0</v>
      </c>
      <c r="S1426" t="s">
        <v>6238</v>
      </c>
    </row>
    <row r="1427" spans="2:19">
      <c r="B1427" t="s">
        <v>2014</v>
      </c>
      <c r="C1427" t="s">
        <v>836</v>
      </c>
      <c r="D1427" t="s">
        <v>563</v>
      </c>
      <c r="E1427">
        <v>2</v>
      </c>
      <c r="F1427">
        <v>3.6640000000000001</v>
      </c>
      <c r="G1427">
        <v>5</v>
      </c>
      <c r="H1427">
        <v>475</v>
      </c>
      <c r="I1427">
        <v>4.6260000000000003</v>
      </c>
      <c r="J1427">
        <v>4.5</v>
      </c>
      <c r="K1427">
        <v>4.6260000000000003</v>
      </c>
      <c r="L1427">
        <v>4.5</v>
      </c>
      <c r="M1427">
        <v>4.9000000000000004</v>
      </c>
      <c r="N1427">
        <v>-8.1600000000000006E-2</v>
      </c>
      <c r="O1427">
        <v>7</v>
      </c>
      <c r="P1427">
        <v>3175.2</v>
      </c>
      <c r="Q1427">
        <v>4.5359999999999996</v>
      </c>
      <c r="R1427">
        <v>0</v>
      </c>
      <c r="S1427" t="s">
        <v>6239</v>
      </c>
    </row>
    <row r="1428" spans="2:19">
      <c r="B1428" t="s">
        <v>2015</v>
      </c>
      <c r="C1428" t="s">
        <v>836</v>
      </c>
      <c r="D1428" t="s">
        <v>563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2:19">
      <c r="B1429" t="s">
        <v>2016</v>
      </c>
      <c r="C1429" t="s">
        <v>836</v>
      </c>
      <c r="D1429" t="s">
        <v>563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2:19">
      <c r="B1430" t="s">
        <v>2017</v>
      </c>
      <c r="C1430" t="s">
        <v>836</v>
      </c>
      <c r="D1430" t="s">
        <v>563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2:19">
      <c r="B1431" t="s">
        <v>2018</v>
      </c>
      <c r="C1431" t="s">
        <v>836</v>
      </c>
      <c r="D1431" t="s">
        <v>563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2:19">
      <c r="B1432" t="s">
        <v>2019</v>
      </c>
      <c r="C1432" t="s">
        <v>836</v>
      </c>
      <c r="D1432" t="s">
        <v>563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2:19">
      <c r="B1433" t="s">
        <v>2020</v>
      </c>
      <c r="C1433" t="s">
        <v>836</v>
      </c>
      <c r="D1433" t="s">
        <v>563</v>
      </c>
      <c r="E1433">
        <v>2</v>
      </c>
      <c r="F1433">
        <v>2.21</v>
      </c>
      <c r="G1433">
        <v>3.19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3.4550000000000001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2:19">
      <c r="B1434" t="s">
        <v>2021</v>
      </c>
      <c r="C1434" t="s">
        <v>836</v>
      </c>
      <c r="D1434" t="s">
        <v>563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2:19">
      <c r="B1435" t="s">
        <v>2022</v>
      </c>
      <c r="C1435" t="s">
        <v>836</v>
      </c>
      <c r="D1435" t="s">
        <v>563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2:19">
      <c r="B1436" t="s">
        <v>2023</v>
      </c>
      <c r="C1436" t="s">
        <v>836</v>
      </c>
      <c r="D1436" t="s">
        <v>563</v>
      </c>
      <c r="E1436">
        <v>21</v>
      </c>
      <c r="F1436">
        <v>7.1</v>
      </c>
      <c r="G1436">
        <v>7.5</v>
      </c>
      <c r="H1436">
        <v>1</v>
      </c>
      <c r="I1436">
        <v>7.5</v>
      </c>
      <c r="J1436">
        <v>7.1</v>
      </c>
      <c r="K1436">
        <v>7.5</v>
      </c>
      <c r="L1436">
        <v>7.1</v>
      </c>
      <c r="M1436">
        <v>8.3719999999999999</v>
      </c>
      <c r="N1436">
        <v>-0.15190000000000001</v>
      </c>
      <c r="O1436">
        <v>52</v>
      </c>
      <c r="P1436">
        <v>38920</v>
      </c>
      <c r="Q1436">
        <v>7.4846154</v>
      </c>
      <c r="R1436">
        <v>0</v>
      </c>
      <c r="S1436" t="s">
        <v>6240</v>
      </c>
    </row>
    <row r="1437" spans="2:19">
      <c r="B1437" t="s">
        <v>2024</v>
      </c>
      <c r="C1437" t="s">
        <v>836</v>
      </c>
      <c r="D1437" t="s">
        <v>563</v>
      </c>
      <c r="E1437">
        <v>23</v>
      </c>
      <c r="F1437">
        <v>1.5</v>
      </c>
      <c r="G1437">
        <v>1.6</v>
      </c>
      <c r="H1437">
        <v>3</v>
      </c>
      <c r="I1437">
        <v>2.6</v>
      </c>
      <c r="J1437">
        <v>1.5</v>
      </c>
      <c r="K1437">
        <v>2.8</v>
      </c>
      <c r="L1437">
        <v>1.5</v>
      </c>
      <c r="M1437">
        <v>2.0049999999999999</v>
      </c>
      <c r="N1437">
        <v>-0.25180000000000002</v>
      </c>
      <c r="O1437">
        <v>818</v>
      </c>
      <c r="P1437">
        <v>202759</v>
      </c>
      <c r="Q1437">
        <v>2.4787164000000002</v>
      </c>
      <c r="R1437">
        <v>0</v>
      </c>
      <c r="S1437" t="s">
        <v>6241</v>
      </c>
    </row>
    <row r="1438" spans="2:19">
      <c r="B1438" t="s">
        <v>2025</v>
      </c>
      <c r="C1438" t="s">
        <v>836</v>
      </c>
      <c r="D1438" t="s">
        <v>563</v>
      </c>
      <c r="E1438">
        <v>0</v>
      </c>
      <c r="F1438">
        <v>0</v>
      </c>
      <c r="G1438">
        <v>8.1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2:19">
      <c r="B1439" t="s">
        <v>2026</v>
      </c>
      <c r="C1439" t="s">
        <v>836</v>
      </c>
      <c r="D1439" t="s">
        <v>563</v>
      </c>
      <c r="E1439">
        <v>0</v>
      </c>
      <c r="F1439">
        <v>0</v>
      </c>
      <c r="G1439">
        <v>2.7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2:19">
      <c r="B1440" t="s">
        <v>2027</v>
      </c>
      <c r="C1440" t="s">
        <v>836</v>
      </c>
      <c r="D1440" t="s">
        <v>563</v>
      </c>
      <c r="E1440">
        <v>170</v>
      </c>
      <c r="F1440">
        <v>6</v>
      </c>
      <c r="G1440">
        <v>6.5</v>
      </c>
      <c r="H1440">
        <v>100</v>
      </c>
      <c r="I1440">
        <v>6</v>
      </c>
      <c r="J1440">
        <v>6</v>
      </c>
      <c r="K1440">
        <v>6.7</v>
      </c>
      <c r="L1440">
        <v>6.7</v>
      </c>
      <c r="M1440">
        <v>8.1</v>
      </c>
      <c r="N1440">
        <v>-0.17280000000000001</v>
      </c>
      <c r="O1440">
        <v>2</v>
      </c>
      <c r="P1440">
        <v>1270</v>
      </c>
      <c r="Q1440">
        <v>6.35</v>
      </c>
      <c r="R1440">
        <v>0</v>
      </c>
      <c r="S1440" t="s">
        <v>6242</v>
      </c>
    </row>
    <row r="1441" spans="2:19">
      <c r="B1441" t="s">
        <v>2028</v>
      </c>
      <c r="C1441" t="s">
        <v>836</v>
      </c>
      <c r="D1441" t="s">
        <v>563</v>
      </c>
      <c r="E1441">
        <v>2</v>
      </c>
      <c r="F1441">
        <v>0.56100000000000005</v>
      </c>
      <c r="G1441">
        <v>1.4</v>
      </c>
      <c r="H1441">
        <v>450</v>
      </c>
      <c r="I1441">
        <v>1</v>
      </c>
      <c r="J1441">
        <v>0.58899999999999997</v>
      </c>
      <c r="K1441">
        <v>1</v>
      </c>
      <c r="L1441">
        <v>0.58899999999999997</v>
      </c>
      <c r="M1441">
        <v>1.25</v>
      </c>
      <c r="N1441">
        <v>-0.52880000000000005</v>
      </c>
      <c r="O1441">
        <v>61</v>
      </c>
      <c r="P1441">
        <v>5935.6</v>
      </c>
      <c r="Q1441">
        <v>0.97304919999999995</v>
      </c>
      <c r="R1441">
        <v>0</v>
      </c>
      <c r="S1441" t="s">
        <v>6243</v>
      </c>
    </row>
    <row r="1442" spans="2:19">
      <c r="B1442" t="s">
        <v>2029</v>
      </c>
      <c r="C1442" t="s">
        <v>836</v>
      </c>
      <c r="D1442" t="s">
        <v>563</v>
      </c>
      <c r="E1442">
        <v>100</v>
      </c>
      <c r="F1442">
        <v>9.5</v>
      </c>
      <c r="G1442">
        <v>14</v>
      </c>
      <c r="H1442">
        <v>906</v>
      </c>
      <c r="I1442">
        <v>9.1</v>
      </c>
      <c r="J1442">
        <v>9</v>
      </c>
      <c r="K1442">
        <v>14</v>
      </c>
      <c r="L1442">
        <v>9.8000000000000007</v>
      </c>
      <c r="M1442">
        <v>9.1</v>
      </c>
      <c r="N1442">
        <v>7.6899999999999996E-2</v>
      </c>
      <c r="O1442">
        <v>98</v>
      </c>
      <c r="P1442">
        <v>135420</v>
      </c>
      <c r="Q1442">
        <v>13.8183673</v>
      </c>
      <c r="R1442">
        <v>0</v>
      </c>
      <c r="S1442" t="s">
        <v>6244</v>
      </c>
    </row>
    <row r="1443" spans="2:19">
      <c r="B1443" t="s">
        <v>2030</v>
      </c>
      <c r="C1443" t="s">
        <v>836</v>
      </c>
      <c r="D1443" t="s">
        <v>563</v>
      </c>
      <c r="E1443">
        <v>0</v>
      </c>
      <c r="F1443">
        <v>0</v>
      </c>
      <c r="G1443">
        <v>1.6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</row>
    <row r="1444" spans="2:19">
      <c r="B1444" t="s">
        <v>2031</v>
      </c>
      <c r="C1444" t="s">
        <v>836</v>
      </c>
      <c r="D1444" t="s">
        <v>563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6.4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2:19">
      <c r="B1445" t="s">
        <v>2032</v>
      </c>
      <c r="C1445" t="s">
        <v>836</v>
      </c>
      <c r="D1445" t="s">
        <v>563</v>
      </c>
      <c r="E1445">
        <v>1950</v>
      </c>
      <c r="F1445">
        <v>0.18</v>
      </c>
      <c r="G1445">
        <v>1.6</v>
      </c>
      <c r="H1445">
        <v>575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</row>
    <row r="1446" spans="2:19">
      <c r="B1446" t="s">
        <v>2033</v>
      </c>
      <c r="C1446" t="s">
        <v>836</v>
      </c>
      <c r="D1446" t="s">
        <v>563</v>
      </c>
      <c r="E1446">
        <v>0</v>
      </c>
      <c r="F1446">
        <v>0</v>
      </c>
      <c r="G1446">
        <v>19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9.6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2:19">
      <c r="B1447" t="s">
        <v>2034</v>
      </c>
      <c r="C1447" t="s">
        <v>836</v>
      </c>
      <c r="D1447" t="s">
        <v>563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2:19">
      <c r="B1448" t="s">
        <v>2035</v>
      </c>
      <c r="C1448" t="s">
        <v>836</v>
      </c>
      <c r="D1448" t="s">
        <v>563</v>
      </c>
      <c r="E1448">
        <v>11</v>
      </c>
      <c r="F1448">
        <v>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6</v>
      </c>
      <c r="N1448">
        <v>0</v>
      </c>
      <c r="O1448">
        <v>0</v>
      </c>
      <c r="P1448">
        <v>0</v>
      </c>
      <c r="Q1448">
        <v>0</v>
      </c>
      <c r="R1448">
        <v>0</v>
      </c>
    </row>
    <row r="1449" spans="2:19">
      <c r="B1449" t="s">
        <v>2036</v>
      </c>
      <c r="C1449" t="s">
        <v>836</v>
      </c>
      <c r="D1449" t="s">
        <v>563</v>
      </c>
      <c r="E1449">
        <v>1650</v>
      </c>
      <c r="F1449">
        <v>0.02</v>
      </c>
      <c r="G1449">
        <v>0.53</v>
      </c>
      <c r="H1449">
        <v>94</v>
      </c>
      <c r="I1449">
        <v>0.53</v>
      </c>
      <c r="J1449">
        <v>0.39</v>
      </c>
      <c r="K1449">
        <v>0.53</v>
      </c>
      <c r="L1449">
        <v>0.53</v>
      </c>
      <c r="M1449">
        <v>0.35</v>
      </c>
      <c r="N1449">
        <v>0.51419999999999999</v>
      </c>
      <c r="O1449">
        <v>11</v>
      </c>
      <c r="P1449">
        <v>550</v>
      </c>
      <c r="Q1449">
        <v>0.5</v>
      </c>
      <c r="R1449">
        <v>0</v>
      </c>
      <c r="S1449" t="s">
        <v>6245</v>
      </c>
    </row>
    <row r="1450" spans="2:19">
      <c r="B1450" t="s">
        <v>2037</v>
      </c>
      <c r="C1450" t="s">
        <v>836</v>
      </c>
      <c r="D1450" t="s">
        <v>563</v>
      </c>
      <c r="E1450">
        <v>1</v>
      </c>
      <c r="F1450">
        <v>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18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2:19">
      <c r="B1451" t="s">
        <v>2038</v>
      </c>
      <c r="C1451" t="s">
        <v>836</v>
      </c>
      <c r="D1451" t="s">
        <v>563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</row>
    <row r="1452" spans="2:19">
      <c r="B1452" t="s">
        <v>2039</v>
      </c>
      <c r="C1452" t="s">
        <v>836</v>
      </c>
      <c r="D1452" t="s">
        <v>563</v>
      </c>
      <c r="E1452">
        <v>25</v>
      </c>
      <c r="F1452">
        <v>4.0999999999999996</v>
      </c>
      <c r="G1452">
        <v>4.2</v>
      </c>
      <c r="H1452">
        <v>281</v>
      </c>
      <c r="I1452">
        <v>4.75</v>
      </c>
      <c r="J1452">
        <v>4.2</v>
      </c>
      <c r="K1452">
        <v>4.75</v>
      </c>
      <c r="L1452">
        <v>4.2</v>
      </c>
      <c r="M1452">
        <v>4.1070000000000002</v>
      </c>
      <c r="N1452">
        <v>2.2599999999999999E-2</v>
      </c>
      <c r="O1452">
        <v>62</v>
      </c>
      <c r="P1452">
        <v>27545</v>
      </c>
      <c r="Q1452">
        <v>4.4427418999999997</v>
      </c>
      <c r="R1452">
        <v>0</v>
      </c>
      <c r="S1452" t="s">
        <v>6246</v>
      </c>
    </row>
    <row r="1453" spans="2:19">
      <c r="B1453" t="s">
        <v>2040</v>
      </c>
      <c r="C1453" t="s">
        <v>836</v>
      </c>
      <c r="D1453" t="s">
        <v>563</v>
      </c>
      <c r="E1453">
        <v>30</v>
      </c>
      <c r="F1453">
        <v>0.20100000000000001</v>
      </c>
      <c r="G1453">
        <v>0.20499999999999999</v>
      </c>
      <c r="H1453">
        <v>733</v>
      </c>
      <c r="I1453">
        <v>0.45</v>
      </c>
      <c r="J1453">
        <v>0.20499999999999999</v>
      </c>
      <c r="K1453">
        <v>0.55500000000000005</v>
      </c>
      <c r="L1453">
        <v>0.20499999999999999</v>
      </c>
      <c r="M1453">
        <v>0.31900000000000001</v>
      </c>
      <c r="N1453">
        <v>-0.35730000000000001</v>
      </c>
      <c r="O1453">
        <v>1418</v>
      </c>
      <c r="P1453">
        <v>31479.5</v>
      </c>
      <c r="Q1453">
        <v>0.22199930000000001</v>
      </c>
      <c r="R1453">
        <v>0</v>
      </c>
      <c r="S1453" t="s">
        <v>6289</v>
      </c>
    </row>
    <row r="1454" spans="2:19">
      <c r="B1454" t="s">
        <v>2041</v>
      </c>
      <c r="C1454" t="s">
        <v>836</v>
      </c>
      <c r="D1454" t="s">
        <v>563</v>
      </c>
      <c r="E1454">
        <v>700</v>
      </c>
      <c r="F1454">
        <v>3</v>
      </c>
      <c r="G1454">
        <v>17.600000000000001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9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2:19">
      <c r="B1455" t="s">
        <v>2042</v>
      </c>
      <c r="C1455" t="s">
        <v>836</v>
      </c>
      <c r="D1455" t="s">
        <v>563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2:19">
      <c r="B1456" t="s">
        <v>2043</v>
      </c>
      <c r="C1456" t="s">
        <v>836</v>
      </c>
      <c r="D1456" t="s">
        <v>563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2:19">
      <c r="B1457" t="s">
        <v>2044</v>
      </c>
      <c r="C1457" t="s">
        <v>836</v>
      </c>
      <c r="D1457" t="s">
        <v>563</v>
      </c>
      <c r="E1457">
        <v>200</v>
      </c>
      <c r="F1457">
        <v>3</v>
      </c>
      <c r="G1457">
        <v>4.5</v>
      </c>
      <c r="H1457">
        <v>500</v>
      </c>
      <c r="I1457">
        <v>0</v>
      </c>
      <c r="J1457">
        <v>0</v>
      </c>
      <c r="K1457">
        <v>0</v>
      </c>
      <c r="L1457">
        <v>0</v>
      </c>
      <c r="M1457">
        <v>4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2:19">
      <c r="B1458" t="s">
        <v>2045</v>
      </c>
      <c r="C1458" t="s">
        <v>836</v>
      </c>
      <c r="D1458" t="s">
        <v>563</v>
      </c>
      <c r="E1458">
        <v>2748</v>
      </c>
      <c r="F1458">
        <v>0.05</v>
      </c>
      <c r="G1458">
        <v>0.34</v>
      </c>
      <c r="H1458">
        <v>550</v>
      </c>
      <c r="I1458">
        <v>0</v>
      </c>
      <c r="J1458">
        <v>0</v>
      </c>
      <c r="K1458">
        <v>0</v>
      </c>
      <c r="L1458">
        <v>0</v>
      </c>
      <c r="M1458">
        <v>0.14799999999999999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2:19">
      <c r="B1459" t="s">
        <v>2046</v>
      </c>
      <c r="C1459" t="s">
        <v>836</v>
      </c>
      <c r="D1459" t="s">
        <v>563</v>
      </c>
      <c r="E1459">
        <v>625</v>
      </c>
      <c r="F1459">
        <v>2.6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9.3000000000000007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2:19">
      <c r="B1460" t="s">
        <v>2047</v>
      </c>
      <c r="C1460" t="s">
        <v>836</v>
      </c>
      <c r="D1460" t="s">
        <v>563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</row>
    <row r="1461" spans="2:19">
      <c r="B1461" t="s">
        <v>2048</v>
      </c>
      <c r="C1461" t="s">
        <v>836</v>
      </c>
      <c r="D1461" t="s">
        <v>563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2:19">
      <c r="B1462" t="s">
        <v>2049</v>
      </c>
      <c r="C1462" t="s">
        <v>836</v>
      </c>
      <c r="D1462" t="s">
        <v>563</v>
      </c>
      <c r="E1462">
        <v>12</v>
      </c>
      <c r="F1462">
        <v>2.5</v>
      </c>
      <c r="G1462">
        <v>3.5</v>
      </c>
      <c r="H1462">
        <v>100</v>
      </c>
      <c r="I1462">
        <v>0</v>
      </c>
      <c r="J1462">
        <v>0</v>
      </c>
      <c r="K1462">
        <v>0</v>
      </c>
      <c r="L1462">
        <v>0</v>
      </c>
      <c r="M1462">
        <v>2.7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2:19">
      <c r="B1463" t="s">
        <v>2050</v>
      </c>
      <c r="C1463" t="s">
        <v>836</v>
      </c>
      <c r="D1463" t="s">
        <v>563</v>
      </c>
      <c r="E1463">
        <v>1100</v>
      </c>
      <c r="F1463">
        <v>0.05</v>
      </c>
      <c r="G1463">
        <v>0.15</v>
      </c>
      <c r="H1463">
        <v>247</v>
      </c>
      <c r="I1463">
        <v>0.15</v>
      </c>
      <c r="J1463">
        <v>0.15</v>
      </c>
      <c r="K1463">
        <v>0.15</v>
      </c>
      <c r="L1463">
        <v>0.15</v>
      </c>
      <c r="M1463">
        <v>0.15</v>
      </c>
      <c r="N1463">
        <v>0</v>
      </c>
      <c r="O1463">
        <v>751</v>
      </c>
      <c r="P1463">
        <v>11265</v>
      </c>
      <c r="Q1463">
        <v>0.15</v>
      </c>
      <c r="R1463">
        <v>0</v>
      </c>
      <c r="S1463" t="s">
        <v>6247</v>
      </c>
    </row>
    <row r="1464" spans="2:19">
      <c r="B1464" t="s">
        <v>2051</v>
      </c>
      <c r="C1464" t="s">
        <v>836</v>
      </c>
      <c r="D1464" t="s">
        <v>563</v>
      </c>
      <c r="E1464">
        <v>0</v>
      </c>
      <c r="F1464">
        <v>0</v>
      </c>
      <c r="G1464">
        <v>16.3</v>
      </c>
      <c r="H1464">
        <v>11</v>
      </c>
      <c r="I1464">
        <v>0</v>
      </c>
      <c r="J1464">
        <v>0</v>
      </c>
      <c r="K1464">
        <v>0</v>
      </c>
      <c r="L1464">
        <v>0</v>
      </c>
      <c r="M1464">
        <v>5.5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2:19">
      <c r="B1465" t="s">
        <v>2052</v>
      </c>
      <c r="C1465" t="s">
        <v>836</v>
      </c>
      <c r="D1465" t="s">
        <v>563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2:19">
      <c r="B1466" t="s">
        <v>2053</v>
      </c>
      <c r="C1466" t="s">
        <v>836</v>
      </c>
      <c r="D1466" t="s">
        <v>563</v>
      </c>
      <c r="E1466">
        <v>4</v>
      </c>
      <c r="F1466">
        <v>1.38</v>
      </c>
      <c r="G1466">
        <v>5</v>
      </c>
      <c r="H1466">
        <v>10</v>
      </c>
      <c r="I1466">
        <v>0</v>
      </c>
      <c r="J1466">
        <v>0</v>
      </c>
      <c r="K1466">
        <v>0</v>
      </c>
      <c r="L1466">
        <v>0</v>
      </c>
      <c r="M1466">
        <v>5.5</v>
      </c>
      <c r="N1466">
        <v>0</v>
      </c>
      <c r="O1466">
        <v>0</v>
      </c>
      <c r="P1466">
        <v>0</v>
      </c>
      <c r="Q1466">
        <v>0</v>
      </c>
      <c r="R1466">
        <v>0</v>
      </c>
    </row>
    <row r="1467" spans="2:19">
      <c r="B1467" t="s">
        <v>2054</v>
      </c>
      <c r="C1467" t="s">
        <v>836</v>
      </c>
      <c r="D1467" t="s">
        <v>563</v>
      </c>
      <c r="E1467">
        <v>1000</v>
      </c>
      <c r="F1467">
        <v>3.1E-2</v>
      </c>
      <c r="G1467">
        <v>0.08</v>
      </c>
      <c r="H1467">
        <v>10772</v>
      </c>
      <c r="I1467">
        <v>0.16</v>
      </c>
      <c r="J1467">
        <v>0.08</v>
      </c>
      <c r="K1467">
        <v>0.16</v>
      </c>
      <c r="L1467">
        <v>0.08</v>
      </c>
      <c r="M1467">
        <v>0.1</v>
      </c>
      <c r="N1467">
        <v>-0.2</v>
      </c>
      <c r="O1467">
        <v>66</v>
      </c>
      <c r="P1467">
        <v>548</v>
      </c>
      <c r="Q1467">
        <v>8.3030300000000001E-2</v>
      </c>
      <c r="R1467">
        <v>0</v>
      </c>
      <c r="S1467" t="s">
        <v>6248</v>
      </c>
    </row>
    <row r="1468" spans="2:19">
      <c r="B1468" t="s">
        <v>2055</v>
      </c>
      <c r="C1468" t="s">
        <v>836</v>
      </c>
      <c r="D1468" t="s">
        <v>563</v>
      </c>
      <c r="E1468">
        <v>0</v>
      </c>
      <c r="F1468">
        <v>0</v>
      </c>
      <c r="G1468">
        <v>15.7</v>
      </c>
      <c r="H1468">
        <v>114</v>
      </c>
      <c r="I1468">
        <v>0</v>
      </c>
      <c r="J1468">
        <v>0</v>
      </c>
      <c r="K1468">
        <v>0</v>
      </c>
      <c r="L1468">
        <v>0</v>
      </c>
      <c r="M1468">
        <v>8.3000000000000007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2:19">
      <c r="B1469" t="s">
        <v>2056</v>
      </c>
      <c r="C1469" t="s">
        <v>836</v>
      </c>
      <c r="D1469" t="s">
        <v>563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2:19">
      <c r="B1470" t="s">
        <v>2057</v>
      </c>
      <c r="C1470" t="s">
        <v>836</v>
      </c>
      <c r="D1470" t="s">
        <v>563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</row>
    <row r="1471" spans="2:19">
      <c r="B1471" t="s">
        <v>2058</v>
      </c>
      <c r="C1471" t="s">
        <v>836</v>
      </c>
      <c r="D1471" t="s">
        <v>563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8</v>
      </c>
      <c r="N1471">
        <v>0</v>
      </c>
      <c r="O1471">
        <v>0</v>
      </c>
      <c r="P1471">
        <v>0</v>
      </c>
      <c r="Q1471">
        <v>0</v>
      </c>
      <c r="R1471">
        <v>0</v>
      </c>
    </row>
    <row r="1472" spans="2:19">
      <c r="B1472" t="s">
        <v>2059</v>
      </c>
      <c r="C1472" t="s">
        <v>836</v>
      </c>
      <c r="D1472" t="s">
        <v>563</v>
      </c>
      <c r="E1472">
        <v>0</v>
      </c>
      <c r="F1472">
        <v>0</v>
      </c>
      <c r="G1472">
        <v>0.45</v>
      </c>
      <c r="H1472">
        <v>425</v>
      </c>
      <c r="I1472">
        <v>0</v>
      </c>
      <c r="J1472">
        <v>0</v>
      </c>
      <c r="K1472">
        <v>0</v>
      </c>
      <c r="L1472">
        <v>0</v>
      </c>
      <c r="M1472">
        <v>0.05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2:19">
      <c r="B1473" t="s">
        <v>2060</v>
      </c>
      <c r="C1473" t="s">
        <v>836</v>
      </c>
      <c r="D1473" t="s">
        <v>563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6.5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2:19">
      <c r="B1474" t="s">
        <v>5473</v>
      </c>
      <c r="C1474" t="s">
        <v>836</v>
      </c>
      <c r="D1474" t="s">
        <v>563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2:19">
      <c r="B1475" t="s">
        <v>2061</v>
      </c>
      <c r="C1475" t="s">
        <v>836</v>
      </c>
      <c r="D1475" t="s">
        <v>563</v>
      </c>
      <c r="E1475">
        <v>10</v>
      </c>
      <c r="F1475">
        <v>2.4</v>
      </c>
      <c r="G1475">
        <v>2.7</v>
      </c>
      <c r="H1475">
        <v>105</v>
      </c>
      <c r="I1475">
        <v>4</v>
      </c>
      <c r="J1475">
        <v>2.4</v>
      </c>
      <c r="K1475">
        <v>4</v>
      </c>
      <c r="L1475">
        <v>2.8</v>
      </c>
      <c r="M1475">
        <v>2.79</v>
      </c>
      <c r="N1475">
        <v>3.5000000000000001E-3</v>
      </c>
      <c r="O1475">
        <v>24</v>
      </c>
      <c r="P1475">
        <v>6600</v>
      </c>
      <c r="Q1475">
        <v>2.75</v>
      </c>
      <c r="R1475">
        <v>0</v>
      </c>
      <c r="S1475" t="s">
        <v>6249</v>
      </c>
    </row>
    <row r="1476" spans="2:19">
      <c r="B1476" t="s">
        <v>2062</v>
      </c>
      <c r="C1476" t="s">
        <v>836</v>
      </c>
      <c r="D1476" t="s">
        <v>563</v>
      </c>
      <c r="E1476">
        <v>0</v>
      </c>
      <c r="F1476">
        <v>0</v>
      </c>
      <c r="G1476">
        <v>4.9000000000000002E-2</v>
      </c>
      <c r="H1476">
        <v>1</v>
      </c>
      <c r="I1476">
        <v>0.05</v>
      </c>
      <c r="J1476">
        <v>0.05</v>
      </c>
      <c r="K1476">
        <v>0.05</v>
      </c>
      <c r="L1476">
        <v>0.05</v>
      </c>
      <c r="M1476">
        <v>0.05</v>
      </c>
      <c r="N1476">
        <v>0</v>
      </c>
      <c r="O1476">
        <v>100</v>
      </c>
      <c r="P1476">
        <v>500</v>
      </c>
      <c r="Q1476">
        <v>0.05</v>
      </c>
      <c r="R1476">
        <v>0</v>
      </c>
      <c r="S1476" t="s">
        <v>6250</v>
      </c>
    </row>
    <row r="1477" spans="2:19">
      <c r="B1477" t="s">
        <v>2063</v>
      </c>
      <c r="C1477" t="s">
        <v>836</v>
      </c>
      <c r="D1477" t="s">
        <v>563</v>
      </c>
      <c r="E1477">
        <v>0</v>
      </c>
      <c r="F1477">
        <v>0</v>
      </c>
      <c r="G1477">
        <v>14.6</v>
      </c>
      <c r="H1477">
        <v>5</v>
      </c>
      <c r="I1477">
        <v>0</v>
      </c>
      <c r="J1477">
        <v>0</v>
      </c>
      <c r="K1477">
        <v>0</v>
      </c>
      <c r="L1477">
        <v>0</v>
      </c>
      <c r="M1477">
        <v>5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2:19">
      <c r="B1478" t="s">
        <v>2064</v>
      </c>
      <c r="C1478" t="s">
        <v>836</v>
      </c>
      <c r="D1478" t="s">
        <v>563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2:19">
      <c r="B1479" t="s">
        <v>2065</v>
      </c>
      <c r="C1479" t="s">
        <v>836</v>
      </c>
      <c r="D1479" t="s">
        <v>563</v>
      </c>
      <c r="E1479">
        <v>164</v>
      </c>
      <c r="F1479">
        <v>1</v>
      </c>
      <c r="G1479">
        <v>2</v>
      </c>
      <c r="H1479">
        <v>130</v>
      </c>
      <c r="I1479">
        <v>1.81</v>
      </c>
      <c r="J1479">
        <v>1.8</v>
      </c>
      <c r="K1479">
        <v>1.81</v>
      </c>
      <c r="L1479">
        <v>1.8</v>
      </c>
      <c r="M1479">
        <v>2.5</v>
      </c>
      <c r="N1479">
        <v>-0.28000000000000003</v>
      </c>
      <c r="O1479">
        <v>35</v>
      </c>
      <c r="P1479">
        <v>6305</v>
      </c>
      <c r="Q1479">
        <v>1.8014285999999999</v>
      </c>
      <c r="R1479">
        <v>0</v>
      </c>
      <c r="S1479" t="s">
        <v>6251</v>
      </c>
    </row>
    <row r="1480" spans="2:19">
      <c r="B1480" t="s">
        <v>2066</v>
      </c>
      <c r="C1480" t="s">
        <v>836</v>
      </c>
      <c r="D1480" t="s">
        <v>563</v>
      </c>
      <c r="E1480">
        <v>191</v>
      </c>
      <c r="F1480">
        <v>1.2E-2</v>
      </c>
      <c r="G1480">
        <v>0.47899999999999998</v>
      </c>
      <c r="H1480">
        <v>211</v>
      </c>
      <c r="I1480">
        <v>0</v>
      </c>
      <c r="J1480">
        <v>0</v>
      </c>
      <c r="K1480">
        <v>0</v>
      </c>
      <c r="L1480">
        <v>0</v>
      </c>
      <c r="M1480">
        <v>4.2000000000000003E-2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2:19">
      <c r="B1481" t="s">
        <v>2067</v>
      </c>
      <c r="C1481" t="s">
        <v>836</v>
      </c>
      <c r="D1481" t="s">
        <v>563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</row>
    <row r="1482" spans="2:19">
      <c r="B1482" t="s">
        <v>2068</v>
      </c>
      <c r="C1482" t="s">
        <v>836</v>
      </c>
      <c r="D1482" t="s">
        <v>563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2:19">
      <c r="B1483" t="s">
        <v>2069</v>
      </c>
      <c r="C1483" t="s">
        <v>836</v>
      </c>
      <c r="D1483" t="s">
        <v>563</v>
      </c>
      <c r="E1483">
        <v>2</v>
      </c>
      <c r="F1483">
        <v>9.0999999999999998E-2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2:19">
      <c r="B1484" t="s">
        <v>2070</v>
      </c>
      <c r="C1484" t="s">
        <v>836</v>
      </c>
      <c r="D1484" t="s">
        <v>563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1.2</v>
      </c>
      <c r="N1484">
        <v>0</v>
      </c>
      <c r="O1484">
        <v>0</v>
      </c>
      <c r="P1484">
        <v>0</v>
      </c>
      <c r="Q1484">
        <v>0</v>
      </c>
      <c r="R1484">
        <v>0</v>
      </c>
    </row>
    <row r="1485" spans="2:19">
      <c r="B1485" t="s">
        <v>2071</v>
      </c>
      <c r="C1485" t="s">
        <v>836</v>
      </c>
      <c r="D1485" t="s">
        <v>563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</row>
    <row r="1486" spans="2:19">
      <c r="B1486" t="s">
        <v>5474</v>
      </c>
      <c r="C1486" t="s">
        <v>836</v>
      </c>
      <c r="D1486" t="s">
        <v>563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</row>
    <row r="1487" spans="2:19">
      <c r="B1487" t="s">
        <v>2072</v>
      </c>
      <c r="C1487" t="s">
        <v>836</v>
      </c>
      <c r="D1487" t="s">
        <v>563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2:19">
      <c r="B1488" t="s">
        <v>2073</v>
      </c>
      <c r="C1488" t="s">
        <v>836</v>
      </c>
      <c r="D1488" t="s">
        <v>563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2:19">
      <c r="B1489" t="s">
        <v>2074</v>
      </c>
      <c r="C1489" t="s">
        <v>836</v>
      </c>
      <c r="D1489" t="s">
        <v>563</v>
      </c>
      <c r="E1489">
        <v>0</v>
      </c>
      <c r="F1489">
        <v>0</v>
      </c>
      <c r="G1489">
        <v>0.05</v>
      </c>
      <c r="H1489">
        <v>117</v>
      </c>
      <c r="I1489">
        <v>0</v>
      </c>
      <c r="J1489">
        <v>0</v>
      </c>
      <c r="K1489">
        <v>0</v>
      </c>
      <c r="L1489">
        <v>0</v>
      </c>
      <c r="M1489">
        <v>0.04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2:19">
      <c r="B1490" t="s">
        <v>2075</v>
      </c>
      <c r="C1490" t="s">
        <v>836</v>
      </c>
      <c r="D1490" t="s">
        <v>563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2:19">
      <c r="B1491" t="s">
        <v>5475</v>
      </c>
      <c r="C1491" t="s">
        <v>836</v>
      </c>
      <c r="D1491" t="s">
        <v>563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2:19">
      <c r="B1492" t="s">
        <v>2076</v>
      </c>
      <c r="C1492" t="s">
        <v>836</v>
      </c>
      <c r="D1492" t="s">
        <v>563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2:19">
      <c r="B1493" t="s">
        <v>2077</v>
      </c>
      <c r="C1493" t="s">
        <v>836</v>
      </c>
      <c r="D1493" t="s">
        <v>563</v>
      </c>
      <c r="E1493">
        <v>36</v>
      </c>
      <c r="F1493">
        <v>0.9</v>
      </c>
      <c r="G1493">
        <v>1.6</v>
      </c>
      <c r="H1493">
        <v>1000</v>
      </c>
      <c r="I1493">
        <v>0</v>
      </c>
      <c r="J1493">
        <v>0</v>
      </c>
      <c r="K1493">
        <v>0</v>
      </c>
      <c r="L1493">
        <v>0</v>
      </c>
      <c r="M1493">
        <v>1.1000000000000001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2:19">
      <c r="B1494" t="s">
        <v>2078</v>
      </c>
      <c r="C1494" t="s">
        <v>836</v>
      </c>
      <c r="D1494" t="s">
        <v>563</v>
      </c>
      <c r="E1494">
        <v>1245</v>
      </c>
      <c r="F1494">
        <v>2.9000000000000001E-2</v>
      </c>
      <c r="G1494">
        <v>0.06</v>
      </c>
      <c r="H1494">
        <v>300</v>
      </c>
      <c r="I1494">
        <v>2.9000000000000001E-2</v>
      </c>
      <c r="J1494">
        <v>0.02</v>
      </c>
      <c r="K1494">
        <v>2.9000000000000001E-2</v>
      </c>
      <c r="L1494">
        <v>0.02</v>
      </c>
      <c r="M1494">
        <v>0.03</v>
      </c>
      <c r="N1494">
        <v>-0.33329999999999999</v>
      </c>
      <c r="O1494">
        <v>1100</v>
      </c>
      <c r="P1494">
        <v>2380</v>
      </c>
      <c r="Q1494">
        <v>2.16364E-2</v>
      </c>
      <c r="R1494">
        <v>0</v>
      </c>
      <c r="S1494" t="s">
        <v>6252</v>
      </c>
    </row>
    <row r="1495" spans="2:19">
      <c r="B1495" t="s">
        <v>2079</v>
      </c>
      <c r="C1495" t="s">
        <v>836</v>
      </c>
      <c r="D1495" t="s">
        <v>563</v>
      </c>
      <c r="E1495">
        <v>10</v>
      </c>
      <c r="F1495">
        <v>3</v>
      </c>
      <c r="G1495">
        <v>4.9000000000000004</v>
      </c>
      <c r="H1495">
        <v>700</v>
      </c>
      <c r="I1495">
        <v>0</v>
      </c>
      <c r="J1495">
        <v>0</v>
      </c>
      <c r="K1495">
        <v>0</v>
      </c>
      <c r="L1495">
        <v>0</v>
      </c>
      <c r="M1495">
        <v>3.9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2:19">
      <c r="B1496" t="s">
        <v>5476</v>
      </c>
      <c r="C1496" t="s">
        <v>836</v>
      </c>
      <c r="D1496" t="s">
        <v>563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2:19">
      <c r="B1497" t="s">
        <v>2080</v>
      </c>
      <c r="C1497" t="s">
        <v>836</v>
      </c>
      <c r="D1497" t="s">
        <v>563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2:19">
      <c r="B1498" t="s">
        <v>2081</v>
      </c>
      <c r="C1498" t="s">
        <v>836</v>
      </c>
      <c r="D1498" t="s">
        <v>563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3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2:19">
      <c r="B1499" t="s">
        <v>2082</v>
      </c>
      <c r="C1499" t="s">
        <v>836</v>
      </c>
      <c r="D1499" t="s">
        <v>563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2:19">
      <c r="B1500" t="s">
        <v>2083</v>
      </c>
      <c r="C1500" t="s">
        <v>836</v>
      </c>
      <c r="D1500" t="s">
        <v>563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4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2:19">
      <c r="B1501" t="s">
        <v>5477</v>
      </c>
      <c r="C1501" t="s">
        <v>836</v>
      </c>
      <c r="D1501" t="s">
        <v>563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2:19">
      <c r="B1502" t="s">
        <v>2084</v>
      </c>
      <c r="C1502" t="s">
        <v>836</v>
      </c>
      <c r="D1502" t="s">
        <v>563</v>
      </c>
      <c r="E1502">
        <v>1</v>
      </c>
      <c r="F1502">
        <v>0.59</v>
      </c>
      <c r="G1502">
        <v>0.9</v>
      </c>
      <c r="H1502">
        <v>197</v>
      </c>
      <c r="I1502">
        <v>0</v>
      </c>
      <c r="J1502">
        <v>0</v>
      </c>
      <c r="K1502">
        <v>0</v>
      </c>
      <c r="L1502">
        <v>0</v>
      </c>
      <c r="M1502">
        <v>0.85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2:19">
      <c r="B1503" t="s">
        <v>2085</v>
      </c>
      <c r="C1503" t="s">
        <v>836</v>
      </c>
      <c r="D1503" t="s">
        <v>563</v>
      </c>
      <c r="E1503">
        <v>0</v>
      </c>
      <c r="F1503">
        <v>0</v>
      </c>
      <c r="G1503">
        <v>0.03</v>
      </c>
      <c r="H1503">
        <v>1033</v>
      </c>
      <c r="I1503">
        <v>0</v>
      </c>
      <c r="J1503">
        <v>0</v>
      </c>
      <c r="K1503">
        <v>0</v>
      </c>
      <c r="L1503">
        <v>0</v>
      </c>
      <c r="M1503">
        <v>0.03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2:19">
      <c r="B1504" t="s">
        <v>2086</v>
      </c>
      <c r="C1504" t="s">
        <v>836</v>
      </c>
      <c r="D1504" t="s">
        <v>563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2:18">
      <c r="B1505" t="s">
        <v>5478</v>
      </c>
      <c r="C1505" t="s">
        <v>836</v>
      </c>
      <c r="D1505" t="s">
        <v>563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2:18">
      <c r="B1506" t="s">
        <v>2087</v>
      </c>
      <c r="C1506" t="s">
        <v>836</v>
      </c>
      <c r="D1506" t="s">
        <v>563</v>
      </c>
      <c r="E1506">
        <v>1</v>
      </c>
      <c r="F1506">
        <v>1E-3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3.8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2:18">
      <c r="B1507" t="s">
        <v>2088</v>
      </c>
      <c r="C1507" t="s">
        <v>836</v>
      </c>
      <c r="D1507" t="s">
        <v>563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1.6E-2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2:18">
      <c r="B1508" t="s">
        <v>2089</v>
      </c>
      <c r="C1508" t="s">
        <v>836</v>
      </c>
      <c r="D1508" t="s">
        <v>563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2:18">
      <c r="B1509" t="s">
        <v>5479</v>
      </c>
      <c r="C1509" t="s">
        <v>836</v>
      </c>
      <c r="D1509" t="s">
        <v>563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2:18">
      <c r="B1510" t="s">
        <v>2090</v>
      </c>
      <c r="C1510" t="s">
        <v>836</v>
      </c>
      <c r="D1510" t="s">
        <v>563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2:18">
      <c r="B1511" t="s">
        <v>2091</v>
      </c>
      <c r="C1511" t="s">
        <v>836</v>
      </c>
      <c r="D1511" t="s">
        <v>563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4.5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2:18">
      <c r="B1512" t="s">
        <v>2092</v>
      </c>
      <c r="C1512" t="s">
        <v>836</v>
      </c>
      <c r="D1512" t="s">
        <v>563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2:18">
      <c r="B1513" t="s">
        <v>2093</v>
      </c>
      <c r="C1513" t="s">
        <v>836</v>
      </c>
      <c r="D1513" t="s">
        <v>563</v>
      </c>
      <c r="E1513">
        <v>0</v>
      </c>
      <c r="F1513">
        <v>0</v>
      </c>
      <c r="G1513">
        <v>3.5999999999999997E-2</v>
      </c>
      <c r="H1513">
        <v>15765</v>
      </c>
      <c r="I1513">
        <v>0</v>
      </c>
      <c r="J1513">
        <v>0</v>
      </c>
      <c r="K1513">
        <v>0</v>
      </c>
      <c r="L1513">
        <v>0</v>
      </c>
      <c r="M1513">
        <v>3.5999999999999997E-2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2:18">
      <c r="B1514" t="s">
        <v>2094</v>
      </c>
      <c r="C1514" t="s">
        <v>836</v>
      </c>
      <c r="D1514" t="s">
        <v>563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2:18">
      <c r="B1515" t="s">
        <v>2095</v>
      </c>
      <c r="C1515" t="s">
        <v>836</v>
      </c>
      <c r="D1515" t="s">
        <v>563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2:18">
      <c r="B1516" t="s">
        <v>2096</v>
      </c>
      <c r="C1516" t="s">
        <v>836</v>
      </c>
      <c r="D1516" t="s">
        <v>563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2:18">
      <c r="B1517" t="s">
        <v>5480</v>
      </c>
      <c r="C1517" t="s">
        <v>836</v>
      </c>
      <c r="D1517" t="s">
        <v>563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2:18">
      <c r="B1518" t="s">
        <v>2097</v>
      </c>
      <c r="C1518" t="s">
        <v>836</v>
      </c>
      <c r="D1518" t="s">
        <v>563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2:18">
      <c r="B1519" t="s">
        <v>2098</v>
      </c>
      <c r="C1519" t="s">
        <v>836</v>
      </c>
      <c r="D1519" t="s">
        <v>563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2:18">
      <c r="B1520" t="s">
        <v>2099</v>
      </c>
      <c r="C1520" t="s">
        <v>836</v>
      </c>
      <c r="D1520" t="s">
        <v>563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44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2:18">
      <c r="B1521" t="s">
        <v>2100</v>
      </c>
      <c r="C1521" t="s">
        <v>836</v>
      </c>
      <c r="D1521" t="s">
        <v>563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2:18">
      <c r="B1522" t="s">
        <v>2101</v>
      </c>
      <c r="C1522" t="s">
        <v>836</v>
      </c>
      <c r="D1522" t="s">
        <v>563</v>
      </c>
      <c r="E1522">
        <v>0</v>
      </c>
      <c r="F1522">
        <v>0</v>
      </c>
      <c r="G1522">
        <v>65</v>
      </c>
      <c r="H1522">
        <v>50</v>
      </c>
      <c r="I1522">
        <v>0</v>
      </c>
      <c r="J1522">
        <v>0</v>
      </c>
      <c r="K1522">
        <v>0</v>
      </c>
      <c r="L1522">
        <v>0</v>
      </c>
      <c r="M1522">
        <v>50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2:18">
      <c r="B1523" t="s">
        <v>2102</v>
      </c>
      <c r="C1523" t="s">
        <v>836</v>
      </c>
      <c r="D1523" t="s">
        <v>563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2:18">
      <c r="B1524" t="s">
        <v>2103</v>
      </c>
      <c r="C1524" t="s">
        <v>836</v>
      </c>
      <c r="D1524" t="s">
        <v>563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2:18">
      <c r="B1525" t="s">
        <v>2104</v>
      </c>
      <c r="C1525" t="s">
        <v>836</v>
      </c>
      <c r="D1525" t="s">
        <v>563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2:18">
      <c r="B1526" t="s">
        <v>2105</v>
      </c>
      <c r="C1526" t="s">
        <v>836</v>
      </c>
      <c r="D1526" t="s">
        <v>563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2:18">
      <c r="B1527" t="s">
        <v>2106</v>
      </c>
      <c r="C1527" t="s">
        <v>836</v>
      </c>
      <c r="D1527" t="s">
        <v>563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2:18">
      <c r="B1528" t="s">
        <v>2107</v>
      </c>
      <c r="C1528" t="s">
        <v>836</v>
      </c>
      <c r="D1528" t="s">
        <v>563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2:18">
      <c r="B1529" t="s">
        <v>2108</v>
      </c>
      <c r="C1529" t="s">
        <v>836</v>
      </c>
      <c r="D1529" t="s">
        <v>563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2:18">
      <c r="B1530" t="s">
        <v>2109</v>
      </c>
      <c r="C1530" t="s">
        <v>836</v>
      </c>
      <c r="D1530" t="s">
        <v>563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2:18">
      <c r="B1531" t="s">
        <v>2110</v>
      </c>
      <c r="C1531" t="s">
        <v>836</v>
      </c>
      <c r="D1531" t="s">
        <v>563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2:18">
      <c r="B1532" t="s">
        <v>2111</v>
      </c>
      <c r="C1532" t="s">
        <v>836</v>
      </c>
      <c r="D1532" t="s">
        <v>563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2:18">
      <c r="B1533" t="s">
        <v>2112</v>
      </c>
      <c r="C1533" t="s">
        <v>836</v>
      </c>
      <c r="D1533" t="s">
        <v>563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2:18">
      <c r="B1534" t="s">
        <v>2113</v>
      </c>
      <c r="C1534" t="s">
        <v>836</v>
      </c>
      <c r="D1534" t="s">
        <v>563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2:18">
      <c r="B1535" t="s">
        <v>2114</v>
      </c>
      <c r="C1535" t="s">
        <v>836</v>
      </c>
      <c r="D1535" t="s">
        <v>563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2:18">
      <c r="B1536" t="s">
        <v>2115</v>
      </c>
      <c r="C1536" t="s">
        <v>836</v>
      </c>
      <c r="D1536" t="s">
        <v>563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2:18">
      <c r="B1537" t="s">
        <v>2116</v>
      </c>
      <c r="C1537" t="s">
        <v>836</v>
      </c>
      <c r="D1537" t="s">
        <v>563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2:18">
      <c r="B1538" t="s">
        <v>2117</v>
      </c>
      <c r="C1538" t="s">
        <v>836</v>
      </c>
      <c r="D1538" t="s">
        <v>563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2:18">
      <c r="B1539" t="s">
        <v>2118</v>
      </c>
      <c r="C1539" t="s">
        <v>836</v>
      </c>
      <c r="D1539" t="s">
        <v>563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2:18">
      <c r="B1540" t="s">
        <v>2119</v>
      </c>
      <c r="C1540" t="s">
        <v>836</v>
      </c>
      <c r="D1540" t="s">
        <v>563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2:18">
      <c r="B1541" t="s">
        <v>2120</v>
      </c>
      <c r="C1541" t="s">
        <v>836</v>
      </c>
      <c r="D1541" t="s">
        <v>563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2:18">
      <c r="B1542" t="s">
        <v>2121</v>
      </c>
      <c r="C1542" t="s">
        <v>836</v>
      </c>
      <c r="D1542" t="s">
        <v>563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2:18">
      <c r="B1543" t="s">
        <v>2122</v>
      </c>
      <c r="C1543" t="s">
        <v>836</v>
      </c>
      <c r="D1543" t="s">
        <v>563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2:18">
      <c r="B1544" t="s">
        <v>2123</v>
      </c>
      <c r="C1544" t="s">
        <v>836</v>
      </c>
      <c r="D1544" t="s">
        <v>563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2:18">
      <c r="B1545" t="s">
        <v>2124</v>
      </c>
      <c r="C1545" t="s">
        <v>836</v>
      </c>
      <c r="D1545" t="s">
        <v>563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2:18">
      <c r="B1546" t="s">
        <v>2125</v>
      </c>
      <c r="C1546" t="s">
        <v>836</v>
      </c>
      <c r="D1546" t="s">
        <v>563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2:18">
      <c r="B1547" t="s">
        <v>2126</v>
      </c>
      <c r="C1547" t="s">
        <v>836</v>
      </c>
      <c r="D1547" t="s">
        <v>563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</row>
    <row r="1548" spans="2:18">
      <c r="B1548" t="s">
        <v>2127</v>
      </c>
      <c r="C1548" t="s">
        <v>836</v>
      </c>
      <c r="D1548" t="s">
        <v>563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2:18">
      <c r="B1549" t="s">
        <v>2128</v>
      </c>
      <c r="C1549" t="s">
        <v>836</v>
      </c>
      <c r="D1549" t="s">
        <v>563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2:18">
      <c r="B1550" t="s">
        <v>2129</v>
      </c>
      <c r="C1550" t="s">
        <v>836</v>
      </c>
      <c r="D1550" t="s">
        <v>563</v>
      </c>
      <c r="E1550">
        <v>217</v>
      </c>
      <c r="F1550">
        <v>1.4E-2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0.92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2:18">
      <c r="B1551" t="s">
        <v>2130</v>
      </c>
      <c r="C1551" t="s">
        <v>836</v>
      </c>
      <c r="D1551" t="s">
        <v>563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2:18">
      <c r="B1552" t="s">
        <v>2131</v>
      </c>
      <c r="C1552" t="s">
        <v>836</v>
      </c>
      <c r="D1552" t="s">
        <v>563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2:18">
      <c r="B1553" t="s">
        <v>2132</v>
      </c>
      <c r="C1553" t="s">
        <v>836</v>
      </c>
      <c r="D1553" t="s">
        <v>563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2:18">
      <c r="B1554" t="s">
        <v>2133</v>
      </c>
      <c r="C1554" t="s">
        <v>836</v>
      </c>
      <c r="D1554" t="s">
        <v>563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2:18">
      <c r="B1555" t="s">
        <v>2134</v>
      </c>
      <c r="C1555" t="s">
        <v>836</v>
      </c>
      <c r="D1555" t="s">
        <v>563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2:18">
      <c r="B1556" t="s">
        <v>2135</v>
      </c>
      <c r="C1556" t="s">
        <v>836</v>
      </c>
      <c r="D1556" t="s">
        <v>563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2:18">
      <c r="B1557" t="s">
        <v>2136</v>
      </c>
      <c r="C1557" t="s">
        <v>836</v>
      </c>
      <c r="D1557" t="s">
        <v>563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2:18">
      <c r="B1558" t="s">
        <v>2137</v>
      </c>
      <c r="C1558" t="s">
        <v>836</v>
      </c>
      <c r="D1558" t="s">
        <v>563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2:18">
      <c r="B1559" t="s">
        <v>2138</v>
      </c>
      <c r="C1559" t="s">
        <v>836</v>
      </c>
      <c r="D1559" t="s">
        <v>563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2:18">
      <c r="B1560" t="s">
        <v>2139</v>
      </c>
      <c r="C1560" t="s">
        <v>836</v>
      </c>
      <c r="D1560" t="s">
        <v>563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2:18">
      <c r="B1561" t="s">
        <v>2140</v>
      </c>
      <c r="C1561" t="s">
        <v>836</v>
      </c>
      <c r="D1561" t="s">
        <v>563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2:18">
      <c r="B1562" t="s">
        <v>2141</v>
      </c>
      <c r="C1562" t="s">
        <v>836</v>
      </c>
      <c r="D1562" t="s">
        <v>563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2:18">
      <c r="B1563" t="s">
        <v>2142</v>
      </c>
      <c r="C1563" t="s">
        <v>836</v>
      </c>
      <c r="D1563" t="s">
        <v>563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2:18">
      <c r="B1564" t="s">
        <v>2143</v>
      </c>
      <c r="C1564" t="s">
        <v>836</v>
      </c>
      <c r="D1564" t="s">
        <v>563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2:18">
      <c r="B1565" t="s">
        <v>2144</v>
      </c>
      <c r="C1565" t="s">
        <v>836</v>
      </c>
      <c r="D1565" t="s">
        <v>563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2:18">
      <c r="B1566" t="s">
        <v>2145</v>
      </c>
      <c r="C1566" t="s">
        <v>836</v>
      </c>
      <c r="D1566" t="s">
        <v>563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2:18">
      <c r="B1567" t="s">
        <v>2146</v>
      </c>
      <c r="C1567" t="s">
        <v>836</v>
      </c>
      <c r="D1567" t="s">
        <v>563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2:18">
      <c r="B1568" t="s">
        <v>2147</v>
      </c>
      <c r="C1568" t="s">
        <v>836</v>
      </c>
      <c r="D1568" t="s">
        <v>563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2:18">
      <c r="B1569" t="s">
        <v>2148</v>
      </c>
      <c r="C1569" t="s">
        <v>836</v>
      </c>
      <c r="D1569" t="s">
        <v>563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2:18">
      <c r="B1570" t="s">
        <v>2149</v>
      </c>
      <c r="C1570" t="s">
        <v>836</v>
      </c>
      <c r="D1570" t="s">
        <v>563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2:18">
      <c r="B1571" t="s">
        <v>2150</v>
      </c>
      <c r="C1571" t="s">
        <v>836</v>
      </c>
      <c r="D1571" t="s">
        <v>563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2:18">
      <c r="B1572" t="s">
        <v>2151</v>
      </c>
      <c r="C1572" t="s">
        <v>836</v>
      </c>
      <c r="D1572" t="s">
        <v>563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2:18">
      <c r="B1573" t="s">
        <v>2152</v>
      </c>
      <c r="C1573" t="s">
        <v>836</v>
      </c>
      <c r="D1573" t="s">
        <v>563</v>
      </c>
      <c r="E1573">
        <v>173</v>
      </c>
      <c r="F1573">
        <v>1.9E-2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0.14499999999999999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2:18">
      <c r="B1574" t="s">
        <v>2153</v>
      </c>
      <c r="C1574" t="s">
        <v>836</v>
      </c>
      <c r="D1574" t="s">
        <v>563</v>
      </c>
      <c r="E1574">
        <v>90</v>
      </c>
      <c r="F1574">
        <v>2.8000000000000001E-2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0.16700000000000001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2:18">
      <c r="B1575" t="s">
        <v>2154</v>
      </c>
      <c r="C1575" t="s">
        <v>836</v>
      </c>
      <c r="D1575" t="s">
        <v>563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2:18">
      <c r="B1576" t="s">
        <v>2155</v>
      </c>
      <c r="C1576" t="s">
        <v>836</v>
      </c>
      <c r="D1576" t="s">
        <v>563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2:18">
      <c r="B1577" t="s">
        <v>2156</v>
      </c>
      <c r="C1577" t="s">
        <v>836</v>
      </c>
      <c r="D1577" t="s">
        <v>563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2:18">
      <c r="B1578" t="s">
        <v>2157</v>
      </c>
      <c r="C1578" t="s">
        <v>836</v>
      </c>
      <c r="D1578" t="s">
        <v>563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2:18">
      <c r="B1579" t="s">
        <v>2158</v>
      </c>
      <c r="C1579" t="s">
        <v>836</v>
      </c>
      <c r="D1579" t="s">
        <v>563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2:18">
      <c r="B1580" t="s">
        <v>2159</v>
      </c>
      <c r="C1580" t="s">
        <v>836</v>
      </c>
      <c r="D1580" t="s">
        <v>563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2:18">
      <c r="B1581" t="s">
        <v>2160</v>
      </c>
      <c r="C1581" t="s">
        <v>836</v>
      </c>
      <c r="D1581" t="s">
        <v>563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</row>
    <row r="1582" spans="2:18">
      <c r="B1582" t="s">
        <v>2161</v>
      </c>
      <c r="C1582" t="s">
        <v>836</v>
      </c>
      <c r="D1582" t="s">
        <v>563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</row>
    <row r="1583" spans="2:18">
      <c r="B1583" t="s">
        <v>2162</v>
      </c>
      <c r="C1583" t="s">
        <v>836</v>
      </c>
      <c r="D1583" t="s">
        <v>563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2:18">
      <c r="B1584" t="s">
        <v>2163</v>
      </c>
      <c r="C1584" t="s">
        <v>836</v>
      </c>
      <c r="D1584" t="s">
        <v>563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2:18">
      <c r="B1585" t="s">
        <v>2164</v>
      </c>
      <c r="C1585" t="s">
        <v>836</v>
      </c>
      <c r="D1585" t="s">
        <v>563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2:18">
      <c r="B1586" t="s">
        <v>2165</v>
      </c>
      <c r="C1586" t="s">
        <v>836</v>
      </c>
      <c r="D1586" t="s">
        <v>563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2:18">
      <c r="B1587" t="s">
        <v>2166</v>
      </c>
      <c r="C1587" t="s">
        <v>836</v>
      </c>
      <c r="D1587" t="s">
        <v>563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2:18">
      <c r="B1588" t="s">
        <v>2167</v>
      </c>
      <c r="C1588" t="s">
        <v>836</v>
      </c>
      <c r="D1588" t="s">
        <v>563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2:18">
      <c r="B1589" t="s">
        <v>2168</v>
      </c>
      <c r="C1589" t="s">
        <v>836</v>
      </c>
      <c r="D1589" t="s">
        <v>563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2:18">
      <c r="B1590" t="s">
        <v>2169</v>
      </c>
      <c r="C1590" t="s">
        <v>836</v>
      </c>
      <c r="D1590" t="s">
        <v>563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2:18">
      <c r="B1591" t="s">
        <v>2170</v>
      </c>
      <c r="C1591" t="s">
        <v>836</v>
      </c>
      <c r="D1591" t="s">
        <v>563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2:18">
      <c r="B1592" t="s">
        <v>2171</v>
      </c>
      <c r="C1592" t="s">
        <v>836</v>
      </c>
      <c r="D1592" t="s">
        <v>563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2:18">
      <c r="B1593" t="s">
        <v>2172</v>
      </c>
      <c r="C1593" t="s">
        <v>836</v>
      </c>
      <c r="D1593" t="s">
        <v>563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2:18">
      <c r="B1594" t="s">
        <v>2173</v>
      </c>
      <c r="C1594" t="s">
        <v>836</v>
      </c>
      <c r="D1594" t="s">
        <v>563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2:18">
      <c r="B1595" t="s">
        <v>2174</v>
      </c>
      <c r="C1595" t="s">
        <v>836</v>
      </c>
      <c r="D1595" t="s">
        <v>563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2:18">
      <c r="B1596" t="s">
        <v>2175</v>
      </c>
      <c r="C1596" t="s">
        <v>836</v>
      </c>
      <c r="D1596" t="s">
        <v>563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2:18">
      <c r="B1597" t="s">
        <v>2176</v>
      </c>
      <c r="C1597" t="s">
        <v>836</v>
      </c>
      <c r="D1597" t="s">
        <v>563</v>
      </c>
      <c r="E1597">
        <v>1350</v>
      </c>
      <c r="F1597">
        <v>0.72499999999999998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2:18">
      <c r="B1598" t="s">
        <v>2177</v>
      </c>
      <c r="C1598" t="s">
        <v>836</v>
      </c>
      <c r="D1598" t="s">
        <v>563</v>
      </c>
      <c r="E1598">
        <v>0</v>
      </c>
      <c r="F1598">
        <v>0</v>
      </c>
      <c r="G1598">
        <v>0.7</v>
      </c>
      <c r="H1598">
        <v>11</v>
      </c>
      <c r="I1598">
        <v>0</v>
      </c>
      <c r="J1598">
        <v>0</v>
      </c>
      <c r="K1598">
        <v>0</v>
      </c>
      <c r="L1598">
        <v>0</v>
      </c>
      <c r="M1598">
        <v>0.7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2:18">
      <c r="B1599" t="s">
        <v>2178</v>
      </c>
      <c r="C1599" t="s">
        <v>836</v>
      </c>
      <c r="D1599" t="s">
        <v>563</v>
      </c>
      <c r="E1599">
        <v>71</v>
      </c>
      <c r="F1599">
        <v>1.2210000000000001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2:18">
      <c r="B1600" t="s">
        <v>2179</v>
      </c>
      <c r="C1600" t="s">
        <v>836</v>
      </c>
      <c r="D1600" t="s">
        <v>563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2:19">
      <c r="B1601" t="s">
        <v>2180</v>
      </c>
      <c r="C1601" t="s">
        <v>836</v>
      </c>
      <c r="D1601" t="s">
        <v>563</v>
      </c>
      <c r="E1601">
        <v>1050</v>
      </c>
      <c r="F1601">
        <v>1.31</v>
      </c>
      <c r="G1601">
        <v>3.65</v>
      </c>
      <c r="H1601">
        <v>8</v>
      </c>
      <c r="I1601">
        <v>0</v>
      </c>
      <c r="J1601">
        <v>0</v>
      </c>
      <c r="K1601">
        <v>0</v>
      </c>
      <c r="L1601">
        <v>0</v>
      </c>
      <c r="M1601">
        <v>2.76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2:19">
      <c r="B1602" t="s">
        <v>2181</v>
      </c>
      <c r="C1602" t="s">
        <v>836</v>
      </c>
      <c r="D1602" t="s">
        <v>563</v>
      </c>
      <c r="E1602">
        <v>2</v>
      </c>
      <c r="F1602">
        <v>0.42099999999999999</v>
      </c>
      <c r="G1602">
        <v>1.079</v>
      </c>
      <c r="H1602">
        <v>2</v>
      </c>
      <c r="I1602">
        <v>0</v>
      </c>
      <c r="J1602">
        <v>0</v>
      </c>
      <c r="K1602">
        <v>0</v>
      </c>
      <c r="L1602">
        <v>0</v>
      </c>
      <c r="M1602">
        <v>0.41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2:19">
      <c r="B1603" t="s">
        <v>2182</v>
      </c>
      <c r="C1603" t="s">
        <v>836</v>
      </c>
      <c r="D1603" t="s">
        <v>563</v>
      </c>
      <c r="E1603">
        <v>57</v>
      </c>
      <c r="F1603">
        <v>1.67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2:19">
      <c r="B1604" t="s">
        <v>2183</v>
      </c>
      <c r="C1604" t="s">
        <v>836</v>
      </c>
      <c r="D1604" t="s">
        <v>563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2:19">
      <c r="B1605" t="s">
        <v>2184</v>
      </c>
      <c r="C1605" t="s">
        <v>836</v>
      </c>
      <c r="D1605" t="s">
        <v>563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2:19">
      <c r="B1606" t="s">
        <v>2185</v>
      </c>
      <c r="C1606" t="s">
        <v>836</v>
      </c>
      <c r="D1606" t="s">
        <v>563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2:19">
      <c r="B1607" t="s">
        <v>2186</v>
      </c>
      <c r="C1607" t="s">
        <v>836</v>
      </c>
      <c r="D1607" t="s">
        <v>563</v>
      </c>
      <c r="E1607">
        <v>675</v>
      </c>
      <c r="F1607">
        <v>1.71</v>
      </c>
      <c r="G1607">
        <v>5.94</v>
      </c>
      <c r="H1607">
        <v>50</v>
      </c>
      <c r="I1607">
        <v>0</v>
      </c>
      <c r="J1607">
        <v>0</v>
      </c>
      <c r="K1607">
        <v>0</v>
      </c>
      <c r="L1607">
        <v>0</v>
      </c>
      <c r="M1607">
        <v>2.6040000000000001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2:19">
      <c r="B1608" t="s">
        <v>2187</v>
      </c>
      <c r="C1608" t="s">
        <v>836</v>
      </c>
      <c r="D1608" t="s">
        <v>563</v>
      </c>
      <c r="E1608">
        <v>1750</v>
      </c>
      <c r="F1608">
        <v>0.65</v>
      </c>
      <c r="G1608">
        <v>1.2</v>
      </c>
      <c r="H1608">
        <v>100</v>
      </c>
      <c r="I1608">
        <v>0.65</v>
      </c>
      <c r="J1608">
        <v>0.65</v>
      </c>
      <c r="K1608">
        <v>0.65</v>
      </c>
      <c r="L1608">
        <v>0.65</v>
      </c>
      <c r="M1608">
        <v>1.1950000000000001</v>
      </c>
      <c r="N1608">
        <v>-0.45600000000000002</v>
      </c>
      <c r="O1608">
        <v>10</v>
      </c>
      <c r="P1608">
        <v>650</v>
      </c>
      <c r="Q1608">
        <v>0.65</v>
      </c>
      <c r="R1608">
        <v>0</v>
      </c>
      <c r="S1608" t="s">
        <v>6253</v>
      </c>
    </row>
    <row r="1609" spans="2:19">
      <c r="B1609" t="s">
        <v>2188</v>
      </c>
      <c r="C1609" t="s">
        <v>836</v>
      </c>
      <c r="D1609" t="s">
        <v>563</v>
      </c>
      <c r="E1609">
        <v>46</v>
      </c>
      <c r="F1609">
        <v>2.2719999999999998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2:19">
      <c r="B1610" t="s">
        <v>2189</v>
      </c>
      <c r="C1610" t="s">
        <v>836</v>
      </c>
      <c r="D1610" t="s">
        <v>563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2:19">
      <c r="B1611" t="s">
        <v>2190</v>
      </c>
      <c r="C1611" t="s">
        <v>836</v>
      </c>
      <c r="D1611" t="s">
        <v>563</v>
      </c>
      <c r="E1611">
        <v>650</v>
      </c>
      <c r="F1611">
        <v>2.395</v>
      </c>
      <c r="G1611">
        <v>7.8</v>
      </c>
      <c r="H1611">
        <v>822</v>
      </c>
      <c r="I1611">
        <v>0</v>
      </c>
      <c r="J1611">
        <v>0</v>
      </c>
      <c r="K1611">
        <v>0</v>
      </c>
      <c r="L1611">
        <v>0</v>
      </c>
      <c r="M1611">
        <v>3.1720000000000002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2:19">
      <c r="B1612" t="s">
        <v>2191</v>
      </c>
      <c r="C1612" t="s">
        <v>836</v>
      </c>
      <c r="D1612" t="s">
        <v>563</v>
      </c>
      <c r="E1612">
        <v>1200</v>
      </c>
      <c r="F1612">
        <v>1.6</v>
      </c>
      <c r="G1612">
        <v>2.1</v>
      </c>
      <c r="H1612">
        <v>1</v>
      </c>
      <c r="I1612">
        <v>1.95</v>
      </c>
      <c r="J1612">
        <v>1.95</v>
      </c>
      <c r="K1612">
        <v>2</v>
      </c>
      <c r="L1612">
        <v>2</v>
      </c>
      <c r="M1612">
        <v>1.95</v>
      </c>
      <c r="N1612">
        <v>2.5600000000000001E-2</v>
      </c>
      <c r="O1612">
        <v>37</v>
      </c>
      <c r="P1612">
        <v>7390</v>
      </c>
      <c r="Q1612">
        <v>1.9972973000000001</v>
      </c>
      <c r="R1612">
        <v>0</v>
      </c>
      <c r="S1612" t="s">
        <v>6243</v>
      </c>
    </row>
    <row r="1613" spans="2:19">
      <c r="B1613" t="s">
        <v>2192</v>
      </c>
      <c r="C1613" t="s">
        <v>836</v>
      </c>
      <c r="D1613" t="s">
        <v>563</v>
      </c>
      <c r="E1613">
        <v>37</v>
      </c>
      <c r="F1613">
        <v>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2:19">
      <c r="B1614" t="s">
        <v>2193</v>
      </c>
      <c r="C1614" t="s">
        <v>836</v>
      </c>
      <c r="D1614" t="s">
        <v>563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2:19">
      <c r="B1615" t="s">
        <v>2194</v>
      </c>
      <c r="C1615" t="s">
        <v>836</v>
      </c>
      <c r="D1615" t="s">
        <v>563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</row>
    <row r="1616" spans="2:19">
      <c r="B1616" t="s">
        <v>2195</v>
      </c>
      <c r="C1616" t="s">
        <v>836</v>
      </c>
      <c r="D1616" t="s">
        <v>563</v>
      </c>
      <c r="E1616">
        <v>3</v>
      </c>
      <c r="F1616">
        <v>3.1</v>
      </c>
      <c r="G1616">
        <v>4</v>
      </c>
      <c r="H1616">
        <v>49</v>
      </c>
      <c r="I1616">
        <v>2.5499999999999998</v>
      </c>
      <c r="J1616">
        <v>2.5499999999999998</v>
      </c>
      <c r="K1616">
        <v>4</v>
      </c>
      <c r="L1616">
        <v>4</v>
      </c>
      <c r="M1616">
        <v>3</v>
      </c>
      <c r="N1616">
        <v>0.33329999999999999</v>
      </c>
      <c r="O1616">
        <v>233</v>
      </c>
      <c r="P1616">
        <v>72958</v>
      </c>
      <c r="Q1616">
        <v>3.1312446</v>
      </c>
      <c r="R1616">
        <v>0</v>
      </c>
      <c r="S1616" t="s">
        <v>6245</v>
      </c>
    </row>
    <row r="1617" spans="2:19">
      <c r="B1617" t="s">
        <v>2196</v>
      </c>
      <c r="C1617" t="s">
        <v>836</v>
      </c>
      <c r="D1617" t="s">
        <v>563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2:19">
      <c r="B1618" t="s">
        <v>2197</v>
      </c>
      <c r="C1618" t="s">
        <v>836</v>
      </c>
      <c r="D1618" t="s">
        <v>563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2:19">
      <c r="B1619" t="s">
        <v>2198</v>
      </c>
      <c r="C1619" t="s">
        <v>836</v>
      </c>
      <c r="D1619" t="s">
        <v>563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2:19">
      <c r="B1620" t="s">
        <v>2199</v>
      </c>
      <c r="C1620" t="s">
        <v>836</v>
      </c>
      <c r="D1620" t="s">
        <v>563</v>
      </c>
      <c r="E1620">
        <v>725</v>
      </c>
      <c r="F1620">
        <v>4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4.5129999999999999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2:19">
      <c r="B1621" t="s">
        <v>2200</v>
      </c>
      <c r="C1621" t="s">
        <v>836</v>
      </c>
      <c r="D1621" t="s">
        <v>563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2:19">
      <c r="B1622" t="s">
        <v>2201</v>
      </c>
      <c r="C1622" t="s">
        <v>836</v>
      </c>
      <c r="D1622" t="s">
        <v>563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2:19">
      <c r="B1623" t="s">
        <v>2202</v>
      </c>
      <c r="C1623" t="s">
        <v>836</v>
      </c>
      <c r="D1623" t="s">
        <v>563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2:19">
      <c r="B1624" t="s">
        <v>2203</v>
      </c>
      <c r="C1624" t="s">
        <v>836</v>
      </c>
      <c r="D1624" t="s">
        <v>563</v>
      </c>
      <c r="E1624">
        <v>25</v>
      </c>
      <c r="F1624">
        <v>7</v>
      </c>
      <c r="G1624">
        <v>0</v>
      </c>
      <c r="H1624">
        <v>0</v>
      </c>
      <c r="I1624">
        <v>6.5</v>
      </c>
      <c r="J1624">
        <v>6.5</v>
      </c>
      <c r="K1624">
        <v>6.5</v>
      </c>
      <c r="L1624">
        <v>6.5</v>
      </c>
      <c r="M1624">
        <v>7</v>
      </c>
      <c r="N1624">
        <v>-7.1400000000000005E-2</v>
      </c>
      <c r="O1624">
        <v>92</v>
      </c>
      <c r="P1624">
        <v>59800</v>
      </c>
      <c r="Q1624">
        <v>6.5</v>
      </c>
      <c r="R1624">
        <v>0</v>
      </c>
      <c r="S1624" t="s">
        <v>6254</v>
      </c>
    </row>
    <row r="1625" spans="2:19">
      <c r="B1625" t="s">
        <v>2204</v>
      </c>
      <c r="C1625" t="s">
        <v>836</v>
      </c>
      <c r="D1625" t="s">
        <v>563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2:19">
      <c r="B1626" t="s">
        <v>2205</v>
      </c>
      <c r="C1626" t="s">
        <v>836</v>
      </c>
      <c r="D1626" t="s">
        <v>563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2:19">
      <c r="B1627" t="s">
        <v>2206</v>
      </c>
      <c r="C1627" t="s">
        <v>836</v>
      </c>
      <c r="D1627" t="s">
        <v>563</v>
      </c>
      <c r="E1627">
        <v>21</v>
      </c>
      <c r="F1627">
        <v>4.62</v>
      </c>
      <c r="G1627">
        <v>11.8</v>
      </c>
      <c r="H1627">
        <v>5</v>
      </c>
      <c r="I1627">
        <v>0</v>
      </c>
      <c r="J1627">
        <v>0</v>
      </c>
      <c r="K1627">
        <v>0</v>
      </c>
      <c r="L1627">
        <v>0</v>
      </c>
      <c r="M1627">
        <v>3.08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2:19">
      <c r="B1628" t="s">
        <v>2207</v>
      </c>
      <c r="C1628" t="s">
        <v>836</v>
      </c>
      <c r="D1628" t="s">
        <v>563</v>
      </c>
      <c r="E1628">
        <v>1700</v>
      </c>
      <c r="F1628">
        <v>8.3000000000000007</v>
      </c>
      <c r="G1628">
        <v>11.2</v>
      </c>
      <c r="H1628">
        <v>10</v>
      </c>
      <c r="I1628">
        <v>9</v>
      </c>
      <c r="J1628">
        <v>9</v>
      </c>
      <c r="K1628">
        <v>10</v>
      </c>
      <c r="L1628">
        <v>10</v>
      </c>
      <c r="M1628">
        <v>8.11</v>
      </c>
      <c r="N1628">
        <v>0.23300000000000001</v>
      </c>
      <c r="O1628">
        <v>60</v>
      </c>
      <c r="P1628">
        <v>56600</v>
      </c>
      <c r="Q1628">
        <v>9.4333332999999993</v>
      </c>
      <c r="R1628">
        <v>0</v>
      </c>
      <c r="S1628" t="s">
        <v>6243</v>
      </c>
    </row>
    <row r="1629" spans="2:19">
      <c r="B1629" t="s">
        <v>2208</v>
      </c>
      <c r="C1629" t="s">
        <v>836</v>
      </c>
      <c r="D1629" t="s">
        <v>563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2:19">
      <c r="B1630" t="s">
        <v>2209</v>
      </c>
      <c r="C1630" t="s">
        <v>836</v>
      </c>
      <c r="D1630" t="s">
        <v>563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2:19">
      <c r="B1631" t="s">
        <v>2210</v>
      </c>
      <c r="C1631" t="s">
        <v>836</v>
      </c>
      <c r="D1631" t="s">
        <v>563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2:19">
      <c r="B1632" t="s">
        <v>2211</v>
      </c>
      <c r="C1632" t="s">
        <v>836</v>
      </c>
      <c r="D1632" t="s">
        <v>563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2:19">
      <c r="B1633" t="s">
        <v>2212</v>
      </c>
      <c r="C1633" t="s">
        <v>836</v>
      </c>
      <c r="D1633" t="s">
        <v>563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2:19">
      <c r="B1634" t="s">
        <v>2213</v>
      </c>
      <c r="C1634" t="s">
        <v>836</v>
      </c>
      <c r="D1634" t="s">
        <v>563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2:19">
      <c r="B1635" t="s">
        <v>5481</v>
      </c>
      <c r="C1635" t="s">
        <v>836</v>
      </c>
      <c r="D1635" t="s">
        <v>563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2:19">
      <c r="B1636" t="s">
        <v>2214</v>
      </c>
      <c r="C1636" t="s">
        <v>836</v>
      </c>
      <c r="D1636" t="s">
        <v>563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2:19">
      <c r="B1637" t="s">
        <v>2215</v>
      </c>
      <c r="C1637" t="s">
        <v>836</v>
      </c>
      <c r="D1637" t="s">
        <v>563</v>
      </c>
      <c r="E1637">
        <v>0</v>
      </c>
      <c r="F1637">
        <v>0</v>
      </c>
      <c r="G1637">
        <v>18</v>
      </c>
      <c r="H1637">
        <v>3</v>
      </c>
      <c r="I1637">
        <v>0</v>
      </c>
      <c r="J1637">
        <v>0</v>
      </c>
      <c r="K1637">
        <v>0</v>
      </c>
      <c r="L1637">
        <v>0</v>
      </c>
      <c r="M1637">
        <v>7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2:19">
      <c r="B1638" t="s">
        <v>2216</v>
      </c>
      <c r="C1638" t="s">
        <v>836</v>
      </c>
      <c r="D1638" t="s">
        <v>563</v>
      </c>
      <c r="E1638">
        <v>1</v>
      </c>
      <c r="F1638">
        <v>12.5</v>
      </c>
      <c r="G1638">
        <v>0</v>
      </c>
      <c r="H1638">
        <v>0</v>
      </c>
      <c r="I1638">
        <v>13</v>
      </c>
      <c r="J1638">
        <v>13</v>
      </c>
      <c r="K1638">
        <v>14</v>
      </c>
      <c r="L1638">
        <v>14</v>
      </c>
      <c r="M1638">
        <v>12.500999999999999</v>
      </c>
      <c r="N1638">
        <v>0.11990000000000001</v>
      </c>
      <c r="O1638">
        <v>12</v>
      </c>
      <c r="P1638">
        <v>16400</v>
      </c>
      <c r="Q1638">
        <v>13.6666667</v>
      </c>
      <c r="R1638">
        <v>0</v>
      </c>
      <c r="S1638" t="s">
        <v>6255</v>
      </c>
    </row>
    <row r="1639" spans="2:19">
      <c r="B1639" t="s">
        <v>2217</v>
      </c>
      <c r="C1639" t="s">
        <v>836</v>
      </c>
      <c r="D1639" t="s">
        <v>563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2:19">
      <c r="B1640" t="s">
        <v>2218</v>
      </c>
      <c r="C1640" t="s">
        <v>836</v>
      </c>
      <c r="D1640" t="s">
        <v>563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2:19">
      <c r="B1641" t="s">
        <v>2219</v>
      </c>
      <c r="C1641" t="s">
        <v>836</v>
      </c>
      <c r="D1641" t="s">
        <v>563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2:19">
      <c r="B1642" t="s">
        <v>2220</v>
      </c>
      <c r="C1642" t="s">
        <v>836</v>
      </c>
      <c r="D1642" t="s">
        <v>563</v>
      </c>
      <c r="E1642">
        <v>8</v>
      </c>
      <c r="F1642">
        <v>14.4</v>
      </c>
      <c r="G1642">
        <v>17.98</v>
      </c>
      <c r="H1642">
        <v>525</v>
      </c>
      <c r="I1642">
        <v>14</v>
      </c>
      <c r="J1642">
        <v>14</v>
      </c>
      <c r="K1642">
        <v>16</v>
      </c>
      <c r="L1642">
        <v>16</v>
      </c>
      <c r="M1642">
        <v>11.8</v>
      </c>
      <c r="N1642">
        <v>0.35589999999999999</v>
      </c>
      <c r="O1642">
        <v>4</v>
      </c>
      <c r="P1642">
        <v>6200</v>
      </c>
      <c r="Q1642">
        <v>15.5</v>
      </c>
      <c r="R1642">
        <v>0</v>
      </c>
      <c r="S1642" t="s">
        <v>6256</v>
      </c>
    </row>
    <row r="1643" spans="2:19">
      <c r="B1643" t="s">
        <v>2221</v>
      </c>
      <c r="C1643" t="s">
        <v>836</v>
      </c>
      <c r="D1643" t="s">
        <v>563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2:19">
      <c r="B1644" t="s">
        <v>2222</v>
      </c>
      <c r="C1644" t="s">
        <v>836</v>
      </c>
      <c r="D1644" t="s">
        <v>563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2:19">
      <c r="B1645" t="s">
        <v>2223</v>
      </c>
      <c r="C1645" t="s">
        <v>836</v>
      </c>
      <c r="D1645" t="s">
        <v>563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2:19">
      <c r="B1646" t="s">
        <v>2224</v>
      </c>
      <c r="C1646" t="s">
        <v>836</v>
      </c>
      <c r="D1646" t="s">
        <v>563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6.1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2:19">
      <c r="B1647" t="s">
        <v>2225</v>
      </c>
      <c r="C1647" t="s">
        <v>836</v>
      </c>
      <c r="D1647" t="s">
        <v>563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2:19">
      <c r="B1648" t="s">
        <v>2226</v>
      </c>
      <c r="C1648" t="s">
        <v>836</v>
      </c>
      <c r="D1648" t="s">
        <v>563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2:19">
      <c r="B1649" t="s">
        <v>5482</v>
      </c>
      <c r="C1649" t="s">
        <v>836</v>
      </c>
      <c r="D1649" t="s">
        <v>563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2:19">
      <c r="B1650" t="s">
        <v>2227</v>
      </c>
      <c r="C1650" t="s">
        <v>836</v>
      </c>
      <c r="D1650" t="s">
        <v>563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4.93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2:19">
      <c r="B1651" t="s">
        <v>2228</v>
      </c>
      <c r="C1651" t="s">
        <v>836</v>
      </c>
      <c r="D1651" t="s">
        <v>563</v>
      </c>
      <c r="E1651">
        <v>5</v>
      </c>
      <c r="F1651">
        <v>18.2</v>
      </c>
      <c r="G1651">
        <v>0</v>
      </c>
      <c r="H1651">
        <v>0</v>
      </c>
      <c r="I1651">
        <v>19</v>
      </c>
      <c r="J1651">
        <v>19</v>
      </c>
      <c r="K1651">
        <v>19</v>
      </c>
      <c r="L1651">
        <v>19</v>
      </c>
      <c r="M1651">
        <v>19.5</v>
      </c>
      <c r="N1651">
        <v>-2.5600000000000001E-2</v>
      </c>
      <c r="O1651">
        <v>1</v>
      </c>
      <c r="P1651">
        <v>1900</v>
      </c>
      <c r="Q1651">
        <v>19</v>
      </c>
      <c r="R1651">
        <v>0</v>
      </c>
      <c r="S1651" t="s">
        <v>6257</v>
      </c>
    </row>
    <row r="1652" spans="2:19">
      <c r="B1652" t="s">
        <v>2229</v>
      </c>
      <c r="C1652" t="s">
        <v>836</v>
      </c>
      <c r="D1652" t="s">
        <v>563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2:19">
      <c r="B1653" t="s">
        <v>2230</v>
      </c>
      <c r="C1653" t="s">
        <v>836</v>
      </c>
      <c r="D1653" t="s">
        <v>563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2:19">
      <c r="B1654" t="s">
        <v>2231</v>
      </c>
      <c r="C1654" t="s">
        <v>836</v>
      </c>
      <c r="D1654" t="s">
        <v>563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2:19">
      <c r="B1655" t="s">
        <v>2232</v>
      </c>
      <c r="C1655" t="s">
        <v>836</v>
      </c>
      <c r="D1655" t="s">
        <v>563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19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2:19">
      <c r="B1656" t="s">
        <v>2233</v>
      </c>
      <c r="C1656" t="s">
        <v>836</v>
      </c>
      <c r="D1656" t="s">
        <v>563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2:19">
      <c r="B1657" t="s">
        <v>2234</v>
      </c>
      <c r="C1657" t="s">
        <v>836</v>
      </c>
      <c r="D1657" t="s">
        <v>563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2:19">
      <c r="B1658" t="s">
        <v>2235</v>
      </c>
      <c r="C1658" t="s">
        <v>836</v>
      </c>
      <c r="D1658" t="s">
        <v>563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2:19">
      <c r="B1659" t="s">
        <v>2236</v>
      </c>
      <c r="C1659" t="s">
        <v>836</v>
      </c>
      <c r="D1659" t="s">
        <v>563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2:19">
      <c r="B1660" t="s">
        <v>2237</v>
      </c>
      <c r="C1660" t="s">
        <v>836</v>
      </c>
      <c r="D1660" t="s">
        <v>563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2:19">
      <c r="B1661" t="s">
        <v>5483</v>
      </c>
      <c r="C1661" t="s">
        <v>836</v>
      </c>
      <c r="D1661" t="s">
        <v>563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2:19">
      <c r="B1662" t="s">
        <v>2238</v>
      </c>
      <c r="C1662" t="s">
        <v>836</v>
      </c>
      <c r="D1662" t="s">
        <v>563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2:19">
      <c r="B1663" t="s">
        <v>2239</v>
      </c>
      <c r="C1663" t="s">
        <v>836</v>
      </c>
      <c r="D1663" t="s">
        <v>563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2:19">
      <c r="B1664" t="s">
        <v>2240</v>
      </c>
      <c r="C1664" t="s">
        <v>836</v>
      </c>
      <c r="D1664" t="s">
        <v>563</v>
      </c>
      <c r="E1664">
        <v>600</v>
      </c>
      <c r="F1664">
        <v>8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5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2:18">
      <c r="B1665" t="s">
        <v>5484</v>
      </c>
      <c r="C1665" t="s">
        <v>836</v>
      </c>
      <c r="D1665" t="s">
        <v>563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</row>
    <row r="1666" spans="2:18">
      <c r="B1666" t="s">
        <v>5485</v>
      </c>
      <c r="C1666" t="s">
        <v>836</v>
      </c>
      <c r="D1666" t="s">
        <v>563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2:18">
      <c r="B1667" t="s">
        <v>2241</v>
      </c>
      <c r="C1667" t="s">
        <v>836</v>
      </c>
      <c r="D1667" t="s">
        <v>563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2:18">
      <c r="B1668" t="s">
        <v>2242</v>
      </c>
      <c r="C1668" t="s">
        <v>836</v>
      </c>
      <c r="D1668" t="s">
        <v>563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2:18">
      <c r="B1669" t="s">
        <v>2243</v>
      </c>
      <c r="C1669" t="s">
        <v>836</v>
      </c>
      <c r="D1669" t="s">
        <v>563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28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2:18">
      <c r="B1670" t="s">
        <v>5486</v>
      </c>
      <c r="C1670" t="s">
        <v>836</v>
      </c>
      <c r="D1670" t="s">
        <v>563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2:18">
      <c r="B1671" t="s">
        <v>5487</v>
      </c>
      <c r="C1671" t="s">
        <v>836</v>
      </c>
      <c r="D1671" t="s">
        <v>563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2:18">
      <c r="B1672" t="s">
        <v>2244</v>
      </c>
      <c r="C1672" t="s">
        <v>836</v>
      </c>
      <c r="D1672" t="s">
        <v>563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2:18">
      <c r="B1673" t="s">
        <v>2245</v>
      </c>
      <c r="C1673" t="s">
        <v>836</v>
      </c>
      <c r="D1673" t="s">
        <v>563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2:18">
      <c r="B1674" t="s">
        <v>5488</v>
      </c>
      <c r="C1674" t="s">
        <v>836</v>
      </c>
      <c r="D1674" t="s">
        <v>563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2:18">
      <c r="B1675" t="s">
        <v>5489</v>
      </c>
      <c r="C1675" t="s">
        <v>836</v>
      </c>
      <c r="D1675" t="s">
        <v>563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2:18">
      <c r="B1676" t="s">
        <v>5490</v>
      </c>
      <c r="C1676" t="s">
        <v>836</v>
      </c>
      <c r="D1676" t="s">
        <v>563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2:18">
      <c r="B1677" t="s">
        <v>2246</v>
      </c>
      <c r="C1677" t="s">
        <v>836</v>
      </c>
      <c r="D1677" t="s">
        <v>563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2:18">
      <c r="B1678" t="s">
        <v>2247</v>
      </c>
      <c r="C1678" t="s">
        <v>836</v>
      </c>
      <c r="D1678" t="s">
        <v>563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2:18">
      <c r="B1679" t="s">
        <v>5491</v>
      </c>
      <c r="C1679" t="s">
        <v>836</v>
      </c>
      <c r="D1679" t="s">
        <v>563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2:18">
      <c r="B1680" t="s">
        <v>5492</v>
      </c>
      <c r="C1680" t="s">
        <v>836</v>
      </c>
      <c r="D1680" t="s">
        <v>563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2:18">
      <c r="B1681" t="s">
        <v>2248</v>
      </c>
      <c r="C1681" t="s">
        <v>836</v>
      </c>
      <c r="D1681" t="s">
        <v>563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2:18">
      <c r="B1682" t="s">
        <v>2249</v>
      </c>
      <c r="C1682" t="s">
        <v>836</v>
      </c>
      <c r="D1682" t="s">
        <v>563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29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2:18">
      <c r="B1683" t="s">
        <v>5493</v>
      </c>
      <c r="C1683" t="s">
        <v>836</v>
      </c>
      <c r="D1683" t="s">
        <v>563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</row>
    <row r="1684" spans="2:18">
      <c r="B1684" t="s">
        <v>5494</v>
      </c>
      <c r="C1684" t="s">
        <v>836</v>
      </c>
      <c r="D1684" t="s">
        <v>563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2:18">
      <c r="B1685" t="s">
        <v>2250</v>
      </c>
      <c r="C1685" t="s">
        <v>836</v>
      </c>
      <c r="D1685" t="s">
        <v>563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2:18">
      <c r="B1686" t="s">
        <v>2251</v>
      </c>
      <c r="C1686" t="s">
        <v>836</v>
      </c>
      <c r="D1686" t="s">
        <v>563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41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2:18">
      <c r="B1687" t="s">
        <v>2252</v>
      </c>
      <c r="C1687" t="s">
        <v>836</v>
      </c>
      <c r="D1687" t="s">
        <v>563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2:18">
      <c r="B1688" t="s">
        <v>2253</v>
      </c>
      <c r="C1688" t="s">
        <v>836</v>
      </c>
      <c r="D1688" t="s">
        <v>563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43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2:18">
      <c r="B1689" t="s">
        <v>2254</v>
      </c>
      <c r="C1689" t="s">
        <v>836</v>
      </c>
      <c r="D1689" t="s">
        <v>563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2:18">
      <c r="B1690" t="s">
        <v>2255</v>
      </c>
      <c r="C1690" t="s">
        <v>836</v>
      </c>
      <c r="D1690" t="s">
        <v>563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2:18">
      <c r="B1691" t="s">
        <v>2256</v>
      </c>
      <c r="C1691" t="s">
        <v>836</v>
      </c>
      <c r="D1691" t="s">
        <v>563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2:18">
      <c r="B1692" t="s">
        <v>2257</v>
      </c>
      <c r="C1692" t="s">
        <v>836</v>
      </c>
      <c r="D1692" t="s">
        <v>563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2:18">
      <c r="B1693" t="s">
        <v>2258</v>
      </c>
      <c r="C1693" t="s">
        <v>836</v>
      </c>
      <c r="D1693" t="s">
        <v>563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2:18">
      <c r="B1694" t="s">
        <v>2259</v>
      </c>
      <c r="C1694" t="s">
        <v>836</v>
      </c>
      <c r="D1694" t="s">
        <v>563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2:18">
      <c r="B1695" t="s">
        <v>2260</v>
      </c>
      <c r="C1695" t="s">
        <v>836</v>
      </c>
      <c r="D1695" t="s">
        <v>563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2:18">
      <c r="B1696" t="s">
        <v>2261</v>
      </c>
      <c r="C1696" t="s">
        <v>836</v>
      </c>
      <c r="D1696" t="s">
        <v>563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2:19">
      <c r="B1697" t="s">
        <v>2262</v>
      </c>
      <c r="C1697" t="s">
        <v>836</v>
      </c>
      <c r="D1697" t="s">
        <v>563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413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2:19">
      <c r="B1698" t="s">
        <v>2263</v>
      </c>
      <c r="C1698" t="s">
        <v>836</v>
      </c>
      <c r="D1698" t="s">
        <v>563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2:19">
      <c r="B1699" t="s">
        <v>2264</v>
      </c>
      <c r="C1699" t="s">
        <v>836</v>
      </c>
      <c r="D1699" t="s">
        <v>563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2:19">
      <c r="B1700" t="s">
        <v>5495</v>
      </c>
      <c r="C1700" t="s">
        <v>836</v>
      </c>
      <c r="D1700" t="s">
        <v>563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2:19">
      <c r="B1701" t="s">
        <v>5496</v>
      </c>
      <c r="C1701" t="s">
        <v>836</v>
      </c>
      <c r="D1701" t="s">
        <v>563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2:19">
      <c r="B1702" t="s">
        <v>2265</v>
      </c>
      <c r="C1702" t="s">
        <v>836</v>
      </c>
      <c r="D1702" t="s">
        <v>563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2:19">
      <c r="B1703" t="s">
        <v>2266</v>
      </c>
      <c r="C1703" t="s">
        <v>836</v>
      </c>
      <c r="D1703" t="s">
        <v>563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2:19">
      <c r="B1704" t="s">
        <v>5497</v>
      </c>
      <c r="C1704" t="s">
        <v>836</v>
      </c>
      <c r="D1704" t="s">
        <v>563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2:19">
      <c r="B1705" t="s">
        <v>5498</v>
      </c>
      <c r="C1705" t="s">
        <v>836</v>
      </c>
      <c r="D1705" t="s">
        <v>563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2:19">
      <c r="B1706" t="s">
        <v>2267</v>
      </c>
      <c r="C1706" t="s">
        <v>836</v>
      </c>
      <c r="D1706" t="s">
        <v>563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2:19">
      <c r="B1707" t="s">
        <v>2268</v>
      </c>
      <c r="C1707" t="s">
        <v>836</v>
      </c>
      <c r="D1707" t="s">
        <v>563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135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2:19">
      <c r="B1708" t="s">
        <v>2269</v>
      </c>
      <c r="C1708" t="s">
        <v>836</v>
      </c>
      <c r="D1708" t="s">
        <v>563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2:19">
      <c r="B1709" t="s">
        <v>2270</v>
      </c>
      <c r="C1709" t="s">
        <v>836</v>
      </c>
      <c r="D1709" t="s">
        <v>563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2:19">
      <c r="B1710" t="s">
        <v>2271</v>
      </c>
      <c r="C1710" t="s">
        <v>836</v>
      </c>
      <c r="D1710" t="s">
        <v>563</v>
      </c>
      <c r="E1710">
        <v>3</v>
      </c>
      <c r="F1710">
        <v>72.3</v>
      </c>
      <c r="G1710">
        <v>0</v>
      </c>
      <c r="H1710">
        <v>0</v>
      </c>
      <c r="I1710">
        <v>81.099999999999994</v>
      </c>
      <c r="J1710">
        <v>81.099999999999994</v>
      </c>
      <c r="K1710">
        <v>81.099999999999994</v>
      </c>
      <c r="L1710">
        <v>81.099999999999994</v>
      </c>
      <c r="M1710">
        <v>0</v>
      </c>
      <c r="N1710">
        <v>0</v>
      </c>
      <c r="O1710">
        <v>1</v>
      </c>
      <c r="P1710">
        <v>8110</v>
      </c>
      <c r="Q1710">
        <v>81.099999999999994</v>
      </c>
      <c r="R1710">
        <v>0</v>
      </c>
      <c r="S1710" t="s">
        <v>6258</v>
      </c>
    </row>
    <row r="1711" spans="2:19">
      <c r="B1711" t="s">
        <v>2272</v>
      </c>
      <c r="C1711" t="s">
        <v>836</v>
      </c>
      <c r="D1711" t="s">
        <v>563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30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2:19">
      <c r="B1712" t="s">
        <v>2273</v>
      </c>
      <c r="C1712" t="s">
        <v>836</v>
      </c>
      <c r="D1712" t="s">
        <v>563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2:18">
      <c r="B1713" t="s">
        <v>2274</v>
      </c>
      <c r="C1713" t="s">
        <v>836</v>
      </c>
      <c r="D1713" t="s">
        <v>563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2:18">
      <c r="B1714" t="s">
        <v>2275</v>
      </c>
      <c r="C1714" t="s">
        <v>836</v>
      </c>
      <c r="D1714" t="s">
        <v>563</v>
      </c>
      <c r="E1714">
        <v>0</v>
      </c>
      <c r="F1714">
        <v>0</v>
      </c>
      <c r="G1714">
        <v>126.7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51.2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2:18">
      <c r="B1715" t="s">
        <v>2276</v>
      </c>
      <c r="C1715" t="s">
        <v>836</v>
      </c>
      <c r="D1715" t="s">
        <v>563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53.3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2:18">
      <c r="B1716" t="s">
        <v>2277</v>
      </c>
      <c r="C1716" t="s">
        <v>836</v>
      </c>
      <c r="D1716" t="s">
        <v>563</v>
      </c>
      <c r="E1716">
        <v>1</v>
      </c>
      <c r="F1716">
        <v>107.7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2:18">
      <c r="B1717" t="s">
        <v>2278</v>
      </c>
      <c r="C1717" t="s">
        <v>836</v>
      </c>
      <c r="D1717" t="s">
        <v>563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2:18">
      <c r="B1718" t="s">
        <v>2279</v>
      </c>
      <c r="C1718" t="s">
        <v>836</v>
      </c>
      <c r="D1718" t="s">
        <v>563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2:18">
      <c r="B1719" t="s">
        <v>2280</v>
      </c>
      <c r="C1719" t="s">
        <v>836</v>
      </c>
      <c r="D1719" t="s">
        <v>563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18.420000000000002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2:18">
      <c r="B1720" t="s">
        <v>2281</v>
      </c>
      <c r="C1720" t="s">
        <v>836</v>
      </c>
      <c r="D1720" t="s">
        <v>563</v>
      </c>
      <c r="E1720">
        <v>1</v>
      </c>
      <c r="F1720">
        <v>86.4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2:18">
      <c r="B1721" t="s">
        <v>2282</v>
      </c>
      <c r="C1721" t="s">
        <v>836</v>
      </c>
      <c r="D1721" t="s">
        <v>563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2:18">
      <c r="B1722" t="s">
        <v>2283</v>
      </c>
      <c r="C1722" t="s">
        <v>836</v>
      </c>
      <c r="D1722" t="s">
        <v>563</v>
      </c>
      <c r="E1722">
        <v>2</v>
      </c>
      <c r="F1722">
        <v>19.579999999999998</v>
      </c>
      <c r="G1722">
        <v>79.5</v>
      </c>
      <c r="H1722">
        <v>11</v>
      </c>
      <c r="I1722">
        <v>0</v>
      </c>
      <c r="J1722">
        <v>0</v>
      </c>
      <c r="K1722">
        <v>0</v>
      </c>
      <c r="L1722">
        <v>0</v>
      </c>
      <c r="M1722">
        <v>49.3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2:18">
      <c r="B1723" t="s">
        <v>2284</v>
      </c>
      <c r="C1723" t="s">
        <v>836</v>
      </c>
      <c r="D1723" t="s">
        <v>563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2:18">
      <c r="B1724" t="s">
        <v>2285</v>
      </c>
      <c r="C1724" t="s">
        <v>836</v>
      </c>
      <c r="D1724" t="s">
        <v>563</v>
      </c>
      <c r="E1724">
        <v>1</v>
      </c>
      <c r="F1724">
        <v>66.2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</row>
    <row r="1725" spans="2:18">
      <c r="B1725" t="s">
        <v>2286</v>
      </c>
      <c r="C1725" t="s">
        <v>836</v>
      </c>
      <c r="D1725" t="s">
        <v>563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2:18">
      <c r="B1726" t="s">
        <v>2287</v>
      </c>
      <c r="C1726" t="s">
        <v>836</v>
      </c>
      <c r="D1726" t="s">
        <v>563</v>
      </c>
      <c r="E1726">
        <v>3</v>
      </c>
      <c r="F1726">
        <v>11.39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2:18">
      <c r="B1727" t="s">
        <v>2288</v>
      </c>
      <c r="C1727" t="s">
        <v>836</v>
      </c>
      <c r="D1727" t="s">
        <v>563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2:18">
      <c r="B1728" t="s">
        <v>2289</v>
      </c>
      <c r="C1728" t="s">
        <v>836</v>
      </c>
      <c r="D1728" t="s">
        <v>563</v>
      </c>
      <c r="E1728">
        <v>1</v>
      </c>
      <c r="F1728">
        <v>49.7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2:18">
      <c r="B1729" t="s">
        <v>2290</v>
      </c>
      <c r="C1729" t="s">
        <v>836</v>
      </c>
      <c r="D1729" t="s">
        <v>563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2:18">
      <c r="B1730" t="s">
        <v>2291</v>
      </c>
      <c r="C1730" t="s">
        <v>836</v>
      </c>
      <c r="D1730" t="s">
        <v>563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2:18">
      <c r="B1731" t="s">
        <v>2292</v>
      </c>
      <c r="C1731" t="s">
        <v>836</v>
      </c>
      <c r="D1731" t="s">
        <v>563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2:18">
      <c r="B1732" t="s">
        <v>2293</v>
      </c>
      <c r="C1732" t="s">
        <v>836</v>
      </c>
      <c r="D1732" t="s">
        <v>563</v>
      </c>
      <c r="E1732">
        <v>2</v>
      </c>
      <c r="F1732">
        <v>37.1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2:18">
      <c r="B1733" t="s">
        <v>2294</v>
      </c>
      <c r="C1733" t="s">
        <v>836</v>
      </c>
      <c r="D1733" t="s">
        <v>563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2:18">
      <c r="B1734" t="s">
        <v>2295</v>
      </c>
      <c r="C1734" t="s">
        <v>836</v>
      </c>
      <c r="D1734" t="s">
        <v>563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2:18">
      <c r="B1735" t="s">
        <v>2296</v>
      </c>
      <c r="C1735" t="s">
        <v>836</v>
      </c>
      <c r="D1735" t="s">
        <v>563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2:18">
      <c r="B1736" t="s">
        <v>2297</v>
      </c>
      <c r="C1736" t="s">
        <v>836</v>
      </c>
      <c r="D1736" t="s">
        <v>563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2:18">
      <c r="B1737" t="s">
        <v>2298</v>
      </c>
      <c r="C1737" t="s">
        <v>836</v>
      </c>
      <c r="D1737" t="s">
        <v>563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2:18">
      <c r="B1738" t="s">
        <v>2299</v>
      </c>
      <c r="C1738" t="s">
        <v>836</v>
      </c>
      <c r="D1738" t="s">
        <v>563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2:18">
      <c r="B1739" t="s">
        <v>2300</v>
      </c>
      <c r="C1739" t="s">
        <v>836</v>
      </c>
      <c r="D1739" t="s">
        <v>563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2:18">
      <c r="B1740" t="s">
        <v>2301</v>
      </c>
      <c r="C1740" t="s">
        <v>836</v>
      </c>
      <c r="D1740" t="s">
        <v>563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2:18">
      <c r="B1741" t="s">
        <v>2302</v>
      </c>
      <c r="C1741" t="s">
        <v>836</v>
      </c>
      <c r="D1741" t="s">
        <v>563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2:18">
      <c r="B1742" t="s">
        <v>2303</v>
      </c>
      <c r="C1742" t="s">
        <v>836</v>
      </c>
      <c r="D1742" t="s">
        <v>563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2:18">
      <c r="B1743" t="s">
        <v>2304</v>
      </c>
      <c r="C1743" t="s">
        <v>836</v>
      </c>
      <c r="D1743" t="s">
        <v>563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2:18">
      <c r="B1744" t="s">
        <v>2305</v>
      </c>
      <c r="C1744" t="s">
        <v>836</v>
      </c>
      <c r="D1744" t="s">
        <v>563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2:18">
      <c r="B1745" t="s">
        <v>2306</v>
      </c>
      <c r="C1745" t="s">
        <v>836</v>
      </c>
      <c r="D1745" t="s">
        <v>563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2:18">
      <c r="B1746" t="s">
        <v>2307</v>
      </c>
      <c r="C1746" t="s">
        <v>836</v>
      </c>
      <c r="D1746" t="s">
        <v>563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2:18">
      <c r="B1747" t="s">
        <v>2308</v>
      </c>
      <c r="C1747" t="s">
        <v>836</v>
      </c>
      <c r="D1747" t="s">
        <v>563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2:18">
      <c r="B1748" t="s">
        <v>2309</v>
      </c>
      <c r="C1748" t="s">
        <v>836</v>
      </c>
      <c r="D1748" t="s">
        <v>563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2:18">
      <c r="B1749" t="s">
        <v>2310</v>
      </c>
      <c r="C1749" t="s">
        <v>836</v>
      </c>
      <c r="D1749" t="s">
        <v>563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2:18">
      <c r="B1750" t="s">
        <v>2311</v>
      </c>
      <c r="C1750" t="s">
        <v>836</v>
      </c>
      <c r="D1750" t="s">
        <v>563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2:18">
      <c r="B1751" t="s">
        <v>2312</v>
      </c>
      <c r="C1751" t="s">
        <v>836</v>
      </c>
      <c r="D1751" t="s">
        <v>563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2:18">
      <c r="B1752" t="s">
        <v>2313</v>
      </c>
      <c r="C1752" t="s">
        <v>836</v>
      </c>
      <c r="D1752" t="s">
        <v>563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2:18">
      <c r="B1753" t="s">
        <v>2314</v>
      </c>
      <c r="C1753" t="s">
        <v>836</v>
      </c>
      <c r="D1753" t="s">
        <v>563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2:18">
      <c r="B1754" t="s">
        <v>2315</v>
      </c>
      <c r="C1754" t="s">
        <v>836</v>
      </c>
      <c r="D1754" t="s">
        <v>563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2:18">
      <c r="B1755" t="s">
        <v>2316</v>
      </c>
      <c r="C1755" t="s">
        <v>836</v>
      </c>
      <c r="D1755" t="s">
        <v>563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2:18">
      <c r="B1756" t="s">
        <v>2317</v>
      </c>
      <c r="C1756" t="s">
        <v>836</v>
      </c>
      <c r="D1756" t="s">
        <v>563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2:18">
      <c r="B1757" t="s">
        <v>2318</v>
      </c>
      <c r="C1757" t="s">
        <v>836</v>
      </c>
      <c r="D1757" t="s">
        <v>563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2:18">
      <c r="B1758" t="s">
        <v>2319</v>
      </c>
      <c r="C1758" t="s">
        <v>836</v>
      </c>
      <c r="D1758" t="s">
        <v>563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2:18">
      <c r="B1759" t="s">
        <v>2320</v>
      </c>
      <c r="C1759" t="s">
        <v>836</v>
      </c>
      <c r="D1759" t="s">
        <v>563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2:18">
      <c r="B1760" t="s">
        <v>2321</v>
      </c>
      <c r="C1760" t="s">
        <v>836</v>
      </c>
      <c r="D1760" t="s">
        <v>563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2:18">
      <c r="B1761" t="s">
        <v>2322</v>
      </c>
      <c r="C1761" t="s">
        <v>836</v>
      </c>
      <c r="D1761" t="s">
        <v>563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2:18">
      <c r="B1762" t="s">
        <v>2323</v>
      </c>
      <c r="C1762" t="s">
        <v>836</v>
      </c>
      <c r="D1762" t="s">
        <v>563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2:18">
      <c r="B1763" t="s">
        <v>2324</v>
      </c>
      <c r="C1763" t="s">
        <v>836</v>
      </c>
      <c r="D1763" t="s">
        <v>563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2:18">
      <c r="B1764" t="s">
        <v>2325</v>
      </c>
      <c r="C1764" t="s">
        <v>836</v>
      </c>
      <c r="D1764" t="s">
        <v>563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2:18">
      <c r="B1765" t="s">
        <v>2326</v>
      </c>
      <c r="C1765" t="s">
        <v>836</v>
      </c>
      <c r="D1765" t="s">
        <v>563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2:18">
      <c r="B1766" t="s">
        <v>2327</v>
      </c>
      <c r="C1766" t="s">
        <v>836</v>
      </c>
      <c r="D1766" t="s">
        <v>563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2:18">
      <c r="B1767" t="s">
        <v>2328</v>
      </c>
      <c r="C1767" t="s">
        <v>836</v>
      </c>
      <c r="D1767" t="s">
        <v>563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2:18">
      <c r="B1768" t="s">
        <v>2329</v>
      </c>
      <c r="C1768" t="s">
        <v>836</v>
      </c>
      <c r="D1768" t="s">
        <v>563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2:18">
      <c r="B1769" t="s">
        <v>2330</v>
      </c>
      <c r="C1769" t="s">
        <v>836</v>
      </c>
      <c r="D1769" t="s">
        <v>563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2:18">
      <c r="B1770" t="s">
        <v>2331</v>
      </c>
      <c r="C1770" t="s">
        <v>836</v>
      </c>
      <c r="D1770" t="s">
        <v>563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2:18">
      <c r="B1771" t="s">
        <v>2332</v>
      </c>
      <c r="C1771" t="s">
        <v>836</v>
      </c>
      <c r="D1771" t="s">
        <v>563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2:18">
      <c r="B1772" t="s">
        <v>2333</v>
      </c>
      <c r="C1772" t="s">
        <v>836</v>
      </c>
      <c r="D1772" t="s">
        <v>563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2:18">
      <c r="B1773" t="s">
        <v>2334</v>
      </c>
      <c r="C1773" t="s">
        <v>836</v>
      </c>
      <c r="D1773" t="s">
        <v>563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20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2:18">
      <c r="B1774" t="s">
        <v>2335</v>
      </c>
      <c r="C1774" t="s">
        <v>836</v>
      </c>
      <c r="D1774" t="s">
        <v>563</v>
      </c>
      <c r="E1774">
        <v>5</v>
      </c>
      <c r="F1774">
        <v>25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2:18">
      <c r="B1775" t="s">
        <v>2336</v>
      </c>
      <c r="C1775" t="s">
        <v>836</v>
      </c>
      <c r="D1775" t="s">
        <v>563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13.17</v>
      </c>
      <c r="N1775">
        <v>0</v>
      </c>
      <c r="O1775">
        <v>0</v>
      </c>
      <c r="P1775">
        <v>0</v>
      </c>
      <c r="Q1775">
        <v>0</v>
      </c>
      <c r="R1775">
        <v>0</v>
      </c>
    </row>
    <row r="1776" spans="2:18">
      <c r="B1776" t="s">
        <v>2337</v>
      </c>
      <c r="C1776" t="s">
        <v>836</v>
      </c>
      <c r="D1776" t="s">
        <v>563</v>
      </c>
      <c r="E1776">
        <v>3</v>
      </c>
      <c r="F1776">
        <v>38.200000000000003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2:18">
      <c r="B1777" t="s">
        <v>5499</v>
      </c>
      <c r="C1777" t="s">
        <v>836</v>
      </c>
      <c r="D1777" t="s">
        <v>563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2:18">
      <c r="B1778" t="s">
        <v>2338</v>
      </c>
      <c r="C1778" t="s">
        <v>836</v>
      </c>
      <c r="D1778" t="s">
        <v>563</v>
      </c>
      <c r="E1778">
        <v>3</v>
      </c>
      <c r="F1778">
        <v>48.3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2:18">
      <c r="B1779" t="s">
        <v>2339</v>
      </c>
      <c r="C1779" t="s">
        <v>836</v>
      </c>
      <c r="D1779" t="s">
        <v>563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2:18">
      <c r="B1780" t="s">
        <v>2340</v>
      </c>
      <c r="C1780" t="s">
        <v>836</v>
      </c>
      <c r="D1780" t="s">
        <v>563</v>
      </c>
      <c r="E1780">
        <v>2</v>
      </c>
      <c r="F1780">
        <v>57.6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64.099999999999994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2:18">
      <c r="B1781" t="s">
        <v>5500</v>
      </c>
      <c r="C1781" t="s">
        <v>836</v>
      </c>
      <c r="D1781" t="s">
        <v>563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2:18">
      <c r="B1782" t="s">
        <v>2341</v>
      </c>
      <c r="C1782" t="s">
        <v>836</v>
      </c>
      <c r="D1782" t="s">
        <v>563</v>
      </c>
      <c r="E1782">
        <v>2</v>
      </c>
      <c r="F1782">
        <v>81.599999999999994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2:18">
      <c r="B1783" t="s">
        <v>2342</v>
      </c>
      <c r="C1783" t="s">
        <v>836</v>
      </c>
      <c r="D1783" t="s">
        <v>563</v>
      </c>
      <c r="E1783">
        <v>4</v>
      </c>
      <c r="F1783">
        <v>49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</row>
    <row r="1784" spans="2:18">
      <c r="B1784" t="s">
        <v>2343</v>
      </c>
      <c r="C1784" t="s">
        <v>836</v>
      </c>
      <c r="D1784" t="s">
        <v>563</v>
      </c>
      <c r="E1784">
        <v>1</v>
      </c>
      <c r="F1784">
        <v>98.2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</row>
    <row r="1785" spans="2:18">
      <c r="B1785" t="s">
        <v>2344</v>
      </c>
      <c r="C1785" t="s">
        <v>836</v>
      </c>
      <c r="D1785" t="s">
        <v>563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</row>
    <row r="1786" spans="2:18">
      <c r="B1786" t="s">
        <v>2345</v>
      </c>
      <c r="C1786" t="s">
        <v>836</v>
      </c>
      <c r="D1786" t="s">
        <v>563</v>
      </c>
      <c r="E1786">
        <v>1</v>
      </c>
      <c r="F1786">
        <v>144.9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2:18">
      <c r="B1787" t="s">
        <v>2346</v>
      </c>
      <c r="C1787" t="s">
        <v>836</v>
      </c>
      <c r="D1787" t="s">
        <v>563</v>
      </c>
      <c r="E1787">
        <v>2</v>
      </c>
      <c r="F1787">
        <v>111.5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</row>
    <row r="1788" spans="2:18">
      <c r="B1788" t="s">
        <v>2347</v>
      </c>
      <c r="C1788" t="s">
        <v>836</v>
      </c>
      <c r="D1788" t="s">
        <v>563</v>
      </c>
      <c r="E1788">
        <v>1</v>
      </c>
      <c r="F1788">
        <v>150.5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2:18">
      <c r="B1789" t="s">
        <v>2348</v>
      </c>
      <c r="C1789" t="s">
        <v>836</v>
      </c>
      <c r="D1789" t="s">
        <v>563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2:18">
      <c r="B1790" t="s">
        <v>2349</v>
      </c>
      <c r="C1790" t="s">
        <v>836</v>
      </c>
      <c r="D1790" t="s">
        <v>563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2:18">
      <c r="B1791" t="s">
        <v>2350</v>
      </c>
      <c r="C1791" t="s">
        <v>836</v>
      </c>
      <c r="D1791" t="s">
        <v>563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2:18">
      <c r="B1792" t="s">
        <v>2351</v>
      </c>
      <c r="C1792" t="s">
        <v>836</v>
      </c>
      <c r="D1792" t="s">
        <v>563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2:18">
      <c r="B1793" t="s">
        <v>2352</v>
      </c>
      <c r="C1793" t="s">
        <v>836</v>
      </c>
      <c r="D1793" t="s">
        <v>563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</row>
    <row r="1794" spans="2:18">
      <c r="B1794" t="s">
        <v>2353</v>
      </c>
      <c r="C1794" t="s">
        <v>836</v>
      </c>
      <c r="D1794" t="s">
        <v>563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2:18">
      <c r="B1795" t="s">
        <v>2354</v>
      </c>
      <c r="C1795" t="s">
        <v>836</v>
      </c>
      <c r="D1795" t="s">
        <v>563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</row>
    <row r="1796" spans="2:18">
      <c r="B1796" t="s">
        <v>2355</v>
      </c>
      <c r="C1796" t="s">
        <v>836</v>
      </c>
      <c r="D1796" t="s">
        <v>563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2:18">
      <c r="B1797" t="s">
        <v>2356</v>
      </c>
      <c r="C1797" t="s">
        <v>836</v>
      </c>
      <c r="D1797" t="s">
        <v>563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</row>
    <row r="1798" spans="2:18">
      <c r="B1798" t="s">
        <v>2357</v>
      </c>
      <c r="C1798" t="s">
        <v>836</v>
      </c>
      <c r="D1798" t="s">
        <v>563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</row>
    <row r="1799" spans="2:18">
      <c r="B1799" t="s">
        <v>2358</v>
      </c>
      <c r="C1799" t="s">
        <v>836</v>
      </c>
      <c r="D1799" t="s">
        <v>563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</row>
    <row r="1800" spans="2:18">
      <c r="B1800" t="s">
        <v>2359</v>
      </c>
      <c r="C1800" t="s">
        <v>836</v>
      </c>
      <c r="D1800" t="s">
        <v>563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</row>
    <row r="1801" spans="2:18">
      <c r="B1801" t="s">
        <v>2360</v>
      </c>
      <c r="C1801" t="s">
        <v>836</v>
      </c>
      <c r="D1801" t="s">
        <v>563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2:18">
      <c r="B1802" t="s">
        <v>2361</v>
      </c>
      <c r="C1802" t="s">
        <v>836</v>
      </c>
      <c r="D1802" t="s">
        <v>563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2:18">
      <c r="B1803" t="s">
        <v>2362</v>
      </c>
      <c r="C1803" t="s">
        <v>836</v>
      </c>
      <c r="D1803" t="s">
        <v>563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2:18">
      <c r="B1804" t="s">
        <v>2363</v>
      </c>
      <c r="C1804" t="s">
        <v>836</v>
      </c>
      <c r="D1804" t="s">
        <v>563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2:18">
      <c r="B1805" t="s">
        <v>2364</v>
      </c>
      <c r="C1805" t="s">
        <v>836</v>
      </c>
      <c r="D1805" t="s">
        <v>563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2:18">
      <c r="B1806" t="s">
        <v>2365</v>
      </c>
      <c r="C1806" t="s">
        <v>836</v>
      </c>
      <c r="D1806" t="s">
        <v>563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2:18">
      <c r="B1807" t="s">
        <v>2366</v>
      </c>
      <c r="C1807" t="s">
        <v>836</v>
      </c>
      <c r="D1807" t="s">
        <v>563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2:18">
      <c r="B1808" t="s">
        <v>2367</v>
      </c>
      <c r="C1808" t="s">
        <v>836</v>
      </c>
      <c r="D1808" t="s">
        <v>563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2:18">
      <c r="B1809" t="s">
        <v>2368</v>
      </c>
      <c r="C1809" t="s">
        <v>836</v>
      </c>
      <c r="D1809" t="s">
        <v>563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2:18">
      <c r="B1810" t="s">
        <v>2369</v>
      </c>
      <c r="C1810" t="s">
        <v>836</v>
      </c>
      <c r="D1810" t="s">
        <v>563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</row>
    <row r="1811" spans="2:18">
      <c r="B1811" t="s">
        <v>2370</v>
      </c>
      <c r="C1811" t="s">
        <v>836</v>
      </c>
      <c r="D1811" t="s">
        <v>563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2:18">
      <c r="B1812" t="s">
        <v>2371</v>
      </c>
      <c r="C1812" t="s">
        <v>836</v>
      </c>
      <c r="D1812" t="s">
        <v>563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2:18">
      <c r="B1813" t="s">
        <v>2372</v>
      </c>
      <c r="C1813" t="s">
        <v>836</v>
      </c>
      <c r="D1813" t="s">
        <v>563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2:18">
      <c r="B1814" t="s">
        <v>2373</v>
      </c>
      <c r="C1814" t="s">
        <v>836</v>
      </c>
      <c r="D1814" t="s">
        <v>563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2:18">
      <c r="B1815" t="s">
        <v>2374</v>
      </c>
      <c r="C1815" t="s">
        <v>836</v>
      </c>
      <c r="D1815" t="s">
        <v>563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2:18">
      <c r="B1816" t="s">
        <v>2375</v>
      </c>
      <c r="C1816" t="s">
        <v>836</v>
      </c>
      <c r="D1816" t="s">
        <v>563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2:18">
      <c r="B1817" t="s">
        <v>2376</v>
      </c>
      <c r="C1817" t="s">
        <v>836</v>
      </c>
      <c r="D1817" t="s">
        <v>563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2:18">
      <c r="B1818" t="s">
        <v>2377</v>
      </c>
      <c r="C1818" t="s">
        <v>836</v>
      </c>
      <c r="D1818" t="s">
        <v>563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2:18">
      <c r="B1819" t="s">
        <v>2378</v>
      </c>
      <c r="C1819" t="s">
        <v>836</v>
      </c>
      <c r="D1819" t="s">
        <v>563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2:18">
      <c r="B1820" t="s">
        <v>2379</v>
      </c>
      <c r="C1820" t="s">
        <v>836</v>
      </c>
      <c r="D1820" t="s">
        <v>563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2:18">
      <c r="B1821" t="s">
        <v>2380</v>
      </c>
      <c r="C1821" t="s">
        <v>836</v>
      </c>
      <c r="D1821" t="s">
        <v>563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2:18">
      <c r="B1822" t="s">
        <v>2381</v>
      </c>
      <c r="C1822" t="s">
        <v>836</v>
      </c>
      <c r="D1822" t="s">
        <v>563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</row>
    <row r="1823" spans="2:18">
      <c r="B1823" t="s">
        <v>2382</v>
      </c>
      <c r="C1823" t="s">
        <v>836</v>
      </c>
      <c r="D1823" t="s">
        <v>563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</row>
    <row r="1824" spans="2:18">
      <c r="B1824" t="s">
        <v>2383</v>
      </c>
      <c r="C1824" t="s">
        <v>836</v>
      </c>
      <c r="D1824" t="s">
        <v>563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</row>
    <row r="1825" spans="2:18">
      <c r="B1825" t="s">
        <v>2384</v>
      </c>
      <c r="C1825" t="s">
        <v>836</v>
      </c>
      <c r="D1825" t="s">
        <v>563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2:18">
      <c r="B1826" t="s">
        <v>2385</v>
      </c>
      <c r="C1826" t="s">
        <v>836</v>
      </c>
      <c r="D1826" t="s">
        <v>563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2:18">
      <c r="B1827" t="s">
        <v>2386</v>
      </c>
      <c r="C1827" t="s">
        <v>836</v>
      </c>
      <c r="D1827" t="s">
        <v>563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2:18">
      <c r="B1828" t="s">
        <v>2387</v>
      </c>
      <c r="C1828" t="s">
        <v>836</v>
      </c>
      <c r="D1828" t="s">
        <v>563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2:18">
      <c r="B1829" t="s">
        <v>2388</v>
      </c>
      <c r="C1829" t="s">
        <v>836</v>
      </c>
      <c r="D1829" t="s">
        <v>563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2:18">
      <c r="B1830" t="s">
        <v>2389</v>
      </c>
      <c r="C1830" t="s">
        <v>836</v>
      </c>
      <c r="D1830" t="s">
        <v>563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2:18">
      <c r="B1831" t="s">
        <v>2390</v>
      </c>
      <c r="C1831" t="s">
        <v>836</v>
      </c>
      <c r="D1831" t="s">
        <v>563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2:18">
      <c r="B1832" t="s">
        <v>2391</v>
      </c>
      <c r="C1832" t="s">
        <v>836</v>
      </c>
      <c r="D1832" t="s">
        <v>563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2:18">
      <c r="B1833" t="s">
        <v>2392</v>
      </c>
      <c r="C1833" t="s">
        <v>836</v>
      </c>
      <c r="D1833" t="s">
        <v>563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2:18">
      <c r="B1834" t="s">
        <v>2393</v>
      </c>
      <c r="C1834" t="s">
        <v>836</v>
      </c>
      <c r="D1834" t="s">
        <v>563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2:18">
      <c r="B1835" t="s">
        <v>2394</v>
      </c>
      <c r="C1835" t="s">
        <v>836</v>
      </c>
      <c r="D1835" t="s">
        <v>563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2:18">
      <c r="B1836" t="s">
        <v>2395</v>
      </c>
      <c r="C1836" t="s">
        <v>836</v>
      </c>
      <c r="D1836" t="s">
        <v>563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2:18">
      <c r="B1837" t="s">
        <v>2396</v>
      </c>
      <c r="C1837" t="s">
        <v>836</v>
      </c>
      <c r="D1837" t="s">
        <v>563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2:18">
      <c r="B1838" t="s">
        <v>2397</v>
      </c>
      <c r="C1838" t="s">
        <v>836</v>
      </c>
      <c r="D1838" t="s">
        <v>563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2:18">
      <c r="B1839" t="s">
        <v>2398</v>
      </c>
      <c r="C1839" t="s">
        <v>836</v>
      </c>
      <c r="D1839" t="s">
        <v>563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2:18">
      <c r="B1840" t="s">
        <v>2399</v>
      </c>
      <c r="C1840" t="s">
        <v>836</v>
      </c>
      <c r="D1840" t="s">
        <v>563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2:18">
      <c r="B1841" t="s">
        <v>2400</v>
      </c>
      <c r="C1841" t="s">
        <v>836</v>
      </c>
      <c r="D1841" t="s">
        <v>563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2:18">
      <c r="B1842" t="s">
        <v>2401</v>
      </c>
      <c r="C1842" t="s">
        <v>836</v>
      </c>
      <c r="D1842" t="s">
        <v>563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2:18">
      <c r="B1843" t="s">
        <v>2402</v>
      </c>
      <c r="C1843" t="s">
        <v>836</v>
      </c>
      <c r="D1843" t="s">
        <v>563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2:18">
      <c r="B1844" t="s">
        <v>2403</v>
      </c>
      <c r="C1844" t="s">
        <v>836</v>
      </c>
      <c r="D1844" t="s">
        <v>563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2:18">
      <c r="B1845" t="s">
        <v>2404</v>
      </c>
      <c r="C1845" t="s">
        <v>836</v>
      </c>
      <c r="D1845" t="s">
        <v>563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2:18">
      <c r="B1846" t="s">
        <v>2405</v>
      </c>
      <c r="C1846" t="s">
        <v>836</v>
      </c>
      <c r="D1846" t="s">
        <v>563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2:18">
      <c r="B1847" t="s">
        <v>2406</v>
      </c>
      <c r="C1847" t="s">
        <v>836</v>
      </c>
      <c r="D1847" t="s">
        <v>563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2:18">
      <c r="B1848" t="s">
        <v>2407</v>
      </c>
      <c r="C1848" t="s">
        <v>836</v>
      </c>
      <c r="D1848" t="s">
        <v>563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2:18">
      <c r="B1849" t="s">
        <v>2408</v>
      </c>
      <c r="C1849" t="s">
        <v>836</v>
      </c>
      <c r="D1849" t="s">
        <v>563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2:18">
      <c r="B1850" t="s">
        <v>2409</v>
      </c>
      <c r="C1850" t="s">
        <v>836</v>
      </c>
      <c r="D1850" t="s">
        <v>563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2:18">
      <c r="B1851" t="s">
        <v>2410</v>
      </c>
      <c r="C1851" t="s">
        <v>836</v>
      </c>
      <c r="D1851" t="s">
        <v>563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2:18">
      <c r="B1852" t="s">
        <v>2411</v>
      </c>
      <c r="C1852" t="s">
        <v>836</v>
      </c>
      <c r="D1852" t="s">
        <v>563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2:18">
      <c r="B1853" t="s">
        <v>2412</v>
      </c>
      <c r="C1853" t="s">
        <v>836</v>
      </c>
      <c r="D1853" t="s">
        <v>563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2:18">
      <c r="B1854" t="s">
        <v>2413</v>
      </c>
      <c r="C1854" t="s">
        <v>836</v>
      </c>
      <c r="D1854" t="s">
        <v>563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2:18">
      <c r="B1855" t="s">
        <v>2414</v>
      </c>
      <c r="C1855" t="s">
        <v>836</v>
      </c>
      <c r="D1855" t="s">
        <v>563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2:18">
      <c r="B1856" t="s">
        <v>2415</v>
      </c>
      <c r="C1856" t="s">
        <v>836</v>
      </c>
      <c r="D1856" t="s">
        <v>563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2:18">
      <c r="B1857" t="s">
        <v>2416</v>
      </c>
      <c r="C1857" t="s">
        <v>836</v>
      </c>
      <c r="D1857" t="s">
        <v>563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2:18">
      <c r="B1858" t="s">
        <v>2417</v>
      </c>
      <c r="C1858" t="s">
        <v>836</v>
      </c>
      <c r="D1858" t="s">
        <v>563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2:18">
      <c r="B1859" t="s">
        <v>2418</v>
      </c>
      <c r="C1859" t="s">
        <v>836</v>
      </c>
      <c r="D1859" t="s">
        <v>563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</row>
    <row r="1860" spans="2:18">
      <c r="B1860" t="s">
        <v>2419</v>
      </c>
      <c r="C1860" t="s">
        <v>836</v>
      </c>
      <c r="D1860" t="s">
        <v>563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2:18">
      <c r="B1861" t="s">
        <v>2420</v>
      </c>
      <c r="C1861" t="s">
        <v>836</v>
      </c>
      <c r="D1861" t="s">
        <v>563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2:18">
      <c r="B1862" t="s">
        <v>2421</v>
      </c>
      <c r="C1862" t="s">
        <v>836</v>
      </c>
      <c r="D1862" t="s">
        <v>563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2:18">
      <c r="B1863" t="s">
        <v>2422</v>
      </c>
      <c r="C1863" t="s">
        <v>836</v>
      </c>
      <c r="D1863" t="s">
        <v>563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2:18">
      <c r="B1864" t="s">
        <v>2423</v>
      </c>
      <c r="C1864" t="s">
        <v>836</v>
      </c>
      <c r="D1864" t="s">
        <v>563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2:18">
      <c r="B1865" t="s">
        <v>2424</v>
      </c>
      <c r="C1865" t="s">
        <v>836</v>
      </c>
      <c r="D1865" t="s">
        <v>563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2:18">
      <c r="B1866" t="s">
        <v>2425</v>
      </c>
      <c r="C1866" t="s">
        <v>836</v>
      </c>
      <c r="D1866" t="s">
        <v>563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2:18">
      <c r="B1867" t="s">
        <v>2426</v>
      </c>
      <c r="C1867" t="s">
        <v>836</v>
      </c>
      <c r="D1867" t="s">
        <v>563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2:18">
      <c r="B1868" t="s">
        <v>2427</v>
      </c>
      <c r="C1868" t="s">
        <v>836</v>
      </c>
      <c r="D1868" t="s">
        <v>563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2:18">
      <c r="B1869" t="s">
        <v>2428</v>
      </c>
      <c r="C1869" t="s">
        <v>836</v>
      </c>
      <c r="D1869" t="s">
        <v>563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2:18">
      <c r="B1870" t="s">
        <v>2429</v>
      </c>
      <c r="C1870" t="s">
        <v>836</v>
      </c>
      <c r="D1870" t="s">
        <v>563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2:18">
      <c r="B1871" t="s">
        <v>2430</v>
      </c>
      <c r="C1871" t="s">
        <v>836</v>
      </c>
      <c r="D1871" t="s">
        <v>563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2:18">
      <c r="B1872" t="s">
        <v>2431</v>
      </c>
      <c r="C1872" t="s">
        <v>836</v>
      </c>
      <c r="D1872" t="s">
        <v>563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2:18">
      <c r="B1873" t="s">
        <v>2432</v>
      </c>
      <c r="C1873" t="s">
        <v>836</v>
      </c>
      <c r="D1873" t="s">
        <v>563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2:18">
      <c r="B1874" t="s">
        <v>2433</v>
      </c>
      <c r="C1874" t="s">
        <v>836</v>
      </c>
      <c r="D1874" t="s">
        <v>563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2:18">
      <c r="B1875" t="s">
        <v>2434</v>
      </c>
      <c r="C1875" t="s">
        <v>836</v>
      </c>
      <c r="D1875" t="s">
        <v>563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</row>
    <row r="1876" spans="2:18">
      <c r="B1876" t="s">
        <v>2435</v>
      </c>
      <c r="C1876" t="s">
        <v>836</v>
      </c>
      <c r="D1876" t="s">
        <v>563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2:18">
      <c r="B1877" t="s">
        <v>2436</v>
      </c>
      <c r="C1877" t="s">
        <v>836</v>
      </c>
      <c r="D1877" t="s">
        <v>563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2:18">
      <c r="B1878" t="s">
        <v>2437</v>
      </c>
      <c r="C1878" t="s">
        <v>836</v>
      </c>
      <c r="D1878" t="s">
        <v>563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2:18">
      <c r="B1879" t="s">
        <v>2438</v>
      </c>
      <c r="C1879" t="s">
        <v>836</v>
      </c>
      <c r="D1879" t="s">
        <v>563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2:18">
      <c r="B1880" t="s">
        <v>2439</v>
      </c>
      <c r="C1880" t="s">
        <v>836</v>
      </c>
      <c r="D1880" t="s">
        <v>563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2:18">
      <c r="B1881" t="s">
        <v>2440</v>
      </c>
      <c r="C1881" t="s">
        <v>836</v>
      </c>
      <c r="D1881" t="s">
        <v>563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2:18">
      <c r="B1882" t="s">
        <v>2441</v>
      </c>
      <c r="C1882" t="s">
        <v>836</v>
      </c>
      <c r="D1882" t="s">
        <v>563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2:18">
      <c r="B1883" t="s">
        <v>2442</v>
      </c>
      <c r="C1883" t="s">
        <v>836</v>
      </c>
      <c r="D1883" t="s">
        <v>563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2:18">
      <c r="B1884" t="s">
        <v>2443</v>
      </c>
      <c r="C1884" t="s">
        <v>836</v>
      </c>
      <c r="D1884" t="s">
        <v>563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2:18">
      <c r="B1885" t="s">
        <v>5501</v>
      </c>
      <c r="C1885" t="s">
        <v>836</v>
      </c>
      <c r="D1885" t="s">
        <v>563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2:18">
      <c r="B1886" t="s">
        <v>2444</v>
      </c>
      <c r="C1886" t="s">
        <v>836</v>
      </c>
      <c r="D1886" t="s">
        <v>563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2:18">
      <c r="B1887" t="s">
        <v>5502</v>
      </c>
      <c r="C1887" t="s">
        <v>836</v>
      </c>
      <c r="D1887" t="s">
        <v>563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2:18">
      <c r="B1888" t="s">
        <v>5503</v>
      </c>
      <c r="C1888" t="s">
        <v>836</v>
      </c>
      <c r="D1888" t="s">
        <v>563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2:18">
      <c r="B1889" t="s">
        <v>2445</v>
      </c>
      <c r="C1889" t="s">
        <v>836</v>
      </c>
      <c r="D1889" t="s">
        <v>563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2:18">
      <c r="B1890" t="s">
        <v>2446</v>
      </c>
      <c r="C1890" t="s">
        <v>836</v>
      </c>
      <c r="D1890" t="s">
        <v>563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2:18">
      <c r="B1891" t="s">
        <v>2447</v>
      </c>
      <c r="C1891" t="s">
        <v>836</v>
      </c>
      <c r="D1891" t="s">
        <v>563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2:18">
      <c r="B1892" t="s">
        <v>5504</v>
      </c>
      <c r="C1892" t="s">
        <v>836</v>
      </c>
      <c r="D1892" t="s">
        <v>563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</row>
    <row r="1893" spans="2:18">
      <c r="B1893" t="s">
        <v>5505</v>
      </c>
      <c r="C1893" t="s">
        <v>836</v>
      </c>
      <c r="D1893" t="s">
        <v>563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2:18">
      <c r="B1894" t="s">
        <v>2448</v>
      </c>
      <c r="C1894" t="s">
        <v>836</v>
      </c>
      <c r="D1894" t="s">
        <v>563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2:18">
      <c r="B1895" t="s">
        <v>5506</v>
      </c>
      <c r="C1895" t="s">
        <v>836</v>
      </c>
      <c r="D1895" t="s">
        <v>563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2:18">
      <c r="B1896" t="s">
        <v>5507</v>
      </c>
      <c r="C1896" t="s">
        <v>836</v>
      </c>
      <c r="D1896" t="s">
        <v>563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2:18">
      <c r="B1897" t="s">
        <v>5508</v>
      </c>
      <c r="C1897" t="s">
        <v>836</v>
      </c>
      <c r="D1897" t="s">
        <v>563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2:18">
      <c r="B1898" t="s">
        <v>2449</v>
      </c>
      <c r="C1898" t="s">
        <v>836</v>
      </c>
      <c r="D1898" t="s">
        <v>563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85.5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2:18">
      <c r="B1899" t="s">
        <v>2450</v>
      </c>
      <c r="C1899" t="s">
        <v>836</v>
      </c>
      <c r="D1899" t="s">
        <v>563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2:18">
      <c r="B1900" t="s">
        <v>2451</v>
      </c>
      <c r="C1900" t="s">
        <v>836</v>
      </c>
      <c r="D1900" t="s">
        <v>563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2:18">
      <c r="B1901" t="s">
        <v>2452</v>
      </c>
      <c r="C1901" t="s">
        <v>836</v>
      </c>
      <c r="D1901" t="s">
        <v>563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2:18">
      <c r="B1902" t="s">
        <v>2453</v>
      </c>
      <c r="C1902" t="s">
        <v>836</v>
      </c>
      <c r="D1902" t="s">
        <v>563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2:18">
      <c r="B1903" t="s">
        <v>5509</v>
      </c>
      <c r="C1903" t="s">
        <v>836</v>
      </c>
      <c r="D1903" t="s">
        <v>563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2:18">
      <c r="B1904" t="s">
        <v>2454</v>
      </c>
      <c r="C1904" t="s">
        <v>836</v>
      </c>
      <c r="D1904" t="s">
        <v>563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2:18">
      <c r="B1905" t="s">
        <v>5510</v>
      </c>
      <c r="C1905" t="s">
        <v>836</v>
      </c>
      <c r="D1905" t="s">
        <v>563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2:18">
      <c r="B1906" t="s">
        <v>2455</v>
      </c>
      <c r="C1906" t="s">
        <v>836</v>
      </c>
      <c r="D1906" t="s">
        <v>563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2:18">
      <c r="B1907" t="s">
        <v>2456</v>
      </c>
      <c r="C1907" t="s">
        <v>836</v>
      </c>
      <c r="D1907" t="s">
        <v>563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2:18">
      <c r="B1908" t="s">
        <v>2457</v>
      </c>
      <c r="C1908" t="s">
        <v>836</v>
      </c>
      <c r="D1908" t="s">
        <v>563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2:18">
      <c r="B1909" t="s">
        <v>2458</v>
      </c>
      <c r="C1909" t="s">
        <v>836</v>
      </c>
      <c r="D1909" t="s">
        <v>563</v>
      </c>
      <c r="E1909">
        <v>0</v>
      </c>
      <c r="F1909">
        <v>0</v>
      </c>
      <c r="G1909">
        <v>150</v>
      </c>
      <c r="H1909">
        <v>10</v>
      </c>
      <c r="I1909">
        <v>0</v>
      </c>
      <c r="J1909">
        <v>0</v>
      </c>
      <c r="K1909">
        <v>0</v>
      </c>
      <c r="L1909">
        <v>0</v>
      </c>
      <c r="M1909">
        <v>135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2:18">
      <c r="B1910" t="s">
        <v>2459</v>
      </c>
      <c r="C1910" t="s">
        <v>836</v>
      </c>
      <c r="D1910" t="s">
        <v>563</v>
      </c>
      <c r="E1910">
        <v>0</v>
      </c>
      <c r="F1910">
        <v>0</v>
      </c>
      <c r="G1910">
        <v>200</v>
      </c>
      <c r="H1910">
        <v>7</v>
      </c>
      <c r="I1910">
        <v>0</v>
      </c>
      <c r="J1910">
        <v>0</v>
      </c>
      <c r="K1910">
        <v>0</v>
      </c>
      <c r="L1910">
        <v>0</v>
      </c>
      <c r="M1910">
        <v>200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2:18">
      <c r="B1911" t="s">
        <v>2460</v>
      </c>
      <c r="C1911" t="s">
        <v>836</v>
      </c>
      <c r="D1911" t="s">
        <v>563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2:18">
      <c r="B1912" t="s">
        <v>2461</v>
      </c>
      <c r="C1912" t="s">
        <v>836</v>
      </c>
      <c r="D1912" t="s">
        <v>563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2:18">
      <c r="B1913" t="s">
        <v>2462</v>
      </c>
      <c r="C1913" t="s">
        <v>836</v>
      </c>
      <c r="D1913" t="s">
        <v>563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2:18">
      <c r="B1914" t="s">
        <v>2463</v>
      </c>
      <c r="C1914" t="s">
        <v>836</v>
      </c>
      <c r="D1914" t="s">
        <v>563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2:18">
      <c r="B1915" t="s">
        <v>2464</v>
      </c>
      <c r="C1915" t="s">
        <v>836</v>
      </c>
      <c r="D1915" t="s">
        <v>563</v>
      </c>
      <c r="E1915">
        <v>0</v>
      </c>
      <c r="F1915">
        <v>0</v>
      </c>
      <c r="G1915">
        <v>80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90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2:18">
      <c r="B1916" t="s">
        <v>2465</v>
      </c>
      <c r="C1916" t="s">
        <v>836</v>
      </c>
      <c r="D1916" t="s">
        <v>563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200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2:18">
      <c r="B1917" t="s">
        <v>5511</v>
      </c>
      <c r="C1917" t="s">
        <v>836</v>
      </c>
      <c r="D1917" t="s">
        <v>563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2:18">
      <c r="B1918" t="s">
        <v>2466</v>
      </c>
      <c r="C1918" t="s">
        <v>836</v>
      </c>
      <c r="D1918" t="s">
        <v>563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2:18">
      <c r="B1919" t="s">
        <v>2467</v>
      </c>
      <c r="C1919" t="s">
        <v>836</v>
      </c>
      <c r="D1919" t="s">
        <v>563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2:18">
      <c r="B1920" t="s">
        <v>2468</v>
      </c>
      <c r="C1920" t="s">
        <v>836</v>
      </c>
      <c r="D1920" t="s">
        <v>563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41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2:18">
      <c r="B1921" t="s">
        <v>2469</v>
      </c>
      <c r="C1921" t="s">
        <v>836</v>
      </c>
      <c r="D1921" t="s">
        <v>563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2:18">
      <c r="B1922" t="s">
        <v>2470</v>
      </c>
      <c r="C1922" t="s">
        <v>836</v>
      </c>
      <c r="D1922" t="s">
        <v>563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2:18">
      <c r="B1923" t="s">
        <v>2471</v>
      </c>
      <c r="C1923" t="s">
        <v>836</v>
      </c>
      <c r="D1923" t="s">
        <v>563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2:18">
      <c r="B1924" t="s">
        <v>2472</v>
      </c>
      <c r="C1924" t="s">
        <v>836</v>
      </c>
      <c r="D1924" t="s">
        <v>563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2:18">
      <c r="B1925" t="s">
        <v>2473</v>
      </c>
      <c r="C1925" t="s">
        <v>836</v>
      </c>
      <c r="D1925" t="s">
        <v>563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2:18">
      <c r="B1926" t="s">
        <v>2474</v>
      </c>
      <c r="C1926" t="s">
        <v>836</v>
      </c>
      <c r="D1926" t="s">
        <v>563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2:18">
      <c r="B1927" t="s">
        <v>2475</v>
      </c>
      <c r="C1927" t="s">
        <v>836</v>
      </c>
      <c r="D1927" t="s">
        <v>563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2:18">
      <c r="B1928" t="s">
        <v>5512</v>
      </c>
      <c r="C1928" t="s">
        <v>836</v>
      </c>
      <c r="D1928" t="s">
        <v>563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2:18">
      <c r="B1929" t="s">
        <v>2476</v>
      </c>
      <c r="C1929" t="s">
        <v>836</v>
      </c>
      <c r="D1929" t="s">
        <v>563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2:18">
      <c r="B1930" t="s">
        <v>2477</v>
      </c>
      <c r="C1930" t="s">
        <v>836</v>
      </c>
      <c r="D1930" t="s">
        <v>563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2:18">
      <c r="B1931" t="s">
        <v>2478</v>
      </c>
      <c r="C1931" t="s">
        <v>836</v>
      </c>
      <c r="D1931" t="s">
        <v>563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21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2:18">
      <c r="B1932" t="s">
        <v>2479</v>
      </c>
      <c r="C1932" t="s">
        <v>836</v>
      </c>
      <c r="D1932" t="s">
        <v>563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15.14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2:18">
      <c r="B1933" t="s">
        <v>2480</v>
      </c>
      <c r="C1933" t="s">
        <v>836</v>
      </c>
      <c r="D1933" t="s">
        <v>563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2:18">
      <c r="B1934" t="s">
        <v>2481</v>
      </c>
      <c r="C1934" t="s">
        <v>836</v>
      </c>
      <c r="D1934" t="s">
        <v>563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2:18">
      <c r="B1935" t="s">
        <v>2482</v>
      </c>
      <c r="C1935" t="s">
        <v>836</v>
      </c>
      <c r="D1935" t="s">
        <v>563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2:18">
      <c r="B1936" t="s">
        <v>2483</v>
      </c>
      <c r="C1936" t="s">
        <v>836</v>
      </c>
      <c r="D1936" t="s">
        <v>563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2:18">
      <c r="B1937" t="s">
        <v>2484</v>
      </c>
      <c r="C1937" t="s">
        <v>836</v>
      </c>
      <c r="D1937" t="s">
        <v>563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2:18">
      <c r="B1938" t="s">
        <v>5513</v>
      </c>
      <c r="C1938" t="s">
        <v>836</v>
      </c>
      <c r="D1938" t="s">
        <v>563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2:18">
      <c r="B1939" t="s">
        <v>2485</v>
      </c>
      <c r="C1939" t="s">
        <v>836</v>
      </c>
      <c r="D1939" t="s">
        <v>563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2:18">
      <c r="B1940" t="s">
        <v>2486</v>
      </c>
      <c r="C1940" t="s">
        <v>836</v>
      </c>
      <c r="D1940" t="s">
        <v>563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2:18">
      <c r="B1941" t="s">
        <v>2487</v>
      </c>
      <c r="C1941" t="s">
        <v>836</v>
      </c>
      <c r="D1941" t="s">
        <v>563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2:18">
      <c r="B1942" t="s">
        <v>2488</v>
      </c>
      <c r="C1942" t="s">
        <v>836</v>
      </c>
      <c r="D1942" t="s">
        <v>563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2:18">
      <c r="B1943" t="s">
        <v>2489</v>
      </c>
      <c r="C1943" t="s">
        <v>836</v>
      </c>
      <c r="D1943" t="s">
        <v>563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275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2:18">
      <c r="B1944" t="s">
        <v>2490</v>
      </c>
      <c r="C1944" t="s">
        <v>836</v>
      </c>
      <c r="D1944" t="s">
        <v>563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2:18">
      <c r="B1945" t="s">
        <v>2491</v>
      </c>
      <c r="C1945" t="s">
        <v>836</v>
      </c>
      <c r="D1945" t="s">
        <v>563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2:18">
      <c r="B1946" t="s">
        <v>2492</v>
      </c>
      <c r="C1946" t="s">
        <v>836</v>
      </c>
      <c r="D1946" t="s">
        <v>563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2:18">
      <c r="B1947" t="s">
        <v>2493</v>
      </c>
      <c r="C1947" t="s">
        <v>836</v>
      </c>
      <c r="D1947" t="s">
        <v>563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2:18">
      <c r="B1948" t="s">
        <v>2494</v>
      </c>
      <c r="C1948" t="s">
        <v>836</v>
      </c>
      <c r="D1948" t="s">
        <v>563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2:18">
      <c r="B1949" t="s">
        <v>2495</v>
      </c>
      <c r="C1949" t="s">
        <v>836</v>
      </c>
      <c r="D1949" t="s">
        <v>563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2:18">
      <c r="B1950" t="s">
        <v>2496</v>
      </c>
      <c r="C1950" t="s">
        <v>836</v>
      </c>
      <c r="D1950" t="s">
        <v>563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2:18">
      <c r="B1951" t="s">
        <v>2497</v>
      </c>
      <c r="C1951" t="s">
        <v>836</v>
      </c>
      <c r="D1951" t="s">
        <v>563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2:18">
      <c r="B1952" t="s">
        <v>2498</v>
      </c>
      <c r="C1952" t="s">
        <v>836</v>
      </c>
      <c r="D1952" t="s">
        <v>563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2:18">
      <c r="B1953" t="s">
        <v>2499</v>
      </c>
      <c r="C1953" t="s">
        <v>836</v>
      </c>
      <c r="D1953" t="s">
        <v>563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2:18">
      <c r="B1954" t="s">
        <v>2500</v>
      </c>
      <c r="C1954" t="s">
        <v>836</v>
      </c>
      <c r="D1954" t="s">
        <v>563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2:18">
      <c r="B1955" t="s">
        <v>2501</v>
      </c>
      <c r="C1955" t="s">
        <v>836</v>
      </c>
      <c r="D1955" t="s">
        <v>563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2:18">
      <c r="B1956" t="s">
        <v>2502</v>
      </c>
      <c r="C1956" t="s">
        <v>836</v>
      </c>
      <c r="D1956" t="s">
        <v>563</v>
      </c>
      <c r="E1956">
        <v>3</v>
      </c>
      <c r="F1956">
        <v>14.74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32.6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2:18">
      <c r="B1957" t="s">
        <v>2503</v>
      </c>
      <c r="C1957" t="s">
        <v>836</v>
      </c>
      <c r="D1957" t="s">
        <v>563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2:18">
      <c r="B1958" t="s">
        <v>2504</v>
      </c>
      <c r="C1958" t="s">
        <v>836</v>
      </c>
      <c r="D1958" t="s">
        <v>563</v>
      </c>
      <c r="E1958">
        <v>2</v>
      </c>
      <c r="F1958">
        <v>24.2</v>
      </c>
      <c r="G1958">
        <v>50.6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50.6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2:18">
      <c r="B1959" t="s">
        <v>5514</v>
      </c>
      <c r="C1959" t="s">
        <v>836</v>
      </c>
      <c r="D1959" t="s">
        <v>563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2:18">
      <c r="B1960" t="s">
        <v>2505</v>
      </c>
      <c r="C1960" t="s">
        <v>836</v>
      </c>
      <c r="D1960" t="s">
        <v>563</v>
      </c>
      <c r="E1960">
        <v>2</v>
      </c>
      <c r="F1960">
        <v>26.9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2:18">
      <c r="B1961" t="s">
        <v>2506</v>
      </c>
      <c r="C1961" t="s">
        <v>836</v>
      </c>
      <c r="D1961" t="s">
        <v>563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2:18">
      <c r="B1962" t="s">
        <v>2507</v>
      </c>
      <c r="C1962" t="s">
        <v>836</v>
      </c>
      <c r="D1962" t="s">
        <v>563</v>
      </c>
      <c r="E1962">
        <v>1</v>
      </c>
      <c r="F1962">
        <v>49.7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48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2:18">
      <c r="B1963" t="s">
        <v>5515</v>
      </c>
      <c r="C1963" t="s">
        <v>836</v>
      </c>
      <c r="D1963" t="s">
        <v>563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2:18">
      <c r="B1964" t="s">
        <v>2508</v>
      </c>
      <c r="C1964" t="s">
        <v>836</v>
      </c>
      <c r="D1964" t="s">
        <v>563</v>
      </c>
      <c r="E1964">
        <v>1</v>
      </c>
      <c r="F1964">
        <v>51.5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2:18">
      <c r="B1965" t="s">
        <v>2509</v>
      </c>
      <c r="C1965" t="s">
        <v>836</v>
      </c>
      <c r="D1965" t="s">
        <v>563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2:18">
      <c r="B1966" t="s">
        <v>2510</v>
      </c>
      <c r="C1966" t="s">
        <v>836</v>
      </c>
      <c r="D1966" t="s">
        <v>563</v>
      </c>
      <c r="E1966">
        <v>1</v>
      </c>
      <c r="F1966">
        <v>75.8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2:18">
      <c r="B1967" t="s">
        <v>5516</v>
      </c>
      <c r="C1967" t="s">
        <v>836</v>
      </c>
      <c r="D1967" t="s">
        <v>563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2:18">
      <c r="B1968" t="s">
        <v>2511</v>
      </c>
      <c r="C1968" t="s">
        <v>836</v>
      </c>
      <c r="D1968" t="s">
        <v>563</v>
      </c>
      <c r="E1968">
        <v>1</v>
      </c>
      <c r="F1968">
        <v>82.7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65.5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2:18">
      <c r="B1969" t="s">
        <v>2512</v>
      </c>
      <c r="C1969" t="s">
        <v>836</v>
      </c>
      <c r="D1969" t="s">
        <v>563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2:18">
      <c r="B1970" t="s">
        <v>2513</v>
      </c>
      <c r="C1970" t="s">
        <v>836</v>
      </c>
      <c r="D1970" t="s">
        <v>563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2:18">
      <c r="B1971" t="s">
        <v>2514</v>
      </c>
      <c r="C1971" t="s">
        <v>836</v>
      </c>
      <c r="D1971" t="s">
        <v>563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2:18">
      <c r="B1972" t="s">
        <v>2515</v>
      </c>
      <c r="C1972" t="s">
        <v>836</v>
      </c>
      <c r="D1972" t="s">
        <v>563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2:18">
      <c r="B1973" t="s">
        <v>5517</v>
      </c>
      <c r="C1973" t="s">
        <v>836</v>
      </c>
      <c r="D1973" t="s">
        <v>563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2:18">
      <c r="B1974" t="s">
        <v>2516</v>
      </c>
      <c r="C1974" t="s">
        <v>836</v>
      </c>
      <c r="D1974" t="s">
        <v>563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2:18">
      <c r="B1975" t="s">
        <v>5518</v>
      </c>
      <c r="C1975" t="s">
        <v>836</v>
      </c>
      <c r="D1975" t="s">
        <v>563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2:18">
      <c r="B1976" t="s">
        <v>2517</v>
      </c>
      <c r="C1976" t="s">
        <v>836</v>
      </c>
      <c r="D1976" t="s">
        <v>563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2:18">
      <c r="B1977" t="s">
        <v>2518</v>
      </c>
      <c r="C1977" t="s">
        <v>836</v>
      </c>
      <c r="D1977" t="s">
        <v>563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2:18">
      <c r="B1978" t="s">
        <v>2519</v>
      </c>
      <c r="C1978" t="s">
        <v>836</v>
      </c>
      <c r="D1978" t="s">
        <v>563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2:18">
      <c r="B1979" t="s">
        <v>2520</v>
      </c>
      <c r="C1979" t="s">
        <v>836</v>
      </c>
      <c r="D1979" t="s">
        <v>563</v>
      </c>
      <c r="E1979">
        <v>1</v>
      </c>
      <c r="F1979">
        <v>196.4</v>
      </c>
      <c r="G1979">
        <v>398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125.5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2:18">
      <c r="B1980" t="s">
        <v>2521</v>
      </c>
      <c r="C1980" t="s">
        <v>836</v>
      </c>
      <c r="D1980" t="s">
        <v>563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2:18">
      <c r="B1981" t="s">
        <v>2522</v>
      </c>
      <c r="C1981" t="s">
        <v>836</v>
      </c>
      <c r="D1981" t="s">
        <v>563</v>
      </c>
      <c r="E1981">
        <v>1</v>
      </c>
      <c r="F1981">
        <v>193.95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129.30000000000001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2:18">
      <c r="B1982" t="s">
        <v>2523</v>
      </c>
      <c r="C1982" t="s">
        <v>836</v>
      </c>
      <c r="D1982" t="s">
        <v>563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2:18">
      <c r="B1983" t="s">
        <v>2524</v>
      </c>
      <c r="C1983" t="s">
        <v>836</v>
      </c>
      <c r="D1983" t="s">
        <v>563</v>
      </c>
      <c r="E1983">
        <v>1</v>
      </c>
      <c r="F1983">
        <v>252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219.8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2:18">
      <c r="B1984" t="s">
        <v>2525</v>
      </c>
      <c r="C1984" t="s">
        <v>836</v>
      </c>
      <c r="D1984" t="s">
        <v>563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2:18">
      <c r="B1985" t="s">
        <v>2526</v>
      </c>
      <c r="C1985" t="s">
        <v>836</v>
      </c>
      <c r="D1985" t="s">
        <v>563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2:18">
      <c r="B1986" t="s">
        <v>5519</v>
      </c>
      <c r="C1986" t="s">
        <v>836</v>
      </c>
      <c r="D1986" t="s">
        <v>563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2:18">
      <c r="B1987" t="s">
        <v>2527</v>
      </c>
      <c r="C1987" t="s">
        <v>836</v>
      </c>
      <c r="D1987" t="s">
        <v>563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2:18">
      <c r="B1988" t="s">
        <v>2528</v>
      </c>
      <c r="C1988" t="s">
        <v>836</v>
      </c>
      <c r="D1988" t="s">
        <v>563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535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2:18">
      <c r="B1989" t="s">
        <v>2529</v>
      </c>
      <c r="C1989" t="s">
        <v>836</v>
      </c>
      <c r="D1989" t="s">
        <v>563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205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2:18">
      <c r="B1990" t="s">
        <v>5520</v>
      </c>
      <c r="C1990" t="s">
        <v>836</v>
      </c>
      <c r="D1990" t="s">
        <v>563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2:18">
      <c r="B1991" t="s">
        <v>2530</v>
      </c>
      <c r="C1991" t="s">
        <v>836</v>
      </c>
      <c r="D1991" t="s">
        <v>563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2:18">
      <c r="B1992" t="s">
        <v>2531</v>
      </c>
      <c r="C1992" t="s">
        <v>836</v>
      </c>
      <c r="D1992" t="s">
        <v>563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2:18">
      <c r="B1993" t="s">
        <v>2532</v>
      </c>
      <c r="C1993" t="s">
        <v>836</v>
      </c>
      <c r="D1993" t="s">
        <v>563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2:18">
      <c r="B1994" t="s">
        <v>5521</v>
      </c>
      <c r="C1994" t="s">
        <v>836</v>
      </c>
      <c r="D1994" t="s">
        <v>563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2:18">
      <c r="B1995" t="s">
        <v>5522</v>
      </c>
      <c r="C1995" t="s">
        <v>836</v>
      </c>
      <c r="D1995" t="s">
        <v>563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2:18">
      <c r="B1996" t="s">
        <v>2533</v>
      </c>
      <c r="C1996" t="s">
        <v>836</v>
      </c>
      <c r="D1996" t="s">
        <v>563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2:18">
      <c r="B1997" t="s">
        <v>2534</v>
      </c>
      <c r="C1997" t="s">
        <v>836</v>
      </c>
      <c r="D1997" t="s">
        <v>563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2:18">
      <c r="B1998" t="s">
        <v>2535</v>
      </c>
      <c r="C1998" t="s">
        <v>836</v>
      </c>
      <c r="D1998" t="s">
        <v>563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2:18">
      <c r="B1999" t="s">
        <v>2536</v>
      </c>
      <c r="C1999" t="s">
        <v>836</v>
      </c>
      <c r="D1999" t="s">
        <v>563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2:18">
      <c r="B2000" t="s">
        <v>2537</v>
      </c>
      <c r="C2000" t="s">
        <v>836</v>
      </c>
      <c r="D2000" t="s">
        <v>563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2:18">
      <c r="B2001" t="s">
        <v>2538</v>
      </c>
      <c r="C2001" t="s">
        <v>836</v>
      </c>
      <c r="D2001" t="s">
        <v>563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2:18">
      <c r="B2002" t="s">
        <v>2539</v>
      </c>
      <c r="C2002" t="s">
        <v>836</v>
      </c>
      <c r="D2002" t="s">
        <v>563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2:18">
      <c r="B2003" t="s">
        <v>2540</v>
      </c>
      <c r="C2003" t="s">
        <v>836</v>
      </c>
      <c r="D2003" t="s">
        <v>563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2:18">
      <c r="B2004" t="s">
        <v>5523</v>
      </c>
      <c r="C2004" t="s">
        <v>836</v>
      </c>
      <c r="D2004" t="s">
        <v>563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2:18">
      <c r="B2005" t="s">
        <v>5524</v>
      </c>
      <c r="C2005" t="s">
        <v>836</v>
      </c>
      <c r="D2005" t="s">
        <v>563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2:18">
      <c r="B2006" t="s">
        <v>2541</v>
      </c>
      <c r="C2006" t="s">
        <v>836</v>
      </c>
      <c r="D2006" t="s">
        <v>563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2:18">
      <c r="B2007" t="s">
        <v>2542</v>
      </c>
      <c r="C2007" t="s">
        <v>836</v>
      </c>
      <c r="D2007" t="s">
        <v>563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2:18">
      <c r="B2008" t="s">
        <v>2543</v>
      </c>
      <c r="C2008" t="s">
        <v>836</v>
      </c>
      <c r="D2008" t="s">
        <v>563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2:18">
      <c r="B2009" t="s">
        <v>2544</v>
      </c>
      <c r="C2009" t="s">
        <v>836</v>
      </c>
      <c r="D2009" t="s">
        <v>563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2:18">
      <c r="B2010" t="s">
        <v>2545</v>
      </c>
      <c r="C2010" t="s">
        <v>836</v>
      </c>
      <c r="D2010" t="s">
        <v>563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2:18">
      <c r="B2011" t="s">
        <v>2546</v>
      </c>
      <c r="C2011" t="s">
        <v>836</v>
      </c>
      <c r="D2011" t="s">
        <v>563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2:18">
      <c r="B2012" t="s">
        <v>2547</v>
      </c>
      <c r="C2012" t="s">
        <v>836</v>
      </c>
      <c r="D2012" t="s">
        <v>563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2:18">
      <c r="B2013" t="s">
        <v>2548</v>
      </c>
      <c r="C2013" t="s">
        <v>836</v>
      </c>
      <c r="D2013" t="s">
        <v>563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2:18">
      <c r="B2014" t="s">
        <v>2549</v>
      </c>
      <c r="C2014" t="s">
        <v>836</v>
      </c>
      <c r="D2014" t="s">
        <v>563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2:18">
      <c r="B2015" t="s">
        <v>2550</v>
      </c>
      <c r="C2015" t="s">
        <v>836</v>
      </c>
      <c r="D2015" t="s">
        <v>563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2:18">
      <c r="B2016" t="s">
        <v>2551</v>
      </c>
      <c r="C2016" t="s">
        <v>836</v>
      </c>
      <c r="D2016" t="s">
        <v>563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2:18">
      <c r="B2017" t="s">
        <v>2552</v>
      </c>
      <c r="C2017" t="s">
        <v>836</v>
      </c>
      <c r="D2017" t="s">
        <v>563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2:18">
      <c r="B2018" t="s">
        <v>2553</v>
      </c>
      <c r="C2018" t="s">
        <v>836</v>
      </c>
      <c r="D2018" t="s">
        <v>563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2:18">
      <c r="B2019" t="s">
        <v>2554</v>
      </c>
      <c r="C2019" t="s">
        <v>836</v>
      </c>
      <c r="D2019" t="s">
        <v>563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2:18">
      <c r="B2020" t="s">
        <v>2555</v>
      </c>
      <c r="C2020" t="s">
        <v>836</v>
      </c>
      <c r="D2020" t="s">
        <v>563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2:18">
      <c r="B2021" t="s">
        <v>2556</v>
      </c>
      <c r="C2021" t="s">
        <v>836</v>
      </c>
      <c r="D2021" t="s">
        <v>563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2:18">
      <c r="B2022" t="s">
        <v>2557</v>
      </c>
      <c r="C2022" t="s">
        <v>836</v>
      </c>
      <c r="D2022" t="s">
        <v>563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2:18">
      <c r="B2023" t="s">
        <v>2558</v>
      </c>
      <c r="C2023" t="s">
        <v>836</v>
      </c>
      <c r="D2023" t="s">
        <v>563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2:18">
      <c r="B2024" t="s">
        <v>2559</v>
      </c>
      <c r="C2024" t="s">
        <v>836</v>
      </c>
      <c r="D2024" t="s">
        <v>563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2:18">
      <c r="B2025" t="s">
        <v>2560</v>
      </c>
      <c r="C2025" t="s">
        <v>836</v>
      </c>
      <c r="D2025" t="s">
        <v>563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2:18">
      <c r="B2026" t="s">
        <v>2561</v>
      </c>
      <c r="C2026" t="s">
        <v>836</v>
      </c>
      <c r="D2026" t="s">
        <v>563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2:18">
      <c r="B2027" t="s">
        <v>2562</v>
      </c>
      <c r="C2027" t="s">
        <v>836</v>
      </c>
      <c r="D2027" t="s">
        <v>563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2:18">
      <c r="B2028" t="s">
        <v>2563</v>
      </c>
      <c r="C2028" t="s">
        <v>836</v>
      </c>
      <c r="D2028" t="s">
        <v>563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2:18">
      <c r="B2029" t="s">
        <v>2564</v>
      </c>
      <c r="C2029" t="s">
        <v>836</v>
      </c>
      <c r="D2029" t="s">
        <v>563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2:18">
      <c r="B2030" t="s">
        <v>2565</v>
      </c>
      <c r="C2030" t="s">
        <v>836</v>
      </c>
      <c r="D2030" t="s">
        <v>563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2:18">
      <c r="B2031" t="s">
        <v>2566</v>
      </c>
      <c r="C2031" t="s">
        <v>836</v>
      </c>
      <c r="D2031" t="s">
        <v>563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2:18">
      <c r="B2032" t="s">
        <v>2567</v>
      </c>
      <c r="C2032" t="s">
        <v>836</v>
      </c>
      <c r="D2032" t="s">
        <v>563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2:18">
      <c r="B2033" t="s">
        <v>2568</v>
      </c>
      <c r="C2033" t="s">
        <v>836</v>
      </c>
      <c r="D2033" t="s">
        <v>563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2:18">
      <c r="B2034" t="s">
        <v>2569</v>
      </c>
      <c r="C2034" t="s">
        <v>836</v>
      </c>
      <c r="D2034" t="s">
        <v>563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2:18">
      <c r="B2035" t="s">
        <v>2570</v>
      </c>
      <c r="C2035" t="s">
        <v>836</v>
      </c>
      <c r="D2035" t="s">
        <v>563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2:18">
      <c r="B2036" t="s">
        <v>2571</v>
      </c>
      <c r="C2036" t="s">
        <v>836</v>
      </c>
      <c r="D2036" t="s">
        <v>563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2:18">
      <c r="B2037" t="s">
        <v>2572</v>
      </c>
      <c r="C2037" t="s">
        <v>836</v>
      </c>
      <c r="D2037" t="s">
        <v>563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2:18">
      <c r="B2038" t="s">
        <v>2573</v>
      </c>
      <c r="C2038" t="s">
        <v>836</v>
      </c>
      <c r="D2038" t="s">
        <v>563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2:18">
      <c r="B2039" t="s">
        <v>2574</v>
      </c>
      <c r="C2039" t="s">
        <v>836</v>
      </c>
      <c r="D2039" t="s">
        <v>563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2:18">
      <c r="B2040" t="s">
        <v>2575</v>
      </c>
      <c r="C2040" t="s">
        <v>836</v>
      </c>
      <c r="D2040" t="s">
        <v>563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2:18">
      <c r="B2041" t="s">
        <v>2576</v>
      </c>
      <c r="C2041" t="s">
        <v>836</v>
      </c>
      <c r="D2041" t="s">
        <v>563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2:18">
      <c r="B2042" t="s">
        <v>2577</v>
      </c>
      <c r="C2042" t="s">
        <v>836</v>
      </c>
      <c r="D2042" t="s">
        <v>563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2:18">
      <c r="B2043" t="s">
        <v>2578</v>
      </c>
      <c r="C2043" t="s">
        <v>836</v>
      </c>
      <c r="D2043" t="s">
        <v>563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2:18">
      <c r="B2044" t="s">
        <v>2579</v>
      </c>
      <c r="C2044" t="s">
        <v>836</v>
      </c>
      <c r="D2044" t="s">
        <v>563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2:18">
      <c r="B2045" t="s">
        <v>2580</v>
      </c>
      <c r="C2045" t="s">
        <v>836</v>
      </c>
      <c r="D2045" t="s">
        <v>563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2:18">
      <c r="B2046" t="s">
        <v>2581</v>
      </c>
      <c r="C2046" t="s">
        <v>836</v>
      </c>
      <c r="D2046" t="s">
        <v>563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2:18">
      <c r="B2047" t="s">
        <v>2582</v>
      </c>
      <c r="C2047" t="s">
        <v>836</v>
      </c>
      <c r="D2047" t="s">
        <v>563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2:18">
      <c r="B2048" t="s">
        <v>2583</v>
      </c>
      <c r="C2048" t="s">
        <v>836</v>
      </c>
      <c r="D2048" t="s">
        <v>563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2:18">
      <c r="B2049" t="s">
        <v>2584</v>
      </c>
      <c r="C2049" t="s">
        <v>836</v>
      </c>
      <c r="D2049" t="s">
        <v>563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2:18">
      <c r="B2050" t="s">
        <v>2585</v>
      </c>
      <c r="C2050" t="s">
        <v>836</v>
      </c>
      <c r="D2050" t="s">
        <v>563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2:18">
      <c r="B2051" t="s">
        <v>2586</v>
      </c>
      <c r="C2051" t="s">
        <v>836</v>
      </c>
      <c r="D2051" t="s">
        <v>563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2:18">
      <c r="B2052" t="s">
        <v>2587</v>
      </c>
      <c r="C2052" t="s">
        <v>836</v>
      </c>
      <c r="D2052" t="s">
        <v>563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2:18">
      <c r="B2053" t="s">
        <v>2588</v>
      </c>
      <c r="C2053" t="s">
        <v>836</v>
      </c>
      <c r="D2053" t="s">
        <v>563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2:18">
      <c r="B2054" t="s">
        <v>2589</v>
      </c>
      <c r="C2054" t="s">
        <v>836</v>
      </c>
      <c r="D2054" t="s">
        <v>563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2:18">
      <c r="B2055" t="s">
        <v>2590</v>
      </c>
      <c r="C2055" t="s">
        <v>836</v>
      </c>
      <c r="D2055" t="s">
        <v>563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2:18">
      <c r="B2056" t="s">
        <v>2591</v>
      </c>
      <c r="C2056" t="s">
        <v>836</v>
      </c>
      <c r="D2056" t="s">
        <v>563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2:18">
      <c r="B2057" t="s">
        <v>2592</v>
      </c>
      <c r="C2057" t="s">
        <v>836</v>
      </c>
      <c r="D2057" t="s">
        <v>563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2:18">
      <c r="B2058" t="s">
        <v>2593</v>
      </c>
      <c r="C2058" t="s">
        <v>836</v>
      </c>
      <c r="D2058" t="s">
        <v>563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2:18">
      <c r="B2059" t="s">
        <v>2594</v>
      </c>
      <c r="C2059" t="s">
        <v>836</v>
      </c>
      <c r="D2059" t="s">
        <v>563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2:18">
      <c r="B2060" t="s">
        <v>2595</v>
      </c>
      <c r="C2060" t="s">
        <v>836</v>
      </c>
      <c r="D2060" t="s">
        <v>563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2:18">
      <c r="B2061" t="s">
        <v>2596</v>
      </c>
      <c r="C2061" t="s">
        <v>836</v>
      </c>
      <c r="D2061" t="s">
        <v>563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2:18">
      <c r="B2062" t="s">
        <v>2597</v>
      </c>
      <c r="C2062" t="s">
        <v>836</v>
      </c>
      <c r="D2062" t="s">
        <v>563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2:18">
      <c r="B2063" t="s">
        <v>2598</v>
      </c>
      <c r="C2063" t="s">
        <v>836</v>
      </c>
      <c r="D2063" t="s">
        <v>563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2:18">
      <c r="B2064" t="s">
        <v>2599</v>
      </c>
      <c r="C2064" t="s">
        <v>836</v>
      </c>
      <c r="D2064" t="s">
        <v>563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2:18">
      <c r="B2065" t="s">
        <v>2600</v>
      </c>
      <c r="C2065" t="s">
        <v>836</v>
      </c>
      <c r="D2065" t="s">
        <v>563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2:18">
      <c r="B2066" t="s">
        <v>2601</v>
      </c>
      <c r="C2066" t="s">
        <v>836</v>
      </c>
      <c r="D2066" t="s">
        <v>563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2:18">
      <c r="B2067" t="s">
        <v>2602</v>
      </c>
      <c r="C2067" t="s">
        <v>836</v>
      </c>
      <c r="D2067" t="s">
        <v>563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2:18">
      <c r="B2068" t="s">
        <v>2603</v>
      </c>
      <c r="C2068" t="s">
        <v>836</v>
      </c>
      <c r="D2068" t="s">
        <v>563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2:18">
      <c r="B2069" t="s">
        <v>2604</v>
      </c>
      <c r="C2069" t="s">
        <v>836</v>
      </c>
      <c r="D2069" t="s">
        <v>563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2:18">
      <c r="B2070" t="s">
        <v>2605</v>
      </c>
      <c r="C2070" t="s">
        <v>836</v>
      </c>
      <c r="D2070" t="s">
        <v>563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2:18">
      <c r="B2071" t="s">
        <v>2606</v>
      </c>
      <c r="C2071" t="s">
        <v>836</v>
      </c>
      <c r="D2071" t="s">
        <v>563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2:18">
      <c r="B2072" t="s">
        <v>2607</v>
      </c>
      <c r="C2072" t="s">
        <v>836</v>
      </c>
      <c r="D2072" t="s">
        <v>563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2:18">
      <c r="B2073" t="s">
        <v>2608</v>
      </c>
      <c r="C2073" t="s">
        <v>836</v>
      </c>
      <c r="D2073" t="s">
        <v>563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2:18">
      <c r="B2074" t="s">
        <v>2609</v>
      </c>
      <c r="C2074" t="s">
        <v>836</v>
      </c>
      <c r="D2074" t="s">
        <v>563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2:18">
      <c r="B2075" t="s">
        <v>2610</v>
      </c>
      <c r="C2075" t="s">
        <v>836</v>
      </c>
      <c r="D2075" t="s">
        <v>563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2:18">
      <c r="B2076" t="s">
        <v>2611</v>
      </c>
      <c r="C2076" t="s">
        <v>836</v>
      </c>
      <c r="D2076" t="s">
        <v>563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2:18">
      <c r="B2077" t="s">
        <v>2612</v>
      </c>
      <c r="C2077" t="s">
        <v>836</v>
      </c>
      <c r="D2077" t="s">
        <v>563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2:18">
      <c r="B2078" t="s">
        <v>2613</v>
      </c>
      <c r="C2078" t="s">
        <v>836</v>
      </c>
      <c r="D2078" t="s">
        <v>563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2:18">
      <c r="B2079" t="s">
        <v>2614</v>
      </c>
      <c r="C2079" t="s">
        <v>836</v>
      </c>
      <c r="D2079" t="s">
        <v>563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2:18">
      <c r="B2080" t="s">
        <v>2615</v>
      </c>
      <c r="C2080" t="s">
        <v>836</v>
      </c>
      <c r="D2080" t="s">
        <v>563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2:18">
      <c r="B2081" t="s">
        <v>2616</v>
      </c>
      <c r="C2081" t="s">
        <v>836</v>
      </c>
      <c r="D2081" t="s">
        <v>563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2:18">
      <c r="B2082" t="s">
        <v>2617</v>
      </c>
      <c r="C2082" t="s">
        <v>836</v>
      </c>
      <c r="D2082" t="s">
        <v>563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2:18">
      <c r="B2083" t="s">
        <v>2618</v>
      </c>
      <c r="C2083" t="s">
        <v>836</v>
      </c>
      <c r="D2083" t="s">
        <v>563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2:18">
      <c r="B2084" t="s">
        <v>2619</v>
      </c>
      <c r="C2084" t="s">
        <v>836</v>
      </c>
      <c r="D2084" t="s">
        <v>563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2:18">
      <c r="B2085" t="s">
        <v>2620</v>
      </c>
      <c r="C2085" t="s">
        <v>836</v>
      </c>
      <c r="D2085" t="s">
        <v>563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2:18">
      <c r="B2086" t="s">
        <v>2621</v>
      </c>
      <c r="C2086" t="s">
        <v>836</v>
      </c>
      <c r="D2086" t="s">
        <v>563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2:18">
      <c r="B2087" t="s">
        <v>2622</v>
      </c>
      <c r="C2087" t="s">
        <v>836</v>
      </c>
      <c r="D2087" t="s">
        <v>563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2:18">
      <c r="B2088" t="s">
        <v>2623</v>
      </c>
      <c r="C2088" t="s">
        <v>836</v>
      </c>
      <c r="D2088" t="s">
        <v>563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2:18">
      <c r="B2089" t="s">
        <v>2624</v>
      </c>
      <c r="C2089" t="s">
        <v>836</v>
      </c>
      <c r="D2089" t="s">
        <v>563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2:18">
      <c r="B2090" t="s">
        <v>2625</v>
      </c>
      <c r="C2090" t="s">
        <v>836</v>
      </c>
      <c r="D2090" t="s">
        <v>563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2:18">
      <c r="B2091" t="s">
        <v>2626</v>
      </c>
      <c r="C2091" t="s">
        <v>836</v>
      </c>
      <c r="D2091" t="s">
        <v>563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2:18">
      <c r="B2092" t="s">
        <v>2627</v>
      </c>
      <c r="C2092" t="s">
        <v>836</v>
      </c>
      <c r="D2092" t="s">
        <v>563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2:18">
      <c r="B2093" t="s">
        <v>2628</v>
      </c>
      <c r="C2093" t="s">
        <v>836</v>
      </c>
      <c r="D2093" t="s">
        <v>563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2:18">
      <c r="B2094" t="s">
        <v>2629</v>
      </c>
      <c r="C2094" t="s">
        <v>836</v>
      </c>
      <c r="D2094" t="s">
        <v>563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2:18">
      <c r="B2095" t="s">
        <v>2630</v>
      </c>
      <c r="C2095" t="s">
        <v>836</v>
      </c>
      <c r="D2095" t="s">
        <v>563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2:18">
      <c r="B2096" t="s">
        <v>2631</v>
      </c>
      <c r="C2096" t="s">
        <v>836</v>
      </c>
      <c r="D2096" t="s">
        <v>563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2:18">
      <c r="B2097" t="s">
        <v>2632</v>
      </c>
      <c r="C2097" t="s">
        <v>836</v>
      </c>
      <c r="D2097" t="s">
        <v>563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2:18">
      <c r="B2098" t="s">
        <v>2633</v>
      </c>
      <c r="C2098" t="s">
        <v>836</v>
      </c>
      <c r="D2098" t="s">
        <v>563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2:18">
      <c r="B2099" t="s">
        <v>2634</v>
      </c>
      <c r="C2099" t="s">
        <v>836</v>
      </c>
      <c r="D2099" t="s">
        <v>563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2:18">
      <c r="B2100" t="s">
        <v>2635</v>
      </c>
      <c r="C2100" t="s">
        <v>836</v>
      </c>
      <c r="D2100" t="s">
        <v>563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2:18">
      <c r="B2101" t="s">
        <v>2636</v>
      </c>
      <c r="C2101" t="s">
        <v>836</v>
      </c>
      <c r="D2101" t="s">
        <v>563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2:18">
      <c r="B2102" t="s">
        <v>2637</v>
      </c>
      <c r="C2102" t="s">
        <v>836</v>
      </c>
      <c r="D2102" t="s">
        <v>563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2:18">
      <c r="B2103" t="s">
        <v>2638</v>
      </c>
      <c r="C2103" t="s">
        <v>836</v>
      </c>
      <c r="D2103" t="s">
        <v>563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2:18">
      <c r="B2104" t="s">
        <v>2639</v>
      </c>
      <c r="C2104" t="s">
        <v>836</v>
      </c>
      <c r="D2104" t="s">
        <v>563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2:18">
      <c r="B2105" t="s">
        <v>2640</v>
      </c>
      <c r="C2105" t="s">
        <v>836</v>
      </c>
      <c r="D2105" t="s">
        <v>563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2:18">
      <c r="B2106" t="s">
        <v>2641</v>
      </c>
      <c r="C2106" t="s">
        <v>836</v>
      </c>
      <c r="D2106" t="s">
        <v>563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2:18">
      <c r="B2107" t="s">
        <v>2642</v>
      </c>
      <c r="C2107" t="s">
        <v>836</v>
      </c>
      <c r="D2107" t="s">
        <v>563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2:18">
      <c r="B2108" t="s">
        <v>2643</v>
      </c>
      <c r="C2108" t="s">
        <v>836</v>
      </c>
      <c r="D2108" t="s">
        <v>563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2:18">
      <c r="B2109" t="s">
        <v>2644</v>
      </c>
      <c r="C2109" t="s">
        <v>836</v>
      </c>
      <c r="D2109" t="s">
        <v>563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2:18">
      <c r="B2110" t="s">
        <v>2645</v>
      </c>
      <c r="C2110" t="s">
        <v>836</v>
      </c>
      <c r="D2110" t="s">
        <v>563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2:18">
      <c r="B2111" t="s">
        <v>2646</v>
      </c>
      <c r="C2111" t="s">
        <v>836</v>
      </c>
      <c r="D2111" t="s">
        <v>563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2:18">
      <c r="B2112" t="s">
        <v>2647</v>
      </c>
      <c r="C2112" t="s">
        <v>836</v>
      </c>
      <c r="D2112" t="s">
        <v>563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2:19">
      <c r="B2113" t="s">
        <v>2648</v>
      </c>
      <c r="C2113" t="s">
        <v>836</v>
      </c>
      <c r="D2113" t="s">
        <v>563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2:19">
      <c r="B2114" t="s">
        <v>2649</v>
      </c>
      <c r="C2114" t="s">
        <v>836</v>
      </c>
      <c r="D2114" t="s">
        <v>563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2:19">
      <c r="B2115" t="s">
        <v>2650</v>
      </c>
      <c r="C2115" t="s">
        <v>836</v>
      </c>
      <c r="D2115" t="s">
        <v>563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2:19">
      <c r="B2116" t="s">
        <v>2651</v>
      </c>
      <c r="C2116" t="s">
        <v>836</v>
      </c>
      <c r="D2116" t="s">
        <v>563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2:19">
      <c r="B2117" t="s">
        <v>2652</v>
      </c>
      <c r="C2117" t="s">
        <v>836</v>
      </c>
      <c r="D2117" t="s">
        <v>563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2:19">
      <c r="B2118" t="s">
        <v>2653</v>
      </c>
      <c r="C2118" t="s">
        <v>836</v>
      </c>
      <c r="D2118" t="s">
        <v>563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2:19">
      <c r="B2119" t="s">
        <v>2654</v>
      </c>
      <c r="C2119" t="s">
        <v>836</v>
      </c>
      <c r="D2119" t="s">
        <v>563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2:19">
      <c r="B2120" t="s">
        <v>2655</v>
      </c>
      <c r="C2120" t="s">
        <v>836</v>
      </c>
      <c r="D2120" t="s">
        <v>563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2:19">
      <c r="B2121" t="s">
        <v>2656</v>
      </c>
      <c r="C2121" t="s">
        <v>836</v>
      </c>
      <c r="D2121" t="s">
        <v>563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2:19">
      <c r="B2122" t="s">
        <v>5525</v>
      </c>
      <c r="C2122" t="s">
        <v>836</v>
      </c>
      <c r="D2122" t="s">
        <v>563</v>
      </c>
      <c r="E2122">
        <v>1813</v>
      </c>
      <c r="F2122">
        <v>1</v>
      </c>
      <c r="G2122">
        <v>1.77</v>
      </c>
      <c r="H2122">
        <v>30</v>
      </c>
      <c r="I2122">
        <v>2.7949999999999999</v>
      </c>
      <c r="J2122">
        <v>1.3049999999999999</v>
      </c>
      <c r="K2122">
        <v>3.25</v>
      </c>
      <c r="L2122">
        <v>1.77</v>
      </c>
      <c r="M2122">
        <v>2.496</v>
      </c>
      <c r="N2122">
        <v>-0.2908</v>
      </c>
      <c r="O2122">
        <v>1186</v>
      </c>
      <c r="P2122">
        <v>227114.3</v>
      </c>
      <c r="Q2122">
        <v>1.9149604</v>
      </c>
      <c r="R2122">
        <v>0</v>
      </c>
      <c r="S2122" t="s">
        <v>6295</v>
      </c>
    </row>
    <row r="2123" spans="2:19">
      <c r="B2123" t="s">
        <v>2657</v>
      </c>
      <c r="C2123" t="s">
        <v>836</v>
      </c>
      <c r="D2123" t="s">
        <v>563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2:19">
      <c r="B2124" t="s">
        <v>5526</v>
      </c>
      <c r="C2124" t="s">
        <v>836</v>
      </c>
      <c r="D2124" t="s">
        <v>563</v>
      </c>
      <c r="E2124">
        <v>1</v>
      </c>
      <c r="F2124">
        <v>46</v>
      </c>
      <c r="G2124">
        <v>67.900000000000006</v>
      </c>
      <c r="H2124">
        <v>6</v>
      </c>
      <c r="I2124">
        <v>75</v>
      </c>
      <c r="J2124">
        <v>60</v>
      </c>
      <c r="K2124">
        <v>77</v>
      </c>
      <c r="L2124">
        <v>60</v>
      </c>
      <c r="M2124">
        <v>61.316000000000003</v>
      </c>
      <c r="N2124">
        <v>-2.1399999999999999E-2</v>
      </c>
      <c r="O2124">
        <v>217</v>
      </c>
      <c r="P2124">
        <v>1459561.2</v>
      </c>
      <c r="Q2124">
        <v>67.260884799999999</v>
      </c>
      <c r="R2124">
        <v>0</v>
      </c>
      <c r="S2124" t="s">
        <v>6259</v>
      </c>
    </row>
    <row r="2125" spans="2:19">
      <c r="B2125" t="s">
        <v>2658</v>
      </c>
      <c r="C2125" t="s">
        <v>836</v>
      </c>
      <c r="D2125" t="s">
        <v>563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2:19">
      <c r="B2126" t="s">
        <v>2659</v>
      </c>
      <c r="C2126" t="s">
        <v>836</v>
      </c>
      <c r="D2126" t="s">
        <v>563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2:19">
      <c r="B2127" t="s">
        <v>2660</v>
      </c>
      <c r="C2127" t="s">
        <v>836</v>
      </c>
      <c r="D2127" t="s">
        <v>563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2:19">
      <c r="B2128" t="s">
        <v>2661</v>
      </c>
      <c r="C2128" t="s">
        <v>836</v>
      </c>
      <c r="D2128" t="s">
        <v>563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2:19">
      <c r="B2129" t="s">
        <v>2662</v>
      </c>
      <c r="C2129" t="s">
        <v>836</v>
      </c>
      <c r="D2129" t="s">
        <v>563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2:19">
      <c r="B2130" t="s">
        <v>2663</v>
      </c>
      <c r="C2130" t="s">
        <v>836</v>
      </c>
      <c r="D2130" t="s">
        <v>563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2:19">
      <c r="B2131" t="s">
        <v>2664</v>
      </c>
      <c r="C2131" t="s">
        <v>836</v>
      </c>
      <c r="D2131" t="s">
        <v>563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2:19">
      <c r="B2132" t="s">
        <v>2665</v>
      </c>
      <c r="C2132" t="s">
        <v>836</v>
      </c>
      <c r="D2132" t="s">
        <v>563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2:19">
      <c r="B2133" t="s">
        <v>2666</v>
      </c>
      <c r="C2133" t="s">
        <v>836</v>
      </c>
      <c r="D2133" t="s">
        <v>563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2:19">
      <c r="B2134" t="s">
        <v>2667</v>
      </c>
      <c r="C2134" t="s">
        <v>836</v>
      </c>
      <c r="D2134" t="s">
        <v>563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2:19">
      <c r="B2135" t="s">
        <v>2668</v>
      </c>
      <c r="C2135" t="s">
        <v>836</v>
      </c>
      <c r="D2135" t="s">
        <v>563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2:19">
      <c r="B2136" t="s">
        <v>2669</v>
      </c>
      <c r="C2136" t="s">
        <v>836</v>
      </c>
      <c r="D2136" t="s">
        <v>563</v>
      </c>
      <c r="E2136">
        <v>0</v>
      </c>
      <c r="F2136">
        <v>0</v>
      </c>
      <c r="G2136">
        <v>50</v>
      </c>
      <c r="H2136">
        <v>24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2:19">
      <c r="B2137" t="s">
        <v>2670</v>
      </c>
      <c r="C2137" t="s">
        <v>836</v>
      </c>
      <c r="D2137" t="s">
        <v>563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2:19">
      <c r="B2138" t="s">
        <v>2671</v>
      </c>
      <c r="C2138" t="s">
        <v>836</v>
      </c>
      <c r="D2138" t="s">
        <v>563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2:19">
      <c r="B2139" t="s">
        <v>2672</v>
      </c>
      <c r="C2139" t="s">
        <v>836</v>
      </c>
      <c r="D2139" t="s">
        <v>563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2:19">
      <c r="B2140" t="s">
        <v>2673</v>
      </c>
      <c r="C2140" t="s">
        <v>836</v>
      </c>
      <c r="D2140" t="s">
        <v>563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2:19">
      <c r="B2141" t="s">
        <v>2674</v>
      </c>
      <c r="C2141" t="s">
        <v>836</v>
      </c>
      <c r="D2141" t="s">
        <v>563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2:19">
      <c r="B2142" t="s">
        <v>2675</v>
      </c>
      <c r="C2142" t="s">
        <v>836</v>
      </c>
      <c r="D2142" t="s">
        <v>563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2:19">
      <c r="B2143" t="s">
        <v>2676</v>
      </c>
      <c r="C2143" t="s">
        <v>836</v>
      </c>
      <c r="D2143" t="s">
        <v>563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2:19">
      <c r="B2144" t="s">
        <v>5527</v>
      </c>
      <c r="C2144" t="s">
        <v>836</v>
      </c>
      <c r="D2144" t="s">
        <v>563</v>
      </c>
      <c r="E2144">
        <v>16</v>
      </c>
      <c r="F2144">
        <v>1.0549999999999999</v>
      </c>
      <c r="G2144">
        <v>1.29</v>
      </c>
      <c r="H2144">
        <v>1</v>
      </c>
      <c r="I2144">
        <v>1.8</v>
      </c>
      <c r="J2144">
        <v>1.0549999999999999</v>
      </c>
      <c r="K2144">
        <v>2.4849999999999999</v>
      </c>
      <c r="L2144">
        <v>1.0549999999999999</v>
      </c>
      <c r="M2144">
        <v>2.2999999999999998</v>
      </c>
      <c r="N2144">
        <v>-0.5413</v>
      </c>
      <c r="O2144">
        <v>613</v>
      </c>
      <c r="P2144">
        <v>112630.39999999999</v>
      </c>
      <c r="Q2144">
        <v>1.8373638000000001</v>
      </c>
      <c r="R2144">
        <v>0</v>
      </c>
      <c r="S2144" t="s">
        <v>6296</v>
      </c>
    </row>
    <row r="2145" spans="2:19">
      <c r="B2145" t="s">
        <v>2677</v>
      </c>
      <c r="C2145" t="s">
        <v>836</v>
      </c>
      <c r="D2145" t="s">
        <v>563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2:19">
      <c r="B2146" t="s">
        <v>5528</v>
      </c>
      <c r="C2146" t="s">
        <v>836</v>
      </c>
      <c r="D2146" t="s">
        <v>563</v>
      </c>
      <c r="E2146">
        <v>5</v>
      </c>
      <c r="F2146">
        <v>210</v>
      </c>
      <c r="G2146">
        <v>245</v>
      </c>
      <c r="H2146">
        <v>2</v>
      </c>
      <c r="I2146">
        <v>210</v>
      </c>
      <c r="J2146">
        <v>210</v>
      </c>
      <c r="K2146">
        <v>215</v>
      </c>
      <c r="L2146">
        <v>210</v>
      </c>
      <c r="M2146">
        <v>201.667</v>
      </c>
      <c r="N2146">
        <v>4.1300000000000003E-2</v>
      </c>
      <c r="O2146">
        <v>22</v>
      </c>
      <c r="P2146">
        <v>462700</v>
      </c>
      <c r="Q2146">
        <v>210.31818179999999</v>
      </c>
      <c r="R2146">
        <v>0</v>
      </c>
      <c r="S2146" t="s">
        <v>6260</v>
      </c>
    </row>
    <row r="2147" spans="2:19">
      <c r="B2147" t="s">
        <v>2678</v>
      </c>
      <c r="C2147" t="s">
        <v>836</v>
      </c>
      <c r="D2147" t="s">
        <v>563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2:19">
      <c r="B2148" t="s">
        <v>2679</v>
      </c>
      <c r="C2148" t="s">
        <v>836</v>
      </c>
      <c r="D2148" t="s">
        <v>563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2:19">
      <c r="B2149" t="s">
        <v>2680</v>
      </c>
      <c r="C2149" t="s">
        <v>836</v>
      </c>
      <c r="D2149" t="s">
        <v>563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2:19">
      <c r="B2150" t="s">
        <v>2681</v>
      </c>
      <c r="C2150" t="s">
        <v>836</v>
      </c>
      <c r="D2150" t="s">
        <v>563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2:19">
      <c r="B2151" t="s">
        <v>5529</v>
      </c>
      <c r="C2151" t="s">
        <v>836</v>
      </c>
      <c r="D2151" t="s">
        <v>563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2:19">
      <c r="B2152" t="s">
        <v>2682</v>
      </c>
      <c r="C2152" t="s">
        <v>836</v>
      </c>
      <c r="D2152" t="s">
        <v>563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2:19">
      <c r="B2153" t="s">
        <v>2683</v>
      </c>
      <c r="C2153" t="s">
        <v>836</v>
      </c>
      <c r="D2153" t="s">
        <v>563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2:19">
      <c r="B2154" t="s">
        <v>2684</v>
      </c>
      <c r="C2154" t="s">
        <v>836</v>
      </c>
      <c r="D2154" t="s">
        <v>563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2:19">
      <c r="B2155" t="s">
        <v>2685</v>
      </c>
      <c r="C2155" t="s">
        <v>836</v>
      </c>
      <c r="D2155" t="s">
        <v>563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2:19">
      <c r="B2156" t="s">
        <v>2686</v>
      </c>
      <c r="C2156" t="s">
        <v>836</v>
      </c>
      <c r="D2156" t="s">
        <v>563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2:19">
      <c r="B2157" t="s">
        <v>2687</v>
      </c>
      <c r="C2157" t="s">
        <v>836</v>
      </c>
      <c r="D2157" t="s">
        <v>563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2:19">
      <c r="B2158" t="s">
        <v>2688</v>
      </c>
      <c r="C2158" t="s">
        <v>836</v>
      </c>
      <c r="D2158" t="s">
        <v>563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2:19">
      <c r="B2159" t="s">
        <v>5530</v>
      </c>
      <c r="C2159" t="s">
        <v>836</v>
      </c>
      <c r="D2159" t="s">
        <v>563</v>
      </c>
      <c r="E2159">
        <v>1</v>
      </c>
      <c r="F2159">
        <v>1.1000000000000001</v>
      </c>
      <c r="G2159">
        <v>1.33</v>
      </c>
      <c r="H2159">
        <v>28</v>
      </c>
      <c r="I2159">
        <v>1</v>
      </c>
      <c r="J2159">
        <v>1</v>
      </c>
      <c r="K2159">
        <v>1.75</v>
      </c>
      <c r="L2159">
        <v>1.33</v>
      </c>
      <c r="M2159">
        <v>1.6970000000000001</v>
      </c>
      <c r="N2159">
        <v>-0.2162</v>
      </c>
      <c r="O2159">
        <v>828</v>
      </c>
      <c r="P2159">
        <v>106190.1</v>
      </c>
      <c r="Q2159">
        <v>1.2824891</v>
      </c>
      <c r="R2159">
        <v>0</v>
      </c>
      <c r="S2159" t="s">
        <v>6293</v>
      </c>
    </row>
    <row r="2160" spans="2:19">
      <c r="B2160" t="s">
        <v>2689</v>
      </c>
      <c r="C2160" t="s">
        <v>836</v>
      </c>
      <c r="D2160" t="s">
        <v>563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2:19">
      <c r="B2161" t="s">
        <v>5531</v>
      </c>
      <c r="C2161" t="s">
        <v>836</v>
      </c>
      <c r="D2161" t="s">
        <v>563</v>
      </c>
      <c r="E2161">
        <v>5</v>
      </c>
      <c r="F2161">
        <v>32</v>
      </c>
      <c r="G2161">
        <v>45</v>
      </c>
      <c r="H2161">
        <v>2</v>
      </c>
      <c r="I2161">
        <v>39</v>
      </c>
      <c r="J2161">
        <v>36</v>
      </c>
      <c r="K2161">
        <v>45</v>
      </c>
      <c r="L2161">
        <v>45</v>
      </c>
      <c r="M2161">
        <v>0</v>
      </c>
      <c r="N2161">
        <v>0</v>
      </c>
      <c r="O2161">
        <v>102</v>
      </c>
      <c r="P2161">
        <v>405840</v>
      </c>
      <c r="Q2161">
        <v>39.788235299999997</v>
      </c>
      <c r="R2161">
        <v>0</v>
      </c>
      <c r="S2161" t="s">
        <v>6261</v>
      </c>
    </row>
    <row r="2162" spans="2:19">
      <c r="B2162" t="s">
        <v>5532</v>
      </c>
      <c r="C2162" t="s">
        <v>836</v>
      </c>
      <c r="D2162" t="s">
        <v>563</v>
      </c>
      <c r="E2162">
        <v>0</v>
      </c>
      <c r="F2162">
        <v>0</v>
      </c>
      <c r="G2162">
        <v>180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2:19">
      <c r="B2163" t="s">
        <v>2690</v>
      </c>
      <c r="C2163" t="s">
        <v>836</v>
      </c>
      <c r="D2163" t="s">
        <v>563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2:19">
      <c r="B2164" t="s">
        <v>2691</v>
      </c>
      <c r="C2164" t="s">
        <v>836</v>
      </c>
      <c r="D2164" t="s">
        <v>563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2:19">
      <c r="B2165" t="s">
        <v>2692</v>
      </c>
      <c r="C2165" t="s">
        <v>836</v>
      </c>
      <c r="D2165" t="s">
        <v>563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2:19">
      <c r="B2166" t="s">
        <v>2693</v>
      </c>
      <c r="C2166" t="s">
        <v>836</v>
      </c>
      <c r="D2166" t="s">
        <v>563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2:19">
      <c r="B2167" t="s">
        <v>2694</v>
      </c>
      <c r="C2167" t="s">
        <v>836</v>
      </c>
      <c r="D2167" t="s">
        <v>563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2:19">
      <c r="B2168" t="s">
        <v>2695</v>
      </c>
      <c r="C2168" t="s">
        <v>836</v>
      </c>
      <c r="D2168" t="s">
        <v>563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2:19">
      <c r="B2169" t="s">
        <v>2696</v>
      </c>
      <c r="C2169" t="s">
        <v>836</v>
      </c>
      <c r="D2169" t="s">
        <v>563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2:19">
      <c r="B2170" t="s">
        <v>2697</v>
      </c>
      <c r="C2170" t="s">
        <v>836</v>
      </c>
      <c r="D2170" t="s">
        <v>563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2:19">
      <c r="B2171" t="s">
        <v>2698</v>
      </c>
      <c r="C2171" t="s">
        <v>836</v>
      </c>
      <c r="D2171" t="s">
        <v>563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2:19">
      <c r="B2172" t="s">
        <v>2699</v>
      </c>
      <c r="C2172" t="s">
        <v>836</v>
      </c>
      <c r="D2172" t="s">
        <v>563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2:19">
      <c r="B2173" t="s">
        <v>2700</v>
      </c>
      <c r="C2173" t="s">
        <v>836</v>
      </c>
      <c r="D2173" t="s">
        <v>563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2:19">
      <c r="B2174" t="s">
        <v>2701</v>
      </c>
      <c r="C2174" t="s">
        <v>836</v>
      </c>
      <c r="D2174" t="s">
        <v>563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2:19">
      <c r="B2175" t="s">
        <v>2702</v>
      </c>
      <c r="C2175" t="s">
        <v>836</v>
      </c>
      <c r="D2175" t="s">
        <v>563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2:19">
      <c r="B2176" t="s">
        <v>2703</v>
      </c>
      <c r="C2176" t="s">
        <v>836</v>
      </c>
      <c r="D2176" t="s">
        <v>563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2:19">
      <c r="B2177" t="s">
        <v>2704</v>
      </c>
      <c r="C2177" t="s">
        <v>836</v>
      </c>
      <c r="D2177" t="s">
        <v>563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2:19">
      <c r="B2178" t="s">
        <v>5533</v>
      </c>
      <c r="C2178" t="s">
        <v>836</v>
      </c>
      <c r="D2178" t="s">
        <v>563</v>
      </c>
      <c r="E2178">
        <v>8</v>
      </c>
      <c r="F2178">
        <v>1.0009999999999999</v>
      </c>
      <c r="G2178">
        <v>1.25</v>
      </c>
      <c r="H2178">
        <v>99</v>
      </c>
      <c r="I2178">
        <v>1.7549999999999999</v>
      </c>
      <c r="J2178">
        <v>1</v>
      </c>
      <c r="K2178">
        <v>1.7549999999999999</v>
      </c>
      <c r="L2178">
        <v>1.25</v>
      </c>
      <c r="M2178">
        <v>1.5680000000000001</v>
      </c>
      <c r="N2178">
        <v>-0.20280000000000001</v>
      </c>
      <c r="O2178">
        <v>508</v>
      </c>
      <c r="P2178">
        <v>60642.5</v>
      </c>
      <c r="Q2178">
        <v>1.1937500000000001</v>
      </c>
      <c r="R2178">
        <v>0</v>
      </c>
      <c r="S2178" t="s">
        <v>6295</v>
      </c>
    </row>
    <row r="2179" spans="2:19">
      <c r="B2179" t="s">
        <v>2705</v>
      </c>
      <c r="C2179" t="s">
        <v>836</v>
      </c>
      <c r="D2179" t="s">
        <v>563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2:19">
      <c r="B2180" t="s">
        <v>5534</v>
      </c>
      <c r="C2180" t="s">
        <v>836</v>
      </c>
      <c r="D2180" t="s">
        <v>563</v>
      </c>
      <c r="E2180">
        <v>50</v>
      </c>
      <c r="F2180">
        <v>30</v>
      </c>
      <c r="G2180">
        <v>32.5</v>
      </c>
      <c r="H2180">
        <v>1</v>
      </c>
      <c r="I2180">
        <v>37</v>
      </c>
      <c r="J2180">
        <v>30</v>
      </c>
      <c r="K2180">
        <v>37</v>
      </c>
      <c r="L2180">
        <v>32.5</v>
      </c>
      <c r="M2180">
        <v>29.928999999999998</v>
      </c>
      <c r="N2180">
        <v>8.5900000000000004E-2</v>
      </c>
      <c r="O2180">
        <v>887</v>
      </c>
      <c r="P2180">
        <v>2922183.1</v>
      </c>
      <c r="Q2180">
        <v>32.9445671</v>
      </c>
      <c r="R2180">
        <v>0</v>
      </c>
      <c r="S2180" t="s">
        <v>6286</v>
      </c>
    </row>
    <row r="2181" spans="2:19">
      <c r="B2181" t="s">
        <v>5535</v>
      </c>
      <c r="C2181" t="s">
        <v>836</v>
      </c>
      <c r="D2181" t="s">
        <v>563</v>
      </c>
      <c r="E2181">
        <v>50</v>
      </c>
      <c r="F2181">
        <v>35</v>
      </c>
      <c r="G2181">
        <v>1007.6</v>
      </c>
      <c r="H2181">
        <v>10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2:19">
      <c r="B2182" t="s">
        <v>2706</v>
      </c>
      <c r="C2182" t="s">
        <v>836</v>
      </c>
      <c r="D2182" t="s">
        <v>563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2:19">
      <c r="B2183" t="s">
        <v>2707</v>
      </c>
      <c r="C2183" t="s">
        <v>836</v>
      </c>
      <c r="D2183" t="s">
        <v>563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2:19">
      <c r="B2184" t="s">
        <v>2708</v>
      </c>
      <c r="C2184" t="s">
        <v>836</v>
      </c>
      <c r="D2184" t="s">
        <v>563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2:19">
      <c r="B2185" t="s">
        <v>2709</v>
      </c>
      <c r="C2185" t="s">
        <v>836</v>
      </c>
      <c r="D2185" t="s">
        <v>563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2:19">
      <c r="B2186" t="s">
        <v>2710</v>
      </c>
      <c r="C2186" t="s">
        <v>836</v>
      </c>
      <c r="D2186" t="s">
        <v>563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2:19">
      <c r="B2187" t="s">
        <v>2711</v>
      </c>
      <c r="C2187" t="s">
        <v>836</v>
      </c>
      <c r="D2187" t="s">
        <v>563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2:19">
      <c r="B2188" t="s">
        <v>2712</v>
      </c>
      <c r="C2188" t="s">
        <v>836</v>
      </c>
      <c r="D2188" t="s">
        <v>563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2:19">
      <c r="B2189" t="s">
        <v>2713</v>
      </c>
      <c r="C2189" t="s">
        <v>836</v>
      </c>
      <c r="D2189" t="s">
        <v>563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2:19">
      <c r="B2190" t="s">
        <v>2714</v>
      </c>
      <c r="C2190" t="s">
        <v>836</v>
      </c>
      <c r="D2190" t="s">
        <v>563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2:19">
      <c r="B2191" t="s">
        <v>2715</v>
      </c>
      <c r="C2191" t="s">
        <v>836</v>
      </c>
      <c r="D2191" t="s">
        <v>563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2:19">
      <c r="B2192" t="s">
        <v>2716</v>
      </c>
      <c r="C2192" t="s">
        <v>836</v>
      </c>
      <c r="D2192" t="s">
        <v>563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2:19">
      <c r="B2193" t="s">
        <v>2717</v>
      </c>
      <c r="C2193" t="s">
        <v>836</v>
      </c>
      <c r="D2193" t="s">
        <v>563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2:19">
      <c r="B2194" t="s">
        <v>2718</v>
      </c>
      <c r="C2194" t="s">
        <v>836</v>
      </c>
      <c r="D2194" t="s">
        <v>563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2:19">
      <c r="B2195" t="s">
        <v>2719</v>
      </c>
      <c r="C2195" t="s">
        <v>836</v>
      </c>
      <c r="D2195" t="s">
        <v>563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2:19">
      <c r="B2196" t="s">
        <v>2720</v>
      </c>
      <c r="C2196" t="s">
        <v>836</v>
      </c>
      <c r="D2196" t="s">
        <v>563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2:19">
      <c r="B2197" t="s">
        <v>2721</v>
      </c>
      <c r="C2197" t="s">
        <v>836</v>
      </c>
      <c r="D2197" t="s">
        <v>563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2:19">
      <c r="B2198" t="s">
        <v>2722</v>
      </c>
      <c r="C2198" t="s">
        <v>836</v>
      </c>
      <c r="D2198" t="s">
        <v>563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2:19">
      <c r="B2199" t="s">
        <v>2723</v>
      </c>
      <c r="C2199" t="s">
        <v>836</v>
      </c>
      <c r="D2199" t="s">
        <v>563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2:19">
      <c r="B2200" t="s">
        <v>5536</v>
      </c>
      <c r="C2200" t="s">
        <v>836</v>
      </c>
      <c r="D2200" t="s">
        <v>563</v>
      </c>
      <c r="E2200">
        <v>100</v>
      </c>
      <c r="F2200">
        <v>0.95199999999999996</v>
      </c>
      <c r="G2200">
        <v>1.1990000000000001</v>
      </c>
      <c r="H2200">
        <v>22</v>
      </c>
      <c r="I2200">
        <v>0.80100000000000005</v>
      </c>
      <c r="J2200">
        <v>0.80100000000000005</v>
      </c>
      <c r="K2200">
        <v>1.25</v>
      </c>
      <c r="L2200">
        <v>0.95499999999999996</v>
      </c>
      <c r="M2200">
        <v>1.2310000000000001</v>
      </c>
      <c r="N2200">
        <v>-0.22420000000000001</v>
      </c>
      <c r="O2200">
        <v>2375</v>
      </c>
      <c r="P2200">
        <v>269477.8</v>
      </c>
      <c r="Q2200">
        <v>1.1346434000000001</v>
      </c>
      <c r="R2200">
        <v>0</v>
      </c>
      <c r="S2200" t="s">
        <v>6295</v>
      </c>
    </row>
    <row r="2201" spans="2:19">
      <c r="B2201" t="s">
        <v>2724</v>
      </c>
      <c r="C2201" t="s">
        <v>836</v>
      </c>
      <c r="D2201" t="s">
        <v>563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2:19">
      <c r="B2202" t="s">
        <v>2725</v>
      </c>
      <c r="C2202" t="s">
        <v>836</v>
      </c>
      <c r="D2202" t="s">
        <v>563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2:19">
      <c r="B2203" t="s">
        <v>2726</v>
      </c>
      <c r="C2203" t="s">
        <v>836</v>
      </c>
      <c r="D2203" t="s">
        <v>563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2:19">
      <c r="B2204" t="s">
        <v>2727</v>
      </c>
      <c r="C2204" t="s">
        <v>836</v>
      </c>
      <c r="D2204" t="s">
        <v>563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2:19">
      <c r="B2205" t="s">
        <v>2728</v>
      </c>
      <c r="C2205" t="s">
        <v>836</v>
      </c>
      <c r="D2205" t="s">
        <v>563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2:19">
      <c r="B2206" t="s">
        <v>2729</v>
      </c>
      <c r="C2206" t="s">
        <v>836</v>
      </c>
      <c r="D2206" t="s">
        <v>563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2:19">
      <c r="B2207" t="s">
        <v>2730</v>
      </c>
      <c r="C2207" t="s">
        <v>836</v>
      </c>
      <c r="D2207" t="s">
        <v>563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2:19">
      <c r="B2208" t="s">
        <v>2731</v>
      </c>
      <c r="C2208" t="s">
        <v>836</v>
      </c>
      <c r="D2208" t="s">
        <v>563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2:18">
      <c r="B2209" t="s">
        <v>2732</v>
      </c>
      <c r="C2209" t="s">
        <v>836</v>
      </c>
      <c r="D2209" t="s">
        <v>563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2:18">
      <c r="B2210" t="s">
        <v>2733</v>
      </c>
      <c r="C2210" t="s">
        <v>836</v>
      </c>
      <c r="D2210" t="s">
        <v>563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2:18">
      <c r="B2211" t="s">
        <v>2734</v>
      </c>
      <c r="C2211" t="s">
        <v>836</v>
      </c>
      <c r="D2211" t="s">
        <v>563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2:18">
      <c r="B2212" t="s">
        <v>2735</v>
      </c>
      <c r="C2212" t="s">
        <v>836</v>
      </c>
      <c r="D2212" t="s">
        <v>563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2:18">
      <c r="B2213" t="s">
        <v>2736</v>
      </c>
      <c r="C2213" t="s">
        <v>836</v>
      </c>
      <c r="D2213" t="s">
        <v>563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2:18">
      <c r="B2214" t="s">
        <v>2737</v>
      </c>
      <c r="C2214" t="s">
        <v>836</v>
      </c>
      <c r="D2214" t="s">
        <v>563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2:18">
      <c r="B2215" t="s">
        <v>2738</v>
      </c>
      <c r="C2215" t="s">
        <v>836</v>
      </c>
      <c r="D2215" t="s">
        <v>563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2:18">
      <c r="B2216" t="s">
        <v>2739</v>
      </c>
      <c r="C2216" t="s">
        <v>836</v>
      </c>
      <c r="D2216" t="s">
        <v>563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2:18">
      <c r="B2217" t="s">
        <v>2740</v>
      </c>
      <c r="C2217" t="s">
        <v>836</v>
      </c>
      <c r="D2217" t="s">
        <v>563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2:18">
      <c r="B2218" t="s">
        <v>2741</v>
      </c>
      <c r="C2218" t="s">
        <v>836</v>
      </c>
      <c r="D2218" t="s">
        <v>563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2:18">
      <c r="B2219" t="s">
        <v>2742</v>
      </c>
      <c r="C2219" t="s">
        <v>836</v>
      </c>
      <c r="D2219" t="s">
        <v>563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2:18">
      <c r="B2220" t="s">
        <v>2743</v>
      </c>
      <c r="C2220" t="s">
        <v>836</v>
      </c>
      <c r="D2220" t="s">
        <v>563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2:18">
      <c r="B2221" t="s">
        <v>2744</v>
      </c>
      <c r="C2221" t="s">
        <v>836</v>
      </c>
      <c r="D2221" t="s">
        <v>563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2:18">
      <c r="B2222" t="s">
        <v>2745</v>
      </c>
      <c r="C2222" t="s">
        <v>836</v>
      </c>
      <c r="D2222" t="s">
        <v>563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2:18">
      <c r="B2223" t="s">
        <v>2746</v>
      </c>
      <c r="C2223" t="s">
        <v>836</v>
      </c>
      <c r="D2223" t="s">
        <v>563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2:18">
      <c r="B2224" t="s">
        <v>2747</v>
      </c>
      <c r="C2224" t="s">
        <v>836</v>
      </c>
      <c r="D2224" t="s">
        <v>563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2:18">
      <c r="B2225" t="s">
        <v>2748</v>
      </c>
      <c r="C2225" t="s">
        <v>836</v>
      </c>
      <c r="D2225" t="s">
        <v>563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2:18">
      <c r="B2226" t="s">
        <v>2749</v>
      </c>
      <c r="C2226" t="s">
        <v>836</v>
      </c>
      <c r="D2226" t="s">
        <v>563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2:18">
      <c r="B2227" t="s">
        <v>2750</v>
      </c>
      <c r="C2227" t="s">
        <v>836</v>
      </c>
      <c r="D2227" t="s">
        <v>563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2:18">
      <c r="B2228" t="s">
        <v>2751</v>
      </c>
      <c r="C2228" t="s">
        <v>836</v>
      </c>
      <c r="D2228" t="s">
        <v>563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2:18">
      <c r="B2229" t="s">
        <v>2752</v>
      </c>
      <c r="C2229" t="s">
        <v>836</v>
      </c>
      <c r="D2229" t="s">
        <v>563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2:18">
      <c r="B2230" t="s">
        <v>2753</v>
      </c>
      <c r="C2230" t="s">
        <v>836</v>
      </c>
      <c r="D2230" t="s">
        <v>563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2:18">
      <c r="B2231" t="s">
        <v>2754</v>
      </c>
      <c r="C2231" t="s">
        <v>836</v>
      </c>
      <c r="D2231" t="s">
        <v>563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</row>
    <row r="2232" spans="2:18">
      <c r="B2232" t="s">
        <v>2755</v>
      </c>
      <c r="C2232" t="s">
        <v>836</v>
      </c>
      <c r="D2232" t="s">
        <v>563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2:18">
      <c r="B2233" t="s">
        <v>2756</v>
      </c>
      <c r="C2233" t="s">
        <v>836</v>
      </c>
      <c r="D2233" t="s">
        <v>563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2:18">
      <c r="B2234" t="s">
        <v>2757</v>
      </c>
      <c r="C2234" t="s">
        <v>836</v>
      </c>
      <c r="D2234" t="s">
        <v>563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2:18">
      <c r="B2235" t="s">
        <v>2758</v>
      </c>
      <c r="C2235" t="s">
        <v>836</v>
      </c>
      <c r="D2235" t="s">
        <v>563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2:18">
      <c r="B2236" t="s">
        <v>2759</v>
      </c>
      <c r="C2236" t="s">
        <v>836</v>
      </c>
      <c r="D2236" t="s">
        <v>563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2:18">
      <c r="B2237" t="s">
        <v>2760</v>
      </c>
      <c r="C2237" t="s">
        <v>836</v>
      </c>
      <c r="D2237" t="s">
        <v>563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2:18">
      <c r="B2238" t="s">
        <v>2761</v>
      </c>
      <c r="C2238" t="s">
        <v>836</v>
      </c>
      <c r="D2238" t="s">
        <v>563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2:18">
      <c r="B2239" t="s">
        <v>2762</v>
      </c>
      <c r="C2239" t="s">
        <v>836</v>
      </c>
      <c r="D2239" t="s">
        <v>563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2:18">
      <c r="B2240" t="s">
        <v>2763</v>
      </c>
      <c r="C2240" t="s">
        <v>836</v>
      </c>
      <c r="D2240" t="s">
        <v>563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2:18">
      <c r="B2241" t="s">
        <v>2764</v>
      </c>
      <c r="C2241" t="s">
        <v>836</v>
      </c>
      <c r="D2241" t="s">
        <v>563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2:18">
      <c r="B2242" t="s">
        <v>2765</v>
      </c>
      <c r="C2242" t="s">
        <v>836</v>
      </c>
      <c r="D2242" t="s">
        <v>563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2:18">
      <c r="B2243" t="s">
        <v>2766</v>
      </c>
      <c r="C2243" t="s">
        <v>836</v>
      </c>
      <c r="D2243" t="s">
        <v>563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2:18">
      <c r="B2244" t="s">
        <v>2767</v>
      </c>
      <c r="C2244" t="s">
        <v>836</v>
      </c>
      <c r="D2244" t="s">
        <v>563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2:18">
      <c r="B2245" t="s">
        <v>2768</v>
      </c>
      <c r="C2245" t="s">
        <v>836</v>
      </c>
      <c r="D2245" t="s">
        <v>563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2:18">
      <c r="B2246" t="s">
        <v>2769</v>
      </c>
      <c r="C2246" t="s">
        <v>836</v>
      </c>
      <c r="D2246" t="s">
        <v>563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2:18">
      <c r="B2247" t="s">
        <v>2770</v>
      </c>
      <c r="C2247" t="s">
        <v>836</v>
      </c>
      <c r="D2247" t="s">
        <v>563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2:18">
      <c r="B2248" t="s">
        <v>2771</v>
      </c>
      <c r="C2248" t="s">
        <v>836</v>
      </c>
      <c r="D2248" t="s">
        <v>563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2:18">
      <c r="B2249" t="s">
        <v>2772</v>
      </c>
      <c r="C2249" t="s">
        <v>836</v>
      </c>
      <c r="D2249" t="s">
        <v>563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2:18">
      <c r="B2250" t="s">
        <v>2773</v>
      </c>
      <c r="C2250" t="s">
        <v>836</v>
      </c>
      <c r="D2250" t="s">
        <v>563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2:18">
      <c r="B2251" t="s">
        <v>2774</v>
      </c>
      <c r="C2251" t="s">
        <v>836</v>
      </c>
      <c r="D2251" t="s">
        <v>563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2:18">
      <c r="B2252" t="s">
        <v>2775</v>
      </c>
      <c r="C2252" t="s">
        <v>836</v>
      </c>
      <c r="D2252" t="s">
        <v>563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2:18">
      <c r="B2253" t="s">
        <v>2776</v>
      </c>
      <c r="C2253" t="s">
        <v>836</v>
      </c>
      <c r="D2253" t="s">
        <v>563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2:18">
      <c r="B2254" t="s">
        <v>2777</v>
      </c>
      <c r="C2254" t="s">
        <v>836</v>
      </c>
      <c r="D2254" t="s">
        <v>563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2:18">
      <c r="B2255" t="s">
        <v>2778</v>
      </c>
      <c r="C2255" t="s">
        <v>836</v>
      </c>
      <c r="D2255" t="s">
        <v>563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2:18">
      <c r="B2256" t="s">
        <v>2779</v>
      </c>
      <c r="C2256" t="s">
        <v>836</v>
      </c>
      <c r="D2256" t="s">
        <v>563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2:18">
      <c r="B2257" t="s">
        <v>2780</v>
      </c>
      <c r="C2257" t="s">
        <v>836</v>
      </c>
      <c r="D2257" t="s">
        <v>563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2:18">
      <c r="B2258" t="s">
        <v>2781</v>
      </c>
      <c r="C2258" t="s">
        <v>836</v>
      </c>
      <c r="D2258" t="s">
        <v>563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2:18">
      <c r="B2259" t="s">
        <v>2782</v>
      </c>
      <c r="C2259" t="s">
        <v>836</v>
      </c>
      <c r="D2259" t="s">
        <v>563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2:18">
      <c r="B2260" t="s">
        <v>2783</v>
      </c>
      <c r="C2260" t="s">
        <v>836</v>
      </c>
      <c r="D2260" t="s">
        <v>563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2:18">
      <c r="B2261" t="s">
        <v>2784</v>
      </c>
      <c r="C2261" t="s">
        <v>836</v>
      </c>
      <c r="D2261" t="s">
        <v>563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2:18">
      <c r="B2262" t="s">
        <v>2785</v>
      </c>
      <c r="C2262" t="s">
        <v>836</v>
      </c>
      <c r="D2262" t="s">
        <v>563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2:18">
      <c r="B2263" t="s">
        <v>2786</v>
      </c>
      <c r="C2263" t="s">
        <v>836</v>
      </c>
      <c r="D2263" t="s">
        <v>563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2:18">
      <c r="B2264" t="s">
        <v>5537</v>
      </c>
      <c r="C2264" t="s">
        <v>836</v>
      </c>
      <c r="D2264" t="s">
        <v>563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2:18">
      <c r="B2265" t="s">
        <v>2787</v>
      </c>
      <c r="C2265" t="s">
        <v>836</v>
      </c>
      <c r="D2265" t="s">
        <v>563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2:18">
      <c r="B2266" t="s">
        <v>2788</v>
      </c>
      <c r="C2266" t="s">
        <v>836</v>
      </c>
      <c r="D2266" t="s">
        <v>563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2:18">
      <c r="B2267" t="s">
        <v>2789</v>
      </c>
      <c r="C2267" t="s">
        <v>836</v>
      </c>
      <c r="D2267" t="s">
        <v>563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2:18">
      <c r="B2268" t="s">
        <v>2790</v>
      </c>
      <c r="C2268" t="s">
        <v>836</v>
      </c>
      <c r="D2268" t="s">
        <v>563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2:18">
      <c r="B2269" t="s">
        <v>5538</v>
      </c>
      <c r="C2269" t="s">
        <v>836</v>
      </c>
      <c r="D2269" t="s">
        <v>563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2:18">
      <c r="B2270" t="s">
        <v>2791</v>
      </c>
      <c r="C2270" t="s">
        <v>836</v>
      </c>
      <c r="D2270" t="s">
        <v>563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2:18">
      <c r="B2271" t="s">
        <v>2792</v>
      </c>
      <c r="C2271" t="s">
        <v>836</v>
      </c>
      <c r="D2271" t="s">
        <v>563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2:18">
      <c r="B2272" t="s">
        <v>2793</v>
      </c>
      <c r="C2272" t="s">
        <v>836</v>
      </c>
      <c r="D2272" t="s">
        <v>563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2:18">
      <c r="B2273" t="s">
        <v>2794</v>
      </c>
      <c r="C2273" t="s">
        <v>836</v>
      </c>
      <c r="D2273" t="s">
        <v>563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2:18">
      <c r="B2274" t="s">
        <v>2795</v>
      </c>
      <c r="C2274" t="s">
        <v>836</v>
      </c>
      <c r="D2274" t="s">
        <v>563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2:18">
      <c r="B2275" t="s">
        <v>2796</v>
      </c>
      <c r="C2275" t="s">
        <v>836</v>
      </c>
      <c r="D2275" t="s">
        <v>563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2:18">
      <c r="B2276" t="s">
        <v>2797</v>
      </c>
      <c r="C2276" t="s">
        <v>836</v>
      </c>
      <c r="D2276" t="s">
        <v>563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2:18">
      <c r="B2277" t="s">
        <v>5539</v>
      </c>
      <c r="C2277" t="s">
        <v>836</v>
      </c>
      <c r="D2277" t="s">
        <v>563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3521.951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2:18">
      <c r="B2278" t="s">
        <v>2798</v>
      </c>
      <c r="C2278" t="s">
        <v>836</v>
      </c>
      <c r="D2278" t="s">
        <v>563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2:18">
      <c r="B2279" t="s">
        <v>2799</v>
      </c>
      <c r="C2279" t="s">
        <v>836</v>
      </c>
      <c r="D2279" t="s">
        <v>563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2:18">
      <c r="B2280" t="s">
        <v>2800</v>
      </c>
      <c r="C2280" t="s">
        <v>836</v>
      </c>
      <c r="D2280" t="s">
        <v>563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2:18">
      <c r="B2281" t="s">
        <v>2801</v>
      </c>
      <c r="C2281" t="s">
        <v>836</v>
      </c>
      <c r="D2281" t="s">
        <v>563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2:18">
      <c r="B2282" t="s">
        <v>2802</v>
      </c>
      <c r="C2282" t="s">
        <v>836</v>
      </c>
      <c r="D2282" t="s">
        <v>563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2:18">
      <c r="B2283" t="s">
        <v>5540</v>
      </c>
      <c r="C2283" t="s">
        <v>836</v>
      </c>
      <c r="D2283" t="s">
        <v>563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3173.69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2:18">
      <c r="B2284" t="s">
        <v>2803</v>
      </c>
      <c r="C2284" t="s">
        <v>836</v>
      </c>
      <c r="D2284" t="s">
        <v>563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2:18">
      <c r="B2285" t="s">
        <v>2804</v>
      </c>
      <c r="C2285" t="s">
        <v>836</v>
      </c>
      <c r="D2285" t="s">
        <v>563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2:18">
      <c r="B2286" t="s">
        <v>2805</v>
      </c>
      <c r="C2286" t="s">
        <v>836</v>
      </c>
      <c r="D2286" t="s">
        <v>563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2:18">
      <c r="B2287" t="s">
        <v>2806</v>
      </c>
      <c r="C2287" t="s">
        <v>836</v>
      </c>
      <c r="D2287" t="s">
        <v>563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2:18">
      <c r="B2288" t="s">
        <v>2807</v>
      </c>
      <c r="C2288" t="s">
        <v>836</v>
      </c>
      <c r="D2288" t="s">
        <v>563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2:19">
      <c r="B2289" t="s">
        <v>2808</v>
      </c>
      <c r="C2289" t="s">
        <v>836</v>
      </c>
      <c r="D2289" t="s">
        <v>563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2:19">
      <c r="B2290" t="s">
        <v>2809</v>
      </c>
      <c r="C2290" t="s">
        <v>836</v>
      </c>
      <c r="D2290" t="s">
        <v>563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2:19">
      <c r="B2291" t="s">
        <v>5541</v>
      </c>
      <c r="C2291" t="s">
        <v>836</v>
      </c>
      <c r="D2291" t="s">
        <v>563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2413.17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2:19">
      <c r="B2292" t="s">
        <v>2810</v>
      </c>
      <c r="C2292" t="s">
        <v>836</v>
      </c>
      <c r="D2292" t="s">
        <v>563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2:19">
      <c r="B2293" t="s">
        <v>2811</v>
      </c>
      <c r="C2293" t="s">
        <v>836</v>
      </c>
      <c r="D2293" t="s">
        <v>563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2:19">
      <c r="B2294" t="s">
        <v>2812</v>
      </c>
      <c r="C2294" t="s">
        <v>836</v>
      </c>
      <c r="D2294" t="s">
        <v>563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2:19">
      <c r="B2295" t="s">
        <v>2813</v>
      </c>
      <c r="C2295" t="s">
        <v>836</v>
      </c>
      <c r="D2295" t="s">
        <v>563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2:19">
      <c r="B2296" t="s">
        <v>5542</v>
      </c>
      <c r="C2296" t="s">
        <v>836</v>
      </c>
      <c r="D2296" t="s">
        <v>563</v>
      </c>
      <c r="E2296">
        <v>1</v>
      </c>
      <c r="F2296">
        <v>1700.5</v>
      </c>
      <c r="G2296">
        <v>0</v>
      </c>
      <c r="H2296">
        <v>0</v>
      </c>
      <c r="I2296">
        <v>1945.52</v>
      </c>
      <c r="J2296">
        <v>1900</v>
      </c>
      <c r="K2296">
        <v>1945.52</v>
      </c>
      <c r="L2296">
        <v>1900</v>
      </c>
      <c r="M2296">
        <v>2034.23</v>
      </c>
      <c r="N2296">
        <v>-6.59E-2</v>
      </c>
      <c r="O2296">
        <v>107</v>
      </c>
      <c r="P2296">
        <v>20594016</v>
      </c>
      <c r="Q2296">
        <v>1924.6743925000001</v>
      </c>
      <c r="R2296">
        <v>0</v>
      </c>
      <c r="S2296" t="s">
        <v>6263</v>
      </c>
    </row>
    <row r="2297" spans="2:19">
      <c r="B2297" t="s">
        <v>2814</v>
      </c>
      <c r="C2297" t="s">
        <v>836</v>
      </c>
      <c r="D2297" t="s">
        <v>563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2:19">
      <c r="B2298" t="s">
        <v>2815</v>
      </c>
      <c r="C2298" t="s">
        <v>836</v>
      </c>
      <c r="D2298" t="s">
        <v>563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2:19">
      <c r="B2299" t="s">
        <v>2816</v>
      </c>
      <c r="C2299" t="s">
        <v>836</v>
      </c>
      <c r="D2299" t="s">
        <v>563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2:19">
      <c r="B2300" t="s">
        <v>2817</v>
      </c>
      <c r="C2300" t="s">
        <v>836</v>
      </c>
      <c r="D2300" t="s">
        <v>563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2:19">
      <c r="B2301" t="s">
        <v>2818</v>
      </c>
      <c r="C2301" t="s">
        <v>836</v>
      </c>
      <c r="D2301" t="s">
        <v>563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2:19">
      <c r="B2302" t="s">
        <v>5543</v>
      </c>
      <c r="C2302" t="s">
        <v>836</v>
      </c>
      <c r="D2302" t="s">
        <v>563</v>
      </c>
      <c r="E2302">
        <v>0</v>
      </c>
      <c r="F2302">
        <v>0</v>
      </c>
      <c r="G2302">
        <v>1588.65</v>
      </c>
      <c r="H2302">
        <v>6</v>
      </c>
      <c r="I2302">
        <v>0</v>
      </c>
      <c r="J2302">
        <v>0</v>
      </c>
      <c r="K2302">
        <v>0</v>
      </c>
      <c r="L2302">
        <v>0</v>
      </c>
      <c r="M2302">
        <v>1700.45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2:19">
      <c r="B2303" t="s">
        <v>2819</v>
      </c>
      <c r="C2303" t="s">
        <v>836</v>
      </c>
      <c r="D2303" t="s">
        <v>563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2:19">
      <c r="B2304" t="s">
        <v>2820</v>
      </c>
      <c r="C2304" t="s">
        <v>836</v>
      </c>
      <c r="D2304" t="s">
        <v>563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2:19">
      <c r="B2305" t="s">
        <v>5544</v>
      </c>
      <c r="C2305" t="s">
        <v>836</v>
      </c>
      <c r="D2305" t="s">
        <v>563</v>
      </c>
      <c r="E2305">
        <v>15</v>
      </c>
      <c r="F2305">
        <v>1640</v>
      </c>
      <c r="G2305">
        <v>1951.7</v>
      </c>
      <c r="H2305">
        <v>16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2:19">
      <c r="B2306" t="s">
        <v>5545</v>
      </c>
      <c r="C2306" t="s">
        <v>836</v>
      </c>
      <c r="D2306" t="s">
        <v>563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2:19">
      <c r="B2307" t="s">
        <v>2821</v>
      </c>
      <c r="C2307" t="s">
        <v>836</v>
      </c>
      <c r="D2307" t="s">
        <v>563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2:19">
      <c r="B2308" t="s">
        <v>2822</v>
      </c>
      <c r="C2308" t="s">
        <v>836</v>
      </c>
      <c r="D2308" t="s">
        <v>563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2:19">
      <c r="B2309" t="s">
        <v>2823</v>
      </c>
      <c r="C2309" t="s">
        <v>836</v>
      </c>
      <c r="D2309" t="s">
        <v>563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2:19">
      <c r="B2310" t="s">
        <v>2824</v>
      </c>
      <c r="C2310" t="s">
        <v>836</v>
      </c>
      <c r="D2310" t="s">
        <v>563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2:19">
      <c r="B2311" t="s">
        <v>5546</v>
      </c>
      <c r="C2311" t="s">
        <v>836</v>
      </c>
      <c r="D2311" t="s">
        <v>563</v>
      </c>
      <c r="E2311">
        <v>2</v>
      </c>
      <c r="F2311">
        <v>1511.3340000000001</v>
      </c>
      <c r="G2311">
        <v>1760</v>
      </c>
      <c r="H2311">
        <v>21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2:19">
      <c r="B2312" t="s">
        <v>5547</v>
      </c>
      <c r="C2312" t="s">
        <v>836</v>
      </c>
      <c r="D2312" t="s">
        <v>563</v>
      </c>
      <c r="E2312">
        <v>1</v>
      </c>
      <c r="F2312">
        <v>1225.55</v>
      </c>
      <c r="G2312">
        <v>1342.7629999999999</v>
      </c>
      <c r="H2312">
        <v>8</v>
      </c>
      <c r="I2312">
        <v>0</v>
      </c>
      <c r="J2312">
        <v>0</v>
      </c>
      <c r="K2312">
        <v>0</v>
      </c>
      <c r="L2312">
        <v>0</v>
      </c>
      <c r="M2312">
        <v>1501.7380000000001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2:19">
      <c r="B2313" t="s">
        <v>2825</v>
      </c>
      <c r="C2313" t="s">
        <v>836</v>
      </c>
      <c r="D2313" t="s">
        <v>563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2:19">
      <c r="B2314" t="s">
        <v>2826</v>
      </c>
      <c r="C2314" t="s">
        <v>836</v>
      </c>
      <c r="D2314" t="s">
        <v>563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2:19">
      <c r="B2315" t="s">
        <v>2827</v>
      </c>
      <c r="C2315" t="s">
        <v>836</v>
      </c>
      <c r="D2315" t="s">
        <v>563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2:19">
      <c r="B2316" t="s">
        <v>2828</v>
      </c>
      <c r="C2316" t="s">
        <v>836</v>
      </c>
      <c r="D2316" t="s">
        <v>563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2:19">
      <c r="B2317" t="s">
        <v>5548</v>
      </c>
      <c r="C2317" t="s">
        <v>836</v>
      </c>
      <c r="D2317" t="s">
        <v>563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2:19">
      <c r="B2318" t="s">
        <v>5549</v>
      </c>
      <c r="C2318" t="s">
        <v>836</v>
      </c>
      <c r="D2318" t="s">
        <v>563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2:19">
      <c r="B2319" t="s">
        <v>5550</v>
      </c>
      <c r="C2319" t="s">
        <v>836</v>
      </c>
      <c r="D2319" t="s">
        <v>563</v>
      </c>
      <c r="E2319">
        <v>1</v>
      </c>
      <c r="F2319">
        <v>1116</v>
      </c>
      <c r="G2319">
        <v>1300</v>
      </c>
      <c r="H2319">
        <v>8</v>
      </c>
      <c r="I2319">
        <v>1305.01</v>
      </c>
      <c r="J2319">
        <v>1125.22</v>
      </c>
      <c r="K2319">
        <v>1400</v>
      </c>
      <c r="L2319">
        <v>1140</v>
      </c>
      <c r="M2319">
        <v>1333.77</v>
      </c>
      <c r="N2319">
        <v>-0.1452</v>
      </c>
      <c r="O2319">
        <v>80</v>
      </c>
      <c r="P2319">
        <v>9281808</v>
      </c>
      <c r="Q2319">
        <v>1160.2260000000001</v>
      </c>
      <c r="R2319">
        <v>0</v>
      </c>
      <c r="S2319" t="s">
        <v>6264</v>
      </c>
    </row>
    <row r="2320" spans="2:19">
      <c r="B2320" t="s">
        <v>2829</v>
      </c>
      <c r="C2320" t="s">
        <v>836</v>
      </c>
      <c r="D2320" t="s">
        <v>563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2:19">
      <c r="B2321" t="s">
        <v>2830</v>
      </c>
      <c r="C2321" t="s">
        <v>836</v>
      </c>
      <c r="D2321" t="s">
        <v>563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2:19">
      <c r="B2322" t="s">
        <v>2831</v>
      </c>
      <c r="C2322" t="s">
        <v>836</v>
      </c>
      <c r="D2322" t="s">
        <v>563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2:19">
      <c r="B2323" t="s">
        <v>2832</v>
      </c>
      <c r="C2323" t="s">
        <v>836</v>
      </c>
      <c r="D2323" t="s">
        <v>563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2:19">
      <c r="B2324" t="s">
        <v>2833</v>
      </c>
      <c r="C2324" t="s">
        <v>836</v>
      </c>
      <c r="D2324" t="s">
        <v>563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2:19">
      <c r="B2325" t="s">
        <v>2834</v>
      </c>
      <c r="C2325" t="s">
        <v>836</v>
      </c>
      <c r="D2325" t="s">
        <v>563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2:19">
      <c r="B2326" t="s">
        <v>5551</v>
      </c>
      <c r="C2326" t="s">
        <v>836</v>
      </c>
      <c r="D2326" t="s">
        <v>563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2:19">
      <c r="B2327" t="s">
        <v>5552</v>
      </c>
      <c r="C2327" t="s">
        <v>836</v>
      </c>
      <c r="D2327" t="s">
        <v>563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2:19">
      <c r="B2328" t="s">
        <v>5553</v>
      </c>
      <c r="C2328" t="s">
        <v>836</v>
      </c>
      <c r="D2328" t="s">
        <v>563</v>
      </c>
      <c r="E2328">
        <v>1</v>
      </c>
      <c r="F2328">
        <v>820</v>
      </c>
      <c r="G2328">
        <v>1300</v>
      </c>
      <c r="H2328">
        <v>8</v>
      </c>
      <c r="I2328">
        <v>910.5</v>
      </c>
      <c r="J2328">
        <v>864.39</v>
      </c>
      <c r="K2328">
        <v>1300</v>
      </c>
      <c r="L2328">
        <v>869.38</v>
      </c>
      <c r="M2328">
        <v>1076.28</v>
      </c>
      <c r="N2328">
        <v>-0.19220000000000001</v>
      </c>
      <c r="O2328">
        <v>70</v>
      </c>
      <c r="P2328">
        <v>6223431</v>
      </c>
      <c r="Q2328">
        <v>889.06157140000005</v>
      </c>
      <c r="R2328">
        <v>0</v>
      </c>
      <c r="S2328" t="s">
        <v>6265</v>
      </c>
    </row>
    <row r="2329" spans="2:19">
      <c r="B2329" t="s">
        <v>2835</v>
      </c>
      <c r="C2329" t="s">
        <v>836</v>
      </c>
      <c r="D2329" t="s">
        <v>563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2:19">
      <c r="B2330" t="s">
        <v>2836</v>
      </c>
      <c r="C2330" t="s">
        <v>836</v>
      </c>
      <c r="D2330" t="s">
        <v>563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2:19">
      <c r="B2331" t="s">
        <v>2837</v>
      </c>
      <c r="C2331" t="s">
        <v>836</v>
      </c>
      <c r="D2331" t="s">
        <v>563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2:19">
      <c r="B2332" t="s">
        <v>5554</v>
      </c>
      <c r="C2332" t="s">
        <v>836</v>
      </c>
      <c r="D2332" t="s">
        <v>563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2:19">
      <c r="B2333" t="s">
        <v>5555</v>
      </c>
      <c r="C2333" t="s">
        <v>836</v>
      </c>
      <c r="D2333" t="s">
        <v>563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2:19">
      <c r="B2334" t="s">
        <v>5556</v>
      </c>
      <c r="C2334" t="s">
        <v>836</v>
      </c>
      <c r="D2334" t="s">
        <v>563</v>
      </c>
      <c r="E2334">
        <v>20</v>
      </c>
      <c r="F2334">
        <v>600</v>
      </c>
      <c r="G2334">
        <v>1200</v>
      </c>
      <c r="H2334">
        <v>9</v>
      </c>
      <c r="I2334">
        <v>940</v>
      </c>
      <c r="J2334">
        <v>710.55</v>
      </c>
      <c r="K2334">
        <v>940</v>
      </c>
      <c r="L2334">
        <v>710.55</v>
      </c>
      <c r="M2334">
        <v>906</v>
      </c>
      <c r="N2334">
        <v>-0.2157</v>
      </c>
      <c r="O2334">
        <v>8</v>
      </c>
      <c r="P2334">
        <v>658789</v>
      </c>
      <c r="Q2334">
        <v>823.48625000000004</v>
      </c>
      <c r="R2334">
        <v>0</v>
      </c>
      <c r="S2334" t="s">
        <v>6262</v>
      </c>
    </row>
    <row r="2335" spans="2:19">
      <c r="B2335" t="s">
        <v>2838</v>
      </c>
      <c r="C2335" t="s">
        <v>836</v>
      </c>
      <c r="D2335" t="s">
        <v>563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2:19">
      <c r="B2336" t="s">
        <v>2839</v>
      </c>
      <c r="C2336" t="s">
        <v>836</v>
      </c>
      <c r="D2336" t="s">
        <v>563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2:19">
      <c r="B2337" t="s">
        <v>2840</v>
      </c>
      <c r="C2337" t="s">
        <v>836</v>
      </c>
      <c r="D2337" t="s">
        <v>563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2:19">
      <c r="B2338" t="s">
        <v>2841</v>
      </c>
      <c r="C2338" t="s">
        <v>836</v>
      </c>
      <c r="D2338" t="s">
        <v>563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2:19">
      <c r="B2339" t="s">
        <v>2842</v>
      </c>
      <c r="C2339" t="s">
        <v>836</v>
      </c>
      <c r="D2339" t="s">
        <v>563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2:19">
      <c r="B2340" t="s">
        <v>5557</v>
      </c>
      <c r="C2340" t="s">
        <v>836</v>
      </c>
      <c r="D2340" t="s">
        <v>563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2:19">
      <c r="B2341" t="s">
        <v>5558</v>
      </c>
      <c r="C2341" t="s">
        <v>836</v>
      </c>
      <c r="D2341" t="s">
        <v>563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2:19">
      <c r="B2342" t="s">
        <v>5559</v>
      </c>
      <c r="C2342" t="s">
        <v>836</v>
      </c>
      <c r="D2342" t="s">
        <v>563</v>
      </c>
      <c r="E2342">
        <v>1</v>
      </c>
      <c r="F2342">
        <v>485</v>
      </c>
      <c r="G2342">
        <v>611.66200000000003</v>
      </c>
      <c r="H2342">
        <v>7</v>
      </c>
      <c r="I2342">
        <v>850</v>
      </c>
      <c r="J2342">
        <v>524.6</v>
      </c>
      <c r="K2342">
        <v>850</v>
      </c>
      <c r="L2342">
        <v>524.6</v>
      </c>
      <c r="M2342">
        <v>700.16</v>
      </c>
      <c r="N2342">
        <v>-0.25069999999999998</v>
      </c>
      <c r="O2342">
        <v>51</v>
      </c>
      <c r="P2342">
        <v>2957522</v>
      </c>
      <c r="Q2342">
        <v>579.90627449999999</v>
      </c>
      <c r="R2342">
        <v>0</v>
      </c>
      <c r="S2342" t="s">
        <v>6297</v>
      </c>
    </row>
    <row r="2343" spans="2:19">
      <c r="B2343" t="s">
        <v>5560</v>
      </c>
      <c r="C2343" t="s">
        <v>836</v>
      </c>
      <c r="D2343" t="s">
        <v>563</v>
      </c>
      <c r="E2343">
        <v>2</v>
      </c>
      <c r="F2343">
        <v>807.154</v>
      </c>
      <c r="G2343">
        <v>1190</v>
      </c>
      <c r="H2343">
        <v>14</v>
      </c>
      <c r="I2343">
        <v>0</v>
      </c>
      <c r="J2343">
        <v>0</v>
      </c>
      <c r="K2343">
        <v>0</v>
      </c>
      <c r="L2343">
        <v>0</v>
      </c>
      <c r="M2343">
        <v>1141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2:19">
      <c r="B2344" t="s">
        <v>2843</v>
      </c>
      <c r="C2344" t="s">
        <v>836</v>
      </c>
      <c r="D2344" t="s">
        <v>563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2:19">
      <c r="B2345" t="s">
        <v>2844</v>
      </c>
      <c r="C2345" t="s">
        <v>836</v>
      </c>
      <c r="D2345" t="s">
        <v>563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2:19">
      <c r="B2346" t="s">
        <v>2845</v>
      </c>
      <c r="C2346" t="s">
        <v>836</v>
      </c>
      <c r="D2346" t="s">
        <v>563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2:19">
      <c r="B2347" t="s">
        <v>2846</v>
      </c>
      <c r="C2347" t="s">
        <v>836</v>
      </c>
      <c r="D2347" t="s">
        <v>563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2:19">
      <c r="B2348" t="s">
        <v>2847</v>
      </c>
      <c r="C2348" t="s">
        <v>836</v>
      </c>
      <c r="D2348" t="s">
        <v>563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2:19">
      <c r="B2349" t="s">
        <v>2848</v>
      </c>
      <c r="C2349" t="s">
        <v>836</v>
      </c>
      <c r="D2349" t="s">
        <v>563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2:19">
      <c r="B2350" t="s">
        <v>2849</v>
      </c>
      <c r="C2350" t="s">
        <v>836</v>
      </c>
      <c r="D2350" t="s">
        <v>563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2:19">
      <c r="B2351" t="s">
        <v>2850</v>
      </c>
      <c r="C2351" t="s">
        <v>836</v>
      </c>
      <c r="D2351" t="s">
        <v>563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2:19">
      <c r="B2352" t="s">
        <v>5561</v>
      </c>
      <c r="C2352" t="s">
        <v>836</v>
      </c>
      <c r="D2352" t="s">
        <v>563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2:19">
      <c r="B2353" t="s">
        <v>5562</v>
      </c>
      <c r="C2353" t="s">
        <v>836</v>
      </c>
      <c r="D2353" t="s">
        <v>563</v>
      </c>
      <c r="E2353">
        <v>1</v>
      </c>
      <c r="F2353">
        <v>310.98399999999998</v>
      </c>
      <c r="G2353">
        <v>410</v>
      </c>
      <c r="H2353">
        <v>1</v>
      </c>
      <c r="I2353">
        <v>640</v>
      </c>
      <c r="J2353">
        <v>355.55</v>
      </c>
      <c r="K2353">
        <v>640</v>
      </c>
      <c r="L2353">
        <v>355.55</v>
      </c>
      <c r="M2353">
        <v>491.05</v>
      </c>
      <c r="N2353">
        <v>-0.27589999999999998</v>
      </c>
      <c r="O2353">
        <v>16</v>
      </c>
      <c r="P2353">
        <v>774075.4</v>
      </c>
      <c r="Q2353">
        <v>483.79712499999999</v>
      </c>
      <c r="R2353">
        <v>0</v>
      </c>
      <c r="S2353" t="s">
        <v>6266</v>
      </c>
    </row>
    <row r="2354" spans="2:19">
      <c r="B2354" t="s">
        <v>2851</v>
      </c>
      <c r="C2354" t="s">
        <v>836</v>
      </c>
      <c r="D2354" t="s">
        <v>563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2:19">
      <c r="B2355" t="s">
        <v>2852</v>
      </c>
      <c r="C2355" t="s">
        <v>836</v>
      </c>
      <c r="D2355" t="s">
        <v>563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2:19">
      <c r="B2356" t="s">
        <v>2853</v>
      </c>
      <c r="C2356" t="s">
        <v>836</v>
      </c>
      <c r="D2356" t="s">
        <v>563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2:19">
      <c r="B2357" t="s">
        <v>2854</v>
      </c>
      <c r="C2357" t="s">
        <v>836</v>
      </c>
      <c r="D2357" t="s">
        <v>563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2:19">
      <c r="B2358" t="s">
        <v>5563</v>
      </c>
      <c r="C2358" t="s">
        <v>836</v>
      </c>
      <c r="D2358" t="s">
        <v>563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2:19">
      <c r="B2359" t="s">
        <v>5564</v>
      </c>
      <c r="C2359" t="s">
        <v>836</v>
      </c>
      <c r="D2359" t="s">
        <v>563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2:19">
      <c r="B2360" t="s">
        <v>5565</v>
      </c>
      <c r="C2360" t="s">
        <v>836</v>
      </c>
      <c r="D2360" t="s">
        <v>563</v>
      </c>
      <c r="E2360">
        <v>2</v>
      </c>
      <c r="F2360">
        <v>780</v>
      </c>
      <c r="G2360">
        <v>894.79499999999996</v>
      </c>
      <c r="H2360">
        <v>2</v>
      </c>
      <c r="I2360">
        <v>949</v>
      </c>
      <c r="J2360">
        <v>780</v>
      </c>
      <c r="K2360">
        <v>949</v>
      </c>
      <c r="L2360">
        <v>780</v>
      </c>
      <c r="M2360">
        <v>853.447</v>
      </c>
      <c r="N2360">
        <v>-8.5999999999999993E-2</v>
      </c>
      <c r="O2360">
        <v>64</v>
      </c>
      <c r="P2360">
        <v>5178852.4000000004</v>
      </c>
      <c r="Q2360">
        <v>809.19568749999996</v>
      </c>
      <c r="R2360">
        <v>0</v>
      </c>
      <c r="S2360" t="s">
        <v>6298</v>
      </c>
    </row>
    <row r="2361" spans="2:19">
      <c r="B2361" t="s">
        <v>5566</v>
      </c>
      <c r="C2361" t="s">
        <v>836</v>
      </c>
      <c r="D2361" t="s">
        <v>563</v>
      </c>
      <c r="E2361">
        <v>1</v>
      </c>
      <c r="F2361">
        <v>210.5</v>
      </c>
      <c r="G2361">
        <v>215</v>
      </c>
      <c r="H2361">
        <v>500</v>
      </c>
      <c r="I2361">
        <v>399.9</v>
      </c>
      <c r="J2361">
        <v>215</v>
      </c>
      <c r="K2361">
        <v>468</v>
      </c>
      <c r="L2361">
        <v>215</v>
      </c>
      <c r="M2361">
        <v>368.45400000000001</v>
      </c>
      <c r="N2361">
        <v>-0.41639999999999999</v>
      </c>
      <c r="O2361">
        <v>1191</v>
      </c>
      <c r="P2361">
        <v>31190552.800000001</v>
      </c>
      <c r="Q2361">
        <v>261.8854139</v>
      </c>
      <c r="R2361">
        <v>0</v>
      </c>
      <c r="S2361" t="s">
        <v>6294</v>
      </c>
    </row>
    <row r="2362" spans="2:19">
      <c r="B2362" t="s">
        <v>2855</v>
      </c>
      <c r="C2362" t="s">
        <v>836</v>
      </c>
      <c r="D2362" t="s">
        <v>563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2:19">
      <c r="B2363" t="s">
        <v>2856</v>
      </c>
      <c r="C2363" t="s">
        <v>836</v>
      </c>
      <c r="D2363" t="s">
        <v>563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2:19">
      <c r="B2364" t="s">
        <v>2857</v>
      </c>
      <c r="C2364" t="s">
        <v>836</v>
      </c>
      <c r="D2364" t="s">
        <v>563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2:19">
      <c r="B2365" t="s">
        <v>2858</v>
      </c>
      <c r="C2365" t="s">
        <v>836</v>
      </c>
      <c r="D2365" t="s">
        <v>563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2:19">
      <c r="B2366" t="s">
        <v>5567</v>
      </c>
      <c r="C2366" t="s">
        <v>836</v>
      </c>
      <c r="D2366" t="s">
        <v>563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2:19">
      <c r="B2367" t="s">
        <v>5568</v>
      </c>
      <c r="C2367" t="s">
        <v>836</v>
      </c>
      <c r="D2367" t="s">
        <v>563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2:19">
      <c r="B2368" t="s">
        <v>5569</v>
      </c>
      <c r="C2368" t="s">
        <v>836</v>
      </c>
      <c r="D2368" t="s">
        <v>563</v>
      </c>
      <c r="E2368">
        <v>1</v>
      </c>
      <c r="F2368">
        <v>142.1</v>
      </c>
      <c r="G2368">
        <v>149.9</v>
      </c>
      <c r="H2368">
        <v>30</v>
      </c>
      <c r="I2368">
        <v>300</v>
      </c>
      <c r="J2368">
        <v>149.9</v>
      </c>
      <c r="K2368">
        <v>367</v>
      </c>
      <c r="L2368">
        <v>149.9</v>
      </c>
      <c r="M2368">
        <v>274.50299999999999</v>
      </c>
      <c r="N2368">
        <v>-0.45390000000000003</v>
      </c>
      <c r="O2368">
        <v>5441</v>
      </c>
      <c r="P2368">
        <v>137118745.40000001</v>
      </c>
      <c r="Q2368">
        <v>252.0101919</v>
      </c>
      <c r="R2368">
        <v>0</v>
      </c>
      <c r="S2368" t="s">
        <v>6303</v>
      </c>
    </row>
    <row r="2369" spans="2:19">
      <c r="B2369" t="s">
        <v>5570</v>
      </c>
      <c r="C2369" t="s">
        <v>836</v>
      </c>
      <c r="D2369" t="s">
        <v>563</v>
      </c>
      <c r="E2369">
        <v>1</v>
      </c>
      <c r="F2369">
        <v>670</v>
      </c>
      <c r="G2369">
        <v>728.06299999999999</v>
      </c>
      <c r="H2369">
        <v>2</v>
      </c>
      <c r="I2369">
        <v>780</v>
      </c>
      <c r="J2369">
        <v>700</v>
      </c>
      <c r="K2369">
        <v>820</v>
      </c>
      <c r="L2369">
        <v>700</v>
      </c>
      <c r="M2369">
        <v>765</v>
      </c>
      <c r="N2369">
        <v>-8.4900000000000003E-2</v>
      </c>
      <c r="O2369">
        <v>1314</v>
      </c>
      <c r="P2369">
        <v>106099900.40000001</v>
      </c>
      <c r="Q2369">
        <v>807.45738510000001</v>
      </c>
      <c r="R2369">
        <v>0</v>
      </c>
      <c r="S2369" t="s">
        <v>6286</v>
      </c>
    </row>
    <row r="2370" spans="2:19">
      <c r="B2370" t="s">
        <v>2859</v>
      </c>
      <c r="C2370" t="s">
        <v>836</v>
      </c>
      <c r="D2370" t="s">
        <v>563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2:19">
      <c r="B2371" t="s">
        <v>2860</v>
      </c>
      <c r="C2371" t="s">
        <v>836</v>
      </c>
      <c r="D2371" t="s">
        <v>563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2:19">
      <c r="B2372" t="s">
        <v>2861</v>
      </c>
      <c r="C2372" t="s">
        <v>836</v>
      </c>
      <c r="D2372" t="s">
        <v>563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2:19">
      <c r="B2373" t="s">
        <v>5571</v>
      </c>
      <c r="C2373" t="s">
        <v>836</v>
      </c>
      <c r="D2373" t="s">
        <v>563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2:19">
      <c r="B2374" t="s">
        <v>2862</v>
      </c>
      <c r="C2374" t="s">
        <v>836</v>
      </c>
      <c r="D2374" t="s">
        <v>563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2:19">
      <c r="B2375" t="s">
        <v>2863</v>
      </c>
      <c r="C2375" t="s">
        <v>836</v>
      </c>
      <c r="D2375" t="s">
        <v>563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2:19">
      <c r="B2376" t="s">
        <v>2864</v>
      </c>
      <c r="C2376" t="s">
        <v>836</v>
      </c>
      <c r="D2376" t="s">
        <v>563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2:19">
      <c r="B2377" t="s">
        <v>2865</v>
      </c>
      <c r="C2377" t="s">
        <v>836</v>
      </c>
      <c r="D2377" t="s">
        <v>563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2:19">
      <c r="B2378" t="s">
        <v>5572</v>
      </c>
      <c r="C2378" t="s">
        <v>836</v>
      </c>
      <c r="D2378" t="s">
        <v>563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2:19">
      <c r="B2379" t="s">
        <v>5573</v>
      </c>
      <c r="C2379" t="s">
        <v>836</v>
      </c>
      <c r="D2379" t="s">
        <v>563</v>
      </c>
      <c r="E2379">
        <v>4</v>
      </c>
      <c r="F2379">
        <v>550.00199999999995</v>
      </c>
      <c r="G2379">
        <v>659.971</v>
      </c>
      <c r="H2379">
        <v>2</v>
      </c>
      <c r="I2379">
        <v>600.02200000000005</v>
      </c>
      <c r="J2379">
        <v>600.02099999999996</v>
      </c>
      <c r="K2379">
        <v>600.02200000000005</v>
      </c>
      <c r="L2379">
        <v>600.02099999999996</v>
      </c>
      <c r="M2379">
        <v>650.08199999999999</v>
      </c>
      <c r="N2379">
        <v>-7.6999999999999999E-2</v>
      </c>
      <c r="O2379">
        <v>20</v>
      </c>
      <c r="P2379">
        <v>1200043</v>
      </c>
      <c r="Q2379">
        <v>600.02149999999995</v>
      </c>
      <c r="R2379">
        <v>0</v>
      </c>
      <c r="S2379" t="s">
        <v>6267</v>
      </c>
    </row>
    <row r="2380" spans="2:19">
      <c r="B2380" t="s">
        <v>5574</v>
      </c>
      <c r="C2380" t="s">
        <v>836</v>
      </c>
      <c r="D2380" t="s">
        <v>563</v>
      </c>
      <c r="E2380">
        <v>2</v>
      </c>
      <c r="F2380">
        <v>71.010999999999996</v>
      </c>
      <c r="G2380">
        <v>85</v>
      </c>
      <c r="H2380">
        <v>100</v>
      </c>
      <c r="I2380">
        <v>190.999</v>
      </c>
      <c r="J2380">
        <v>79.998999999999995</v>
      </c>
      <c r="K2380">
        <v>250</v>
      </c>
      <c r="L2380">
        <v>90</v>
      </c>
      <c r="M2380">
        <v>169.83</v>
      </c>
      <c r="N2380">
        <v>-0.47</v>
      </c>
      <c r="O2380">
        <v>9751</v>
      </c>
      <c r="P2380">
        <v>116497555.40000001</v>
      </c>
      <c r="Q2380">
        <v>119.4724186</v>
      </c>
      <c r="R2380">
        <v>0</v>
      </c>
      <c r="S2380" t="s">
        <v>6299</v>
      </c>
    </row>
    <row r="2381" spans="2:19">
      <c r="B2381" t="s">
        <v>2866</v>
      </c>
      <c r="C2381" t="s">
        <v>836</v>
      </c>
      <c r="D2381" t="s">
        <v>563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2:19">
      <c r="B2382" t="s">
        <v>2867</v>
      </c>
      <c r="C2382" t="s">
        <v>836</v>
      </c>
      <c r="D2382" t="s">
        <v>563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2:19">
      <c r="B2383" t="s">
        <v>2868</v>
      </c>
      <c r="C2383" t="s">
        <v>836</v>
      </c>
      <c r="D2383" t="s">
        <v>563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2:19">
      <c r="B2384" t="s">
        <v>2869</v>
      </c>
      <c r="C2384" t="s">
        <v>836</v>
      </c>
      <c r="D2384" t="s">
        <v>563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2:19">
      <c r="B2385" t="s">
        <v>2870</v>
      </c>
      <c r="C2385" t="s">
        <v>836</v>
      </c>
      <c r="D2385" t="s">
        <v>563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2:19">
      <c r="B2386" t="s">
        <v>5575</v>
      </c>
      <c r="C2386" t="s">
        <v>836</v>
      </c>
      <c r="D2386" t="s">
        <v>563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2:19">
      <c r="B2387" t="s">
        <v>5576</v>
      </c>
      <c r="C2387" t="s">
        <v>836</v>
      </c>
      <c r="D2387" t="s">
        <v>563</v>
      </c>
      <c r="E2387">
        <v>28</v>
      </c>
      <c r="F2387">
        <v>46.561999999999998</v>
      </c>
      <c r="G2387">
        <v>49.9</v>
      </c>
      <c r="H2387">
        <v>10</v>
      </c>
      <c r="I2387">
        <v>148.99700000000001</v>
      </c>
      <c r="J2387">
        <v>48</v>
      </c>
      <c r="K2387">
        <v>160</v>
      </c>
      <c r="L2387">
        <v>49.9</v>
      </c>
      <c r="M2387">
        <v>119.648</v>
      </c>
      <c r="N2387">
        <v>-0.58289999999999997</v>
      </c>
      <c r="O2387">
        <v>18646</v>
      </c>
      <c r="P2387">
        <v>170718937.59999999</v>
      </c>
      <c r="Q2387">
        <v>91.557941400000004</v>
      </c>
      <c r="R2387">
        <v>0</v>
      </c>
      <c r="S2387" t="s">
        <v>6303</v>
      </c>
    </row>
    <row r="2388" spans="2:19">
      <c r="B2388" t="s">
        <v>2871</v>
      </c>
      <c r="C2388" t="s">
        <v>836</v>
      </c>
      <c r="D2388" t="s">
        <v>563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2:19">
      <c r="B2389" t="s">
        <v>5577</v>
      </c>
      <c r="C2389" t="s">
        <v>836</v>
      </c>
      <c r="D2389" t="s">
        <v>563</v>
      </c>
      <c r="E2389">
        <v>12</v>
      </c>
      <c r="F2389">
        <v>452</v>
      </c>
      <c r="G2389">
        <v>506.315</v>
      </c>
      <c r="H2389">
        <v>2</v>
      </c>
      <c r="I2389">
        <v>551</v>
      </c>
      <c r="J2389">
        <v>500</v>
      </c>
      <c r="K2389">
        <v>551</v>
      </c>
      <c r="L2389">
        <v>515</v>
      </c>
      <c r="M2389">
        <v>534.71400000000006</v>
      </c>
      <c r="N2389">
        <v>-3.6799999999999999E-2</v>
      </c>
      <c r="O2389">
        <v>64</v>
      </c>
      <c r="P2389">
        <v>3357700</v>
      </c>
      <c r="Q2389">
        <v>524.640625</v>
      </c>
      <c r="R2389">
        <v>0</v>
      </c>
      <c r="S2389" t="s">
        <v>6290</v>
      </c>
    </row>
    <row r="2390" spans="2:19">
      <c r="B2390" t="s">
        <v>2872</v>
      </c>
      <c r="C2390" t="s">
        <v>836</v>
      </c>
      <c r="D2390" t="s">
        <v>563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2:19">
      <c r="B2391" t="s">
        <v>2873</v>
      </c>
      <c r="C2391" t="s">
        <v>836</v>
      </c>
      <c r="D2391" t="s">
        <v>563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</row>
    <row r="2392" spans="2:19">
      <c r="B2392" t="s">
        <v>2874</v>
      </c>
      <c r="C2392" t="s">
        <v>836</v>
      </c>
      <c r="D2392" t="s">
        <v>563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2:19">
      <c r="B2393" t="s">
        <v>2875</v>
      </c>
      <c r="C2393" t="s">
        <v>836</v>
      </c>
      <c r="D2393" t="s">
        <v>563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</row>
    <row r="2394" spans="2:19">
      <c r="B2394" t="s">
        <v>2876</v>
      </c>
      <c r="C2394" t="s">
        <v>836</v>
      </c>
      <c r="D2394" t="s">
        <v>563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</row>
    <row r="2395" spans="2:19">
      <c r="B2395" t="s">
        <v>2877</v>
      </c>
      <c r="C2395" t="s">
        <v>836</v>
      </c>
      <c r="D2395" t="s">
        <v>563</v>
      </c>
      <c r="E2395">
        <v>1</v>
      </c>
      <c r="F2395">
        <v>730</v>
      </c>
      <c r="G2395">
        <v>1290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2:19">
      <c r="B2396" t="s">
        <v>5578</v>
      </c>
      <c r="C2396" t="s">
        <v>836</v>
      </c>
      <c r="D2396" t="s">
        <v>563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2:19">
      <c r="B2397" t="s">
        <v>5579</v>
      </c>
      <c r="C2397" t="s">
        <v>836</v>
      </c>
      <c r="D2397" t="s">
        <v>563</v>
      </c>
      <c r="E2397">
        <v>1</v>
      </c>
      <c r="F2397">
        <v>22.201000000000001</v>
      </c>
      <c r="G2397">
        <v>27.75</v>
      </c>
      <c r="H2397">
        <v>100</v>
      </c>
      <c r="I2397">
        <v>68</v>
      </c>
      <c r="J2397">
        <v>22.2</v>
      </c>
      <c r="K2397">
        <v>81.998999999999995</v>
      </c>
      <c r="L2397">
        <v>22.2</v>
      </c>
      <c r="M2397">
        <v>59.093000000000004</v>
      </c>
      <c r="N2397">
        <v>-0.62429999999999997</v>
      </c>
      <c r="O2397">
        <v>12517</v>
      </c>
      <c r="P2397">
        <v>56802220</v>
      </c>
      <c r="Q2397">
        <v>45.380059099999997</v>
      </c>
      <c r="R2397">
        <v>0</v>
      </c>
      <c r="S2397" t="s">
        <v>6300</v>
      </c>
    </row>
    <row r="2398" spans="2:19">
      <c r="B2398" t="s">
        <v>5580</v>
      </c>
      <c r="C2398" t="s">
        <v>836</v>
      </c>
      <c r="D2398" t="s">
        <v>563</v>
      </c>
      <c r="E2398">
        <v>1</v>
      </c>
      <c r="F2398">
        <v>355</v>
      </c>
      <c r="G2398">
        <v>369.99</v>
      </c>
      <c r="H2398">
        <v>2</v>
      </c>
      <c r="I2398">
        <v>450</v>
      </c>
      <c r="J2398">
        <v>356</v>
      </c>
      <c r="K2398">
        <v>475</v>
      </c>
      <c r="L2398">
        <v>356</v>
      </c>
      <c r="M2398">
        <v>412.12099999999998</v>
      </c>
      <c r="N2398">
        <v>-0.1361</v>
      </c>
      <c r="O2398">
        <v>474</v>
      </c>
      <c r="P2398">
        <v>19487395.699999999</v>
      </c>
      <c r="Q2398">
        <v>411.12649160000001</v>
      </c>
      <c r="R2398">
        <v>0</v>
      </c>
      <c r="S2398" t="s">
        <v>6298</v>
      </c>
    </row>
    <row r="2399" spans="2:19">
      <c r="B2399" t="s">
        <v>2878</v>
      </c>
      <c r="C2399" t="s">
        <v>836</v>
      </c>
      <c r="D2399" t="s">
        <v>563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2:19">
      <c r="B2400" t="s">
        <v>2879</v>
      </c>
      <c r="C2400" t="s">
        <v>836</v>
      </c>
      <c r="D2400" t="s">
        <v>563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2:19">
      <c r="B2401" t="s">
        <v>2880</v>
      </c>
      <c r="C2401" t="s">
        <v>836</v>
      </c>
      <c r="D2401" t="s">
        <v>563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</row>
    <row r="2402" spans="2:19">
      <c r="B2402" t="s">
        <v>2881</v>
      </c>
      <c r="C2402" t="s">
        <v>836</v>
      </c>
      <c r="D2402" t="s">
        <v>563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2:19">
      <c r="B2403" t="s">
        <v>2882</v>
      </c>
      <c r="C2403" t="s">
        <v>836</v>
      </c>
      <c r="D2403" t="s">
        <v>563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2:19">
      <c r="B2404" t="s">
        <v>2883</v>
      </c>
      <c r="C2404" t="s">
        <v>836</v>
      </c>
      <c r="D2404" t="s">
        <v>563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</row>
    <row r="2405" spans="2:19">
      <c r="B2405" t="s">
        <v>2884</v>
      </c>
      <c r="C2405" t="s">
        <v>836</v>
      </c>
      <c r="D2405" t="s">
        <v>563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</row>
    <row r="2406" spans="2:19">
      <c r="B2406" t="s">
        <v>2885</v>
      </c>
      <c r="C2406" t="s">
        <v>836</v>
      </c>
      <c r="D2406" t="s">
        <v>563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</row>
    <row r="2407" spans="2:19">
      <c r="B2407" t="s">
        <v>2886</v>
      </c>
      <c r="C2407" t="s">
        <v>836</v>
      </c>
      <c r="D2407" t="s">
        <v>563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2:19">
      <c r="B2408" t="s">
        <v>2887</v>
      </c>
      <c r="C2408" t="s">
        <v>836</v>
      </c>
      <c r="D2408" t="s">
        <v>563</v>
      </c>
      <c r="E2408">
        <v>30</v>
      </c>
      <c r="F2408">
        <v>635</v>
      </c>
      <c r="G2408">
        <v>1000</v>
      </c>
      <c r="H2408">
        <v>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2:19">
      <c r="B2409" t="s">
        <v>5581</v>
      </c>
      <c r="C2409" t="s">
        <v>836</v>
      </c>
      <c r="D2409" t="s">
        <v>563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2:19">
      <c r="B2410" t="s">
        <v>2888</v>
      </c>
      <c r="C2410" t="s">
        <v>836</v>
      </c>
      <c r="D2410" t="s">
        <v>563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2:19">
      <c r="B2411" t="s">
        <v>2889</v>
      </c>
      <c r="C2411" t="s">
        <v>836</v>
      </c>
      <c r="D2411" t="s">
        <v>563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2:19">
      <c r="B2412" t="s">
        <v>2890</v>
      </c>
      <c r="C2412" t="s">
        <v>836</v>
      </c>
      <c r="D2412" t="s">
        <v>563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2:19">
      <c r="B2413" t="s">
        <v>2891</v>
      </c>
      <c r="C2413" t="s">
        <v>836</v>
      </c>
      <c r="D2413" t="s">
        <v>563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2:19">
      <c r="B2414" t="s">
        <v>5582</v>
      </c>
      <c r="C2414" t="s">
        <v>836</v>
      </c>
      <c r="D2414" t="s">
        <v>563</v>
      </c>
      <c r="E2414">
        <v>4</v>
      </c>
      <c r="F2414">
        <v>12</v>
      </c>
      <c r="G2414">
        <v>12.5</v>
      </c>
      <c r="H2414">
        <v>22</v>
      </c>
      <c r="I2414">
        <v>22.001000000000001</v>
      </c>
      <c r="J2414">
        <v>11.11</v>
      </c>
      <c r="K2414">
        <v>33</v>
      </c>
      <c r="L2414">
        <v>12</v>
      </c>
      <c r="M2414">
        <v>23.957000000000001</v>
      </c>
      <c r="N2414">
        <v>-0.49909999999999999</v>
      </c>
      <c r="O2414">
        <v>13163</v>
      </c>
      <c r="P2414">
        <v>26251138.399999999</v>
      </c>
      <c r="Q2414">
        <v>19.9431273</v>
      </c>
      <c r="R2414">
        <v>0</v>
      </c>
      <c r="S2414" t="s">
        <v>6303</v>
      </c>
    </row>
    <row r="2415" spans="2:19">
      <c r="B2415" t="s">
        <v>2892</v>
      </c>
      <c r="C2415" t="s">
        <v>836</v>
      </c>
      <c r="D2415" t="s">
        <v>563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2:19">
      <c r="B2416" t="s">
        <v>2893</v>
      </c>
      <c r="C2416" t="s">
        <v>836</v>
      </c>
      <c r="D2416" t="s">
        <v>563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2:19">
      <c r="B2417" t="s">
        <v>5583</v>
      </c>
      <c r="C2417" t="s">
        <v>836</v>
      </c>
      <c r="D2417" t="s">
        <v>563</v>
      </c>
      <c r="E2417">
        <v>1</v>
      </c>
      <c r="F2417">
        <v>231</v>
      </c>
      <c r="G2417">
        <v>275</v>
      </c>
      <c r="H2417">
        <v>38</v>
      </c>
      <c r="I2417">
        <v>338</v>
      </c>
      <c r="J2417">
        <v>260</v>
      </c>
      <c r="K2417">
        <v>338</v>
      </c>
      <c r="L2417">
        <v>266</v>
      </c>
      <c r="M2417">
        <v>280</v>
      </c>
      <c r="N2417">
        <v>-0.05</v>
      </c>
      <c r="O2417">
        <v>57</v>
      </c>
      <c r="P2417">
        <v>1628702.6</v>
      </c>
      <c r="Q2417">
        <v>285.7372982</v>
      </c>
      <c r="R2417">
        <v>0</v>
      </c>
      <c r="S2417" t="s">
        <v>6286</v>
      </c>
    </row>
    <row r="2418" spans="2:19">
      <c r="B2418" t="s">
        <v>5584</v>
      </c>
      <c r="C2418" t="s">
        <v>836</v>
      </c>
      <c r="D2418" t="s">
        <v>563</v>
      </c>
      <c r="E2418">
        <v>2</v>
      </c>
      <c r="F2418">
        <v>600</v>
      </c>
      <c r="G2418">
        <v>730</v>
      </c>
      <c r="H2418">
        <v>10</v>
      </c>
      <c r="I2418">
        <v>635</v>
      </c>
      <c r="J2418">
        <v>635</v>
      </c>
      <c r="K2418">
        <v>635</v>
      </c>
      <c r="L2418">
        <v>635</v>
      </c>
      <c r="M2418">
        <v>630</v>
      </c>
      <c r="N2418">
        <v>7.9000000000000008E-3</v>
      </c>
      <c r="O2418">
        <v>20</v>
      </c>
      <c r="P2418">
        <v>1270000</v>
      </c>
      <c r="Q2418">
        <v>635</v>
      </c>
      <c r="R2418">
        <v>0</v>
      </c>
      <c r="S2418" t="s">
        <v>6268</v>
      </c>
    </row>
    <row r="2419" spans="2:19">
      <c r="B2419" t="s">
        <v>2894</v>
      </c>
      <c r="C2419" t="s">
        <v>836</v>
      </c>
      <c r="D2419" t="s">
        <v>563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2:19">
      <c r="B2420" t="s">
        <v>2895</v>
      </c>
      <c r="C2420" t="s">
        <v>836</v>
      </c>
      <c r="D2420" t="s">
        <v>563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2:19">
      <c r="B2421" t="s">
        <v>2896</v>
      </c>
      <c r="C2421" t="s">
        <v>836</v>
      </c>
      <c r="D2421" t="s">
        <v>563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2:19">
      <c r="B2422" t="s">
        <v>2897</v>
      </c>
      <c r="C2422" t="s">
        <v>836</v>
      </c>
      <c r="D2422" t="s">
        <v>563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2:19">
      <c r="B2423" t="s">
        <v>2898</v>
      </c>
      <c r="C2423" t="s">
        <v>836</v>
      </c>
      <c r="D2423" t="s">
        <v>563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2:19">
      <c r="B2424" t="s">
        <v>5585</v>
      </c>
      <c r="C2424" t="s">
        <v>836</v>
      </c>
      <c r="D2424" t="s">
        <v>563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2:19">
      <c r="B2425" t="s">
        <v>2899</v>
      </c>
      <c r="C2425" t="s">
        <v>836</v>
      </c>
      <c r="D2425" t="s">
        <v>563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2:19">
      <c r="B2426" t="s">
        <v>2900</v>
      </c>
      <c r="C2426" t="s">
        <v>836</v>
      </c>
      <c r="D2426" t="s">
        <v>563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</row>
    <row r="2427" spans="2:19">
      <c r="B2427" t="s">
        <v>2901</v>
      </c>
      <c r="C2427" t="s">
        <v>836</v>
      </c>
      <c r="D2427" t="s">
        <v>563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2:19">
      <c r="B2428" t="s">
        <v>2902</v>
      </c>
      <c r="C2428" t="s">
        <v>836</v>
      </c>
      <c r="D2428" t="s">
        <v>563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2:19">
      <c r="B2429" t="s">
        <v>5586</v>
      </c>
      <c r="C2429" t="s">
        <v>836</v>
      </c>
      <c r="D2429" t="s">
        <v>563</v>
      </c>
      <c r="E2429">
        <v>5</v>
      </c>
      <c r="F2429">
        <v>160.00200000000001</v>
      </c>
      <c r="G2429">
        <v>170</v>
      </c>
      <c r="H2429">
        <v>8</v>
      </c>
      <c r="I2429">
        <v>249</v>
      </c>
      <c r="J2429">
        <v>160</v>
      </c>
      <c r="K2429">
        <v>250</v>
      </c>
      <c r="L2429">
        <v>170</v>
      </c>
      <c r="M2429">
        <v>182.916</v>
      </c>
      <c r="N2429">
        <v>-7.0599999999999996E-2</v>
      </c>
      <c r="O2429">
        <v>705</v>
      </c>
      <c r="P2429">
        <v>14367933.800000001</v>
      </c>
      <c r="Q2429">
        <v>203.8004794</v>
      </c>
      <c r="R2429">
        <v>0</v>
      </c>
      <c r="S2429" t="s">
        <v>6298</v>
      </c>
    </row>
    <row r="2430" spans="2:19">
      <c r="B2430" t="s">
        <v>5587</v>
      </c>
      <c r="C2430" t="s">
        <v>836</v>
      </c>
      <c r="D2430" t="s">
        <v>563</v>
      </c>
      <c r="E2430">
        <v>3</v>
      </c>
      <c r="F2430">
        <v>7.6059999999999999</v>
      </c>
      <c r="G2430">
        <v>8</v>
      </c>
      <c r="H2430">
        <v>50</v>
      </c>
      <c r="I2430">
        <v>12.55</v>
      </c>
      <c r="J2430">
        <v>7.6</v>
      </c>
      <c r="K2430">
        <v>15.9</v>
      </c>
      <c r="L2430">
        <v>7.6059999999999999</v>
      </c>
      <c r="M2430">
        <v>11.77</v>
      </c>
      <c r="N2430">
        <v>-0.35370000000000001</v>
      </c>
      <c r="O2430">
        <v>3856</v>
      </c>
      <c r="P2430">
        <v>4510961.2</v>
      </c>
      <c r="Q2430">
        <v>11.6985508</v>
      </c>
      <c r="R2430">
        <v>0</v>
      </c>
      <c r="S2430" t="s">
        <v>6295</v>
      </c>
    </row>
    <row r="2431" spans="2:19">
      <c r="B2431" t="s">
        <v>5588</v>
      </c>
      <c r="C2431" t="s">
        <v>836</v>
      </c>
      <c r="D2431" t="s">
        <v>563</v>
      </c>
      <c r="E2431">
        <v>30</v>
      </c>
      <c r="F2431">
        <v>450</v>
      </c>
      <c r="G2431">
        <v>635</v>
      </c>
      <c r="H2431">
        <v>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</row>
    <row r="2432" spans="2:19">
      <c r="B2432" t="s">
        <v>2903</v>
      </c>
      <c r="C2432" t="s">
        <v>836</v>
      </c>
      <c r="D2432" t="s">
        <v>563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</row>
    <row r="2433" spans="2:19">
      <c r="B2433" t="s">
        <v>2904</v>
      </c>
      <c r="C2433" t="s">
        <v>836</v>
      </c>
      <c r="D2433" t="s">
        <v>563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2:19">
      <c r="B2434" t="s">
        <v>2905</v>
      </c>
      <c r="C2434" t="s">
        <v>836</v>
      </c>
      <c r="D2434" t="s">
        <v>563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2:19">
      <c r="B2435" t="s">
        <v>2906</v>
      </c>
      <c r="C2435" t="s">
        <v>836</v>
      </c>
      <c r="D2435" t="s">
        <v>563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2:19">
      <c r="B2436" t="s">
        <v>2907</v>
      </c>
      <c r="C2436" t="s">
        <v>836</v>
      </c>
      <c r="D2436" t="s">
        <v>563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2:19">
      <c r="B2437" t="s">
        <v>2908</v>
      </c>
      <c r="C2437" t="s">
        <v>836</v>
      </c>
      <c r="D2437" t="s">
        <v>563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2:19">
      <c r="B2438" t="s">
        <v>5589</v>
      </c>
      <c r="C2438" t="s">
        <v>836</v>
      </c>
      <c r="D2438" t="s">
        <v>563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2:19">
      <c r="B2439" t="s">
        <v>2909</v>
      </c>
      <c r="C2439" t="s">
        <v>836</v>
      </c>
      <c r="D2439" t="s">
        <v>563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</row>
    <row r="2440" spans="2:19">
      <c r="B2440" t="s">
        <v>2910</v>
      </c>
      <c r="C2440" t="s">
        <v>836</v>
      </c>
      <c r="D2440" t="s">
        <v>563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2:19">
      <c r="B2441" t="s">
        <v>2911</v>
      </c>
      <c r="C2441" t="s">
        <v>836</v>
      </c>
      <c r="D2441" t="s">
        <v>563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2:19">
      <c r="B2442" t="s">
        <v>2912</v>
      </c>
      <c r="C2442" t="s">
        <v>836</v>
      </c>
      <c r="D2442" t="s">
        <v>563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2:19">
      <c r="B2443" t="s">
        <v>2913</v>
      </c>
      <c r="C2443" t="s">
        <v>836</v>
      </c>
      <c r="D2443" t="s">
        <v>563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2:19">
      <c r="B2444" t="s">
        <v>2914</v>
      </c>
      <c r="C2444" t="s">
        <v>836</v>
      </c>
      <c r="D2444" t="s">
        <v>563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2:19">
      <c r="B2445" t="s">
        <v>5590</v>
      </c>
      <c r="C2445" t="s">
        <v>836</v>
      </c>
      <c r="D2445" t="s">
        <v>563</v>
      </c>
      <c r="E2445">
        <v>24</v>
      </c>
      <c r="F2445">
        <v>5.1109999999999998</v>
      </c>
      <c r="G2445">
        <v>5.4</v>
      </c>
      <c r="H2445">
        <v>49</v>
      </c>
      <c r="I2445">
        <v>8.99</v>
      </c>
      <c r="J2445">
        <v>5.01</v>
      </c>
      <c r="K2445">
        <v>9.98</v>
      </c>
      <c r="L2445">
        <v>5.4</v>
      </c>
      <c r="M2445">
        <v>7.4290000000000003</v>
      </c>
      <c r="N2445">
        <v>-0.27310000000000001</v>
      </c>
      <c r="O2445">
        <v>1717</v>
      </c>
      <c r="P2445">
        <v>1100126.8999999999</v>
      </c>
      <c r="Q2445">
        <v>6.4072620999999996</v>
      </c>
      <c r="R2445">
        <v>0</v>
      </c>
      <c r="S2445" t="s">
        <v>6303</v>
      </c>
    </row>
    <row r="2446" spans="2:19">
      <c r="B2446" t="s">
        <v>5591</v>
      </c>
      <c r="C2446" t="s">
        <v>836</v>
      </c>
      <c r="D2446" t="s">
        <v>563</v>
      </c>
      <c r="E2446">
        <v>10</v>
      </c>
      <c r="F2446">
        <v>129.001</v>
      </c>
      <c r="G2446">
        <v>150</v>
      </c>
      <c r="H2446">
        <v>1</v>
      </c>
      <c r="I2446">
        <v>140.02000000000001</v>
      </c>
      <c r="J2446">
        <v>128</v>
      </c>
      <c r="K2446">
        <v>140.02000000000001</v>
      </c>
      <c r="L2446">
        <v>130</v>
      </c>
      <c r="M2446">
        <v>140.81700000000001</v>
      </c>
      <c r="N2446">
        <v>-7.6799999999999993E-2</v>
      </c>
      <c r="O2446">
        <v>165</v>
      </c>
      <c r="P2446">
        <v>2143727.5</v>
      </c>
      <c r="Q2446">
        <v>129.92287880000001</v>
      </c>
      <c r="R2446">
        <v>0</v>
      </c>
      <c r="S2446" t="s">
        <v>6298</v>
      </c>
    </row>
    <row r="2447" spans="2:19">
      <c r="B2447" t="s">
        <v>5592</v>
      </c>
      <c r="C2447" t="s">
        <v>836</v>
      </c>
      <c r="D2447" t="s">
        <v>563</v>
      </c>
      <c r="E2447">
        <v>0</v>
      </c>
      <c r="F2447">
        <v>0</v>
      </c>
      <c r="G2447">
        <v>550</v>
      </c>
      <c r="H2447">
        <v>51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2:19">
      <c r="B2448" t="s">
        <v>2915</v>
      </c>
      <c r="C2448" t="s">
        <v>836</v>
      </c>
      <c r="D2448" t="s">
        <v>563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2:19">
      <c r="B2449" t="s">
        <v>2916</v>
      </c>
      <c r="C2449" t="s">
        <v>836</v>
      </c>
      <c r="D2449" t="s">
        <v>563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2:19">
      <c r="B2450" t="s">
        <v>2917</v>
      </c>
      <c r="C2450" t="s">
        <v>836</v>
      </c>
      <c r="D2450" t="s">
        <v>563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2:19">
      <c r="B2451" t="s">
        <v>2918</v>
      </c>
      <c r="C2451" t="s">
        <v>836</v>
      </c>
      <c r="D2451" t="s">
        <v>563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2:19">
      <c r="B2452" t="s">
        <v>5593</v>
      </c>
      <c r="C2452" t="s">
        <v>836</v>
      </c>
      <c r="D2452" t="s">
        <v>563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2:19">
      <c r="B2453" t="s">
        <v>2919</v>
      </c>
      <c r="C2453" t="s">
        <v>836</v>
      </c>
      <c r="D2453" t="s">
        <v>563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2:19">
      <c r="B2454" t="s">
        <v>2920</v>
      </c>
      <c r="C2454" t="s">
        <v>836</v>
      </c>
      <c r="D2454" t="s">
        <v>563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2:19">
      <c r="B2455" t="s">
        <v>5594</v>
      </c>
      <c r="C2455" t="s">
        <v>836</v>
      </c>
      <c r="D2455" t="s">
        <v>563</v>
      </c>
      <c r="E2455">
        <v>2</v>
      </c>
      <c r="F2455">
        <v>3.0009999999999999</v>
      </c>
      <c r="G2455">
        <v>3.48</v>
      </c>
      <c r="H2455">
        <v>1</v>
      </c>
      <c r="I2455">
        <v>4.9989999999999997</v>
      </c>
      <c r="J2455">
        <v>3</v>
      </c>
      <c r="K2455">
        <v>5.75</v>
      </c>
      <c r="L2455">
        <v>3.0009999999999999</v>
      </c>
      <c r="M2455">
        <v>4.6790000000000003</v>
      </c>
      <c r="N2455">
        <v>-0.35859999999999997</v>
      </c>
      <c r="O2455">
        <v>1112</v>
      </c>
      <c r="P2455">
        <v>505180.9</v>
      </c>
      <c r="Q2455">
        <v>4.5429937000000002</v>
      </c>
      <c r="R2455">
        <v>0</v>
      </c>
      <c r="S2455" t="s">
        <v>6295</v>
      </c>
    </row>
    <row r="2456" spans="2:19">
      <c r="B2456" t="s">
        <v>5595</v>
      </c>
      <c r="C2456" t="s">
        <v>836</v>
      </c>
      <c r="D2456" t="s">
        <v>563</v>
      </c>
      <c r="E2456">
        <v>5</v>
      </c>
      <c r="F2456">
        <v>102</v>
      </c>
      <c r="G2456">
        <v>110</v>
      </c>
      <c r="H2456">
        <v>30</v>
      </c>
      <c r="I2456">
        <v>129</v>
      </c>
      <c r="J2456">
        <v>105</v>
      </c>
      <c r="K2456">
        <v>129</v>
      </c>
      <c r="L2456">
        <v>105</v>
      </c>
      <c r="M2456">
        <v>110</v>
      </c>
      <c r="N2456">
        <v>-4.5400000000000003E-2</v>
      </c>
      <c r="O2456">
        <v>171</v>
      </c>
      <c r="P2456">
        <v>2058199.2</v>
      </c>
      <c r="Q2456">
        <v>120.3625263</v>
      </c>
      <c r="R2456">
        <v>0</v>
      </c>
      <c r="S2456" t="s">
        <v>6269</v>
      </c>
    </row>
    <row r="2457" spans="2:19">
      <c r="B2457" t="s">
        <v>2921</v>
      </c>
      <c r="C2457" t="s">
        <v>836</v>
      </c>
      <c r="D2457" t="s">
        <v>563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2:19">
      <c r="B2458" t="s">
        <v>2922</v>
      </c>
      <c r="C2458" t="s">
        <v>836</v>
      </c>
      <c r="D2458" t="s">
        <v>563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2:19">
      <c r="B2459" t="s">
        <v>2923</v>
      </c>
      <c r="C2459" t="s">
        <v>836</v>
      </c>
      <c r="D2459" t="s">
        <v>563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2:19">
      <c r="B2460" t="s">
        <v>2924</v>
      </c>
      <c r="C2460" t="s">
        <v>836</v>
      </c>
      <c r="D2460" t="s">
        <v>563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2:19">
      <c r="B2461" t="s">
        <v>2925</v>
      </c>
      <c r="C2461" t="s">
        <v>836</v>
      </c>
      <c r="D2461" t="s">
        <v>563</v>
      </c>
      <c r="E2461">
        <v>0</v>
      </c>
      <c r="F2461">
        <v>0</v>
      </c>
      <c r="G2461">
        <v>410</v>
      </c>
      <c r="H2461">
        <v>6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2:19">
      <c r="B2462" t="s">
        <v>5596</v>
      </c>
      <c r="C2462" t="s">
        <v>836</v>
      </c>
      <c r="D2462" t="s">
        <v>563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2:19">
      <c r="B2463" t="s">
        <v>2926</v>
      </c>
      <c r="C2463" t="s">
        <v>836</v>
      </c>
      <c r="D2463" t="s">
        <v>563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2:19">
      <c r="B2464" t="s">
        <v>2927</v>
      </c>
      <c r="C2464" t="s">
        <v>836</v>
      </c>
      <c r="D2464" t="s">
        <v>563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2:19">
      <c r="B2465" t="s">
        <v>2928</v>
      </c>
      <c r="C2465" t="s">
        <v>836</v>
      </c>
      <c r="D2465" t="s">
        <v>563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2:19">
      <c r="B2466" t="s">
        <v>5597</v>
      </c>
      <c r="C2466" t="s">
        <v>836</v>
      </c>
      <c r="D2466" t="s">
        <v>563</v>
      </c>
      <c r="E2466">
        <v>327</v>
      </c>
      <c r="F2466">
        <v>92</v>
      </c>
      <c r="G2466">
        <v>95</v>
      </c>
      <c r="H2466">
        <v>1</v>
      </c>
      <c r="I2466">
        <v>100</v>
      </c>
      <c r="J2466">
        <v>90.5</v>
      </c>
      <c r="K2466">
        <v>110.999</v>
      </c>
      <c r="L2466">
        <v>92</v>
      </c>
      <c r="M2466">
        <v>88.332999999999998</v>
      </c>
      <c r="N2466">
        <v>4.1500000000000002E-2</v>
      </c>
      <c r="O2466">
        <v>802</v>
      </c>
      <c r="P2466">
        <v>7476152.5</v>
      </c>
      <c r="Q2466">
        <v>93.218859100000003</v>
      </c>
      <c r="R2466">
        <v>0</v>
      </c>
      <c r="S2466" t="s">
        <v>6304</v>
      </c>
    </row>
    <row r="2467" spans="2:19">
      <c r="B2467" t="s">
        <v>5598</v>
      </c>
      <c r="C2467" t="s">
        <v>836</v>
      </c>
      <c r="D2467" t="s">
        <v>563</v>
      </c>
      <c r="E2467">
        <v>9</v>
      </c>
      <c r="F2467">
        <v>1.7010000000000001</v>
      </c>
      <c r="G2467">
        <v>2.08</v>
      </c>
      <c r="H2467">
        <v>1</v>
      </c>
      <c r="I2467">
        <v>3.996</v>
      </c>
      <c r="J2467">
        <v>1.653</v>
      </c>
      <c r="K2467">
        <v>3.996</v>
      </c>
      <c r="L2467">
        <v>1.7010000000000001</v>
      </c>
      <c r="M2467">
        <v>3.3410000000000002</v>
      </c>
      <c r="N2467">
        <v>-0.49080000000000001</v>
      </c>
      <c r="O2467">
        <v>1789</v>
      </c>
      <c r="P2467">
        <v>536904.5</v>
      </c>
      <c r="Q2467">
        <v>3.0011431000000002</v>
      </c>
      <c r="R2467">
        <v>0</v>
      </c>
      <c r="S2467" t="s">
        <v>6286</v>
      </c>
    </row>
    <row r="2468" spans="2:19">
      <c r="B2468" t="s">
        <v>2929</v>
      </c>
      <c r="C2468" t="s">
        <v>836</v>
      </c>
      <c r="D2468" t="s">
        <v>563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2:19">
      <c r="B2469" t="s">
        <v>2930</v>
      </c>
      <c r="C2469" t="s">
        <v>836</v>
      </c>
      <c r="D2469" t="s">
        <v>563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2:19">
      <c r="B2470" t="s">
        <v>2931</v>
      </c>
      <c r="C2470" t="s">
        <v>836</v>
      </c>
      <c r="D2470" t="s">
        <v>563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2:19">
      <c r="B2471" t="s">
        <v>2932</v>
      </c>
      <c r="C2471" t="s">
        <v>836</v>
      </c>
      <c r="D2471" t="s">
        <v>563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2:19">
      <c r="B2472" t="s">
        <v>2933</v>
      </c>
      <c r="C2472" t="s">
        <v>836</v>
      </c>
      <c r="D2472" t="s">
        <v>563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2:19">
      <c r="B2473" t="s">
        <v>2934</v>
      </c>
      <c r="C2473" t="s">
        <v>836</v>
      </c>
      <c r="D2473" t="s">
        <v>563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2:19">
      <c r="B2474" t="s">
        <v>2935</v>
      </c>
      <c r="C2474" t="s">
        <v>836</v>
      </c>
      <c r="D2474" t="s">
        <v>563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2:19">
      <c r="B2475" t="s">
        <v>2936</v>
      </c>
      <c r="C2475" t="s">
        <v>836</v>
      </c>
      <c r="D2475" t="s">
        <v>563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2:19">
      <c r="B2476" t="s">
        <v>2937</v>
      </c>
      <c r="C2476" t="s">
        <v>836</v>
      </c>
      <c r="D2476" t="s">
        <v>563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2:19">
      <c r="B2477" t="s">
        <v>2938</v>
      </c>
      <c r="C2477" t="s">
        <v>836</v>
      </c>
      <c r="D2477" t="s">
        <v>563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2:19">
      <c r="B2478" t="s">
        <v>5599</v>
      </c>
      <c r="C2478" t="s">
        <v>836</v>
      </c>
      <c r="D2478" t="s">
        <v>563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2:19">
      <c r="B2479" t="s">
        <v>2939</v>
      </c>
      <c r="C2479" t="s">
        <v>836</v>
      </c>
      <c r="D2479" t="s">
        <v>563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2:19">
      <c r="B2480" t="s">
        <v>2940</v>
      </c>
      <c r="C2480" t="s">
        <v>836</v>
      </c>
      <c r="D2480" t="s">
        <v>563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</row>
    <row r="2481" spans="2:18">
      <c r="B2481" t="s">
        <v>2941</v>
      </c>
      <c r="C2481" t="s">
        <v>836</v>
      </c>
      <c r="D2481" t="s">
        <v>563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2:18">
      <c r="B2482" t="s">
        <v>2942</v>
      </c>
      <c r="C2482" t="s">
        <v>836</v>
      </c>
      <c r="D2482" t="s">
        <v>563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2:18">
      <c r="B2483" t="s">
        <v>5600</v>
      </c>
      <c r="C2483" t="s">
        <v>836</v>
      </c>
      <c r="D2483" t="s">
        <v>563</v>
      </c>
      <c r="E2483">
        <v>18</v>
      </c>
      <c r="F2483">
        <v>2200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2:18">
      <c r="B2484" t="s">
        <v>2943</v>
      </c>
      <c r="C2484" t="s">
        <v>836</v>
      </c>
      <c r="D2484" t="s">
        <v>563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2:18">
      <c r="B2485" t="s">
        <v>5601</v>
      </c>
      <c r="C2485" t="s">
        <v>836</v>
      </c>
      <c r="D2485" t="s">
        <v>563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2:18">
      <c r="B2486" t="s">
        <v>2944</v>
      </c>
      <c r="C2486" t="s">
        <v>836</v>
      </c>
      <c r="D2486" t="s">
        <v>563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2:18">
      <c r="B2487" t="s">
        <v>2945</v>
      </c>
      <c r="C2487" t="s">
        <v>836</v>
      </c>
      <c r="D2487" t="s">
        <v>563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2:18">
      <c r="B2488" t="s">
        <v>2946</v>
      </c>
      <c r="C2488" t="s">
        <v>836</v>
      </c>
      <c r="D2488" t="s">
        <v>563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2:18">
      <c r="B2489" t="s">
        <v>2947</v>
      </c>
      <c r="C2489" t="s">
        <v>836</v>
      </c>
      <c r="D2489" t="s">
        <v>563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2:18">
      <c r="B2490" t="s">
        <v>2948</v>
      </c>
      <c r="C2490" t="s">
        <v>836</v>
      </c>
      <c r="D2490" t="s">
        <v>563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2:18">
      <c r="B2491" t="s">
        <v>2949</v>
      </c>
      <c r="C2491" t="s">
        <v>836</v>
      </c>
      <c r="D2491" t="s">
        <v>563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2:18">
      <c r="B2492" t="s">
        <v>2950</v>
      </c>
      <c r="C2492" t="s">
        <v>836</v>
      </c>
      <c r="D2492" t="s">
        <v>563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2:18">
      <c r="B2493" t="s">
        <v>2951</v>
      </c>
      <c r="C2493" t="s">
        <v>836</v>
      </c>
      <c r="D2493" t="s">
        <v>563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2:18">
      <c r="B2494" t="s">
        <v>2952</v>
      </c>
      <c r="C2494" t="s">
        <v>836</v>
      </c>
      <c r="D2494" t="s">
        <v>563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2:18">
      <c r="B2495" t="s">
        <v>2953</v>
      </c>
      <c r="C2495" t="s">
        <v>836</v>
      </c>
      <c r="D2495" t="s">
        <v>563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2:18">
      <c r="B2496" t="s">
        <v>2954</v>
      </c>
      <c r="C2496" t="s">
        <v>836</v>
      </c>
      <c r="D2496" t="s">
        <v>563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2:18">
      <c r="B2497" t="s">
        <v>2955</v>
      </c>
      <c r="C2497" t="s">
        <v>836</v>
      </c>
      <c r="D2497" t="s">
        <v>563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</row>
    <row r="2498" spans="2:18">
      <c r="B2498" t="s">
        <v>2956</v>
      </c>
      <c r="C2498" t="s">
        <v>836</v>
      </c>
      <c r="D2498" t="s">
        <v>563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2:18">
      <c r="B2499" t="s">
        <v>2957</v>
      </c>
      <c r="C2499" t="s">
        <v>836</v>
      </c>
      <c r="D2499" t="s">
        <v>563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2:18">
      <c r="B2500" t="s">
        <v>2958</v>
      </c>
      <c r="C2500" t="s">
        <v>836</v>
      </c>
      <c r="D2500" t="s">
        <v>563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</row>
    <row r="2501" spans="2:18">
      <c r="B2501" t="s">
        <v>2959</v>
      </c>
      <c r="C2501" t="s">
        <v>836</v>
      </c>
      <c r="D2501" t="s">
        <v>563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2:18">
      <c r="B2502" t="s">
        <v>2960</v>
      </c>
      <c r="C2502" t="s">
        <v>836</v>
      </c>
      <c r="D2502" t="s">
        <v>563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2:18">
      <c r="B2503" t="s">
        <v>5602</v>
      </c>
      <c r="C2503" t="s">
        <v>836</v>
      </c>
      <c r="D2503" t="s">
        <v>563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2:18">
      <c r="B2504" t="s">
        <v>2961</v>
      </c>
      <c r="C2504" t="s">
        <v>836</v>
      </c>
      <c r="D2504" t="s">
        <v>563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</row>
    <row r="2505" spans="2:18">
      <c r="B2505" t="s">
        <v>5603</v>
      </c>
      <c r="C2505" t="s">
        <v>836</v>
      </c>
      <c r="D2505" t="s">
        <v>563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2:18">
      <c r="B2506" t="s">
        <v>2962</v>
      </c>
      <c r="C2506" t="s">
        <v>836</v>
      </c>
      <c r="D2506" t="s">
        <v>563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2:18">
      <c r="B2507" t="s">
        <v>5604</v>
      </c>
      <c r="C2507" t="s">
        <v>836</v>
      </c>
      <c r="D2507" t="s">
        <v>563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2:18">
      <c r="B2508" t="s">
        <v>5605</v>
      </c>
      <c r="C2508" t="s">
        <v>836</v>
      </c>
      <c r="D2508" t="s">
        <v>563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</row>
    <row r="2509" spans="2:18">
      <c r="B2509" t="s">
        <v>2963</v>
      </c>
      <c r="C2509" t="s">
        <v>836</v>
      </c>
      <c r="D2509" t="s">
        <v>563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</row>
    <row r="2510" spans="2:18">
      <c r="B2510" t="s">
        <v>2964</v>
      </c>
      <c r="C2510" t="s">
        <v>836</v>
      </c>
      <c r="D2510" t="s">
        <v>563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2:18">
      <c r="B2511" t="s">
        <v>2965</v>
      </c>
      <c r="C2511" t="s">
        <v>836</v>
      </c>
      <c r="D2511" t="s">
        <v>563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2:18">
      <c r="B2512" t="s">
        <v>2966</v>
      </c>
      <c r="C2512" t="s">
        <v>836</v>
      </c>
      <c r="D2512" t="s">
        <v>563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2:18">
      <c r="B2513" t="s">
        <v>2967</v>
      </c>
      <c r="C2513" t="s">
        <v>836</v>
      </c>
      <c r="D2513" t="s">
        <v>563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2:18">
      <c r="B2514" t="s">
        <v>2968</v>
      </c>
      <c r="C2514" t="s">
        <v>836</v>
      </c>
      <c r="D2514" t="s">
        <v>563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2:18">
      <c r="B2515" t="s">
        <v>5606</v>
      </c>
      <c r="C2515" t="s">
        <v>836</v>
      </c>
      <c r="D2515" t="s">
        <v>563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</row>
    <row r="2516" spans="2:18">
      <c r="B2516" t="s">
        <v>2969</v>
      </c>
      <c r="C2516" t="s">
        <v>836</v>
      </c>
      <c r="D2516" t="s">
        <v>563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2:18">
      <c r="B2517" t="s">
        <v>5607</v>
      </c>
      <c r="C2517" t="s">
        <v>836</v>
      </c>
      <c r="D2517" t="s">
        <v>563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2:18">
      <c r="B2518" t="s">
        <v>5608</v>
      </c>
      <c r="C2518" t="s">
        <v>836</v>
      </c>
      <c r="D2518" t="s">
        <v>563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2:18">
      <c r="B2519" t="s">
        <v>2970</v>
      </c>
      <c r="C2519" t="s">
        <v>836</v>
      </c>
      <c r="D2519" t="s">
        <v>563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2:18">
      <c r="B2520" t="s">
        <v>2971</v>
      </c>
      <c r="C2520" t="s">
        <v>836</v>
      </c>
      <c r="D2520" t="s">
        <v>563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</row>
    <row r="2521" spans="2:18">
      <c r="B2521" t="s">
        <v>2972</v>
      </c>
      <c r="C2521" t="s">
        <v>836</v>
      </c>
      <c r="D2521" t="s">
        <v>563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</row>
    <row r="2522" spans="2:18">
      <c r="B2522" t="s">
        <v>2973</v>
      </c>
      <c r="C2522" t="s">
        <v>836</v>
      </c>
      <c r="D2522" t="s">
        <v>563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2:18">
      <c r="B2523" t="s">
        <v>2974</v>
      </c>
      <c r="C2523" t="s">
        <v>836</v>
      </c>
      <c r="D2523" t="s">
        <v>563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2:18">
      <c r="B2524" t="s">
        <v>2975</v>
      </c>
      <c r="C2524" t="s">
        <v>836</v>
      </c>
      <c r="D2524" t="s">
        <v>563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2:18">
      <c r="B2525" t="s">
        <v>2976</v>
      </c>
      <c r="C2525" t="s">
        <v>836</v>
      </c>
      <c r="D2525" t="s">
        <v>563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2:18">
      <c r="B2526" t="s">
        <v>2977</v>
      </c>
      <c r="C2526" t="s">
        <v>836</v>
      </c>
      <c r="D2526" t="s">
        <v>563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2:18">
      <c r="B2527" t="s">
        <v>2978</v>
      </c>
      <c r="C2527" t="s">
        <v>836</v>
      </c>
      <c r="D2527" t="s">
        <v>563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2:18">
      <c r="B2528" t="s">
        <v>2979</v>
      </c>
      <c r="C2528" t="s">
        <v>836</v>
      </c>
      <c r="D2528" t="s">
        <v>563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2:18">
      <c r="B2529" t="s">
        <v>2980</v>
      </c>
      <c r="C2529" t="s">
        <v>836</v>
      </c>
      <c r="D2529" t="s">
        <v>563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2:18">
      <c r="B2530" t="s">
        <v>2981</v>
      </c>
      <c r="C2530" t="s">
        <v>836</v>
      </c>
      <c r="D2530" t="s">
        <v>563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2:18">
      <c r="B2531" t="s">
        <v>2982</v>
      </c>
      <c r="C2531" t="s">
        <v>836</v>
      </c>
      <c r="D2531" t="s">
        <v>563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</row>
    <row r="2532" spans="2:18">
      <c r="B2532" t="s">
        <v>2983</v>
      </c>
      <c r="C2532" t="s">
        <v>836</v>
      </c>
      <c r="D2532" t="s">
        <v>563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2:18">
      <c r="B2533" t="s">
        <v>2984</v>
      </c>
      <c r="C2533" t="s">
        <v>836</v>
      </c>
      <c r="D2533" t="s">
        <v>563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2:18">
      <c r="B2534" t="s">
        <v>5609</v>
      </c>
      <c r="C2534" t="s">
        <v>836</v>
      </c>
      <c r="D2534" t="s">
        <v>563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2:18">
      <c r="B2535" t="s">
        <v>2985</v>
      </c>
      <c r="C2535" t="s">
        <v>836</v>
      </c>
      <c r="D2535" t="s">
        <v>563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2:18">
      <c r="B2536" t="s">
        <v>5610</v>
      </c>
      <c r="C2536" t="s">
        <v>836</v>
      </c>
      <c r="D2536" t="s">
        <v>563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2:18">
      <c r="B2537" t="s">
        <v>5611</v>
      </c>
      <c r="C2537" t="s">
        <v>836</v>
      </c>
      <c r="D2537" t="s">
        <v>563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2:18">
      <c r="B2538" t="s">
        <v>2986</v>
      </c>
      <c r="C2538" t="s">
        <v>836</v>
      </c>
      <c r="D2538" t="s">
        <v>563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2:18">
      <c r="B2539" t="s">
        <v>2987</v>
      </c>
      <c r="C2539" t="s">
        <v>836</v>
      </c>
      <c r="D2539" t="s">
        <v>563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2:18">
      <c r="B2540" t="s">
        <v>2988</v>
      </c>
      <c r="C2540" t="s">
        <v>836</v>
      </c>
      <c r="D2540" t="s">
        <v>563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2:18">
      <c r="B2541" t="s">
        <v>2989</v>
      </c>
      <c r="C2541" t="s">
        <v>836</v>
      </c>
      <c r="D2541" t="s">
        <v>563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</row>
    <row r="2542" spans="2:18">
      <c r="B2542" t="s">
        <v>2990</v>
      </c>
      <c r="C2542" t="s">
        <v>836</v>
      </c>
      <c r="D2542" t="s">
        <v>563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2:18">
      <c r="B2543" t="s">
        <v>2991</v>
      </c>
      <c r="C2543" t="s">
        <v>836</v>
      </c>
      <c r="D2543" t="s">
        <v>563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2:18">
      <c r="B2544" t="s">
        <v>2992</v>
      </c>
      <c r="C2544" t="s">
        <v>836</v>
      </c>
      <c r="D2544" t="s">
        <v>563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2:18">
      <c r="B2545" t="s">
        <v>2993</v>
      </c>
      <c r="C2545" t="s">
        <v>836</v>
      </c>
      <c r="D2545" t="s">
        <v>563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2:18">
      <c r="B2546" t="s">
        <v>2994</v>
      </c>
      <c r="C2546" t="s">
        <v>836</v>
      </c>
      <c r="D2546" t="s">
        <v>563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2:18">
      <c r="B2547" t="s">
        <v>2995</v>
      </c>
      <c r="C2547" t="s">
        <v>836</v>
      </c>
      <c r="D2547" t="s">
        <v>563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2:18">
      <c r="B2548" t="s">
        <v>2996</v>
      </c>
      <c r="C2548" t="s">
        <v>836</v>
      </c>
      <c r="D2548" t="s">
        <v>563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2:18">
      <c r="B2549" t="s">
        <v>2997</v>
      </c>
      <c r="C2549" t="s">
        <v>836</v>
      </c>
      <c r="D2549" t="s">
        <v>563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</row>
    <row r="2550" spans="2:18">
      <c r="B2550" t="s">
        <v>2998</v>
      </c>
      <c r="C2550" t="s">
        <v>836</v>
      </c>
      <c r="D2550" t="s">
        <v>563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2:18">
      <c r="B2551" t="s">
        <v>2999</v>
      </c>
      <c r="C2551" t="s">
        <v>836</v>
      </c>
      <c r="D2551" t="s">
        <v>563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</row>
    <row r="2552" spans="2:18">
      <c r="B2552" t="s">
        <v>3000</v>
      </c>
      <c r="C2552" t="s">
        <v>836</v>
      </c>
      <c r="D2552" t="s">
        <v>563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</row>
    <row r="2553" spans="2:18">
      <c r="B2553" t="s">
        <v>3001</v>
      </c>
      <c r="C2553" t="s">
        <v>836</v>
      </c>
      <c r="D2553" t="s">
        <v>563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</row>
    <row r="2554" spans="2:18">
      <c r="B2554" t="s">
        <v>3002</v>
      </c>
      <c r="C2554" t="s">
        <v>836</v>
      </c>
      <c r="D2554" t="s">
        <v>563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2:18">
      <c r="B2555" t="s">
        <v>3003</v>
      </c>
      <c r="C2555" t="s">
        <v>836</v>
      </c>
      <c r="D2555" t="s">
        <v>563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2:18">
      <c r="B2556" t="s">
        <v>5612</v>
      </c>
      <c r="C2556" t="s">
        <v>836</v>
      </c>
      <c r="D2556" t="s">
        <v>563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2:18">
      <c r="B2557" t="s">
        <v>3004</v>
      </c>
      <c r="C2557" t="s">
        <v>836</v>
      </c>
      <c r="D2557" t="s">
        <v>563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2:18">
      <c r="B2558" t="s">
        <v>3005</v>
      </c>
      <c r="C2558" t="s">
        <v>836</v>
      </c>
      <c r="D2558" t="s">
        <v>563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2:18">
      <c r="B2559" t="s">
        <v>3006</v>
      </c>
      <c r="C2559" t="s">
        <v>836</v>
      </c>
      <c r="D2559" t="s">
        <v>563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2:18">
      <c r="B2560" t="s">
        <v>3007</v>
      </c>
      <c r="C2560" t="s">
        <v>836</v>
      </c>
      <c r="D2560" t="s">
        <v>563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2:18">
      <c r="B2561" t="s">
        <v>3008</v>
      </c>
      <c r="C2561" t="s">
        <v>836</v>
      </c>
      <c r="D2561" t="s">
        <v>563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2:18">
      <c r="B2562" t="s">
        <v>3009</v>
      </c>
      <c r="C2562" t="s">
        <v>836</v>
      </c>
      <c r="D2562" t="s">
        <v>563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2:18">
      <c r="B2563" t="s">
        <v>3010</v>
      </c>
      <c r="C2563" t="s">
        <v>836</v>
      </c>
      <c r="D2563" t="s">
        <v>563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2:18">
      <c r="B2564" t="s">
        <v>3011</v>
      </c>
      <c r="C2564" t="s">
        <v>836</v>
      </c>
      <c r="D2564" t="s">
        <v>563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2:18">
      <c r="B2565" t="s">
        <v>3012</v>
      </c>
      <c r="C2565" t="s">
        <v>836</v>
      </c>
      <c r="D2565" t="s">
        <v>563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2:18">
      <c r="B2566" t="s">
        <v>3013</v>
      </c>
      <c r="C2566" t="s">
        <v>836</v>
      </c>
      <c r="D2566" t="s">
        <v>563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2:18">
      <c r="B2567" t="s">
        <v>3014</v>
      </c>
      <c r="C2567" t="s">
        <v>836</v>
      </c>
      <c r="D2567" t="s">
        <v>563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</row>
    <row r="2568" spans="2:18">
      <c r="B2568" t="s">
        <v>3015</v>
      </c>
      <c r="C2568" t="s">
        <v>836</v>
      </c>
      <c r="D2568" t="s">
        <v>563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2:18">
      <c r="B2569" t="s">
        <v>3016</v>
      </c>
      <c r="C2569" t="s">
        <v>836</v>
      </c>
      <c r="D2569" t="s">
        <v>563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2:18">
      <c r="B2570" t="s">
        <v>3017</v>
      </c>
      <c r="C2570" t="s">
        <v>836</v>
      </c>
      <c r="D2570" t="s">
        <v>563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2:18">
      <c r="B2571" t="s">
        <v>3018</v>
      </c>
      <c r="C2571" t="s">
        <v>836</v>
      </c>
      <c r="D2571" t="s">
        <v>563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2:18">
      <c r="B2572" t="s">
        <v>3019</v>
      </c>
      <c r="C2572" t="s">
        <v>836</v>
      </c>
      <c r="D2572" t="s">
        <v>563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</row>
    <row r="2573" spans="2:18">
      <c r="B2573" t="s">
        <v>3020</v>
      </c>
      <c r="C2573" t="s">
        <v>836</v>
      </c>
      <c r="D2573" t="s">
        <v>563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</row>
    <row r="2574" spans="2:18">
      <c r="B2574" t="s">
        <v>3021</v>
      </c>
      <c r="C2574" t="s">
        <v>836</v>
      </c>
      <c r="D2574" t="s">
        <v>563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2:18">
      <c r="B2575" t="s">
        <v>3022</v>
      </c>
      <c r="C2575" t="s">
        <v>836</v>
      </c>
      <c r="D2575" t="s">
        <v>563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2:18">
      <c r="B2576" t="s">
        <v>3023</v>
      </c>
      <c r="C2576" t="s">
        <v>836</v>
      </c>
      <c r="D2576" t="s">
        <v>563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2:18">
      <c r="B2577" t="s">
        <v>3024</v>
      </c>
      <c r="C2577" t="s">
        <v>836</v>
      </c>
      <c r="D2577" t="s">
        <v>563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2:18">
      <c r="B2578" t="s">
        <v>3025</v>
      </c>
      <c r="C2578" t="s">
        <v>836</v>
      </c>
      <c r="D2578" t="s">
        <v>563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2:18">
      <c r="B2579" t="s">
        <v>3026</v>
      </c>
      <c r="C2579" t="s">
        <v>836</v>
      </c>
      <c r="D2579" t="s">
        <v>563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2:18">
      <c r="B2580" t="s">
        <v>3027</v>
      </c>
      <c r="C2580" t="s">
        <v>836</v>
      </c>
      <c r="D2580" t="s">
        <v>563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2:18">
      <c r="B2581" t="s">
        <v>3028</v>
      </c>
      <c r="C2581" t="s">
        <v>836</v>
      </c>
      <c r="D2581" t="s">
        <v>563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2:18">
      <c r="B2582" t="s">
        <v>3029</v>
      </c>
      <c r="C2582" t="s">
        <v>836</v>
      </c>
      <c r="D2582" t="s">
        <v>563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2:18">
      <c r="B2583" t="s">
        <v>3030</v>
      </c>
      <c r="C2583" t="s">
        <v>836</v>
      </c>
      <c r="D2583" t="s">
        <v>563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</row>
    <row r="2584" spans="2:18">
      <c r="B2584" t="s">
        <v>3031</v>
      </c>
      <c r="C2584" t="s">
        <v>836</v>
      </c>
      <c r="D2584" t="s">
        <v>563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2:18">
      <c r="B2585" t="s">
        <v>3032</v>
      </c>
      <c r="C2585" t="s">
        <v>836</v>
      </c>
      <c r="D2585" t="s">
        <v>563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2:18">
      <c r="B2586" t="s">
        <v>3033</v>
      </c>
      <c r="C2586" t="s">
        <v>836</v>
      </c>
      <c r="D2586" t="s">
        <v>563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2:18">
      <c r="B2587" t="s">
        <v>3034</v>
      </c>
      <c r="C2587" t="s">
        <v>836</v>
      </c>
      <c r="D2587" t="s">
        <v>563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2:18">
      <c r="B2588" t="s">
        <v>3035</v>
      </c>
      <c r="C2588" t="s">
        <v>836</v>
      </c>
      <c r="D2588" t="s">
        <v>563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2:18">
      <c r="B2589" t="s">
        <v>3036</v>
      </c>
      <c r="C2589" t="s">
        <v>836</v>
      </c>
      <c r="D2589" t="s">
        <v>563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2:18">
      <c r="B2590" t="s">
        <v>3037</v>
      </c>
      <c r="C2590" t="s">
        <v>836</v>
      </c>
      <c r="D2590" t="s">
        <v>563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2:18">
      <c r="B2591" t="s">
        <v>3038</v>
      </c>
      <c r="C2591" t="s">
        <v>836</v>
      </c>
      <c r="D2591" t="s">
        <v>563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2:18">
      <c r="B2592" t="s">
        <v>3039</v>
      </c>
      <c r="C2592" t="s">
        <v>836</v>
      </c>
      <c r="D2592" t="s">
        <v>563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2:18">
      <c r="B2593" t="s">
        <v>3040</v>
      </c>
      <c r="C2593" t="s">
        <v>836</v>
      </c>
      <c r="D2593" t="s">
        <v>563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2:18">
      <c r="B2594" t="s">
        <v>3041</v>
      </c>
      <c r="C2594" t="s">
        <v>836</v>
      </c>
      <c r="D2594" t="s">
        <v>563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2:18">
      <c r="B2595" t="s">
        <v>3042</v>
      </c>
      <c r="C2595" t="s">
        <v>836</v>
      </c>
      <c r="D2595" t="s">
        <v>563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2:18">
      <c r="B2596" t="s">
        <v>3043</v>
      </c>
      <c r="C2596" t="s">
        <v>836</v>
      </c>
      <c r="D2596" t="s">
        <v>563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2:18">
      <c r="B2597" t="s">
        <v>3044</v>
      </c>
      <c r="C2597" t="s">
        <v>836</v>
      </c>
      <c r="D2597" t="s">
        <v>563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2:18">
      <c r="B2598" t="s">
        <v>3045</v>
      </c>
      <c r="C2598" t="s">
        <v>836</v>
      </c>
      <c r="D2598" t="s">
        <v>563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2:18">
      <c r="B2599" t="s">
        <v>3046</v>
      </c>
      <c r="C2599" t="s">
        <v>836</v>
      </c>
      <c r="D2599" t="s">
        <v>563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2:18">
      <c r="B2600" t="s">
        <v>3047</v>
      </c>
      <c r="C2600" t="s">
        <v>836</v>
      </c>
      <c r="D2600" t="s">
        <v>563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</row>
    <row r="2601" spans="2:18">
      <c r="B2601" t="s">
        <v>3048</v>
      </c>
      <c r="C2601" t="s">
        <v>836</v>
      </c>
      <c r="D2601" t="s">
        <v>563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2:18">
      <c r="B2602" t="s">
        <v>3049</v>
      </c>
      <c r="C2602" t="s">
        <v>836</v>
      </c>
      <c r="D2602" t="s">
        <v>563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</row>
    <row r="2603" spans="2:18">
      <c r="B2603" t="s">
        <v>3050</v>
      </c>
      <c r="C2603" t="s">
        <v>836</v>
      </c>
      <c r="D2603" t="s">
        <v>563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2:18">
      <c r="B2604" t="s">
        <v>3051</v>
      </c>
      <c r="C2604" t="s">
        <v>836</v>
      </c>
      <c r="D2604" t="s">
        <v>563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2:18">
      <c r="B2605" t="s">
        <v>3052</v>
      </c>
      <c r="C2605" t="s">
        <v>836</v>
      </c>
      <c r="D2605" t="s">
        <v>563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2:18">
      <c r="B2606" t="s">
        <v>3053</v>
      </c>
      <c r="C2606" t="s">
        <v>836</v>
      </c>
      <c r="D2606" t="s">
        <v>563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2:18">
      <c r="B2607" t="s">
        <v>3054</v>
      </c>
      <c r="C2607" t="s">
        <v>836</v>
      </c>
      <c r="D2607" t="s">
        <v>563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2:18">
      <c r="B2608" t="s">
        <v>3055</v>
      </c>
      <c r="C2608" t="s">
        <v>836</v>
      </c>
      <c r="D2608" t="s">
        <v>563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2:19">
      <c r="B2609" t="s">
        <v>3056</v>
      </c>
      <c r="C2609" t="s">
        <v>836</v>
      </c>
      <c r="D2609" t="s">
        <v>563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2:19">
      <c r="B2610" t="s">
        <v>3057</v>
      </c>
      <c r="C2610" t="s">
        <v>836</v>
      </c>
      <c r="D2610" t="s">
        <v>563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2:19">
      <c r="B2611" t="s">
        <v>5613</v>
      </c>
      <c r="C2611" t="s">
        <v>836</v>
      </c>
      <c r="D2611" t="s">
        <v>563</v>
      </c>
      <c r="E2611">
        <v>818</v>
      </c>
      <c r="F2611">
        <v>1E-3</v>
      </c>
      <c r="G2611">
        <v>0.245</v>
      </c>
      <c r="H2611">
        <v>10</v>
      </c>
      <c r="I2611">
        <v>1E-3</v>
      </c>
      <c r="J2611">
        <v>1E-3</v>
      </c>
      <c r="K2611">
        <v>1E-3</v>
      </c>
      <c r="L2611">
        <v>1E-3</v>
      </c>
      <c r="M2611">
        <v>1E-3</v>
      </c>
      <c r="N2611">
        <v>0</v>
      </c>
      <c r="O2611">
        <v>16</v>
      </c>
      <c r="P2611">
        <v>1.6</v>
      </c>
      <c r="Q2611">
        <v>1E-3</v>
      </c>
      <c r="R2611">
        <v>0</v>
      </c>
      <c r="S2611" t="s">
        <v>6270</v>
      </c>
    </row>
    <row r="2612" spans="2:19">
      <c r="B2612" t="s">
        <v>3058</v>
      </c>
      <c r="C2612" t="s">
        <v>836</v>
      </c>
      <c r="D2612" t="s">
        <v>563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2:19">
      <c r="B2613" t="s">
        <v>3059</v>
      </c>
      <c r="C2613" t="s">
        <v>836</v>
      </c>
      <c r="D2613" t="s">
        <v>563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2:19">
      <c r="B2614" t="s">
        <v>3060</v>
      </c>
      <c r="C2614" t="s">
        <v>836</v>
      </c>
      <c r="D2614" t="s">
        <v>563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2:19">
      <c r="B2615" t="s">
        <v>3061</v>
      </c>
      <c r="C2615" t="s">
        <v>836</v>
      </c>
      <c r="D2615" t="s">
        <v>563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2:19">
      <c r="B2616" t="s">
        <v>3062</v>
      </c>
      <c r="C2616" t="s">
        <v>836</v>
      </c>
      <c r="D2616" t="s">
        <v>563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2:19">
      <c r="B2617" t="s">
        <v>5614</v>
      </c>
      <c r="C2617" t="s">
        <v>836</v>
      </c>
      <c r="D2617" t="s">
        <v>563</v>
      </c>
      <c r="E2617">
        <v>0</v>
      </c>
      <c r="F2617">
        <v>0</v>
      </c>
      <c r="G2617">
        <v>0.1</v>
      </c>
      <c r="H2617">
        <v>10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2:19">
      <c r="B2618" t="s">
        <v>3063</v>
      </c>
      <c r="C2618" t="s">
        <v>836</v>
      </c>
      <c r="D2618" t="s">
        <v>563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2:19">
      <c r="B2619" t="s">
        <v>3064</v>
      </c>
      <c r="C2619" t="s">
        <v>836</v>
      </c>
      <c r="D2619" t="s">
        <v>563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2:19">
      <c r="B2620" t="s">
        <v>3065</v>
      </c>
      <c r="C2620" t="s">
        <v>836</v>
      </c>
      <c r="D2620" t="s">
        <v>563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2:19">
      <c r="B2621" t="s">
        <v>3066</v>
      </c>
      <c r="C2621" t="s">
        <v>836</v>
      </c>
      <c r="D2621" t="s">
        <v>563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2:19">
      <c r="B2622" t="s">
        <v>3067</v>
      </c>
      <c r="C2622" t="s">
        <v>836</v>
      </c>
      <c r="D2622" t="s">
        <v>563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2:19">
      <c r="B2623" t="s">
        <v>3068</v>
      </c>
      <c r="C2623" t="s">
        <v>836</v>
      </c>
      <c r="D2623" t="s">
        <v>563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2:19">
      <c r="B2624" t="s">
        <v>3069</v>
      </c>
      <c r="C2624" t="s">
        <v>836</v>
      </c>
      <c r="D2624" t="s">
        <v>563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2:18">
      <c r="B2625" t="s">
        <v>3070</v>
      </c>
      <c r="C2625" t="s">
        <v>836</v>
      </c>
      <c r="D2625" t="s">
        <v>563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2:18">
      <c r="B2626" t="s">
        <v>3071</v>
      </c>
      <c r="C2626" t="s">
        <v>836</v>
      </c>
      <c r="D2626" t="s">
        <v>563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2:18">
      <c r="B2627" t="s">
        <v>3072</v>
      </c>
      <c r="C2627" t="s">
        <v>836</v>
      </c>
      <c r="D2627" t="s">
        <v>563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2:18">
      <c r="B2628" t="s">
        <v>5615</v>
      </c>
      <c r="C2628" t="s">
        <v>836</v>
      </c>
      <c r="D2628" t="s">
        <v>563</v>
      </c>
      <c r="E2628">
        <v>0</v>
      </c>
      <c r="F2628">
        <v>0</v>
      </c>
      <c r="G2628">
        <v>0.01</v>
      </c>
      <c r="H2628">
        <v>65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2:18">
      <c r="B2629" t="s">
        <v>3073</v>
      </c>
      <c r="C2629" t="s">
        <v>836</v>
      </c>
      <c r="D2629" t="s">
        <v>563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</row>
    <row r="2630" spans="2:18">
      <c r="B2630" t="s">
        <v>3074</v>
      </c>
      <c r="C2630" t="s">
        <v>836</v>
      </c>
      <c r="D2630" t="s">
        <v>563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2:18">
      <c r="B2631" t="s">
        <v>3075</v>
      </c>
      <c r="C2631" t="s">
        <v>836</v>
      </c>
      <c r="D2631" t="s">
        <v>563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2:18">
      <c r="B2632" t="s">
        <v>3076</v>
      </c>
      <c r="C2632" t="s">
        <v>836</v>
      </c>
      <c r="D2632" t="s">
        <v>563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2:18">
      <c r="B2633" t="s">
        <v>3077</v>
      </c>
      <c r="C2633" t="s">
        <v>836</v>
      </c>
      <c r="D2633" t="s">
        <v>563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2:18">
      <c r="B2634" t="s">
        <v>3078</v>
      </c>
      <c r="C2634" t="s">
        <v>836</v>
      </c>
      <c r="D2634" t="s">
        <v>563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2:18">
      <c r="B2635" t="s">
        <v>5616</v>
      </c>
      <c r="C2635" t="s">
        <v>836</v>
      </c>
      <c r="D2635" t="s">
        <v>563</v>
      </c>
      <c r="E2635">
        <v>0</v>
      </c>
      <c r="F2635">
        <v>0</v>
      </c>
      <c r="G2635">
        <v>0.05</v>
      </c>
      <c r="H2635">
        <v>587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2:18">
      <c r="B2636" t="s">
        <v>3079</v>
      </c>
      <c r="C2636" t="s">
        <v>836</v>
      </c>
      <c r="D2636" t="s">
        <v>563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2:18">
      <c r="B2637" t="s">
        <v>3080</v>
      </c>
      <c r="C2637" t="s">
        <v>836</v>
      </c>
      <c r="D2637" t="s">
        <v>563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2:18">
      <c r="B2638" t="s">
        <v>3081</v>
      </c>
      <c r="C2638" t="s">
        <v>836</v>
      </c>
      <c r="D2638" t="s">
        <v>563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2:18">
      <c r="B2639" t="s">
        <v>3082</v>
      </c>
      <c r="C2639" t="s">
        <v>836</v>
      </c>
      <c r="D2639" t="s">
        <v>563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2:18">
      <c r="B2640" t="s">
        <v>3083</v>
      </c>
      <c r="C2640" t="s">
        <v>836</v>
      </c>
      <c r="D2640" t="s">
        <v>563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2:19">
      <c r="B2641" t="s">
        <v>3084</v>
      </c>
      <c r="C2641" t="s">
        <v>836</v>
      </c>
      <c r="D2641" t="s">
        <v>563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2:19">
      <c r="B2642" t="s">
        <v>3085</v>
      </c>
      <c r="C2642" t="s">
        <v>836</v>
      </c>
      <c r="D2642" t="s">
        <v>563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2:19">
      <c r="B2643" t="s">
        <v>3086</v>
      </c>
      <c r="C2643" t="s">
        <v>836</v>
      </c>
      <c r="D2643" t="s">
        <v>563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2:19">
      <c r="B2644" t="s">
        <v>5617</v>
      </c>
      <c r="C2644" t="s">
        <v>836</v>
      </c>
      <c r="D2644" t="s">
        <v>563</v>
      </c>
      <c r="E2644">
        <v>2000</v>
      </c>
      <c r="F2644">
        <v>1E-3</v>
      </c>
      <c r="G2644">
        <v>32.5</v>
      </c>
      <c r="H2644">
        <v>59</v>
      </c>
      <c r="I2644">
        <v>0</v>
      </c>
      <c r="J2644">
        <v>0</v>
      </c>
      <c r="K2644">
        <v>0</v>
      </c>
      <c r="L2644">
        <v>0</v>
      </c>
      <c r="M2644">
        <v>1E-3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2:19">
      <c r="B2645" t="s">
        <v>3087</v>
      </c>
      <c r="C2645" t="s">
        <v>836</v>
      </c>
      <c r="D2645" t="s">
        <v>563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2:19">
      <c r="B2646" t="s">
        <v>3088</v>
      </c>
      <c r="C2646" t="s">
        <v>836</v>
      </c>
      <c r="D2646" t="s">
        <v>563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2:19">
      <c r="B2647" t="s">
        <v>3089</v>
      </c>
      <c r="C2647" t="s">
        <v>836</v>
      </c>
      <c r="D2647" t="s">
        <v>563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2:19">
      <c r="B2648" t="s">
        <v>3090</v>
      </c>
      <c r="C2648" t="s">
        <v>836</v>
      </c>
      <c r="D2648" t="s">
        <v>563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2:19">
      <c r="B2649" t="s">
        <v>3091</v>
      </c>
      <c r="C2649" t="s">
        <v>836</v>
      </c>
      <c r="D2649" t="s">
        <v>563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2:19">
      <c r="B2650" t="s">
        <v>5618</v>
      </c>
      <c r="C2650" t="s">
        <v>836</v>
      </c>
      <c r="D2650" t="s">
        <v>563</v>
      </c>
      <c r="E2650">
        <v>1000</v>
      </c>
      <c r="F2650">
        <v>7.3999999999999996E-2</v>
      </c>
      <c r="G2650">
        <v>0.18</v>
      </c>
      <c r="H2650">
        <v>7</v>
      </c>
      <c r="I2650">
        <v>0.06</v>
      </c>
      <c r="J2650">
        <v>0.06</v>
      </c>
      <c r="K2650">
        <v>7.2999999999999995E-2</v>
      </c>
      <c r="L2650">
        <v>7.2999999999999995E-2</v>
      </c>
      <c r="M2650">
        <v>0.15</v>
      </c>
      <c r="N2650">
        <v>-0.51329999999999998</v>
      </c>
      <c r="O2650">
        <v>84</v>
      </c>
      <c r="P2650">
        <v>581.79999999999995</v>
      </c>
      <c r="Q2650">
        <v>6.9261900000000001E-2</v>
      </c>
      <c r="R2650">
        <v>0</v>
      </c>
      <c r="S2650" t="s">
        <v>6264</v>
      </c>
    </row>
    <row r="2651" spans="2:19">
      <c r="B2651" t="s">
        <v>3092</v>
      </c>
      <c r="C2651" t="s">
        <v>836</v>
      </c>
      <c r="D2651" t="s">
        <v>563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2:19">
      <c r="B2652" t="s">
        <v>3093</v>
      </c>
      <c r="C2652" t="s">
        <v>836</v>
      </c>
      <c r="D2652" t="s">
        <v>563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2:19">
      <c r="B2653" t="s">
        <v>3094</v>
      </c>
      <c r="C2653" t="s">
        <v>836</v>
      </c>
      <c r="D2653" t="s">
        <v>563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2:19">
      <c r="B2654" t="s">
        <v>3095</v>
      </c>
      <c r="C2654" t="s">
        <v>836</v>
      </c>
      <c r="D2654" t="s">
        <v>563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2:19">
      <c r="B2655" t="s">
        <v>3096</v>
      </c>
      <c r="C2655" t="s">
        <v>836</v>
      </c>
      <c r="D2655" t="s">
        <v>563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2:19">
      <c r="B2656" t="s">
        <v>5619</v>
      </c>
      <c r="C2656" t="s">
        <v>836</v>
      </c>
      <c r="D2656" t="s">
        <v>563</v>
      </c>
      <c r="E2656">
        <v>250</v>
      </c>
      <c r="F2656">
        <v>0.33</v>
      </c>
      <c r="G2656">
        <v>1.2949999999999999</v>
      </c>
      <c r="H2656">
        <v>50</v>
      </c>
      <c r="I2656">
        <v>0.21</v>
      </c>
      <c r="J2656">
        <v>0.21</v>
      </c>
      <c r="K2656">
        <v>0.5</v>
      </c>
      <c r="L2656">
        <v>0.33</v>
      </c>
      <c r="M2656">
        <v>0.377</v>
      </c>
      <c r="N2656">
        <v>-0.1246</v>
      </c>
      <c r="O2656">
        <v>57</v>
      </c>
      <c r="P2656">
        <v>1505.1</v>
      </c>
      <c r="Q2656">
        <v>0.26405260000000003</v>
      </c>
      <c r="R2656">
        <v>0</v>
      </c>
      <c r="S2656" t="s">
        <v>6271</v>
      </c>
    </row>
    <row r="2657" spans="2:19">
      <c r="B2657" t="s">
        <v>3097</v>
      </c>
      <c r="C2657" t="s">
        <v>836</v>
      </c>
      <c r="D2657" t="s">
        <v>563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2:19">
      <c r="B2658" t="s">
        <v>3098</v>
      </c>
      <c r="C2658" t="s">
        <v>836</v>
      </c>
      <c r="D2658" t="s">
        <v>563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2:19">
      <c r="B2659" t="s">
        <v>5620</v>
      </c>
      <c r="C2659" t="s">
        <v>836</v>
      </c>
      <c r="D2659" t="s">
        <v>563</v>
      </c>
      <c r="E2659">
        <v>1</v>
      </c>
      <c r="F2659">
        <v>35</v>
      </c>
      <c r="G2659">
        <v>38</v>
      </c>
      <c r="H2659">
        <v>7</v>
      </c>
      <c r="I2659">
        <v>33</v>
      </c>
      <c r="J2659">
        <v>33</v>
      </c>
      <c r="K2659">
        <v>38</v>
      </c>
      <c r="L2659">
        <v>38</v>
      </c>
      <c r="M2659">
        <v>37</v>
      </c>
      <c r="N2659">
        <v>2.7E-2</v>
      </c>
      <c r="O2659">
        <v>24</v>
      </c>
      <c r="P2659">
        <v>84599</v>
      </c>
      <c r="Q2659">
        <v>35.249583299999998</v>
      </c>
      <c r="R2659">
        <v>0</v>
      </c>
      <c r="S2659" t="s">
        <v>6286</v>
      </c>
    </row>
    <row r="2660" spans="2:19">
      <c r="B2660" t="s">
        <v>5621</v>
      </c>
      <c r="C2660" t="s">
        <v>836</v>
      </c>
      <c r="D2660" t="s">
        <v>563</v>
      </c>
      <c r="E2660">
        <v>0</v>
      </c>
      <c r="F2660">
        <v>0</v>
      </c>
      <c r="G2660">
        <v>3000</v>
      </c>
      <c r="H2660">
        <v>10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2:19">
      <c r="B2661" t="s">
        <v>3099</v>
      </c>
      <c r="C2661" t="s">
        <v>836</v>
      </c>
      <c r="D2661" t="s">
        <v>563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2:19">
      <c r="B2662" t="s">
        <v>3100</v>
      </c>
      <c r="C2662" t="s">
        <v>836</v>
      </c>
      <c r="D2662" t="s">
        <v>563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2:19">
      <c r="B2663" t="s">
        <v>3101</v>
      </c>
      <c r="C2663" t="s">
        <v>836</v>
      </c>
      <c r="D2663" t="s">
        <v>563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2:19">
      <c r="B2664" t="s">
        <v>3102</v>
      </c>
      <c r="C2664" t="s">
        <v>836</v>
      </c>
      <c r="D2664" t="s">
        <v>563</v>
      </c>
      <c r="E2664">
        <v>78</v>
      </c>
      <c r="F2664">
        <v>2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2:19">
      <c r="B2665" t="s">
        <v>3103</v>
      </c>
      <c r="C2665" t="s">
        <v>836</v>
      </c>
      <c r="D2665" t="s">
        <v>563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2:19">
      <c r="B2666" t="s">
        <v>5622</v>
      </c>
      <c r="C2666" t="s">
        <v>836</v>
      </c>
      <c r="D2666" t="s">
        <v>563</v>
      </c>
      <c r="E2666">
        <v>400</v>
      </c>
      <c r="F2666">
        <v>35</v>
      </c>
      <c r="G2666">
        <v>50</v>
      </c>
      <c r="H2666">
        <v>2</v>
      </c>
      <c r="I2666">
        <v>50</v>
      </c>
      <c r="J2666">
        <v>50</v>
      </c>
      <c r="K2666">
        <v>50</v>
      </c>
      <c r="L2666">
        <v>50</v>
      </c>
      <c r="M2666">
        <v>50</v>
      </c>
      <c r="N2666">
        <v>0</v>
      </c>
      <c r="O2666">
        <v>18</v>
      </c>
      <c r="P2666">
        <v>90000</v>
      </c>
      <c r="Q2666">
        <v>50</v>
      </c>
      <c r="R2666">
        <v>0</v>
      </c>
      <c r="S2666" t="s">
        <v>6298</v>
      </c>
    </row>
    <row r="2667" spans="2:19">
      <c r="B2667" t="s">
        <v>5623</v>
      </c>
      <c r="C2667" t="s">
        <v>836</v>
      </c>
      <c r="D2667" t="s">
        <v>563</v>
      </c>
      <c r="E2667">
        <v>100</v>
      </c>
      <c r="F2667">
        <v>0.55000000000000004</v>
      </c>
      <c r="G2667">
        <v>1.8</v>
      </c>
      <c r="H2667">
        <v>50</v>
      </c>
      <c r="I2667">
        <v>0.08</v>
      </c>
      <c r="J2667">
        <v>7.0000000000000007E-2</v>
      </c>
      <c r="K2667">
        <v>0.8</v>
      </c>
      <c r="L2667">
        <v>0.65</v>
      </c>
      <c r="M2667">
        <v>5.0999999999999997E-2</v>
      </c>
      <c r="N2667">
        <v>11.744999999999999</v>
      </c>
      <c r="O2667">
        <v>79</v>
      </c>
      <c r="P2667">
        <v>4062.3</v>
      </c>
      <c r="Q2667">
        <v>0.51421519999999998</v>
      </c>
      <c r="R2667">
        <v>0</v>
      </c>
      <c r="S2667" t="s">
        <v>6272</v>
      </c>
    </row>
    <row r="2668" spans="2:19">
      <c r="B2668" t="s">
        <v>3104</v>
      </c>
      <c r="C2668" t="s">
        <v>836</v>
      </c>
      <c r="D2668" t="s">
        <v>563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2:19">
      <c r="B2669" t="s">
        <v>3105</v>
      </c>
      <c r="C2669" t="s">
        <v>836</v>
      </c>
      <c r="D2669" t="s">
        <v>563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2:19">
      <c r="B2670" t="s">
        <v>3106</v>
      </c>
      <c r="C2670" t="s">
        <v>836</v>
      </c>
      <c r="D2670" t="s">
        <v>563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2:19">
      <c r="B2671" t="s">
        <v>3107</v>
      </c>
      <c r="C2671" t="s">
        <v>836</v>
      </c>
      <c r="D2671" t="s">
        <v>563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2:19">
      <c r="B2672" t="s">
        <v>5624</v>
      </c>
      <c r="C2672" t="s">
        <v>836</v>
      </c>
      <c r="D2672" t="s">
        <v>563</v>
      </c>
      <c r="E2672">
        <v>66</v>
      </c>
      <c r="F2672">
        <v>5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2:19">
      <c r="B2673" t="s">
        <v>5625</v>
      </c>
      <c r="C2673" t="s">
        <v>836</v>
      </c>
      <c r="D2673" t="s">
        <v>563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2:19">
      <c r="B2674" t="s">
        <v>5626</v>
      </c>
      <c r="C2674" t="s">
        <v>836</v>
      </c>
      <c r="D2674" t="s">
        <v>563</v>
      </c>
      <c r="E2674">
        <v>93</v>
      </c>
      <c r="F2674">
        <v>2.75</v>
      </c>
      <c r="G2674">
        <v>3.919</v>
      </c>
      <c r="H2674">
        <v>25</v>
      </c>
      <c r="I2674">
        <v>0.7</v>
      </c>
      <c r="J2674">
        <v>0.4</v>
      </c>
      <c r="K2674">
        <v>2.9990000000000001</v>
      </c>
      <c r="L2674">
        <v>2.75</v>
      </c>
      <c r="M2674">
        <v>0.69699999999999995</v>
      </c>
      <c r="N2674">
        <v>2.9453999999999998</v>
      </c>
      <c r="O2674">
        <v>2090</v>
      </c>
      <c r="P2674">
        <v>276752.8</v>
      </c>
      <c r="Q2674">
        <v>1.3241761000000001</v>
      </c>
      <c r="R2674">
        <v>0</v>
      </c>
      <c r="S2674" t="s">
        <v>6301</v>
      </c>
    </row>
    <row r="2675" spans="2:19">
      <c r="B2675" t="s">
        <v>3108</v>
      </c>
      <c r="C2675" t="s">
        <v>836</v>
      </c>
      <c r="D2675" t="s">
        <v>563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2:19">
      <c r="B2676" t="s">
        <v>3109</v>
      </c>
      <c r="C2676" t="s">
        <v>836</v>
      </c>
      <c r="D2676" t="s">
        <v>563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2:19">
      <c r="B2677" t="s">
        <v>3110</v>
      </c>
      <c r="C2677" t="s">
        <v>836</v>
      </c>
      <c r="D2677" t="s">
        <v>563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2:19">
      <c r="B2678" t="s">
        <v>3111</v>
      </c>
      <c r="C2678" t="s">
        <v>836</v>
      </c>
      <c r="D2678" t="s">
        <v>563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2:19">
      <c r="B2679" t="s">
        <v>3112</v>
      </c>
      <c r="C2679" t="s">
        <v>836</v>
      </c>
      <c r="D2679" t="s">
        <v>563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2:19">
      <c r="B2680" t="s">
        <v>3113</v>
      </c>
      <c r="C2680" t="s">
        <v>836</v>
      </c>
      <c r="D2680" t="s">
        <v>563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2:19">
      <c r="B2681" t="s">
        <v>5627</v>
      </c>
      <c r="C2681" t="s">
        <v>836</v>
      </c>
      <c r="D2681" t="s">
        <v>563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2:19">
      <c r="B2682" t="s">
        <v>5628</v>
      </c>
      <c r="C2682" t="s">
        <v>836</v>
      </c>
      <c r="D2682" t="s">
        <v>563</v>
      </c>
      <c r="E2682">
        <v>10</v>
      </c>
      <c r="F2682">
        <v>7.5</v>
      </c>
      <c r="G2682">
        <v>8</v>
      </c>
      <c r="H2682">
        <v>699</v>
      </c>
      <c r="I2682">
        <v>2.69</v>
      </c>
      <c r="J2682">
        <v>2</v>
      </c>
      <c r="K2682">
        <v>8</v>
      </c>
      <c r="L2682">
        <v>8</v>
      </c>
      <c r="M2682">
        <v>2.7519999999999998</v>
      </c>
      <c r="N2682">
        <v>1.9069</v>
      </c>
      <c r="O2682">
        <v>1717</v>
      </c>
      <c r="P2682">
        <v>642097.1</v>
      </c>
      <c r="Q2682">
        <v>3.7396452999999998</v>
      </c>
      <c r="R2682">
        <v>0</v>
      </c>
      <c r="S2682" t="s">
        <v>6303</v>
      </c>
    </row>
    <row r="2683" spans="2:19">
      <c r="B2683" t="s">
        <v>3114</v>
      </c>
      <c r="C2683" t="s">
        <v>836</v>
      </c>
      <c r="D2683" t="s">
        <v>563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2:19">
      <c r="B2684" t="s">
        <v>3115</v>
      </c>
      <c r="C2684" t="s">
        <v>836</v>
      </c>
      <c r="D2684" t="s">
        <v>563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2:19">
      <c r="B2685" t="s">
        <v>3116</v>
      </c>
      <c r="C2685" t="s">
        <v>836</v>
      </c>
      <c r="D2685" t="s">
        <v>563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2:19">
      <c r="B2686" t="s">
        <v>3117</v>
      </c>
      <c r="C2686" t="s">
        <v>836</v>
      </c>
      <c r="D2686" t="s">
        <v>563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2:19">
      <c r="B2687" t="s">
        <v>5629</v>
      </c>
      <c r="C2687" t="s">
        <v>836</v>
      </c>
      <c r="D2687" t="s">
        <v>563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2:19">
      <c r="B2688" t="s">
        <v>5630</v>
      </c>
      <c r="C2688" t="s">
        <v>836</v>
      </c>
      <c r="D2688" t="s">
        <v>563</v>
      </c>
      <c r="E2688">
        <v>10</v>
      </c>
      <c r="F2688">
        <v>18</v>
      </c>
      <c r="G2688">
        <v>24</v>
      </c>
      <c r="H2688">
        <v>20</v>
      </c>
      <c r="I2688">
        <v>6.4</v>
      </c>
      <c r="J2688">
        <v>3.5</v>
      </c>
      <c r="K2688">
        <v>22</v>
      </c>
      <c r="L2688">
        <v>18</v>
      </c>
      <c r="M2688">
        <v>5.4080000000000004</v>
      </c>
      <c r="N2688">
        <v>2.3283999999999998</v>
      </c>
      <c r="O2688">
        <v>2777</v>
      </c>
      <c r="P2688">
        <v>2153935.2999999998</v>
      </c>
      <c r="Q2688">
        <v>7.7563389000000003</v>
      </c>
      <c r="R2688">
        <v>0</v>
      </c>
      <c r="S2688" t="s">
        <v>6303</v>
      </c>
    </row>
    <row r="2689" spans="2:19">
      <c r="B2689" t="s">
        <v>3118</v>
      </c>
      <c r="C2689" t="s">
        <v>836</v>
      </c>
      <c r="D2689" t="s">
        <v>563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2:19">
      <c r="B2690" t="s">
        <v>3119</v>
      </c>
      <c r="C2690" t="s">
        <v>836</v>
      </c>
      <c r="D2690" t="s">
        <v>563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2:19">
      <c r="B2691" t="s">
        <v>3120</v>
      </c>
      <c r="C2691" t="s">
        <v>836</v>
      </c>
      <c r="D2691" t="s">
        <v>563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2:19">
      <c r="B2692" t="s">
        <v>3121</v>
      </c>
      <c r="C2692" t="s">
        <v>836</v>
      </c>
      <c r="D2692" t="s">
        <v>563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2:19">
      <c r="B2693" t="s">
        <v>3122</v>
      </c>
      <c r="C2693" t="s">
        <v>836</v>
      </c>
      <c r="D2693" t="s">
        <v>563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2:19">
      <c r="B2694" t="s">
        <v>5631</v>
      </c>
      <c r="C2694" t="s">
        <v>836</v>
      </c>
      <c r="D2694" t="s">
        <v>563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2:19">
      <c r="B2695" t="s">
        <v>5632</v>
      </c>
      <c r="C2695" t="s">
        <v>836</v>
      </c>
      <c r="D2695" t="s">
        <v>563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2:19">
      <c r="B2696" t="s">
        <v>5633</v>
      </c>
      <c r="C2696" t="s">
        <v>836</v>
      </c>
      <c r="D2696" t="s">
        <v>563</v>
      </c>
      <c r="E2696">
        <v>5</v>
      </c>
      <c r="F2696">
        <v>31.004999999999999</v>
      </c>
      <c r="G2696">
        <v>36</v>
      </c>
      <c r="H2696">
        <v>6</v>
      </c>
      <c r="I2696">
        <v>10</v>
      </c>
      <c r="J2696">
        <v>8.1999999999999993</v>
      </c>
      <c r="K2696">
        <v>36</v>
      </c>
      <c r="L2696">
        <v>36</v>
      </c>
      <c r="M2696">
        <v>14.933999999999999</v>
      </c>
      <c r="N2696">
        <v>1.4106000000000001</v>
      </c>
      <c r="O2696">
        <v>3852</v>
      </c>
      <c r="P2696">
        <v>6402425.5999999996</v>
      </c>
      <c r="Q2696">
        <v>16.621042599999999</v>
      </c>
      <c r="R2696">
        <v>0</v>
      </c>
      <c r="S2696" t="s">
        <v>6303</v>
      </c>
    </row>
    <row r="2697" spans="2:19">
      <c r="B2697" t="s">
        <v>5634</v>
      </c>
      <c r="C2697" t="s">
        <v>836</v>
      </c>
      <c r="D2697" t="s">
        <v>563</v>
      </c>
      <c r="E2697">
        <v>6</v>
      </c>
      <c r="F2697">
        <v>166</v>
      </c>
      <c r="G2697">
        <v>170</v>
      </c>
      <c r="H2697">
        <v>26</v>
      </c>
      <c r="I2697">
        <v>140</v>
      </c>
      <c r="J2697">
        <v>121</v>
      </c>
      <c r="K2697">
        <v>170</v>
      </c>
      <c r="L2697">
        <v>170</v>
      </c>
      <c r="M2697">
        <v>158.751</v>
      </c>
      <c r="N2697">
        <v>7.0800000000000002E-2</v>
      </c>
      <c r="O2697">
        <v>633</v>
      </c>
      <c r="P2697">
        <v>9530217</v>
      </c>
      <c r="Q2697">
        <v>150.5563507</v>
      </c>
      <c r="R2697">
        <v>0</v>
      </c>
      <c r="S2697" t="s">
        <v>6298</v>
      </c>
    </row>
    <row r="2698" spans="2:19">
      <c r="B2698" t="s">
        <v>3123</v>
      </c>
      <c r="C2698" t="s">
        <v>836</v>
      </c>
      <c r="D2698" t="s">
        <v>563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2:19">
      <c r="B2699" t="s">
        <v>3124</v>
      </c>
      <c r="C2699" t="s">
        <v>836</v>
      </c>
      <c r="D2699" t="s">
        <v>563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2:19">
      <c r="B2700" t="s">
        <v>3125</v>
      </c>
      <c r="C2700" t="s">
        <v>836</v>
      </c>
      <c r="D2700" t="s">
        <v>563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2:19">
      <c r="B2701" t="s">
        <v>3126</v>
      </c>
      <c r="C2701" t="s">
        <v>836</v>
      </c>
      <c r="D2701" t="s">
        <v>563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2:19">
      <c r="B2702" t="s">
        <v>3127</v>
      </c>
      <c r="C2702" t="s">
        <v>836</v>
      </c>
      <c r="D2702" t="s">
        <v>563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2:19">
      <c r="B2703" t="s">
        <v>3128</v>
      </c>
      <c r="C2703" t="s">
        <v>836</v>
      </c>
      <c r="D2703" t="s">
        <v>563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2:19">
      <c r="B2704" t="s">
        <v>3129</v>
      </c>
      <c r="C2704" t="s">
        <v>836</v>
      </c>
      <c r="D2704" t="s">
        <v>563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2:19">
      <c r="B2705" t="s">
        <v>3130</v>
      </c>
      <c r="C2705" t="s">
        <v>836</v>
      </c>
      <c r="D2705" t="s">
        <v>563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2:19">
      <c r="B2706" t="s">
        <v>5635</v>
      </c>
      <c r="C2706" t="s">
        <v>836</v>
      </c>
      <c r="D2706" t="s">
        <v>563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2:19">
      <c r="B2707" t="s">
        <v>5636</v>
      </c>
      <c r="C2707" t="s">
        <v>836</v>
      </c>
      <c r="D2707" t="s">
        <v>563</v>
      </c>
      <c r="E2707">
        <v>45</v>
      </c>
      <c r="F2707">
        <v>76</v>
      </c>
      <c r="G2707">
        <v>86.988</v>
      </c>
      <c r="H2707">
        <v>2</v>
      </c>
      <c r="I2707">
        <v>30</v>
      </c>
      <c r="J2707">
        <v>23.2</v>
      </c>
      <c r="K2707">
        <v>83.5</v>
      </c>
      <c r="L2707">
        <v>83.5</v>
      </c>
      <c r="M2707">
        <v>40.305999999999997</v>
      </c>
      <c r="N2707">
        <v>1.0716000000000001</v>
      </c>
      <c r="O2707">
        <v>3381</v>
      </c>
      <c r="P2707">
        <v>17078298.800000001</v>
      </c>
      <c r="Q2707">
        <v>50.512566700000001</v>
      </c>
      <c r="R2707">
        <v>0</v>
      </c>
      <c r="S2707" t="s">
        <v>6302</v>
      </c>
    </row>
    <row r="2708" spans="2:19">
      <c r="B2708" t="s">
        <v>3131</v>
      </c>
      <c r="C2708" t="s">
        <v>836</v>
      </c>
      <c r="D2708" t="s">
        <v>563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2:19">
      <c r="B2709" t="s">
        <v>3132</v>
      </c>
      <c r="C2709" t="s">
        <v>836</v>
      </c>
      <c r="D2709" t="s">
        <v>563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2:19">
      <c r="B2710" t="s">
        <v>3133</v>
      </c>
      <c r="C2710" t="s">
        <v>836</v>
      </c>
      <c r="D2710" t="s">
        <v>563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2:19">
      <c r="B2711" t="s">
        <v>3134</v>
      </c>
      <c r="C2711" t="s">
        <v>836</v>
      </c>
      <c r="D2711" t="s">
        <v>563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2:19">
      <c r="B2712" t="s">
        <v>3135</v>
      </c>
      <c r="C2712" t="s">
        <v>836</v>
      </c>
      <c r="D2712" t="s">
        <v>563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2:19">
      <c r="B2713" t="s">
        <v>5637</v>
      </c>
      <c r="C2713" t="s">
        <v>836</v>
      </c>
      <c r="D2713" t="s">
        <v>563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2:19">
      <c r="B2714" t="s">
        <v>5638</v>
      </c>
      <c r="C2714" t="s">
        <v>836</v>
      </c>
      <c r="D2714" t="s">
        <v>563</v>
      </c>
      <c r="E2714">
        <v>22</v>
      </c>
      <c r="F2714">
        <v>275.93599999999998</v>
      </c>
      <c r="G2714">
        <v>328</v>
      </c>
      <c r="H2714">
        <v>2</v>
      </c>
      <c r="I2714">
        <v>225</v>
      </c>
      <c r="J2714">
        <v>225</v>
      </c>
      <c r="K2714">
        <v>325</v>
      </c>
      <c r="L2714">
        <v>325</v>
      </c>
      <c r="M2714">
        <v>288</v>
      </c>
      <c r="N2714">
        <v>0.12839999999999999</v>
      </c>
      <c r="O2714">
        <v>47</v>
      </c>
      <c r="P2714">
        <v>1436095</v>
      </c>
      <c r="Q2714">
        <v>305.55212770000003</v>
      </c>
      <c r="R2714">
        <v>0</v>
      </c>
      <c r="S2714" t="s">
        <v>6273</v>
      </c>
    </row>
    <row r="2715" spans="2:19">
      <c r="B2715" t="s">
        <v>5639</v>
      </c>
      <c r="C2715" t="s">
        <v>836</v>
      </c>
      <c r="D2715" t="s">
        <v>563</v>
      </c>
      <c r="E2715">
        <v>27</v>
      </c>
      <c r="F2715">
        <v>170</v>
      </c>
      <c r="G2715">
        <v>172</v>
      </c>
      <c r="H2715">
        <v>1</v>
      </c>
      <c r="I2715">
        <v>50</v>
      </c>
      <c r="J2715">
        <v>50</v>
      </c>
      <c r="K2715">
        <v>171</v>
      </c>
      <c r="L2715">
        <v>170</v>
      </c>
      <c r="M2715">
        <v>96.869</v>
      </c>
      <c r="N2715">
        <v>0.75490000000000002</v>
      </c>
      <c r="O2715">
        <v>3916</v>
      </c>
      <c r="P2715">
        <v>48395812.399999999</v>
      </c>
      <c r="Q2715">
        <v>123.58481209999999</v>
      </c>
      <c r="R2715">
        <v>0</v>
      </c>
      <c r="S2715" t="s">
        <v>6305</v>
      </c>
    </row>
    <row r="2716" spans="2:19">
      <c r="B2716" t="s">
        <v>3136</v>
      </c>
      <c r="C2716" t="s">
        <v>836</v>
      </c>
      <c r="D2716" t="s">
        <v>563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2:19">
      <c r="B2717" t="s">
        <v>3137</v>
      </c>
      <c r="C2717" t="s">
        <v>836</v>
      </c>
      <c r="D2717" t="s">
        <v>563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2:19">
      <c r="B2718" t="s">
        <v>3138</v>
      </c>
      <c r="C2718" t="s">
        <v>836</v>
      </c>
      <c r="D2718" t="s">
        <v>563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2:19">
      <c r="B2719" t="s">
        <v>3139</v>
      </c>
      <c r="C2719" t="s">
        <v>836</v>
      </c>
      <c r="D2719" t="s">
        <v>563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2:19">
      <c r="B2720" t="s">
        <v>3140</v>
      </c>
      <c r="C2720" t="s">
        <v>836</v>
      </c>
      <c r="D2720" t="s">
        <v>563</v>
      </c>
      <c r="E2720">
        <v>30</v>
      </c>
      <c r="F2720">
        <v>120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2:19">
      <c r="B2721" t="s">
        <v>5640</v>
      </c>
      <c r="C2721" t="s">
        <v>836</v>
      </c>
      <c r="D2721" t="s">
        <v>563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2:19">
      <c r="B2722" t="s">
        <v>5641</v>
      </c>
      <c r="C2722" t="s">
        <v>836</v>
      </c>
      <c r="D2722" t="s">
        <v>563</v>
      </c>
      <c r="E2722">
        <v>7</v>
      </c>
      <c r="F2722">
        <v>251</v>
      </c>
      <c r="G2722">
        <v>265</v>
      </c>
      <c r="H2722">
        <v>2</v>
      </c>
      <c r="I2722">
        <v>140</v>
      </c>
      <c r="J2722">
        <v>110</v>
      </c>
      <c r="K2722">
        <v>265</v>
      </c>
      <c r="L2722">
        <v>265</v>
      </c>
      <c r="M2722">
        <v>163.03899999999999</v>
      </c>
      <c r="N2722">
        <v>0.62529999999999997</v>
      </c>
      <c r="O2722">
        <v>10932</v>
      </c>
      <c r="P2722">
        <v>195246203.69999999</v>
      </c>
      <c r="Q2722">
        <v>178.60062540000001</v>
      </c>
      <c r="R2722">
        <v>0</v>
      </c>
      <c r="S2722" t="s">
        <v>6304</v>
      </c>
    </row>
    <row r="2723" spans="2:19">
      <c r="B2723" t="s">
        <v>5642</v>
      </c>
      <c r="C2723" t="s">
        <v>836</v>
      </c>
      <c r="D2723" t="s">
        <v>563</v>
      </c>
      <c r="E2723">
        <v>4</v>
      </c>
      <c r="F2723">
        <v>400.01</v>
      </c>
      <c r="G2723">
        <v>438.99900000000002</v>
      </c>
      <c r="H2723">
        <v>5</v>
      </c>
      <c r="I2723">
        <v>295</v>
      </c>
      <c r="J2723">
        <v>295</v>
      </c>
      <c r="K2723">
        <v>439</v>
      </c>
      <c r="L2723">
        <v>439</v>
      </c>
      <c r="M2723">
        <v>360.68900000000002</v>
      </c>
      <c r="N2723">
        <v>0.21709999999999999</v>
      </c>
      <c r="O2723">
        <v>868</v>
      </c>
      <c r="P2723">
        <v>32302295.300000001</v>
      </c>
      <c r="Q2723">
        <v>372.14625919999997</v>
      </c>
      <c r="R2723">
        <v>0</v>
      </c>
      <c r="S2723" t="s">
        <v>6274</v>
      </c>
    </row>
    <row r="2724" spans="2:19">
      <c r="B2724" t="s">
        <v>3141</v>
      </c>
      <c r="C2724" t="s">
        <v>836</v>
      </c>
      <c r="D2724" t="s">
        <v>563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2:19">
      <c r="B2725" t="s">
        <v>3142</v>
      </c>
      <c r="C2725" t="s">
        <v>836</v>
      </c>
      <c r="D2725" t="s">
        <v>563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2:19">
      <c r="B2726" t="s">
        <v>3143</v>
      </c>
      <c r="C2726" t="s">
        <v>836</v>
      </c>
      <c r="D2726" t="s">
        <v>563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2:19">
      <c r="B2727" t="s">
        <v>5643</v>
      </c>
      <c r="C2727" t="s">
        <v>836</v>
      </c>
      <c r="D2727" t="s">
        <v>563</v>
      </c>
      <c r="E2727">
        <v>23</v>
      </c>
      <c r="F2727">
        <v>220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2:19">
      <c r="B2728" t="s">
        <v>3144</v>
      </c>
      <c r="C2728" t="s">
        <v>836</v>
      </c>
      <c r="D2728" t="s">
        <v>563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2:19">
      <c r="B2729" t="s">
        <v>3145</v>
      </c>
      <c r="C2729" t="s">
        <v>836</v>
      </c>
      <c r="D2729" t="s">
        <v>563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2:19">
      <c r="B2730" t="s">
        <v>3146</v>
      </c>
      <c r="C2730" t="s">
        <v>836</v>
      </c>
      <c r="D2730" t="s">
        <v>563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2:19">
      <c r="B2731" t="s">
        <v>3147</v>
      </c>
      <c r="C2731" t="s">
        <v>836</v>
      </c>
      <c r="D2731" t="s">
        <v>563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2:19">
      <c r="B2732" t="s">
        <v>3148</v>
      </c>
      <c r="C2732" t="s">
        <v>836</v>
      </c>
      <c r="D2732" t="s">
        <v>563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2:19">
      <c r="B2733" t="s">
        <v>5644</v>
      </c>
      <c r="C2733" t="s">
        <v>836</v>
      </c>
      <c r="D2733" t="s">
        <v>563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2:19">
      <c r="B2734" t="s">
        <v>5645</v>
      </c>
      <c r="C2734" t="s">
        <v>836</v>
      </c>
      <c r="D2734" t="s">
        <v>563</v>
      </c>
      <c r="E2734">
        <v>24</v>
      </c>
      <c r="F2734">
        <v>400</v>
      </c>
      <c r="G2734">
        <v>599</v>
      </c>
      <c r="H2734">
        <v>6</v>
      </c>
      <c r="I2734">
        <v>395</v>
      </c>
      <c r="J2734">
        <v>395</v>
      </c>
      <c r="K2734">
        <v>599</v>
      </c>
      <c r="L2734">
        <v>410</v>
      </c>
      <c r="M2734">
        <v>452</v>
      </c>
      <c r="N2734">
        <v>-9.2899999999999996E-2</v>
      </c>
      <c r="O2734">
        <v>6</v>
      </c>
      <c r="P2734">
        <v>320100</v>
      </c>
      <c r="Q2734">
        <v>533.5</v>
      </c>
      <c r="R2734">
        <v>0</v>
      </c>
      <c r="S2734" t="s">
        <v>6275</v>
      </c>
    </row>
    <row r="2735" spans="2:19">
      <c r="B2735" t="s">
        <v>5646</v>
      </c>
      <c r="C2735" t="s">
        <v>836</v>
      </c>
      <c r="D2735" t="s">
        <v>563</v>
      </c>
      <c r="E2735">
        <v>3</v>
      </c>
      <c r="F2735">
        <v>460.01</v>
      </c>
      <c r="G2735">
        <v>500</v>
      </c>
      <c r="H2735">
        <v>10</v>
      </c>
      <c r="I2735">
        <v>234</v>
      </c>
      <c r="J2735">
        <v>230</v>
      </c>
      <c r="K2735">
        <v>460</v>
      </c>
      <c r="L2735">
        <v>460</v>
      </c>
      <c r="M2735">
        <v>300.83999999999997</v>
      </c>
      <c r="N2735">
        <v>0.52900000000000003</v>
      </c>
      <c r="O2735">
        <v>854</v>
      </c>
      <c r="P2735">
        <v>26017481.100000001</v>
      </c>
      <c r="Q2735">
        <v>304.65434540000001</v>
      </c>
      <c r="R2735">
        <v>0</v>
      </c>
      <c r="S2735" t="s">
        <v>6295</v>
      </c>
    </row>
    <row r="2736" spans="2:19">
      <c r="B2736" t="s">
        <v>3149</v>
      </c>
      <c r="C2736" t="s">
        <v>836</v>
      </c>
      <c r="D2736" t="s">
        <v>563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2:19">
      <c r="B2737" t="s">
        <v>3150</v>
      </c>
      <c r="C2737" t="s">
        <v>836</v>
      </c>
      <c r="D2737" t="s">
        <v>563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2:19">
      <c r="B2738" t="s">
        <v>3151</v>
      </c>
      <c r="C2738" t="s">
        <v>836</v>
      </c>
      <c r="D2738" t="s">
        <v>563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2:19">
      <c r="B2739" t="s">
        <v>3152</v>
      </c>
      <c r="C2739" t="s">
        <v>836</v>
      </c>
      <c r="D2739" t="s">
        <v>563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2:19">
      <c r="B2740" t="s">
        <v>3153</v>
      </c>
      <c r="C2740" t="s">
        <v>836</v>
      </c>
      <c r="D2740" t="s">
        <v>563</v>
      </c>
      <c r="E2740">
        <v>26</v>
      </c>
      <c r="F2740">
        <v>400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2:19">
      <c r="B2741" t="s">
        <v>5647</v>
      </c>
      <c r="C2741" t="s">
        <v>836</v>
      </c>
      <c r="D2741" t="s">
        <v>563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2:19">
      <c r="B2742" t="s">
        <v>5648</v>
      </c>
      <c r="C2742" t="s">
        <v>836</v>
      </c>
      <c r="D2742" t="s">
        <v>563</v>
      </c>
      <c r="E2742">
        <v>1</v>
      </c>
      <c r="F2742">
        <v>534.54999999999995</v>
      </c>
      <c r="G2742">
        <v>600</v>
      </c>
      <c r="H2742">
        <v>1</v>
      </c>
      <c r="I2742">
        <v>305.25</v>
      </c>
      <c r="J2742">
        <v>305.25</v>
      </c>
      <c r="K2742">
        <v>570</v>
      </c>
      <c r="L2742">
        <v>570</v>
      </c>
      <c r="M2742">
        <v>407</v>
      </c>
      <c r="N2742">
        <v>0.40039999999999998</v>
      </c>
      <c r="O2742">
        <v>1928</v>
      </c>
      <c r="P2742">
        <v>81610759.700000003</v>
      </c>
      <c r="Q2742">
        <v>423.29232209999998</v>
      </c>
      <c r="R2742">
        <v>0</v>
      </c>
      <c r="S2742" t="s">
        <v>6291</v>
      </c>
    </row>
    <row r="2743" spans="2:19">
      <c r="B2743" t="s">
        <v>3154</v>
      </c>
      <c r="C2743" t="s">
        <v>836</v>
      </c>
      <c r="D2743" t="s">
        <v>563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2:19">
      <c r="B2744" t="s">
        <v>5649</v>
      </c>
      <c r="C2744" t="s">
        <v>836</v>
      </c>
      <c r="D2744" t="s">
        <v>563</v>
      </c>
      <c r="E2744">
        <v>1</v>
      </c>
      <c r="F2744">
        <v>615.00099999999998</v>
      </c>
      <c r="G2744">
        <v>698</v>
      </c>
      <c r="H2744">
        <v>1</v>
      </c>
      <c r="I2744">
        <v>545</v>
      </c>
      <c r="J2744">
        <v>530</v>
      </c>
      <c r="K2744">
        <v>720</v>
      </c>
      <c r="L2744">
        <v>650</v>
      </c>
      <c r="M2744">
        <v>585.5</v>
      </c>
      <c r="N2744">
        <v>0.1101</v>
      </c>
      <c r="O2744">
        <v>181</v>
      </c>
      <c r="P2744">
        <v>11310300.9</v>
      </c>
      <c r="Q2744">
        <v>624.87850279999998</v>
      </c>
      <c r="R2744">
        <v>0</v>
      </c>
      <c r="S2744" t="s">
        <v>6276</v>
      </c>
    </row>
    <row r="2745" spans="2:19">
      <c r="B2745" t="s">
        <v>3155</v>
      </c>
      <c r="C2745" t="s">
        <v>836</v>
      </c>
      <c r="D2745" t="s">
        <v>563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2:19">
      <c r="B2746" t="s">
        <v>3156</v>
      </c>
      <c r="C2746" t="s">
        <v>836</v>
      </c>
      <c r="D2746" t="s">
        <v>563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2:19">
      <c r="B2747" t="s">
        <v>3157</v>
      </c>
      <c r="C2747" t="s">
        <v>836</v>
      </c>
      <c r="D2747" t="s">
        <v>563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2:19">
      <c r="B2748" t="s">
        <v>3158</v>
      </c>
      <c r="C2748" t="s">
        <v>836</v>
      </c>
      <c r="D2748" t="s">
        <v>563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2:19">
      <c r="B2749" t="s">
        <v>3159</v>
      </c>
      <c r="C2749" t="s">
        <v>836</v>
      </c>
      <c r="D2749" t="s">
        <v>563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2:19">
      <c r="B2750" t="s">
        <v>3160</v>
      </c>
      <c r="C2750" t="s">
        <v>836</v>
      </c>
      <c r="D2750" t="s">
        <v>563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2:19">
      <c r="B2751" t="s">
        <v>5650</v>
      </c>
      <c r="C2751" t="s">
        <v>836</v>
      </c>
      <c r="D2751" t="s">
        <v>563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2:19">
      <c r="B2752" t="s">
        <v>5651</v>
      </c>
      <c r="C2752" t="s">
        <v>836</v>
      </c>
      <c r="D2752" t="s">
        <v>563</v>
      </c>
      <c r="E2752">
        <v>1</v>
      </c>
      <c r="F2752">
        <v>792.58100000000002</v>
      </c>
      <c r="G2752">
        <v>896</v>
      </c>
      <c r="H2752">
        <v>3</v>
      </c>
      <c r="I2752">
        <v>532.5</v>
      </c>
      <c r="J2752">
        <v>532.17999999999995</v>
      </c>
      <c r="K2752">
        <v>835.25</v>
      </c>
      <c r="L2752">
        <v>832.25</v>
      </c>
      <c r="M2752">
        <v>661.23299999999995</v>
      </c>
      <c r="N2752">
        <v>0.2586</v>
      </c>
      <c r="O2752">
        <v>129</v>
      </c>
      <c r="P2752">
        <v>9028606</v>
      </c>
      <c r="Q2752">
        <v>699.89193799999998</v>
      </c>
      <c r="R2752">
        <v>0</v>
      </c>
      <c r="S2752" t="s">
        <v>6277</v>
      </c>
    </row>
    <row r="2753" spans="2:19">
      <c r="B2753" t="s">
        <v>5652</v>
      </c>
      <c r="C2753" t="s">
        <v>836</v>
      </c>
      <c r="D2753" t="s">
        <v>563</v>
      </c>
      <c r="E2753">
        <v>1</v>
      </c>
      <c r="F2753">
        <v>850</v>
      </c>
      <c r="G2753">
        <v>990</v>
      </c>
      <c r="H2753">
        <v>5</v>
      </c>
      <c r="I2753">
        <v>672</v>
      </c>
      <c r="J2753">
        <v>672</v>
      </c>
      <c r="K2753">
        <v>870</v>
      </c>
      <c r="L2753">
        <v>870</v>
      </c>
      <c r="M2753">
        <v>740</v>
      </c>
      <c r="N2753">
        <v>0.17560000000000001</v>
      </c>
      <c r="O2753">
        <v>32</v>
      </c>
      <c r="P2753">
        <v>2700360</v>
      </c>
      <c r="Q2753">
        <v>843.86249999999995</v>
      </c>
      <c r="R2753">
        <v>0</v>
      </c>
      <c r="S2753" t="s">
        <v>6292</v>
      </c>
    </row>
    <row r="2754" spans="2:19">
      <c r="B2754" t="s">
        <v>3161</v>
      </c>
      <c r="C2754" t="s">
        <v>836</v>
      </c>
      <c r="D2754" t="s">
        <v>563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2:19">
      <c r="B2755" t="s">
        <v>3162</v>
      </c>
      <c r="C2755" t="s">
        <v>836</v>
      </c>
      <c r="D2755" t="s">
        <v>563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2:19">
      <c r="B2756" t="s">
        <v>3163</v>
      </c>
      <c r="C2756" t="s">
        <v>836</v>
      </c>
      <c r="D2756" t="s">
        <v>563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2:19">
      <c r="B2757" t="s">
        <v>3164</v>
      </c>
      <c r="C2757" t="s">
        <v>836</v>
      </c>
      <c r="D2757" t="s">
        <v>563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2:19">
      <c r="B2758" t="s">
        <v>3165</v>
      </c>
      <c r="C2758" t="s">
        <v>836</v>
      </c>
      <c r="D2758" t="s">
        <v>563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2:19">
      <c r="B2759" t="s">
        <v>3166</v>
      </c>
      <c r="C2759" t="s">
        <v>836</v>
      </c>
      <c r="D2759" t="s">
        <v>563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2:19">
      <c r="B2760" t="s">
        <v>3167</v>
      </c>
      <c r="C2760" t="s">
        <v>836</v>
      </c>
      <c r="D2760" t="s">
        <v>563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2:19">
      <c r="B2761" t="s">
        <v>3168</v>
      </c>
      <c r="C2761" t="s">
        <v>836</v>
      </c>
      <c r="D2761" t="s">
        <v>563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2:19">
      <c r="B2762" t="s">
        <v>3169</v>
      </c>
      <c r="C2762" t="s">
        <v>836</v>
      </c>
      <c r="D2762" t="s">
        <v>563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2:19">
      <c r="B2763" t="s">
        <v>3170</v>
      </c>
      <c r="C2763" t="s">
        <v>836</v>
      </c>
      <c r="D2763" t="s">
        <v>563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2:19">
      <c r="B2764" t="s">
        <v>3171</v>
      </c>
      <c r="C2764" t="s">
        <v>836</v>
      </c>
      <c r="D2764" t="s">
        <v>563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2:19">
      <c r="B2765" t="s">
        <v>5653</v>
      </c>
      <c r="C2765" t="s">
        <v>836</v>
      </c>
      <c r="D2765" t="s">
        <v>563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2:19">
      <c r="B2766" t="s">
        <v>3172</v>
      </c>
      <c r="C2766" t="s">
        <v>836</v>
      </c>
      <c r="D2766" t="s">
        <v>563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2:19">
      <c r="B2767" t="s">
        <v>3173</v>
      </c>
      <c r="C2767" t="s">
        <v>836</v>
      </c>
      <c r="D2767" t="s">
        <v>563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2:19">
      <c r="B2768" t="s">
        <v>5654</v>
      </c>
      <c r="C2768" t="s">
        <v>836</v>
      </c>
      <c r="D2768" t="s">
        <v>563</v>
      </c>
      <c r="E2768">
        <v>1</v>
      </c>
      <c r="F2768">
        <v>1079</v>
      </c>
      <c r="G2768">
        <v>1240</v>
      </c>
      <c r="H2768">
        <v>18</v>
      </c>
      <c r="I2768">
        <v>849.87</v>
      </c>
      <c r="J2768">
        <v>849.87</v>
      </c>
      <c r="K2768">
        <v>1123.1300000000001</v>
      </c>
      <c r="L2768">
        <v>1123.1300000000001</v>
      </c>
      <c r="M2768">
        <v>950</v>
      </c>
      <c r="N2768">
        <v>0.1822</v>
      </c>
      <c r="O2768">
        <v>25</v>
      </c>
      <c r="P2768">
        <v>2314707</v>
      </c>
      <c r="Q2768">
        <v>925.88279999999997</v>
      </c>
      <c r="R2768">
        <v>0</v>
      </c>
      <c r="S2768" t="s">
        <v>6278</v>
      </c>
    </row>
    <row r="2769" spans="2:19">
      <c r="B2769" t="s">
        <v>3174</v>
      </c>
      <c r="C2769" t="s">
        <v>836</v>
      </c>
      <c r="D2769" t="s">
        <v>563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2:19">
      <c r="B2770" t="s">
        <v>3175</v>
      </c>
      <c r="C2770" t="s">
        <v>836</v>
      </c>
      <c r="D2770" t="s">
        <v>563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2:19">
      <c r="B2771" t="s">
        <v>5655</v>
      </c>
      <c r="C2771" t="s">
        <v>836</v>
      </c>
      <c r="D2771" t="s">
        <v>563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2:19">
      <c r="B2772" t="s">
        <v>5656</v>
      </c>
      <c r="C2772" t="s">
        <v>836</v>
      </c>
      <c r="D2772" t="s">
        <v>563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940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2:19">
      <c r="B2773" t="s">
        <v>3176</v>
      </c>
      <c r="C2773" t="s">
        <v>836</v>
      </c>
      <c r="D2773" t="s">
        <v>563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2:19">
      <c r="B2774" t="s">
        <v>3177</v>
      </c>
      <c r="C2774" t="s">
        <v>836</v>
      </c>
      <c r="D2774" t="s">
        <v>563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2:19">
      <c r="B2775" t="s">
        <v>3178</v>
      </c>
      <c r="C2775" t="s">
        <v>836</v>
      </c>
      <c r="D2775" t="s">
        <v>563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2:19">
      <c r="B2776" t="s">
        <v>3179</v>
      </c>
      <c r="C2776" t="s">
        <v>836</v>
      </c>
      <c r="D2776" t="s">
        <v>563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2:19">
      <c r="B2777" t="s">
        <v>3180</v>
      </c>
      <c r="C2777" t="s">
        <v>836</v>
      </c>
      <c r="D2777" t="s">
        <v>563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2:19">
      <c r="B2778" t="s">
        <v>5657</v>
      </c>
      <c r="C2778" t="s">
        <v>836</v>
      </c>
      <c r="D2778" t="s">
        <v>563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2:19">
      <c r="B2779" t="s">
        <v>3181</v>
      </c>
      <c r="C2779" t="s">
        <v>836</v>
      </c>
      <c r="D2779" t="s">
        <v>563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2:19">
      <c r="B2780" t="s">
        <v>3182</v>
      </c>
      <c r="C2780" t="s">
        <v>836</v>
      </c>
      <c r="D2780" t="s">
        <v>563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2:19">
      <c r="B2781" t="s">
        <v>3183</v>
      </c>
      <c r="C2781" t="s">
        <v>836</v>
      </c>
      <c r="D2781" t="s">
        <v>563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2:19">
      <c r="B2782" t="s">
        <v>3184</v>
      </c>
      <c r="C2782" t="s">
        <v>836</v>
      </c>
      <c r="D2782" t="s">
        <v>563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2:19">
      <c r="B2783" t="s">
        <v>5658</v>
      </c>
      <c r="C2783" t="s">
        <v>836</v>
      </c>
      <c r="D2783" t="s">
        <v>563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2:19">
      <c r="B2784" t="s">
        <v>5659</v>
      </c>
      <c r="C2784" t="s">
        <v>836</v>
      </c>
      <c r="D2784" t="s">
        <v>563</v>
      </c>
      <c r="E2784">
        <v>22</v>
      </c>
      <c r="F2784">
        <v>1100</v>
      </c>
      <c r="G2784">
        <v>0</v>
      </c>
      <c r="H2784">
        <v>0</v>
      </c>
      <c r="I2784">
        <v>1219.67</v>
      </c>
      <c r="J2784">
        <v>1219.67</v>
      </c>
      <c r="K2784">
        <v>1219.67</v>
      </c>
      <c r="L2784">
        <v>1219.67</v>
      </c>
      <c r="M2784">
        <v>1375</v>
      </c>
      <c r="N2784">
        <v>-0.1129</v>
      </c>
      <c r="O2784">
        <v>51</v>
      </c>
      <c r="P2784">
        <v>6220317</v>
      </c>
      <c r="Q2784">
        <v>1219.67</v>
      </c>
      <c r="R2784">
        <v>0</v>
      </c>
      <c r="S2784" t="s">
        <v>6279</v>
      </c>
    </row>
    <row r="2785" spans="2:18">
      <c r="B2785" t="s">
        <v>5660</v>
      </c>
      <c r="C2785" t="s">
        <v>836</v>
      </c>
      <c r="D2785" t="s">
        <v>563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2:18">
      <c r="B2786" t="s">
        <v>3185</v>
      </c>
      <c r="C2786" t="s">
        <v>836</v>
      </c>
      <c r="D2786" t="s">
        <v>563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2:18">
      <c r="B2787" t="s">
        <v>3186</v>
      </c>
      <c r="C2787" t="s">
        <v>836</v>
      </c>
      <c r="D2787" t="s">
        <v>563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2:18">
      <c r="B2788" t="s">
        <v>3187</v>
      </c>
      <c r="C2788" t="s">
        <v>836</v>
      </c>
      <c r="D2788" t="s">
        <v>563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2:18">
      <c r="B2789" t="s">
        <v>3188</v>
      </c>
      <c r="C2789" t="s">
        <v>836</v>
      </c>
      <c r="D2789" t="s">
        <v>563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2:18">
      <c r="B2790" t="s">
        <v>3189</v>
      </c>
      <c r="C2790" t="s">
        <v>836</v>
      </c>
      <c r="D2790" t="s">
        <v>563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2:18">
      <c r="B2791" t="s">
        <v>3190</v>
      </c>
      <c r="C2791" t="s">
        <v>836</v>
      </c>
      <c r="D2791" t="s">
        <v>563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2:18">
      <c r="B2792" t="s">
        <v>5661</v>
      </c>
      <c r="C2792" t="s">
        <v>836</v>
      </c>
      <c r="D2792" t="s">
        <v>563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</row>
    <row r="2793" spans="2:18">
      <c r="B2793" t="s">
        <v>3191</v>
      </c>
      <c r="C2793" t="s">
        <v>836</v>
      </c>
      <c r="D2793" t="s">
        <v>563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2:18">
      <c r="B2794" t="s">
        <v>3192</v>
      </c>
      <c r="C2794" t="s">
        <v>836</v>
      </c>
      <c r="D2794" t="s">
        <v>563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2:18">
      <c r="B2795" t="s">
        <v>3193</v>
      </c>
      <c r="C2795" t="s">
        <v>836</v>
      </c>
      <c r="D2795" t="s">
        <v>563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2:18">
      <c r="B2796" t="s">
        <v>3194</v>
      </c>
      <c r="C2796" t="s">
        <v>836</v>
      </c>
      <c r="D2796" t="s">
        <v>563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2:18">
      <c r="B2797" t="s">
        <v>5662</v>
      </c>
      <c r="C2797" t="s">
        <v>836</v>
      </c>
      <c r="D2797" t="s">
        <v>563</v>
      </c>
      <c r="E2797">
        <v>14</v>
      </c>
      <c r="F2797">
        <v>1500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1505.5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2:18">
      <c r="B2798" t="s">
        <v>5663</v>
      </c>
      <c r="C2798" t="s">
        <v>836</v>
      </c>
      <c r="D2798" t="s">
        <v>563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2:18">
      <c r="B2799" t="s">
        <v>5664</v>
      </c>
      <c r="C2799" t="s">
        <v>836</v>
      </c>
      <c r="D2799" t="s">
        <v>563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2:18">
      <c r="B2800" t="s">
        <v>3195</v>
      </c>
      <c r="C2800" t="s">
        <v>836</v>
      </c>
      <c r="D2800" t="s">
        <v>563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2:18">
      <c r="B2801" t="s">
        <v>3196</v>
      </c>
      <c r="C2801" t="s">
        <v>836</v>
      </c>
      <c r="D2801" t="s">
        <v>563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2:18">
      <c r="B2802" t="s">
        <v>3197</v>
      </c>
      <c r="C2802" t="s">
        <v>836</v>
      </c>
      <c r="D2802" t="s">
        <v>563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2:18">
      <c r="B2803" t="s">
        <v>5665</v>
      </c>
      <c r="C2803" t="s">
        <v>836</v>
      </c>
      <c r="D2803" t="s">
        <v>563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2:18">
      <c r="B2804" t="s">
        <v>3198</v>
      </c>
      <c r="C2804" t="s">
        <v>836</v>
      </c>
      <c r="D2804" t="s">
        <v>563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2:18">
      <c r="B2805" t="s">
        <v>3199</v>
      </c>
      <c r="C2805" t="s">
        <v>836</v>
      </c>
      <c r="D2805" t="s">
        <v>563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2:18">
      <c r="B2806" t="s">
        <v>3200</v>
      </c>
      <c r="C2806" t="s">
        <v>836</v>
      </c>
      <c r="D2806" t="s">
        <v>563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2:18">
      <c r="B2807" t="s">
        <v>5666</v>
      </c>
      <c r="C2807" t="s">
        <v>836</v>
      </c>
      <c r="D2807" t="s">
        <v>563</v>
      </c>
      <c r="E2807">
        <v>15</v>
      </c>
      <c r="F2807">
        <v>1800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2:18">
      <c r="B2808" t="s">
        <v>5667</v>
      </c>
      <c r="C2808" t="s">
        <v>836</v>
      </c>
      <c r="D2808" t="s">
        <v>563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2:18">
      <c r="B2809" t="s">
        <v>3201</v>
      </c>
      <c r="C2809" t="s">
        <v>836</v>
      </c>
      <c r="D2809" t="s">
        <v>563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2:18">
      <c r="B2810" t="s">
        <v>3202</v>
      </c>
      <c r="C2810" t="s">
        <v>836</v>
      </c>
      <c r="D2810" t="s">
        <v>563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2:18">
      <c r="B2811" t="s">
        <v>3203</v>
      </c>
      <c r="C2811" t="s">
        <v>836</v>
      </c>
      <c r="D2811" t="s">
        <v>563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2:18">
      <c r="B2812" t="s">
        <v>3204</v>
      </c>
      <c r="C2812" t="s">
        <v>836</v>
      </c>
      <c r="D2812" t="s">
        <v>563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2:18">
      <c r="B2813" t="s">
        <v>5668</v>
      </c>
      <c r="C2813" t="s">
        <v>836</v>
      </c>
      <c r="D2813" t="s">
        <v>563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2:18">
      <c r="B2814" t="s">
        <v>5669</v>
      </c>
      <c r="C2814" t="s">
        <v>836</v>
      </c>
      <c r="D2814" t="s">
        <v>563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2:18">
      <c r="B2815" t="s">
        <v>3205</v>
      </c>
      <c r="C2815" t="s">
        <v>836</v>
      </c>
      <c r="D2815" t="s">
        <v>563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2:18">
      <c r="B2816" t="s">
        <v>3206</v>
      </c>
      <c r="C2816" t="s">
        <v>836</v>
      </c>
      <c r="D2816" t="s">
        <v>563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2:18">
      <c r="B2817" t="s">
        <v>3207</v>
      </c>
      <c r="C2817" t="s">
        <v>836</v>
      </c>
      <c r="D2817" t="s">
        <v>563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2:18">
      <c r="B2818" t="s">
        <v>5670</v>
      </c>
      <c r="C2818" t="s">
        <v>836</v>
      </c>
      <c r="D2818" t="s">
        <v>563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2:18">
      <c r="B2819" t="s">
        <v>5671</v>
      </c>
      <c r="C2819" t="s">
        <v>836</v>
      </c>
      <c r="D2819" t="s">
        <v>563</v>
      </c>
      <c r="E2819">
        <v>15</v>
      </c>
      <c r="F2819">
        <v>1800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1905.5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2:18">
      <c r="B2820" t="s">
        <v>3208</v>
      </c>
      <c r="C2820" t="s">
        <v>836</v>
      </c>
      <c r="D2820" t="s">
        <v>563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2:18">
      <c r="B2821" t="s">
        <v>3209</v>
      </c>
      <c r="C2821" t="s">
        <v>836</v>
      </c>
      <c r="D2821" t="s">
        <v>563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2:18">
      <c r="B2822" t="s">
        <v>3210</v>
      </c>
      <c r="C2822" t="s">
        <v>836</v>
      </c>
      <c r="D2822" t="s">
        <v>563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2:18">
      <c r="B2823" t="s">
        <v>3211</v>
      </c>
      <c r="C2823" t="s">
        <v>836</v>
      </c>
      <c r="D2823" t="s">
        <v>563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2:18">
      <c r="B2824" t="s">
        <v>3212</v>
      </c>
      <c r="C2824" t="s">
        <v>836</v>
      </c>
      <c r="D2824" t="s">
        <v>563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2:18">
      <c r="B2825" t="s">
        <v>3213</v>
      </c>
      <c r="C2825" t="s">
        <v>836</v>
      </c>
      <c r="D2825" t="s">
        <v>563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2:18">
      <c r="B2826" t="s">
        <v>3214</v>
      </c>
      <c r="C2826" t="s">
        <v>836</v>
      </c>
      <c r="D2826" t="s">
        <v>563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2:18">
      <c r="B2827" t="s">
        <v>3215</v>
      </c>
      <c r="C2827" t="s">
        <v>836</v>
      </c>
      <c r="D2827" t="s">
        <v>563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2:18">
      <c r="B2828" t="s">
        <v>3216</v>
      </c>
      <c r="C2828" t="s">
        <v>836</v>
      </c>
      <c r="D2828" t="s">
        <v>563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2:18">
      <c r="B2829" t="s">
        <v>3217</v>
      </c>
      <c r="C2829" t="s">
        <v>836</v>
      </c>
      <c r="D2829" t="s">
        <v>563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2:18">
      <c r="B2830" t="s">
        <v>5672</v>
      </c>
      <c r="C2830" t="s">
        <v>836</v>
      </c>
      <c r="D2830" t="s">
        <v>563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2:18">
      <c r="B2831" t="s">
        <v>5673</v>
      </c>
      <c r="C2831" t="s">
        <v>836</v>
      </c>
      <c r="D2831" t="s">
        <v>563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2:18">
      <c r="B2832" t="s">
        <v>3218</v>
      </c>
      <c r="C2832" t="s">
        <v>836</v>
      </c>
      <c r="D2832" t="s">
        <v>563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2:18">
      <c r="B2833" t="s">
        <v>3219</v>
      </c>
      <c r="C2833" t="s">
        <v>836</v>
      </c>
      <c r="D2833" t="s">
        <v>563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2:18">
      <c r="B2834" t="s">
        <v>3220</v>
      </c>
      <c r="C2834" t="s">
        <v>836</v>
      </c>
      <c r="D2834" t="s">
        <v>563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2:18">
      <c r="B2835" t="s">
        <v>3221</v>
      </c>
      <c r="C2835" t="s">
        <v>836</v>
      </c>
      <c r="D2835" t="s">
        <v>563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2:18">
      <c r="B2836" t="s">
        <v>3222</v>
      </c>
      <c r="C2836" t="s">
        <v>836</v>
      </c>
      <c r="D2836" t="s">
        <v>563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2:18">
      <c r="B2837" t="s">
        <v>3223</v>
      </c>
      <c r="C2837" t="s">
        <v>836</v>
      </c>
      <c r="D2837" t="s">
        <v>563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2:18">
      <c r="B2838" t="s">
        <v>3224</v>
      </c>
      <c r="C2838" t="s">
        <v>836</v>
      </c>
      <c r="D2838" t="s">
        <v>563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2:18">
      <c r="B2839" t="s">
        <v>3225</v>
      </c>
      <c r="C2839" t="s">
        <v>836</v>
      </c>
      <c r="D2839" t="s">
        <v>563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2:18">
      <c r="B2840" t="s">
        <v>3226</v>
      </c>
      <c r="C2840" t="s">
        <v>836</v>
      </c>
      <c r="D2840" t="s">
        <v>563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2:18">
      <c r="B2841" t="s">
        <v>3227</v>
      </c>
      <c r="C2841" t="s">
        <v>836</v>
      </c>
      <c r="D2841" t="s">
        <v>563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2:18">
      <c r="B2842" t="s">
        <v>3228</v>
      </c>
      <c r="C2842" t="s">
        <v>836</v>
      </c>
      <c r="D2842" t="s">
        <v>563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2:18">
      <c r="B2843" t="s">
        <v>3229</v>
      </c>
      <c r="C2843" t="s">
        <v>836</v>
      </c>
      <c r="D2843" t="s">
        <v>563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2:18">
      <c r="B2844" t="s">
        <v>3230</v>
      </c>
      <c r="C2844" t="s">
        <v>836</v>
      </c>
      <c r="D2844" t="s">
        <v>563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2:18">
      <c r="B2845" t="s">
        <v>3231</v>
      </c>
      <c r="C2845" t="s">
        <v>836</v>
      </c>
      <c r="D2845" t="s">
        <v>563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2:18">
      <c r="B2846" t="s">
        <v>3232</v>
      </c>
      <c r="C2846" t="s">
        <v>836</v>
      </c>
      <c r="D2846" t="s">
        <v>563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2:18">
      <c r="B2847" t="s">
        <v>3233</v>
      </c>
      <c r="C2847" t="s">
        <v>836</v>
      </c>
      <c r="D2847" t="s">
        <v>563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2:18">
      <c r="B2848" t="s">
        <v>3234</v>
      </c>
      <c r="C2848" t="s">
        <v>836</v>
      </c>
      <c r="D2848" t="s">
        <v>563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2:18">
      <c r="B2849" t="s">
        <v>3235</v>
      </c>
      <c r="C2849" t="s">
        <v>836</v>
      </c>
      <c r="D2849" t="s">
        <v>563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2:18">
      <c r="B2850" t="s">
        <v>3236</v>
      </c>
      <c r="C2850" t="s">
        <v>836</v>
      </c>
      <c r="D2850" t="s">
        <v>563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2:18">
      <c r="B2851" t="s">
        <v>3237</v>
      </c>
      <c r="C2851" t="s">
        <v>836</v>
      </c>
      <c r="D2851" t="s">
        <v>563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2:18">
      <c r="B2852" t="s">
        <v>3238</v>
      </c>
      <c r="C2852" t="s">
        <v>836</v>
      </c>
      <c r="D2852" t="s">
        <v>563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2:18">
      <c r="B2853" t="s">
        <v>3239</v>
      </c>
      <c r="C2853" t="s">
        <v>836</v>
      </c>
      <c r="D2853" t="s">
        <v>563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2:18">
      <c r="B2854" t="s">
        <v>3240</v>
      </c>
      <c r="C2854" t="s">
        <v>836</v>
      </c>
      <c r="D2854" t="s">
        <v>563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2:18">
      <c r="B2855" t="s">
        <v>3241</v>
      </c>
      <c r="C2855" t="s">
        <v>836</v>
      </c>
      <c r="D2855" t="s">
        <v>563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2:18">
      <c r="B2856" t="s">
        <v>3242</v>
      </c>
      <c r="C2856" t="s">
        <v>836</v>
      </c>
      <c r="D2856" t="s">
        <v>563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2:18">
      <c r="B2857" t="s">
        <v>3243</v>
      </c>
      <c r="C2857" t="s">
        <v>836</v>
      </c>
      <c r="D2857" t="s">
        <v>563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2:18">
      <c r="B2858" t="s">
        <v>3244</v>
      </c>
      <c r="C2858" t="s">
        <v>836</v>
      </c>
      <c r="D2858" t="s">
        <v>563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2:18">
      <c r="B2859" t="s">
        <v>3245</v>
      </c>
      <c r="C2859" t="s">
        <v>836</v>
      </c>
      <c r="D2859" t="s">
        <v>563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2:18">
      <c r="B2860" t="s">
        <v>3246</v>
      </c>
      <c r="C2860" t="s">
        <v>836</v>
      </c>
      <c r="D2860" t="s">
        <v>563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2:18">
      <c r="B2861" t="s">
        <v>3247</v>
      </c>
      <c r="C2861" t="s">
        <v>836</v>
      </c>
      <c r="D2861" t="s">
        <v>563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2:18">
      <c r="B2862" t="s">
        <v>3248</v>
      </c>
      <c r="C2862" t="s">
        <v>836</v>
      </c>
      <c r="D2862" t="s">
        <v>563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2:18">
      <c r="B2863" t="s">
        <v>3249</v>
      </c>
      <c r="C2863" t="s">
        <v>836</v>
      </c>
      <c r="D2863" t="s">
        <v>563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2:18">
      <c r="B2864" t="s">
        <v>3250</v>
      </c>
      <c r="C2864" t="s">
        <v>836</v>
      </c>
      <c r="D2864" t="s">
        <v>563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2:18">
      <c r="B2865" t="s">
        <v>3251</v>
      </c>
      <c r="C2865" t="s">
        <v>836</v>
      </c>
      <c r="D2865" t="s">
        <v>563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2:18">
      <c r="B2866" t="s">
        <v>3252</v>
      </c>
      <c r="C2866" t="s">
        <v>836</v>
      </c>
      <c r="D2866" t="s">
        <v>563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2:18">
      <c r="B2867" t="s">
        <v>3253</v>
      </c>
      <c r="C2867" t="s">
        <v>836</v>
      </c>
      <c r="D2867" t="s">
        <v>563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2:18">
      <c r="B2868" t="s">
        <v>3254</v>
      </c>
      <c r="C2868" t="s">
        <v>836</v>
      </c>
      <c r="D2868" t="s">
        <v>563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2:18">
      <c r="B2869" t="s">
        <v>3255</v>
      </c>
      <c r="C2869" t="s">
        <v>836</v>
      </c>
      <c r="D2869" t="s">
        <v>563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2:18">
      <c r="B2870" t="s">
        <v>3256</v>
      </c>
      <c r="C2870" t="s">
        <v>836</v>
      </c>
      <c r="D2870" t="s">
        <v>563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2:18">
      <c r="B2871" t="s">
        <v>3257</v>
      </c>
      <c r="C2871" t="s">
        <v>836</v>
      </c>
      <c r="D2871" t="s">
        <v>563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2:18">
      <c r="B2872" t="s">
        <v>3258</v>
      </c>
      <c r="C2872" t="s">
        <v>836</v>
      </c>
      <c r="D2872" t="s">
        <v>563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2:18">
      <c r="B2873" t="s">
        <v>3259</v>
      </c>
      <c r="C2873" t="s">
        <v>836</v>
      </c>
      <c r="D2873" t="s">
        <v>563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2:18">
      <c r="B2874" t="s">
        <v>3260</v>
      </c>
      <c r="C2874" t="s">
        <v>836</v>
      </c>
      <c r="D2874" t="s">
        <v>563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2:18">
      <c r="B2875" t="s">
        <v>3261</v>
      </c>
      <c r="C2875" t="s">
        <v>836</v>
      </c>
      <c r="D2875" t="s">
        <v>563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2:18">
      <c r="B2876" t="s">
        <v>3262</v>
      </c>
      <c r="C2876" t="s">
        <v>836</v>
      </c>
      <c r="D2876" t="s">
        <v>563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2:18">
      <c r="B2877" t="s">
        <v>3263</v>
      </c>
      <c r="C2877" t="s">
        <v>836</v>
      </c>
      <c r="D2877" t="s">
        <v>563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2:18">
      <c r="B2878" t="s">
        <v>3264</v>
      </c>
      <c r="C2878" t="s">
        <v>836</v>
      </c>
      <c r="D2878" t="s">
        <v>563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2:18">
      <c r="B2879" t="s">
        <v>3265</v>
      </c>
      <c r="C2879" t="s">
        <v>836</v>
      </c>
      <c r="D2879" t="s">
        <v>563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2:18">
      <c r="B2880" t="s">
        <v>3266</v>
      </c>
      <c r="C2880" t="s">
        <v>836</v>
      </c>
      <c r="D2880" t="s">
        <v>563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2:18">
      <c r="B2881" t="s">
        <v>3267</v>
      </c>
      <c r="C2881" t="s">
        <v>836</v>
      </c>
      <c r="D2881" t="s">
        <v>563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2:18">
      <c r="B2882" t="s">
        <v>3268</v>
      </c>
      <c r="C2882" t="s">
        <v>836</v>
      </c>
      <c r="D2882" t="s">
        <v>563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2:18">
      <c r="B2883" t="s">
        <v>3269</v>
      </c>
      <c r="C2883" t="s">
        <v>836</v>
      </c>
      <c r="D2883" t="s">
        <v>563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2:18">
      <c r="B2884" t="s">
        <v>3270</v>
      </c>
      <c r="C2884" t="s">
        <v>836</v>
      </c>
      <c r="D2884" t="s">
        <v>563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2:18">
      <c r="B2885" t="s">
        <v>3271</v>
      </c>
      <c r="C2885" t="s">
        <v>836</v>
      </c>
      <c r="D2885" t="s">
        <v>563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2:18">
      <c r="B2886" t="s">
        <v>3272</v>
      </c>
      <c r="C2886" t="s">
        <v>836</v>
      </c>
      <c r="D2886" t="s">
        <v>563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2:18">
      <c r="B2887" t="s">
        <v>3273</v>
      </c>
      <c r="C2887" t="s">
        <v>836</v>
      </c>
      <c r="D2887" t="s">
        <v>563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2:18">
      <c r="B2888" t="s">
        <v>5674</v>
      </c>
      <c r="C2888" t="s">
        <v>836</v>
      </c>
      <c r="D2888" t="s">
        <v>563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2:18">
      <c r="B2889" t="s">
        <v>3274</v>
      </c>
      <c r="C2889" t="s">
        <v>836</v>
      </c>
      <c r="D2889" t="s">
        <v>563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2:18">
      <c r="B2890" t="s">
        <v>3275</v>
      </c>
      <c r="C2890" t="s">
        <v>836</v>
      </c>
      <c r="D2890" t="s">
        <v>563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2:18">
      <c r="B2891" t="s">
        <v>3276</v>
      </c>
      <c r="C2891" t="s">
        <v>836</v>
      </c>
      <c r="D2891" t="s">
        <v>563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2:18">
      <c r="B2892" t="s">
        <v>3277</v>
      </c>
      <c r="C2892" t="s">
        <v>836</v>
      </c>
      <c r="D2892" t="s">
        <v>563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2:18">
      <c r="B2893" t="s">
        <v>3278</v>
      </c>
      <c r="C2893" t="s">
        <v>836</v>
      </c>
      <c r="D2893" t="s">
        <v>563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2:18">
      <c r="B2894" t="s">
        <v>3279</v>
      </c>
      <c r="C2894" t="s">
        <v>836</v>
      </c>
      <c r="D2894" t="s">
        <v>563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2:18">
      <c r="B2895" t="s">
        <v>3280</v>
      </c>
      <c r="C2895" t="s">
        <v>836</v>
      </c>
      <c r="D2895" t="s">
        <v>563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2:18">
      <c r="B2896" t="s">
        <v>3281</v>
      </c>
      <c r="C2896" t="s">
        <v>836</v>
      </c>
      <c r="D2896" t="s">
        <v>563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2:18">
      <c r="B2897" t="s">
        <v>3282</v>
      </c>
      <c r="C2897" t="s">
        <v>836</v>
      </c>
      <c r="D2897" t="s">
        <v>563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2:18">
      <c r="B2898" t="s">
        <v>3283</v>
      </c>
      <c r="C2898" t="s">
        <v>836</v>
      </c>
      <c r="D2898" t="s">
        <v>563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2:18">
      <c r="B2899" t="s">
        <v>3284</v>
      </c>
      <c r="C2899" t="s">
        <v>836</v>
      </c>
      <c r="D2899" t="s">
        <v>563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2:18">
      <c r="B2900" t="s">
        <v>3285</v>
      </c>
      <c r="C2900" t="s">
        <v>836</v>
      </c>
      <c r="D2900" t="s">
        <v>563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2:18">
      <c r="B2901" t="s">
        <v>3286</v>
      </c>
      <c r="C2901" t="s">
        <v>836</v>
      </c>
      <c r="D2901" t="s">
        <v>563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2:18">
      <c r="B2902" t="s">
        <v>3287</v>
      </c>
      <c r="C2902" t="s">
        <v>836</v>
      </c>
      <c r="D2902" t="s">
        <v>563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2:18">
      <c r="B2903" t="s">
        <v>3288</v>
      </c>
      <c r="C2903" t="s">
        <v>836</v>
      </c>
      <c r="D2903" t="s">
        <v>563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2:18">
      <c r="B2904" t="s">
        <v>3289</v>
      </c>
      <c r="C2904" t="s">
        <v>836</v>
      </c>
      <c r="D2904" t="s">
        <v>563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2:18">
      <c r="B2905" t="s">
        <v>3290</v>
      </c>
      <c r="C2905" t="s">
        <v>836</v>
      </c>
      <c r="D2905" t="s">
        <v>563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2:18">
      <c r="B2906" t="s">
        <v>3291</v>
      </c>
      <c r="C2906" t="s">
        <v>836</v>
      </c>
      <c r="D2906" t="s">
        <v>563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2:18">
      <c r="B2907" t="s">
        <v>3292</v>
      </c>
      <c r="C2907" t="s">
        <v>836</v>
      </c>
      <c r="D2907" t="s">
        <v>563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2:18">
      <c r="B2908" t="s">
        <v>3293</v>
      </c>
      <c r="C2908" t="s">
        <v>836</v>
      </c>
      <c r="D2908" t="s">
        <v>563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2:18">
      <c r="B2909" t="s">
        <v>3294</v>
      </c>
      <c r="C2909" t="s">
        <v>836</v>
      </c>
      <c r="D2909" t="s">
        <v>563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2:18">
      <c r="B2910" t="s">
        <v>3295</v>
      </c>
      <c r="C2910" t="s">
        <v>836</v>
      </c>
      <c r="D2910" t="s">
        <v>563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2:18">
      <c r="B2911" t="s">
        <v>3296</v>
      </c>
      <c r="C2911" t="s">
        <v>836</v>
      </c>
      <c r="D2911" t="s">
        <v>563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2:18">
      <c r="B2912" t="s">
        <v>3297</v>
      </c>
      <c r="C2912" t="s">
        <v>836</v>
      </c>
      <c r="D2912" t="s">
        <v>563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2:18">
      <c r="B2913" t="s">
        <v>3298</v>
      </c>
      <c r="C2913" t="s">
        <v>836</v>
      </c>
      <c r="D2913" t="s">
        <v>563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2:18">
      <c r="B2914" t="s">
        <v>3299</v>
      </c>
      <c r="C2914" t="s">
        <v>836</v>
      </c>
      <c r="D2914" t="s">
        <v>563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2:18">
      <c r="B2915" t="s">
        <v>3300</v>
      </c>
      <c r="C2915" t="s">
        <v>836</v>
      </c>
      <c r="D2915" t="s">
        <v>563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2:18">
      <c r="B2916" t="s">
        <v>5675</v>
      </c>
      <c r="C2916" t="s">
        <v>836</v>
      </c>
      <c r="D2916" t="s">
        <v>563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2:18">
      <c r="B2917" t="s">
        <v>3301</v>
      </c>
      <c r="C2917" t="s">
        <v>836</v>
      </c>
      <c r="D2917" t="s">
        <v>563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2:18">
      <c r="B2918" t="s">
        <v>3302</v>
      </c>
      <c r="C2918" t="s">
        <v>836</v>
      </c>
      <c r="D2918" t="s">
        <v>563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2:18">
      <c r="B2919" t="s">
        <v>3303</v>
      </c>
      <c r="C2919" t="s">
        <v>836</v>
      </c>
      <c r="D2919" t="s">
        <v>563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</row>
    <row r="2920" spans="2:18">
      <c r="B2920" t="s">
        <v>3304</v>
      </c>
      <c r="C2920" t="s">
        <v>836</v>
      </c>
      <c r="D2920" t="s">
        <v>563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2:18">
      <c r="B2921" t="s">
        <v>3305</v>
      </c>
      <c r="C2921" t="s">
        <v>836</v>
      </c>
      <c r="D2921" t="s">
        <v>563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2:18">
      <c r="B2922" t="s">
        <v>3306</v>
      </c>
      <c r="C2922" t="s">
        <v>836</v>
      </c>
      <c r="D2922" t="s">
        <v>563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2:18">
      <c r="B2923" t="s">
        <v>3307</v>
      </c>
      <c r="C2923" t="s">
        <v>836</v>
      </c>
      <c r="D2923" t="s">
        <v>563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2:18">
      <c r="B2924" t="s">
        <v>3308</v>
      </c>
      <c r="C2924" t="s">
        <v>836</v>
      </c>
      <c r="D2924" t="s">
        <v>563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2:18">
      <c r="B2925" t="s">
        <v>3309</v>
      </c>
      <c r="C2925" t="s">
        <v>836</v>
      </c>
      <c r="D2925" t="s">
        <v>563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2:18">
      <c r="B2926" t="s">
        <v>3310</v>
      </c>
      <c r="C2926" t="s">
        <v>836</v>
      </c>
      <c r="D2926" t="s">
        <v>563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2:18">
      <c r="B2927" t="s">
        <v>3311</v>
      </c>
      <c r="C2927" t="s">
        <v>836</v>
      </c>
      <c r="D2927" t="s">
        <v>563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2:18">
      <c r="B2928" t="s">
        <v>3312</v>
      </c>
      <c r="C2928" t="s">
        <v>836</v>
      </c>
      <c r="D2928" t="s">
        <v>563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2:18">
      <c r="B2929" t="s">
        <v>3313</v>
      </c>
      <c r="C2929" t="s">
        <v>836</v>
      </c>
      <c r="D2929" t="s">
        <v>563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2:18">
      <c r="B2930" t="s">
        <v>3314</v>
      </c>
      <c r="C2930" t="s">
        <v>836</v>
      </c>
      <c r="D2930" t="s">
        <v>563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2:18">
      <c r="B2931" t="s">
        <v>3315</v>
      </c>
      <c r="C2931" t="s">
        <v>836</v>
      </c>
      <c r="D2931" t="s">
        <v>563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2:18">
      <c r="B2932" t="s">
        <v>3316</v>
      </c>
      <c r="C2932" t="s">
        <v>836</v>
      </c>
      <c r="D2932" t="s">
        <v>563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2:18">
      <c r="B2933" t="s">
        <v>3317</v>
      </c>
      <c r="C2933" t="s">
        <v>836</v>
      </c>
      <c r="D2933" t="s">
        <v>563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2:18">
      <c r="B2934" t="s">
        <v>3318</v>
      </c>
      <c r="C2934" t="s">
        <v>836</v>
      </c>
      <c r="D2934" t="s">
        <v>563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2:18">
      <c r="B2935" t="s">
        <v>3319</v>
      </c>
      <c r="C2935" t="s">
        <v>836</v>
      </c>
      <c r="D2935" t="s">
        <v>563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2:18">
      <c r="B2936" t="s">
        <v>3320</v>
      </c>
      <c r="C2936" t="s">
        <v>836</v>
      </c>
      <c r="D2936" t="s">
        <v>563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2:18">
      <c r="B2937" t="s">
        <v>3321</v>
      </c>
      <c r="C2937" t="s">
        <v>836</v>
      </c>
      <c r="D2937" t="s">
        <v>563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2:18">
      <c r="B2938" t="s">
        <v>3322</v>
      </c>
      <c r="C2938" t="s">
        <v>836</v>
      </c>
      <c r="D2938" t="s">
        <v>563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2:18">
      <c r="B2939" t="s">
        <v>3323</v>
      </c>
      <c r="C2939" t="s">
        <v>836</v>
      </c>
      <c r="D2939" t="s">
        <v>563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2:18">
      <c r="B2940" t="s">
        <v>3324</v>
      </c>
      <c r="C2940" t="s">
        <v>836</v>
      </c>
      <c r="D2940" t="s">
        <v>563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2:18">
      <c r="B2941" t="s">
        <v>3325</v>
      </c>
      <c r="C2941" t="s">
        <v>836</v>
      </c>
      <c r="D2941" t="s">
        <v>563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2:18">
      <c r="B2942" t="s">
        <v>3326</v>
      </c>
      <c r="C2942" t="s">
        <v>836</v>
      </c>
      <c r="D2942" t="s">
        <v>563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2:18">
      <c r="B2943" t="s">
        <v>3327</v>
      </c>
      <c r="C2943" t="s">
        <v>836</v>
      </c>
      <c r="D2943" t="s">
        <v>563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2:18">
      <c r="B2944" t="s">
        <v>3328</v>
      </c>
      <c r="C2944" t="s">
        <v>836</v>
      </c>
      <c r="D2944" t="s">
        <v>563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2:18">
      <c r="B2945" t="s">
        <v>3329</v>
      </c>
      <c r="C2945" t="s">
        <v>836</v>
      </c>
      <c r="D2945" t="s">
        <v>563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2:18">
      <c r="B2946" t="s">
        <v>3330</v>
      </c>
      <c r="C2946" t="s">
        <v>836</v>
      </c>
      <c r="D2946" t="s">
        <v>563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2:18">
      <c r="B2947" t="s">
        <v>3331</v>
      </c>
      <c r="C2947" t="s">
        <v>836</v>
      </c>
      <c r="D2947" t="s">
        <v>563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2:18">
      <c r="B2948" t="s">
        <v>3332</v>
      </c>
      <c r="C2948" t="s">
        <v>836</v>
      </c>
      <c r="D2948" t="s">
        <v>563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2:18">
      <c r="B2949" t="s">
        <v>3333</v>
      </c>
      <c r="C2949" t="s">
        <v>836</v>
      </c>
      <c r="D2949" t="s">
        <v>563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2:18">
      <c r="B2950" t="s">
        <v>3334</v>
      </c>
      <c r="C2950" t="s">
        <v>836</v>
      </c>
      <c r="D2950" t="s">
        <v>563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2:18">
      <c r="B2951" t="s">
        <v>3335</v>
      </c>
      <c r="C2951" t="s">
        <v>836</v>
      </c>
      <c r="D2951" t="s">
        <v>563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2:18">
      <c r="B2952" t="s">
        <v>3336</v>
      </c>
      <c r="C2952" t="s">
        <v>836</v>
      </c>
      <c r="D2952" t="s">
        <v>563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2:18">
      <c r="B2953" t="s">
        <v>3337</v>
      </c>
      <c r="C2953" t="s">
        <v>836</v>
      </c>
      <c r="D2953" t="s">
        <v>563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2:18">
      <c r="B2954" t="s">
        <v>3338</v>
      </c>
      <c r="C2954" t="s">
        <v>836</v>
      </c>
      <c r="D2954" t="s">
        <v>563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2:18">
      <c r="B2955" t="s">
        <v>3339</v>
      </c>
      <c r="C2955" t="s">
        <v>836</v>
      </c>
      <c r="D2955" t="s">
        <v>563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2:18">
      <c r="B2956" t="s">
        <v>3340</v>
      </c>
      <c r="C2956" t="s">
        <v>836</v>
      </c>
      <c r="D2956" t="s">
        <v>563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2:18">
      <c r="B2957" t="s">
        <v>3341</v>
      </c>
      <c r="C2957" t="s">
        <v>836</v>
      </c>
      <c r="D2957" t="s">
        <v>563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2:18">
      <c r="B2958" t="s">
        <v>3342</v>
      </c>
      <c r="C2958" t="s">
        <v>836</v>
      </c>
      <c r="D2958" t="s">
        <v>563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2:18">
      <c r="B2959" t="s">
        <v>3343</v>
      </c>
      <c r="C2959" t="s">
        <v>836</v>
      </c>
      <c r="D2959" t="s">
        <v>563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2:18">
      <c r="B2960" t="s">
        <v>3344</v>
      </c>
      <c r="C2960" t="s">
        <v>836</v>
      </c>
      <c r="D2960" t="s">
        <v>563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2:18">
      <c r="B2961" t="s">
        <v>3345</v>
      </c>
      <c r="C2961" t="s">
        <v>836</v>
      </c>
      <c r="D2961" t="s">
        <v>563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2:18">
      <c r="B2962" t="s">
        <v>3346</v>
      </c>
      <c r="C2962" t="s">
        <v>836</v>
      </c>
      <c r="D2962" t="s">
        <v>563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2:18">
      <c r="B2963" t="s">
        <v>3347</v>
      </c>
      <c r="C2963" t="s">
        <v>836</v>
      </c>
      <c r="D2963" t="s">
        <v>563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2:18">
      <c r="B2964" t="s">
        <v>3348</v>
      </c>
      <c r="C2964" t="s">
        <v>836</v>
      </c>
      <c r="D2964" t="s">
        <v>563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2:18">
      <c r="B2965" t="s">
        <v>3349</v>
      </c>
      <c r="C2965" t="s">
        <v>836</v>
      </c>
      <c r="D2965" t="s">
        <v>563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2:18">
      <c r="B2966" t="s">
        <v>3350</v>
      </c>
      <c r="C2966" t="s">
        <v>836</v>
      </c>
      <c r="D2966" t="s">
        <v>563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2:18">
      <c r="B2967" t="s">
        <v>3351</v>
      </c>
      <c r="C2967" t="s">
        <v>836</v>
      </c>
      <c r="D2967" t="s">
        <v>563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2:18">
      <c r="B2968" t="s">
        <v>3352</v>
      </c>
      <c r="C2968" t="s">
        <v>836</v>
      </c>
      <c r="D2968" t="s">
        <v>563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2:18">
      <c r="B2969" t="s">
        <v>3353</v>
      </c>
      <c r="C2969" t="s">
        <v>836</v>
      </c>
      <c r="D2969" t="s">
        <v>563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2:18">
      <c r="B2970" t="s">
        <v>3354</v>
      </c>
      <c r="C2970" t="s">
        <v>836</v>
      </c>
      <c r="D2970" t="s">
        <v>563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2:18">
      <c r="B2971" t="s">
        <v>3355</v>
      </c>
      <c r="C2971" t="s">
        <v>836</v>
      </c>
      <c r="D2971" t="s">
        <v>563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2:18">
      <c r="B2972" t="s">
        <v>3356</v>
      </c>
      <c r="C2972" t="s">
        <v>836</v>
      </c>
      <c r="D2972" t="s">
        <v>563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2:18">
      <c r="B2973" t="s">
        <v>3357</v>
      </c>
      <c r="C2973" t="s">
        <v>836</v>
      </c>
      <c r="D2973" t="s">
        <v>563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2:18">
      <c r="B2974" t="s">
        <v>3358</v>
      </c>
      <c r="C2974" t="s">
        <v>836</v>
      </c>
      <c r="D2974" t="s">
        <v>563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2:18">
      <c r="B2975" t="s">
        <v>3359</v>
      </c>
      <c r="C2975" t="s">
        <v>836</v>
      </c>
      <c r="D2975" t="s">
        <v>563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2:18">
      <c r="B2976" t="s">
        <v>3360</v>
      </c>
      <c r="C2976" t="s">
        <v>836</v>
      </c>
      <c r="D2976" t="s">
        <v>563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2:18">
      <c r="B2977" t="s">
        <v>3361</v>
      </c>
      <c r="C2977" t="s">
        <v>836</v>
      </c>
      <c r="D2977" t="s">
        <v>563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2:18">
      <c r="B2978" t="s">
        <v>3362</v>
      </c>
      <c r="C2978" t="s">
        <v>836</v>
      </c>
      <c r="D2978" t="s">
        <v>563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2:18">
      <c r="B2979" t="s">
        <v>3363</v>
      </c>
      <c r="C2979" t="s">
        <v>836</v>
      </c>
      <c r="D2979" t="s">
        <v>563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2:18">
      <c r="B2980" t="s">
        <v>3364</v>
      </c>
      <c r="C2980" t="s">
        <v>836</v>
      </c>
      <c r="D2980" t="s">
        <v>563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2:18">
      <c r="B2981" t="s">
        <v>3365</v>
      </c>
      <c r="C2981" t="s">
        <v>836</v>
      </c>
      <c r="D2981" t="s">
        <v>563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</row>
    <row r="2982" spans="2:18">
      <c r="B2982" t="s">
        <v>3366</v>
      </c>
      <c r="C2982" t="s">
        <v>836</v>
      </c>
      <c r="D2982" t="s">
        <v>563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2:18">
      <c r="B2983" t="s">
        <v>3367</v>
      </c>
      <c r="C2983" t="s">
        <v>836</v>
      </c>
      <c r="D2983" t="s">
        <v>563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2:18">
      <c r="B2984" t="s">
        <v>3368</v>
      </c>
      <c r="C2984" t="s">
        <v>836</v>
      </c>
      <c r="D2984" t="s">
        <v>563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2:18">
      <c r="B2985" t="s">
        <v>3369</v>
      </c>
      <c r="C2985" t="s">
        <v>836</v>
      </c>
      <c r="D2985" t="s">
        <v>563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2:18">
      <c r="B2986" t="s">
        <v>3370</v>
      </c>
      <c r="C2986" t="s">
        <v>836</v>
      </c>
      <c r="D2986" t="s">
        <v>563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2:18">
      <c r="B2987" t="s">
        <v>3371</v>
      </c>
      <c r="C2987" t="s">
        <v>836</v>
      </c>
      <c r="D2987" t="s">
        <v>563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2:18">
      <c r="B2988" t="s">
        <v>3372</v>
      </c>
      <c r="C2988" t="s">
        <v>836</v>
      </c>
      <c r="D2988" t="s">
        <v>563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2:18">
      <c r="B2989" t="s">
        <v>3373</v>
      </c>
      <c r="C2989" t="s">
        <v>836</v>
      </c>
      <c r="D2989" t="s">
        <v>563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</row>
    <row r="2990" spans="2:18">
      <c r="B2990" t="s">
        <v>3374</v>
      </c>
      <c r="C2990" t="s">
        <v>836</v>
      </c>
      <c r="D2990" t="s">
        <v>563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2:18">
      <c r="B2991" t="s">
        <v>3375</v>
      </c>
      <c r="C2991" t="s">
        <v>836</v>
      </c>
      <c r="D2991" t="s">
        <v>563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2:18">
      <c r="B2992" t="s">
        <v>5676</v>
      </c>
      <c r="C2992" t="s">
        <v>836</v>
      </c>
      <c r="D2992" t="s">
        <v>563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2:18">
      <c r="B2993" t="s">
        <v>5677</v>
      </c>
      <c r="C2993" t="s">
        <v>836</v>
      </c>
      <c r="D2993" t="s">
        <v>563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2:18">
      <c r="B2994" t="s">
        <v>5678</v>
      </c>
      <c r="C2994" t="s">
        <v>836</v>
      </c>
      <c r="D2994" t="s">
        <v>563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2:18">
      <c r="B2995" t="s">
        <v>5679</v>
      </c>
      <c r="C2995" t="s">
        <v>836</v>
      </c>
      <c r="D2995" t="s">
        <v>563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2:18">
      <c r="B2996" t="s">
        <v>5680</v>
      </c>
      <c r="C2996" t="s">
        <v>836</v>
      </c>
      <c r="D2996" t="s">
        <v>563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2:18">
      <c r="B2997" t="s">
        <v>5681</v>
      </c>
      <c r="C2997" t="s">
        <v>836</v>
      </c>
      <c r="D2997" t="s">
        <v>563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2:18">
      <c r="B2998" t="s">
        <v>5682</v>
      </c>
      <c r="C2998" t="s">
        <v>836</v>
      </c>
      <c r="D2998" t="s">
        <v>563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2:18">
      <c r="B2999" t="s">
        <v>5683</v>
      </c>
      <c r="C2999" t="s">
        <v>836</v>
      </c>
      <c r="D2999" t="s">
        <v>563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2:18">
      <c r="B3000" t="s">
        <v>5684</v>
      </c>
      <c r="C3000" t="s">
        <v>836</v>
      </c>
      <c r="D3000" t="s">
        <v>563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2:18">
      <c r="B3001" t="s">
        <v>5685</v>
      </c>
      <c r="C3001" t="s">
        <v>836</v>
      </c>
      <c r="D3001" t="s">
        <v>563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2:18">
      <c r="B3002" t="s">
        <v>5686</v>
      </c>
      <c r="C3002" t="s">
        <v>836</v>
      </c>
      <c r="D3002" t="s">
        <v>563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2:18">
      <c r="B3003" t="s">
        <v>5687</v>
      </c>
      <c r="C3003" t="s">
        <v>836</v>
      </c>
      <c r="D3003" t="s">
        <v>563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2:18">
      <c r="B3004" t="s">
        <v>3376</v>
      </c>
      <c r="C3004" t="s">
        <v>836</v>
      </c>
      <c r="D3004" t="s">
        <v>563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2:18">
      <c r="B3005" t="s">
        <v>3377</v>
      </c>
      <c r="C3005" t="s">
        <v>836</v>
      </c>
      <c r="D3005" t="s">
        <v>563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2:18">
      <c r="B3006" t="s">
        <v>5688</v>
      </c>
      <c r="C3006" t="s">
        <v>836</v>
      </c>
      <c r="D3006" t="s">
        <v>563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2:18">
      <c r="B3007" t="s">
        <v>3378</v>
      </c>
      <c r="C3007" t="s">
        <v>836</v>
      </c>
      <c r="D3007" t="s">
        <v>563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2:18">
      <c r="B3008" t="s">
        <v>3379</v>
      </c>
      <c r="C3008" t="s">
        <v>836</v>
      </c>
      <c r="D3008" t="s">
        <v>563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2:18">
      <c r="B3009" t="s">
        <v>3380</v>
      </c>
      <c r="C3009" t="s">
        <v>836</v>
      </c>
      <c r="D3009" t="s">
        <v>563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2:18">
      <c r="B3010" t="s">
        <v>5689</v>
      </c>
      <c r="C3010" t="s">
        <v>836</v>
      </c>
      <c r="D3010" t="s">
        <v>563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2:18">
      <c r="B3011" t="s">
        <v>3381</v>
      </c>
      <c r="C3011" t="s">
        <v>836</v>
      </c>
      <c r="D3011" t="s">
        <v>563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2:18">
      <c r="B3012" t="s">
        <v>3382</v>
      </c>
      <c r="C3012" t="s">
        <v>836</v>
      </c>
      <c r="D3012" t="s">
        <v>563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2:18">
      <c r="B3013" t="s">
        <v>3383</v>
      </c>
      <c r="C3013" t="s">
        <v>836</v>
      </c>
      <c r="D3013" t="s">
        <v>563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2:18">
      <c r="B3014" t="s">
        <v>5690</v>
      </c>
      <c r="C3014" t="s">
        <v>836</v>
      </c>
      <c r="D3014" t="s">
        <v>563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2:18">
      <c r="B3015" t="s">
        <v>3384</v>
      </c>
      <c r="C3015" t="s">
        <v>836</v>
      </c>
      <c r="D3015" t="s">
        <v>563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2:18">
      <c r="B3016" t="s">
        <v>5691</v>
      </c>
      <c r="C3016" t="s">
        <v>836</v>
      </c>
      <c r="D3016" t="s">
        <v>563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2:18">
      <c r="B3017" t="s">
        <v>5692</v>
      </c>
      <c r="C3017" t="s">
        <v>836</v>
      </c>
      <c r="D3017" t="s">
        <v>563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2:18">
      <c r="B3018" t="s">
        <v>5693</v>
      </c>
      <c r="C3018" t="s">
        <v>836</v>
      </c>
      <c r="D3018" t="s">
        <v>563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2:18">
      <c r="B3019" t="s">
        <v>5694</v>
      </c>
      <c r="C3019" t="s">
        <v>836</v>
      </c>
      <c r="D3019" t="s">
        <v>563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2:18">
      <c r="B3020" t="s">
        <v>5695</v>
      </c>
      <c r="C3020" t="s">
        <v>836</v>
      </c>
      <c r="D3020" t="s">
        <v>563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2:18">
      <c r="B3021" t="s">
        <v>5696</v>
      </c>
      <c r="C3021" t="s">
        <v>836</v>
      </c>
      <c r="D3021" t="s">
        <v>563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2:18">
      <c r="B3022" t="s">
        <v>5697</v>
      </c>
      <c r="C3022" t="s">
        <v>836</v>
      </c>
      <c r="D3022" t="s">
        <v>563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2:18">
      <c r="B3023" t="s">
        <v>5698</v>
      </c>
      <c r="C3023" t="s">
        <v>836</v>
      </c>
      <c r="D3023" t="s">
        <v>563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2:18">
      <c r="B3024" t="s">
        <v>5699</v>
      </c>
      <c r="C3024" t="s">
        <v>836</v>
      </c>
      <c r="D3024" t="s">
        <v>563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2:18">
      <c r="B3025" t="s">
        <v>5700</v>
      </c>
      <c r="C3025" t="s">
        <v>836</v>
      </c>
      <c r="D3025" t="s">
        <v>563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2:18">
      <c r="B3026" t="s">
        <v>5701</v>
      </c>
      <c r="C3026" t="s">
        <v>836</v>
      </c>
      <c r="D3026" t="s">
        <v>563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2:18">
      <c r="B3027" t="s">
        <v>5702</v>
      </c>
      <c r="C3027" t="s">
        <v>836</v>
      </c>
      <c r="D3027" t="s">
        <v>563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2:18">
      <c r="B3028" t="s">
        <v>3385</v>
      </c>
      <c r="C3028" t="s">
        <v>836</v>
      </c>
      <c r="D3028" t="s">
        <v>563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2:18">
      <c r="B3029" t="s">
        <v>3386</v>
      </c>
      <c r="C3029" t="s">
        <v>836</v>
      </c>
      <c r="D3029" t="s">
        <v>563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2:18">
      <c r="B3030" t="s">
        <v>5703</v>
      </c>
      <c r="C3030" t="s">
        <v>836</v>
      </c>
      <c r="D3030" t="s">
        <v>563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2:18">
      <c r="B3031" t="s">
        <v>3387</v>
      </c>
      <c r="C3031" t="s">
        <v>836</v>
      </c>
      <c r="D3031" t="s">
        <v>563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2:18">
      <c r="B3032" t="s">
        <v>3388</v>
      </c>
      <c r="C3032" t="s">
        <v>836</v>
      </c>
      <c r="D3032" t="s">
        <v>563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2:18">
      <c r="B3033" t="s">
        <v>3389</v>
      </c>
      <c r="C3033" t="s">
        <v>836</v>
      </c>
      <c r="D3033" t="s">
        <v>563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2:18">
      <c r="B3034" t="s">
        <v>5704</v>
      </c>
      <c r="C3034" t="s">
        <v>836</v>
      </c>
      <c r="D3034" t="s">
        <v>563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2:18">
      <c r="B3035" t="s">
        <v>3390</v>
      </c>
      <c r="C3035" t="s">
        <v>836</v>
      </c>
      <c r="D3035" t="s">
        <v>563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2:18">
      <c r="B3036" t="s">
        <v>3391</v>
      </c>
      <c r="C3036" t="s">
        <v>836</v>
      </c>
      <c r="D3036" t="s">
        <v>563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2:18">
      <c r="B3037" t="s">
        <v>3392</v>
      </c>
      <c r="C3037" t="s">
        <v>836</v>
      </c>
      <c r="D3037" t="s">
        <v>563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2:18">
      <c r="B3038" t="s">
        <v>5705</v>
      </c>
      <c r="C3038" t="s">
        <v>836</v>
      </c>
      <c r="D3038" t="s">
        <v>563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2:18">
      <c r="B3039" t="s">
        <v>3393</v>
      </c>
      <c r="C3039" t="s">
        <v>836</v>
      </c>
      <c r="D3039" t="s">
        <v>563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2:18">
      <c r="B3040" t="s">
        <v>3394</v>
      </c>
      <c r="C3040" t="s">
        <v>836</v>
      </c>
      <c r="D3040" t="s">
        <v>563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2:18">
      <c r="B3041" t="s">
        <v>3395</v>
      </c>
      <c r="C3041" t="s">
        <v>836</v>
      </c>
      <c r="D3041" t="s">
        <v>563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2:18">
      <c r="B3042" t="s">
        <v>3396</v>
      </c>
      <c r="C3042" t="s">
        <v>836</v>
      </c>
      <c r="D3042" t="s">
        <v>563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2:18">
      <c r="B3043" t="s">
        <v>3397</v>
      </c>
      <c r="C3043" t="s">
        <v>836</v>
      </c>
      <c r="D3043" t="s">
        <v>563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2:18">
      <c r="B3044" t="s">
        <v>3398</v>
      </c>
      <c r="C3044" t="s">
        <v>836</v>
      </c>
      <c r="D3044" t="s">
        <v>563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2:18">
      <c r="B3045" t="s">
        <v>3399</v>
      </c>
      <c r="C3045" t="s">
        <v>836</v>
      </c>
      <c r="D3045" t="s">
        <v>563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2:18">
      <c r="B3046" t="s">
        <v>3400</v>
      </c>
      <c r="C3046" t="s">
        <v>836</v>
      </c>
      <c r="D3046" t="s">
        <v>563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2:18">
      <c r="B3047" t="s">
        <v>3401</v>
      </c>
      <c r="C3047" t="s">
        <v>836</v>
      </c>
      <c r="D3047" t="s">
        <v>563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2:18">
      <c r="B3048" t="s">
        <v>3402</v>
      </c>
      <c r="C3048" t="s">
        <v>836</v>
      </c>
      <c r="D3048" t="s">
        <v>563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2:18">
      <c r="B3049" t="s">
        <v>3403</v>
      </c>
      <c r="C3049" t="s">
        <v>836</v>
      </c>
      <c r="D3049" t="s">
        <v>563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2:18">
      <c r="B3050" t="s">
        <v>3404</v>
      </c>
      <c r="C3050" t="s">
        <v>836</v>
      </c>
      <c r="D3050" t="s">
        <v>563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2:18">
      <c r="B3051" t="s">
        <v>3405</v>
      </c>
      <c r="C3051" t="s">
        <v>836</v>
      </c>
      <c r="D3051" t="s">
        <v>563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2:18">
      <c r="B3052" t="s">
        <v>3406</v>
      </c>
      <c r="C3052" t="s">
        <v>836</v>
      </c>
      <c r="D3052" t="s">
        <v>563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2:18">
      <c r="B3053" t="s">
        <v>3407</v>
      </c>
      <c r="C3053" t="s">
        <v>836</v>
      </c>
      <c r="D3053" t="s">
        <v>563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2:18">
      <c r="B3054" t="s">
        <v>3408</v>
      </c>
      <c r="C3054" t="s">
        <v>836</v>
      </c>
      <c r="D3054" t="s">
        <v>563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2:18">
      <c r="B3055" t="s">
        <v>3409</v>
      </c>
      <c r="C3055" t="s">
        <v>836</v>
      </c>
      <c r="D3055" t="s">
        <v>563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2:18">
      <c r="B3056" t="s">
        <v>3410</v>
      </c>
      <c r="C3056" t="s">
        <v>836</v>
      </c>
      <c r="D3056" t="s">
        <v>563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2:18">
      <c r="B3057" t="s">
        <v>3411</v>
      </c>
      <c r="C3057" t="s">
        <v>836</v>
      </c>
      <c r="D3057" t="s">
        <v>563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2:18">
      <c r="B3058" t="s">
        <v>3412</v>
      </c>
      <c r="C3058" t="s">
        <v>836</v>
      </c>
      <c r="D3058" t="s">
        <v>563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2:18">
      <c r="B3059" t="s">
        <v>3413</v>
      </c>
      <c r="C3059" t="s">
        <v>836</v>
      </c>
      <c r="D3059" t="s">
        <v>563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2:18">
      <c r="B3060" t="s">
        <v>3414</v>
      </c>
      <c r="C3060" t="s">
        <v>836</v>
      </c>
      <c r="D3060" t="s">
        <v>563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2:18">
      <c r="B3061" t="s">
        <v>3415</v>
      </c>
      <c r="C3061" t="s">
        <v>836</v>
      </c>
      <c r="D3061" t="s">
        <v>563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2:18">
      <c r="B3062" t="s">
        <v>3416</v>
      </c>
      <c r="C3062" t="s">
        <v>836</v>
      </c>
      <c r="D3062" t="s">
        <v>563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2:18">
      <c r="B3063" t="s">
        <v>3417</v>
      </c>
      <c r="C3063" t="s">
        <v>836</v>
      </c>
      <c r="D3063" t="s">
        <v>563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2:18">
      <c r="B3064" t="s">
        <v>3418</v>
      </c>
      <c r="C3064" t="s">
        <v>836</v>
      </c>
      <c r="D3064" t="s">
        <v>563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2:18">
      <c r="B3065" t="s">
        <v>3419</v>
      </c>
      <c r="C3065" t="s">
        <v>836</v>
      </c>
      <c r="D3065" t="s">
        <v>563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2:18">
      <c r="B3066" t="s">
        <v>3420</v>
      </c>
      <c r="C3066" t="s">
        <v>836</v>
      </c>
      <c r="D3066" t="s">
        <v>563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2:18">
      <c r="B3067" t="s">
        <v>3421</v>
      </c>
      <c r="C3067" t="s">
        <v>836</v>
      </c>
      <c r="D3067" t="s">
        <v>563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2:18">
      <c r="B3068" t="s">
        <v>3422</v>
      </c>
      <c r="C3068" t="s">
        <v>836</v>
      </c>
      <c r="D3068" t="s">
        <v>563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2:18">
      <c r="B3069" t="s">
        <v>3423</v>
      </c>
      <c r="C3069" t="s">
        <v>836</v>
      </c>
      <c r="D3069" t="s">
        <v>563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2:18">
      <c r="B3070" t="s">
        <v>3424</v>
      </c>
      <c r="C3070" t="s">
        <v>836</v>
      </c>
      <c r="D3070" t="s">
        <v>563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2:18">
      <c r="B3071" t="s">
        <v>5706</v>
      </c>
      <c r="C3071" t="s">
        <v>836</v>
      </c>
      <c r="D3071" t="s">
        <v>563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2:18">
      <c r="B3072" t="s">
        <v>5707</v>
      </c>
      <c r="C3072" t="s">
        <v>836</v>
      </c>
      <c r="D3072" t="s">
        <v>563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2:18">
      <c r="B3073" t="s">
        <v>5708</v>
      </c>
      <c r="C3073" t="s">
        <v>836</v>
      </c>
      <c r="D3073" t="s">
        <v>563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2:18">
      <c r="B3074" t="s">
        <v>3425</v>
      </c>
      <c r="C3074" t="s">
        <v>836</v>
      </c>
      <c r="D3074" t="s">
        <v>563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2:18">
      <c r="B3075" t="s">
        <v>3426</v>
      </c>
      <c r="C3075" t="s">
        <v>836</v>
      </c>
      <c r="D3075" t="s">
        <v>563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2:18">
      <c r="B3076" t="s">
        <v>3427</v>
      </c>
      <c r="C3076" t="s">
        <v>836</v>
      </c>
      <c r="D3076" t="s">
        <v>563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2:18">
      <c r="B3077" t="s">
        <v>3428</v>
      </c>
      <c r="C3077" t="s">
        <v>836</v>
      </c>
      <c r="D3077" t="s">
        <v>563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2:18">
      <c r="B3078" t="s">
        <v>3429</v>
      </c>
      <c r="C3078" t="s">
        <v>836</v>
      </c>
      <c r="D3078" t="s">
        <v>563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2:18">
      <c r="B3079" t="s">
        <v>3430</v>
      </c>
      <c r="C3079" t="s">
        <v>836</v>
      </c>
      <c r="D3079" t="s">
        <v>563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10.888999999999999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2:18">
      <c r="B3080" t="s">
        <v>3431</v>
      </c>
      <c r="C3080" t="s">
        <v>836</v>
      </c>
      <c r="D3080" t="s">
        <v>563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2:18">
      <c r="B3081" t="s">
        <v>3432</v>
      </c>
      <c r="C3081" t="s">
        <v>836</v>
      </c>
      <c r="D3081" t="s">
        <v>563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2:18">
      <c r="B3082" t="s">
        <v>3433</v>
      </c>
      <c r="C3082" t="s">
        <v>836</v>
      </c>
      <c r="D3082" t="s">
        <v>563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2:18">
      <c r="B3083" t="s">
        <v>3434</v>
      </c>
      <c r="C3083" t="s">
        <v>836</v>
      </c>
      <c r="D3083" t="s">
        <v>563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56.7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2:18">
      <c r="B3084" t="s">
        <v>3435</v>
      </c>
      <c r="C3084" t="s">
        <v>836</v>
      </c>
      <c r="D3084" t="s">
        <v>563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2:18">
      <c r="B3085" t="s">
        <v>3436</v>
      </c>
      <c r="C3085" t="s">
        <v>836</v>
      </c>
      <c r="D3085" t="s">
        <v>563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2:18">
      <c r="B3086" t="s">
        <v>3437</v>
      </c>
      <c r="C3086" t="s">
        <v>836</v>
      </c>
      <c r="D3086" t="s">
        <v>563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2:18">
      <c r="B3087" t="s">
        <v>3438</v>
      </c>
      <c r="C3087" t="s">
        <v>836</v>
      </c>
      <c r="D3087" t="s">
        <v>563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179.9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2:18">
      <c r="B3088" t="s">
        <v>3439</v>
      </c>
      <c r="C3088" t="s">
        <v>836</v>
      </c>
      <c r="D3088" t="s">
        <v>563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2:18">
      <c r="B3089" t="s">
        <v>3440</v>
      </c>
      <c r="C3089" t="s">
        <v>836</v>
      </c>
      <c r="D3089" t="s">
        <v>563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2:18">
      <c r="B3090" t="s">
        <v>3441</v>
      </c>
      <c r="C3090" t="s">
        <v>836</v>
      </c>
      <c r="D3090" t="s">
        <v>563</v>
      </c>
      <c r="E3090">
        <v>3</v>
      </c>
      <c r="F3090">
        <v>27.8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20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2:18">
      <c r="B3091" t="s">
        <v>3442</v>
      </c>
      <c r="C3091" t="s">
        <v>836</v>
      </c>
      <c r="D3091" t="s">
        <v>563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2:18">
      <c r="B3092" t="s">
        <v>3443</v>
      </c>
      <c r="C3092" t="s">
        <v>836</v>
      </c>
      <c r="D3092" t="s">
        <v>563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2:18">
      <c r="B3093" t="s">
        <v>3444</v>
      </c>
      <c r="C3093" t="s">
        <v>836</v>
      </c>
      <c r="D3093" t="s">
        <v>563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2:18">
      <c r="B3094" t="s">
        <v>3445</v>
      </c>
      <c r="C3094" t="s">
        <v>836</v>
      </c>
      <c r="D3094" t="s">
        <v>563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2:18">
      <c r="B3095" t="s">
        <v>3446</v>
      </c>
      <c r="C3095" t="s">
        <v>836</v>
      </c>
      <c r="D3095" t="s">
        <v>563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2:18">
      <c r="B3096" t="s">
        <v>3447</v>
      </c>
      <c r="C3096" t="s">
        <v>836</v>
      </c>
      <c r="D3096" t="s">
        <v>563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2:18">
      <c r="B3097" t="s">
        <v>3448</v>
      </c>
      <c r="C3097" t="s">
        <v>836</v>
      </c>
      <c r="D3097" t="s">
        <v>563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2:18">
      <c r="B3098" t="s">
        <v>3449</v>
      </c>
      <c r="C3098" t="s">
        <v>836</v>
      </c>
      <c r="D3098" t="s">
        <v>563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2:18">
      <c r="B3099" t="s">
        <v>3450</v>
      </c>
      <c r="C3099" t="s">
        <v>836</v>
      </c>
      <c r="D3099" t="s">
        <v>563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2:18">
      <c r="B3100" t="s">
        <v>3451</v>
      </c>
      <c r="C3100" t="s">
        <v>836</v>
      </c>
      <c r="D3100" t="s">
        <v>563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2:18">
      <c r="B3101" t="s">
        <v>3452</v>
      </c>
      <c r="C3101" t="s">
        <v>836</v>
      </c>
      <c r="D3101" t="s">
        <v>563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2:18">
      <c r="B3102" t="s">
        <v>3453</v>
      </c>
      <c r="C3102" t="s">
        <v>836</v>
      </c>
      <c r="D3102" t="s">
        <v>563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2:18">
      <c r="B3103" t="s">
        <v>3454</v>
      </c>
      <c r="C3103" t="s">
        <v>836</v>
      </c>
      <c r="D3103" t="s">
        <v>563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2:18">
      <c r="B3104" t="s">
        <v>3455</v>
      </c>
      <c r="C3104" t="s">
        <v>836</v>
      </c>
      <c r="D3104" t="s">
        <v>563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2:18">
      <c r="B3105" t="s">
        <v>3456</v>
      </c>
      <c r="C3105" t="s">
        <v>836</v>
      </c>
      <c r="D3105" t="s">
        <v>563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2:18">
      <c r="B3106" t="s">
        <v>3457</v>
      </c>
      <c r="C3106" t="s">
        <v>836</v>
      </c>
      <c r="D3106" t="s">
        <v>563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2:18">
      <c r="B3107" t="s">
        <v>3458</v>
      </c>
      <c r="C3107" t="s">
        <v>836</v>
      </c>
      <c r="D3107" t="s">
        <v>563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2:18">
      <c r="B3108" t="s">
        <v>3459</v>
      </c>
      <c r="C3108" t="s">
        <v>836</v>
      </c>
      <c r="D3108" t="s">
        <v>563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2:18">
      <c r="B3109" t="s">
        <v>3460</v>
      </c>
      <c r="C3109" t="s">
        <v>836</v>
      </c>
      <c r="D3109" t="s">
        <v>563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2:18">
      <c r="B3110" t="s">
        <v>3461</v>
      </c>
      <c r="C3110" t="s">
        <v>836</v>
      </c>
      <c r="D3110" t="s">
        <v>563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2:18">
      <c r="B3111" t="s">
        <v>3462</v>
      </c>
      <c r="C3111" t="s">
        <v>836</v>
      </c>
      <c r="D3111" t="s">
        <v>563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2:18">
      <c r="B3112" t="s">
        <v>3463</v>
      </c>
      <c r="C3112" t="s">
        <v>836</v>
      </c>
      <c r="D3112" t="s">
        <v>563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2:18">
      <c r="B3113" t="s">
        <v>3464</v>
      </c>
      <c r="C3113" t="s">
        <v>836</v>
      </c>
      <c r="D3113" t="s">
        <v>563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2:18">
      <c r="B3114" t="s">
        <v>3465</v>
      </c>
      <c r="C3114" t="s">
        <v>836</v>
      </c>
      <c r="D3114" t="s">
        <v>563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2:18">
      <c r="B3115" t="s">
        <v>3466</v>
      </c>
      <c r="C3115" t="s">
        <v>836</v>
      </c>
      <c r="D3115" t="s">
        <v>563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2:18">
      <c r="B3116" t="s">
        <v>5709</v>
      </c>
      <c r="C3116" t="s">
        <v>836</v>
      </c>
      <c r="D3116" t="s">
        <v>563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2:18">
      <c r="B3117" t="s">
        <v>3467</v>
      </c>
      <c r="C3117" t="s">
        <v>836</v>
      </c>
      <c r="D3117" t="s">
        <v>563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2:18">
      <c r="B3118" t="s">
        <v>3468</v>
      </c>
      <c r="C3118" t="s">
        <v>836</v>
      </c>
      <c r="D3118" t="s">
        <v>563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2:18">
      <c r="B3119" t="s">
        <v>3469</v>
      </c>
      <c r="C3119" t="s">
        <v>836</v>
      </c>
      <c r="D3119" t="s">
        <v>563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2:18">
      <c r="B3120" t="s">
        <v>5710</v>
      </c>
      <c r="C3120" t="s">
        <v>836</v>
      </c>
      <c r="D3120" t="s">
        <v>563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2:18">
      <c r="B3121" t="s">
        <v>3470</v>
      </c>
      <c r="C3121" t="s">
        <v>836</v>
      </c>
      <c r="D3121" t="s">
        <v>563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2:18">
      <c r="B3122" t="s">
        <v>3471</v>
      </c>
      <c r="C3122" t="s">
        <v>836</v>
      </c>
      <c r="D3122" t="s">
        <v>563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2:18">
      <c r="B3123" t="s">
        <v>3472</v>
      </c>
      <c r="C3123" t="s">
        <v>836</v>
      </c>
      <c r="D3123" t="s">
        <v>563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2:18">
      <c r="B3124" t="s">
        <v>3473</v>
      </c>
      <c r="C3124" t="s">
        <v>836</v>
      </c>
      <c r="D3124" t="s">
        <v>563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2:18">
      <c r="B3125" t="s">
        <v>3474</v>
      </c>
      <c r="C3125" t="s">
        <v>836</v>
      </c>
      <c r="D3125" t="s">
        <v>563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2:18">
      <c r="B3126" t="s">
        <v>3475</v>
      </c>
      <c r="C3126" t="s">
        <v>836</v>
      </c>
      <c r="D3126" t="s">
        <v>563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2:18">
      <c r="B3127" t="s">
        <v>3476</v>
      </c>
      <c r="C3127" t="s">
        <v>836</v>
      </c>
      <c r="D3127" t="s">
        <v>563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2:18">
      <c r="B3128" t="s">
        <v>3477</v>
      </c>
      <c r="C3128" t="s">
        <v>836</v>
      </c>
      <c r="D3128" t="s">
        <v>563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2:18">
      <c r="B3129" t="s">
        <v>3478</v>
      </c>
      <c r="C3129" t="s">
        <v>836</v>
      </c>
      <c r="D3129" t="s">
        <v>563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2:18">
      <c r="B3130" t="s">
        <v>3479</v>
      </c>
      <c r="C3130" t="s">
        <v>836</v>
      </c>
      <c r="D3130" t="s">
        <v>563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2:18">
      <c r="B3131" t="s">
        <v>3480</v>
      </c>
      <c r="C3131" t="s">
        <v>836</v>
      </c>
      <c r="D3131" t="s">
        <v>563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2:18">
      <c r="B3132" t="s">
        <v>3481</v>
      </c>
      <c r="C3132" t="s">
        <v>836</v>
      </c>
      <c r="D3132" t="s">
        <v>563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2:18">
      <c r="B3133" t="s">
        <v>3482</v>
      </c>
      <c r="C3133" t="s">
        <v>836</v>
      </c>
      <c r="D3133" t="s">
        <v>563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2:18">
      <c r="B3134" t="s">
        <v>3483</v>
      </c>
      <c r="C3134" t="s">
        <v>836</v>
      </c>
      <c r="D3134" t="s">
        <v>563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2:18">
      <c r="B3135" t="s">
        <v>3484</v>
      </c>
      <c r="C3135" t="s">
        <v>836</v>
      </c>
      <c r="D3135" t="s">
        <v>563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2:18">
      <c r="B3136" t="s">
        <v>3485</v>
      </c>
      <c r="C3136" t="s">
        <v>836</v>
      </c>
      <c r="D3136" t="s">
        <v>563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2:18">
      <c r="B3137" t="s">
        <v>3486</v>
      </c>
      <c r="C3137" t="s">
        <v>836</v>
      </c>
      <c r="D3137" t="s">
        <v>563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2:18">
      <c r="B3138" t="s">
        <v>3487</v>
      </c>
      <c r="C3138" t="s">
        <v>836</v>
      </c>
      <c r="D3138" t="s">
        <v>563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2:18">
      <c r="B3139" t="s">
        <v>3488</v>
      </c>
      <c r="C3139" t="s">
        <v>836</v>
      </c>
      <c r="D3139" t="s">
        <v>563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2:18">
      <c r="B3140" t="s">
        <v>3489</v>
      </c>
      <c r="C3140" t="s">
        <v>836</v>
      </c>
      <c r="D3140" t="s">
        <v>563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2:18">
      <c r="B3141" t="s">
        <v>3490</v>
      </c>
      <c r="C3141" t="s">
        <v>836</v>
      </c>
      <c r="D3141" t="s">
        <v>563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2:18">
      <c r="B3142" t="s">
        <v>5711</v>
      </c>
      <c r="C3142" t="s">
        <v>836</v>
      </c>
      <c r="D3142" t="s">
        <v>563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2:18">
      <c r="B3143" t="s">
        <v>3491</v>
      </c>
      <c r="C3143" t="s">
        <v>836</v>
      </c>
      <c r="D3143" t="s">
        <v>563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2:18">
      <c r="B3144" t="s">
        <v>3492</v>
      </c>
      <c r="C3144" t="s">
        <v>836</v>
      </c>
      <c r="D3144" t="s">
        <v>563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2:18">
      <c r="B3145" t="s">
        <v>3493</v>
      </c>
      <c r="C3145" t="s">
        <v>836</v>
      </c>
      <c r="D3145" t="s">
        <v>563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2:18">
      <c r="B3146" t="s">
        <v>5712</v>
      </c>
      <c r="C3146" t="s">
        <v>836</v>
      </c>
      <c r="D3146" t="s">
        <v>563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2:18">
      <c r="B3147" t="s">
        <v>3494</v>
      </c>
      <c r="C3147" t="s">
        <v>836</v>
      </c>
      <c r="D3147" t="s">
        <v>563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2:18">
      <c r="B3148" t="s">
        <v>3495</v>
      </c>
      <c r="C3148" t="s">
        <v>836</v>
      </c>
      <c r="D3148" t="s">
        <v>563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2:18">
      <c r="B3149" t="s">
        <v>3496</v>
      </c>
      <c r="C3149" t="s">
        <v>836</v>
      </c>
      <c r="D3149" t="s">
        <v>563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2:18">
      <c r="B3150" t="s">
        <v>5713</v>
      </c>
      <c r="C3150" t="s">
        <v>836</v>
      </c>
      <c r="D3150" t="s">
        <v>563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2:18">
      <c r="B3151" t="s">
        <v>3497</v>
      </c>
      <c r="C3151" t="s">
        <v>836</v>
      </c>
      <c r="D3151" t="s">
        <v>563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2:18">
      <c r="B3152" t="s">
        <v>3498</v>
      </c>
      <c r="C3152" t="s">
        <v>836</v>
      </c>
      <c r="D3152" t="s">
        <v>563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2:18">
      <c r="B3153" t="s">
        <v>3499</v>
      </c>
      <c r="C3153" t="s">
        <v>836</v>
      </c>
      <c r="D3153" t="s">
        <v>563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2:18">
      <c r="B3154" t="s">
        <v>3500</v>
      </c>
      <c r="C3154" t="s">
        <v>836</v>
      </c>
      <c r="D3154" t="s">
        <v>563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2:18">
      <c r="B3155" t="s">
        <v>3501</v>
      </c>
      <c r="C3155" t="s">
        <v>836</v>
      </c>
      <c r="D3155" t="s">
        <v>563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2:18">
      <c r="B3156" t="s">
        <v>3502</v>
      </c>
      <c r="C3156" t="s">
        <v>836</v>
      </c>
      <c r="D3156" t="s">
        <v>563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2:18">
      <c r="B3157" t="s">
        <v>3503</v>
      </c>
      <c r="C3157" t="s">
        <v>836</v>
      </c>
      <c r="D3157" t="s">
        <v>563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2:18">
      <c r="B3158" t="s">
        <v>3504</v>
      </c>
      <c r="C3158" t="s">
        <v>836</v>
      </c>
      <c r="D3158" t="s">
        <v>563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2:18">
      <c r="B3159" t="s">
        <v>3505</v>
      </c>
      <c r="C3159" t="s">
        <v>836</v>
      </c>
      <c r="D3159" t="s">
        <v>563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2:18">
      <c r="B3160" t="s">
        <v>3506</v>
      </c>
      <c r="C3160" t="s">
        <v>836</v>
      </c>
      <c r="D3160" t="s">
        <v>563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2:18">
      <c r="B3161" t="s">
        <v>3507</v>
      </c>
      <c r="C3161" t="s">
        <v>836</v>
      </c>
      <c r="D3161" t="s">
        <v>563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2:18">
      <c r="B3162" t="s">
        <v>3508</v>
      </c>
      <c r="C3162" t="s">
        <v>836</v>
      </c>
      <c r="D3162" t="s">
        <v>563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2:18">
      <c r="B3163" t="s">
        <v>3509</v>
      </c>
      <c r="C3163" t="s">
        <v>836</v>
      </c>
      <c r="D3163" t="s">
        <v>563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2:18">
      <c r="B3164" t="s">
        <v>3510</v>
      </c>
      <c r="C3164" t="s">
        <v>836</v>
      </c>
      <c r="D3164" t="s">
        <v>563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2:18">
      <c r="B3165" t="s">
        <v>3511</v>
      </c>
      <c r="C3165" t="s">
        <v>836</v>
      </c>
      <c r="D3165" t="s">
        <v>563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2:18">
      <c r="B3166" t="s">
        <v>3512</v>
      </c>
      <c r="C3166" t="s">
        <v>836</v>
      </c>
      <c r="D3166" t="s">
        <v>563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2:18">
      <c r="B3167" t="s">
        <v>3513</v>
      </c>
      <c r="C3167" t="s">
        <v>836</v>
      </c>
      <c r="D3167" t="s">
        <v>563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2:18">
      <c r="B3168" t="s">
        <v>3514</v>
      </c>
      <c r="C3168" t="s">
        <v>836</v>
      </c>
      <c r="D3168" t="s">
        <v>563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2:18">
      <c r="B3169" t="s">
        <v>3515</v>
      </c>
      <c r="C3169" t="s">
        <v>836</v>
      </c>
      <c r="D3169" t="s">
        <v>563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2:18">
      <c r="B3170" t="s">
        <v>3516</v>
      </c>
      <c r="C3170" t="s">
        <v>836</v>
      </c>
      <c r="D3170" t="s">
        <v>563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2:18">
      <c r="B3171" t="s">
        <v>3517</v>
      </c>
      <c r="C3171" t="s">
        <v>836</v>
      </c>
      <c r="D3171" t="s">
        <v>563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2:18">
      <c r="B3172" t="s">
        <v>3518</v>
      </c>
      <c r="C3172" t="s">
        <v>836</v>
      </c>
      <c r="D3172" t="s">
        <v>563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2:18">
      <c r="B3173" t="s">
        <v>5714</v>
      </c>
      <c r="C3173" t="s">
        <v>836</v>
      </c>
      <c r="D3173" t="s">
        <v>563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2:18">
      <c r="B3174" t="s">
        <v>3519</v>
      </c>
      <c r="C3174" t="s">
        <v>836</v>
      </c>
      <c r="D3174" t="s">
        <v>563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631.79999999999995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2:18">
      <c r="B3175" t="s">
        <v>5715</v>
      </c>
      <c r="C3175" t="s">
        <v>836</v>
      </c>
      <c r="D3175" t="s">
        <v>563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2:18">
      <c r="B3176" t="s">
        <v>5716</v>
      </c>
      <c r="C3176" t="s">
        <v>836</v>
      </c>
      <c r="D3176" t="s">
        <v>563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2:18">
      <c r="B3177" t="s">
        <v>3520</v>
      </c>
      <c r="C3177" t="s">
        <v>836</v>
      </c>
      <c r="D3177" t="s">
        <v>563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2:18">
      <c r="B3178" t="s">
        <v>3521</v>
      </c>
      <c r="C3178" t="s">
        <v>836</v>
      </c>
      <c r="D3178" t="s">
        <v>563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453.18799999999999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2:18">
      <c r="B3179" t="s">
        <v>5717</v>
      </c>
      <c r="C3179" t="s">
        <v>836</v>
      </c>
      <c r="D3179" t="s">
        <v>563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2:18">
      <c r="B3180" t="s">
        <v>5718</v>
      </c>
      <c r="C3180" t="s">
        <v>836</v>
      </c>
      <c r="D3180" t="s">
        <v>563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2:18">
      <c r="B3181" t="s">
        <v>3522</v>
      </c>
      <c r="C3181" t="s">
        <v>836</v>
      </c>
      <c r="D3181" t="s">
        <v>563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2:18">
      <c r="B3182" t="s">
        <v>3523</v>
      </c>
      <c r="C3182" t="s">
        <v>836</v>
      </c>
      <c r="D3182" t="s">
        <v>563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2:18">
      <c r="B3183" t="s">
        <v>5719</v>
      </c>
      <c r="C3183" t="s">
        <v>836</v>
      </c>
      <c r="D3183" t="s">
        <v>563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2:18">
      <c r="B3184" t="s">
        <v>5720</v>
      </c>
      <c r="C3184" t="s">
        <v>836</v>
      </c>
      <c r="D3184" t="s">
        <v>563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2:18">
      <c r="B3185" t="s">
        <v>3524</v>
      </c>
      <c r="C3185" t="s">
        <v>836</v>
      </c>
      <c r="D3185" t="s">
        <v>563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320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2:18">
      <c r="B3186" t="s">
        <v>3525</v>
      </c>
      <c r="C3186" t="s">
        <v>836</v>
      </c>
      <c r="D3186" t="s">
        <v>563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139.1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2:18">
      <c r="B3187" t="s">
        <v>5721</v>
      </c>
      <c r="C3187" t="s">
        <v>836</v>
      </c>
      <c r="D3187" t="s">
        <v>563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2:18">
      <c r="B3188" t="s">
        <v>5722</v>
      </c>
      <c r="C3188" t="s">
        <v>836</v>
      </c>
      <c r="D3188" t="s">
        <v>563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2:18">
      <c r="B3189" t="s">
        <v>3526</v>
      </c>
      <c r="C3189" t="s">
        <v>836</v>
      </c>
      <c r="D3189" t="s">
        <v>563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2:18">
      <c r="B3190" t="s">
        <v>3527</v>
      </c>
      <c r="C3190" t="s">
        <v>836</v>
      </c>
      <c r="D3190" t="s">
        <v>563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2:18">
      <c r="B3191" t="s">
        <v>5723</v>
      </c>
      <c r="C3191" t="s">
        <v>836</v>
      </c>
      <c r="D3191" t="s">
        <v>563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2:18">
      <c r="B3192" t="s">
        <v>5724</v>
      </c>
      <c r="C3192" t="s">
        <v>836</v>
      </c>
      <c r="D3192" t="s">
        <v>563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2:18">
      <c r="B3193" t="s">
        <v>3528</v>
      </c>
      <c r="C3193" t="s">
        <v>836</v>
      </c>
      <c r="D3193" t="s">
        <v>563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96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2:18">
      <c r="B3194" t="s">
        <v>3529</v>
      </c>
      <c r="C3194" t="s">
        <v>836</v>
      </c>
      <c r="D3194" t="s">
        <v>563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43.7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2:18">
      <c r="B3195" t="s">
        <v>3530</v>
      </c>
      <c r="C3195" t="s">
        <v>836</v>
      </c>
      <c r="D3195" t="s">
        <v>563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2:18">
      <c r="B3196" t="s">
        <v>5725</v>
      </c>
      <c r="C3196" t="s">
        <v>836</v>
      </c>
      <c r="D3196" t="s">
        <v>563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2:18">
      <c r="B3197" t="s">
        <v>3531</v>
      </c>
      <c r="C3197" t="s">
        <v>836</v>
      </c>
      <c r="D3197" t="s">
        <v>563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73.3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2:18">
      <c r="B3198" t="s">
        <v>3532</v>
      </c>
      <c r="C3198" t="s">
        <v>836</v>
      </c>
      <c r="D3198" t="s">
        <v>563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130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2:18">
      <c r="B3199" t="s">
        <v>3533</v>
      </c>
      <c r="C3199" t="s">
        <v>836</v>
      </c>
      <c r="D3199" t="s">
        <v>563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2:18">
      <c r="B3200" t="s">
        <v>5726</v>
      </c>
      <c r="C3200" t="s">
        <v>836</v>
      </c>
      <c r="D3200" t="s">
        <v>563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2:18">
      <c r="B3201" t="s">
        <v>3534</v>
      </c>
      <c r="C3201" t="s">
        <v>836</v>
      </c>
      <c r="D3201" t="s">
        <v>563</v>
      </c>
      <c r="E3201">
        <v>0</v>
      </c>
      <c r="F3201">
        <v>0</v>
      </c>
      <c r="G3201">
        <v>175.1</v>
      </c>
      <c r="H3201">
        <v>41</v>
      </c>
      <c r="I3201">
        <v>0</v>
      </c>
      <c r="J3201">
        <v>0</v>
      </c>
      <c r="K3201">
        <v>0</v>
      </c>
      <c r="L3201">
        <v>0</v>
      </c>
      <c r="M3201">
        <v>135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2:18">
      <c r="B3202" t="s">
        <v>3535</v>
      </c>
      <c r="C3202" t="s">
        <v>836</v>
      </c>
      <c r="D3202" t="s">
        <v>563</v>
      </c>
      <c r="E3202">
        <v>0</v>
      </c>
      <c r="F3202">
        <v>0</v>
      </c>
      <c r="G3202">
        <v>21.2</v>
      </c>
      <c r="H3202">
        <v>12</v>
      </c>
      <c r="I3202">
        <v>0</v>
      </c>
      <c r="J3202">
        <v>0</v>
      </c>
      <c r="K3202">
        <v>0</v>
      </c>
      <c r="L3202">
        <v>0</v>
      </c>
      <c r="M3202">
        <v>10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2:18">
      <c r="B3203" t="s">
        <v>3536</v>
      </c>
      <c r="C3203" t="s">
        <v>836</v>
      </c>
      <c r="D3203" t="s">
        <v>563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2:18">
      <c r="B3204" t="s">
        <v>3537</v>
      </c>
      <c r="C3204" t="s">
        <v>836</v>
      </c>
      <c r="D3204" t="s">
        <v>563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2:18">
      <c r="B3205" t="s">
        <v>3538</v>
      </c>
      <c r="C3205" t="s">
        <v>836</v>
      </c>
      <c r="D3205" t="s">
        <v>563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2:18">
      <c r="B3206" t="s">
        <v>5727</v>
      </c>
      <c r="C3206" t="s">
        <v>836</v>
      </c>
      <c r="D3206" t="s">
        <v>563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2:18">
      <c r="B3207" t="s">
        <v>3539</v>
      </c>
      <c r="C3207" t="s">
        <v>836</v>
      </c>
      <c r="D3207" t="s">
        <v>563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2:18">
      <c r="B3208" t="s">
        <v>5728</v>
      </c>
      <c r="C3208" t="s">
        <v>836</v>
      </c>
      <c r="D3208" t="s">
        <v>563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2:18">
      <c r="B3209" t="s">
        <v>3540</v>
      </c>
      <c r="C3209" t="s">
        <v>836</v>
      </c>
      <c r="D3209" t="s">
        <v>563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2:18">
      <c r="B3210" t="s">
        <v>3541</v>
      </c>
      <c r="C3210" t="s">
        <v>836</v>
      </c>
      <c r="D3210" t="s">
        <v>563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51.000999999999998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2:18">
      <c r="B3211" t="s">
        <v>3542</v>
      </c>
      <c r="C3211" t="s">
        <v>836</v>
      </c>
      <c r="D3211" t="s">
        <v>563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2:18">
      <c r="B3212" t="s">
        <v>3543</v>
      </c>
      <c r="C3212" t="s">
        <v>836</v>
      </c>
      <c r="D3212" t="s">
        <v>563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2:18">
      <c r="B3213" t="s">
        <v>3544</v>
      </c>
      <c r="C3213" t="s">
        <v>836</v>
      </c>
      <c r="D3213" t="s">
        <v>563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2:18">
      <c r="B3214" t="s">
        <v>5729</v>
      </c>
      <c r="C3214" t="s">
        <v>836</v>
      </c>
      <c r="D3214" t="s">
        <v>563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2:18">
      <c r="B3215" t="s">
        <v>3545</v>
      </c>
      <c r="C3215" t="s">
        <v>836</v>
      </c>
      <c r="D3215" t="s">
        <v>563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2:18">
      <c r="B3216" t="s">
        <v>5730</v>
      </c>
      <c r="C3216" t="s">
        <v>836</v>
      </c>
      <c r="D3216" t="s">
        <v>563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2:18">
      <c r="B3217" t="s">
        <v>3546</v>
      </c>
      <c r="C3217" t="s">
        <v>836</v>
      </c>
      <c r="D3217" t="s">
        <v>563</v>
      </c>
      <c r="E3217">
        <v>0</v>
      </c>
      <c r="F3217">
        <v>0</v>
      </c>
      <c r="G3217">
        <v>121.4</v>
      </c>
      <c r="H3217">
        <v>4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2:18">
      <c r="B3218" t="s">
        <v>3547</v>
      </c>
      <c r="C3218" t="s">
        <v>836</v>
      </c>
      <c r="D3218" t="s">
        <v>563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2:18">
      <c r="B3219" t="s">
        <v>3548</v>
      </c>
      <c r="C3219" t="s">
        <v>836</v>
      </c>
      <c r="D3219" t="s">
        <v>563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2:18">
      <c r="B3220" t="s">
        <v>3549</v>
      </c>
      <c r="C3220" t="s">
        <v>836</v>
      </c>
      <c r="D3220" t="s">
        <v>563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2:18">
      <c r="B3221" t="s">
        <v>3550</v>
      </c>
      <c r="C3221" t="s">
        <v>836</v>
      </c>
      <c r="D3221" t="s">
        <v>563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2:18">
      <c r="B3222" t="s">
        <v>3551</v>
      </c>
      <c r="C3222" t="s">
        <v>836</v>
      </c>
      <c r="D3222" t="s">
        <v>563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2:18">
      <c r="B3223" t="s">
        <v>3552</v>
      </c>
      <c r="C3223" t="s">
        <v>836</v>
      </c>
      <c r="D3223" t="s">
        <v>563</v>
      </c>
      <c r="E3223">
        <v>0</v>
      </c>
      <c r="F3223">
        <v>0</v>
      </c>
      <c r="G3223">
        <v>150</v>
      </c>
      <c r="H3223">
        <v>20</v>
      </c>
      <c r="I3223">
        <v>0</v>
      </c>
      <c r="J3223">
        <v>0</v>
      </c>
      <c r="K3223">
        <v>0</v>
      </c>
      <c r="L3223">
        <v>0</v>
      </c>
      <c r="M3223">
        <v>170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2:18">
      <c r="B3224" t="s">
        <v>5731</v>
      </c>
      <c r="C3224" t="s">
        <v>836</v>
      </c>
      <c r="D3224" t="s">
        <v>563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2:18">
      <c r="B3225" t="s">
        <v>3553</v>
      </c>
      <c r="C3225" t="s">
        <v>836</v>
      </c>
      <c r="D3225" t="s">
        <v>563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2:18">
      <c r="B3226" t="s">
        <v>3554</v>
      </c>
      <c r="C3226" t="s">
        <v>836</v>
      </c>
      <c r="D3226" t="s">
        <v>563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2:18">
      <c r="B3227" t="s">
        <v>3555</v>
      </c>
      <c r="C3227" t="s">
        <v>836</v>
      </c>
      <c r="D3227" t="s">
        <v>563</v>
      </c>
      <c r="E3227">
        <v>0</v>
      </c>
      <c r="F3227">
        <v>0</v>
      </c>
      <c r="G3227">
        <v>145</v>
      </c>
      <c r="H3227">
        <v>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2:18">
      <c r="B3228" t="s">
        <v>3556</v>
      </c>
      <c r="C3228" t="s">
        <v>836</v>
      </c>
      <c r="D3228" t="s">
        <v>563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2:18">
      <c r="B3229" t="s">
        <v>3557</v>
      </c>
      <c r="C3229" t="s">
        <v>836</v>
      </c>
      <c r="D3229" t="s">
        <v>563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2:18">
      <c r="B3230" t="s">
        <v>3558</v>
      </c>
      <c r="C3230" t="s">
        <v>836</v>
      </c>
      <c r="D3230" t="s">
        <v>563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2:18">
      <c r="B3231" t="s">
        <v>3559</v>
      </c>
      <c r="C3231" t="s">
        <v>836</v>
      </c>
      <c r="D3231" t="s">
        <v>563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2:18">
      <c r="B3232" t="s">
        <v>3560</v>
      </c>
      <c r="C3232" t="s">
        <v>836</v>
      </c>
      <c r="D3232" t="s">
        <v>563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2:18">
      <c r="B3233" t="s">
        <v>3561</v>
      </c>
      <c r="C3233" t="s">
        <v>836</v>
      </c>
      <c r="D3233" t="s">
        <v>563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2:18">
      <c r="B3234" t="s">
        <v>3562</v>
      </c>
      <c r="C3234" t="s">
        <v>836</v>
      </c>
      <c r="D3234" t="s">
        <v>563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2:18">
      <c r="B3235" t="s">
        <v>3563</v>
      </c>
      <c r="C3235" t="s">
        <v>836</v>
      </c>
      <c r="D3235" t="s">
        <v>563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2:18">
      <c r="B3236" t="s">
        <v>3564</v>
      </c>
      <c r="C3236" t="s">
        <v>836</v>
      </c>
      <c r="D3236" t="s">
        <v>563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2:18">
      <c r="B3237" t="s">
        <v>3565</v>
      </c>
      <c r="C3237" t="s">
        <v>836</v>
      </c>
      <c r="D3237" t="s">
        <v>563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2:18">
      <c r="B3238" t="s">
        <v>3566</v>
      </c>
      <c r="C3238" t="s">
        <v>836</v>
      </c>
      <c r="D3238" t="s">
        <v>563</v>
      </c>
      <c r="E3238">
        <v>7</v>
      </c>
      <c r="F3238">
        <v>4.4000000000000004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2:18">
      <c r="B3239" t="s">
        <v>3567</v>
      </c>
      <c r="C3239" t="s">
        <v>836</v>
      </c>
      <c r="D3239" t="s">
        <v>563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2:18">
      <c r="B3240" t="s">
        <v>3568</v>
      </c>
      <c r="C3240" t="s">
        <v>836</v>
      </c>
      <c r="D3240" t="s">
        <v>563</v>
      </c>
      <c r="E3240">
        <v>4</v>
      </c>
      <c r="F3240">
        <v>11.5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2:18">
      <c r="B3241" t="s">
        <v>5732</v>
      </c>
      <c r="C3241" t="s">
        <v>836</v>
      </c>
      <c r="D3241" t="s">
        <v>563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2:18">
      <c r="B3242" t="s">
        <v>3569</v>
      </c>
      <c r="C3242" t="s">
        <v>836</v>
      </c>
      <c r="D3242" t="s">
        <v>563</v>
      </c>
      <c r="E3242">
        <v>5</v>
      </c>
      <c r="F3242">
        <v>7.92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2:18">
      <c r="B3243" t="s">
        <v>3570</v>
      </c>
      <c r="C3243" t="s">
        <v>836</v>
      </c>
      <c r="D3243" t="s">
        <v>563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2:18">
      <c r="B3244" t="s">
        <v>3571</v>
      </c>
      <c r="C3244" t="s">
        <v>836</v>
      </c>
      <c r="D3244" t="s">
        <v>563</v>
      </c>
      <c r="E3244">
        <v>3</v>
      </c>
      <c r="F3244">
        <v>19.46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2:18">
      <c r="B3245" t="s">
        <v>5733</v>
      </c>
      <c r="C3245" t="s">
        <v>836</v>
      </c>
      <c r="D3245" t="s">
        <v>563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2:18">
      <c r="B3246" t="s">
        <v>3572</v>
      </c>
      <c r="C3246" t="s">
        <v>836</v>
      </c>
      <c r="D3246" t="s">
        <v>563</v>
      </c>
      <c r="E3246">
        <v>3</v>
      </c>
      <c r="F3246">
        <v>16.920000000000002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2:18">
      <c r="B3247" t="s">
        <v>3573</v>
      </c>
      <c r="C3247" t="s">
        <v>836</v>
      </c>
      <c r="D3247" t="s">
        <v>563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2:18">
      <c r="B3248" t="s">
        <v>3574</v>
      </c>
      <c r="C3248" t="s">
        <v>836</v>
      </c>
      <c r="D3248" t="s">
        <v>563</v>
      </c>
      <c r="E3248">
        <v>2</v>
      </c>
      <c r="F3248">
        <v>30.2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2:18">
      <c r="B3249" t="s">
        <v>5734</v>
      </c>
      <c r="C3249" t="s">
        <v>836</v>
      </c>
      <c r="D3249" t="s">
        <v>563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2:18">
      <c r="B3250" t="s">
        <v>3575</v>
      </c>
      <c r="C3250" t="s">
        <v>836</v>
      </c>
      <c r="D3250" t="s">
        <v>563</v>
      </c>
      <c r="E3250">
        <v>2</v>
      </c>
      <c r="F3250">
        <v>29.8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2:18">
      <c r="B3251" t="s">
        <v>3576</v>
      </c>
      <c r="C3251" t="s">
        <v>836</v>
      </c>
      <c r="D3251" t="s">
        <v>563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2:18">
      <c r="B3252" t="s">
        <v>3577</v>
      </c>
      <c r="C3252" t="s">
        <v>836</v>
      </c>
      <c r="D3252" t="s">
        <v>563</v>
      </c>
      <c r="E3252">
        <v>1</v>
      </c>
      <c r="F3252">
        <v>48.1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2:18">
      <c r="B3253" t="s">
        <v>5735</v>
      </c>
      <c r="C3253" t="s">
        <v>836</v>
      </c>
      <c r="D3253" t="s">
        <v>563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2:18">
      <c r="B3254" t="s">
        <v>3578</v>
      </c>
      <c r="C3254" t="s">
        <v>836</v>
      </c>
      <c r="D3254" t="s">
        <v>563</v>
      </c>
      <c r="E3254">
        <v>1</v>
      </c>
      <c r="F3254">
        <v>50.4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2:18">
      <c r="B3255" t="s">
        <v>3579</v>
      </c>
      <c r="C3255" t="s">
        <v>836</v>
      </c>
      <c r="D3255" t="s">
        <v>563</v>
      </c>
      <c r="E3255">
        <v>3</v>
      </c>
      <c r="F3255">
        <v>6.09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2:18">
      <c r="B3256" t="s">
        <v>3580</v>
      </c>
      <c r="C3256" t="s">
        <v>836</v>
      </c>
      <c r="D3256" t="s">
        <v>563</v>
      </c>
      <c r="E3256">
        <v>1</v>
      </c>
      <c r="F3256">
        <v>70.900000000000006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2:18">
      <c r="B3257" t="s">
        <v>5736</v>
      </c>
      <c r="C3257" t="s">
        <v>836</v>
      </c>
      <c r="D3257" t="s">
        <v>563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2:18">
      <c r="B3258" t="s">
        <v>3581</v>
      </c>
      <c r="C3258" t="s">
        <v>836</v>
      </c>
      <c r="D3258" t="s">
        <v>563</v>
      </c>
      <c r="E3258">
        <v>1</v>
      </c>
      <c r="F3258">
        <v>77.5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2:18">
      <c r="B3259" t="s">
        <v>3582</v>
      </c>
      <c r="C3259" t="s">
        <v>836</v>
      </c>
      <c r="D3259" t="s">
        <v>563</v>
      </c>
      <c r="E3259">
        <v>2</v>
      </c>
      <c r="F3259">
        <v>27.305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2:18">
      <c r="B3260" t="s">
        <v>3583</v>
      </c>
      <c r="C3260" t="s">
        <v>836</v>
      </c>
      <c r="D3260" t="s">
        <v>563</v>
      </c>
      <c r="E3260">
        <v>1</v>
      </c>
      <c r="F3260">
        <v>100.5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2:18">
      <c r="B3261" t="s">
        <v>5737</v>
      </c>
      <c r="C3261" t="s">
        <v>836</v>
      </c>
      <c r="D3261" t="s">
        <v>563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2:18">
      <c r="B3262" t="s">
        <v>3584</v>
      </c>
      <c r="C3262" t="s">
        <v>836</v>
      </c>
      <c r="D3262" t="s">
        <v>563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2:18">
      <c r="B3263" t="s">
        <v>3585</v>
      </c>
      <c r="C3263" t="s">
        <v>836</v>
      </c>
      <c r="D3263" t="s">
        <v>563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2:18">
      <c r="B3264" t="s">
        <v>3586</v>
      </c>
      <c r="C3264" t="s">
        <v>836</v>
      </c>
      <c r="D3264" t="s">
        <v>563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2:18">
      <c r="B3265" t="s">
        <v>5738</v>
      </c>
      <c r="C3265" t="s">
        <v>836</v>
      </c>
      <c r="D3265" t="s">
        <v>563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2:18">
      <c r="B3266" t="s">
        <v>3587</v>
      </c>
      <c r="C3266" t="s">
        <v>836</v>
      </c>
      <c r="D3266" t="s">
        <v>563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2:18">
      <c r="B3267" t="s">
        <v>3588</v>
      </c>
      <c r="C3267" t="s">
        <v>836</v>
      </c>
      <c r="D3267" t="s">
        <v>563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206.6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2:18">
      <c r="B3268" t="s">
        <v>3589</v>
      </c>
      <c r="C3268" t="s">
        <v>836</v>
      </c>
      <c r="D3268" t="s">
        <v>563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2:18">
      <c r="B3269" t="s">
        <v>3590</v>
      </c>
      <c r="C3269" t="s">
        <v>836</v>
      </c>
      <c r="D3269" t="s">
        <v>563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2:18">
      <c r="B3270" t="s">
        <v>3591</v>
      </c>
      <c r="C3270" t="s">
        <v>836</v>
      </c>
      <c r="D3270" t="s">
        <v>563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2:18">
      <c r="B3271" t="s">
        <v>5739</v>
      </c>
      <c r="C3271" t="s">
        <v>836</v>
      </c>
      <c r="D3271" t="s">
        <v>563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2:18">
      <c r="B3272" t="s">
        <v>5740</v>
      </c>
      <c r="C3272" t="s">
        <v>836</v>
      </c>
      <c r="D3272" t="s">
        <v>563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2:18">
      <c r="B3273" t="s">
        <v>5741</v>
      </c>
      <c r="C3273" t="s">
        <v>836</v>
      </c>
      <c r="D3273" t="s">
        <v>563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2:18">
      <c r="B3274" t="s">
        <v>3592</v>
      </c>
      <c r="C3274" t="s">
        <v>836</v>
      </c>
      <c r="D3274" t="s">
        <v>563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2:18">
      <c r="B3275" t="s">
        <v>3593</v>
      </c>
      <c r="C3275" t="s">
        <v>836</v>
      </c>
      <c r="D3275" t="s">
        <v>563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2:18">
      <c r="B3276" t="s">
        <v>5742</v>
      </c>
      <c r="C3276" t="s">
        <v>836</v>
      </c>
      <c r="D3276" t="s">
        <v>563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2:18">
      <c r="B3277" t="s">
        <v>3594</v>
      </c>
      <c r="C3277" t="s">
        <v>836</v>
      </c>
      <c r="D3277" t="s">
        <v>563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2:18">
      <c r="B3278" t="s">
        <v>3595</v>
      </c>
      <c r="C3278" t="s">
        <v>836</v>
      </c>
      <c r="D3278" t="s">
        <v>563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2:18">
      <c r="B3279" t="s">
        <v>5743</v>
      </c>
      <c r="C3279" t="s">
        <v>836</v>
      </c>
      <c r="D3279" t="s">
        <v>563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2:18">
      <c r="B3280" t="s">
        <v>5744</v>
      </c>
      <c r="C3280" t="s">
        <v>836</v>
      </c>
      <c r="D3280" t="s">
        <v>563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2:18">
      <c r="B3281" t="s">
        <v>5745</v>
      </c>
      <c r="C3281" t="s">
        <v>836</v>
      </c>
      <c r="D3281" t="s">
        <v>563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2:18">
      <c r="B3282" t="s">
        <v>3596</v>
      </c>
      <c r="C3282" t="s">
        <v>836</v>
      </c>
      <c r="D3282" t="s">
        <v>563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2:18">
      <c r="B3283" t="s">
        <v>3597</v>
      </c>
      <c r="C3283" t="s">
        <v>836</v>
      </c>
      <c r="D3283" t="s">
        <v>563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2:18">
      <c r="B3284" t="s">
        <v>5746</v>
      </c>
      <c r="C3284" t="s">
        <v>836</v>
      </c>
      <c r="D3284" t="s">
        <v>563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2:18">
      <c r="B3285" t="s">
        <v>3598</v>
      </c>
      <c r="C3285" t="s">
        <v>836</v>
      </c>
      <c r="D3285" t="s">
        <v>563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2:18">
      <c r="B3286" t="s">
        <v>3599</v>
      </c>
      <c r="C3286" t="s">
        <v>836</v>
      </c>
      <c r="D3286" t="s">
        <v>563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2:18">
      <c r="B3287" t="s">
        <v>3600</v>
      </c>
      <c r="C3287" t="s">
        <v>836</v>
      </c>
      <c r="D3287" t="s">
        <v>563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2:18">
      <c r="B3288" t="s">
        <v>5747</v>
      </c>
      <c r="C3288" t="s">
        <v>836</v>
      </c>
      <c r="D3288" t="s">
        <v>563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2:18">
      <c r="B3289" t="s">
        <v>5748</v>
      </c>
      <c r="C3289" t="s">
        <v>836</v>
      </c>
      <c r="D3289" t="s">
        <v>563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2:18">
      <c r="B3290" t="s">
        <v>3601</v>
      </c>
      <c r="C3290" t="s">
        <v>836</v>
      </c>
      <c r="D3290" t="s">
        <v>563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2:18">
      <c r="B3291" t="s">
        <v>3602</v>
      </c>
      <c r="C3291" t="s">
        <v>836</v>
      </c>
      <c r="D3291" t="s">
        <v>563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2:18">
      <c r="B3292" t="s">
        <v>3603</v>
      </c>
      <c r="C3292" t="s">
        <v>836</v>
      </c>
      <c r="D3292" t="s">
        <v>563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2:18">
      <c r="B3293" t="s">
        <v>3604</v>
      </c>
      <c r="C3293" t="s">
        <v>836</v>
      </c>
      <c r="D3293" t="s">
        <v>563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2:18">
      <c r="B3294" t="s">
        <v>3605</v>
      </c>
      <c r="C3294" t="s">
        <v>836</v>
      </c>
      <c r="D3294" t="s">
        <v>563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2:18">
      <c r="B3295" t="s">
        <v>3606</v>
      </c>
      <c r="C3295" t="s">
        <v>836</v>
      </c>
      <c r="D3295" t="s">
        <v>563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2:18">
      <c r="B3296" t="s">
        <v>3607</v>
      </c>
      <c r="C3296" t="s">
        <v>836</v>
      </c>
      <c r="D3296" t="s">
        <v>563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2:18">
      <c r="B3297" t="s">
        <v>3608</v>
      </c>
      <c r="C3297" t="s">
        <v>836</v>
      </c>
      <c r="D3297" t="s">
        <v>563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2:18">
      <c r="B3298" t="s">
        <v>3609</v>
      </c>
      <c r="C3298" t="s">
        <v>836</v>
      </c>
      <c r="D3298" t="s">
        <v>563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2:18">
      <c r="B3299" t="s">
        <v>3610</v>
      </c>
      <c r="C3299" t="s">
        <v>836</v>
      </c>
      <c r="D3299" t="s">
        <v>563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2:18">
      <c r="B3300" t="s">
        <v>3611</v>
      </c>
      <c r="C3300" t="s">
        <v>836</v>
      </c>
      <c r="D3300" t="s">
        <v>563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2:18">
      <c r="B3301" t="s">
        <v>3612</v>
      </c>
      <c r="C3301" t="s">
        <v>836</v>
      </c>
      <c r="D3301" t="s">
        <v>563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2:18">
      <c r="B3302" t="s">
        <v>3613</v>
      </c>
      <c r="C3302" t="s">
        <v>836</v>
      </c>
      <c r="D3302" t="s">
        <v>563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2:18">
      <c r="B3303" t="s">
        <v>3614</v>
      </c>
      <c r="C3303" t="s">
        <v>836</v>
      </c>
      <c r="D3303" t="s">
        <v>563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2:18">
      <c r="B3304" t="s">
        <v>3615</v>
      </c>
      <c r="C3304" t="s">
        <v>836</v>
      </c>
      <c r="D3304" t="s">
        <v>563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2:18">
      <c r="B3305" t="s">
        <v>3616</v>
      </c>
      <c r="C3305" t="s">
        <v>836</v>
      </c>
      <c r="D3305" t="s">
        <v>563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2:18">
      <c r="B3306" t="s">
        <v>3617</v>
      </c>
      <c r="C3306" t="s">
        <v>836</v>
      </c>
      <c r="D3306" t="s">
        <v>563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2:18">
      <c r="B3307" t="s">
        <v>3618</v>
      </c>
      <c r="C3307" t="s">
        <v>836</v>
      </c>
      <c r="D3307" t="s">
        <v>563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2:18">
      <c r="B3308" t="s">
        <v>3619</v>
      </c>
      <c r="C3308" t="s">
        <v>836</v>
      </c>
      <c r="D3308" t="s">
        <v>563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2:18">
      <c r="B3309" t="s">
        <v>3620</v>
      </c>
      <c r="C3309" t="s">
        <v>836</v>
      </c>
      <c r="D3309" t="s">
        <v>563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2:18">
      <c r="B3310" t="s">
        <v>3621</v>
      </c>
      <c r="C3310" t="s">
        <v>836</v>
      </c>
      <c r="D3310" t="s">
        <v>563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2:18">
      <c r="B3311" t="s">
        <v>3622</v>
      </c>
      <c r="C3311" t="s">
        <v>836</v>
      </c>
      <c r="D3311" t="s">
        <v>563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2:18">
      <c r="B3312" t="s">
        <v>3623</v>
      </c>
      <c r="C3312" t="s">
        <v>836</v>
      </c>
      <c r="D3312" t="s">
        <v>563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2:18">
      <c r="B3313" t="s">
        <v>3624</v>
      </c>
      <c r="C3313" t="s">
        <v>836</v>
      </c>
      <c r="D3313" t="s">
        <v>563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2:18">
      <c r="B3314" t="s">
        <v>3625</v>
      </c>
      <c r="C3314" t="s">
        <v>836</v>
      </c>
      <c r="D3314" t="s">
        <v>563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2:18">
      <c r="B3315" t="s">
        <v>3626</v>
      </c>
      <c r="C3315" t="s">
        <v>836</v>
      </c>
      <c r="D3315" t="s">
        <v>563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2:18">
      <c r="B3316" t="s">
        <v>3627</v>
      </c>
      <c r="C3316" t="s">
        <v>836</v>
      </c>
      <c r="D3316" t="s">
        <v>563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2:18">
      <c r="B3317" t="s">
        <v>3628</v>
      </c>
      <c r="C3317" t="s">
        <v>836</v>
      </c>
      <c r="D3317" t="s">
        <v>563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2:18">
      <c r="B3318" t="s">
        <v>3629</v>
      </c>
      <c r="C3318" t="s">
        <v>836</v>
      </c>
      <c r="D3318" t="s">
        <v>563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2:18">
      <c r="B3319" t="s">
        <v>3630</v>
      </c>
      <c r="C3319" t="s">
        <v>836</v>
      </c>
      <c r="D3319" t="s">
        <v>563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2:18">
      <c r="B3320" t="s">
        <v>3631</v>
      </c>
      <c r="C3320" t="s">
        <v>836</v>
      </c>
      <c r="D3320" t="s">
        <v>563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2:18">
      <c r="B3321" t="s">
        <v>3632</v>
      </c>
      <c r="C3321" t="s">
        <v>836</v>
      </c>
      <c r="D3321" t="s">
        <v>563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2:18">
      <c r="B3322" t="s">
        <v>3633</v>
      </c>
      <c r="C3322" t="s">
        <v>836</v>
      </c>
      <c r="D3322" t="s">
        <v>563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2:18">
      <c r="B3323" t="s">
        <v>3634</v>
      </c>
      <c r="C3323" t="s">
        <v>836</v>
      </c>
      <c r="D3323" t="s">
        <v>563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2:18">
      <c r="B3324" t="s">
        <v>3635</v>
      </c>
      <c r="C3324" t="s">
        <v>836</v>
      </c>
      <c r="D3324" t="s">
        <v>563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2:18">
      <c r="B3325" t="s">
        <v>3636</v>
      </c>
      <c r="C3325" t="s">
        <v>836</v>
      </c>
      <c r="D3325" t="s">
        <v>563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2:18">
      <c r="B3326" t="s">
        <v>3637</v>
      </c>
      <c r="C3326" t="s">
        <v>836</v>
      </c>
      <c r="D3326" t="s">
        <v>563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2:18">
      <c r="B3327" t="s">
        <v>3638</v>
      </c>
      <c r="C3327" t="s">
        <v>836</v>
      </c>
      <c r="D3327" t="s">
        <v>563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2:18">
      <c r="B3328" t="s">
        <v>5749</v>
      </c>
      <c r="C3328" t="s">
        <v>836</v>
      </c>
      <c r="D3328" t="s">
        <v>563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2:18">
      <c r="B3329" t="s">
        <v>5750</v>
      </c>
      <c r="C3329" t="s">
        <v>836</v>
      </c>
      <c r="D3329" t="s">
        <v>563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2:18">
      <c r="B3330" t="s">
        <v>5751</v>
      </c>
      <c r="C3330" t="s">
        <v>836</v>
      </c>
      <c r="D3330" t="s">
        <v>563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2:18">
      <c r="B3331" t="s">
        <v>3639</v>
      </c>
      <c r="C3331" t="s">
        <v>836</v>
      </c>
      <c r="D3331" t="s">
        <v>563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2:18">
      <c r="B3332" t="s">
        <v>3640</v>
      </c>
      <c r="C3332" t="s">
        <v>836</v>
      </c>
      <c r="D3332" t="s">
        <v>563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2:18">
      <c r="B3333" t="s">
        <v>3641</v>
      </c>
      <c r="C3333" t="s">
        <v>836</v>
      </c>
      <c r="D3333" t="s">
        <v>563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2:18">
      <c r="B3334" t="s">
        <v>3642</v>
      </c>
      <c r="C3334" t="s">
        <v>836</v>
      </c>
      <c r="D3334" t="s">
        <v>563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2:18">
      <c r="B3335" t="s">
        <v>3643</v>
      </c>
      <c r="C3335" t="s">
        <v>836</v>
      </c>
      <c r="D3335" t="s">
        <v>563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2:18">
      <c r="B3336" t="s">
        <v>5752</v>
      </c>
      <c r="C3336" t="s">
        <v>836</v>
      </c>
      <c r="D3336" t="s">
        <v>563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2:18">
      <c r="B3337" t="s">
        <v>3644</v>
      </c>
      <c r="C3337" t="s">
        <v>836</v>
      </c>
      <c r="D3337" t="s">
        <v>563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2:18">
      <c r="B3338" t="s">
        <v>5753</v>
      </c>
      <c r="C3338" t="s">
        <v>836</v>
      </c>
      <c r="D3338" t="s">
        <v>563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2:18">
      <c r="B3339" t="s">
        <v>3645</v>
      </c>
      <c r="C3339" t="s">
        <v>836</v>
      </c>
      <c r="D3339" t="s">
        <v>563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2:18">
      <c r="B3340" t="s">
        <v>3646</v>
      </c>
      <c r="C3340" t="s">
        <v>836</v>
      </c>
      <c r="D3340" t="s">
        <v>563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2:18">
      <c r="B3341" t="s">
        <v>3647</v>
      </c>
      <c r="C3341" t="s">
        <v>836</v>
      </c>
      <c r="D3341" t="s">
        <v>563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2:18">
      <c r="B3342" t="s">
        <v>5754</v>
      </c>
      <c r="C3342" t="s">
        <v>836</v>
      </c>
      <c r="D3342" t="s">
        <v>563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2:18">
      <c r="B3343" t="s">
        <v>3648</v>
      </c>
      <c r="C3343" t="s">
        <v>836</v>
      </c>
      <c r="D3343" t="s">
        <v>563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2:18">
      <c r="B3344" t="s">
        <v>5755</v>
      </c>
      <c r="C3344" t="s">
        <v>836</v>
      </c>
      <c r="D3344" t="s">
        <v>563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2:18">
      <c r="B3345" t="s">
        <v>3649</v>
      </c>
      <c r="C3345" t="s">
        <v>836</v>
      </c>
      <c r="D3345" t="s">
        <v>563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2:18">
      <c r="B3346" t="s">
        <v>3650</v>
      </c>
      <c r="C3346" t="s">
        <v>836</v>
      </c>
      <c r="D3346" t="s">
        <v>563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2:18">
      <c r="B3347" t="s">
        <v>3651</v>
      </c>
      <c r="C3347" t="s">
        <v>836</v>
      </c>
      <c r="D3347" t="s">
        <v>563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2:18">
      <c r="B3348" t="s">
        <v>5756</v>
      </c>
      <c r="C3348" t="s">
        <v>836</v>
      </c>
      <c r="D3348" t="s">
        <v>563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2:18">
      <c r="B3349" t="s">
        <v>3652</v>
      </c>
      <c r="C3349" t="s">
        <v>836</v>
      </c>
      <c r="D3349" t="s">
        <v>563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2:18">
      <c r="B3350" t="s">
        <v>5757</v>
      </c>
      <c r="C3350" t="s">
        <v>836</v>
      </c>
      <c r="D3350" t="s">
        <v>563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2:18">
      <c r="B3351" t="s">
        <v>3653</v>
      </c>
      <c r="C3351" t="s">
        <v>836</v>
      </c>
      <c r="D3351" t="s">
        <v>563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2:18">
      <c r="B3352" t="s">
        <v>3654</v>
      </c>
      <c r="C3352" t="s">
        <v>836</v>
      </c>
      <c r="D3352" t="s">
        <v>563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2:18">
      <c r="B3353" t="s">
        <v>3655</v>
      </c>
      <c r="C3353" t="s">
        <v>836</v>
      </c>
      <c r="D3353" t="s">
        <v>563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2:18">
      <c r="B3354" t="s">
        <v>5758</v>
      </c>
      <c r="C3354" t="s">
        <v>836</v>
      </c>
      <c r="D3354" t="s">
        <v>563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2:18">
      <c r="B3355" t="s">
        <v>3656</v>
      </c>
      <c r="C3355" t="s">
        <v>836</v>
      </c>
      <c r="D3355" t="s">
        <v>563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2:18">
      <c r="B3356" t="s">
        <v>3657</v>
      </c>
      <c r="C3356" t="s">
        <v>836</v>
      </c>
      <c r="D3356" t="s">
        <v>563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2:18">
      <c r="B3357" t="s">
        <v>3658</v>
      </c>
      <c r="C3357" t="s">
        <v>836</v>
      </c>
      <c r="D3357" t="s">
        <v>563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2:18">
      <c r="B3358" t="s">
        <v>3659</v>
      </c>
      <c r="C3358" t="s">
        <v>836</v>
      </c>
      <c r="D3358" t="s">
        <v>563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2:18">
      <c r="B3359" t="s">
        <v>3660</v>
      </c>
      <c r="C3359" t="s">
        <v>836</v>
      </c>
      <c r="D3359" t="s">
        <v>563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2:18">
      <c r="B3360" t="s">
        <v>3661</v>
      </c>
      <c r="C3360" t="s">
        <v>836</v>
      </c>
      <c r="D3360" t="s">
        <v>563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2:18">
      <c r="B3361" t="s">
        <v>3662</v>
      </c>
      <c r="C3361" t="s">
        <v>836</v>
      </c>
      <c r="D3361" t="s">
        <v>563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2:18">
      <c r="B3362" t="s">
        <v>3663</v>
      </c>
      <c r="C3362" t="s">
        <v>836</v>
      </c>
      <c r="D3362" t="s">
        <v>563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2:18">
      <c r="B3363" t="s">
        <v>3664</v>
      </c>
      <c r="C3363" t="s">
        <v>836</v>
      </c>
      <c r="D3363" t="s">
        <v>563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2:18">
      <c r="B3364" t="s">
        <v>3665</v>
      </c>
      <c r="C3364" t="s">
        <v>836</v>
      </c>
      <c r="D3364" t="s">
        <v>563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2:18">
      <c r="B3365" t="s">
        <v>3666</v>
      </c>
      <c r="C3365" t="s">
        <v>836</v>
      </c>
      <c r="D3365" t="s">
        <v>563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2:18">
      <c r="B3366" t="s">
        <v>3667</v>
      </c>
      <c r="C3366" t="s">
        <v>836</v>
      </c>
      <c r="D3366" t="s">
        <v>563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2:18">
      <c r="B3367" t="s">
        <v>3668</v>
      </c>
      <c r="C3367" t="s">
        <v>836</v>
      </c>
      <c r="D3367" t="s">
        <v>563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2:18">
      <c r="B3368" t="s">
        <v>3669</v>
      </c>
      <c r="C3368" t="s">
        <v>836</v>
      </c>
      <c r="D3368" t="s">
        <v>563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2:18">
      <c r="B3369" t="s">
        <v>3670</v>
      </c>
      <c r="C3369" t="s">
        <v>836</v>
      </c>
      <c r="D3369" t="s">
        <v>563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2:18">
      <c r="B3370" t="s">
        <v>3671</v>
      </c>
      <c r="C3370" t="s">
        <v>836</v>
      </c>
      <c r="D3370" t="s">
        <v>563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2:18">
      <c r="B3371" t="s">
        <v>3672</v>
      </c>
      <c r="C3371" t="s">
        <v>836</v>
      </c>
      <c r="D3371" t="s">
        <v>563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2:18">
      <c r="B3372" t="s">
        <v>3673</v>
      </c>
      <c r="C3372" t="s">
        <v>836</v>
      </c>
      <c r="D3372" t="s">
        <v>563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2:18">
      <c r="B3373" t="s">
        <v>3674</v>
      </c>
      <c r="C3373" t="s">
        <v>836</v>
      </c>
      <c r="D3373" t="s">
        <v>563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2:18">
      <c r="B3374" t="s">
        <v>3675</v>
      </c>
      <c r="C3374" t="s">
        <v>836</v>
      </c>
      <c r="D3374" t="s">
        <v>563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2:18">
      <c r="B3375" t="s">
        <v>3676</v>
      </c>
      <c r="C3375" t="s">
        <v>836</v>
      </c>
      <c r="D3375" t="s">
        <v>563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2:18">
      <c r="B3376" t="s">
        <v>3677</v>
      </c>
      <c r="C3376" t="s">
        <v>836</v>
      </c>
      <c r="D3376" t="s">
        <v>563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2:18">
      <c r="B3377" t="s">
        <v>3678</v>
      </c>
      <c r="C3377" t="s">
        <v>836</v>
      </c>
      <c r="D3377" t="s">
        <v>563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2:18">
      <c r="B3378" t="s">
        <v>3679</v>
      </c>
      <c r="C3378" t="s">
        <v>836</v>
      </c>
      <c r="D3378" t="s">
        <v>563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2:18">
      <c r="B3379" t="s">
        <v>3680</v>
      </c>
      <c r="C3379" t="s">
        <v>836</v>
      </c>
      <c r="D3379" t="s">
        <v>563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2:18">
      <c r="B3380" t="s">
        <v>3681</v>
      </c>
      <c r="C3380" t="s">
        <v>836</v>
      </c>
      <c r="D3380" t="s">
        <v>563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2:18">
      <c r="B3381" t="s">
        <v>3682</v>
      </c>
      <c r="C3381" t="s">
        <v>836</v>
      </c>
      <c r="D3381" t="s">
        <v>563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2:18">
      <c r="B3382" t="s">
        <v>3683</v>
      </c>
      <c r="C3382" t="s">
        <v>836</v>
      </c>
      <c r="D3382" t="s">
        <v>563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2:18">
      <c r="B3383" t="s">
        <v>3684</v>
      </c>
      <c r="C3383" t="s">
        <v>836</v>
      </c>
      <c r="D3383" t="s">
        <v>563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2:18">
      <c r="B3384" t="s">
        <v>3685</v>
      </c>
      <c r="C3384" t="s">
        <v>836</v>
      </c>
      <c r="D3384" t="s">
        <v>563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2:18">
      <c r="B3385" t="s">
        <v>3686</v>
      </c>
      <c r="C3385" t="s">
        <v>836</v>
      </c>
      <c r="D3385" t="s">
        <v>563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2:18">
      <c r="B3386" t="s">
        <v>3687</v>
      </c>
      <c r="C3386" t="s">
        <v>836</v>
      </c>
      <c r="D3386" t="s">
        <v>563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2:18">
      <c r="B3387" t="s">
        <v>3688</v>
      </c>
      <c r="C3387" t="s">
        <v>836</v>
      </c>
      <c r="D3387" t="s">
        <v>563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2:18">
      <c r="B3388" t="s">
        <v>3689</v>
      </c>
      <c r="C3388" t="s">
        <v>836</v>
      </c>
      <c r="D3388" t="s">
        <v>563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2:18">
      <c r="B3389" t="s">
        <v>5759</v>
      </c>
      <c r="C3389" t="s">
        <v>836</v>
      </c>
      <c r="D3389" t="s">
        <v>563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2:18">
      <c r="B3390" t="s">
        <v>5760</v>
      </c>
      <c r="C3390" t="s">
        <v>836</v>
      </c>
      <c r="D3390" t="s">
        <v>563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2:18">
      <c r="B3391" t="s">
        <v>5761</v>
      </c>
      <c r="C3391" t="s">
        <v>836</v>
      </c>
      <c r="D3391" t="s">
        <v>563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2:18">
      <c r="B3392" t="s">
        <v>5762</v>
      </c>
      <c r="C3392" t="s">
        <v>836</v>
      </c>
      <c r="D3392" t="s">
        <v>563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2:18">
      <c r="B3393" t="s">
        <v>5763</v>
      </c>
      <c r="C3393" t="s">
        <v>836</v>
      </c>
      <c r="D3393" t="s">
        <v>563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2:18">
      <c r="B3394" t="s">
        <v>5764</v>
      </c>
      <c r="C3394" t="s">
        <v>836</v>
      </c>
      <c r="D3394" t="s">
        <v>563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2:18">
      <c r="B3395" t="s">
        <v>5765</v>
      </c>
      <c r="C3395" t="s">
        <v>836</v>
      </c>
      <c r="D3395" t="s">
        <v>563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2:18">
      <c r="B3396" t="s">
        <v>5766</v>
      </c>
      <c r="C3396" t="s">
        <v>836</v>
      </c>
      <c r="D3396" t="s">
        <v>563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2:18">
      <c r="B3397" t="s">
        <v>3690</v>
      </c>
      <c r="C3397" t="s">
        <v>836</v>
      </c>
      <c r="D3397" t="s">
        <v>563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2:18">
      <c r="B3398" t="s">
        <v>3691</v>
      </c>
      <c r="C3398" t="s">
        <v>836</v>
      </c>
      <c r="D3398" t="s">
        <v>563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2:18">
      <c r="B3399" t="s">
        <v>5767</v>
      </c>
      <c r="C3399" t="s">
        <v>836</v>
      </c>
      <c r="D3399" t="s">
        <v>563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2:18">
      <c r="B3400" t="s">
        <v>3692</v>
      </c>
      <c r="C3400" t="s">
        <v>836</v>
      </c>
      <c r="D3400" t="s">
        <v>563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2:18">
      <c r="B3401" t="s">
        <v>3693</v>
      </c>
      <c r="C3401" t="s">
        <v>836</v>
      </c>
      <c r="D3401" t="s">
        <v>563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2:18">
      <c r="B3402" t="s">
        <v>3694</v>
      </c>
      <c r="C3402" t="s">
        <v>836</v>
      </c>
      <c r="D3402" t="s">
        <v>563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2:18">
      <c r="B3403" t="s">
        <v>3695</v>
      </c>
      <c r="C3403" t="s">
        <v>836</v>
      </c>
      <c r="D3403" t="s">
        <v>563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2:18">
      <c r="B3404" t="s">
        <v>3696</v>
      </c>
      <c r="C3404" t="s">
        <v>836</v>
      </c>
      <c r="D3404" t="s">
        <v>563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2:18">
      <c r="B3405" t="s">
        <v>3697</v>
      </c>
      <c r="C3405" t="s">
        <v>836</v>
      </c>
      <c r="D3405" t="s">
        <v>563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2:18">
      <c r="B3406" t="s">
        <v>3698</v>
      </c>
      <c r="C3406" t="s">
        <v>836</v>
      </c>
      <c r="D3406" t="s">
        <v>563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2:18">
      <c r="B3407" t="s">
        <v>3699</v>
      </c>
      <c r="C3407" t="s">
        <v>836</v>
      </c>
      <c r="D3407" t="s">
        <v>563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2:18">
      <c r="B3408" t="s">
        <v>3700</v>
      </c>
      <c r="C3408" t="s">
        <v>836</v>
      </c>
      <c r="D3408" t="s">
        <v>563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2:18">
      <c r="B3409" t="s">
        <v>3701</v>
      </c>
      <c r="C3409" t="s">
        <v>836</v>
      </c>
      <c r="D3409" t="s">
        <v>563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2:18">
      <c r="B3410" t="s">
        <v>3702</v>
      </c>
      <c r="C3410" t="s">
        <v>836</v>
      </c>
      <c r="D3410" t="s">
        <v>563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2:18">
      <c r="B3411" t="s">
        <v>3703</v>
      </c>
      <c r="C3411" t="s">
        <v>836</v>
      </c>
      <c r="D3411" t="s">
        <v>563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2:18">
      <c r="B3412" t="s">
        <v>3704</v>
      </c>
      <c r="C3412" t="s">
        <v>836</v>
      </c>
      <c r="D3412" t="s">
        <v>563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2:18">
      <c r="B3413" t="s">
        <v>3705</v>
      </c>
      <c r="C3413" t="s">
        <v>836</v>
      </c>
      <c r="D3413" t="s">
        <v>563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2:18">
      <c r="B3414" t="s">
        <v>3706</v>
      </c>
      <c r="C3414" t="s">
        <v>836</v>
      </c>
      <c r="D3414" t="s">
        <v>563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2:18">
      <c r="B3415" t="s">
        <v>3707</v>
      </c>
      <c r="C3415" t="s">
        <v>836</v>
      </c>
      <c r="D3415" t="s">
        <v>563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2:18">
      <c r="B3416" t="s">
        <v>3708</v>
      </c>
      <c r="C3416" t="s">
        <v>836</v>
      </c>
      <c r="D3416" t="s">
        <v>563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2:18">
      <c r="B3417" t="s">
        <v>3709</v>
      </c>
      <c r="C3417" t="s">
        <v>836</v>
      </c>
      <c r="D3417" t="s">
        <v>563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2:18">
      <c r="B3418" t="s">
        <v>3710</v>
      </c>
      <c r="C3418" t="s">
        <v>836</v>
      </c>
      <c r="D3418" t="s">
        <v>563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2:18">
      <c r="B3419" t="s">
        <v>3711</v>
      </c>
      <c r="C3419" t="s">
        <v>836</v>
      </c>
      <c r="D3419" t="s">
        <v>563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2:18">
      <c r="B3420" t="s">
        <v>3712</v>
      </c>
      <c r="C3420" t="s">
        <v>836</v>
      </c>
      <c r="D3420" t="s">
        <v>563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2:18">
      <c r="B3421" t="s">
        <v>3713</v>
      </c>
      <c r="C3421" t="s">
        <v>836</v>
      </c>
      <c r="D3421" t="s">
        <v>563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2:18">
      <c r="B3422" t="s">
        <v>3714</v>
      </c>
      <c r="C3422" t="s">
        <v>836</v>
      </c>
      <c r="D3422" t="s">
        <v>563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2:18">
      <c r="B3423" t="s">
        <v>3715</v>
      </c>
      <c r="C3423" t="s">
        <v>836</v>
      </c>
      <c r="D3423" t="s">
        <v>563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2:18">
      <c r="B3424" t="s">
        <v>3716</v>
      </c>
      <c r="C3424" t="s">
        <v>836</v>
      </c>
      <c r="D3424" t="s">
        <v>563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2:18">
      <c r="B3425" t="s">
        <v>5768</v>
      </c>
      <c r="C3425" t="s">
        <v>836</v>
      </c>
      <c r="D3425" t="s">
        <v>563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2:18">
      <c r="B3426" t="s">
        <v>5769</v>
      </c>
      <c r="C3426" t="s">
        <v>836</v>
      </c>
      <c r="D3426" t="s">
        <v>563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2:18">
      <c r="B3427" t="s">
        <v>5770</v>
      </c>
      <c r="C3427" t="s">
        <v>836</v>
      </c>
      <c r="D3427" t="s">
        <v>563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2:18">
      <c r="B3428" t="s">
        <v>5771</v>
      </c>
      <c r="C3428" t="s">
        <v>836</v>
      </c>
      <c r="D3428" t="s">
        <v>563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2:18">
      <c r="B3429" t="s">
        <v>5772</v>
      </c>
      <c r="C3429" t="s">
        <v>836</v>
      </c>
      <c r="D3429" t="s">
        <v>563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2:18">
      <c r="B3430" t="s">
        <v>5773</v>
      </c>
      <c r="C3430" t="s">
        <v>836</v>
      </c>
      <c r="D3430" t="s">
        <v>563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2:18">
      <c r="B3431" t="s">
        <v>5774</v>
      </c>
      <c r="C3431" t="s">
        <v>836</v>
      </c>
      <c r="D3431" t="s">
        <v>563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2:18">
      <c r="B3432" t="s">
        <v>5775</v>
      </c>
      <c r="C3432" t="s">
        <v>836</v>
      </c>
      <c r="D3432" t="s">
        <v>563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2:18">
      <c r="B3433" t="s">
        <v>3717</v>
      </c>
      <c r="C3433" t="s">
        <v>836</v>
      </c>
      <c r="D3433" t="s">
        <v>563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2:18">
      <c r="B3434" t="s">
        <v>3718</v>
      </c>
      <c r="C3434" t="s">
        <v>836</v>
      </c>
      <c r="D3434" t="s">
        <v>563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2:18">
      <c r="B3435" t="s">
        <v>5776</v>
      </c>
      <c r="C3435" t="s">
        <v>836</v>
      </c>
      <c r="D3435" t="s">
        <v>563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2:18">
      <c r="B3436" t="s">
        <v>3719</v>
      </c>
      <c r="C3436" t="s">
        <v>836</v>
      </c>
      <c r="D3436" t="s">
        <v>563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2:18">
      <c r="B3437" t="s">
        <v>3720</v>
      </c>
      <c r="C3437" t="s">
        <v>836</v>
      </c>
      <c r="D3437" t="s">
        <v>563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2:18">
      <c r="B3438" t="s">
        <v>3721</v>
      </c>
      <c r="C3438" t="s">
        <v>836</v>
      </c>
      <c r="D3438" t="s">
        <v>563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2:18">
      <c r="B3439" t="s">
        <v>3722</v>
      </c>
      <c r="C3439" t="s">
        <v>836</v>
      </c>
      <c r="D3439" t="s">
        <v>563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2:18">
      <c r="B3440" t="s">
        <v>3723</v>
      </c>
      <c r="C3440" t="s">
        <v>836</v>
      </c>
      <c r="D3440" t="s">
        <v>563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2:18">
      <c r="B3441" t="s">
        <v>3724</v>
      </c>
      <c r="C3441" t="s">
        <v>836</v>
      </c>
      <c r="D3441" t="s">
        <v>563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2:18">
      <c r="B3442" t="s">
        <v>3725</v>
      </c>
      <c r="C3442" t="s">
        <v>836</v>
      </c>
      <c r="D3442" t="s">
        <v>563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2:18">
      <c r="B3443" t="s">
        <v>3726</v>
      </c>
      <c r="C3443" t="s">
        <v>836</v>
      </c>
      <c r="D3443" t="s">
        <v>563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2:18">
      <c r="B3444" t="s">
        <v>3727</v>
      </c>
      <c r="C3444" t="s">
        <v>836</v>
      </c>
      <c r="D3444" t="s">
        <v>563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2:18">
      <c r="B3445" t="s">
        <v>3728</v>
      </c>
      <c r="C3445" t="s">
        <v>836</v>
      </c>
      <c r="D3445" t="s">
        <v>563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2:18">
      <c r="B3446" t="s">
        <v>3729</v>
      </c>
      <c r="C3446" t="s">
        <v>836</v>
      </c>
      <c r="D3446" t="s">
        <v>563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2:18">
      <c r="B3447" t="s">
        <v>3730</v>
      </c>
      <c r="C3447" t="s">
        <v>836</v>
      </c>
      <c r="D3447" t="s">
        <v>563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2:18">
      <c r="B3448" t="s">
        <v>3731</v>
      </c>
      <c r="C3448" t="s">
        <v>836</v>
      </c>
      <c r="D3448" t="s">
        <v>563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2:18">
      <c r="B3449" t="s">
        <v>3732</v>
      </c>
      <c r="C3449" t="s">
        <v>836</v>
      </c>
      <c r="D3449" t="s">
        <v>563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2:18">
      <c r="B3450" t="s">
        <v>3733</v>
      </c>
      <c r="C3450" t="s">
        <v>836</v>
      </c>
      <c r="D3450" t="s">
        <v>563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2:18">
      <c r="B3451" t="s">
        <v>3734</v>
      </c>
      <c r="C3451" t="s">
        <v>836</v>
      </c>
      <c r="D3451" t="s">
        <v>563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2:18">
      <c r="B3452" t="s">
        <v>3735</v>
      </c>
      <c r="C3452" t="s">
        <v>836</v>
      </c>
      <c r="D3452" t="s">
        <v>563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2:18">
      <c r="B3453" t="s">
        <v>3736</v>
      </c>
      <c r="C3453" t="s">
        <v>836</v>
      </c>
      <c r="D3453" t="s">
        <v>563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2:18">
      <c r="B3454" t="s">
        <v>3737</v>
      </c>
      <c r="C3454" t="s">
        <v>836</v>
      </c>
      <c r="D3454" t="s">
        <v>563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2:18">
      <c r="B3455" t="s">
        <v>3738</v>
      </c>
      <c r="C3455" t="s">
        <v>836</v>
      </c>
      <c r="D3455" t="s">
        <v>563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2:18">
      <c r="B3456" t="s">
        <v>3739</v>
      </c>
      <c r="C3456" t="s">
        <v>836</v>
      </c>
      <c r="D3456" t="s">
        <v>563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2:18">
      <c r="B3457" t="s">
        <v>3740</v>
      </c>
      <c r="C3457" t="s">
        <v>836</v>
      </c>
      <c r="D3457" t="s">
        <v>563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2:18">
      <c r="B3458" t="s">
        <v>3741</v>
      </c>
      <c r="C3458" t="s">
        <v>836</v>
      </c>
      <c r="D3458" t="s">
        <v>563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2:18">
      <c r="B3459" t="s">
        <v>3742</v>
      </c>
      <c r="C3459" t="s">
        <v>836</v>
      </c>
      <c r="D3459" t="s">
        <v>563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2:18">
      <c r="B3460" t="s">
        <v>3743</v>
      </c>
      <c r="C3460" t="s">
        <v>836</v>
      </c>
      <c r="D3460" t="s">
        <v>563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2:18">
      <c r="B3461" t="s">
        <v>5777</v>
      </c>
      <c r="C3461" t="s">
        <v>836</v>
      </c>
      <c r="D3461" t="s">
        <v>563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2:18">
      <c r="B3462" t="s">
        <v>3744</v>
      </c>
      <c r="C3462" t="s">
        <v>836</v>
      </c>
      <c r="D3462" t="s">
        <v>563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2:18">
      <c r="B3463" t="s">
        <v>5778</v>
      </c>
      <c r="C3463" t="s">
        <v>836</v>
      </c>
      <c r="D3463" t="s">
        <v>563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2:18">
      <c r="B3464" t="s">
        <v>5779</v>
      </c>
      <c r="C3464" t="s">
        <v>836</v>
      </c>
      <c r="D3464" t="s">
        <v>563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2:18">
      <c r="B3465" t="s">
        <v>5780</v>
      </c>
      <c r="C3465" t="s">
        <v>836</v>
      </c>
      <c r="D3465" t="s">
        <v>563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2:18">
      <c r="B3466" t="s">
        <v>3745</v>
      </c>
      <c r="C3466" t="s">
        <v>836</v>
      </c>
      <c r="D3466" t="s">
        <v>563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2:18">
      <c r="B3467" t="s">
        <v>5781</v>
      </c>
      <c r="C3467" t="s">
        <v>836</v>
      </c>
      <c r="D3467" t="s">
        <v>563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2:18">
      <c r="B3468" t="s">
        <v>5782</v>
      </c>
      <c r="C3468" t="s">
        <v>836</v>
      </c>
      <c r="D3468" t="s">
        <v>563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2:18">
      <c r="B3469" t="s">
        <v>5783</v>
      </c>
      <c r="C3469" t="s">
        <v>836</v>
      </c>
      <c r="D3469" t="s">
        <v>563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2:18">
      <c r="B3470" t="s">
        <v>3746</v>
      </c>
      <c r="C3470" t="s">
        <v>836</v>
      </c>
      <c r="D3470" t="s">
        <v>563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2:18">
      <c r="B3471" t="s">
        <v>5784</v>
      </c>
      <c r="C3471" t="s">
        <v>836</v>
      </c>
      <c r="D3471" t="s">
        <v>563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2:18">
      <c r="B3472" t="s">
        <v>5785</v>
      </c>
      <c r="C3472" t="s">
        <v>836</v>
      </c>
      <c r="D3472" t="s">
        <v>563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2:18">
      <c r="B3473" t="s">
        <v>3747</v>
      </c>
      <c r="C3473" t="s">
        <v>836</v>
      </c>
      <c r="D3473" t="s">
        <v>563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2:18">
      <c r="B3474" t="s">
        <v>3748</v>
      </c>
      <c r="C3474" t="s">
        <v>836</v>
      </c>
      <c r="D3474" t="s">
        <v>563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2:18">
      <c r="B3475" t="s">
        <v>3749</v>
      </c>
      <c r="C3475" t="s">
        <v>836</v>
      </c>
      <c r="D3475" t="s">
        <v>563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2:18">
      <c r="B3476" t="s">
        <v>3750</v>
      </c>
      <c r="C3476" t="s">
        <v>836</v>
      </c>
      <c r="D3476" t="s">
        <v>563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2:18">
      <c r="B3477" t="s">
        <v>3751</v>
      </c>
      <c r="C3477" t="s">
        <v>836</v>
      </c>
      <c r="D3477" t="s">
        <v>563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2:18">
      <c r="B3478" t="s">
        <v>3752</v>
      </c>
      <c r="C3478" t="s">
        <v>836</v>
      </c>
      <c r="D3478" t="s">
        <v>563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2:18">
      <c r="B3479" t="s">
        <v>3753</v>
      </c>
      <c r="C3479" t="s">
        <v>836</v>
      </c>
      <c r="D3479" t="s">
        <v>563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2:18">
      <c r="B3480" t="s">
        <v>3754</v>
      </c>
      <c r="C3480" t="s">
        <v>836</v>
      </c>
      <c r="D3480" t="s">
        <v>563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2:18">
      <c r="B3481" t="s">
        <v>5786</v>
      </c>
      <c r="C3481" t="s">
        <v>836</v>
      </c>
      <c r="D3481" t="s">
        <v>563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2:18">
      <c r="B3482" t="s">
        <v>3755</v>
      </c>
      <c r="C3482" t="s">
        <v>836</v>
      </c>
      <c r="D3482" t="s">
        <v>563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2:18">
      <c r="B3483" t="s">
        <v>5787</v>
      </c>
      <c r="C3483" t="s">
        <v>836</v>
      </c>
      <c r="D3483" t="s">
        <v>563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2:18">
      <c r="B3484" t="s">
        <v>5788</v>
      </c>
      <c r="C3484" t="s">
        <v>836</v>
      </c>
      <c r="D3484" t="s">
        <v>563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2:18">
      <c r="B3485" t="s">
        <v>5789</v>
      </c>
      <c r="C3485" t="s">
        <v>836</v>
      </c>
      <c r="D3485" t="s">
        <v>563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2:18">
      <c r="B3486" t="s">
        <v>3756</v>
      </c>
      <c r="C3486" t="s">
        <v>836</v>
      </c>
      <c r="D3486" t="s">
        <v>563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2:18">
      <c r="B3487" t="s">
        <v>5790</v>
      </c>
      <c r="C3487" t="s">
        <v>836</v>
      </c>
      <c r="D3487" t="s">
        <v>563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2:18">
      <c r="B3488" t="s">
        <v>5791</v>
      </c>
      <c r="C3488" t="s">
        <v>836</v>
      </c>
      <c r="D3488" t="s">
        <v>563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2:18">
      <c r="B3489" t="s">
        <v>5792</v>
      </c>
      <c r="C3489" t="s">
        <v>836</v>
      </c>
      <c r="D3489" t="s">
        <v>563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2:18">
      <c r="B3490" t="s">
        <v>3757</v>
      </c>
      <c r="C3490" t="s">
        <v>836</v>
      </c>
      <c r="D3490" t="s">
        <v>563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2:18">
      <c r="B3491" t="s">
        <v>5793</v>
      </c>
      <c r="C3491" t="s">
        <v>836</v>
      </c>
      <c r="D3491" t="s">
        <v>563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2:18">
      <c r="B3492" t="s">
        <v>5794</v>
      </c>
      <c r="C3492" t="s">
        <v>836</v>
      </c>
      <c r="D3492" t="s">
        <v>563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2:18">
      <c r="B3493" t="s">
        <v>3758</v>
      </c>
      <c r="C3493" t="s">
        <v>836</v>
      </c>
      <c r="D3493" t="s">
        <v>563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2:18">
      <c r="B3494" t="s">
        <v>3759</v>
      </c>
      <c r="C3494" t="s">
        <v>836</v>
      </c>
      <c r="D3494" t="s">
        <v>563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2:18">
      <c r="B3495" t="s">
        <v>3760</v>
      </c>
      <c r="C3495" t="s">
        <v>836</v>
      </c>
      <c r="D3495" t="s">
        <v>563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2:18">
      <c r="B3496" t="s">
        <v>3761</v>
      </c>
      <c r="C3496" t="s">
        <v>836</v>
      </c>
      <c r="D3496" t="s">
        <v>563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2:18">
      <c r="B3497" t="s">
        <v>3762</v>
      </c>
      <c r="C3497" t="s">
        <v>836</v>
      </c>
      <c r="D3497" t="s">
        <v>563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2:18">
      <c r="B3498" t="s">
        <v>3763</v>
      </c>
      <c r="C3498" t="s">
        <v>836</v>
      </c>
      <c r="D3498" t="s">
        <v>563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2:18">
      <c r="B3499" t="s">
        <v>3764</v>
      </c>
      <c r="C3499" t="s">
        <v>836</v>
      </c>
      <c r="D3499" t="s">
        <v>563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2:18">
      <c r="B3500" t="s">
        <v>3765</v>
      </c>
      <c r="C3500" t="s">
        <v>836</v>
      </c>
      <c r="D3500" t="s">
        <v>563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2:18">
      <c r="B3501" t="s">
        <v>3766</v>
      </c>
      <c r="C3501" t="s">
        <v>836</v>
      </c>
      <c r="D3501" t="s">
        <v>563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2:18">
      <c r="B3502" t="s">
        <v>3767</v>
      </c>
      <c r="C3502" t="s">
        <v>836</v>
      </c>
      <c r="D3502" t="s">
        <v>563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2:18">
      <c r="B3503" t="s">
        <v>3768</v>
      </c>
      <c r="C3503" t="s">
        <v>836</v>
      </c>
      <c r="D3503" t="s">
        <v>563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2:18">
      <c r="B3504" t="s">
        <v>3769</v>
      </c>
      <c r="C3504" t="s">
        <v>836</v>
      </c>
      <c r="D3504" t="s">
        <v>563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2:18">
      <c r="B3505" t="s">
        <v>3770</v>
      </c>
      <c r="C3505" t="s">
        <v>836</v>
      </c>
      <c r="D3505" t="s">
        <v>563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2:18">
      <c r="B3506" t="s">
        <v>3771</v>
      </c>
      <c r="C3506" t="s">
        <v>836</v>
      </c>
      <c r="D3506" t="s">
        <v>563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2:18">
      <c r="B3507" t="s">
        <v>3772</v>
      </c>
      <c r="C3507" t="s">
        <v>836</v>
      </c>
      <c r="D3507" t="s">
        <v>563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2:18">
      <c r="B3508" t="s">
        <v>3773</v>
      </c>
      <c r="C3508" t="s">
        <v>836</v>
      </c>
      <c r="D3508" t="s">
        <v>563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2:18">
      <c r="B3509" t="s">
        <v>3774</v>
      </c>
      <c r="C3509" t="s">
        <v>836</v>
      </c>
      <c r="D3509" t="s">
        <v>563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2:18">
      <c r="B3510" t="s">
        <v>3775</v>
      </c>
      <c r="C3510" t="s">
        <v>836</v>
      </c>
      <c r="D3510" t="s">
        <v>563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2:18">
      <c r="B3511" t="s">
        <v>3776</v>
      </c>
      <c r="C3511" t="s">
        <v>836</v>
      </c>
      <c r="D3511" t="s">
        <v>563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2:18">
      <c r="B3512" t="s">
        <v>3777</v>
      </c>
      <c r="C3512" t="s">
        <v>836</v>
      </c>
      <c r="D3512" t="s">
        <v>563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2:18">
      <c r="B3513" t="s">
        <v>3778</v>
      </c>
      <c r="C3513" t="s">
        <v>836</v>
      </c>
      <c r="D3513" t="s">
        <v>563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2:18">
      <c r="B3514" t="s">
        <v>3779</v>
      </c>
      <c r="C3514" t="s">
        <v>836</v>
      </c>
      <c r="D3514" t="s">
        <v>563</v>
      </c>
      <c r="E3514">
        <v>10</v>
      </c>
      <c r="F3514">
        <v>2543</v>
      </c>
      <c r="G3514">
        <v>2605</v>
      </c>
      <c r="H3514">
        <v>10</v>
      </c>
      <c r="I3514">
        <v>0</v>
      </c>
      <c r="J3514">
        <v>0</v>
      </c>
      <c r="K3514">
        <v>0</v>
      </c>
      <c r="L3514">
        <v>0</v>
      </c>
      <c r="M3514">
        <v>2660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2:18">
      <c r="B3515" t="s">
        <v>3780</v>
      </c>
      <c r="C3515" t="s">
        <v>836</v>
      </c>
      <c r="D3515" t="s">
        <v>563</v>
      </c>
      <c r="E3515">
        <v>10</v>
      </c>
      <c r="F3515">
        <v>2119</v>
      </c>
      <c r="G3515">
        <v>2191</v>
      </c>
      <c r="H3515">
        <v>10</v>
      </c>
      <c r="I3515">
        <v>0</v>
      </c>
      <c r="J3515">
        <v>0</v>
      </c>
      <c r="K3515">
        <v>0</v>
      </c>
      <c r="L3515">
        <v>0</v>
      </c>
      <c r="M3515">
        <v>2521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2:18">
      <c r="B3516" t="s">
        <v>3781</v>
      </c>
      <c r="C3516" t="s">
        <v>836</v>
      </c>
      <c r="D3516" t="s">
        <v>563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2:18">
      <c r="B3517" t="s">
        <v>3782</v>
      </c>
      <c r="C3517" t="s">
        <v>836</v>
      </c>
      <c r="D3517" t="s">
        <v>563</v>
      </c>
      <c r="E3517">
        <v>10</v>
      </c>
      <c r="F3517">
        <v>1741</v>
      </c>
      <c r="G3517">
        <v>1815</v>
      </c>
      <c r="H3517">
        <v>10</v>
      </c>
      <c r="I3517">
        <v>0</v>
      </c>
      <c r="J3517">
        <v>0</v>
      </c>
      <c r="K3517">
        <v>0</v>
      </c>
      <c r="L3517">
        <v>0</v>
      </c>
      <c r="M3517">
        <v>1879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2:18">
      <c r="B3518" t="s">
        <v>3783</v>
      </c>
      <c r="C3518" t="s">
        <v>836</v>
      </c>
      <c r="D3518" t="s">
        <v>563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2:18">
      <c r="B3519" t="s">
        <v>3784</v>
      </c>
      <c r="C3519" t="s">
        <v>836</v>
      </c>
      <c r="D3519" t="s">
        <v>563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2:18">
      <c r="B3520" t="s">
        <v>3785</v>
      </c>
      <c r="C3520" t="s">
        <v>836</v>
      </c>
      <c r="D3520" t="s">
        <v>563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2519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2:18">
      <c r="B3521" t="s">
        <v>3786</v>
      </c>
      <c r="C3521" t="s">
        <v>836</v>
      </c>
      <c r="D3521" t="s">
        <v>563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2:18">
      <c r="B3522" t="s">
        <v>3787</v>
      </c>
      <c r="C3522" t="s">
        <v>836</v>
      </c>
      <c r="D3522" t="s">
        <v>563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2:18">
      <c r="B3523" t="s">
        <v>5795</v>
      </c>
      <c r="C3523" t="s">
        <v>836</v>
      </c>
      <c r="D3523" t="s">
        <v>563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2:18">
      <c r="B3524" t="s">
        <v>3788</v>
      </c>
      <c r="C3524" t="s">
        <v>836</v>
      </c>
      <c r="D3524" t="s">
        <v>563</v>
      </c>
      <c r="E3524">
        <v>10</v>
      </c>
      <c r="F3524">
        <v>1244</v>
      </c>
      <c r="G3524">
        <v>1306</v>
      </c>
      <c r="H3524">
        <v>10</v>
      </c>
      <c r="I3524">
        <v>0</v>
      </c>
      <c r="J3524">
        <v>0</v>
      </c>
      <c r="K3524">
        <v>0</v>
      </c>
      <c r="L3524">
        <v>0</v>
      </c>
      <c r="M3524">
        <v>1623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2:18">
      <c r="B3525" t="s">
        <v>5796</v>
      </c>
      <c r="C3525" t="s">
        <v>836</v>
      </c>
      <c r="D3525" t="s">
        <v>563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2:18">
      <c r="B3526" t="s">
        <v>5797</v>
      </c>
      <c r="C3526" t="s">
        <v>836</v>
      </c>
      <c r="D3526" t="s">
        <v>563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2:18">
      <c r="B3527" t="s">
        <v>5798</v>
      </c>
      <c r="C3527" t="s">
        <v>836</v>
      </c>
      <c r="D3527" t="s">
        <v>563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2:18">
      <c r="B3528" t="s">
        <v>3789</v>
      </c>
      <c r="C3528" t="s">
        <v>836</v>
      </c>
      <c r="D3528" t="s">
        <v>563</v>
      </c>
      <c r="E3528">
        <v>10</v>
      </c>
      <c r="F3528">
        <v>1045</v>
      </c>
      <c r="G3528">
        <v>1114</v>
      </c>
      <c r="H3528">
        <v>10</v>
      </c>
      <c r="I3528">
        <v>0</v>
      </c>
      <c r="J3528">
        <v>0</v>
      </c>
      <c r="K3528">
        <v>0</v>
      </c>
      <c r="L3528">
        <v>0</v>
      </c>
      <c r="M3528">
        <v>1000.92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2:18">
      <c r="B3529" t="s">
        <v>5799</v>
      </c>
      <c r="C3529" t="s">
        <v>836</v>
      </c>
      <c r="D3529" t="s">
        <v>563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2:18">
      <c r="B3530" t="s">
        <v>5800</v>
      </c>
      <c r="C3530" t="s">
        <v>836</v>
      </c>
      <c r="D3530" t="s">
        <v>563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2:18">
      <c r="B3531" t="s">
        <v>5801</v>
      </c>
      <c r="C3531" t="s">
        <v>836</v>
      </c>
      <c r="D3531" t="s">
        <v>563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2:18">
      <c r="B3532" t="s">
        <v>3790</v>
      </c>
      <c r="C3532" t="s">
        <v>836</v>
      </c>
      <c r="D3532" t="s">
        <v>563</v>
      </c>
      <c r="E3532">
        <v>10</v>
      </c>
      <c r="F3532">
        <v>848</v>
      </c>
      <c r="G3532">
        <v>925</v>
      </c>
      <c r="H3532">
        <v>10</v>
      </c>
      <c r="I3532">
        <v>0</v>
      </c>
      <c r="J3532">
        <v>0</v>
      </c>
      <c r="K3532">
        <v>0</v>
      </c>
      <c r="L3532">
        <v>0</v>
      </c>
      <c r="M3532">
        <v>906.79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2:18">
      <c r="B3533" t="s">
        <v>5802</v>
      </c>
      <c r="C3533" t="s">
        <v>836</v>
      </c>
      <c r="D3533" t="s">
        <v>563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2:18">
      <c r="B3534" t="s">
        <v>5803</v>
      </c>
      <c r="C3534" t="s">
        <v>836</v>
      </c>
      <c r="D3534" t="s">
        <v>563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2:18">
      <c r="B3535" t="s">
        <v>3791</v>
      </c>
      <c r="C3535" t="s">
        <v>836</v>
      </c>
      <c r="D3535" t="s">
        <v>563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2:18">
      <c r="B3536" t="s">
        <v>3792</v>
      </c>
      <c r="C3536" t="s">
        <v>836</v>
      </c>
      <c r="D3536" t="s">
        <v>563</v>
      </c>
      <c r="E3536">
        <v>10</v>
      </c>
      <c r="F3536">
        <v>649</v>
      </c>
      <c r="G3536">
        <v>743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620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2:19">
      <c r="B3537" t="s">
        <v>5804</v>
      </c>
      <c r="C3537" t="s">
        <v>836</v>
      </c>
      <c r="D3537" t="s">
        <v>563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2:19">
      <c r="B3538" t="s">
        <v>5805</v>
      </c>
      <c r="C3538" t="s">
        <v>836</v>
      </c>
      <c r="D3538" t="s">
        <v>563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2:19">
      <c r="B3539" t="s">
        <v>3793</v>
      </c>
      <c r="C3539" t="s">
        <v>836</v>
      </c>
      <c r="D3539" t="s">
        <v>563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2:19">
      <c r="B3540" t="s">
        <v>3794</v>
      </c>
      <c r="C3540" t="s">
        <v>836</v>
      </c>
      <c r="D3540" t="s">
        <v>563</v>
      </c>
      <c r="E3540">
        <v>10</v>
      </c>
      <c r="F3540">
        <v>457</v>
      </c>
      <c r="G3540">
        <v>570</v>
      </c>
      <c r="H3540">
        <v>10</v>
      </c>
      <c r="I3540">
        <v>0</v>
      </c>
      <c r="J3540">
        <v>0</v>
      </c>
      <c r="K3540">
        <v>0</v>
      </c>
      <c r="L3540">
        <v>0</v>
      </c>
      <c r="M3540">
        <v>626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2:19">
      <c r="B3541" t="s">
        <v>5806</v>
      </c>
      <c r="C3541" t="s">
        <v>836</v>
      </c>
      <c r="D3541" t="s">
        <v>563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2:19">
      <c r="B3542" t="s">
        <v>5807</v>
      </c>
      <c r="C3542" t="s">
        <v>836</v>
      </c>
      <c r="D3542" t="s">
        <v>563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2:19">
      <c r="B3543" t="s">
        <v>3795</v>
      </c>
      <c r="C3543" t="s">
        <v>836</v>
      </c>
      <c r="D3543" t="s">
        <v>563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1310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2:19">
      <c r="B3544" t="s">
        <v>3796</v>
      </c>
      <c r="C3544" t="s">
        <v>836</v>
      </c>
      <c r="D3544" t="s">
        <v>563</v>
      </c>
      <c r="E3544">
        <v>10</v>
      </c>
      <c r="F3544">
        <v>263</v>
      </c>
      <c r="G3544">
        <v>411</v>
      </c>
      <c r="H3544">
        <v>10</v>
      </c>
      <c r="I3544">
        <v>400</v>
      </c>
      <c r="J3544">
        <v>400</v>
      </c>
      <c r="K3544">
        <v>400</v>
      </c>
      <c r="L3544">
        <v>400</v>
      </c>
      <c r="M3544">
        <v>350</v>
      </c>
      <c r="N3544">
        <v>0.14280000000000001</v>
      </c>
      <c r="O3544">
        <v>1</v>
      </c>
      <c r="P3544">
        <v>40000</v>
      </c>
      <c r="Q3544">
        <v>400</v>
      </c>
      <c r="R3544">
        <v>0</v>
      </c>
      <c r="S3544" t="s">
        <v>6280</v>
      </c>
    </row>
    <row r="3545" spans="2:19">
      <c r="B3545" t="s">
        <v>3797</v>
      </c>
      <c r="C3545" t="s">
        <v>836</v>
      </c>
      <c r="D3545" t="s">
        <v>563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2:19">
      <c r="B3546" t="s">
        <v>5808</v>
      </c>
      <c r="C3546" t="s">
        <v>836</v>
      </c>
      <c r="D3546" t="s">
        <v>563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2:19">
      <c r="B3547" t="s">
        <v>3798</v>
      </c>
      <c r="C3547" t="s">
        <v>836</v>
      </c>
      <c r="D3547" t="s">
        <v>563</v>
      </c>
      <c r="E3547">
        <v>2</v>
      </c>
      <c r="F3547">
        <v>400</v>
      </c>
      <c r="G3547">
        <v>590</v>
      </c>
      <c r="H3547">
        <v>9</v>
      </c>
      <c r="I3547">
        <v>0</v>
      </c>
      <c r="J3547">
        <v>0</v>
      </c>
      <c r="K3547">
        <v>0</v>
      </c>
      <c r="L3547">
        <v>0</v>
      </c>
      <c r="M3547">
        <v>450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2:19">
      <c r="B3548" t="s">
        <v>3799</v>
      </c>
      <c r="C3548" t="s">
        <v>836</v>
      </c>
      <c r="D3548" t="s">
        <v>563</v>
      </c>
      <c r="E3548">
        <v>10</v>
      </c>
      <c r="F3548">
        <v>60</v>
      </c>
      <c r="G3548">
        <v>175</v>
      </c>
      <c r="H3548">
        <v>3</v>
      </c>
      <c r="I3548">
        <v>200</v>
      </c>
      <c r="J3548">
        <v>150</v>
      </c>
      <c r="K3548">
        <v>200</v>
      </c>
      <c r="L3548">
        <v>150</v>
      </c>
      <c r="M3548">
        <v>150</v>
      </c>
      <c r="N3548">
        <v>0</v>
      </c>
      <c r="O3548">
        <v>18</v>
      </c>
      <c r="P3548">
        <v>312600</v>
      </c>
      <c r="Q3548">
        <v>173.66666670000001</v>
      </c>
      <c r="R3548">
        <v>0</v>
      </c>
      <c r="S3548" t="s">
        <v>6281</v>
      </c>
    </row>
    <row r="3549" spans="2:19">
      <c r="B3549" t="s">
        <v>3800</v>
      </c>
      <c r="C3549" t="s">
        <v>836</v>
      </c>
      <c r="D3549" t="s">
        <v>563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1100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2:19">
      <c r="B3550" t="s">
        <v>3801</v>
      </c>
      <c r="C3550" t="s">
        <v>836</v>
      </c>
      <c r="D3550" t="s">
        <v>563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2:19">
      <c r="B3551" t="s">
        <v>3802</v>
      </c>
      <c r="C3551" t="s">
        <v>836</v>
      </c>
      <c r="D3551" t="s">
        <v>563</v>
      </c>
      <c r="E3551">
        <v>2</v>
      </c>
      <c r="F3551">
        <v>270</v>
      </c>
      <c r="G3551">
        <v>580</v>
      </c>
      <c r="H3551">
        <v>5</v>
      </c>
      <c r="I3551">
        <v>0</v>
      </c>
      <c r="J3551">
        <v>0</v>
      </c>
      <c r="K3551">
        <v>0</v>
      </c>
      <c r="L3551">
        <v>0</v>
      </c>
      <c r="M3551">
        <v>475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2:19">
      <c r="B3552" t="s">
        <v>3803</v>
      </c>
      <c r="C3552" t="s">
        <v>836</v>
      </c>
      <c r="D3552" t="s">
        <v>563</v>
      </c>
      <c r="E3552">
        <v>10</v>
      </c>
      <c r="F3552">
        <v>3</v>
      </c>
      <c r="G3552">
        <v>108</v>
      </c>
      <c r="H3552">
        <v>10</v>
      </c>
      <c r="I3552">
        <v>0</v>
      </c>
      <c r="J3552">
        <v>0</v>
      </c>
      <c r="K3552">
        <v>0</v>
      </c>
      <c r="L3552">
        <v>0</v>
      </c>
      <c r="M3552">
        <v>28.6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2:19">
      <c r="B3553" t="s">
        <v>3804</v>
      </c>
      <c r="C3553" t="s">
        <v>836</v>
      </c>
      <c r="D3553" t="s">
        <v>563</v>
      </c>
      <c r="E3553">
        <v>0</v>
      </c>
      <c r="F3553">
        <v>0</v>
      </c>
      <c r="G3553">
        <v>0</v>
      </c>
      <c r="H3553">
        <v>0</v>
      </c>
      <c r="I3553">
        <v>730</v>
      </c>
      <c r="J3553">
        <v>730</v>
      </c>
      <c r="K3553">
        <v>730</v>
      </c>
      <c r="L3553">
        <v>730</v>
      </c>
      <c r="M3553">
        <v>664</v>
      </c>
      <c r="N3553">
        <v>9.9299999999999999E-2</v>
      </c>
      <c r="O3553">
        <v>48</v>
      </c>
      <c r="P3553">
        <v>3504000</v>
      </c>
      <c r="Q3553">
        <v>730</v>
      </c>
      <c r="R3553">
        <v>0</v>
      </c>
      <c r="S3553" t="s">
        <v>6282</v>
      </c>
    </row>
    <row r="3554" spans="2:19">
      <c r="B3554" t="s">
        <v>5809</v>
      </c>
      <c r="C3554" t="s">
        <v>836</v>
      </c>
      <c r="D3554" t="s">
        <v>563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2:19">
      <c r="B3555" t="s">
        <v>3805</v>
      </c>
      <c r="C3555" t="s">
        <v>836</v>
      </c>
      <c r="D3555" t="s">
        <v>563</v>
      </c>
      <c r="E3555">
        <v>2</v>
      </c>
      <c r="F3555">
        <v>75.5</v>
      </c>
      <c r="G3555">
        <v>400</v>
      </c>
      <c r="H3555">
        <v>12</v>
      </c>
      <c r="I3555">
        <v>0</v>
      </c>
      <c r="J3555">
        <v>0</v>
      </c>
      <c r="K3555">
        <v>0</v>
      </c>
      <c r="L3555">
        <v>0</v>
      </c>
      <c r="M3555">
        <v>190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2:19">
      <c r="B3556" t="s">
        <v>3806</v>
      </c>
      <c r="C3556" t="s">
        <v>836</v>
      </c>
      <c r="D3556" t="s">
        <v>563</v>
      </c>
      <c r="E3556">
        <v>32</v>
      </c>
      <c r="F3556">
        <v>10</v>
      </c>
      <c r="G3556">
        <v>20</v>
      </c>
      <c r="H3556">
        <v>45</v>
      </c>
      <c r="I3556">
        <v>18</v>
      </c>
      <c r="J3556">
        <v>10</v>
      </c>
      <c r="K3556">
        <v>19.989999999999998</v>
      </c>
      <c r="L3556">
        <v>10</v>
      </c>
      <c r="M3556">
        <v>15.8</v>
      </c>
      <c r="N3556">
        <v>-0.36699999999999999</v>
      </c>
      <c r="O3556">
        <v>17</v>
      </c>
      <c r="P3556">
        <v>21597</v>
      </c>
      <c r="Q3556">
        <v>12.7041176</v>
      </c>
      <c r="R3556">
        <v>0</v>
      </c>
      <c r="S3556" t="s">
        <v>6283</v>
      </c>
    </row>
    <row r="3557" spans="2:19">
      <c r="B3557" t="s">
        <v>3807</v>
      </c>
      <c r="C3557" t="s">
        <v>836</v>
      </c>
      <c r="D3557" t="s">
        <v>563</v>
      </c>
      <c r="E3557">
        <v>1</v>
      </c>
      <c r="F3557">
        <v>350</v>
      </c>
      <c r="G3557">
        <v>510.8</v>
      </c>
      <c r="H3557">
        <v>10</v>
      </c>
      <c r="I3557">
        <v>0</v>
      </c>
      <c r="J3557">
        <v>0</v>
      </c>
      <c r="K3557">
        <v>0</v>
      </c>
      <c r="L3557">
        <v>0</v>
      </c>
      <c r="M3557">
        <v>500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2:19">
      <c r="B3558" t="s">
        <v>3808</v>
      </c>
      <c r="C3558" t="s">
        <v>836</v>
      </c>
      <c r="D3558" t="s">
        <v>563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2:19">
      <c r="B3559" t="s">
        <v>3809</v>
      </c>
      <c r="C3559" t="s">
        <v>836</v>
      </c>
      <c r="D3559" t="s">
        <v>563</v>
      </c>
      <c r="E3559">
        <v>10</v>
      </c>
      <c r="F3559">
        <v>31.3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2:19">
      <c r="B3560" t="s">
        <v>3810</v>
      </c>
      <c r="C3560" t="s">
        <v>836</v>
      </c>
      <c r="D3560" t="s">
        <v>563</v>
      </c>
      <c r="E3560">
        <v>60</v>
      </c>
      <c r="F3560">
        <v>2</v>
      </c>
      <c r="G3560">
        <v>10</v>
      </c>
      <c r="H3560">
        <v>52</v>
      </c>
      <c r="I3560">
        <v>0</v>
      </c>
      <c r="J3560">
        <v>0</v>
      </c>
      <c r="K3560">
        <v>0</v>
      </c>
      <c r="L3560">
        <v>0</v>
      </c>
      <c r="M3560">
        <v>6.5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2:19">
      <c r="B3561" t="s">
        <v>3811</v>
      </c>
      <c r="C3561" t="s">
        <v>836</v>
      </c>
      <c r="D3561" t="s">
        <v>563</v>
      </c>
      <c r="E3561">
        <v>0</v>
      </c>
      <c r="F3561">
        <v>0</v>
      </c>
      <c r="G3561">
        <v>417.2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352.8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2:19">
      <c r="B3562" t="s">
        <v>3812</v>
      </c>
      <c r="C3562" t="s">
        <v>836</v>
      </c>
      <c r="D3562" t="s">
        <v>563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2:19">
      <c r="B3563" t="s">
        <v>3813</v>
      </c>
      <c r="C3563" t="s">
        <v>836</v>
      </c>
      <c r="D3563" t="s">
        <v>563</v>
      </c>
      <c r="E3563">
        <v>20</v>
      </c>
      <c r="F3563">
        <v>11</v>
      </c>
      <c r="G3563">
        <v>125</v>
      </c>
      <c r="H3563">
        <v>18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2:19">
      <c r="B3564" t="s">
        <v>3814</v>
      </c>
      <c r="C3564" t="s">
        <v>836</v>
      </c>
      <c r="D3564" t="s">
        <v>563</v>
      </c>
      <c r="E3564">
        <v>0</v>
      </c>
      <c r="F3564">
        <v>0</v>
      </c>
      <c r="G3564">
        <v>5</v>
      </c>
      <c r="H3564">
        <v>10</v>
      </c>
      <c r="I3564">
        <v>0</v>
      </c>
      <c r="J3564">
        <v>0</v>
      </c>
      <c r="K3564">
        <v>0</v>
      </c>
      <c r="L3564">
        <v>0</v>
      </c>
      <c r="M3564">
        <v>4.9909999999999997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2:19">
      <c r="B3565" t="s">
        <v>3815</v>
      </c>
      <c r="C3565" t="s">
        <v>836</v>
      </c>
      <c r="D3565" t="s">
        <v>563</v>
      </c>
      <c r="E3565">
        <v>1</v>
      </c>
      <c r="F3565">
        <v>78</v>
      </c>
      <c r="G3565">
        <v>343.6</v>
      </c>
      <c r="H3565">
        <v>24</v>
      </c>
      <c r="I3565">
        <v>0</v>
      </c>
      <c r="J3565">
        <v>0</v>
      </c>
      <c r="K3565">
        <v>0</v>
      </c>
      <c r="L3565">
        <v>0</v>
      </c>
      <c r="M3565">
        <v>399.38900000000001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2:19">
      <c r="B3566" t="s">
        <v>3816</v>
      </c>
      <c r="C3566" t="s">
        <v>836</v>
      </c>
      <c r="D3566" t="s">
        <v>563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2:19">
      <c r="B3567" t="s">
        <v>3817</v>
      </c>
      <c r="C3567" t="s">
        <v>836</v>
      </c>
      <c r="D3567" t="s">
        <v>563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2:19">
      <c r="B3568" t="s">
        <v>3818</v>
      </c>
      <c r="C3568" t="s">
        <v>836</v>
      </c>
      <c r="D3568" t="s">
        <v>563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2:18">
      <c r="B3569" t="s">
        <v>3819</v>
      </c>
      <c r="C3569" t="s">
        <v>836</v>
      </c>
      <c r="D3569" t="s">
        <v>563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2:18">
      <c r="B3570" t="s">
        <v>3820</v>
      </c>
      <c r="C3570" t="s">
        <v>836</v>
      </c>
      <c r="D3570" t="s">
        <v>563</v>
      </c>
      <c r="E3570">
        <v>0</v>
      </c>
      <c r="F3570">
        <v>0</v>
      </c>
      <c r="G3570">
        <v>390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2:18">
      <c r="B3571" t="s">
        <v>3821</v>
      </c>
      <c r="C3571" t="s">
        <v>836</v>
      </c>
      <c r="D3571" t="s">
        <v>563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2:18">
      <c r="B3572" t="s">
        <v>3822</v>
      </c>
      <c r="C3572" t="s">
        <v>836</v>
      </c>
      <c r="D3572" t="s">
        <v>563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2:18">
      <c r="B3573" t="s">
        <v>3823</v>
      </c>
      <c r="C3573" t="s">
        <v>836</v>
      </c>
      <c r="D3573" t="s">
        <v>563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2:18">
      <c r="B3574" t="s">
        <v>3824</v>
      </c>
      <c r="C3574" t="s">
        <v>836</v>
      </c>
      <c r="D3574" t="s">
        <v>563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2:18">
      <c r="B3575" t="s">
        <v>3825</v>
      </c>
      <c r="C3575" t="s">
        <v>836</v>
      </c>
      <c r="D3575" t="s">
        <v>563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2:18">
      <c r="B3576" t="s">
        <v>3826</v>
      </c>
      <c r="C3576" t="s">
        <v>836</v>
      </c>
      <c r="D3576" t="s">
        <v>563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2:18">
      <c r="B3577" t="s">
        <v>3827</v>
      </c>
      <c r="C3577" t="s">
        <v>836</v>
      </c>
      <c r="D3577" t="s">
        <v>563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2:18">
      <c r="B3578" t="s">
        <v>3828</v>
      </c>
      <c r="C3578" t="s">
        <v>836</v>
      </c>
      <c r="D3578" t="s">
        <v>563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2:18">
      <c r="B3579" t="s">
        <v>3829</v>
      </c>
      <c r="C3579" t="s">
        <v>836</v>
      </c>
      <c r="D3579" t="s">
        <v>563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2:18">
      <c r="B3580" t="s">
        <v>3830</v>
      </c>
      <c r="C3580" t="s">
        <v>836</v>
      </c>
      <c r="D3580" t="s">
        <v>563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2:18">
      <c r="B3581" t="s">
        <v>3831</v>
      </c>
      <c r="C3581" t="s">
        <v>836</v>
      </c>
      <c r="D3581" t="s">
        <v>563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2:18">
      <c r="B3582" t="s">
        <v>3832</v>
      </c>
      <c r="C3582" t="s">
        <v>836</v>
      </c>
      <c r="D3582" t="s">
        <v>563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2:18">
      <c r="B3583" t="s">
        <v>3833</v>
      </c>
      <c r="C3583" t="s">
        <v>836</v>
      </c>
      <c r="D3583" t="s">
        <v>563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2:18">
      <c r="B3584" t="s">
        <v>3834</v>
      </c>
      <c r="C3584" t="s">
        <v>836</v>
      </c>
      <c r="D3584" t="s">
        <v>563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2:18">
      <c r="B3585" t="s">
        <v>3835</v>
      </c>
      <c r="C3585" t="s">
        <v>836</v>
      </c>
      <c r="D3585" t="s">
        <v>563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2:18">
      <c r="B3586" t="s">
        <v>3836</v>
      </c>
      <c r="C3586" t="s">
        <v>836</v>
      </c>
      <c r="D3586" t="s">
        <v>563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2:18">
      <c r="B3587" t="s">
        <v>3837</v>
      </c>
      <c r="C3587" t="s">
        <v>836</v>
      </c>
      <c r="D3587" t="s">
        <v>563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2:18">
      <c r="B3588" t="s">
        <v>3838</v>
      </c>
      <c r="C3588" t="s">
        <v>836</v>
      </c>
      <c r="D3588" t="s">
        <v>563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2:18">
      <c r="B3589" t="s">
        <v>3839</v>
      </c>
      <c r="C3589" t="s">
        <v>836</v>
      </c>
      <c r="D3589" t="s">
        <v>563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2:18">
      <c r="B3590" t="s">
        <v>3840</v>
      </c>
      <c r="C3590" t="s">
        <v>836</v>
      </c>
      <c r="D3590" t="s">
        <v>563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2:18">
      <c r="B3591" t="s">
        <v>3841</v>
      </c>
      <c r="C3591" t="s">
        <v>836</v>
      </c>
      <c r="D3591" t="s">
        <v>563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2:18">
      <c r="B3592" t="s">
        <v>3842</v>
      </c>
      <c r="C3592" t="s">
        <v>836</v>
      </c>
      <c r="D3592" t="s">
        <v>563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2:18">
      <c r="B3593" t="s">
        <v>3843</v>
      </c>
      <c r="C3593" t="s">
        <v>836</v>
      </c>
      <c r="D3593" t="s">
        <v>563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2:18">
      <c r="B3594" t="s">
        <v>3844</v>
      </c>
      <c r="C3594" t="s">
        <v>836</v>
      </c>
      <c r="D3594" t="s">
        <v>563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2:18">
      <c r="B3595" t="s">
        <v>3845</v>
      </c>
      <c r="C3595" t="s">
        <v>836</v>
      </c>
      <c r="D3595" t="s">
        <v>563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2:18">
      <c r="B3596" t="s">
        <v>3846</v>
      </c>
      <c r="C3596" t="s">
        <v>836</v>
      </c>
      <c r="D3596" t="s">
        <v>563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2:18">
      <c r="B3597" t="s">
        <v>3847</v>
      </c>
      <c r="C3597" t="s">
        <v>836</v>
      </c>
      <c r="D3597" t="s">
        <v>563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2:18">
      <c r="B3598" t="s">
        <v>3848</v>
      </c>
      <c r="C3598" t="s">
        <v>836</v>
      </c>
      <c r="D3598" t="s">
        <v>563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2:18">
      <c r="B3599" t="s">
        <v>3849</v>
      </c>
      <c r="C3599" t="s">
        <v>836</v>
      </c>
      <c r="D3599" t="s">
        <v>563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2:18">
      <c r="B3600" t="s">
        <v>3850</v>
      </c>
      <c r="C3600" t="s">
        <v>836</v>
      </c>
      <c r="D3600" t="s">
        <v>563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2:18">
      <c r="B3601" t="s">
        <v>3851</v>
      </c>
      <c r="C3601" t="s">
        <v>836</v>
      </c>
      <c r="D3601" t="s">
        <v>563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2:18">
      <c r="B3602" t="s">
        <v>3852</v>
      </c>
      <c r="C3602" t="s">
        <v>836</v>
      </c>
      <c r="D3602" t="s">
        <v>563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2:18">
      <c r="B3603" t="s">
        <v>3853</v>
      </c>
      <c r="C3603" t="s">
        <v>836</v>
      </c>
      <c r="D3603" t="s">
        <v>563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2:18">
      <c r="B3604" t="s">
        <v>3854</v>
      </c>
      <c r="C3604" t="s">
        <v>836</v>
      </c>
      <c r="D3604" t="s">
        <v>563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2:18">
      <c r="B3605" t="s">
        <v>3855</v>
      </c>
      <c r="C3605" t="s">
        <v>836</v>
      </c>
      <c r="D3605" t="s">
        <v>563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2:18">
      <c r="B3606" t="s">
        <v>3856</v>
      </c>
      <c r="C3606" t="s">
        <v>836</v>
      </c>
      <c r="D3606" t="s">
        <v>563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2:18">
      <c r="B3607" t="s">
        <v>3857</v>
      </c>
      <c r="C3607" t="s">
        <v>836</v>
      </c>
      <c r="D3607" t="s">
        <v>563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2:18">
      <c r="B3608" t="s">
        <v>3858</v>
      </c>
      <c r="C3608" t="s">
        <v>836</v>
      </c>
      <c r="D3608" t="s">
        <v>563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2:18">
      <c r="B3609" t="s">
        <v>3859</v>
      </c>
      <c r="C3609" t="s">
        <v>836</v>
      </c>
      <c r="D3609" t="s">
        <v>563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2:18">
      <c r="B3610" t="s">
        <v>3860</v>
      </c>
      <c r="C3610" t="s">
        <v>836</v>
      </c>
      <c r="D3610" t="s">
        <v>563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2:18">
      <c r="B3611" t="s">
        <v>3861</v>
      </c>
      <c r="C3611" t="s">
        <v>836</v>
      </c>
      <c r="D3611" t="s">
        <v>563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2:18">
      <c r="B3612" t="s">
        <v>3862</v>
      </c>
      <c r="C3612" t="s">
        <v>836</v>
      </c>
      <c r="D3612" t="s">
        <v>563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2:18">
      <c r="B3613" t="s">
        <v>3863</v>
      </c>
      <c r="C3613" t="s">
        <v>836</v>
      </c>
      <c r="D3613" t="s">
        <v>563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2:18">
      <c r="B3614" t="s">
        <v>3864</v>
      </c>
      <c r="C3614" t="s">
        <v>836</v>
      </c>
      <c r="D3614" t="s">
        <v>563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2:18">
      <c r="B3615" t="s">
        <v>3865</v>
      </c>
      <c r="C3615" t="s">
        <v>836</v>
      </c>
      <c r="D3615" t="s">
        <v>563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2:18">
      <c r="B3616" t="s">
        <v>3866</v>
      </c>
      <c r="C3616" t="s">
        <v>836</v>
      </c>
      <c r="D3616" t="s">
        <v>563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2:18">
      <c r="B3617" t="s">
        <v>3867</v>
      </c>
      <c r="C3617" t="s">
        <v>836</v>
      </c>
      <c r="D3617" t="s">
        <v>563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2:18">
      <c r="B3618" t="s">
        <v>3868</v>
      </c>
      <c r="C3618" t="s">
        <v>836</v>
      </c>
      <c r="D3618" t="s">
        <v>563</v>
      </c>
      <c r="E3618">
        <v>0</v>
      </c>
      <c r="F3618">
        <v>0</v>
      </c>
      <c r="G3618">
        <v>6.5</v>
      </c>
      <c r="H3618">
        <v>66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2:18">
      <c r="B3619" t="s">
        <v>3869</v>
      </c>
      <c r="C3619" t="s">
        <v>836</v>
      </c>
      <c r="D3619" t="s">
        <v>563</v>
      </c>
      <c r="E3619">
        <v>0</v>
      </c>
      <c r="F3619">
        <v>0</v>
      </c>
      <c r="G3619">
        <v>12</v>
      </c>
      <c r="H3619">
        <v>76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2:18">
      <c r="B3620" t="s">
        <v>3870</v>
      </c>
      <c r="C3620" t="s">
        <v>836</v>
      </c>
      <c r="D3620" t="s">
        <v>563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2:18">
      <c r="B3621" t="s">
        <v>3871</v>
      </c>
      <c r="C3621" t="s">
        <v>836</v>
      </c>
      <c r="D3621" t="s">
        <v>563</v>
      </c>
      <c r="E3621">
        <v>0</v>
      </c>
      <c r="F3621">
        <v>0</v>
      </c>
      <c r="G3621">
        <v>20</v>
      </c>
      <c r="H3621">
        <v>74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2:18">
      <c r="B3622" t="s">
        <v>5810</v>
      </c>
      <c r="C3622" t="s">
        <v>836</v>
      </c>
      <c r="D3622" t="s">
        <v>563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2:18">
      <c r="B3623" t="s">
        <v>3872</v>
      </c>
      <c r="C3623" t="s">
        <v>836</v>
      </c>
      <c r="D3623" t="s">
        <v>563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2:18">
      <c r="B3624" t="s">
        <v>5811</v>
      </c>
      <c r="C3624" t="s">
        <v>836</v>
      </c>
      <c r="D3624" t="s">
        <v>563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2:18">
      <c r="B3625" t="s">
        <v>3873</v>
      </c>
      <c r="C3625" t="s">
        <v>836</v>
      </c>
      <c r="D3625" t="s">
        <v>563</v>
      </c>
      <c r="E3625">
        <v>23</v>
      </c>
      <c r="F3625">
        <v>0.99</v>
      </c>
      <c r="G3625">
        <v>12</v>
      </c>
      <c r="H3625">
        <v>58</v>
      </c>
      <c r="I3625">
        <v>0</v>
      </c>
      <c r="J3625">
        <v>0</v>
      </c>
      <c r="K3625">
        <v>0</v>
      </c>
      <c r="L3625">
        <v>0</v>
      </c>
      <c r="M3625">
        <v>12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2:18">
      <c r="B3626" t="s">
        <v>3874</v>
      </c>
      <c r="C3626" t="s">
        <v>836</v>
      </c>
      <c r="D3626" t="s">
        <v>563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2:18">
      <c r="B3627" t="s">
        <v>5812</v>
      </c>
      <c r="C3627" t="s">
        <v>836</v>
      </c>
      <c r="D3627" t="s">
        <v>563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2:18">
      <c r="B3628" t="s">
        <v>3875</v>
      </c>
      <c r="C3628" t="s">
        <v>836</v>
      </c>
      <c r="D3628" t="s">
        <v>563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2:18">
      <c r="B3629" t="s">
        <v>3876</v>
      </c>
      <c r="C3629" t="s">
        <v>836</v>
      </c>
      <c r="D3629" t="s">
        <v>563</v>
      </c>
      <c r="E3629">
        <v>0</v>
      </c>
      <c r="F3629">
        <v>0</v>
      </c>
      <c r="G3629">
        <v>36</v>
      </c>
      <c r="H3629">
        <v>62</v>
      </c>
      <c r="I3629">
        <v>0</v>
      </c>
      <c r="J3629">
        <v>0</v>
      </c>
      <c r="K3629">
        <v>0</v>
      </c>
      <c r="L3629">
        <v>0</v>
      </c>
      <c r="M3629">
        <v>27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2:18">
      <c r="B3630" t="s">
        <v>3877</v>
      </c>
      <c r="C3630" t="s">
        <v>836</v>
      </c>
      <c r="D3630" t="s">
        <v>563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2:18">
      <c r="B3631" t="s">
        <v>5813</v>
      </c>
      <c r="C3631" t="s">
        <v>836</v>
      </c>
      <c r="D3631" t="s">
        <v>563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2:18">
      <c r="B3632" t="s">
        <v>3878</v>
      </c>
      <c r="C3632" t="s">
        <v>836</v>
      </c>
      <c r="D3632" t="s">
        <v>563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2:18">
      <c r="B3633" t="s">
        <v>3879</v>
      </c>
      <c r="C3633" t="s">
        <v>836</v>
      </c>
      <c r="D3633" t="s">
        <v>563</v>
      </c>
      <c r="E3633">
        <v>0</v>
      </c>
      <c r="F3633">
        <v>0</v>
      </c>
      <c r="G3633">
        <v>55</v>
      </c>
      <c r="H3633">
        <v>82</v>
      </c>
      <c r="I3633">
        <v>0</v>
      </c>
      <c r="J3633">
        <v>0</v>
      </c>
      <c r="K3633">
        <v>0</v>
      </c>
      <c r="L3633">
        <v>0</v>
      </c>
      <c r="M3633">
        <v>12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2:18">
      <c r="B3634" t="s">
        <v>3880</v>
      </c>
      <c r="C3634" t="s">
        <v>836</v>
      </c>
      <c r="D3634" t="s">
        <v>563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2:18">
      <c r="B3635" t="s">
        <v>5814</v>
      </c>
      <c r="C3635" t="s">
        <v>836</v>
      </c>
      <c r="D3635" t="s">
        <v>563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2:18">
      <c r="B3636" t="s">
        <v>3881</v>
      </c>
      <c r="C3636" t="s">
        <v>836</v>
      </c>
      <c r="D3636" t="s">
        <v>563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2:18">
      <c r="B3637" t="s">
        <v>3882</v>
      </c>
      <c r="C3637" t="s">
        <v>836</v>
      </c>
      <c r="D3637" t="s">
        <v>563</v>
      </c>
      <c r="E3637">
        <v>0</v>
      </c>
      <c r="F3637">
        <v>0</v>
      </c>
      <c r="G3637">
        <v>75</v>
      </c>
      <c r="H3637">
        <v>60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2:18">
      <c r="B3638" t="s">
        <v>3883</v>
      </c>
      <c r="C3638" t="s">
        <v>836</v>
      </c>
      <c r="D3638" t="s">
        <v>563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2:18">
      <c r="B3639" t="s">
        <v>5815</v>
      </c>
      <c r="C3639" t="s">
        <v>836</v>
      </c>
      <c r="D3639" t="s">
        <v>563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2:18">
      <c r="B3640" t="s">
        <v>3884</v>
      </c>
      <c r="C3640" t="s">
        <v>836</v>
      </c>
      <c r="D3640" t="s">
        <v>563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2:18">
      <c r="B3641" t="s">
        <v>3885</v>
      </c>
      <c r="C3641" t="s">
        <v>836</v>
      </c>
      <c r="D3641" t="s">
        <v>563</v>
      </c>
      <c r="E3641">
        <v>1</v>
      </c>
      <c r="F3641">
        <v>1E-3</v>
      </c>
      <c r="G3641">
        <v>110</v>
      </c>
      <c r="H3641">
        <v>30</v>
      </c>
      <c r="I3641">
        <v>0</v>
      </c>
      <c r="J3641">
        <v>0</v>
      </c>
      <c r="K3641">
        <v>0</v>
      </c>
      <c r="L3641">
        <v>0</v>
      </c>
      <c r="M3641">
        <v>35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2:18">
      <c r="B3642" t="s">
        <v>3886</v>
      </c>
      <c r="C3642" t="s">
        <v>836</v>
      </c>
      <c r="D3642" t="s">
        <v>563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2:18">
      <c r="B3643" t="s">
        <v>5816</v>
      </c>
      <c r="C3643" t="s">
        <v>836</v>
      </c>
      <c r="D3643" t="s">
        <v>563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2:18">
      <c r="B3644" t="s">
        <v>3887</v>
      </c>
      <c r="C3644" t="s">
        <v>836</v>
      </c>
      <c r="D3644" t="s">
        <v>563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2:18">
      <c r="B3645" t="s">
        <v>3888</v>
      </c>
      <c r="C3645" t="s">
        <v>836</v>
      </c>
      <c r="D3645" t="s">
        <v>563</v>
      </c>
      <c r="E3645">
        <v>0</v>
      </c>
      <c r="F3645">
        <v>0</v>
      </c>
      <c r="G3645">
        <v>160</v>
      </c>
      <c r="H3645">
        <v>23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2:18">
      <c r="B3646" t="s">
        <v>3889</v>
      </c>
      <c r="C3646" t="s">
        <v>836</v>
      </c>
      <c r="D3646" t="s">
        <v>563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2:18">
      <c r="B3647" t="s">
        <v>5817</v>
      </c>
      <c r="C3647" t="s">
        <v>836</v>
      </c>
      <c r="D3647" t="s">
        <v>563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2:18">
      <c r="B3648" t="s">
        <v>3890</v>
      </c>
      <c r="C3648" t="s">
        <v>836</v>
      </c>
      <c r="D3648" t="s">
        <v>563</v>
      </c>
      <c r="E3648">
        <v>1</v>
      </c>
      <c r="F3648">
        <v>51.6</v>
      </c>
      <c r="G3648">
        <v>240</v>
      </c>
      <c r="H3648">
        <v>10</v>
      </c>
      <c r="I3648">
        <v>0</v>
      </c>
      <c r="J3648">
        <v>0</v>
      </c>
      <c r="K3648">
        <v>0</v>
      </c>
      <c r="L3648">
        <v>0</v>
      </c>
      <c r="M3648">
        <v>34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2:18">
      <c r="B3649" t="s">
        <v>3891</v>
      </c>
      <c r="C3649" t="s">
        <v>836</v>
      </c>
      <c r="D3649" t="s">
        <v>563</v>
      </c>
      <c r="E3649">
        <v>2</v>
      </c>
      <c r="F3649">
        <v>34.5</v>
      </c>
      <c r="G3649">
        <v>100</v>
      </c>
      <c r="H3649">
        <v>10</v>
      </c>
      <c r="I3649">
        <v>0</v>
      </c>
      <c r="J3649">
        <v>0</v>
      </c>
      <c r="K3649">
        <v>0</v>
      </c>
      <c r="L3649">
        <v>0</v>
      </c>
      <c r="M3649">
        <v>115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2:18">
      <c r="B3650" t="s">
        <v>3892</v>
      </c>
      <c r="C3650" t="s">
        <v>836</v>
      </c>
      <c r="D3650" t="s">
        <v>563</v>
      </c>
      <c r="E3650">
        <v>1</v>
      </c>
      <c r="F3650">
        <v>111.9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2:18">
      <c r="B3651" t="s">
        <v>3893</v>
      </c>
      <c r="C3651" t="s">
        <v>836</v>
      </c>
      <c r="D3651" t="s">
        <v>563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2:18">
      <c r="B3652" t="s">
        <v>3894</v>
      </c>
      <c r="C3652" t="s">
        <v>836</v>
      </c>
      <c r="D3652" t="s">
        <v>563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2:18">
      <c r="B3653" t="s">
        <v>3895</v>
      </c>
      <c r="C3653" t="s">
        <v>836</v>
      </c>
      <c r="D3653" t="s">
        <v>563</v>
      </c>
      <c r="E3653">
        <v>0</v>
      </c>
      <c r="F3653">
        <v>0</v>
      </c>
      <c r="G3653">
        <v>450</v>
      </c>
      <c r="H3653">
        <v>2</v>
      </c>
      <c r="I3653">
        <v>0</v>
      </c>
      <c r="J3653">
        <v>0</v>
      </c>
      <c r="K3653">
        <v>0</v>
      </c>
      <c r="L3653">
        <v>0</v>
      </c>
      <c r="M3653">
        <v>100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2:18">
      <c r="B3654" t="s">
        <v>3896</v>
      </c>
      <c r="C3654" t="s">
        <v>836</v>
      </c>
      <c r="D3654" t="s">
        <v>563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2:18">
      <c r="B3655" t="s">
        <v>5818</v>
      </c>
      <c r="C3655" t="s">
        <v>836</v>
      </c>
      <c r="D3655" t="s">
        <v>563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2:18">
      <c r="B3656" t="s">
        <v>3897</v>
      </c>
      <c r="C3656" t="s">
        <v>836</v>
      </c>
      <c r="D3656" t="s">
        <v>563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598.00800000000004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2:18">
      <c r="B3657" t="s">
        <v>3898</v>
      </c>
      <c r="C3657" t="s">
        <v>836</v>
      </c>
      <c r="D3657" t="s">
        <v>563</v>
      </c>
      <c r="E3657">
        <v>10</v>
      </c>
      <c r="F3657">
        <v>617</v>
      </c>
      <c r="G3657">
        <v>747</v>
      </c>
      <c r="H3657">
        <v>10</v>
      </c>
      <c r="I3657">
        <v>0</v>
      </c>
      <c r="J3657">
        <v>0</v>
      </c>
      <c r="K3657">
        <v>0</v>
      </c>
      <c r="L3657">
        <v>0</v>
      </c>
      <c r="M3657">
        <v>646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2:18">
      <c r="B3658" t="s">
        <v>3899</v>
      </c>
      <c r="C3658" t="s">
        <v>836</v>
      </c>
      <c r="D3658" t="s">
        <v>563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2:18">
      <c r="B3659" t="s">
        <v>3900</v>
      </c>
      <c r="C3659" t="s">
        <v>836</v>
      </c>
      <c r="D3659" t="s">
        <v>563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2:18">
      <c r="B3660" t="s">
        <v>3901</v>
      </c>
      <c r="C3660" t="s">
        <v>836</v>
      </c>
      <c r="D3660" t="s">
        <v>563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364.5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2:18">
      <c r="B3661" t="s">
        <v>3902</v>
      </c>
      <c r="C3661" t="s">
        <v>836</v>
      </c>
      <c r="D3661" t="s">
        <v>563</v>
      </c>
      <c r="E3661">
        <v>10</v>
      </c>
      <c r="F3661">
        <v>912</v>
      </c>
      <c r="G3661">
        <v>1019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800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2:18">
      <c r="B3662" t="s">
        <v>3903</v>
      </c>
      <c r="C3662" t="s">
        <v>836</v>
      </c>
      <c r="D3662" t="s">
        <v>563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2:18">
      <c r="B3663" t="s">
        <v>3904</v>
      </c>
      <c r="C3663" t="s">
        <v>836</v>
      </c>
      <c r="D3663" t="s">
        <v>563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2:18">
      <c r="B3664" t="s">
        <v>3905</v>
      </c>
      <c r="C3664" t="s">
        <v>836</v>
      </c>
      <c r="D3664" t="s">
        <v>563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2:18">
      <c r="B3665" t="s">
        <v>3906</v>
      </c>
      <c r="C3665" t="s">
        <v>836</v>
      </c>
      <c r="D3665" t="s">
        <v>563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625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2:18">
      <c r="B3666" t="s">
        <v>3907</v>
      </c>
      <c r="C3666" t="s">
        <v>836</v>
      </c>
      <c r="D3666" t="s">
        <v>563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2:18">
      <c r="B3667" t="s">
        <v>3908</v>
      </c>
      <c r="C3667" t="s">
        <v>836</v>
      </c>
      <c r="D3667" t="s">
        <v>563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2:18">
      <c r="B3668" t="s">
        <v>3909</v>
      </c>
      <c r="C3668" t="s">
        <v>836</v>
      </c>
      <c r="D3668" t="s">
        <v>563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2:18">
      <c r="B3669" t="s">
        <v>3910</v>
      </c>
      <c r="C3669" t="s">
        <v>836</v>
      </c>
      <c r="D3669" t="s">
        <v>563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2:18">
      <c r="B3670" t="s">
        <v>3911</v>
      </c>
      <c r="C3670" t="s">
        <v>836</v>
      </c>
      <c r="D3670" t="s">
        <v>563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2:18">
      <c r="B3671" t="s">
        <v>3912</v>
      </c>
      <c r="C3671" t="s">
        <v>836</v>
      </c>
      <c r="D3671" t="s">
        <v>563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2:18">
      <c r="B3672" t="s">
        <v>3913</v>
      </c>
      <c r="C3672" t="s">
        <v>836</v>
      </c>
      <c r="D3672" t="s">
        <v>563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2:18">
      <c r="B3673" t="s">
        <v>3914</v>
      </c>
      <c r="C3673" t="s">
        <v>836</v>
      </c>
      <c r="D3673" t="s">
        <v>563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2:18">
      <c r="B3674" t="s">
        <v>3915</v>
      </c>
      <c r="C3674" t="s">
        <v>836</v>
      </c>
      <c r="D3674" t="s">
        <v>563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2:18">
      <c r="B3675" t="s">
        <v>3916</v>
      </c>
      <c r="C3675" t="s">
        <v>836</v>
      </c>
      <c r="D3675" t="s">
        <v>563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2:18">
      <c r="B3676" t="s">
        <v>3917</v>
      </c>
      <c r="C3676" t="s">
        <v>836</v>
      </c>
      <c r="D3676" t="s">
        <v>563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2:18">
      <c r="B3677" t="s">
        <v>3918</v>
      </c>
      <c r="C3677" t="s">
        <v>836</v>
      </c>
      <c r="D3677" t="s">
        <v>563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2:18">
      <c r="B3678" t="s">
        <v>3919</v>
      </c>
      <c r="C3678" t="s">
        <v>836</v>
      </c>
      <c r="D3678" t="s">
        <v>563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2:18">
      <c r="B3679" t="s">
        <v>3920</v>
      </c>
      <c r="C3679" t="s">
        <v>836</v>
      </c>
      <c r="D3679" t="s">
        <v>563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2:18">
      <c r="B3680" t="s">
        <v>3921</v>
      </c>
      <c r="C3680" t="s">
        <v>836</v>
      </c>
      <c r="D3680" t="s">
        <v>563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2:18">
      <c r="B3681" t="s">
        <v>3922</v>
      </c>
      <c r="C3681" t="s">
        <v>836</v>
      </c>
      <c r="D3681" t="s">
        <v>563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2:18">
      <c r="B3682" t="s">
        <v>3923</v>
      </c>
      <c r="C3682" t="s">
        <v>836</v>
      </c>
      <c r="D3682" t="s">
        <v>563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2:18">
      <c r="B3683" t="s">
        <v>3924</v>
      </c>
      <c r="C3683" t="s">
        <v>836</v>
      </c>
      <c r="D3683" t="s">
        <v>563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2:18">
      <c r="B3684" t="s">
        <v>3925</v>
      </c>
      <c r="C3684" t="s">
        <v>836</v>
      </c>
      <c r="D3684" t="s">
        <v>563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2:18">
      <c r="B3685" t="s">
        <v>3926</v>
      </c>
      <c r="C3685" t="s">
        <v>836</v>
      </c>
      <c r="D3685" t="s">
        <v>563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2:18">
      <c r="B3686" t="s">
        <v>3927</v>
      </c>
      <c r="C3686" t="s">
        <v>836</v>
      </c>
      <c r="D3686" t="s">
        <v>563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2:18">
      <c r="B3687" t="s">
        <v>3928</v>
      </c>
      <c r="C3687" t="s">
        <v>836</v>
      </c>
      <c r="D3687" t="s">
        <v>563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2:18">
      <c r="B3688" t="s">
        <v>3929</v>
      </c>
      <c r="C3688" t="s">
        <v>836</v>
      </c>
      <c r="D3688" t="s">
        <v>563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2:18">
      <c r="B3689" t="s">
        <v>3930</v>
      </c>
      <c r="C3689" t="s">
        <v>836</v>
      </c>
      <c r="D3689" t="s">
        <v>563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2:18">
      <c r="B3690" t="s">
        <v>3931</v>
      </c>
      <c r="C3690" t="s">
        <v>836</v>
      </c>
      <c r="D3690" t="s">
        <v>563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2:18">
      <c r="B3691" t="s">
        <v>3932</v>
      </c>
      <c r="C3691" t="s">
        <v>836</v>
      </c>
      <c r="D3691" t="s">
        <v>563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2:18">
      <c r="B3692" t="s">
        <v>3933</v>
      </c>
      <c r="C3692" t="s">
        <v>836</v>
      </c>
      <c r="D3692" t="s">
        <v>563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2:18">
      <c r="B3693" t="s">
        <v>3934</v>
      </c>
      <c r="C3693" t="s">
        <v>836</v>
      </c>
      <c r="D3693" t="s">
        <v>563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2:18">
      <c r="B3694" t="s">
        <v>3935</v>
      </c>
      <c r="C3694" t="s">
        <v>836</v>
      </c>
      <c r="D3694" t="s">
        <v>563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2:18">
      <c r="B3695" t="s">
        <v>3936</v>
      </c>
      <c r="C3695" t="s">
        <v>836</v>
      </c>
      <c r="D3695" t="s">
        <v>563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2:18">
      <c r="B3696" t="s">
        <v>3937</v>
      </c>
      <c r="C3696" t="s">
        <v>836</v>
      </c>
      <c r="D3696" t="s">
        <v>563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2:18">
      <c r="B3697" t="s">
        <v>3938</v>
      </c>
      <c r="C3697" t="s">
        <v>836</v>
      </c>
      <c r="D3697" t="s">
        <v>563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2:18">
      <c r="B3698" t="s">
        <v>3939</v>
      </c>
      <c r="C3698" t="s">
        <v>836</v>
      </c>
      <c r="D3698" t="s">
        <v>563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2:18">
      <c r="B3699" t="s">
        <v>3940</v>
      </c>
      <c r="C3699" t="s">
        <v>836</v>
      </c>
      <c r="D3699" t="s">
        <v>563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2:18">
      <c r="B3700" t="s">
        <v>3941</v>
      </c>
      <c r="C3700" t="s">
        <v>836</v>
      </c>
      <c r="D3700" t="s">
        <v>563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2:18">
      <c r="B3701" t="s">
        <v>3942</v>
      </c>
      <c r="C3701" t="s">
        <v>836</v>
      </c>
      <c r="D3701" t="s">
        <v>563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2:18">
      <c r="B3702" t="s">
        <v>3943</v>
      </c>
      <c r="C3702" t="s">
        <v>836</v>
      </c>
      <c r="D3702" t="s">
        <v>563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2:18">
      <c r="B3703" t="s">
        <v>3944</v>
      </c>
      <c r="C3703" t="s">
        <v>836</v>
      </c>
      <c r="D3703" t="s">
        <v>563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2:18">
      <c r="B3704" t="s">
        <v>3945</v>
      </c>
      <c r="C3704" t="s">
        <v>836</v>
      </c>
      <c r="D3704" t="s">
        <v>563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2:18">
      <c r="B3705" t="s">
        <v>3946</v>
      </c>
      <c r="C3705" t="s">
        <v>836</v>
      </c>
      <c r="D3705" t="s">
        <v>563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2:18">
      <c r="B3706" t="s">
        <v>3947</v>
      </c>
      <c r="C3706" t="s">
        <v>836</v>
      </c>
      <c r="D3706" t="s">
        <v>563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2:18">
      <c r="B3707" t="s">
        <v>3948</v>
      </c>
      <c r="C3707" t="s">
        <v>836</v>
      </c>
      <c r="D3707" t="s">
        <v>563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2:18">
      <c r="B3708" t="s">
        <v>3949</v>
      </c>
      <c r="C3708" t="s">
        <v>836</v>
      </c>
      <c r="D3708" t="s">
        <v>563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2:18">
      <c r="B3709" t="s">
        <v>5819</v>
      </c>
      <c r="C3709" t="s">
        <v>836</v>
      </c>
      <c r="D3709" t="s">
        <v>563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2:18">
      <c r="B3710" t="s">
        <v>3950</v>
      </c>
      <c r="C3710" t="s">
        <v>836</v>
      </c>
      <c r="D3710" t="s">
        <v>563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2:18">
      <c r="B3711" t="s">
        <v>5820</v>
      </c>
      <c r="C3711" t="s">
        <v>836</v>
      </c>
      <c r="D3711" t="s">
        <v>563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2:18">
      <c r="B3712" t="s">
        <v>5821</v>
      </c>
      <c r="C3712" t="s">
        <v>836</v>
      </c>
      <c r="D3712" t="s">
        <v>563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2:18">
      <c r="B3713" t="s">
        <v>3951</v>
      </c>
      <c r="C3713" t="s">
        <v>836</v>
      </c>
      <c r="D3713" t="s">
        <v>563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2:18">
      <c r="B3714" t="s">
        <v>5822</v>
      </c>
      <c r="C3714" t="s">
        <v>836</v>
      </c>
      <c r="D3714" t="s">
        <v>563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2:18">
      <c r="B3715" t="s">
        <v>3952</v>
      </c>
      <c r="C3715" t="s">
        <v>836</v>
      </c>
      <c r="D3715" t="s">
        <v>563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2:18">
      <c r="B3716" t="s">
        <v>5823</v>
      </c>
      <c r="C3716" t="s">
        <v>836</v>
      </c>
      <c r="D3716" t="s">
        <v>563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2:18">
      <c r="B3717" t="s">
        <v>5824</v>
      </c>
      <c r="C3717" t="s">
        <v>836</v>
      </c>
      <c r="D3717" t="s">
        <v>563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2:18">
      <c r="B3718" t="s">
        <v>3953</v>
      </c>
      <c r="C3718" t="s">
        <v>836</v>
      </c>
      <c r="D3718" t="s">
        <v>563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2:18">
      <c r="B3719" t="s">
        <v>5825</v>
      </c>
      <c r="C3719" t="s">
        <v>836</v>
      </c>
      <c r="D3719" t="s">
        <v>563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2:18">
      <c r="B3720" t="s">
        <v>3954</v>
      </c>
      <c r="C3720" t="s">
        <v>836</v>
      </c>
      <c r="D3720" t="s">
        <v>563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2:18">
      <c r="B3721" t="s">
        <v>5826</v>
      </c>
      <c r="C3721" t="s">
        <v>836</v>
      </c>
      <c r="D3721" t="s">
        <v>563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2:18">
      <c r="B3722" t="s">
        <v>5827</v>
      </c>
      <c r="C3722" t="s">
        <v>836</v>
      </c>
      <c r="D3722" t="s">
        <v>563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2:18">
      <c r="B3723" t="s">
        <v>5828</v>
      </c>
      <c r="C3723" t="s">
        <v>836</v>
      </c>
      <c r="D3723" t="s">
        <v>563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2:18">
      <c r="B3724" t="s">
        <v>3955</v>
      </c>
      <c r="C3724" t="s">
        <v>836</v>
      </c>
      <c r="D3724" t="s">
        <v>563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2:18">
      <c r="B3725" t="s">
        <v>5829</v>
      </c>
      <c r="C3725" t="s">
        <v>836</v>
      </c>
      <c r="D3725" t="s">
        <v>563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2:18">
      <c r="B3726" t="s">
        <v>5830</v>
      </c>
      <c r="C3726" t="s">
        <v>836</v>
      </c>
      <c r="D3726" t="s">
        <v>563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2:18">
      <c r="B3727" t="s">
        <v>5831</v>
      </c>
      <c r="C3727" t="s">
        <v>836</v>
      </c>
      <c r="D3727" t="s">
        <v>563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2:18">
      <c r="B3728" t="s">
        <v>3956</v>
      </c>
      <c r="C3728" t="s">
        <v>836</v>
      </c>
      <c r="D3728" t="s">
        <v>563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2:18">
      <c r="B3729" t="s">
        <v>5832</v>
      </c>
      <c r="C3729" t="s">
        <v>836</v>
      </c>
      <c r="D3729" t="s">
        <v>563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2:18">
      <c r="B3730" t="s">
        <v>5833</v>
      </c>
      <c r="C3730" t="s">
        <v>836</v>
      </c>
      <c r="D3730" t="s">
        <v>563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2:18">
      <c r="B3731" t="s">
        <v>5834</v>
      </c>
      <c r="C3731" t="s">
        <v>836</v>
      </c>
      <c r="D3731" t="s">
        <v>563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2:18">
      <c r="B3732" t="s">
        <v>5835</v>
      </c>
      <c r="C3732" t="s">
        <v>836</v>
      </c>
      <c r="D3732" t="s">
        <v>563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2:18">
      <c r="B3733" t="s">
        <v>5836</v>
      </c>
      <c r="C3733" t="s">
        <v>836</v>
      </c>
      <c r="D3733" t="s">
        <v>563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2:18">
      <c r="B3734" t="s">
        <v>5837</v>
      </c>
      <c r="C3734" t="s">
        <v>836</v>
      </c>
      <c r="D3734" t="s">
        <v>563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2:18">
      <c r="B3735" t="s">
        <v>5838</v>
      </c>
      <c r="C3735" t="s">
        <v>836</v>
      </c>
      <c r="D3735" t="s">
        <v>563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2:18">
      <c r="B3736" t="s">
        <v>5839</v>
      </c>
      <c r="C3736" t="s">
        <v>836</v>
      </c>
      <c r="D3736" t="s">
        <v>563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2:18">
      <c r="B3737" t="s">
        <v>5840</v>
      </c>
      <c r="C3737" t="s">
        <v>836</v>
      </c>
      <c r="D3737" t="s">
        <v>563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2:18">
      <c r="B3738" t="s">
        <v>3957</v>
      </c>
      <c r="C3738" t="s">
        <v>836</v>
      </c>
      <c r="D3738" t="s">
        <v>563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2:18">
      <c r="B3739" t="s">
        <v>5841</v>
      </c>
      <c r="C3739" t="s">
        <v>836</v>
      </c>
      <c r="D3739" t="s">
        <v>563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2:18">
      <c r="B3740" t="s">
        <v>5842</v>
      </c>
      <c r="C3740" t="s">
        <v>836</v>
      </c>
      <c r="D3740" t="s">
        <v>563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2:18">
      <c r="B3741" t="s">
        <v>3958</v>
      </c>
      <c r="C3741" t="s">
        <v>836</v>
      </c>
      <c r="D3741" t="s">
        <v>563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2:18">
      <c r="B3742" t="s">
        <v>5843</v>
      </c>
      <c r="C3742" t="s">
        <v>836</v>
      </c>
      <c r="D3742" t="s">
        <v>563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2:18">
      <c r="B3743" t="s">
        <v>5844</v>
      </c>
      <c r="C3743" t="s">
        <v>836</v>
      </c>
      <c r="D3743" t="s">
        <v>563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2:18">
      <c r="B3744" t="s">
        <v>3959</v>
      </c>
      <c r="C3744" t="s">
        <v>836</v>
      </c>
      <c r="D3744" t="s">
        <v>563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2:18">
      <c r="B3745" t="s">
        <v>5845</v>
      </c>
      <c r="C3745" t="s">
        <v>836</v>
      </c>
      <c r="D3745" t="s">
        <v>563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2:18">
      <c r="B3746" t="s">
        <v>5846</v>
      </c>
      <c r="C3746" t="s">
        <v>836</v>
      </c>
      <c r="D3746" t="s">
        <v>563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2:18">
      <c r="B3747" t="s">
        <v>5847</v>
      </c>
      <c r="C3747" t="s">
        <v>836</v>
      </c>
      <c r="D3747" t="s">
        <v>563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2:18">
      <c r="B3748" t="s">
        <v>5848</v>
      </c>
      <c r="C3748" t="s">
        <v>836</v>
      </c>
      <c r="D3748" t="s">
        <v>563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2:18">
      <c r="B3749" t="s">
        <v>5849</v>
      </c>
      <c r="C3749" t="s">
        <v>836</v>
      </c>
      <c r="D3749" t="s">
        <v>563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2:18">
      <c r="B3750" t="s">
        <v>5850</v>
      </c>
      <c r="C3750" t="s">
        <v>836</v>
      </c>
      <c r="D3750" t="s">
        <v>563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2:18">
      <c r="B3751" t="s">
        <v>5851</v>
      </c>
      <c r="C3751" t="s">
        <v>836</v>
      </c>
      <c r="D3751" t="s">
        <v>563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2:18">
      <c r="B3752" t="s">
        <v>5852</v>
      </c>
      <c r="C3752" t="s">
        <v>836</v>
      </c>
      <c r="D3752" t="s">
        <v>563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2:18">
      <c r="B3753" t="s">
        <v>3960</v>
      </c>
      <c r="C3753" t="s">
        <v>836</v>
      </c>
      <c r="D3753" t="s">
        <v>563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2:18">
      <c r="B3754" t="s">
        <v>5853</v>
      </c>
      <c r="C3754" t="s">
        <v>836</v>
      </c>
      <c r="D3754" t="s">
        <v>563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2:18">
      <c r="B3755" t="s">
        <v>5854</v>
      </c>
      <c r="C3755" t="s">
        <v>836</v>
      </c>
      <c r="D3755" t="s">
        <v>563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2:18">
      <c r="B3756" t="s">
        <v>3961</v>
      </c>
      <c r="C3756" t="s">
        <v>836</v>
      </c>
      <c r="D3756" t="s">
        <v>563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2:18">
      <c r="B3757" t="s">
        <v>5855</v>
      </c>
      <c r="C3757" t="s">
        <v>836</v>
      </c>
      <c r="D3757" t="s">
        <v>563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2:18">
      <c r="B3758" t="s">
        <v>5856</v>
      </c>
      <c r="C3758" t="s">
        <v>836</v>
      </c>
      <c r="D3758" t="s">
        <v>563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2:18">
      <c r="B3759" t="s">
        <v>3962</v>
      </c>
      <c r="C3759" t="s">
        <v>836</v>
      </c>
      <c r="D3759" t="s">
        <v>563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2:18">
      <c r="B3760" t="s">
        <v>5857</v>
      </c>
      <c r="C3760" t="s">
        <v>836</v>
      </c>
      <c r="D3760" t="s">
        <v>563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2:18">
      <c r="B3761" t="s">
        <v>3963</v>
      </c>
      <c r="C3761" t="s">
        <v>836</v>
      </c>
      <c r="D3761" t="s">
        <v>563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2:18">
      <c r="B3762" t="s">
        <v>3964</v>
      </c>
      <c r="C3762" t="s">
        <v>836</v>
      </c>
      <c r="D3762" t="s">
        <v>563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2:18">
      <c r="B3763" t="s">
        <v>3965</v>
      </c>
      <c r="C3763" t="s">
        <v>836</v>
      </c>
      <c r="D3763" t="s">
        <v>563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2:18">
      <c r="B3764" t="s">
        <v>3966</v>
      </c>
      <c r="C3764" t="s">
        <v>836</v>
      </c>
      <c r="D3764" t="s">
        <v>563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2:18">
      <c r="B3765" t="s">
        <v>3967</v>
      </c>
      <c r="C3765" t="s">
        <v>836</v>
      </c>
      <c r="D3765" t="s">
        <v>563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2:18">
      <c r="B3766" t="s">
        <v>3968</v>
      </c>
      <c r="C3766" t="s">
        <v>836</v>
      </c>
      <c r="D3766" t="s">
        <v>563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2:18">
      <c r="B3767" t="s">
        <v>3969</v>
      </c>
      <c r="C3767" t="s">
        <v>836</v>
      </c>
      <c r="D3767" t="s">
        <v>563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2:18">
      <c r="B3768" t="s">
        <v>3970</v>
      </c>
      <c r="C3768" t="s">
        <v>836</v>
      </c>
      <c r="D3768" t="s">
        <v>563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2:18">
      <c r="B3769" t="s">
        <v>3971</v>
      </c>
      <c r="C3769" t="s">
        <v>836</v>
      </c>
      <c r="D3769" t="s">
        <v>563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2:18">
      <c r="B3770" t="s">
        <v>3972</v>
      </c>
      <c r="C3770" t="s">
        <v>836</v>
      </c>
      <c r="D3770" t="s">
        <v>563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2:18">
      <c r="B3771" t="s">
        <v>3973</v>
      </c>
      <c r="C3771" t="s">
        <v>836</v>
      </c>
      <c r="D3771" t="s">
        <v>563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2:18">
      <c r="B3772" t="s">
        <v>3974</v>
      </c>
      <c r="C3772" t="s">
        <v>836</v>
      </c>
      <c r="D3772" t="s">
        <v>563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2:18">
      <c r="B3773" t="s">
        <v>3975</v>
      </c>
      <c r="C3773" t="s">
        <v>836</v>
      </c>
      <c r="D3773" t="s">
        <v>563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2:18">
      <c r="B3774" t="s">
        <v>3976</v>
      </c>
      <c r="C3774" t="s">
        <v>836</v>
      </c>
      <c r="D3774" t="s">
        <v>563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2:18">
      <c r="B3775" t="s">
        <v>3977</v>
      </c>
      <c r="C3775" t="s">
        <v>836</v>
      </c>
      <c r="D3775" t="s">
        <v>563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2:18">
      <c r="B3776" t="s">
        <v>3978</v>
      </c>
      <c r="C3776" t="s">
        <v>836</v>
      </c>
      <c r="D3776" t="s">
        <v>563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2:18">
      <c r="B3777" t="s">
        <v>3979</v>
      </c>
      <c r="C3777" t="s">
        <v>836</v>
      </c>
      <c r="D3777" t="s">
        <v>563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2:18">
      <c r="B3778" t="s">
        <v>3980</v>
      </c>
      <c r="C3778" t="s">
        <v>836</v>
      </c>
      <c r="D3778" t="s">
        <v>563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2:18">
      <c r="B3779" t="s">
        <v>3981</v>
      </c>
      <c r="C3779" t="s">
        <v>836</v>
      </c>
      <c r="D3779" t="s">
        <v>563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2:18">
      <c r="B3780" t="s">
        <v>3982</v>
      </c>
      <c r="C3780" t="s">
        <v>836</v>
      </c>
      <c r="D3780" t="s">
        <v>563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2:18">
      <c r="B3781" t="s">
        <v>3983</v>
      </c>
      <c r="C3781" t="s">
        <v>836</v>
      </c>
      <c r="D3781" t="s">
        <v>563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2:18">
      <c r="B3782" t="s">
        <v>3984</v>
      </c>
      <c r="C3782" t="s">
        <v>836</v>
      </c>
      <c r="D3782" t="s">
        <v>563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2:18">
      <c r="B3783" t="s">
        <v>3985</v>
      </c>
      <c r="C3783" t="s">
        <v>836</v>
      </c>
      <c r="D3783" t="s">
        <v>563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2:18">
      <c r="B3784" t="s">
        <v>3986</v>
      </c>
      <c r="C3784" t="s">
        <v>836</v>
      </c>
      <c r="D3784" t="s">
        <v>563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2:18">
      <c r="B3785" t="s">
        <v>3987</v>
      </c>
      <c r="C3785" t="s">
        <v>836</v>
      </c>
      <c r="D3785" t="s">
        <v>563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2:18">
      <c r="B3786" t="s">
        <v>3988</v>
      </c>
      <c r="C3786" t="s">
        <v>836</v>
      </c>
      <c r="D3786" t="s">
        <v>563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2:18">
      <c r="B3787" t="s">
        <v>3989</v>
      </c>
      <c r="C3787" t="s">
        <v>836</v>
      </c>
      <c r="D3787" t="s">
        <v>563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2:18">
      <c r="B3788" t="s">
        <v>3990</v>
      </c>
      <c r="C3788" t="s">
        <v>836</v>
      </c>
      <c r="D3788" t="s">
        <v>563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2:18">
      <c r="B3789" t="s">
        <v>3991</v>
      </c>
      <c r="C3789" t="s">
        <v>836</v>
      </c>
      <c r="D3789" t="s">
        <v>563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2:18">
      <c r="B3790" t="s">
        <v>3992</v>
      </c>
      <c r="C3790" t="s">
        <v>836</v>
      </c>
      <c r="D3790" t="s">
        <v>563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2:18">
      <c r="B3791" t="s">
        <v>3993</v>
      </c>
      <c r="C3791" t="s">
        <v>836</v>
      </c>
      <c r="D3791" t="s">
        <v>563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2:18">
      <c r="B3792" t="s">
        <v>3994</v>
      </c>
      <c r="C3792" t="s">
        <v>836</v>
      </c>
      <c r="D3792" t="s">
        <v>563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2:18">
      <c r="B3793" t="s">
        <v>3995</v>
      </c>
      <c r="C3793" t="s">
        <v>836</v>
      </c>
      <c r="D3793" t="s">
        <v>563</v>
      </c>
      <c r="E3793">
        <v>0</v>
      </c>
      <c r="F3793">
        <v>0</v>
      </c>
      <c r="G3793">
        <v>400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400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2:18">
      <c r="B3794" t="s">
        <v>3996</v>
      </c>
      <c r="C3794" t="s">
        <v>836</v>
      </c>
      <c r="D3794" t="s">
        <v>563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2:18">
      <c r="B3795" t="s">
        <v>3997</v>
      </c>
      <c r="C3795" t="s">
        <v>836</v>
      </c>
      <c r="D3795" t="s">
        <v>563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2:18">
      <c r="B3796" t="s">
        <v>3998</v>
      </c>
      <c r="C3796" t="s">
        <v>836</v>
      </c>
      <c r="D3796" t="s">
        <v>563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2:18">
      <c r="B3797" t="s">
        <v>3999</v>
      </c>
      <c r="C3797" t="s">
        <v>836</v>
      </c>
      <c r="D3797" t="s">
        <v>563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2:18">
      <c r="B3798" t="s">
        <v>4000</v>
      </c>
      <c r="C3798" t="s">
        <v>836</v>
      </c>
      <c r="D3798" t="s">
        <v>563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2:18">
      <c r="B3799" t="s">
        <v>4001</v>
      </c>
      <c r="C3799" t="s">
        <v>836</v>
      </c>
      <c r="D3799" t="s">
        <v>563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2:18">
      <c r="B3800" t="s">
        <v>4002</v>
      </c>
      <c r="C3800" t="s">
        <v>836</v>
      </c>
      <c r="D3800" t="s">
        <v>563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2:18">
      <c r="B3801" t="s">
        <v>4003</v>
      </c>
      <c r="C3801" t="s">
        <v>836</v>
      </c>
      <c r="D3801" t="s">
        <v>563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2:18">
      <c r="B3802" t="s">
        <v>4004</v>
      </c>
      <c r="C3802" t="s">
        <v>836</v>
      </c>
      <c r="D3802" t="s">
        <v>563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2:18">
      <c r="B3803" t="s">
        <v>4005</v>
      </c>
      <c r="C3803" t="s">
        <v>836</v>
      </c>
      <c r="D3803" t="s">
        <v>563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2:18">
      <c r="B3804" t="s">
        <v>4006</v>
      </c>
      <c r="C3804" t="s">
        <v>836</v>
      </c>
      <c r="D3804" t="s">
        <v>563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2:18">
      <c r="B3805" t="s">
        <v>4007</v>
      </c>
      <c r="C3805" t="s">
        <v>836</v>
      </c>
      <c r="D3805" t="s">
        <v>563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2:18">
      <c r="B3806" t="s">
        <v>4008</v>
      </c>
      <c r="C3806" t="s">
        <v>836</v>
      </c>
      <c r="D3806" t="s">
        <v>563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2:18">
      <c r="B3807" t="s">
        <v>4009</v>
      </c>
      <c r="C3807" t="s">
        <v>836</v>
      </c>
      <c r="D3807" t="s">
        <v>563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2:18">
      <c r="B3808" t="s">
        <v>4010</v>
      </c>
      <c r="C3808" t="s">
        <v>836</v>
      </c>
      <c r="D3808" t="s">
        <v>563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2:18">
      <c r="B3809" t="s">
        <v>4011</v>
      </c>
      <c r="C3809" t="s">
        <v>836</v>
      </c>
      <c r="D3809" t="s">
        <v>563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2:18">
      <c r="B3810" t="s">
        <v>4012</v>
      </c>
      <c r="C3810" t="s">
        <v>836</v>
      </c>
      <c r="D3810" t="s">
        <v>563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2:18">
      <c r="B3811" t="s">
        <v>4013</v>
      </c>
      <c r="C3811" t="s">
        <v>836</v>
      </c>
      <c r="D3811" t="s">
        <v>563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2:18">
      <c r="B3812" t="s">
        <v>4014</v>
      </c>
      <c r="C3812" t="s">
        <v>836</v>
      </c>
      <c r="D3812" t="s">
        <v>563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2:18">
      <c r="B3813" t="s">
        <v>4015</v>
      </c>
      <c r="C3813" t="s">
        <v>836</v>
      </c>
      <c r="D3813" t="s">
        <v>563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2:18">
      <c r="B3814" t="s">
        <v>4016</v>
      </c>
      <c r="C3814" t="s">
        <v>836</v>
      </c>
      <c r="D3814" t="s">
        <v>563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2:18">
      <c r="B3815" t="s">
        <v>4017</v>
      </c>
      <c r="C3815" t="s">
        <v>836</v>
      </c>
      <c r="D3815" t="s">
        <v>563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2:18">
      <c r="B3816" t="s">
        <v>4018</v>
      </c>
      <c r="C3816" t="s">
        <v>836</v>
      </c>
      <c r="D3816" t="s">
        <v>563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2:18">
      <c r="B3817" t="s">
        <v>4019</v>
      </c>
      <c r="C3817" t="s">
        <v>836</v>
      </c>
      <c r="D3817" t="s">
        <v>563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2:18">
      <c r="B3818" t="s">
        <v>4020</v>
      </c>
      <c r="C3818" t="s">
        <v>836</v>
      </c>
      <c r="D3818" t="s">
        <v>563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2:18">
      <c r="B3819" t="s">
        <v>4021</v>
      </c>
      <c r="C3819" t="s">
        <v>836</v>
      </c>
      <c r="D3819" t="s">
        <v>563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2:18">
      <c r="B3820" t="s">
        <v>4022</v>
      </c>
      <c r="C3820" t="s">
        <v>836</v>
      </c>
      <c r="D3820" t="s">
        <v>563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2:18">
      <c r="B3821" t="s">
        <v>4023</v>
      </c>
      <c r="C3821" t="s">
        <v>836</v>
      </c>
      <c r="D3821" t="s">
        <v>563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2:18">
      <c r="B3822" t="s">
        <v>4024</v>
      </c>
      <c r="C3822" t="s">
        <v>836</v>
      </c>
      <c r="D3822" t="s">
        <v>563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2:18">
      <c r="B3823" t="s">
        <v>4025</v>
      </c>
      <c r="C3823" t="s">
        <v>836</v>
      </c>
      <c r="D3823" t="s">
        <v>563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2:18">
      <c r="B3824" t="s">
        <v>4026</v>
      </c>
      <c r="C3824" t="s">
        <v>836</v>
      </c>
      <c r="D3824" t="s">
        <v>563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2:18">
      <c r="B3825" t="s">
        <v>4027</v>
      </c>
      <c r="C3825" t="s">
        <v>836</v>
      </c>
      <c r="D3825" t="s">
        <v>563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2:18">
      <c r="B3826" t="s">
        <v>4028</v>
      </c>
      <c r="C3826" t="s">
        <v>836</v>
      </c>
      <c r="D3826" t="s">
        <v>563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2:18">
      <c r="B3827" t="s">
        <v>4029</v>
      </c>
      <c r="C3827" t="s">
        <v>836</v>
      </c>
      <c r="D3827" t="s">
        <v>563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2:18">
      <c r="B3828" t="s">
        <v>4030</v>
      </c>
      <c r="C3828" t="s">
        <v>836</v>
      </c>
      <c r="D3828" t="s">
        <v>563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2:18">
      <c r="B3829" t="s">
        <v>4031</v>
      </c>
      <c r="C3829" t="s">
        <v>836</v>
      </c>
      <c r="D3829" t="s">
        <v>563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2:18">
      <c r="B3830" t="s">
        <v>4032</v>
      </c>
      <c r="C3830" t="s">
        <v>836</v>
      </c>
      <c r="D3830" t="s">
        <v>563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2:18">
      <c r="B3831" t="s">
        <v>4033</v>
      </c>
      <c r="C3831" t="s">
        <v>836</v>
      </c>
      <c r="D3831" t="s">
        <v>563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2:18">
      <c r="B3832" t="s">
        <v>4034</v>
      </c>
      <c r="C3832" t="s">
        <v>836</v>
      </c>
      <c r="D3832" t="s">
        <v>563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2:18">
      <c r="B3833" t="s">
        <v>4035</v>
      </c>
      <c r="C3833" t="s">
        <v>836</v>
      </c>
      <c r="D3833" t="s">
        <v>563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2:18">
      <c r="B3834" t="s">
        <v>4036</v>
      </c>
      <c r="C3834" t="s">
        <v>836</v>
      </c>
      <c r="D3834" t="s">
        <v>563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2:18">
      <c r="B3835" t="s">
        <v>4037</v>
      </c>
      <c r="C3835" t="s">
        <v>836</v>
      </c>
      <c r="D3835" t="s">
        <v>563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2:18">
      <c r="B3836" t="s">
        <v>4038</v>
      </c>
      <c r="C3836" t="s">
        <v>836</v>
      </c>
      <c r="D3836" t="s">
        <v>563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2:18">
      <c r="B3837" t="s">
        <v>4039</v>
      </c>
      <c r="C3837" t="s">
        <v>836</v>
      </c>
      <c r="D3837" t="s">
        <v>563</v>
      </c>
      <c r="E3837">
        <v>1</v>
      </c>
      <c r="F3837">
        <v>234.29900000000001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156.19999999999999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2:18">
      <c r="B3838" t="s">
        <v>5858</v>
      </c>
      <c r="C3838" t="s">
        <v>836</v>
      </c>
      <c r="D3838" t="s">
        <v>563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2:18">
      <c r="B3839" t="s">
        <v>5859</v>
      </c>
      <c r="C3839" t="s">
        <v>836</v>
      </c>
      <c r="D3839" t="s">
        <v>563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2:18">
      <c r="B3840" t="s">
        <v>4040</v>
      </c>
      <c r="C3840" t="s">
        <v>836</v>
      </c>
      <c r="D3840" t="s">
        <v>563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2:18">
      <c r="B3841" t="s">
        <v>5860</v>
      </c>
      <c r="C3841" t="s">
        <v>836</v>
      </c>
      <c r="D3841" t="s">
        <v>563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2:18">
      <c r="B3842" t="s">
        <v>5861</v>
      </c>
      <c r="C3842" t="s">
        <v>836</v>
      </c>
      <c r="D3842" t="s">
        <v>563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2:18">
      <c r="B3843" t="s">
        <v>5862</v>
      </c>
      <c r="C3843" t="s">
        <v>836</v>
      </c>
      <c r="D3843" t="s">
        <v>563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2:18">
      <c r="B3844" t="s">
        <v>4041</v>
      </c>
      <c r="C3844" t="s">
        <v>836</v>
      </c>
      <c r="D3844" t="s">
        <v>563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2:18">
      <c r="B3845" t="s">
        <v>5863</v>
      </c>
      <c r="C3845" t="s">
        <v>836</v>
      </c>
      <c r="D3845" t="s">
        <v>563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2:18">
      <c r="B3846" t="s">
        <v>5864</v>
      </c>
      <c r="C3846" t="s">
        <v>836</v>
      </c>
      <c r="D3846" t="s">
        <v>563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2:18">
      <c r="B3847" t="s">
        <v>5865</v>
      </c>
      <c r="C3847" t="s">
        <v>836</v>
      </c>
      <c r="D3847" t="s">
        <v>563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2:18">
      <c r="B3848" t="s">
        <v>4042</v>
      </c>
      <c r="C3848" t="s">
        <v>836</v>
      </c>
      <c r="D3848" t="s">
        <v>563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2:18">
      <c r="B3849" t="s">
        <v>5866</v>
      </c>
      <c r="C3849" t="s">
        <v>836</v>
      </c>
      <c r="D3849" t="s">
        <v>563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2:18">
      <c r="B3850" t="s">
        <v>4043</v>
      </c>
      <c r="C3850" t="s">
        <v>836</v>
      </c>
      <c r="D3850" t="s">
        <v>563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2:18">
      <c r="B3851" t="s">
        <v>5867</v>
      </c>
      <c r="C3851" t="s">
        <v>836</v>
      </c>
      <c r="D3851" t="s">
        <v>563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2:18">
      <c r="B3852" t="s">
        <v>4044</v>
      </c>
      <c r="C3852" t="s">
        <v>836</v>
      </c>
      <c r="D3852" t="s">
        <v>563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2:18">
      <c r="B3853" t="s">
        <v>5868</v>
      </c>
      <c r="C3853" t="s">
        <v>836</v>
      </c>
      <c r="D3853" t="s">
        <v>563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2:18">
      <c r="B3854" t="s">
        <v>4045</v>
      </c>
      <c r="C3854" t="s">
        <v>836</v>
      </c>
      <c r="D3854" t="s">
        <v>563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2:18">
      <c r="B3855" t="s">
        <v>5869</v>
      </c>
      <c r="C3855" t="s">
        <v>836</v>
      </c>
      <c r="D3855" t="s">
        <v>563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2:18">
      <c r="B3856" t="s">
        <v>4046</v>
      </c>
      <c r="C3856" t="s">
        <v>836</v>
      </c>
      <c r="D3856" t="s">
        <v>563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2:18">
      <c r="B3857" t="s">
        <v>5870</v>
      </c>
      <c r="C3857" t="s">
        <v>836</v>
      </c>
      <c r="D3857" t="s">
        <v>563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2:18">
      <c r="B3858" t="s">
        <v>4047</v>
      </c>
      <c r="C3858" t="s">
        <v>836</v>
      </c>
      <c r="D3858" t="s">
        <v>563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2:18">
      <c r="B3859" t="s">
        <v>5871</v>
      </c>
      <c r="C3859" t="s">
        <v>836</v>
      </c>
      <c r="D3859" t="s">
        <v>563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2:18">
      <c r="B3860" t="s">
        <v>4048</v>
      </c>
      <c r="C3860" t="s">
        <v>836</v>
      </c>
      <c r="D3860" t="s">
        <v>563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2:18">
      <c r="B3861" t="s">
        <v>5872</v>
      </c>
      <c r="C3861" t="s">
        <v>836</v>
      </c>
      <c r="D3861" t="s">
        <v>563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2:18">
      <c r="B3862" t="s">
        <v>4049</v>
      </c>
      <c r="C3862" t="s">
        <v>836</v>
      </c>
      <c r="D3862" t="s">
        <v>563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2:18">
      <c r="B3863" t="s">
        <v>5873</v>
      </c>
      <c r="C3863" t="s">
        <v>836</v>
      </c>
      <c r="D3863" t="s">
        <v>563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2:18">
      <c r="B3864" t="s">
        <v>4050</v>
      </c>
      <c r="C3864" t="s">
        <v>836</v>
      </c>
      <c r="D3864" t="s">
        <v>563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2:18">
      <c r="B3865" t="s">
        <v>5874</v>
      </c>
      <c r="C3865" t="s">
        <v>836</v>
      </c>
      <c r="D3865" t="s">
        <v>563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2:18">
      <c r="B3866" t="s">
        <v>4051</v>
      </c>
      <c r="C3866" t="s">
        <v>836</v>
      </c>
      <c r="D3866" t="s">
        <v>563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2:18">
      <c r="B3867" t="s">
        <v>5875</v>
      </c>
      <c r="C3867" t="s">
        <v>836</v>
      </c>
      <c r="D3867" t="s">
        <v>563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2:18">
      <c r="B3868" t="s">
        <v>4052</v>
      </c>
      <c r="C3868" t="s">
        <v>836</v>
      </c>
      <c r="D3868" t="s">
        <v>563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2:18">
      <c r="B3869" t="s">
        <v>4053</v>
      </c>
      <c r="C3869" t="s">
        <v>836</v>
      </c>
      <c r="D3869" t="s">
        <v>563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2:18">
      <c r="B3870" t="s">
        <v>4054</v>
      </c>
      <c r="C3870" t="s">
        <v>836</v>
      </c>
      <c r="D3870" t="s">
        <v>563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2:18">
      <c r="B3871" t="s">
        <v>4055</v>
      </c>
      <c r="C3871" t="s">
        <v>836</v>
      </c>
      <c r="D3871" t="s">
        <v>563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2:18">
      <c r="B3872" t="s">
        <v>4056</v>
      </c>
      <c r="C3872" t="s">
        <v>836</v>
      </c>
      <c r="D3872" t="s">
        <v>563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2:18">
      <c r="B3873" t="s">
        <v>4057</v>
      </c>
      <c r="C3873" t="s">
        <v>836</v>
      </c>
      <c r="D3873" t="s">
        <v>563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2:18">
      <c r="B3874" t="s">
        <v>4058</v>
      </c>
      <c r="C3874" t="s">
        <v>836</v>
      </c>
      <c r="D3874" t="s">
        <v>563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2:18">
      <c r="B3875" t="s">
        <v>4059</v>
      </c>
      <c r="C3875" t="s">
        <v>836</v>
      </c>
      <c r="D3875" t="s">
        <v>563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2:18">
      <c r="B3876" t="s">
        <v>4060</v>
      </c>
      <c r="C3876" t="s">
        <v>836</v>
      </c>
      <c r="D3876" t="s">
        <v>563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2:18">
      <c r="B3877" t="s">
        <v>4061</v>
      </c>
      <c r="C3877" t="s">
        <v>836</v>
      </c>
      <c r="D3877" t="s">
        <v>563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2:18">
      <c r="B3878" t="s">
        <v>4062</v>
      </c>
      <c r="C3878" t="s">
        <v>836</v>
      </c>
      <c r="D3878" t="s">
        <v>563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2:18">
      <c r="B3879" t="s">
        <v>4063</v>
      </c>
      <c r="C3879" t="s">
        <v>836</v>
      </c>
      <c r="D3879" t="s">
        <v>563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2:18">
      <c r="B3880" t="s">
        <v>4064</v>
      </c>
      <c r="C3880" t="s">
        <v>836</v>
      </c>
      <c r="D3880" t="s">
        <v>563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2:18">
      <c r="B3881" t="s">
        <v>4065</v>
      </c>
      <c r="C3881" t="s">
        <v>836</v>
      </c>
      <c r="D3881" t="s">
        <v>563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2:18">
      <c r="B3882" t="s">
        <v>4066</v>
      </c>
      <c r="C3882" t="s">
        <v>836</v>
      </c>
      <c r="D3882" t="s">
        <v>563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2:18">
      <c r="B3883" t="s">
        <v>4067</v>
      </c>
      <c r="C3883" t="s">
        <v>836</v>
      </c>
      <c r="D3883" t="s">
        <v>563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12.47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2:18">
      <c r="B3884" t="s">
        <v>4068</v>
      </c>
      <c r="C3884" t="s">
        <v>836</v>
      </c>
      <c r="D3884" t="s">
        <v>563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2:18">
      <c r="B3885" t="s">
        <v>4069</v>
      </c>
      <c r="C3885" t="s">
        <v>836</v>
      </c>
      <c r="D3885" t="s">
        <v>563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2:18">
      <c r="B3886" t="s">
        <v>4070</v>
      </c>
      <c r="C3886" t="s">
        <v>836</v>
      </c>
      <c r="D3886" t="s">
        <v>563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2:18">
      <c r="B3887" t="s">
        <v>4071</v>
      </c>
      <c r="C3887" t="s">
        <v>836</v>
      </c>
      <c r="D3887" t="s">
        <v>563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2:18">
      <c r="B3888" t="s">
        <v>4072</v>
      </c>
      <c r="C3888" t="s">
        <v>836</v>
      </c>
      <c r="D3888" t="s">
        <v>563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2:18">
      <c r="B3889" t="s">
        <v>4073</v>
      </c>
      <c r="C3889" t="s">
        <v>836</v>
      </c>
      <c r="D3889" t="s">
        <v>563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2:18">
      <c r="B3890" t="s">
        <v>4074</v>
      </c>
      <c r="C3890" t="s">
        <v>836</v>
      </c>
      <c r="D3890" t="s">
        <v>563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2:18">
      <c r="B3891" t="s">
        <v>4075</v>
      </c>
      <c r="C3891" t="s">
        <v>836</v>
      </c>
      <c r="D3891" t="s">
        <v>563</v>
      </c>
      <c r="E3891">
        <v>1</v>
      </c>
      <c r="F3891">
        <v>43.2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33.700000000000003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2:18">
      <c r="B3892" t="s">
        <v>4076</v>
      </c>
      <c r="C3892" t="s">
        <v>836</v>
      </c>
      <c r="D3892" t="s">
        <v>563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2:18">
      <c r="B3893" t="s">
        <v>4077</v>
      </c>
      <c r="C3893" t="s">
        <v>836</v>
      </c>
      <c r="D3893" t="s">
        <v>563</v>
      </c>
      <c r="E3893">
        <v>1</v>
      </c>
      <c r="F3893">
        <v>80.3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2:18">
      <c r="B3894" t="s">
        <v>5876</v>
      </c>
      <c r="C3894" t="s">
        <v>836</v>
      </c>
      <c r="D3894" t="s">
        <v>563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2:18">
      <c r="B3895" t="s">
        <v>4078</v>
      </c>
      <c r="C3895" t="s">
        <v>836</v>
      </c>
      <c r="D3895" t="s">
        <v>563</v>
      </c>
      <c r="E3895">
        <v>1</v>
      </c>
      <c r="F3895">
        <v>81.2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2:18">
      <c r="B3896" t="s">
        <v>5877</v>
      </c>
      <c r="C3896" t="s">
        <v>836</v>
      </c>
      <c r="D3896" t="s">
        <v>563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2:18">
      <c r="B3897" t="s">
        <v>4079</v>
      </c>
      <c r="C3897" t="s">
        <v>836</v>
      </c>
      <c r="D3897" t="s">
        <v>563</v>
      </c>
      <c r="E3897">
        <v>1</v>
      </c>
      <c r="F3897">
        <v>126.9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2:18">
      <c r="B3898" t="s">
        <v>5878</v>
      </c>
      <c r="C3898" t="s">
        <v>836</v>
      </c>
      <c r="D3898" t="s">
        <v>563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2:18">
      <c r="B3899" t="s">
        <v>4080</v>
      </c>
      <c r="C3899" t="s">
        <v>836</v>
      </c>
      <c r="D3899" t="s">
        <v>563</v>
      </c>
      <c r="E3899">
        <v>1</v>
      </c>
      <c r="F3899">
        <v>140.4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2:18">
      <c r="B3900" t="s">
        <v>5879</v>
      </c>
      <c r="C3900" t="s">
        <v>836</v>
      </c>
      <c r="D3900" t="s">
        <v>563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2:18">
      <c r="B3901" t="s">
        <v>4081</v>
      </c>
      <c r="C3901" t="s">
        <v>836</v>
      </c>
      <c r="D3901" t="s">
        <v>563</v>
      </c>
      <c r="E3901">
        <v>1</v>
      </c>
      <c r="F3901">
        <v>169.3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2:18">
      <c r="B3902" t="s">
        <v>5880</v>
      </c>
      <c r="C3902" t="s">
        <v>836</v>
      </c>
      <c r="D3902" t="s">
        <v>563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2:18">
      <c r="B3903" t="s">
        <v>4082</v>
      </c>
      <c r="C3903" t="s">
        <v>836</v>
      </c>
      <c r="D3903" t="s">
        <v>563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2:18">
      <c r="B3904" t="s">
        <v>5881</v>
      </c>
      <c r="C3904" t="s">
        <v>836</v>
      </c>
      <c r="D3904" t="s">
        <v>563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2:18">
      <c r="B3905" t="s">
        <v>4083</v>
      </c>
      <c r="C3905" t="s">
        <v>836</v>
      </c>
      <c r="D3905" t="s">
        <v>563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2:18">
      <c r="B3906" t="s">
        <v>5882</v>
      </c>
      <c r="C3906" t="s">
        <v>836</v>
      </c>
      <c r="D3906" t="s">
        <v>563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2:18">
      <c r="B3907" t="s">
        <v>4084</v>
      </c>
      <c r="C3907" t="s">
        <v>836</v>
      </c>
      <c r="D3907" t="s">
        <v>563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2:18">
      <c r="B3908" t="s">
        <v>5883</v>
      </c>
      <c r="C3908" t="s">
        <v>836</v>
      </c>
      <c r="D3908" t="s">
        <v>563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2:18">
      <c r="B3909" t="s">
        <v>4085</v>
      </c>
      <c r="C3909" t="s">
        <v>836</v>
      </c>
      <c r="D3909" t="s">
        <v>563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2:18">
      <c r="B3910" t="s">
        <v>5884</v>
      </c>
      <c r="C3910" t="s">
        <v>836</v>
      </c>
      <c r="D3910" t="s">
        <v>563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2:18">
      <c r="B3911" t="s">
        <v>4086</v>
      </c>
      <c r="C3911" t="s">
        <v>836</v>
      </c>
      <c r="D3911" t="s">
        <v>563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2:18">
      <c r="B3912" t="s">
        <v>5885</v>
      </c>
      <c r="C3912" t="s">
        <v>836</v>
      </c>
      <c r="D3912" t="s">
        <v>563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2:18">
      <c r="B3913" t="s">
        <v>5886</v>
      </c>
      <c r="C3913" t="s">
        <v>836</v>
      </c>
      <c r="D3913" t="s">
        <v>563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2:18">
      <c r="B3914" t="s">
        <v>5887</v>
      </c>
      <c r="C3914" t="s">
        <v>836</v>
      </c>
      <c r="D3914" t="s">
        <v>563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2:18">
      <c r="B3915" t="s">
        <v>4087</v>
      </c>
      <c r="C3915" t="s">
        <v>836</v>
      </c>
      <c r="D3915" t="s">
        <v>563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2:18">
      <c r="B3916" t="s">
        <v>5888</v>
      </c>
      <c r="C3916" t="s">
        <v>836</v>
      </c>
      <c r="D3916" t="s">
        <v>563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2:18">
      <c r="B3917" t="s">
        <v>5889</v>
      </c>
      <c r="C3917" t="s">
        <v>836</v>
      </c>
      <c r="D3917" t="s">
        <v>563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2:18">
      <c r="B3918" t="s">
        <v>5890</v>
      </c>
      <c r="C3918" t="s">
        <v>836</v>
      </c>
      <c r="D3918" t="s">
        <v>563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2:18">
      <c r="B3919" t="s">
        <v>5891</v>
      </c>
      <c r="C3919" t="s">
        <v>836</v>
      </c>
      <c r="D3919" t="s">
        <v>563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2:18">
      <c r="B3920" t="s">
        <v>5892</v>
      </c>
      <c r="C3920" t="s">
        <v>836</v>
      </c>
      <c r="D3920" t="s">
        <v>563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2:18">
      <c r="B3921" t="s">
        <v>5893</v>
      </c>
      <c r="C3921" t="s">
        <v>836</v>
      </c>
      <c r="D3921" t="s">
        <v>563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2:18">
      <c r="B3922" t="s">
        <v>5894</v>
      </c>
      <c r="C3922" t="s">
        <v>836</v>
      </c>
      <c r="D3922" t="s">
        <v>563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2:18">
      <c r="B3923" t="s">
        <v>4088</v>
      </c>
      <c r="C3923" t="s">
        <v>836</v>
      </c>
      <c r="D3923" t="s">
        <v>563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2:18">
      <c r="B3924" t="s">
        <v>4089</v>
      </c>
      <c r="C3924" t="s">
        <v>836</v>
      </c>
      <c r="D3924" t="s">
        <v>563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2:18">
      <c r="B3925" t="s">
        <v>4090</v>
      </c>
      <c r="C3925" t="s">
        <v>836</v>
      </c>
      <c r="D3925" t="s">
        <v>563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2:18">
      <c r="B3926" t="s">
        <v>4091</v>
      </c>
      <c r="C3926" t="s">
        <v>836</v>
      </c>
      <c r="D3926" t="s">
        <v>563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2:18">
      <c r="B3927" t="s">
        <v>4092</v>
      </c>
      <c r="C3927" t="s">
        <v>836</v>
      </c>
      <c r="D3927" t="s">
        <v>563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2:18">
      <c r="B3928" t="s">
        <v>4093</v>
      </c>
      <c r="C3928" t="s">
        <v>836</v>
      </c>
      <c r="D3928" t="s">
        <v>563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2:18">
      <c r="B3929" t="s">
        <v>4094</v>
      </c>
      <c r="C3929" t="s">
        <v>836</v>
      </c>
      <c r="D3929" t="s">
        <v>563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2:18">
      <c r="B3930" t="s">
        <v>4095</v>
      </c>
      <c r="C3930" t="s">
        <v>836</v>
      </c>
      <c r="D3930" t="s">
        <v>563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2:18">
      <c r="B3931" t="s">
        <v>4096</v>
      </c>
      <c r="C3931" t="s">
        <v>836</v>
      </c>
      <c r="D3931" t="s">
        <v>563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2:18">
      <c r="B3932" t="s">
        <v>4097</v>
      </c>
      <c r="C3932" t="s">
        <v>836</v>
      </c>
      <c r="D3932" t="s">
        <v>563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2:18">
      <c r="B3933" t="s">
        <v>4098</v>
      </c>
      <c r="C3933" t="s">
        <v>836</v>
      </c>
      <c r="D3933" t="s">
        <v>563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2:18">
      <c r="B3934" t="s">
        <v>4099</v>
      </c>
      <c r="C3934" t="s">
        <v>836</v>
      </c>
      <c r="D3934" t="s">
        <v>563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2:18">
      <c r="B3935" t="s">
        <v>4100</v>
      </c>
      <c r="C3935" t="s">
        <v>836</v>
      </c>
      <c r="D3935" t="s">
        <v>563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2:18">
      <c r="B3936" t="s">
        <v>4101</v>
      </c>
      <c r="C3936" t="s">
        <v>836</v>
      </c>
      <c r="D3936" t="s">
        <v>563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2:18">
      <c r="B3937" t="s">
        <v>4102</v>
      </c>
      <c r="C3937" t="s">
        <v>836</v>
      </c>
      <c r="D3937" t="s">
        <v>563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2:18">
      <c r="B3938" t="s">
        <v>4103</v>
      </c>
      <c r="C3938" t="s">
        <v>836</v>
      </c>
      <c r="D3938" t="s">
        <v>563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2:18">
      <c r="B3939" t="s">
        <v>4104</v>
      </c>
      <c r="C3939" t="s">
        <v>836</v>
      </c>
      <c r="D3939" t="s">
        <v>563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2:18">
      <c r="B3940" t="s">
        <v>4105</v>
      </c>
      <c r="C3940" t="s">
        <v>836</v>
      </c>
      <c r="D3940" t="s">
        <v>563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2:18">
      <c r="B3941" t="s">
        <v>4106</v>
      </c>
      <c r="C3941" t="s">
        <v>836</v>
      </c>
      <c r="D3941" t="s">
        <v>563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2:18">
      <c r="B3942" t="s">
        <v>4107</v>
      </c>
      <c r="C3942" t="s">
        <v>836</v>
      </c>
      <c r="D3942" t="s">
        <v>563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2:18">
      <c r="B3943" t="s">
        <v>4108</v>
      </c>
      <c r="C3943" t="s">
        <v>836</v>
      </c>
      <c r="D3943" t="s">
        <v>563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2:18">
      <c r="B3944" t="s">
        <v>5895</v>
      </c>
      <c r="C3944" t="s">
        <v>836</v>
      </c>
      <c r="D3944" t="s">
        <v>563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2:18">
      <c r="B3945" t="s">
        <v>4109</v>
      </c>
      <c r="C3945" t="s">
        <v>836</v>
      </c>
      <c r="D3945" t="s">
        <v>563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2:18">
      <c r="B3946" t="s">
        <v>4110</v>
      </c>
      <c r="C3946" t="s">
        <v>836</v>
      </c>
      <c r="D3946" t="s">
        <v>563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2:18">
      <c r="B3947" t="s">
        <v>4111</v>
      </c>
      <c r="C3947" t="s">
        <v>836</v>
      </c>
      <c r="D3947" t="s">
        <v>563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2:18">
      <c r="B3948" t="s">
        <v>5896</v>
      </c>
      <c r="C3948" t="s">
        <v>836</v>
      </c>
      <c r="D3948" t="s">
        <v>563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2:18">
      <c r="B3949" t="s">
        <v>4112</v>
      </c>
      <c r="C3949" t="s">
        <v>836</v>
      </c>
      <c r="D3949" t="s">
        <v>563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2:18">
      <c r="B3950" t="s">
        <v>4113</v>
      </c>
      <c r="C3950" t="s">
        <v>836</v>
      </c>
      <c r="D3950" t="s">
        <v>563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2:18">
      <c r="B3951" t="s">
        <v>4114</v>
      </c>
      <c r="C3951" t="s">
        <v>836</v>
      </c>
      <c r="D3951" t="s">
        <v>563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350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2:18">
      <c r="B3952" t="s">
        <v>4115</v>
      </c>
      <c r="C3952" t="s">
        <v>836</v>
      </c>
      <c r="D3952" t="s">
        <v>563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2:18">
      <c r="B3953" t="s">
        <v>4116</v>
      </c>
      <c r="C3953" t="s">
        <v>836</v>
      </c>
      <c r="D3953" t="s">
        <v>563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2:18">
      <c r="B3954" t="s">
        <v>4117</v>
      </c>
      <c r="C3954" t="s">
        <v>836</v>
      </c>
      <c r="D3954" t="s">
        <v>563</v>
      </c>
      <c r="E3954">
        <v>0</v>
      </c>
      <c r="F3954">
        <v>0</v>
      </c>
      <c r="G3954">
        <v>180</v>
      </c>
      <c r="H3954">
        <v>8</v>
      </c>
      <c r="I3954">
        <v>0</v>
      </c>
      <c r="J3954">
        <v>0</v>
      </c>
      <c r="K3954">
        <v>0</v>
      </c>
      <c r="L3954">
        <v>0</v>
      </c>
      <c r="M3954">
        <v>93.9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2:18">
      <c r="B3955" t="s">
        <v>4118</v>
      </c>
      <c r="C3955" t="s">
        <v>836</v>
      </c>
      <c r="D3955" t="s">
        <v>563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175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2:18">
      <c r="B3956" t="s">
        <v>4119</v>
      </c>
      <c r="C3956" t="s">
        <v>836</v>
      </c>
      <c r="D3956" t="s">
        <v>563</v>
      </c>
      <c r="E3956">
        <v>1</v>
      </c>
      <c r="F3956">
        <v>219.2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2:18">
      <c r="B3957" t="s">
        <v>4120</v>
      </c>
      <c r="C3957" t="s">
        <v>836</v>
      </c>
      <c r="D3957" t="s">
        <v>563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2:18">
      <c r="B3958" t="s">
        <v>4121</v>
      </c>
      <c r="C3958" t="s">
        <v>836</v>
      </c>
      <c r="D3958" t="s">
        <v>563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2:18">
      <c r="B3959" t="s">
        <v>4122</v>
      </c>
      <c r="C3959" t="s">
        <v>836</v>
      </c>
      <c r="D3959" t="s">
        <v>563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2:18">
      <c r="B3960" t="s">
        <v>4123</v>
      </c>
      <c r="C3960" t="s">
        <v>836</v>
      </c>
      <c r="D3960" t="s">
        <v>563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2:18">
      <c r="B3961" t="s">
        <v>4124</v>
      </c>
      <c r="C3961" t="s">
        <v>836</v>
      </c>
      <c r="D3961" t="s">
        <v>563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2:18">
      <c r="B3962" t="s">
        <v>4125</v>
      </c>
      <c r="C3962" t="s">
        <v>836</v>
      </c>
      <c r="D3962" t="s">
        <v>563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2:18">
      <c r="B3963" t="s">
        <v>4126</v>
      </c>
      <c r="C3963" t="s">
        <v>836</v>
      </c>
      <c r="D3963" t="s">
        <v>563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2:18">
      <c r="B3964" t="s">
        <v>4127</v>
      </c>
      <c r="C3964" t="s">
        <v>836</v>
      </c>
      <c r="D3964" t="s">
        <v>563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2:18">
      <c r="B3965" t="s">
        <v>4128</v>
      </c>
      <c r="C3965" t="s">
        <v>836</v>
      </c>
      <c r="D3965" t="s">
        <v>563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2:18">
      <c r="B3966" t="s">
        <v>4129</v>
      </c>
      <c r="C3966" t="s">
        <v>836</v>
      </c>
      <c r="D3966" t="s">
        <v>563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2:18">
      <c r="B3967" t="s">
        <v>4130</v>
      </c>
      <c r="C3967" t="s">
        <v>836</v>
      </c>
      <c r="D3967" t="s">
        <v>563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2:18">
      <c r="B3968" t="s">
        <v>4131</v>
      </c>
      <c r="C3968" t="s">
        <v>836</v>
      </c>
      <c r="D3968" t="s">
        <v>563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2:18">
      <c r="B3969" t="s">
        <v>4132</v>
      </c>
      <c r="C3969" t="s">
        <v>836</v>
      </c>
      <c r="D3969" t="s">
        <v>563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2:18">
      <c r="B3970" t="s">
        <v>4133</v>
      </c>
      <c r="C3970" t="s">
        <v>836</v>
      </c>
      <c r="D3970" t="s">
        <v>563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2:18">
      <c r="B3971" t="s">
        <v>4134</v>
      </c>
      <c r="C3971" t="s">
        <v>836</v>
      </c>
      <c r="D3971" t="s">
        <v>563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2:18">
      <c r="B3972" t="s">
        <v>4135</v>
      </c>
      <c r="C3972" t="s">
        <v>836</v>
      </c>
      <c r="D3972" t="s">
        <v>563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2:18">
      <c r="B3973" t="s">
        <v>4136</v>
      </c>
      <c r="C3973" t="s">
        <v>836</v>
      </c>
      <c r="D3973" t="s">
        <v>563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2:18">
      <c r="B3974" t="s">
        <v>4137</v>
      </c>
      <c r="C3974" t="s">
        <v>836</v>
      </c>
      <c r="D3974" t="s">
        <v>563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2:18">
      <c r="B3975" t="s">
        <v>4138</v>
      </c>
      <c r="C3975" t="s">
        <v>836</v>
      </c>
      <c r="D3975" t="s">
        <v>563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2:18">
      <c r="B3976" t="s">
        <v>4139</v>
      </c>
      <c r="C3976" t="s">
        <v>836</v>
      </c>
      <c r="D3976" t="s">
        <v>563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2:18">
      <c r="B3977" t="s">
        <v>4140</v>
      </c>
      <c r="C3977" t="s">
        <v>836</v>
      </c>
      <c r="D3977" t="s">
        <v>563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2:18">
      <c r="B3978" t="s">
        <v>4141</v>
      </c>
      <c r="C3978" t="s">
        <v>836</v>
      </c>
      <c r="D3978" t="s">
        <v>563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2:18">
      <c r="B3979" t="s">
        <v>4142</v>
      </c>
      <c r="C3979" t="s">
        <v>836</v>
      </c>
      <c r="D3979" t="s">
        <v>563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2:18">
      <c r="B3980" t="s">
        <v>4143</v>
      </c>
      <c r="C3980" t="s">
        <v>836</v>
      </c>
      <c r="D3980" t="s">
        <v>563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2:18">
      <c r="B3981" t="s">
        <v>4144</v>
      </c>
      <c r="C3981" t="s">
        <v>836</v>
      </c>
      <c r="D3981" t="s">
        <v>563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2:18">
      <c r="B3982" t="s">
        <v>4145</v>
      </c>
      <c r="C3982" t="s">
        <v>836</v>
      </c>
      <c r="D3982" t="s">
        <v>563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2:18">
      <c r="B3983" t="s">
        <v>4146</v>
      </c>
      <c r="C3983" t="s">
        <v>836</v>
      </c>
      <c r="D3983" t="s">
        <v>563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2:18">
      <c r="B3984" t="s">
        <v>4147</v>
      </c>
      <c r="C3984" t="s">
        <v>836</v>
      </c>
      <c r="D3984" t="s">
        <v>563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2:18">
      <c r="B3985" t="s">
        <v>4148</v>
      </c>
      <c r="C3985" t="s">
        <v>836</v>
      </c>
      <c r="D3985" t="s">
        <v>563</v>
      </c>
      <c r="E3985">
        <v>2</v>
      </c>
      <c r="F3985">
        <v>62.3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2:18">
      <c r="B3986" t="s">
        <v>4149</v>
      </c>
      <c r="C3986" t="s">
        <v>836</v>
      </c>
      <c r="D3986" t="s">
        <v>563</v>
      </c>
      <c r="E3986">
        <v>19</v>
      </c>
      <c r="F3986">
        <v>6.6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2:18">
      <c r="B3987" t="s">
        <v>4150</v>
      </c>
      <c r="C3987" t="s">
        <v>836</v>
      </c>
      <c r="D3987" t="s">
        <v>563</v>
      </c>
      <c r="E3987">
        <v>1</v>
      </c>
      <c r="F3987">
        <v>81.3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2:18">
      <c r="B3988" t="s">
        <v>4151</v>
      </c>
      <c r="C3988" t="s">
        <v>836</v>
      </c>
      <c r="D3988" t="s">
        <v>563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2:18">
      <c r="B3989" t="s">
        <v>4152</v>
      </c>
      <c r="C3989" t="s">
        <v>836</v>
      </c>
      <c r="D3989" t="s">
        <v>563</v>
      </c>
      <c r="E3989">
        <v>1</v>
      </c>
      <c r="F3989">
        <v>117.8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2:18">
      <c r="B3990" t="s">
        <v>4153</v>
      </c>
      <c r="C3990" t="s">
        <v>836</v>
      </c>
      <c r="D3990" t="s">
        <v>563</v>
      </c>
      <c r="E3990">
        <v>5</v>
      </c>
      <c r="F3990">
        <v>47.7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2:18">
      <c r="B3991" t="s">
        <v>4154</v>
      </c>
      <c r="C3991" t="s">
        <v>836</v>
      </c>
      <c r="D3991" t="s">
        <v>563</v>
      </c>
      <c r="E3991">
        <v>1</v>
      </c>
      <c r="F3991">
        <v>145.80000000000001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2:18">
      <c r="B3992" t="s">
        <v>4155</v>
      </c>
      <c r="C3992" t="s">
        <v>836</v>
      </c>
      <c r="D3992" t="s">
        <v>563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2:18">
      <c r="B3993" t="s">
        <v>4156</v>
      </c>
      <c r="C3993" t="s">
        <v>836</v>
      </c>
      <c r="D3993" t="s">
        <v>563</v>
      </c>
      <c r="E3993">
        <v>1</v>
      </c>
      <c r="F3993">
        <v>214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2:18">
      <c r="B3994" t="s">
        <v>4157</v>
      </c>
      <c r="C3994" t="s">
        <v>836</v>
      </c>
      <c r="D3994" t="s">
        <v>563</v>
      </c>
      <c r="E3994">
        <v>2</v>
      </c>
      <c r="F3994">
        <v>157.80000000000001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2:18">
      <c r="B3995" t="s">
        <v>4158</v>
      </c>
      <c r="C3995" t="s">
        <v>836</v>
      </c>
      <c r="D3995" t="s">
        <v>563</v>
      </c>
      <c r="E3995">
        <v>1</v>
      </c>
      <c r="F3995">
        <v>234.4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2:18">
      <c r="B3996" t="s">
        <v>4159</v>
      </c>
      <c r="C3996" t="s">
        <v>836</v>
      </c>
      <c r="D3996" t="s">
        <v>563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2:18">
      <c r="B3997" t="s">
        <v>4160</v>
      </c>
      <c r="C3997" t="s">
        <v>836</v>
      </c>
      <c r="D3997" t="s">
        <v>563</v>
      </c>
      <c r="E3997">
        <v>1</v>
      </c>
      <c r="F3997">
        <v>333.9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2:18">
      <c r="B3998" t="s">
        <v>4161</v>
      </c>
      <c r="C3998" t="s">
        <v>836</v>
      </c>
      <c r="D3998" t="s">
        <v>563</v>
      </c>
      <c r="E3998">
        <v>1</v>
      </c>
      <c r="F3998">
        <v>291.3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2:18">
      <c r="B3999" t="s">
        <v>4162</v>
      </c>
      <c r="C3999" t="s">
        <v>836</v>
      </c>
      <c r="D3999" t="s">
        <v>563</v>
      </c>
      <c r="E3999">
        <v>1</v>
      </c>
      <c r="F3999">
        <v>361.7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2:18">
      <c r="B4000" t="s">
        <v>4163</v>
      </c>
      <c r="C4000" t="s">
        <v>836</v>
      </c>
      <c r="D4000" t="s">
        <v>563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2:18">
      <c r="B4001" t="s">
        <v>4164</v>
      </c>
      <c r="C4001" t="s">
        <v>836</v>
      </c>
      <c r="D4001" t="s">
        <v>563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2:18">
      <c r="B4002" t="s">
        <v>4165</v>
      </c>
      <c r="C4002" t="s">
        <v>836</v>
      </c>
      <c r="D4002" t="s">
        <v>563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2:18">
      <c r="B4003" t="s">
        <v>4166</v>
      </c>
      <c r="C4003" t="s">
        <v>836</v>
      </c>
      <c r="D4003" t="s">
        <v>563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2:18">
      <c r="B4004" t="s">
        <v>4167</v>
      </c>
      <c r="C4004" t="s">
        <v>836</v>
      </c>
      <c r="D4004" t="s">
        <v>563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2:18">
      <c r="B4005" t="s">
        <v>4168</v>
      </c>
      <c r="C4005" t="s">
        <v>836</v>
      </c>
      <c r="D4005" t="s">
        <v>563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2:18">
      <c r="B4006" t="s">
        <v>4169</v>
      </c>
      <c r="C4006" t="s">
        <v>836</v>
      </c>
      <c r="D4006" t="s">
        <v>563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2:18">
      <c r="B4007" t="s">
        <v>4170</v>
      </c>
      <c r="C4007" t="s">
        <v>836</v>
      </c>
      <c r="D4007" t="s">
        <v>563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2:18">
      <c r="B4008" t="s">
        <v>4171</v>
      </c>
      <c r="C4008" t="s">
        <v>836</v>
      </c>
      <c r="D4008" t="s">
        <v>563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2:18">
      <c r="B4009" t="s">
        <v>4172</v>
      </c>
      <c r="C4009" t="s">
        <v>836</v>
      </c>
      <c r="D4009" t="s">
        <v>563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2:18">
      <c r="B4010" t="s">
        <v>4173</v>
      </c>
      <c r="C4010" t="s">
        <v>836</v>
      </c>
      <c r="D4010" t="s">
        <v>563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2:18">
      <c r="B4011" t="s">
        <v>4174</v>
      </c>
      <c r="C4011" t="s">
        <v>836</v>
      </c>
      <c r="D4011" t="s">
        <v>563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2:18">
      <c r="B4012" t="s">
        <v>4175</v>
      </c>
      <c r="C4012" t="s">
        <v>836</v>
      </c>
      <c r="D4012" t="s">
        <v>563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2:18">
      <c r="B4013" t="s">
        <v>4176</v>
      </c>
      <c r="C4013" t="s">
        <v>836</v>
      </c>
      <c r="D4013" t="s">
        <v>563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2:18">
      <c r="B4014" t="s">
        <v>4177</v>
      </c>
      <c r="C4014" t="s">
        <v>836</v>
      </c>
      <c r="D4014" t="s">
        <v>563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2:18">
      <c r="B4015" t="s">
        <v>4178</v>
      </c>
      <c r="C4015" t="s">
        <v>836</v>
      </c>
      <c r="D4015" t="s">
        <v>563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2:18">
      <c r="B4016" t="s">
        <v>4179</v>
      </c>
      <c r="C4016" t="s">
        <v>836</v>
      </c>
      <c r="D4016" t="s">
        <v>563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2:18">
      <c r="B4017" t="s">
        <v>5897</v>
      </c>
      <c r="C4017" t="s">
        <v>836</v>
      </c>
      <c r="D4017" t="s">
        <v>563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2:18">
      <c r="B4018" t="s">
        <v>5898</v>
      </c>
      <c r="C4018" t="s">
        <v>836</v>
      </c>
      <c r="D4018" t="s">
        <v>563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2:18">
      <c r="B4019" t="s">
        <v>5899</v>
      </c>
      <c r="C4019" t="s">
        <v>836</v>
      </c>
      <c r="D4019" t="s">
        <v>563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2:18">
      <c r="B4020" t="s">
        <v>5900</v>
      </c>
      <c r="C4020" t="s">
        <v>836</v>
      </c>
      <c r="D4020" t="s">
        <v>563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2:18">
      <c r="B4021" t="s">
        <v>5901</v>
      </c>
      <c r="C4021" t="s">
        <v>836</v>
      </c>
      <c r="D4021" t="s">
        <v>563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2:18">
      <c r="B4022" t="s">
        <v>5902</v>
      </c>
      <c r="C4022" t="s">
        <v>836</v>
      </c>
      <c r="D4022" t="s">
        <v>563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2:18">
      <c r="B4023" t="s">
        <v>5903</v>
      </c>
      <c r="C4023" t="s">
        <v>836</v>
      </c>
      <c r="D4023" t="s">
        <v>563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2:18">
      <c r="B4024" t="s">
        <v>5904</v>
      </c>
      <c r="C4024" t="s">
        <v>836</v>
      </c>
      <c r="D4024" t="s">
        <v>563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2:18">
      <c r="B4025" t="s">
        <v>4180</v>
      </c>
      <c r="C4025" t="s">
        <v>836</v>
      </c>
      <c r="D4025" t="s">
        <v>563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2:18">
      <c r="B4026" t="s">
        <v>5905</v>
      </c>
      <c r="C4026" t="s">
        <v>836</v>
      </c>
      <c r="D4026" t="s">
        <v>563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2:18">
      <c r="B4027" t="s">
        <v>5906</v>
      </c>
      <c r="C4027" t="s">
        <v>836</v>
      </c>
      <c r="D4027" t="s">
        <v>563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2:18">
      <c r="B4028" t="s">
        <v>5907</v>
      </c>
      <c r="C4028" t="s">
        <v>836</v>
      </c>
      <c r="D4028" t="s">
        <v>563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2:18">
      <c r="B4029" t="s">
        <v>5908</v>
      </c>
      <c r="C4029" t="s">
        <v>836</v>
      </c>
      <c r="D4029" t="s">
        <v>563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2:18">
      <c r="B4030" t="s">
        <v>5909</v>
      </c>
      <c r="C4030" t="s">
        <v>836</v>
      </c>
      <c r="D4030" t="s">
        <v>563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2:18">
      <c r="B4031" t="s">
        <v>5910</v>
      </c>
      <c r="C4031" t="s">
        <v>836</v>
      </c>
      <c r="D4031" t="s">
        <v>563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2:18">
      <c r="B4032" t="s">
        <v>5911</v>
      </c>
      <c r="C4032" t="s">
        <v>836</v>
      </c>
      <c r="D4032" t="s">
        <v>563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2:18">
      <c r="B4033" t="s">
        <v>5912</v>
      </c>
      <c r="C4033" t="s">
        <v>836</v>
      </c>
      <c r="D4033" t="s">
        <v>563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2:18">
      <c r="B4034" t="s">
        <v>4181</v>
      </c>
      <c r="C4034" t="s">
        <v>836</v>
      </c>
      <c r="D4034" t="s">
        <v>563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2:18">
      <c r="B4035" t="s">
        <v>5913</v>
      </c>
      <c r="C4035" t="s">
        <v>836</v>
      </c>
      <c r="D4035" t="s">
        <v>563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2:18">
      <c r="B4036" t="s">
        <v>5914</v>
      </c>
      <c r="C4036" t="s">
        <v>836</v>
      </c>
      <c r="D4036" t="s">
        <v>563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2:18">
      <c r="B4037" t="s">
        <v>5915</v>
      </c>
      <c r="C4037" t="s">
        <v>836</v>
      </c>
      <c r="D4037" t="s">
        <v>563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2:18">
      <c r="B4038" t="s">
        <v>5916</v>
      </c>
      <c r="C4038" t="s">
        <v>836</v>
      </c>
      <c r="D4038" t="s">
        <v>563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2:18">
      <c r="B4039" t="s">
        <v>4182</v>
      </c>
      <c r="C4039" t="s">
        <v>836</v>
      </c>
      <c r="D4039" t="s">
        <v>563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2:18">
      <c r="B4040" t="s">
        <v>4183</v>
      </c>
      <c r="C4040" t="s">
        <v>836</v>
      </c>
      <c r="D4040" t="s">
        <v>563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2:18">
      <c r="B4041" t="s">
        <v>4184</v>
      </c>
      <c r="C4041" t="s">
        <v>836</v>
      </c>
      <c r="D4041" t="s">
        <v>563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2:18">
      <c r="B4042" t="s">
        <v>4185</v>
      </c>
      <c r="C4042" t="s">
        <v>836</v>
      </c>
      <c r="D4042" t="s">
        <v>563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2:18">
      <c r="B4043" t="s">
        <v>4186</v>
      </c>
      <c r="C4043" t="s">
        <v>836</v>
      </c>
      <c r="D4043" t="s">
        <v>563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2:18">
      <c r="B4044" t="s">
        <v>4187</v>
      </c>
      <c r="C4044" t="s">
        <v>836</v>
      </c>
      <c r="D4044" t="s">
        <v>563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2:18">
      <c r="B4045" t="s">
        <v>4188</v>
      </c>
      <c r="C4045" t="s">
        <v>836</v>
      </c>
      <c r="D4045" t="s">
        <v>563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2:18">
      <c r="B4046" t="s">
        <v>4189</v>
      </c>
      <c r="C4046" t="s">
        <v>836</v>
      </c>
      <c r="D4046" t="s">
        <v>563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2:18">
      <c r="B4047" t="s">
        <v>4190</v>
      </c>
      <c r="C4047" t="s">
        <v>836</v>
      </c>
      <c r="D4047" t="s">
        <v>563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2:18">
      <c r="B4048" t="s">
        <v>4191</v>
      </c>
      <c r="C4048" t="s">
        <v>836</v>
      </c>
      <c r="D4048" t="s">
        <v>563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2:18">
      <c r="B4049" t="s">
        <v>4192</v>
      </c>
      <c r="C4049" t="s">
        <v>836</v>
      </c>
      <c r="D4049" t="s">
        <v>563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2:18">
      <c r="B4050" t="s">
        <v>4193</v>
      </c>
      <c r="C4050" t="s">
        <v>836</v>
      </c>
      <c r="D4050" t="s">
        <v>563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2:18">
      <c r="B4051" t="s">
        <v>4194</v>
      </c>
      <c r="C4051" t="s">
        <v>836</v>
      </c>
      <c r="D4051" t="s">
        <v>563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2:18">
      <c r="B4052" t="s">
        <v>4195</v>
      </c>
      <c r="C4052" t="s">
        <v>836</v>
      </c>
      <c r="D4052" t="s">
        <v>563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2:18">
      <c r="B4053" t="s">
        <v>4196</v>
      </c>
      <c r="C4053" t="s">
        <v>836</v>
      </c>
      <c r="D4053" t="s">
        <v>563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2:18">
      <c r="B4054" t="s">
        <v>4197</v>
      </c>
      <c r="C4054" t="s">
        <v>836</v>
      </c>
      <c r="D4054" t="s">
        <v>563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2:18">
      <c r="B4055" t="s">
        <v>4198</v>
      </c>
      <c r="C4055" t="s">
        <v>836</v>
      </c>
      <c r="D4055" t="s">
        <v>563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2:18">
      <c r="B4056" t="s">
        <v>4199</v>
      </c>
      <c r="C4056" t="s">
        <v>836</v>
      </c>
      <c r="D4056" t="s">
        <v>563</v>
      </c>
      <c r="E4056">
        <v>1</v>
      </c>
      <c r="F4056">
        <v>415.5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540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2:18">
      <c r="B4057" t="s">
        <v>5917</v>
      </c>
      <c r="C4057" t="s">
        <v>836</v>
      </c>
      <c r="D4057" t="s">
        <v>563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2:18">
      <c r="B4058" t="s">
        <v>5918</v>
      </c>
      <c r="C4058" t="s">
        <v>836</v>
      </c>
      <c r="D4058" t="s">
        <v>563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2:18">
      <c r="B4059" t="s">
        <v>4200</v>
      </c>
      <c r="C4059" t="s">
        <v>836</v>
      </c>
      <c r="D4059" t="s">
        <v>563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2:18">
      <c r="B4060" t="s">
        <v>4201</v>
      </c>
      <c r="C4060" t="s">
        <v>836</v>
      </c>
      <c r="D4060" t="s">
        <v>563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2:18">
      <c r="B4061" t="s">
        <v>4202</v>
      </c>
      <c r="C4061" t="s">
        <v>836</v>
      </c>
      <c r="D4061" t="s">
        <v>563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2:18">
      <c r="B4062" t="s">
        <v>4203</v>
      </c>
      <c r="C4062" t="s">
        <v>836</v>
      </c>
      <c r="D4062" t="s">
        <v>563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2:18">
      <c r="B4063" t="s">
        <v>4204</v>
      </c>
      <c r="C4063" t="s">
        <v>836</v>
      </c>
      <c r="D4063" t="s">
        <v>563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2:18">
      <c r="B4064" t="s">
        <v>4205</v>
      </c>
      <c r="C4064" t="s">
        <v>836</v>
      </c>
      <c r="D4064" t="s">
        <v>563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2:18">
      <c r="B4065" t="s">
        <v>4206</v>
      </c>
      <c r="C4065" t="s">
        <v>836</v>
      </c>
      <c r="D4065" t="s">
        <v>563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2:18">
      <c r="B4066" t="s">
        <v>4207</v>
      </c>
      <c r="C4066" t="s">
        <v>836</v>
      </c>
      <c r="D4066" t="s">
        <v>563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2:18">
      <c r="B4067" t="s">
        <v>4208</v>
      </c>
      <c r="C4067" t="s">
        <v>836</v>
      </c>
      <c r="D4067" t="s">
        <v>563</v>
      </c>
      <c r="E4067">
        <v>3</v>
      </c>
      <c r="F4067">
        <v>150.30000000000001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2:18">
      <c r="B4068" t="s">
        <v>4209</v>
      </c>
      <c r="C4068" t="s">
        <v>836</v>
      </c>
      <c r="D4068" t="s">
        <v>563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2:18">
      <c r="B4069" t="s">
        <v>5919</v>
      </c>
      <c r="C4069" t="s">
        <v>836</v>
      </c>
      <c r="D4069" t="s">
        <v>563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2:18">
      <c r="B4070" t="s">
        <v>4210</v>
      </c>
      <c r="C4070" t="s">
        <v>836</v>
      </c>
      <c r="D4070" t="s">
        <v>563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2:18">
      <c r="B4071" t="s">
        <v>4211</v>
      </c>
      <c r="C4071" t="s">
        <v>836</v>
      </c>
      <c r="D4071" t="s">
        <v>563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2:18">
      <c r="B4072" t="s">
        <v>4212</v>
      </c>
      <c r="C4072" t="s">
        <v>836</v>
      </c>
      <c r="D4072" t="s">
        <v>563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2:18">
      <c r="B4073" t="s">
        <v>4213</v>
      </c>
      <c r="C4073" t="s">
        <v>836</v>
      </c>
      <c r="D4073" t="s">
        <v>563</v>
      </c>
      <c r="E4073">
        <v>1</v>
      </c>
      <c r="F4073">
        <v>270.7</v>
      </c>
      <c r="G4073">
        <v>460</v>
      </c>
      <c r="H4073">
        <v>20</v>
      </c>
      <c r="I4073">
        <v>0</v>
      </c>
      <c r="J4073">
        <v>0</v>
      </c>
      <c r="K4073">
        <v>0</v>
      </c>
      <c r="L4073">
        <v>0</v>
      </c>
      <c r="M4073">
        <v>300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2:18">
      <c r="B4074" t="s">
        <v>4214</v>
      </c>
      <c r="C4074" t="s">
        <v>836</v>
      </c>
      <c r="D4074" t="s">
        <v>563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2:18">
      <c r="B4075" t="s">
        <v>4215</v>
      </c>
      <c r="C4075" t="s">
        <v>836</v>
      </c>
      <c r="D4075" t="s">
        <v>563</v>
      </c>
      <c r="E4075">
        <v>1</v>
      </c>
      <c r="F4075">
        <v>450.2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2:18">
      <c r="B4076" t="s">
        <v>5920</v>
      </c>
      <c r="C4076" t="s">
        <v>836</v>
      </c>
      <c r="D4076" t="s">
        <v>563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2:18">
      <c r="B4077" t="s">
        <v>4216</v>
      </c>
      <c r="C4077" t="s">
        <v>836</v>
      </c>
      <c r="D4077" t="s">
        <v>563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2:18">
      <c r="B4078" t="s">
        <v>4217</v>
      </c>
      <c r="C4078" t="s">
        <v>836</v>
      </c>
      <c r="D4078" t="s">
        <v>563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2:18">
      <c r="B4079" t="s">
        <v>4218</v>
      </c>
      <c r="C4079" t="s">
        <v>836</v>
      </c>
      <c r="D4079" t="s">
        <v>563</v>
      </c>
      <c r="E4079">
        <v>1</v>
      </c>
      <c r="F4079">
        <v>189.9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2:18">
      <c r="B4080" t="s">
        <v>4219</v>
      </c>
      <c r="C4080" t="s">
        <v>836</v>
      </c>
      <c r="D4080" t="s">
        <v>563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2:18">
      <c r="B4081" t="s">
        <v>4220</v>
      </c>
      <c r="C4081" t="s">
        <v>836</v>
      </c>
      <c r="D4081" t="s">
        <v>563</v>
      </c>
      <c r="E4081">
        <v>1</v>
      </c>
      <c r="F4081">
        <v>358.3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2:18">
      <c r="B4082" t="s">
        <v>4221</v>
      </c>
      <c r="C4082" t="s">
        <v>836</v>
      </c>
      <c r="D4082" t="s">
        <v>563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2:18">
      <c r="B4083" t="s">
        <v>4222</v>
      </c>
      <c r="C4083" t="s">
        <v>836</v>
      </c>
      <c r="D4083" t="s">
        <v>563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2:18">
      <c r="B4084" t="s">
        <v>4223</v>
      </c>
      <c r="C4084" t="s">
        <v>836</v>
      </c>
      <c r="D4084" t="s">
        <v>563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2:18">
      <c r="B4085" t="s">
        <v>4224</v>
      </c>
      <c r="C4085" t="s">
        <v>836</v>
      </c>
      <c r="D4085" t="s">
        <v>563</v>
      </c>
      <c r="E4085">
        <v>2</v>
      </c>
      <c r="F4085">
        <v>131.80000000000001</v>
      </c>
      <c r="G4085">
        <v>180</v>
      </c>
      <c r="H4085">
        <v>20</v>
      </c>
      <c r="I4085">
        <v>0</v>
      </c>
      <c r="J4085">
        <v>0</v>
      </c>
      <c r="K4085">
        <v>0</v>
      </c>
      <c r="L4085">
        <v>0</v>
      </c>
      <c r="M4085">
        <v>120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2:18">
      <c r="B4086" t="s">
        <v>4225</v>
      </c>
      <c r="C4086" t="s">
        <v>836</v>
      </c>
      <c r="D4086" t="s">
        <v>563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2:18">
      <c r="B4087" t="s">
        <v>4226</v>
      </c>
      <c r="C4087" t="s">
        <v>836</v>
      </c>
      <c r="D4087" t="s">
        <v>563</v>
      </c>
      <c r="E4087">
        <v>1</v>
      </c>
      <c r="F4087">
        <v>284.8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201.2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2:18">
      <c r="B4088" t="s">
        <v>4227</v>
      </c>
      <c r="C4088" t="s">
        <v>836</v>
      </c>
      <c r="D4088" t="s">
        <v>563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2:18">
      <c r="B4089" t="s">
        <v>4228</v>
      </c>
      <c r="C4089" t="s">
        <v>836</v>
      </c>
      <c r="D4089" t="s">
        <v>563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2:18">
      <c r="B4090" t="s">
        <v>4229</v>
      </c>
      <c r="C4090" t="s">
        <v>836</v>
      </c>
      <c r="D4090" t="s">
        <v>563</v>
      </c>
      <c r="E4090">
        <v>2</v>
      </c>
      <c r="F4090">
        <v>87.2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2:18">
      <c r="B4091" t="s">
        <v>4230</v>
      </c>
      <c r="C4091" t="s">
        <v>836</v>
      </c>
      <c r="D4091" t="s">
        <v>563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2:18">
      <c r="B4092" t="s">
        <v>4231</v>
      </c>
      <c r="C4092" t="s">
        <v>836</v>
      </c>
      <c r="D4092" t="s">
        <v>563</v>
      </c>
      <c r="E4092">
        <v>1</v>
      </c>
      <c r="F4092">
        <v>223.8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2:18">
      <c r="B4093" t="s">
        <v>4232</v>
      </c>
      <c r="C4093" t="s">
        <v>836</v>
      </c>
      <c r="D4093" t="s">
        <v>563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2:18">
      <c r="B4094" t="s">
        <v>4233</v>
      </c>
      <c r="C4094" t="s">
        <v>836</v>
      </c>
      <c r="D4094" t="s">
        <v>563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2:18">
      <c r="B4095" t="s">
        <v>4234</v>
      </c>
      <c r="C4095" t="s">
        <v>836</v>
      </c>
      <c r="D4095" t="s">
        <v>563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2:18">
      <c r="B4096" t="s">
        <v>4235</v>
      </c>
      <c r="C4096" t="s">
        <v>836</v>
      </c>
      <c r="D4096" t="s">
        <v>563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2:18">
      <c r="B4097" t="s">
        <v>4236</v>
      </c>
      <c r="C4097" t="s">
        <v>836</v>
      </c>
      <c r="D4097" t="s">
        <v>563</v>
      </c>
      <c r="E4097">
        <v>3</v>
      </c>
      <c r="F4097">
        <v>30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2:18">
      <c r="B4098" t="s">
        <v>4237</v>
      </c>
      <c r="C4098" t="s">
        <v>836</v>
      </c>
      <c r="D4098" t="s">
        <v>563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2:18">
      <c r="B4099" t="s">
        <v>4238</v>
      </c>
      <c r="C4099" t="s">
        <v>836</v>
      </c>
      <c r="D4099" t="s">
        <v>563</v>
      </c>
      <c r="E4099">
        <v>1</v>
      </c>
      <c r="F4099">
        <v>173.4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2:18">
      <c r="B4100" t="s">
        <v>4239</v>
      </c>
      <c r="C4100" t="s">
        <v>836</v>
      </c>
      <c r="D4100" t="s">
        <v>563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2:18">
      <c r="B4101" t="s">
        <v>4240</v>
      </c>
      <c r="C4101" t="s">
        <v>836</v>
      </c>
      <c r="D4101" t="s">
        <v>563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2:18">
      <c r="B4102" t="s">
        <v>4241</v>
      </c>
      <c r="C4102" t="s">
        <v>836</v>
      </c>
      <c r="D4102" t="s">
        <v>563</v>
      </c>
      <c r="E4102">
        <v>4</v>
      </c>
      <c r="F4102">
        <v>33.299999999999997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2:18">
      <c r="B4103" t="s">
        <v>4242</v>
      </c>
      <c r="C4103" t="s">
        <v>836</v>
      </c>
      <c r="D4103" t="s">
        <v>563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2:18">
      <c r="B4104" t="s">
        <v>4243</v>
      </c>
      <c r="C4104" t="s">
        <v>836</v>
      </c>
      <c r="D4104" t="s">
        <v>563</v>
      </c>
      <c r="E4104">
        <v>1</v>
      </c>
      <c r="F4104">
        <v>134.9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311.10000000000002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2:18">
      <c r="B4105" t="s">
        <v>4244</v>
      </c>
      <c r="C4105" t="s">
        <v>836</v>
      </c>
      <c r="D4105" t="s">
        <v>563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2:18">
      <c r="B4106" t="s">
        <v>4245</v>
      </c>
      <c r="C4106" t="s">
        <v>836</v>
      </c>
      <c r="D4106" t="s">
        <v>563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2:18">
      <c r="B4107" t="s">
        <v>4246</v>
      </c>
      <c r="C4107" t="s">
        <v>836</v>
      </c>
      <c r="D4107" t="s">
        <v>563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2:18">
      <c r="B4108" t="s">
        <v>4247</v>
      </c>
      <c r="C4108" t="s">
        <v>836</v>
      </c>
      <c r="D4108" t="s">
        <v>563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2:18">
      <c r="B4109" t="s">
        <v>4248</v>
      </c>
      <c r="C4109" t="s">
        <v>836</v>
      </c>
      <c r="D4109" t="s">
        <v>563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2:18">
      <c r="B4110" t="s">
        <v>4249</v>
      </c>
      <c r="C4110" t="s">
        <v>836</v>
      </c>
      <c r="D4110" t="s">
        <v>563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2:18">
      <c r="B4111" t="s">
        <v>4250</v>
      </c>
      <c r="C4111" t="s">
        <v>836</v>
      </c>
      <c r="D4111" t="s">
        <v>563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2:18">
      <c r="B4112" t="s">
        <v>4251</v>
      </c>
      <c r="C4112" t="s">
        <v>836</v>
      </c>
      <c r="D4112" t="s">
        <v>563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2:18">
      <c r="B4113" t="s">
        <v>4252</v>
      </c>
      <c r="C4113" t="s">
        <v>836</v>
      </c>
      <c r="D4113" t="s">
        <v>563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2:18">
      <c r="B4114" t="s">
        <v>4253</v>
      </c>
      <c r="C4114" t="s">
        <v>836</v>
      </c>
      <c r="D4114" t="s">
        <v>563</v>
      </c>
      <c r="E4114">
        <v>1</v>
      </c>
      <c r="F4114">
        <v>17.760000000000002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2:18">
      <c r="B4115" t="s">
        <v>4254</v>
      </c>
      <c r="C4115" t="s">
        <v>836</v>
      </c>
      <c r="D4115" t="s">
        <v>563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2:18">
      <c r="B4116" t="s">
        <v>4255</v>
      </c>
      <c r="C4116" t="s">
        <v>836</v>
      </c>
      <c r="D4116" t="s">
        <v>563</v>
      </c>
      <c r="E4116">
        <v>1</v>
      </c>
      <c r="F4116">
        <v>36.6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2:18">
      <c r="B4117" t="s">
        <v>4256</v>
      </c>
      <c r="C4117" t="s">
        <v>836</v>
      </c>
      <c r="D4117" t="s">
        <v>563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2:18">
      <c r="B4118" t="s">
        <v>4257</v>
      </c>
      <c r="C4118" t="s">
        <v>836</v>
      </c>
      <c r="D4118" t="s">
        <v>563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2:18">
      <c r="B4119" t="s">
        <v>4258</v>
      </c>
      <c r="C4119" t="s">
        <v>836</v>
      </c>
      <c r="D4119" t="s">
        <v>563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2:18">
      <c r="B4120" t="s">
        <v>4259</v>
      </c>
      <c r="C4120" t="s">
        <v>836</v>
      </c>
      <c r="D4120" t="s">
        <v>563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2:18">
      <c r="B4121" t="s">
        <v>4260</v>
      </c>
      <c r="C4121" t="s">
        <v>836</v>
      </c>
      <c r="D4121" t="s">
        <v>563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2:18">
      <c r="B4122" t="s">
        <v>4261</v>
      </c>
      <c r="C4122" t="s">
        <v>836</v>
      </c>
      <c r="D4122" t="s">
        <v>563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2:18">
      <c r="B4123" t="s">
        <v>4262</v>
      </c>
      <c r="C4123" t="s">
        <v>836</v>
      </c>
      <c r="D4123" t="s">
        <v>563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2:18">
      <c r="B4124" t="s">
        <v>4263</v>
      </c>
      <c r="C4124" t="s">
        <v>836</v>
      </c>
      <c r="D4124" t="s">
        <v>563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2:18">
      <c r="B4125" t="s">
        <v>4264</v>
      </c>
      <c r="C4125" t="s">
        <v>836</v>
      </c>
      <c r="D4125" t="s">
        <v>563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2:18">
      <c r="B4126" t="s">
        <v>4265</v>
      </c>
      <c r="C4126" t="s">
        <v>836</v>
      </c>
      <c r="D4126" t="s">
        <v>563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2:18">
      <c r="B4127" t="s">
        <v>4266</v>
      </c>
      <c r="C4127" t="s">
        <v>836</v>
      </c>
      <c r="D4127" t="s">
        <v>563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2:18">
      <c r="B4128" t="s">
        <v>4267</v>
      </c>
      <c r="C4128" t="s">
        <v>836</v>
      </c>
      <c r="D4128" t="s">
        <v>563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2:18">
      <c r="B4129" t="s">
        <v>4268</v>
      </c>
      <c r="C4129" t="s">
        <v>836</v>
      </c>
      <c r="D4129" t="s">
        <v>563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2:18">
      <c r="B4130" t="s">
        <v>4269</v>
      </c>
      <c r="C4130" t="s">
        <v>836</v>
      </c>
      <c r="D4130" t="s">
        <v>563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2:18">
      <c r="B4131" t="s">
        <v>4270</v>
      </c>
      <c r="C4131" t="s">
        <v>836</v>
      </c>
      <c r="D4131" t="s">
        <v>563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2:18">
      <c r="B4132" t="s">
        <v>4271</v>
      </c>
      <c r="C4132" t="s">
        <v>836</v>
      </c>
      <c r="D4132" t="s">
        <v>563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2:18">
      <c r="B4133" t="s">
        <v>4272</v>
      </c>
      <c r="C4133" t="s">
        <v>836</v>
      </c>
      <c r="D4133" t="s">
        <v>563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2:18">
      <c r="B4134" t="s">
        <v>4273</v>
      </c>
      <c r="C4134" t="s">
        <v>836</v>
      </c>
      <c r="D4134" t="s">
        <v>563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2:18">
      <c r="B4135" t="s">
        <v>4274</v>
      </c>
      <c r="C4135" t="s">
        <v>836</v>
      </c>
      <c r="D4135" t="s">
        <v>563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2:18">
      <c r="B4136" t="s">
        <v>4275</v>
      </c>
      <c r="C4136" t="s">
        <v>836</v>
      </c>
      <c r="D4136" t="s">
        <v>563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2:18">
      <c r="B4137" t="s">
        <v>4276</v>
      </c>
      <c r="C4137" t="s">
        <v>836</v>
      </c>
      <c r="D4137" t="s">
        <v>563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2:18">
      <c r="B4138" t="s">
        <v>4277</v>
      </c>
      <c r="C4138" t="s">
        <v>836</v>
      </c>
      <c r="D4138" t="s">
        <v>563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2:18">
      <c r="B4139" t="s">
        <v>4278</v>
      </c>
      <c r="C4139" t="s">
        <v>836</v>
      </c>
      <c r="D4139" t="s">
        <v>563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2:18">
      <c r="B4140" t="s">
        <v>4279</v>
      </c>
      <c r="C4140" t="s">
        <v>836</v>
      </c>
      <c r="D4140" t="s">
        <v>563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2:18">
      <c r="B4141" t="s">
        <v>4280</v>
      </c>
      <c r="C4141" t="s">
        <v>836</v>
      </c>
      <c r="D4141" t="s">
        <v>563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2:18">
      <c r="B4142" t="s">
        <v>4281</v>
      </c>
      <c r="C4142" t="s">
        <v>836</v>
      </c>
      <c r="D4142" t="s">
        <v>563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2:18">
      <c r="B4143" t="s">
        <v>4282</v>
      </c>
      <c r="C4143" t="s">
        <v>836</v>
      </c>
      <c r="D4143" t="s">
        <v>563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2:18">
      <c r="B4144" t="s">
        <v>4283</v>
      </c>
      <c r="C4144" t="s">
        <v>836</v>
      </c>
      <c r="D4144" t="s">
        <v>563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2:18">
      <c r="B4145" t="s">
        <v>4284</v>
      </c>
      <c r="C4145" t="s">
        <v>836</v>
      </c>
      <c r="D4145" t="s">
        <v>563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2:18">
      <c r="B4146" t="s">
        <v>4285</v>
      </c>
      <c r="C4146" t="s">
        <v>836</v>
      </c>
      <c r="D4146" t="s">
        <v>563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2:18">
      <c r="B4147" t="s">
        <v>4286</v>
      </c>
      <c r="C4147" t="s">
        <v>836</v>
      </c>
      <c r="D4147" t="s">
        <v>563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150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2:18">
      <c r="B4148" t="s">
        <v>4287</v>
      </c>
      <c r="C4148" t="s">
        <v>836</v>
      </c>
      <c r="D4148" t="s">
        <v>563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2:18">
      <c r="B4149" t="s">
        <v>4288</v>
      </c>
      <c r="C4149" t="s">
        <v>836</v>
      </c>
      <c r="D4149" t="s">
        <v>563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2:18">
      <c r="B4150" t="s">
        <v>4289</v>
      </c>
      <c r="C4150" t="s">
        <v>836</v>
      </c>
      <c r="D4150" t="s">
        <v>563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2:18">
      <c r="B4151" t="s">
        <v>4290</v>
      </c>
      <c r="C4151" t="s">
        <v>836</v>
      </c>
      <c r="D4151" t="s">
        <v>563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95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2:18">
      <c r="B4152" t="s">
        <v>4291</v>
      </c>
      <c r="C4152" t="s">
        <v>836</v>
      </c>
      <c r="D4152" t="s">
        <v>563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2:18">
      <c r="B4153" t="s">
        <v>4292</v>
      </c>
      <c r="C4153" t="s">
        <v>836</v>
      </c>
      <c r="D4153" t="s">
        <v>563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2:18">
      <c r="B4154" t="s">
        <v>4293</v>
      </c>
      <c r="C4154" t="s">
        <v>836</v>
      </c>
      <c r="D4154" t="s">
        <v>563</v>
      </c>
      <c r="E4154">
        <v>0</v>
      </c>
      <c r="F4154">
        <v>0</v>
      </c>
      <c r="G4154">
        <v>340.4</v>
      </c>
      <c r="H4154">
        <v>10</v>
      </c>
      <c r="I4154">
        <v>0</v>
      </c>
      <c r="J4154">
        <v>0</v>
      </c>
      <c r="K4154">
        <v>0</v>
      </c>
      <c r="L4154">
        <v>0</v>
      </c>
      <c r="M4154">
        <v>420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2:18">
      <c r="B4155" t="s">
        <v>4294</v>
      </c>
      <c r="C4155" t="s">
        <v>836</v>
      </c>
      <c r="D4155" t="s">
        <v>563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2:18">
      <c r="B4156" t="s">
        <v>4295</v>
      </c>
      <c r="C4156" t="s">
        <v>836</v>
      </c>
      <c r="D4156" t="s">
        <v>563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2:18">
      <c r="B4157" t="s">
        <v>4296</v>
      </c>
      <c r="C4157" t="s">
        <v>836</v>
      </c>
      <c r="D4157" t="s">
        <v>563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2:18">
      <c r="B4158" t="s">
        <v>4297</v>
      </c>
      <c r="C4158" t="s">
        <v>836</v>
      </c>
      <c r="D4158" t="s">
        <v>563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2:18">
      <c r="B4159" t="s">
        <v>4298</v>
      </c>
      <c r="C4159" t="s">
        <v>836</v>
      </c>
      <c r="D4159" t="s">
        <v>563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2:18">
      <c r="B4160" t="s">
        <v>4299</v>
      </c>
      <c r="C4160" t="s">
        <v>836</v>
      </c>
      <c r="D4160" t="s">
        <v>563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2:18">
      <c r="B4161" t="s">
        <v>4300</v>
      </c>
      <c r="C4161" t="s">
        <v>836</v>
      </c>
      <c r="D4161" t="s">
        <v>563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2:18">
      <c r="B4162" t="s">
        <v>4301</v>
      </c>
      <c r="C4162" t="s">
        <v>836</v>
      </c>
      <c r="D4162" t="s">
        <v>563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2:18">
      <c r="B4163" t="s">
        <v>4302</v>
      </c>
      <c r="C4163" t="s">
        <v>836</v>
      </c>
      <c r="D4163" t="s">
        <v>563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17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2:18">
      <c r="B4164" t="s">
        <v>4303</v>
      </c>
      <c r="C4164" t="s">
        <v>836</v>
      </c>
      <c r="D4164" t="s">
        <v>563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2:18">
      <c r="B4165" t="s">
        <v>4304</v>
      </c>
      <c r="C4165" t="s">
        <v>836</v>
      </c>
      <c r="D4165" t="s">
        <v>563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2:18">
      <c r="B4166" t="s">
        <v>4305</v>
      </c>
      <c r="C4166" t="s">
        <v>836</v>
      </c>
      <c r="D4166" t="s">
        <v>563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2:18">
      <c r="B4167" t="s">
        <v>4306</v>
      </c>
      <c r="C4167" t="s">
        <v>836</v>
      </c>
      <c r="D4167" t="s">
        <v>563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2:18">
      <c r="B4168" t="s">
        <v>4307</v>
      </c>
      <c r="C4168" t="s">
        <v>836</v>
      </c>
      <c r="D4168" t="s">
        <v>563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2:18">
      <c r="B4169" t="s">
        <v>4308</v>
      </c>
      <c r="C4169" t="s">
        <v>836</v>
      </c>
      <c r="D4169" t="s">
        <v>563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2:18">
      <c r="B4170" t="s">
        <v>4309</v>
      </c>
      <c r="C4170" t="s">
        <v>836</v>
      </c>
      <c r="D4170" t="s">
        <v>563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2:18">
      <c r="B4171" t="s">
        <v>4310</v>
      </c>
      <c r="C4171" t="s">
        <v>836</v>
      </c>
      <c r="D4171" t="s">
        <v>563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2:18">
      <c r="B4172" t="s">
        <v>4311</v>
      </c>
      <c r="C4172" t="s">
        <v>836</v>
      </c>
      <c r="D4172" t="s">
        <v>563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2:18">
      <c r="B4173" t="s">
        <v>4312</v>
      </c>
      <c r="C4173" t="s">
        <v>836</v>
      </c>
      <c r="D4173" t="s">
        <v>563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2:18">
      <c r="B4174" t="s">
        <v>4313</v>
      </c>
      <c r="C4174" t="s">
        <v>836</v>
      </c>
      <c r="D4174" t="s">
        <v>563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2:18">
      <c r="B4175" t="s">
        <v>4314</v>
      </c>
      <c r="C4175" t="s">
        <v>836</v>
      </c>
      <c r="D4175" t="s">
        <v>563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2:18">
      <c r="B4176" t="s">
        <v>4315</v>
      </c>
      <c r="C4176" t="s">
        <v>836</v>
      </c>
      <c r="D4176" t="s">
        <v>563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2:18">
      <c r="B4177" t="s">
        <v>4316</v>
      </c>
      <c r="C4177" t="s">
        <v>836</v>
      </c>
      <c r="D4177" t="s">
        <v>563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2:18">
      <c r="B4178" t="s">
        <v>4317</v>
      </c>
      <c r="C4178" t="s">
        <v>836</v>
      </c>
      <c r="D4178" t="s">
        <v>563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2:18">
      <c r="B4179" t="s">
        <v>4318</v>
      </c>
      <c r="C4179" t="s">
        <v>836</v>
      </c>
      <c r="D4179" t="s">
        <v>563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2:18">
      <c r="B4180" t="s">
        <v>4319</v>
      </c>
      <c r="C4180" t="s">
        <v>836</v>
      </c>
      <c r="D4180" t="s">
        <v>563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1778.53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2:18">
      <c r="B4181" t="s">
        <v>4320</v>
      </c>
      <c r="C4181" t="s">
        <v>836</v>
      </c>
      <c r="D4181" t="s">
        <v>563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2:18">
      <c r="B4182" t="s">
        <v>4321</v>
      </c>
      <c r="C4182" t="s">
        <v>836</v>
      </c>
      <c r="D4182" t="s">
        <v>563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2:18">
      <c r="B4183" t="s">
        <v>4322</v>
      </c>
      <c r="C4183" t="s">
        <v>836</v>
      </c>
      <c r="D4183" t="s">
        <v>563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2:18">
      <c r="B4184" t="s">
        <v>4323</v>
      </c>
      <c r="C4184" t="s">
        <v>836</v>
      </c>
      <c r="D4184" t="s">
        <v>563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2:18">
      <c r="B4185" t="s">
        <v>4324</v>
      </c>
      <c r="C4185" t="s">
        <v>836</v>
      </c>
      <c r="D4185" t="s">
        <v>563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2:18">
      <c r="B4186" t="s">
        <v>4325</v>
      </c>
      <c r="C4186" t="s">
        <v>836</v>
      </c>
      <c r="D4186" t="s">
        <v>563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2:18">
      <c r="B4187" t="s">
        <v>4326</v>
      </c>
      <c r="C4187" t="s">
        <v>836</v>
      </c>
      <c r="D4187" t="s">
        <v>563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2:18">
      <c r="B4188" t="s">
        <v>4327</v>
      </c>
      <c r="C4188" t="s">
        <v>836</v>
      </c>
      <c r="D4188" t="s">
        <v>563</v>
      </c>
      <c r="E4188">
        <v>1</v>
      </c>
      <c r="F4188">
        <v>99.9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72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2:18">
      <c r="B4189" t="s">
        <v>4328</v>
      </c>
      <c r="C4189" t="s">
        <v>836</v>
      </c>
      <c r="D4189" t="s">
        <v>563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2:18">
      <c r="B4190" t="s">
        <v>4329</v>
      </c>
      <c r="C4190" t="s">
        <v>836</v>
      </c>
      <c r="D4190" t="s">
        <v>563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2:18">
      <c r="B4191" t="s">
        <v>4330</v>
      </c>
      <c r="C4191" t="s">
        <v>836</v>
      </c>
      <c r="D4191" t="s">
        <v>563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344.286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2:18">
      <c r="B4192" t="s">
        <v>4331</v>
      </c>
      <c r="C4192" t="s">
        <v>836</v>
      </c>
      <c r="D4192" t="s">
        <v>563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2:18">
      <c r="B4193" t="s">
        <v>4332</v>
      </c>
      <c r="C4193" t="s">
        <v>836</v>
      </c>
      <c r="D4193" t="s">
        <v>563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2:18">
      <c r="B4194" t="s">
        <v>4333</v>
      </c>
      <c r="C4194" t="s">
        <v>836</v>
      </c>
      <c r="D4194" t="s">
        <v>563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2:18">
      <c r="B4195" t="s">
        <v>4334</v>
      </c>
      <c r="C4195" t="s">
        <v>836</v>
      </c>
      <c r="D4195" t="s">
        <v>563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2:18">
      <c r="B4196" t="s">
        <v>4335</v>
      </c>
      <c r="C4196" t="s">
        <v>836</v>
      </c>
      <c r="D4196" t="s">
        <v>563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2:18">
      <c r="B4197" t="s">
        <v>4336</v>
      </c>
      <c r="C4197" t="s">
        <v>836</v>
      </c>
      <c r="D4197" t="s">
        <v>563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2:18">
      <c r="B4198" t="s">
        <v>4337</v>
      </c>
      <c r="C4198" t="s">
        <v>836</v>
      </c>
      <c r="D4198" t="s">
        <v>563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2:18">
      <c r="B4199" t="s">
        <v>4338</v>
      </c>
      <c r="C4199" t="s">
        <v>836</v>
      </c>
      <c r="D4199" t="s">
        <v>563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2:18">
      <c r="B4200" t="s">
        <v>4339</v>
      </c>
      <c r="C4200" t="s">
        <v>836</v>
      </c>
      <c r="D4200" t="s">
        <v>563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2:18">
      <c r="B4201" t="s">
        <v>4340</v>
      </c>
      <c r="C4201" t="s">
        <v>836</v>
      </c>
      <c r="D4201" t="s">
        <v>563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2:18">
      <c r="B4202" t="s">
        <v>4341</v>
      </c>
      <c r="C4202" t="s">
        <v>836</v>
      </c>
      <c r="D4202" t="s">
        <v>563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2:18">
      <c r="B4203" t="s">
        <v>4342</v>
      </c>
      <c r="C4203" t="s">
        <v>836</v>
      </c>
      <c r="D4203" t="s">
        <v>563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2:18">
      <c r="B4204" t="s">
        <v>4343</v>
      </c>
      <c r="C4204" t="s">
        <v>836</v>
      </c>
      <c r="D4204" t="s">
        <v>563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2:18">
      <c r="B4205" t="s">
        <v>4344</v>
      </c>
      <c r="C4205" t="s">
        <v>836</v>
      </c>
      <c r="D4205" t="s">
        <v>563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2:18">
      <c r="B4206" t="s">
        <v>4345</v>
      </c>
      <c r="C4206" t="s">
        <v>836</v>
      </c>
      <c r="D4206" t="s">
        <v>563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2:18">
      <c r="B4207" t="s">
        <v>4346</v>
      </c>
      <c r="C4207" t="s">
        <v>836</v>
      </c>
      <c r="D4207" t="s">
        <v>563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2:18">
      <c r="B4208" t="s">
        <v>4347</v>
      </c>
      <c r="C4208" t="s">
        <v>836</v>
      </c>
      <c r="D4208" t="s">
        <v>563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2:18">
      <c r="B4209" t="s">
        <v>4348</v>
      </c>
      <c r="C4209" t="s">
        <v>836</v>
      </c>
      <c r="D4209" t="s">
        <v>563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2:18">
      <c r="B4210" t="s">
        <v>4349</v>
      </c>
      <c r="C4210" t="s">
        <v>836</v>
      </c>
      <c r="D4210" t="s">
        <v>563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2:18">
      <c r="B4211" t="s">
        <v>4350</v>
      </c>
      <c r="C4211" t="s">
        <v>836</v>
      </c>
      <c r="D4211" t="s">
        <v>563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2:18">
      <c r="B4212" t="s">
        <v>4351</v>
      </c>
      <c r="C4212" t="s">
        <v>836</v>
      </c>
      <c r="D4212" t="s">
        <v>563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2:18">
      <c r="B4213" t="s">
        <v>4352</v>
      </c>
      <c r="C4213" t="s">
        <v>836</v>
      </c>
      <c r="D4213" t="s">
        <v>563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2:18">
      <c r="B4214" t="s">
        <v>4353</v>
      </c>
      <c r="C4214" t="s">
        <v>836</v>
      </c>
      <c r="D4214" t="s">
        <v>563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2:18">
      <c r="B4215" t="s">
        <v>4354</v>
      </c>
      <c r="C4215" t="s">
        <v>836</v>
      </c>
      <c r="D4215" t="s">
        <v>563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2:18">
      <c r="B4216" t="s">
        <v>4355</v>
      </c>
      <c r="C4216" t="s">
        <v>836</v>
      </c>
      <c r="D4216" t="s">
        <v>563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2:18">
      <c r="B4217" t="s">
        <v>4356</v>
      </c>
      <c r="C4217" t="s">
        <v>836</v>
      </c>
      <c r="D4217" t="s">
        <v>563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2:18">
      <c r="B4218" t="s">
        <v>4357</v>
      </c>
      <c r="C4218" t="s">
        <v>836</v>
      </c>
      <c r="D4218" t="s">
        <v>563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2:18">
      <c r="B4219" t="s">
        <v>4358</v>
      </c>
      <c r="C4219" t="s">
        <v>836</v>
      </c>
      <c r="D4219" t="s">
        <v>563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2:18">
      <c r="B4220" t="s">
        <v>4359</v>
      </c>
      <c r="C4220" t="s">
        <v>836</v>
      </c>
      <c r="D4220" t="s">
        <v>563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2:18">
      <c r="B4221" t="s">
        <v>4360</v>
      </c>
      <c r="C4221" t="s">
        <v>836</v>
      </c>
      <c r="D4221" t="s">
        <v>563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2:18">
      <c r="B4222" t="s">
        <v>4361</v>
      </c>
      <c r="C4222" t="s">
        <v>836</v>
      </c>
      <c r="D4222" t="s">
        <v>563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2:18">
      <c r="B4223" t="s">
        <v>4362</v>
      </c>
      <c r="C4223" t="s">
        <v>836</v>
      </c>
      <c r="D4223" t="s">
        <v>563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2:18">
      <c r="B4224" t="s">
        <v>4363</v>
      </c>
      <c r="C4224" t="s">
        <v>836</v>
      </c>
      <c r="D4224" t="s">
        <v>563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2:18">
      <c r="B4225" t="s">
        <v>4364</v>
      </c>
      <c r="C4225" t="s">
        <v>836</v>
      </c>
      <c r="D4225" t="s">
        <v>563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2:18">
      <c r="B4226" t="s">
        <v>4365</v>
      </c>
      <c r="C4226" t="s">
        <v>836</v>
      </c>
      <c r="D4226" t="s">
        <v>563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2:18">
      <c r="B4227" t="s">
        <v>4366</v>
      </c>
      <c r="C4227" t="s">
        <v>836</v>
      </c>
      <c r="D4227" t="s">
        <v>563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2:18">
      <c r="B4228" t="s">
        <v>4367</v>
      </c>
      <c r="C4228" t="s">
        <v>836</v>
      </c>
      <c r="D4228" t="s">
        <v>563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2:18">
      <c r="B4229" t="s">
        <v>4368</v>
      </c>
      <c r="C4229" t="s">
        <v>836</v>
      </c>
      <c r="D4229" t="s">
        <v>563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2:18">
      <c r="B4230" t="s">
        <v>4369</v>
      </c>
      <c r="C4230" t="s">
        <v>836</v>
      </c>
      <c r="D4230" t="s">
        <v>563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2:18">
      <c r="B4231" t="s">
        <v>4370</v>
      </c>
      <c r="C4231" t="s">
        <v>836</v>
      </c>
      <c r="D4231" t="s">
        <v>563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2:18">
      <c r="B4232" t="s">
        <v>4371</v>
      </c>
      <c r="C4232" t="s">
        <v>836</v>
      </c>
      <c r="D4232" t="s">
        <v>563</v>
      </c>
      <c r="E4232">
        <v>1</v>
      </c>
      <c r="F4232">
        <v>130.30000000000001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200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2:18">
      <c r="B4233" t="s">
        <v>4372</v>
      </c>
      <c r="C4233" t="s">
        <v>836</v>
      </c>
      <c r="D4233" t="s">
        <v>563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120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2:18">
      <c r="B4234" t="s">
        <v>4373</v>
      </c>
      <c r="C4234" t="s">
        <v>836</v>
      </c>
      <c r="D4234" t="s">
        <v>563</v>
      </c>
      <c r="E4234">
        <v>1</v>
      </c>
      <c r="F4234">
        <v>192.3</v>
      </c>
      <c r="G4234">
        <v>490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248.4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2:18">
      <c r="B4235" t="s">
        <v>4374</v>
      </c>
      <c r="C4235" t="s">
        <v>836</v>
      </c>
      <c r="D4235" t="s">
        <v>563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2:18">
      <c r="B4236" t="s">
        <v>4375</v>
      </c>
      <c r="C4236" t="s">
        <v>836</v>
      </c>
      <c r="D4236" t="s">
        <v>563</v>
      </c>
      <c r="E4236">
        <v>1</v>
      </c>
      <c r="F4236">
        <v>274.8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2:18">
      <c r="B4237" t="s">
        <v>4376</v>
      </c>
      <c r="C4237" t="s">
        <v>836</v>
      </c>
      <c r="D4237" t="s">
        <v>563</v>
      </c>
      <c r="E4237">
        <v>1</v>
      </c>
      <c r="F4237">
        <v>112.9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2:18">
      <c r="B4238" t="s">
        <v>4377</v>
      </c>
      <c r="C4238" t="s">
        <v>836</v>
      </c>
      <c r="D4238" t="s">
        <v>563</v>
      </c>
      <c r="E4238">
        <v>1</v>
      </c>
      <c r="F4238">
        <v>326.2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2:18">
      <c r="B4239" t="s">
        <v>4378</v>
      </c>
      <c r="C4239" t="s">
        <v>836</v>
      </c>
      <c r="D4239" t="s">
        <v>563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2:18">
      <c r="B4240" t="s">
        <v>4379</v>
      </c>
      <c r="C4240" t="s">
        <v>836</v>
      </c>
      <c r="D4240" t="s">
        <v>563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2:18">
      <c r="B4241" t="s">
        <v>4380</v>
      </c>
      <c r="C4241" t="s">
        <v>836</v>
      </c>
      <c r="D4241" t="s">
        <v>563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2:18">
      <c r="B4242" t="s">
        <v>4381</v>
      </c>
      <c r="C4242" t="s">
        <v>836</v>
      </c>
      <c r="D4242" t="s">
        <v>563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2:18">
      <c r="B4243" t="s">
        <v>4382</v>
      </c>
      <c r="C4243" t="s">
        <v>836</v>
      </c>
      <c r="D4243" t="s">
        <v>563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2:18">
      <c r="B4244" t="s">
        <v>4383</v>
      </c>
      <c r="C4244" t="s">
        <v>836</v>
      </c>
      <c r="D4244" t="s">
        <v>563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2:18">
      <c r="B4245" t="s">
        <v>4384</v>
      </c>
      <c r="C4245" t="s">
        <v>836</v>
      </c>
      <c r="D4245" t="s">
        <v>563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2:18">
      <c r="B4246" t="s">
        <v>4385</v>
      </c>
      <c r="C4246" t="s">
        <v>836</v>
      </c>
      <c r="D4246" t="s">
        <v>563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2:18">
      <c r="B4247" t="s">
        <v>4386</v>
      </c>
      <c r="C4247" t="s">
        <v>836</v>
      </c>
      <c r="D4247" t="s">
        <v>563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2:18">
      <c r="B4248" t="s">
        <v>4387</v>
      </c>
      <c r="C4248" t="s">
        <v>836</v>
      </c>
      <c r="D4248" t="s">
        <v>563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2:18">
      <c r="B4249" t="s">
        <v>4388</v>
      </c>
      <c r="C4249" t="s">
        <v>836</v>
      </c>
      <c r="D4249" t="s">
        <v>563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2:18">
      <c r="B4250" t="s">
        <v>4389</v>
      </c>
      <c r="C4250" t="s">
        <v>836</v>
      </c>
      <c r="D4250" t="s">
        <v>563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2:18">
      <c r="B4251" t="s">
        <v>4390</v>
      </c>
      <c r="C4251" t="s">
        <v>836</v>
      </c>
      <c r="D4251" t="s">
        <v>563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2:18">
      <c r="B4252" t="s">
        <v>4391</v>
      </c>
      <c r="C4252" t="s">
        <v>836</v>
      </c>
      <c r="D4252" t="s">
        <v>563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2:18">
      <c r="B4253" t="s">
        <v>4392</v>
      </c>
      <c r="C4253" t="s">
        <v>836</v>
      </c>
      <c r="D4253" t="s">
        <v>563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2:18">
      <c r="B4254" t="s">
        <v>4393</v>
      </c>
      <c r="C4254" t="s">
        <v>836</v>
      </c>
      <c r="D4254" t="s">
        <v>563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2:18">
      <c r="B4255" t="s">
        <v>4394</v>
      </c>
      <c r="C4255" t="s">
        <v>836</v>
      </c>
      <c r="D4255" t="s">
        <v>563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2:18">
      <c r="B4256" t="s">
        <v>4395</v>
      </c>
      <c r="C4256" t="s">
        <v>836</v>
      </c>
      <c r="D4256" t="s">
        <v>563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2:18">
      <c r="B4257" t="s">
        <v>4396</v>
      </c>
      <c r="C4257" t="s">
        <v>836</v>
      </c>
      <c r="D4257" t="s">
        <v>563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2:18">
      <c r="B4258" t="s">
        <v>4397</v>
      </c>
      <c r="C4258" t="s">
        <v>836</v>
      </c>
      <c r="D4258" t="s">
        <v>563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2:18">
      <c r="B4259" t="s">
        <v>4398</v>
      </c>
      <c r="C4259" t="s">
        <v>836</v>
      </c>
      <c r="D4259" t="s">
        <v>563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2:18">
      <c r="B4260" t="s">
        <v>4399</v>
      </c>
      <c r="C4260" t="s">
        <v>836</v>
      </c>
      <c r="D4260" t="s">
        <v>563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2:18">
      <c r="B4261" t="s">
        <v>4400</v>
      </c>
      <c r="C4261" t="s">
        <v>836</v>
      </c>
      <c r="D4261" t="s">
        <v>563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2:18">
      <c r="B4262" t="s">
        <v>4401</v>
      </c>
      <c r="C4262" t="s">
        <v>836</v>
      </c>
      <c r="D4262" t="s">
        <v>563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2:18">
      <c r="B4263" t="s">
        <v>4402</v>
      </c>
      <c r="C4263" t="s">
        <v>836</v>
      </c>
      <c r="D4263" t="s">
        <v>563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2:18">
      <c r="B4264" t="s">
        <v>4403</v>
      </c>
      <c r="C4264" t="s">
        <v>836</v>
      </c>
      <c r="D4264" t="s">
        <v>563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2:18">
      <c r="B4265" t="s">
        <v>4404</v>
      </c>
      <c r="C4265" t="s">
        <v>836</v>
      </c>
      <c r="D4265" t="s">
        <v>563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2:18">
      <c r="B4266" t="s">
        <v>4405</v>
      </c>
      <c r="C4266" t="s">
        <v>836</v>
      </c>
      <c r="D4266" t="s">
        <v>563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2:18">
      <c r="B4267" t="s">
        <v>4406</v>
      </c>
      <c r="C4267" t="s">
        <v>836</v>
      </c>
      <c r="D4267" t="s">
        <v>563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2:18">
      <c r="B4268" t="s">
        <v>4407</v>
      </c>
      <c r="C4268" t="s">
        <v>836</v>
      </c>
      <c r="D4268" t="s">
        <v>563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2:18">
      <c r="B4269" t="s">
        <v>4408</v>
      </c>
      <c r="C4269" t="s">
        <v>836</v>
      </c>
      <c r="D4269" t="s">
        <v>563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2:18">
      <c r="B4270" t="s">
        <v>4409</v>
      </c>
      <c r="C4270" t="s">
        <v>836</v>
      </c>
      <c r="D4270" t="s">
        <v>563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2:18">
      <c r="B4271" t="s">
        <v>4410</v>
      </c>
      <c r="C4271" t="s">
        <v>836</v>
      </c>
      <c r="D4271" t="s">
        <v>563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2:18">
      <c r="B4272" t="s">
        <v>4411</v>
      </c>
      <c r="C4272" t="s">
        <v>836</v>
      </c>
      <c r="D4272" t="s">
        <v>563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2:18">
      <c r="B4273" t="s">
        <v>4412</v>
      </c>
      <c r="C4273" t="s">
        <v>836</v>
      </c>
      <c r="D4273" t="s">
        <v>563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2:18">
      <c r="B4274" t="s">
        <v>4413</v>
      </c>
      <c r="C4274" t="s">
        <v>836</v>
      </c>
      <c r="D4274" t="s">
        <v>563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2:18">
      <c r="B4275" t="s">
        <v>4414</v>
      </c>
      <c r="C4275" t="s">
        <v>836</v>
      </c>
      <c r="D4275" t="s">
        <v>563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2:18">
      <c r="B4276" t="s">
        <v>4415</v>
      </c>
      <c r="C4276" t="s">
        <v>836</v>
      </c>
      <c r="D4276" t="s">
        <v>563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2:18">
      <c r="B4277" t="s">
        <v>4416</v>
      </c>
      <c r="C4277" t="s">
        <v>836</v>
      </c>
      <c r="D4277" t="s">
        <v>563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660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2:18">
      <c r="B4278" t="s">
        <v>4417</v>
      </c>
      <c r="C4278" t="s">
        <v>836</v>
      </c>
      <c r="D4278" t="s">
        <v>563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2:18">
      <c r="B4279" t="s">
        <v>4418</v>
      </c>
      <c r="C4279" t="s">
        <v>836</v>
      </c>
      <c r="D4279" t="s">
        <v>563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2:18">
      <c r="B4280" t="s">
        <v>4419</v>
      </c>
      <c r="C4280" t="s">
        <v>836</v>
      </c>
      <c r="D4280" t="s">
        <v>563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2:18">
      <c r="B4281" t="s">
        <v>4420</v>
      </c>
      <c r="C4281" t="s">
        <v>836</v>
      </c>
      <c r="D4281" t="s">
        <v>563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2:18">
      <c r="B4282" t="s">
        <v>4421</v>
      </c>
      <c r="C4282" t="s">
        <v>836</v>
      </c>
      <c r="D4282" t="s">
        <v>563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2:18">
      <c r="B4283" t="s">
        <v>4422</v>
      </c>
      <c r="C4283" t="s">
        <v>836</v>
      </c>
      <c r="D4283" t="s">
        <v>563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250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2:18">
      <c r="B4284" t="s">
        <v>4423</v>
      </c>
      <c r="C4284" t="s">
        <v>836</v>
      </c>
      <c r="D4284" t="s">
        <v>563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2:18">
      <c r="B4285" t="s">
        <v>4424</v>
      </c>
      <c r="C4285" t="s">
        <v>836</v>
      </c>
      <c r="D4285" t="s">
        <v>563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2:18">
      <c r="B4286" t="s">
        <v>4425</v>
      </c>
      <c r="C4286" t="s">
        <v>836</v>
      </c>
      <c r="D4286" t="s">
        <v>563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2:18">
      <c r="B4287" t="s">
        <v>4426</v>
      </c>
      <c r="C4287" t="s">
        <v>836</v>
      </c>
      <c r="D4287" t="s">
        <v>563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530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2:18">
      <c r="B4288" t="s">
        <v>4427</v>
      </c>
      <c r="C4288" t="s">
        <v>836</v>
      </c>
      <c r="D4288" t="s">
        <v>563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2:18">
      <c r="B4289" t="s">
        <v>4428</v>
      </c>
      <c r="C4289" t="s">
        <v>836</v>
      </c>
      <c r="D4289" t="s">
        <v>563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2:18">
      <c r="B4290" t="s">
        <v>4429</v>
      </c>
      <c r="C4290" t="s">
        <v>836</v>
      </c>
      <c r="D4290" t="s">
        <v>563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2:18">
      <c r="B4291" t="s">
        <v>4430</v>
      </c>
      <c r="C4291" t="s">
        <v>836</v>
      </c>
      <c r="D4291" t="s">
        <v>563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2:18">
      <c r="B4292" t="s">
        <v>4431</v>
      </c>
      <c r="C4292" t="s">
        <v>836</v>
      </c>
      <c r="D4292" t="s">
        <v>563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2:18">
      <c r="B4293" t="s">
        <v>4432</v>
      </c>
      <c r="C4293" t="s">
        <v>836</v>
      </c>
      <c r="D4293" t="s">
        <v>563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120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2:18">
      <c r="B4294" t="s">
        <v>4433</v>
      </c>
      <c r="C4294" t="s">
        <v>836</v>
      </c>
      <c r="D4294" t="s">
        <v>563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2:18">
      <c r="B4295" t="s">
        <v>4434</v>
      </c>
      <c r="C4295" t="s">
        <v>836</v>
      </c>
      <c r="D4295" t="s">
        <v>563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2:18">
      <c r="B4296" t="s">
        <v>4435</v>
      </c>
      <c r="C4296" t="s">
        <v>836</v>
      </c>
      <c r="D4296" t="s">
        <v>563</v>
      </c>
      <c r="E4296">
        <v>1</v>
      </c>
      <c r="F4296">
        <v>336.4</v>
      </c>
      <c r="G4296">
        <v>400</v>
      </c>
      <c r="H4296">
        <v>5</v>
      </c>
      <c r="I4296">
        <v>0</v>
      </c>
      <c r="J4296">
        <v>0</v>
      </c>
      <c r="K4296">
        <v>0</v>
      </c>
      <c r="L4296">
        <v>0</v>
      </c>
      <c r="M4296">
        <v>950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2:18">
      <c r="B4297" t="s">
        <v>4436</v>
      </c>
      <c r="C4297" t="s">
        <v>836</v>
      </c>
      <c r="D4297" t="s">
        <v>563</v>
      </c>
      <c r="E4297">
        <v>0</v>
      </c>
      <c r="F4297">
        <v>0</v>
      </c>
      <c r="G4297">
        <v>400</v>
      </c>
      <c r="H4297">
        <v>2</v>
      </c>
      <c r="I4297">
        <v>0</v>
      </c>
      <c r="J4297">
        <v>0</v>
      </c>
      <c r="K4297">
        <v>0</v>
      </c>
      <c r="L4297">
        <v>0</v>
      </c>
      <c r="M4297">
        <v>200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2:18">
      <c r="B4298" t="s">
        <v>4437</v>
      </c>
      <c r="C4298" t="s">
        <v>836</v>
      </c>
      <c r="D4298" t="s">
        <v>563</v>
      </c>
      <c r="E4298">
        <v>10</v>
      </c>
      <c r="F4298">
        <v>550</v>
      </c>
      <c r="G4298">
        <v>833.6</v>
      </c>
      <c r="H4298">
        <v>10</v>
      </c>
      <c r="I4298">
        <v>0</v>
      </c>
      <c r="J4298">
        <v>0</v>
      </c>
      <c r="K4298">
        <v>0</v>
      </c>
      <c r="L4298">
        <v>0</v>
      </c>
      <c r="M4298">
        <v>400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2:18">
      <c r="B4299" t="s">
        <v>4438</v>
      </c>
      <c r="C4299" t="s">
        <v>836</v>
      </c>
      <c r="D4299" t="s">
        <v>563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2:18">
      <c r="B4300" t="s">
        <v>4439</v>
      </c>
      <c r="C4300" t="s">
        <v>836</v>
      </c>
      <c r="D4300" t="s">
        <v>563</v>
      </c>
      <c r="E4300">
        <v>1</v>
      </c>
      <c r="F4300">
        <v>227.4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2:18">
      <c r="B4301" t="s">
        <v>4440</v>
      </c>
      <c r="C4301" t="s">
        <v>836</v>
      </c>
      <c r="D4301" t="s">
        <v>563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2:18">
      <c r="B4302" t="s">
        <v>4441</v>
      </c>
      <c r="C4302" t="s">
        <v>836</v>
      </c>
      <c r="D4302" t="s">
        <v>563</v>
      </c>
      <c r="E4302">
        <v>1</v>
      </c>
      <c r="F4302">
        <v>383.1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2:18">
      <c r="B4303" t="s">
        <v>4442</v>
      </c>
      <c r="C4303" t="s">
        <v>836</v>
      </c>
      <c r="D4303" t="s">
        <v>563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2:18">
      <c r="B4304" t="s">
        <v>4443</v>
      </c>
      <c r="C4304" t="s">
        <v>836</v>
      </c>
      <c r="D4304" t="s">
        <v>563</v>
      </c>
      <c r="E4304">
        <v>1</v>
      </c>
      <c r="F4304">
        <v>178.4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2:18">
      <c r="B4305" t="s">
        <v>4444</v>
      </c>
      <c r="C4305" t="s">
        <v>836</v>
      </c>
      <c r="D4305" t="s">
        <v>563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2:18">
      <c r="B4306" t="s">
        <v>4445</v>
      </c>
      <c r="C4306" t="s">
        <v>836</v>
      </c>
      <c r="D4306" t="s">
        <v>563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2:18">
      <c r="B4307" t="s">
        <v>4446</v>
      </c>
      <c r="C4307" t="s">
        <v>836</v>
      </c>
      <c r="D4307" t="s">
        <v>563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2:18">
      <c r="B4308" t="s">
        <v>4447</v>
      </c>
      <c r="C4308" t="s">
        <v>836</v>
      </c>
      <c r="D4308" t="s">
        <v>563</v>
      </c>
      <c r="E4308">
        <v>1</v>
      </c>
      <c r="F4308">
        <v>130.9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2:18">
      <c r="B4309" t="s">
        <v>4448</v>
      </c>
      <c r="C4309" t="s">
        <v>836</v>
      </c>
      <c r="D4309" t="s">
        <v>563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2:18">
      <c r="B4310" t="s">
        <v>4449</v>
      </c>
      <c r="C4310" t="s">
        <v>836</v>
      </c>
      <c r="D4310" t="s">
        <v>563</v>
      </c>
      <c r="E4310">
        <v>1</v>
      </c>
      <c r="F4310">
        <v>260.39999999999998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2:18">
      <c r="B4311" t="s">
        <v>4450</v>
      </c>
      <c r="C4311" t="s">
        <v>836</v>
      </c>
      <c r="D4311" t="s">
        <v>563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2:18">
      <c r="B4312" t="s">
        <v>4451</v>
      </c>
      <c r="C4312" t="s">
        <v>836</v>
      </c>
      <c r="D4312" t="s">
        <v>563</v>
      </c>
      <c r="E4312">
        <v>1</v>
      </c>
      <c r="F4312">
        <v>89.7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2:18">
      <c r="B4313" t="s">
        <v>4452</v>
      </c>
      <c r="C4313" t="s">
        <v>836</v>
      </c>
      <c r="D4313" t="s">
        <v>563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2:18">
      <c r="B4314" t="s">
        <v>4453</v>
      </c>
      <c r="C4314" t="s">
        <v>836</v>
      </c>
      <c r="D4314" t="s">
        <v>563</v>
      </c>
      <c r="E4314">
        <v>1</v>
      </c>
      <c r="F4314">
        <v>209.9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250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2:18">
      <c r="B4315" t="s">
        <v>4454</v>
      </c>
      <c r="C4315" t="s">
        <v>836</v>
      </c>
      <c r="D4315" t="s">
        <v>563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2:18">
      <c r="B4316" t="s">
        <v>4455</v>
      </c>
      <c r="C4316" t="s">
        <v>836</v>
      </c>
      <c r="D4316" t="s">
        <v>563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2:18">
      <c r="B4317" t="s">
        <v>4456</v>
      </c>
      <c r="C4317" t="s">
        <v>836</v>
      </c>
      <c r="D4317" t="s">
        <v>563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2:18">
      <c r="B4318" t="s">
        <v>4457</v>
      </c>
      <c r="C4318" t="s">
        <v>836</v>
      </c>
      <c r="D4318" t="s">
        <v>563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2:18">
      <c r="B4319" t="s">
        <v>4458</v>
      </c>
      <c r="C4319" t="s">
        <v>836</v>
      </c>
      <c r="D4319" t="s">
        <v>563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2:18">
      <c r="B4320" t="s">
        <v>4459</v>
      </c>
      <c r="C4320" t="s">
        <v>836</v>
      </c>
      <c r="D4320" t="s">
        <v>563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2:18">
      <c r="B4321" t="s">
        <v>4460</v>
      </c>
      <c r="C4321" t="s">
        <v>836</v>
      </c>
      <c r="D4321" t="s">
        <v>563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2:18">
      <c r="B4322" t="s">
        <v>4461</v>
      </c>
      <c r="C4322" t="s">
        <v>836</v>
      </c>
      <c r="D4322" t="s">
        <v>563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2:18">
      <c r="B4323" t="s">
        <v>4462</v>
      </c>
      <c r="C4323" t="s">
        <v>836</v>
      </c>
      <c r="D4323" t="s">
        <v>563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2:18">
      <c r="B4324" t="s">
        <v>4463</v>
      </c>
      <c r="C4324" t="s">
        <v>836</v>
      </c>
      <c r="D4324" t="s">
        <v>563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2:18">
      <c r="B4325" t="s">
        <v>4464</v>
      </c>
      <c r="C4325" t="s">
        <v>836</v>
      </c>
      <c r="D4325" t="s">
        <v>563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2:18">
      <c r="B4326" t="s">
        <v>4465</v>
      </c>
      <c r="C4326" t="s">
        <v>836</v>
      </c>
      <c r="D4326" t="s">
        <v>563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5.69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2:18">
      <c r="B4327" t="s">
        <v>4466</v>
      </c>
      <c r="C4327" t="s">
        <v>836</v>
      </c>
      <c r="D4327" t="s">
        <v>563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2:18">
      <c r="B4328" t="s">
        <v>4467</v>
      </c>
      <c r="C4328" t="s">
        <v>836</v>
      </c>
      <c r="D4328" t="s">
        <v>563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2:18">
      <c r="B4329" t="s">
        <v>4468</v>
      </c>
      <c r="C4329" t="s">
        <v>836</v>
      </c>
      <c r="D4329" t="s">
        <v>563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2:18">
      <c r="B4330" t="s">
        <v>4469</v>
      </c>
      <c r="C4330" t="s">
        <v>836</v>
      </c>
      <c r="D4330" t="s">
        <v>563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2:18">
      <c r="B4331" t="s">
        <v>4470</v>
      </c>
      <c r="C4331" t="s">
        <v>836</v>
      </c>
      <c r="D4331" t="s">
        <v>563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2:18">
      <c r="B4332" t="s">
        <v>4471</v>
      </c>
      <c r="C4332" t="s">
        <v>836</v>
      </c>
      <c r="D4332" t="s">
        <v>563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2:18">
      <c r="B4333" t="s">
        <v>4472</v>
      </c>
      <c r="C4333" t="s">
        <v>836</v>
      </c>
      <c r="D4333" t="s">
        <v>563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2:18">
      <c r="B4334" t="s">
        <v>4473</v>
      </c>
      <c r="C4334" t="s">
        <v>836</v>
      </c>
      <c r="D4334" t="s">
        <v>563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2:18">
      <c r="B4335" t="s">
        <v>4474</v>
      </c>
      <c r="C4335" t="s">
        <v>836</v>
      </c>
      <c r="D4335" t="s">
        <v>563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2:18">
      <c r="B4336" t="s">
        <v>4475</v>
      </c>
      <c r="C4336" t="s">
        <v>836</v>
      </c>
      <c r="D4336" t="s">
        <v>563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2:18">
      <c r="B4337" t="s">
        <v>4476</v>
      </c>
      <c r="C4337" t="s">
        <v>836</v>
      </c>
      <c r="D4337" t="s">
        <v>563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44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2:18">
      <c r="B4338" t="s">
        <v>4477</v>
      </c>
      <c r="C4338" t="s">
        <v>836</v>
      </c>
      <c r="D4338" t="s">
        <v>563</v>
      </c>
      <c r="E4338">
        <v>2</v>
      </c>
      <c r="F4338">
        <v>15.14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80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2:18">
      <c r="B4339" t="s">
        <v>4478</v>
      </c>
      <c r="C4339" t="s">
        <v>836</v>
      </c>
      <c r="D4339" t="s">
        <v>563</v>
      </c>
      <c r="E4339">
        <v>3</v>
      </c>
      <c r="F4339">
        <v>13.09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2:18">
      <c r="B4340" t="s">
        <v>4479</v>
      </c>
      <c r="C4340" t="s">
        <v>836</v>
      </c>
      <c r="D4340" t="s">
        <v>563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111.3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2:18">
      <c r="B4341" t="s">
        <v>4480</v>
      </c>
      <c r="C4341" t="s">
        <v>836</v>
      </c>
      <c r="D4341" t="s">
        <v>563</v>
      </c>
      <c r="E4341">
        <v>1</v>
      </c>
      <c r="F4341">
        <v>37</v>
      </c>
      <c r="G4341">
        <v>168.7</v>
      </c>
      <c r="H4341">
        <v>40</v>
      </c>
      <c r="I4341">
        <v>0</v>
      </c>
      <c r="J4341">
        <v>0</v>
      </c>
      <c r="K4341">
        <v>0</v>
      </c>
      <c r="L4341">
        <v>0</v>
      </c>
      <c r="M4341">
        <v>49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2:18">
      <c r="B4342" t="s">
        <v>4481</v>
      </c>
      <c r="C4342" t="s">
        <v>836</v>
      </c>
      <c r="D4342" t="s">
        <v>563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2:18">
      <c r="B4343" t="s">
        <v>4482</v>
      </c>
      <c r="C4343" t="s">
        <v>836</v>
      </c>
      <c r="D4343" t="s">
        <v>563</v>
      </c>
      <c r="E4343">
        <v>2</v>
      </c>
      <c r="F4343">
        <v>31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2:18">
      <c r="B4344" t="s">
        <v>4483</v>
      </c>
      <c r="C4344" t="s">
        <v>836</v>
      </c>
      <c r="D4344" t="s">
        <v>563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250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2:18">
      <c r="B4345" t="s">
        <v>4484</v>
      </c>
      <c r="C4345" t="s">
        <v>836</v>
      </c>
      <c r="D4345" t="s">
        <v>563</v>
      </c>
      <c r="E4345">
        <v>1</v>
      </c>
      <c r="F4345">
        <v>59.4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2:18">
      <c r="B4346" t="s">
        <v>4485</v>
      </c>
      <c r="C4346" t="s">
        <v>836</v>
      </c>
      <c r="D4346" t="s">
        <v>563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2:18">
      <c r="B4347" t="s">
        <v>4486</v>
      </c>
      <c r="C4347" t="s">
        <v>836</v>
      </c>
      <c r="D4347" t="s">
        <v>563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2:18">
      <c r="B4348" t="s">
        <v>4487</v>
      </c>
      <c r="C4348" t="s">
        <v>836</v>
      </c>
      <c r="D4348" t="s">
        <v>563</v>
      </c>
      <c r="E4348">
        <v>1</v>
      </c>
      <c r="F4348">
        <v>59.3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2:18">
      <c r="B4349" t="s">
        <v>4488</v>
      </c>
      <c r="C4349" t="s">
        <v>836</v>
      </c>
      <c r="D4349" t="s">
        <v>563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2:18">
      <c r="B4350" t="s">
        <v>4489</v>
      </c>
      <c r="C4350" t="s">
        <v>836</v>
      </c>
      <c r="D4350" t="s">
        <v>563</v>
      </c>
      <c r="E4350">
        <v>1</v>
      </c>
      <c r="F4350">
        <v>96.8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2:18">
      <c r="B4351" t="s">
        <v>4490</v>
      </c>
      <c r="C4351" t="s">
        <v>836</v>
      </c>
      <c r="D4351" t="s">
        <v>563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2:18">
      <c r="B4352" t="s">
        <v>4491</v>
      </c>
      <c r="C4352" t="s">
        <v>836</v>
      </c>
      <c r="D4352" t="s">
        <v>563</v>
      </c>
      <c r="E4352">
        <v>1</v>
      </c>
      <c r="F4352">
        <v>103.2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2:18">
      <c r="B4353" t="s">
        <v>4492</v>
      </c>
      <c r="C4353" t="s">
        <v>836</v>
      </c>
      <c r="D4353" t="s">
        <v>563</v>
      </c>
      <c r="E4353">
        <v>2</v>
      </c>
      <c r="F4353">
        <v>13.8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2:18">
      <c r="B4354" t="s">
        <v>4493</v>
      </c>
      <c r="C4354" t="s">
        <v>836</v>
      </c>
      <c r="D4354" t="s">
        <v>563</v>
      </c>
      <c r="E4354">
        <v>1</v>
      </c>
      <c r="F4354">
        <v>145.30000000000001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2:18">
      <c r="B4355" t="s">
        <v>4494</v>
      </c>
      <c r="C4355" t="s">
        <v>836</v>
      </c>
      <c r="D4355" t="s">
        <v>563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2:18">
      <c r="B4356" t="s">
        <v>4495</v>
      </c>
      <c r="C4356" t="s">
        <v>836</v>
      </c>
      <c r="D4356" t="s">
        <v>563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2:18">
      <c r="B4357" t="s">
        <v>4496</v>
      </c>
      <c r="C4357" t="s">
        <v>836</v>
      </c>
      <c r="D4357" t="s">
        <v>563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2:18">
      <c r="B4358" t="s">
        <v>4497</v>
      </c>
      <c r="C4358" t="s">
        <v>836</v>
      </c>
      <c r="D4358" t="s">
        <v>563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2:18">
      <c r="B4359" t="s">
        <v>4498</v>
      </c>
      <c r="C4359" t="s">
        <v>836</v>
      </c>
      <c r="D4359" t="s">
        <v>563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2:18">
      <c r="B4360" t="s">
        <v>4499</v>
      </c>
      <c r="C4360" t="s">
        <v>836</v>
      </c>
      <c r="D4360" t="s">
        <v>563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2:18">
      <c r="B4361" t="s">
        <v>4500</v>
      </c>
      <c r="C4361" t="s">
        <v>836</v>
      </c>
      <c r="D4361" t="s">
        <v>563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2:18">
      <c r="B4362" t="s">
        <v>4501</v>
      </c>
      <c r="C4362" t="s">
        <v>836</v>
      </c>
      <c r="D4362" t="s">
        <v>563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2:18">
      <c r="B4363" t="s">
        <v>4502</v>
      </c>
      <c r="C4363" t="s">
        <v>836</v>
      </c>
      <c r="D4363" t="s">
        <v>563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2:18">
      <c r="B4364" t="s">
        <v>4503</v>
      </c>
      <c r="C4364" t="s">
        <v>836</v>
      </c>
      <c r="D4364" t="s">
        <v>563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2:18">
      <c r="B4365" t="s">
        <v>4504</v>
      </c>
      <c r="C4365" t="s">
        <v>836</v>
      </c>
      <c r="D4365" t="s">
        <v>563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2:18">
      <c r="B4366" t="s">
        <v>4505</v>
      </c>
      <c r="C4366" t="s">
        <v>836</v>
      </c>
      <c r="D4366" t="s">
        <v>563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2:18">
      <c r="B4367" t="s">
        <v>4506</v>
      </c>
      <c r="C4367" t="s">
        <v>836</v>
      </c>
      <c r="D4367" t="s">
        <v>563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2:18">
      <c r="B4368" t="s">
        <v>4507</v>
      </c>
      <c r="C4368" t="s">
        <v>836</v>
      </c>
      <c r="D4368" t="s">
        <v>563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2:18">
      <c r="B4369" t="s">
        <v>4508</v>
      </c>
      <c r="C4369" t="s">
        <v>836</v>
      </c>
      <c r="D4369" t="s">
        <v>563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2:18">
      <c r="B4370" t="s">
        <v>4509</v>
      </c>
      <c r="C4370" t="s">
        <v>836</v>
      </c>
      <c r="D4370" t="s">
        <v>563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2:18">
      <c r="B4371" t="s">
        <v>4510</v>
      </c>
      <c r="C4371" t="s">
        <v>836</v>
      </c>
      <c r="D4371" t="s">
        <v>563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2:18">
      <c r="B4372" t="s">
        <v>4511</v>
      </c>
      <c r="C4372" t="s">
        <v>836</v>
      </c>
      <c r="D4372" t="s">
        <v>563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2:18">
      <c r="B4373" t="s">
        <v>4512</v>
      </c>
      <c r="C4373" t="s">
        <v>836</v>
      </c>
      <c r="D4373" t="s">
        <v>563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2:18">
      <c r="B4374" t="s">
        <v>4513</v>
      </c>
      <c r="C4374" t="s">
        <v>836</v>
      </c>
      <c r="D4374" t="s">
        <v>563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2:18">
      <c r="B4375" t="s">
        <v>4514</v>
      </c>
      <c r="C4375" t="s">
        <v>836</v>
      </c>
      <c r="D4375" t="s">
        <v>563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2:18">
      <c r="B4376" t="s">
        <v>4515</v>
      </c>
      <c r="C4376" t="s">
        <v>836</v>
      </c>
      <c r="D4376" t="s">
        <v>563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2:18">
      <c r="B4377" t="s">
        <v>4516</v>
      </c>
      <c r="C4377" t="s">
        <v>836</v>
      </c>
      <c r="D4377" t="s">
        <v>563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2:18">
      <c r="B4378" t="s">
        <v>4517</v>
      </c>
      <c r="C4378" t="s">
        <v>836</v>
      </c>
      <c r="D4378" t="s">
        <v>563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2:18">
      <c r="B4379" t="s">
        <v>4518</v>
      </c>
      <c r="C4379" t="s">
        <v>836</v>
      </c>
      <c r="D4379" t="s">
        <v>563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2:18">
      <c r="B4380" t="s">
        <v>4519</v>
      </c>
      <c r="C4380" t="s">
        <v>836</v>
      </c>
      <c r="D4380" t="s">
        <v>563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2:18">
      <c r="B4381" t="s">
        <v>4520</v>
      </c>
      <c r="C4381" t="s">
        <v>836</v>
      </c>
      <c r="D4381" t="s">
        <v>563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2:18">
      <c r="B4382" t="s">
        <v>4521</v>
      </c>
      <c r="C4382" t="s">
        <v>836</v>
      </c>
      <c r="D4382" t="s">
        <v>563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2:18">
      <c r="B4383" t="s">
        <v>4522</v>
      </c>
      <c r="C4383" t="s">
        <v>836</v>
      </c>
      <c r="D4383" t="s">
        <v>563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2:18">
      <c r="B4384" t="s">
        <v>4523</v>
      </c>
      <c r="C4384" t="s">
        <v>836</v>
      </c>
      <c r="D4384" t="s">
        <v>563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2:18">
      <c r="B4385" t="s">
        <v>4524</v>
      </c>
      <c r="C4385" t="s">
        <v>836</v>
      </c>
      <c r="D4385" t="s">
        <v>563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2:18">
      <c r="B4386" t="s">
        <v>4525</v>
      </c>
      <c r="C4386" t="s">
        <v>836</v>
      </c>
      <c r="D4386" t="s">
        <v>563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2:18">
      <c r="B4387" t="s">
        <v>4526</v>
      </c>
      <c r="C4387" t="s">
        <v>836</v>
      </c>
      <c r="D4387" t="s">
        <v>563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2:18">
      <c r="B4388" t="s">
        <v>4527</v>
      </c>
      <c r="C4388" t="s">
        <v>836</v>
      </c>
      <c r="D4388" t="s">
        <v>563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2:18">
      <c r="B4389" t="s">
        <v>4528</v>
      </c>
      <c r="C4389" t="s">
        <v>836</v>
      </c>
      <c r="D4389" t="s">
        <v>563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2:18">
      <c r="B4390" t="s">
        <v>4529</v>
      </c>
      <c r="C4390" t="s">
        <v>836</v>
      </c>
      <c r="D4390" t="s">
        <v>563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2:18">
      <c r="B4391" t="s">
        <v>4530</v>
      </c>
      <c r="C4391" t="s">
        <v>836</v>
      </c>
      <c r="D4391" t="s">
        <v>563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2:18">
      <c r="B4392" t="s">
        <v>4531</v>
      </c>
      <c r="C4392" t="s">
        <v>836</v>
      </c>
      <c r="D4392" t="s">
        <v>563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2:18">
      <c r="B4393" t="s">
        <v>4532</v>
      </c>
      <c r="C4393" t="s">
        <v>836</v>
      </c>
      <c r="D4393" t="s">
        <v>563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2:18">
      <c r="B4394" t="s">
        <v>4533</v>
      </c>
      <c r="C4394" t="s">
        <v>836</v>
      </c>
      <c r="D4394" t="s">
        <v>563</v>
      </c>
      <c r="E4394">
        <v>113</v>
      </c>
      <c r="F4394">
        <v>9.2999999999999999E-2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3.8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2:18">
      <c r="B4395" t="s">
        <v>4534</v>
      </c>
      <c r="C4395" t="s">
        <v>836</v>
      </c>
      <c r="D4395" t="s">
        <v>563</v>
      </c>
      <c r="E4395">
        <v>8</v>
      </c>
      <c r="F4395">
        <v>8.5399999999999991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2:18">
      <c r="B4396" t="s">
        <v>4535</v>
      </c>
      <c r="C4396" t="s">
        <v>836</v>
      </c>
      <c r="D4396" t="s">
        <v>563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2:18">
      <c r="B4397" t="s">
        <v>4536</v>
      </c>
      <c r="C4397" t="s">
        <v>836</v>
      </c>
      <c r="D4397" t="s">
        <v>563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2:18">
      <c r="B4398" t="s">
        <v>4537</v>
      </c>
      <c r="C4398" t="s">
        <v>836</v>
      </c>
      <c r="D4398" t="s">
        <v>563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2:18">
      <c r="B4399" t="s">
        <v>4538</v>
      </c>
      <c r="C4399" t="s">
        <v>836</v>
      </c>
      <c r="D4399" t="s">
        <v>563</v>
      </c>
      <c r="E4399">
        <v>10</v>
      </c>
      <c r="F4399">
        <v>5.39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2:18">
      <c r="B4400" t="s">
        <v>4539</v>
      </c>
      <c r="C4400" t="s">
        <v>836</v>
      </c>
      <c r="D4400" t="s">
        <v>563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2:18">
      <c r="B4401" t="s">
        <v>4540</v>
      </c>
      <c r="C4401" t="s">
        <v>836</v>
      </c>
      <c r="D4401" t="s">
        <v>563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2:18">
      <c r="B4402" t="s">
        <v>4541</v>
      </c>
      <c r="C4402" t="s">
        <v>836</v>
      </c>
      <c r="D4402" t="s">
        <v>563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2:18">
      <c r="B4403" t="s">
        <v>4542</v>
      </c>
      <c r="C4403" t="s">
        <v>836</v>
      </c>
      <c r="D4403" t="s">
        <v>563</v>
      </c>
      <c r="E4403">
        <v>14</v>
      </c>
      <c r="F4403">
        <v>3.29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</row>
    <row r="4404" spans="2:18">
      <c r="B4404" t="s">
        <v>4543</v>
      </c>
      <c r="C4404" t="s">
        <v>836</v>
      </c>
      <c r="D4404" t="s">
        <v>563</v>
      </c>
      <c r="E4404">
        <v>41</v>
      </c>
      <c r="F4404">
        <v>20</v>
      </c>
      <c r="G4404">
        <v>319.99900000000002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317.27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2:18">
      <c r="B4405" t="s">
        <v>4544</v>
      </c>
      <c r="C4405" t="s">
        <v>836</v>
      </c>
      <c r="D4405" t="s">
        <v>563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2:18">
      <c r="B4406" t="s">
        <v>4545</v>
      </c>
      <c r="C4406" t="s">
        <v>836</v>
      </c>
      <c r="D4406" t="s">
        <v>563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</row>
    <row r="4407" spans="2:18">
      <c r="B4407" t="s">
        <v>4546</v>
      </c>
      <c r="C4407" t="s">
        <v>836</v>
      </c>
      <c r="D4407" t="s">
        <v>563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2:18">
      <c r="B4408" t="s">
        <v>4547</v>
      </c>
      <c r="C4408" t="s">
        <v>836</v>
      </c>
      <c r="D4408" t="s">
        <v>563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2:18">
      <c r="B4409" t="s">
        <v>4548</v>
      </c>
      <c r="C4409" t="s">
        <v>836</v>
      </c>
      <c r="D4409" t="s">
        <v>563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2:18">
      <c r="B4410" t="s">
        <v>4549</v>
      </c>
      <c r="C4410" t="s">
        <v>836</v>
      </c>
      <c r="D4410" t="s">
        <v>563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2:18">
      <c r="B4411" t="s">
        <v>4550</v>
      </c>
      <c r="C4411" t="s">
        <v>836</v>
      </c>
      <c r="D4411" t="s">
        <v>563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</row>
    <row r="4412" spans="2:18">
      <c r="B4412" t="s">
        <v>4551</v>
      </c>
      <c r="C4412" t="s">
        <v>836</v>
      </c>
      <c r="D4412" t="s">
        <v>563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2:18">
      <c r="B4413" t="s">
        <v>4552</v>
      </c>
      <c r="C4413" t="s">
        <v>836</v>
      </c>
      <c r="D4413" t="s">
        <v>563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2:18">
      <c r="B4414" t="s">
        <v>4553</v>
      </c>
      <c r="C4414" t="s">
        <v>836</v>
      </c>
      <c r="D4414" t="s">
        <v>563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2:18">
      <c r="B4415" t="s">
        <v>4554</v>
      </c>
      <c r="C4415" t="s">
        <v>836</v>
      </c>
      <c r="D4415" t="s">
        <v>563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2:18">
      <c r="B4416" t="s">
        <v>4555</v>
      </c>
      <c r="C4416" t="s">
        <v>836</v>
      </c>
      <c r="D4416" t="s">
        <v>563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2:18">
      <c r="B4417" t="s">
        <v>4556</v>
      </c>
      <c r="C4417" t="s">
        <v>836</v>
      </c>
      <c r="D4417" t="s">
        <v>563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2:18">
      <c r="B4418" t="s">
        <v>4557</v>
      </c>
      <c r="C4418" t="s">
        <v>836</v>
      </c>
      <c r="D4418" t="s">
        <v>563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2:18">
      <c r="B4419" t="s">
        <v>4558</v>
      </c>
      <c r="C4419" t="s">
        <v>836</v>
      </c>
      <c r="D4419" t="s">
        <v>563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</row>
    <row r="4420" spans="2:18">
      <c r="B4420" t="s">
        <v>4559</v>
      </c>
      <c r="C4420" t="s">
        <v>836</v>
      </c>
      <c r="D4420" t="s">
        <v>563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</row>
    <row r="4421" spans="2:18">
      <c r="B4421" t="s">
        <v>4560</v>
      </c>
      <c r="C4421" t="s">
        <v>836</v>
      </c>
      <c r="D4421" t="s">
        <v>563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</row>
    <row r="4422" spans="2:18">
      <c r="B4422" t="s">
        <v>4561</v>
      </c>
      <c r="C4422" t="s">
        <v>836</v>
      </c>
      <c r="D4422" t="s">
        <v>563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2:18">
      <c r="B4423" t="s">
        <v>4562</v>
      </c>
      <c r="C4423" t="s">
        <v>836</v>
      </c>
      <c r="D4423" t="s">
        <v>563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2:18">
      <c r="B4424" t="s">
        <v>4563</v>
      </c>
      <c r="C4424" t="s">
        <v>836</v>
      </c>
      <c r="D4424" t="s">
        <v>563</v>
      </c>
      <c r="E4424">
        <v>10</v>
      </c>
      <c r="F4424">
        <v>151</v>
      </c>
      <c r="G4424">
        <v>158</v>
      </c>
      <c r="H4424">
        <v>10</v>
      </c>
      <c r="I4424">
        <v>0</v>
      </c>
      <c r="J4424">
        <v>0</v>
      </c>
      <c r="K4424">
        <v>0</v>
      </c>
      <c r="L4424">
        <v>0</v>
      </c>
      <c r="M4424">
        <v>161.5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2:18">
      <c r="B4425" t="s">
        <v>4564</v>
      </c>
      <c r="C4425" t="s">
        <v>836</v>
      </c>
      <c r="D4425" t="s">
        <v>563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2:18">
      <c r="B4426" t="s">
        <v>4565</v>
      </c>
      <c r="C4426" t="s">
        <v>836</v>
      </c>
      <c r="D4426" t="s">
        <v>563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2:18">
      <c r="B4427" t="s">
        <v>4566</v>
      </c>
      <c r="C4427" t="s">
        <v>836</v>
      </c>
      <c r="D4427" t="s">
        <v>563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</row>
    <row r="4428" spans="2:18">
      <c r="B4428" t="s">
        <v>4567</v>
      </c>
      <c r="C4428" t="s">
        <v>836</v>
      </c>
      <c r="D4428" t="s">
        <v>563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</row>
    <row r="4429" spans="2:18">
      <c r="B4429" t="s">
        <v>4568</v>
      </c>
      <c r="C4429" t="s">
        <v>836</v>
      </c>
      <c r="D4429" t="s">
        <v>563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2:18">
      <c r="B4430" t="s">
        <v>4569</v>
      </c>
      <c r="C4430" t="s">
        <v>836</v>
      </c>
      <c r="D4430" t="s">
        <v>563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2:18">
      <c r="B4431" t="s">
        <v>4570</v>
      </c>
      <c r="C4431" t="s">
        <v>836</v>
      </c>
      <c r="D4431" t="s">
        <v>563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</row>
    <row r="4432" spans="2:18">
      <c r="B4432" t="s">
        <v>4571</v>
      </c>
      <c r="C4432" t="s">
        <v>836</v>
      </c>
      <c r="D4432" t="s">
        <v>563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2:18">
      <c r="B4433" t="s">
        <v>4572</v>
      </c>
      <c r="C4433" t="s">
        <v>836</v>
      </c>
      <c r="D4433" t="s">
        <v>563</v>
      </c>
      <c r="E4433">
        <v>10</v>
      </c>
      <c r="F4433">
        <v>101</v>
      </c>
      <c r="G4433">
        <v>111</v>
      </c>
      <c r="H4433">
        <v>10</v>
      </c>
      <c r="I4433">
        <v>0</v>
      </c>
      <c r="J4433">
        <v>0</v>
      </c>
      <c r="K4433">
        <v>0</v>
      </c>
      <c r="L4433">
        <v>0</v>
      </c>
      <c r="M4433">
        <v>115.49</v>
      </c>
      <c r="N4433">
        <v>0</v>
      </c>
      <c r="O4433">
        <v>0</v>
      </c>
      <c r="P4433">
        <v>0</v>
      </c>
      <c r="Q4433">
        <v>0</v>
      </c>
      <c r="R4433">
        <v>0</v>
      </c>
    </row>
    <row r="4434" spans="2:18">
      <c r="B4434" t="s">
        <v>4573</v>
      </c>
      <c r="C4434" t="s">
        <v>836</v>
      </c>
      <c r="D4434" t="s">
        <v>563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2:18">
      <c r="B4435" t="s">
        <v>4574</v>
      </c>
      <c r="C4435" t="s">
        <v>836</v>
      </c>
      <c r="D4435" t="s">
        <v>563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2:18">
      <c r="B4436" t="s">
        <v>4575</v>
      </c>
      <c r="C4436" t="s">
        <v>836</v>
      </c>
      <c r="D4436" t="s">
        <v>563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2:18">
      <c r="B4437" t="s">
        <v>4576</v>
      </c>
      <c r="C4437" t="s">
        <v>836</v>
      </c>
      <c r="D4437" t="s">
        <v>563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2:18">
      <c r="B4438" t="s">
        <v>4577</v>
      </c>
      <c r="C4438" t="s">
        <v>836</v>
      </c>
      <c r="D4438" t="s">
        <v>563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2:18">
      <c r="B4439" t="s">
        <v>4578</v>
      </c>
      <c r="C4439" t="s">
        <v>836</v>
      </c>
      <c r="D4439" t="s">
        <v>563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2:18">
      <c r="B4440" t="s">
        <v>4579</v>
      </c>
      <c r="C4440" t="s">
        <v>836</v>
      </c>
      <c r="D4440" t="s">
        <v>563</v>
      </c>
      <c r="E4440">
        <v>0</v>
      </c>
      <c r="F4440">
        <v>0</v>
      </c>
      <c r="G4440">
        <v>180</v>
      </c>
      <c r="H4440">
        <v>79</v>
      </c>
      <c r="I4440">
        <v>0</v>
      </c>
      <c r="J4440">
        <v>0</v>
      </c>
      <c r="K4440">
        <v>0</v>
      </c>
      <c r="L4440">
        <v>0</v>
      </c>
      <c r="M4440">
        <v>150</v>
      </c>
      <c r="N4440">
        <v>0</v>
      </c>
      <c r="O4440">
        <v>0</v>
      </c>
      <c r="P4440">
        <v>0</v>
      </c>
      <c r="Q4440">
        <v>0</v>
      </c>
      <c r="R4440">
        <v>0</v>
      </c>
    </row>
    <row r="4441" spans="2:18">
      <c r="B4441" t="s">
        <v>4580</v>
      </c>
      <c r="C4441" t="s">
        <v>836</v>
      </c>
      <c r="D4441" t="s">
        <v>563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2:18">
      <c r="B4442" t="s">
        <v>4581</v>
      </c>
      <c r="C4442" t="s">
        <v>836</v>
      </c>
      <c r="D4442" t="s">
        <v>563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2:18">
      <c r="B4443" t="s">
        <v>4582</v>
      </c>
      <c r="C4443" t="s">
        <v>836</v>
      </c>
      <c r="D4443" t="s">
        <v>563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2:18">
      <c r="B4444" t="s">
        <v>4583</v>
      </c>
      <c r="C4444" t="s">
        <v>836</v>
      </c>
      <c r="D4444" t="s">
        <v>563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2:18">
      <c r="B4445" t="s">
        <v>4584</v>
      </c>
      <c r="C4445" t="s">
        <v>836</v>
      </c>
      <c r="D4445" t="s">
        <v>563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2:18">
      <c r="B4446" t="s">
        <v>4585</v>
      </c>
      <c r="C4446" t="s">
        <v>836</v>
      </c>
      <c r="D4446" t="s">
        <v>563</v>
      </c>
      <c r="E4446">
        <v>10</v>
      </c>
      <c r="F4446">
        <v>51</v>
      </c>
      <c r="G4446">
        <v>69</v>
      </c>
      <c r="H4446">
        <v>10</v>
      </c>
      <c r="I4446">
        <v>0</v>
      </c>
      <c r="J4446">
        <v>0</v>
      </c>
      <c r="K4446">
        <v>0</v>
      </c>
      <c r="L4446">
        <v>0</v>
      </c>
      <c r="M4446">
        <v>57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2:18">
      <c r="B4447" t="s">
        <v>4586</v>
      </c>
      <c r="C4447" t="s">
        <v>836</v>
      </c>
      <c r="D4447" t="s">
        <v>563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2:18">
      <c r="B4448" t="s">
        <v>4587</v>
      </c>
      <c r="C4448" t="s">
        <v>836</v>
      </c>
      <c r="D4448" t="s">
        <v>563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2:19">
      <c r="B4449" t="s">
        <v>4588</v>
      </c>
      <c r="C4449" t="s">
        <v>836</v>
      </c>
      <c r="D4449" t="s">
        <v>563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2:19">
      <c r="B4450" t="s">
        <v>4589</v>
      </c>
      <c r="C4450" t="s">
        <v>836</v>
      </c>
      <c r="D4450" t="s">
        <v>563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2:19">
      <c r="B4451" t="s">
        <v>4590</v>
      </c>
      <c r="C4451" t="s">
        <v>836</v>
      </c>
      <c r="D4451" t="s">
        <v>563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2:19">
      <c r="B4452" t="s">
        <v>4591</v>
      </c>
      <c r="C4452" t="s">
        <v>836</v>
      </c>
      <c r="D4452" t="s">
        <v>563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2:19">
      <c r="B4453" t="s">
        <v>4592</v>
      </c>
      <c r="C4453" t="s">
        <v>836</v>
      </c>
      <c r="D4453" t="s">
        <v>563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2:19">
      <c r="B4454" t="s">
        <v>4593</v>
      </c>
      <c r="C4454" t="s">
        <v>836</v>
      </c>
      <c r="D4454" t="s">
        <v>563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2:19">
      <c r="B4455" t="s">
        <v>4594</v>
      </c>
      <c r="C4455" t="s">
        <v>836</v>
      </c>
      <c r="D4455" t="s">
        <v>563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2:19">
      <c r="B4456" t="s">
        <v>4595</v>
      </c>
      <c r="C4456" t="s">
        <v>836</v>
      </c>
      <c r="D4456" t="s">
        <v>563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2:19">
      <c r="B4457" t="s">
        <v>4596</v>
      </c>
      <c r="C4457" t="s">
        <v>836</v>
      </c>
      <c r="D4457" t="s">
        <v>563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2:19">
      <c r="B4458" t="s">
        <v>4597</v>
      </c>
      <c r="C4458" t="s">
        <v>836</v>
      </c>
      <c r="D4458" t="s">
        <v>563</v>
      </c>
      <c r="E4458">
        <v>10</v>
      </c>
      <c r="F4458">
        <v>4</v>
      </c>
      <c r="G4458">
        <v>36</v>
      </c>
      <c r="H4458">
        <v>10</v>
      </c>
      <c r="I4458">
        <v>8.85</v>
      </c>
      <c r="J4458">
        <v>8.85</v>
      </c>
      <c r="K4458">
        <v>8.85</v>
      </c>
      <c r="L4458">
        <v>8.85</v>
      </c>
      <c r="M4458">
        <v>15.6</v>
      </c>
      <c r="N4458">
        <v>-0.43259999999999998</v>
      </c>
      <c r="O4458">
        <v>1</v>
      </c>
      <c r="P4458">
        <v>885</v>
      </c>
      <c r="Q4458">
        <v>8.85</v>
      </c>
      <c r="R4458">
        <v>0</v>
      </c>
      <c r="S4458" t="s">
        <v>6287</v>
      </c>
    </row>
    <row r="4459" spans="2:19">
      <c r="B4459" t="s">
        <v>4598</v>
      </c>
      <c r="C4459" t="s">
        <v>836</v>
      </c>
      <c r="D4459" t="s">
        <v>563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2:19">
      <c r="B4460" t="s">
        <v>4599</v>
      </c>
      <c r="C4460" t="s">
        <v>836</v>
      </c>
      <c r="D4460" t="s">
        <v>563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2:19">
      <c r="B4461" t="s">
        <v>4600</v>
      </c>
      <c r="C4461" t="s">
        <v>836</v>
      </c>
      <c r="D4461" t="s">
        <v>563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2:19">
      <c r="B4462" t="s">
        <v>4601</v>
      </c>
      <c r="C4462" t="s">
        <v>836</v>
      </c>
      <c r="D4462" t="s">
        <v>563</v>
      </c>
      <c r="E4462">
        <v>0</v>
      </c>
      <c r="F4462">
        <v>0</v>
      </c>
      <c r="G4462">
        <v>112</v>
      </c>
      <c r="H4462">
        <v>99</v>
      </c>
      <c r="I4462">
        <v>0</v>
      </c>
      <c r="J4462">
        <v>0</v>
      </c>
      <c r="K4462">
        <v>0</v>
      </c>
      <c r="L4462">
        <v>0</v>
      </c>
      <c r="M4462">
        <v>85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2:19">
      <c r="B4463" t="s">
        <v>4602</v>
      </c>
      <c r="C4463" t="s">
        <v>836</v>
      </c>
      <c r="D4463" t="s">
        <v>563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2:19">
      <c r="B4464" t="s">
        <v>4603</v>
      </c>
      <c r="C4464" t="s">
        <v>836</v>
      </c>
      <c r="D4464" t="s">
        <v>563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2:18">
      <c r="B4465" t="s">
        <v>4604</v>
      </c>
      <c r="C4465" t="s">
        <v>836</v>
      </c>
      <c r="D4465" t="s">
        <v>563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2:18">
      <c r="B4466" t="s">
        <v>4605</v>
      </c>
      <c r="C4466" t="s">
        <v>836</v>
      </c>
      <c r="D4466" t="s">
        <v>563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2:18">
      <c r="B4467" t="s">
        <v>4606</v>
      </c>
      <c r="C4467" t="s">
        <v>836</v>
      </c>
      <c r="D4467" t="s">
        <v>563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2:18">
      <c r="B4468" t="s">
        <v>4607</v>
      </c>
      <c r="C4468" t="s">
        <v>836</v>
      </c>
      <c r="D4468" t="s">
        <v>563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2:18">
      <c r="B4469" t="s">
        <v>4608</v>
      </c>
      <c r="C4469" t="s">
        <v>836</v>
      </c>
      <c r="D4469" t="s">
        <v>563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2:18">
      <c r="B4470" t="s">
        <v>4609</v>
      </c>
      <c r="C4470" t="s">
        <v>836</v>
      </c>
      <c r="D4470" t="s">
        <v>563</v>
      </c>
      <c r="E4470">
        <v>4</v>
      </c>
      <c r="F4470">
        <v>28</v>
      </c>
      <c r="G4470">
        <v>75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166.1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2:18">
      <c r="B4471" t="s">
        <v>4610</v>
      </c>
      <c r="C4471" t="s">
        <v>836</v>
      </c>
      <c r="D4471" t="s">
        <v>563</v>
      </c>
      <c r="E4471">
        <v>50</v>
      </c>
      <c r="F4471">
        <v>1.5</v>
      </c>
      <c r="G4471">
        <v>3</v>
      </c>
      <c r="H4471">
        <v>40</v>
      </c>
      <c r="I4471">
        <v>0</v>
      </c>
      <c r="J4471">
        <v>0</v>
      </c>
      <c r="K4471">
        <v>0</v>
      </c>
      <c r="L4471">
        <v>0</v>
      </c>
      <c r="M4471">
        <v>2.8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2:18">
      <c r="B4472" t="s">
        <v>4611</v>
      </c>
      <c r="C4472" t="s">
        <v>836</v>
      </c>
      <c r="D4472" t="s">
        <v>563</v>
      </c>
      <c r="E4472">
        <v>4</v>
      </c>
      <c r="F4472">
        <v>27.2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2:18">
      <c r="B4473" t="s">
        <v>4612</v>
      </c>
      <c r="C4473" t="s">
        <v>836</v>
      </c>
      <c r="D4473" t="s">
        <v>563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2:18">
      <c r="B4474" t="s">
        <v>4613</v>
      </c>
      <c r="C4474" t="s">
        <v>836</v>
      </c>
      <c r="D4474" t="s">
        <v>563</v>
      </c>
      <c r="E4474">
        <v>2</v>
      </c>
      <c r="F4474">
        <v>53.8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2:18">
      <c r="B4475" t="s">
        <v>4614</v>
      </c>
      <c r="C4475" t="s">
        <v>836</v>
      </c>
      <c r="D4475" t="s">
        <v>563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2:18">
      <c r="B4476" t="s">
        <v>4615</v>
      </c>
      <c r="C4476" t="s">
        <v>836</v>
      </c>
      <c r="D4476" t="s">
        <v>563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2:18">
      <c r="B4477" t="s">
        <v>4616</v>
      </c>
      <c r="C4477" t="s">
        <v>836</v>
      </c>
      <c r="D4477" t="s">
        <v>563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2:18">
      <c r="B4478" t="s">
        <v>4617</v>
      </c>
      <c r="C4478" t="s">
        <v>836</v>
      </c>
      <c r="D4478" t="s">
        <v>563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2:18">
      <c r="B4479" t="s">
        <v>4618</v>
      </c>
      <c r="C4479" t="s">
        <v>836</v>
      </c>
      <c r="D4479" t="s">
        <v>563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2:18">
      <c r="B4480" t="s">
        <v>4619</v>
      </c>
      <c r="C4480" t="s">
        <v>836</v>
      </c>
      <c r="D4480" t="s">
        <v>563</v>
      </c>
      <c r="E4480">
        <v>0</v>
      </c>
      <c r="F4480">
        <v>0</v>
      </c>
      <c r="G4480">
        <v>3.4</v>
      </c>
      <c r="H4480">
        <v>69</v>
      </c>
      <c r="I4480">
        <v>0</v>
      </c>
      <c r="J4480">
        <v>0</v>
      </c>
      <c r="K4480">
        <v>0</v>
      </c>
      <c r="L4480">
        <v>0</v>
      </c>
      <c r="M4480">
        <v>8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2:18">
      <c r="B4481" t="s">
        <v>4620</v>
      </c>
      <c r="C4481" t="s">
        <v>836</v>
      </c>
      <c r="D4481" t="s">
        <v>563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2:18">
      <c r="B4482" t="s">
        <v>4621</v>
      </c>
      <c r="C4482" t="s">
        <v>836</v>
      </c>
      <c r="D4482" t="s">
        <v>563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2:18">
      <c r="B4483" t="s">
        <v>4622</v>
      </c>
      <c r="C4483" t="s">
        <v>836</v>
      </c>
      <c r="D4483" t="s">
        <v>563</v>
      </c>
      <c r="E4483">
        <v>6</v>
      </c>
      <c r="F4483">
        <v>14.94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78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2:18">
      <c r="B4484" t="s">
        <v>4623</v>
      </c>
      <c r="C4484" t="s">
        <v>836</v>
      </c>
      <c r="D4484" t="s">
        <v>563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2:18">
      <c r="B4485" t="s">
        <v>4624</v>
      </c>
      <c r="C4485" t="s">
        <v>836</v>
      </c>
      <c r="D4485" t="s">
        <v>563</v>
      </c>
      <c r="E4485">
        <v>3</v>
      </c>
      <c r="F4485">
        <v>40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2:18">
      <c r="B4486" t="s">
        <v>4625</v>
      </c>
      <c r="C4486" t="s">
        <v>836</v>
      </c>
      <c r="D4486" t="s">
        <v>563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2:18">
      <c r="B4487" t="s">
        <v>4626</v>
      </c>
      <c r="C4487" t="s">
        <v>836</v>
      </c>
      <c r="D4487" t="s">
        <v>563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2:18">
      <c r="B4488" t="s">
        <v>4627</v>
      </c>
      <c r="C4488" t="s">
        <v>836</v>
      </c>
      <c r="D4488" t="s">
        <v>563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2:18">
      <c r="B4489" t="s">
        <v>4628</v>
      </c>
      <c r="C4489" t="s">
        <v>836</v>
      </c>
      <c r="D4489" t="s">
        <v>563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2:18">
      <c r="B4490" t="s">
        <v>4629</v>
      </c>
      <c r="C4490" t="s">
        <v>836</v>
      </c>
      <c r="D4490" t="s">
        <v>563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2:18">
      <c r="B4491" t="s">
        <v>4630</v>
      </c>
      <c r="C4491" t="s">
        <v>836</v>
      </c>
      <c r="D4491" t="s">
        <v>563</v>
      </c>
      <c r="E4491">
        <v>300</v>
      </c>
      <c r="F4491">
        <v>0.01</v>
      </c>
      <c r="G4491">
        <v>0.2</v>
      </c>
      <c r="H4491">
        <v>1892</v>
      </c>
      <c r="I4491">
        <v>0</v>
      </c>
      <c r="J4491">
        <v>0</v>
      </c>
      <c r="K4491">
        <v>0</v>
      </c>
      <c r="L4491">
        <v>0</v>
      </c>
      <c r="M4491">
        <v>0.14199999999999999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2:18">
      <c r="B4492" t="s">
        <v>4631</v>
      </c>
      <c r="C4492" t="s">
        <v>836</v>
      </c>
      <c r="D4492" t="s">
        <v>563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2:18">
      <c r="B4493" t="s">
        <v>4632</v>
      </c>
      <c r="C4493" t="s">
        <v>836</v>
      </c>
      <c r="D4493" t="s">
        <v>563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2:18">
      <c r="B4494" t="s">
        <v>4633</v>
      </c>
      <c r="C4494" t="s">
        <v>836</v>
      </c>
      <c r="D4494" t="s">
        <v>563</v>
      </c>
      <c r="E4494">
        <v>4</v>
      </c>
      <c r="F4494">
        <v>27.9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2:18">
      <c r="B4495" t="s">
        <v>4634</v>
      </c>
      <c r="C4495" t="s">
        <v>836</v>
      </c>
      <c r="D4495" t="s">
        <v>563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2:18">
      <c r="B4496" t="s">
        <v>4635</v>
      </c>
      <c r="C4496" t="s">
        <v>836</v>
      </c>
      <c r="D4496" t="s">
        <v>563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2:18">
      <c r="B4497" t="s">
        <v>4636</v>
      </c>
      <c r="C4497" t="s">
        <v>836</v>
      </c>
      <c r="D4497" t="s">
        <v>563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</row>
    <row r="4498" spans="2:18">
      <c r="B4498" t="s">
        <v>4637</v>
      </c>
      <c r="C4498" t="s">
        <v>836</v>
      </c>
      <c r="D4498" t="s">
        <v>563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2:18">
      <c r="B4499" t="s">
        <v>4638</v>
      </c>
      <c r="C4499" t="s">
        <v>836</v>
      </c>
      <c r="D4499" t="s">
        <v>563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2:18">
      <c r="B4500" t="s">
        <v>4639</v>
      </c>
      <c r="C4500" t="s">
        <v>836</v>
      </c>
      <c r="D4500" t="s">
        <v>563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2:18">
      <c r="B4501" t="s">
        <v>4640</v>
      </c>
      <c r="C4501" t="s">
        <v>836</v>
      </c>
      <c r="D4501" t="s">
        <v>563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2:18">
      <c r="B4502" t="s">
        <v>4641</v>
      </c>
      <c r="C4502" t="s">
        <v>836</v>
      </c>
      <c r="D4502" t="s">
        <v>563</v>
      </c>
      <c r="E4502">
        <v>1</v>
      </c>
      <c r="F4502">
        <v>14</v>
      </c>
      <c r="G4502">
        <v>20</v>
      </c>
      <c r="H4502">
        <v>10</v>
      </c>
      <c r="I4502">
        <v>0</v>
      </c>
      <c r="J4502">
        <v>0</v>
      </c>
      <c r="K4502">
        <v>0</v>
      </c>
      <c r="L4502">
        <v>0</v>
      </c>
      <c r="M4502">
        <v>20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2:18">
      <c r="B4503" t="s">
        <v>4642</v>
      </c>
      <c r="C4503" t="s">
        <v>836</v>
      </c>
      <c r="D4503" t="s">
        <v>563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2:18">
      <c r="B4504" t="s">
        <v>4643</v>
      </c>
      <c r="C4504" t="s">
        <v>836</v>
      </c>
      <c r="D4504" t="s">
        <v>563</v>
      </c>
      <c r="E4504">
        <v>5</v>
      </c>
      <c r="F4504">
        <v>19.36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2:18">
      <c r="B4505" t="s">
        <v>4644</v>
      </c>
      <c r="C4505" t="s">
        <v>836</v>
      </c>
      <c r="D4505" t="s">
        <v>563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2:18">
      <c r="B4506" t="s">
        <v>4645</v>
      </c>
      <c r="C4506" t="s">
        <v>836</v>
      </c>
      <c r="D4506" t="s">
        <v>563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</row>
    <row r="4507" spans="2:18">
      <c r="B4507" t="s">
        <v>4646</v>
      </c>
      <c r="C4507" t="s">
        <v>836</v>
      </c>
      <c r="D4507" t="s">
        <v>563</v>
      </c>
      <c r="E4507">
        <v>25</v>
      </c>
      <c r="F4507">
        <v>1.1200000000000001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2:18">
      <c r="B4508" t="s">
        <v>4647</v>
      </c>
      <c r="C4508" t="s">
        <v>836</v>
      </c>
      <c r="D4508" t="s">
        <v>563</v>
      </c>
      <c r="E4508">
        <v>100</v>
      </c>
      <c r="F4508">
        <v>0.315</v>
      </c>
      <c r="G4508">
        <v>5.5</v>
      </c>
      <c r="H4508">
        <v>65</v>
      </c>
      <c r="I4508">
        <v>0</v>
      </c>
      <c r="J4508">
        <v>0</v>
      </c>
      <c r="K4508">
        <v>0</v>
      </c>
      <c r="L4508">
        <v>0</v>
      </c>
      <c r="M4508">
        <v>9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2:18">
      <c r="B4509" t="s">
        <v>4648</v>
      </c>
      <c r="C4509" t="s">
        <v>836</v>
      </c>
      <c r="D4509" t="s">
        <v>563</v>
      </c>
      <c r="E4509">
        <v>6</v>
      </c>
      <c r="F4509">
        <v>13.03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2:18">
      <c r="B4510" t="s">
        <v>4649</v>
      </c>
      <c r="C4510" t="s">
        <v>836</v>
      </c>
      <c r="D4510" t="s">
        <v>563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2:18">
      <c r="B4511" t="s">
        <v>4650</v>
      </c>
      <c r="C4511" t="s">
        <v>836</v>
      </c>
      <c r="D4511" t="s">
        <v>563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2:18">
      <c r="B4512" t="s">
        <v>4651</v>
      </c>
      <c r="C4512" t="s">
        <v>836</v>
      </c>
      <c r="D4512" t="s">
        <v>563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2:18">
      <c r="B4513" t="s">
        <v>4652</v>
      </c>
      <c r="C4513" t="s">
        <v>836</v>
      </c>
      <c r="D4513" t="s">
        <v>563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2:18">
      <c r="B4514" t="s">
        <v>4653</v>
      </c>
      <c r="C4514" t="s">
        <v>836</v>
      </c>
      <c r="D4514" t="s">
        <v>563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2:18">
      <c r="B4515" t="s">
        <v>4654</v>
      </c>
      <c r="C4515" t="s">
        <v>836</v>
      </c>
      <c r="D4515" t="s">
        <v>563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2:18">
      <c r="B4516" t="s">
        <v>4655</v>
      </c>
      <c r="C4516" t="s">
        <v>836</v>
      </c>
      <c r="D4516" t="s">
        <v>563</v>
      </c>
      <c r="E4516">
        <v>10</v>
      </c>
      <c r="F4516">
        <v>294</v>
      </c>
      <c r="G4516">
        <v>303</v>
      </c>
      <c r="H4516">
        <v>10</v>
      </c>
      <c r="I4516">
        <v>0</v>
      </c>
      <c r="J4516">
        <v>0</v>
      </c>
      <c r="K4516">
        <v>0</v>
      </c>
      <c r="L4516">
        <v>0</v>
      </c>
      <c r="M4516">
        <v>266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2:18">
      <c r="B4517" t="s">
        <v>4656</v>
      </c>
      <c r="C4517" t="s">
        <v>836</v>
      </c>
      <c r="D4517" t="s">
        <v>563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2:18">
      <c r="B4518" t="s">
        <v>4657</v>
      </c>
      <c r="C4518" t="s">
        <v>836</v>
      </c>
      <c r="D4518" t="s">
        <v>563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</row>
    <row r="4519" spans="2:18">
      <c r="B4519" t="s">
        <v>4658</v>
      </c>
      <c r="C4519" t="s">
        <v>836</v>
      </c>
      <c r="D4519" t="s">
        <v>563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2:18">
      <c r="B4520" t="s">
        <v>4659</v>
      </c>
      <c r="C4520" t="s">
        <v>836</v>
      </c>
      <c r="D4520" t="s">
        <v>563</v>
      </c>
      <c r="E4520">
        <v>10</v>
      </c>
      <c r="F4520">
        <v>344</v>
      </c>
      <c r="G4520">
        <v>353</v>
      </c>
      <c r="H4520">
        <v>10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2:18">
      <c r="B4521" t="s">
        <v>4660</v>
      </c>
      <c r="C4521" t="s">
        <v>836</v>
      </c>
      <c r="D4521" t="s">
        <v>563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</row>
    <row r="4522" spans="2:18">
      <c r="B4522" t="s">
        <v>4661</v>
      </c>
      <c r="C4522" t="s">
        <v>836</v>
      </c>
      <c r="D4522" t="s">
        <v>563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2:18">
      <c r="B4523" t="s">
        <v>4662</v>
      </c>
      <c r="C4523" t="s">
        <v>836</v>
      </c>
      <c r="D4523" t="s">
        <v>563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2:18">
      <c r="B4524" t="s">
        <v>4663</v>
      </c>
      <c r="C4524" t="s">
        <v>836</v>
      </c>
      <c r="D4524" t="s">
        <v>563</v>
      </c>
      <c r="E4524">
        <v>10</v>
      </c>
      <c r="F4524">
        <v>393</v>
      </c>
      <c r="G4524">
        <v>403</v>
      </c>
      <c r="H4524">
        <v>10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2:18">
      <c r="B4525" t="s">
        <v>4664</v>
      </c>
      <c r="C4525" t="s">
        <v>836</v>
      </c>
      <c r="D4525" t="s">
        <v>563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2:18">
      <c r="B4526" t="s">
        <v>4665</v>
      </c>
      <c r="C4526" t="s">
        <v>836</v>
      </c>
      <c r="D4526" t="s">
        <v>563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2:18">
      <c r="B4527" t="s">
        <v>4666</v>
      </c>
      <c r="C4527" t="s">
        <v>836</v>
      </c>
      <c r="D4527" t="s">
        <v>563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2:18">
      <c r="B4528" t="s">
        <v>4667</v>
      </c>
      <c r="C4528" t="s">
        <v>836</v>
      </c>
      <c r="D4528" t="s">
        <v>563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2:18">
      <c r="B4529" t="s">
        <v>4668</v>
      </c>
      <c r="C4529" t="s">
        <v>836</v>
      </c>
      <c r="D4529" t="s">
        <v>563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2:18">
      <c r="B4530" t="s">
        <v>4669</v>
      </c>
      <c r="C4530" t="s">
        <v>836</v>
      </c>
      <c r="D4530" t="s">
        <v>563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2:18">
      <c r="B4531" t="s">
        <v>4670</v>
      </c>
      <c r="C4531" t="s">
        <v>836</v>
      </c>
      <c r="D4531" t="s">
        <v>563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</row>
    <row r="4532" spans="2:18">
      <c r="B4532" t="s">
        <v>4671</v>
      </c>
      <c r="C4532" t="s">
        <v>836</v>
      </c>
      <c r="D4532" t="s">
        <v>563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2:18">
      <c r="B4533" t="s">
        <v>4672</v>
      </c>
      <c r="C4533" t="s">
        <v>836</v>
      </c>
      <c r="D4533" t="s">
        <v>563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</row>
    <row r="4534" spans="2:18">
      <c r="B4534" t="s">
        <v>4673</v>
      </c>
      <c r="C4534" t="s">
        <v>836</v>
      </c>
      <c r="D4534" t="s">
        <v>563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2:18">
      <c r="B4535" t="s">
        <v>4674</v>
      </c>
      <c r="C4535" t="s">
        <v>836</v>
      </c>
      <c r="D4535" t="s">
        <v>563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2:18">
      <c r="B4536" t="s">
        <v>4675</v>
      </c>
      <c r="C4536" t="s">
        <v>836</v>
      </c>
      <c r="D4536" t="s">
        <v>563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2:18">
      <c r="B4537" t="s">
        <v>4676</v>
      </c>
      <c r="C4537" t="s">
        <v>836</v>
      </c>
      <c r="D4537" t="s">
        <v>563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2:18">
      <c r="B4538" t="s">
        <v>4677</v>
      </c>
      <c r="C4538" t="s">
        <v>836</v>
      </c>
      <c r="D4538" t="s">
        <v>563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2:18">
      <c r="B4539" t="s">
        <v>4678</v>
      </c>
      <c r="C4539" t="s">
        <v>836</v>
      </c>
      <c r="D4539" t="s">
        <v>563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2:18">
      <c r="B4540" t="s">
        <v>4679</v>
      </c>
      <c r="C4540" t="s">
        <v>836</v>
      </c>
      <c r="D4540" t="s">
        <v>563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2:18">
      <c r="B4541" t="s">
        <v>4680</v>
      </c>
      <c r="C4541" t="s">
        <v>836</v>
      </c>
      <c r="D4541" t="s">
        <v>563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2:18">
      <c r="B4542" t="s">
        <v>4681</v>
      </c>
      <c r="C4542" t="s">
        <v>836</v>
      </c>
      <c r="D4542" t="s">
        <v>563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</row>
    <row r="4543" spans="2:18">
      <c r="B4543" t="s">
        <v>4682</v>
      </c>
      <c r="C4543" t="s">
        <v>836</v>
      </c>
      <c r="D4543" t="s">
        <v>563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2:18">
      <c r="B4544" t="s">
        <v>4683</v>
      </c>
      <c r="C4544" t="s">
        <v>836</v>
      </c>
      <c r="D4544" t="s">
        <v>563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2:18">
      <c r="B4545" t="s">
        <v>4684</v>
      </c>
      <c r="C4545" t="s">
        <v>836</v>
      </c>
      <c r="D4545" t="s">
        <v>563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2:18">
      <c r="B4546" t="s">
        <v>4685</v>
      </c>
      <c r="C4546" t="s">
        <v>836</v>
      </c>
      <c r="D4546" t="s">
        <v>563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2:18">
      <c r="B4547" t="s">
        <v>4686</v>
      </c>
      <c r="C4547" t="s">
        <v>836</v>
      </c>
      <c r="D4547" t="s">
        <v>563</v>
      </c>
      <c r="E4547">
        <v>0</v>
      </c>
      <c r="F4547">
        <v>0</v>
      </c>
      <c r="G4547">
        <v>4</v>
      </c>
      <c r="H4547">
        <v>11</v>
      </c>
      <c r="I4547">
        <v>0</v>
      </c>
      <c r="J4547">
        <v>0</v>
      </c>
      <c r="K4547">
        <v>0</v>
      </c>
      <c r="L4547">
        <v>0</v>
      </c>
      <c r="M4547">
        <v>2.85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2:18">
      <c r="B4548" t="s">
        <v>4687</v>
      </c>
      <c r="C4548" t="s">
        <v>836</v>
      </c>
      <c r="D4548" t="s">
        <v>563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2:18">
      <c r="B4549" t="s">
        <v>4688</v>
      </c>
      <c r="C4549" t="s">
        <v>836</v>
      </c>
      <c r="D4549" t="s">
        <v>563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2:18">
      <c r="B4550" t="s">
        <v>4689</v>
      </c>
      <c r="C4550" t="s">
        <v>836</v>
      </c>
      <c r="D4550" t="s">
        <v>563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2:18">
      <c r="B4551" t="s">
        <v>4690</v>
      </c>
      <c r="C4551" t="s">
        <v>836</v>
      </c>
      <c r="D4551" t="s">
        <v>563</v>
      </c>
      <c r="E4551">
        <v>0</v>
      </c>
      <c r="F4551">
        <v>0</v>
      </c>
      <c r="G4551">
        <v>10</v>
      </c>
      <c r="H4551">
        <v>10</v>
      </c>
      <c r="I4551">
        <v>0</v>
      </c>
      <c r="J4551">
        <v>0</v>
      </c>
      <c r="K4551">
        <v>0</v>
      </c>
      <c r="L4551">
        <v>0</v>
      </c>
      <c r="M4551">
        <v>5.95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2:18">
      <c r="B4552" t="s">
        <v>4691</v>
      </c>
      <c r="C4552" t="s">
        <v>836</v>
      </c>
      <c r="D4552" t="s">
        <v>563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2:18">
      <c r="B4553" t="s">
        <v>4692</v>
      </c>
      <c r="C4553" t="s">
        <v>836</v>
      </c>
      <c r="D4553" t="s">
        <v>563</v>
      </c>
      <c r="E4553">
        <v>0</v>
      </c>
      <c r="F4553">
        <v>0</v>
      </c>
      <c r="G4553">
        <v>18.059999999999999</v>
      </c>
      <c r="H4553">
        <v>300</v>
      </c>
      <c r="I4553">
        <v>0</v>
      </c>
      <c r="J4553">
        <v>0</v>
      </c>
      <c r="K4553">
        <v>0</v>
      </c>
      <c r="L4553">
        <v>0</v>
      </c>
      <c r="M4553">
        <v>5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2:18">
      <c r="B4554" t="s">
        <v>4693</v>
      </c>
      <c r="C4554" t="s">
        <v>836</v>
      </c>
      <c r="D4554" t="s">
        <v>563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2:18">
      <c r="B4555" t="s">
        <v>4694</v>
      </c>
      <c r="C4555" t="s">
        <v>836</v>
      </c>
      <c r="D4555" t="s">
        <v>563</v>
      </c>
      <c r="E4555">
        <v>8</v>
      </c>
      <c r="F4555">
        <v>6.9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2:18">
      <c r="B4556" t="s">
        <v>4695</v>
      </c>
      <c r="C4556" t="s">
        <v>836</v>
      </c>
      <c r="D4556" t="s">
        <v>563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2:18">
      <c r="B4557" t="s">
        <v>4696</v>
      </c>
      <c r="C4557" t="s">
        <v>836</v>
      </c>
      <c r="D4557" t="s">
        <v>563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2:18">
      <c r="B4558" t="s">
        <v>4697</v>
      </c>
      <c r="C4558" t="s">
        <v>836</v>
      </c>
      <c r="D4558" t="s">
        <v>563</v>
      </c>
      <c r="E4558">
        <v>30</v>
      </c>
      <c r="F4558">
        <v>1</v>
      </c>
      <c r="G4558">
        <v>2.028</v>
      </c>
      <c r="H4558">
        <v>453</v>
      </c>
      <c r="I4558">
        <v>0</v>
      </c>
      <c r="J4558">
        <v>0</v>
      </c>
      <c r="K4558">
        <v>0</v>
      </c>
      <c r="L4558">
        <v>0</v>
      </c>
      <c r="M4558">
        <v>4.99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2:18">
      <c r="B4559" t="s">
        <v>4698</v>
      </c>
      <c r="C4559" t="s">
        <v>836</v>
      </c>
      <c r="D4559" t="s">
        <v>563</v>
      </c>
      <c r="E4559">
        <v>8</v>
      </c>
      <c r="F4559">
        <v>8.2200000000000006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2:18">
      <c r="B4560" t="s">
        <v>4699</v>
      </c>
      <c r="C4560" t="s">
        <v>836</v>
      </c>
      <c r="D4560" t="s">
        <v>563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2:18">
      <c r="B4561" t="s">
        <v>4700</v>
      </c>
      <c r="C4561" t="s">
        <v>836</v>
      </c>
      <c r="D4561" t="s">
        <v>563</v>
      </c>
      <c r="E4561">
        <v>5</v>
      </c>
      <c r="F4561">
        <v>15.15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2:18">
      <c r="B4562" t="s">
        <v>4701</v>
      </c>
      <c r="C4562" t="s">
        <v>836</v>
      </c>
      <c r="D4562" t="s">
        <v>563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2:18">
      <c r="B4563" t="s">
        <v>4702</v>
      </c>
      <c r="C4563" t="s">
        <v>836</v>
      </c>
      <c r="D4563" t="s">
        <v>563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2:18">
      <c r="B4564" t="s">
        <v>4703</v>
      </c>
      <c r="C4564" t="s">
        <v>836</v>
      </c>
      <c r="D4564" t="s">
        <v>563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2:18">
      <c r="B4565" t="s">
        <v>4704</v>
      </c>
      <c r="C4565" t="s">
        <v>836</v>
      </c>
      <c r="D4565" t="s">
        <v>563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2:18">
      <c r="B4566" t="s">
        <v>4705</v>
      </c>
      <c r="C4566" t="s">
        <v>836</v>
      </c>
      <c r="D4566" t="s">
        <v>563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2:18">
      <c r="B4567" t="s">
        <v>4706</v>
      </c>
      <c r="C4567" t="s">
        <v>836</v>
      </c>
      <c r="D4567" t="s">
        <v>563</v>
      </c>
      <c r="E4567">
        <v>10</v>
      </c>
      <c r="F4567">
        <v>6</v>
      </c>
      <c r="G4567">
        <v>13.01</v>
      </c>
      <c r="H4567">
        <v>311</v>
      </c>
      <c r="I4567">
        <v>0</v>
      </c>
      <c r="J4567">
        <v>0</v>
      </c>
      <c r="K4567">
        <v>0</v>
      </c>
      <c r="L4567">
        <v>0</v>
      </c>
      <c r="M4567">
        <v>14.74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2:18">
      <c r="B4568" t="s">
        <v>4707</v>
      </c>
      <c r="C4568" t="s">
        <v>836</v>
      </c>
      <c r="D4568" t="s">
        <v>563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2:18">
      <c r="B4569" t="s">
        <v>4708</v>
      </c>
      <c r="C4569" t="s">
        <v>836</v>
      </c>
      <c r="D4569" t="s">
        <v>563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2:18">
      <c r="B4570" t="s">
        <v>4709</v>
      </c>
      <c r="C4570" t="s">
        <v>836</v>
      </c>
      <c r="D4570" t="s">
        <v>563</v>
      </c>
      <c r="E4570">
        <v>4</v>
      </c>
      <c r="F4570">
        <v>20.8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2:18">
      <c r="B4571" t="s">
        <v>4710</v>
      </c>
      <c r="C4571" t="s">
        <v>836</v>
      </c>
      <c r="D4571" t="s">
        <v>563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2:18">
      <c r="B4572" t="s">
        <v>4711</v>
      </c>
      <c r="C4572" t="s">
        <v>836</v>
      </c>
      <c r="D4572" t="s">
        <v>563</v>
      </c>
      <c r="E4572">
        <v>3</v>
      </c>
      <c r="F4572">
        <v>28.4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2:18">
      <c r="B4573" t="s">
        <v>4712</v>
      </c>
      <c r="C4573" t="s">
        <v>836</v>
      </c>
      <c r="D4573" t="s">
        <v>563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2:18">
      <c r="B4574" t="s">
        <v>4713</v>
      </c>
      <c r="C4574" t="s">
        <v>836</v>
      </c>
      <c r="D4574" t="s">
        <v>563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2:18">
      <c r="B4575" t="s">
        <v>4714</v>
      </c>
      <c r="C4575" t="s">
        <v>836</v>
      </c>
      <c r="D4575" t="s">
        <v>563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2:18">
      <c r="B4576" t="s">
        <v>4715</v>
      </c>
      <c r="C4576" t="s">
        <v>836</v>
      </c>
      <c r="D4576" t="s">
        <v>563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2:18">
      <c r="B4577" t="s">
        <v>4716</v>
      </c>
      <c r="C4577" t="s">
        <v>836</v>
      </c>
      <c r="D4577" t="s">
        <v>563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2:18">
      <c r="B4578" t="s">
        <v>4717</v>
      </c>
      <c r="C4578" t="s">
        <v>836</v>
      </c>
      <c r="D4578" t="s">
        <v>563</v>
      </c>
      <c r="E4578">
        <v>3</v>
      </c>
      <c r="F4578">
        <v>44.3</v>
      </c>
      <c r="G4578">
        <v>76.3</v>
      </c>
      <c r="H4578">
        <v>5</v>
      </c>
      <c r="I4578">
        <v>0</v>
      </c>
      <c r="J4578">
        <v>0</v>
      </c>
      <c r="K4578">
        <v>0</v>
      </c>
      <c r="L4578">
        <v>0</v>
      </c>
      <c r="M4578">
        <v>51.1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2:18">
      <c r="B4579" t="s">
        <v>4718</v>
      </c>
      <c r="C4579" t="s">
        <v>836</v>
      </c>
      <c r="D4579" t="s">
        <v>563</v>
      </c>
      <c r="E4579">
        <v>10</v>
      </c>
      <c r="F4579">
        <v>45</v>
      </c>
      <c r="G4579">
        <v>73</v>
      </c>
      <c r="H4579">
        <v>10</v>
      </c>
      <c r="I4579">
        <v>0</v>
      </c>
      <c r="J4579">
        <v>0</v>
      </c>
      <c r="K4579">
        <v>0</v>
      </c>
      <c r="L4579">
        <v>0</v>
      </c>
      <c r="M4579">
        <v>39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2:18">
      <c r="B4580" t="s">
        <v>4719</v>
      </c>
      <c r="C4580" t="s">
        <v>836</v>
      </c>
      <c r="D4580" t="s">
        <v>563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2:18">
      <c r="B4581" t="s">
        <v>4720</v>
      </c>
      <c r="C4581" t="s">
        <v>836</v>
      </c>
      <c r="D4581" t="s">
        <v>563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2:18">
      <c r="B4582" t="s">
        <v>4721</v>
      </c>
      <c r="C4582" t="s">
        <v>836</v>
      </c>
      <c r="D4582" t="s">
        <v>563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2:18">
      <c r="B4583" t="s">
        <v>4722</v>
      </c>
      <c r="C4583" t="s">
        <v>836</v>
      </c>
      <c r="D4583" t="s">
        <v>563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2:18">
      <c r="B4584" t="s">
        <v>4723</v>
      </c>
      <c r="C4584" t="s">
        <v>836</v>
      </c>
      <c r="D4584" t="s">
        <v>563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2:18">
      <c r="B4585" t="s">
        <v>4724</v>
      </c>
      <c r="C4585" t="s">
        <v>836</v>
      </c>
      <c r="D4585" t="s">
        <v>563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2:18">
      <c r="B4586" t="s">
        <v>4725</v>
      </c>
      <c r="C4586" t="s">
        <v>836</v>
      </c>
      <c r="D4586" t="s">
        <v>563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2:18">
      <c r="B4587" t="s">
        <v>4726</v>
      </c>
      <c r="C4587" t="s">
        <v>836</v>
      </c>
      <c r="D4587" t="s">
        <v>563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2:18">
      <c r="B4588" t="s">
        <v>4727</v>
      </c>
      <c r="C4588" t="s">
        <v>836</v>
      </c>
      <c r="D4588" t="s">
        <v>563</v>
      </c>
      <c r="E4588">
        <v>10</v>
      </c>
      <c r="F4588">
        <v>94</v>
      </c>
      <c r="G4588">
        <v>114</v>
      </c>
      <c r="H4588">
        <v>10</v>
      </c>
      <c r="I4588">
        <v>0</v>
      </c>
      <c r="J4588">
        <v>0</v>
      </c>
      <c r="K4588">
        <v>0</v>
      </c>
      <c r="L4588">
        <v>0</v>
      </c>
      <c r="M4588">
        <v>100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2:18">
      <c r="B4589" t="s">
        <v>4728</v>
      </c>
      <c r="C4589" t="s">
        <v>836</v>
      </c>
      <c r="D4589" t="s">
        <v>563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2:18">
      <c r="B4590" t="s">
        <v>4729</v>
      </c>
      <c r="C4590" t="s">
        <v>836</v>
      </c>
      <c r="D4590" t="s">
        <v>563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2:18">
      <c r="B4591" t="s">
        <v>4730</v>
      </c>
      <c r="C4591" t="s">
        <v>836</v>
      </c>
      <c r="D4591" t="s">
        <v>563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2:18">
      <c r="B4592" t="s">
        <v>4731</v>
      </c>
      <c r="C4592" t="s">
        <v>836</v>
      </c>
      <c r="D4592" t="s">
        <v>563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2:18">
      <c r="B4593" t="s">
        <v>4732</v>
      </c>
      <c r="C4593" t="s">
        <v>836</v>
      </c>
      <c r="D4593" t="s">
        <v>563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2:18">
      <c r="B4594" t="s">
        <v>4733</v>
      </c>
      <c r="C4594" t="s">
        <v>836</v>
      </c>
      <c r="D4594" t="s">
        <v>563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2:18">
      <c r="B4595" t="s">
        <v>4734</v>
      </c>
      <c r="C4595" t="s">
        <v>836</v>
      </c>
      <c r="D4595" t="s">
        <v>563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2:18">
      <c r="B4596" t="s">
        <v>4735</v>
      </c>
      <c r="C4596" t="s">
        <v>836</v>
      </c>
      <c r="D4596" t="s">
        <v>563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2:18">
      <c r="B4597" t="s">
        <v>4736</v>
      </c>
      <c r="C4597" t="s">
        <v>836</v>
      </c>
      <c r="D4597" t="s">
        <v>563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2:18">
      <c r="B4598" t="s">
        <v>4737</v>
      </c>
      <c r="C4598" t="s">
        <v>836</v>
      </c>
      <c r="D4598" t="s">
        <v>563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2:18">
      <c r="B4599" t="s">
        <v>4738</v>
      </c>
      <c r="C4599" t="s">
        <v>836</v>
      </c>
      <c r="D4599" t="s">
        <v>563</v>
      </c>
      <c r="E4599">
        <v>10</v>
      </c>
      <c r="F4599">
        <v>144</v>
      </c>
      <c r="G4599">
        <v>159</v>
      </c>
      <c r="H4599">
        <v>10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2:18">
      <c r="B4600" t="s">
        <v>4739</v>
      </c>
      <c r="C4600" t="s">
        <v>836</v>
      </c>
      <c r="D4600" t="s">
        <v>563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2:18">
      <c r="B4601" t="s">
        <v>4740</v>
      </c>
      <c r="C4601" t="s">
        <v>836</v>
      </c>
      <c r="D4601" t="s">
        <v>563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2:18">
      <c r="B4602" t="s">
        <v>4741</v>
      </c>
      <c r="C4602" t="s">
        <v>836</v>
      </c>
      <c r="D4602" t="s">
        <v>563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2:18">
      <c r="B4603" t="s">
        <v>4742</v>
      </c>
      <c r="C4603" t="s">
        <v>836</v>
      </c>
      <c r="D4603" t="s">
        <v>563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2:18">
      <c r="B4604" t="s">
        <v>4743</v>
      </c>
      <c r="C4604" t="s">
        <v>836</v>
      </c>
      <c r="D4604" t="s">
        <v>563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2:18">
      <c r="B4605" t="s">
        <v>4744</v>
      </c>
      <c r="C4605" t="s">
        <v>836</v>
      </c>
      <c r="D4605" t="s">
        <v>563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2:18">
      <c r="B4606" t="s">
        <v>4745</v>
      </c>
      <c r="C4606" t="s">
        <v>836</v>
      </c>
      <c r="D4606" t="s">
        <v>563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2:18">
      <c r="B4607" t="s">
        <v>4746</v>
      </c>
      <c r="C4607" t="s">
        <v>836</v>
      </c>
      <c r="D4607" t="s">
        <v>563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2:18">
      <c r="B4608" t="s">
        <v>4747</v>
      </c>
      <c r="C4608" t="s">
        <v>836</v>
      </c>
      <c r="D4608" t="s">
        <v>563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</row>
    <row r="4609" spans="2:18">
      <c r="B4609" t="s">
        <v>4748</v>
      </c>
      <c r="C4609" t="s">
        <v>836</v>
      </c>
      <c r="D4609" t="s">
        <v>563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2:18">
      <c r="B4610" t="s">
        <v>4749</v>
      </c>
      <c r="C4610" t="s">
        <v>836</v>
      </c>
      <c r="D4610" t="s">
        <v>563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2:18">
      <c r="B4611" t="s">
        <v>4750</v>
      </c>
      <c r="C4611" t="s">
        <v>836</v>
      </c>
      <c r="D4611" t="s">
        <v>563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2:18">
      <c r="B4612" t="s">
        <v>4751</v>
      </c>
      <c r="C4612" t="s">
        <v>836</v>
      </c>
      <c r="D4612" t="s">
        <v>563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2:18">
      <c r="B4613" t="s">
        <v>4752</v>
      </c>
      <c r="C4613" t="s">
        <v>836</v>
      </c>
      <c r="D4613" t="s">
        <v>563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2:18">
      <c r="B4614" t="s">
        <v>4753</v>
      </c>
      <c r="C4614" t="s">
        <v>836</v>
      </c>
      <c r="D4614" t="s">
        <v>563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2:18">
      <c r="B4615" t="s">
        <v>4754</v>
      </c>
      <c r="C4615" t="s">
        <v>836</v>
      </c>
      <c r="D4615" t="s">
        <v>563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2:18">
      <c r="B4616" t="s">
        <v>4755</v>
      </c>
      <c r="C4616" t="s">
        <v>836</v>
      </c>
      <c r="D4616" t="s">
        <v>563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2:18">
      <c r="B4617" t="s">
        <v>4756</v>
      </c>
      <c r="C4617" t="s">
        <v>836</v>
      </c>
      <c r="D4617" t="s">
        <v>563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2:18">
      <c r="B4618" t="s">
        <v>4757</v>
      </c>
      <c r="C4618" t="s">
        <v>836</v>
      </c>
      <c r="D4618" t="s">
        <v>563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2:18">
      <c r="B4619" t="s">
        <v>4758</v>
      </c>
      <c r="C4619" t="s">
        <v>836</v>
      </c>
      <c r="D4619" t="s">
        <v>563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2:18">
      <c r="B4620" t="s">
        <v>4759</v>
      </c>
      <c r="C4620" t="s">
        <v>836</v>
      </c>
      <c r="D4620" t="s">
        <v>563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2:18">
      <c r="B4621" t="s">
        <v>4760</v>
      </c>
      <c r="C4621" t="s">
        <v>836</v>
      </c>
      <c r="D4621" t="s">
        <v>563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2:18">
      <c r="B4622" t="s">
        <v>4761</v>
      </c>
      <c r="C4622" t="s">
        <v>836</v>
      </c>
      <c r="D4622" t="s">
        <v>563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2:18">
      <c r="B4623" t="s">
        <v>4762</v>
      </c>
      <c r="C4623" t="s">
        <v>836</v>
      </c>
      <c r="D4623" t="s">
        <v>563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2:18">
      <c r="B4624" t="s">
        <v>4763</v>
      </c>
      <c r="C4624" t="s">
        <v>836</v>
      </c>
      <c r="D4624" t="s">
        <v>563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2:18">
      <c r="B4625" t="s">
        <v>4764</v>
      </c>
      <c r="C4625" t="s">
        <v>836</v>
      </c>
      <c r="D4625" t="s">
        <v>563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2:18">
      <c r="B4626" t="s">
        <v>4765</v>
      </c>
      <c r="C4626" t="s">
        <v>836</v>
      </c>
      <c r="D4626" t="s">
        <v>563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2:18">
      <c r="B4627" t="s">
        <v>4766</v>
      </c>
      <c r="C4627" t="s">
        <v>836</v>
      </c>
      <c r="D4627" t="s">
        <v>563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2:18">
      <c r="B4628" t="s">
        <v>4767</v>
      </c>
      <c r="C4628" t="s">
        <v>836</v>
      </c>
      <c r="D4628" t="s">
        <v>563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2:18">
      <c r="B4629" t="s">
        <v>4768</v>
      </c>
      <c r="C4629" t="s">
        <v>836</v>
      </c>
      <c r="D4629" t="s">
        <v>563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2:18">
      <c r="B4630" t="s">
        <v>4769</v>
      </c>
      <c r="C4630" t="s">
        <v>836</v>
      </c>
      <c r="D4630" t="s">
        <v>563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2:18">
      <c r="B4631" t="s">
        <v>4770</v>
      </c>
      <c r="C4631" t="s">
        <v>836</v>
      </c>
      <c r="D4631" t="s">
        <v>563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2:18">
      <c r="B4632" t="s">
        <v>4771</v>
      </c>
      <c r="C4632" t="s">
        <v>836</v>
      </c>
      <c r="D4632" t="s">
        <v>563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2:18">
      <c r="B4633" t="s">
        <v>4772</v>
      </c>
      <c r="C4633" t="s">
        <v>836</v>
      </c>
      <c r="D4633" t="s">
        <v>563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2:18">
      <c r="B4634" t="s">
        <v>4773</v>
      </c>
      <c r="C4634" t="s">
        <v>836</v>
      </c>
      <c r="D4634" t="s">
        <v>563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2:18">
      <c r="B4635" t="s">
        <v>4774</v>
      </c>
      <c r="C4635" t="s">
        <v>836</v>
      </c>
      <c r="D4635" t="s">
        <v>563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2:18">
      <c r="B4636" t="s">
        <v>4775</v>
      </c>
      <c r="C4636" t="s">
        <v>836</v>
      </c>
      <c r="D4636" t="s">
        <v>563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2:18">
      <c r="B4637" t="s">
        <v>4776</v>
      </c>
      <c r="C4637" t="s">
        <v>836</v>
      </c>
      <c r="D4637" t="s">
        <v>563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2:18">
      <c r="B4638" t="s">
        <v>4777</v>
      </c>
      <c r="C4638" t="s">
        <v>836</v>
      </c>
      <c r="D4638" t="s">
        <v>563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2:18">
      <c r="B4639" t="s">
        <v>4778</v>
      </c>
      <c r="C4639" t="s">
        <v>836</v>
      </c>
      <c r="D4639" t="s">
        <v>563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</row>
    <row r="4640" spans="2:18">
      <c r="B4640" t="s">
        <v>4779</v>
      </c>
      <c r="C4640" t="s">
        <v>836</v>
      </c>
      <c r="D4640" t="s">
        <v>553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2:18">
      <c r="B4641" t="s">
        <v>4780</v>
      </c>
      <c r="C4641" t="s">
        <v>836</v>
      </c>
      <c r="D4641" t="s">
        <v>553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2:18">
      <c r="B4642" t="s">
        <v>4781</v>
      </c>
      <c r="C4642" t="s">
        <v>836</v>
      </c>
      <c r="D4642" t="s">
        <v>553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2:18">
      <c r="B4643" t="s">
        <v>4782</v>
      </c>
      <c r="C4643" t="s">
        <v>836</v>
      </c>
      <c r="D4643" t="s">
        <v>553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</row>
    <row r="4644" spans="2:18">
      <c r="B4644" t="s">
        <v>4783</v>
      </c>
      <c r="C4644" t="s">
        <v>836</v>
      </c>
      <c r="D4644" t="s">
        <v>553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</row>
    <row r="4645" spans="2:18">
      <c r="B4645" t="s">
        <v>4784</v>
      </c>
      <c r="C4645" t="s">
        <v>836</v>
      </c>
      <c r="D4645" t="s">
        <v>553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2:18">
      <c r="B4646" t="s">
        <v>4785</v>
      </c>
      <c r="C4646" t="s">
        <v>836</v>
      </c>
      <c r="D4646" t="s">
        <v>553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2:18">
      <c r="B4647" t="s">
        <v>4786</v>
      </c>
      <c r="C4647" t="s">
        <v>836</v>
      </c>
      <c r="D4647" t="s">
        <v>553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2:18">
      <c r="B4648" t="s">
        <v>4787</v>
      </c>
      <c r="C4648" t="s">
        <v>836</v>
      </c>
      <c r="D4648" t="s">
        <v>553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2:18">
      <c r="B4649" t="s">
        <v>4788</v>
      </c>
      <c r="C4649" t="s">
        <v>836</v>
      </c>
      <c r="D4649" t="s">
        <v>553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2:18">
      <c r="B4650" t="s">
        <v>4789</v>
      </c>
      <c r="C4650" t="s">
        <v>836</v>
      </c>
      <c r="D4650" t="s">
        <v>553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2:18">
      <c r="B4651" t="s">
        <v>4790</v>
      </c>
      <c r="C4651" t="s">
        <v>836</v>
      </c>
      <c r="D4651" t="s">
        <v>553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</row>
    <row r="4652" spans="2:18">
      <c r="B4652" t="s">
        <v>4791</v>
      </c>
      <c r="C4652" t="s">
        <v>836</v>
      </c>
      <c r="D4652" t="s">
        <v>553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2:18">
      <c r="B4653" t="s">
        <v>4792</v>
      </c>
      <c r="C4653" t="s">
        <v>836</v>
      </c>
      <c r="D4653" t="s">
        <v>553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2:18">
      <c r="B4654" t="s">
        <v>4793</v>
      </c>
      <c r="C4654" t="s">
        <v>836</v>
      </c>
      <c r="D4654" t="s">
        <v>553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2:18">
      <c r="B4655" t="s">
        <v>4794</v>
      </c>
      <c r="C4655" t="s">
        <v>836</v>
      </c>
      <c r="D4655" t="s">
        <v>553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2:18">
      <c r="B4656" t="s">
        <v>4795</v>
      </c>
      <c r="C4656" t="s">
        <v>836</v>
      </c>
      <c r="D4656" t="s">
        <v>553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2:18">
      <c r="B4657" t="s">
        <v>4796</v>
      </c>
      <c r="C4657" t="s">
        <v>836</v>
      </c>
      <c r="D4657" t="s">
        <v>553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2:18">
      <c r="B4658" t="s">
        <v>4797</v>
      </c>
      <c r="C4658" t="s">
        <v>836</v>
      </c>
      <c r="D4658" t="s">
        <v>553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2:18">
      <c r="B4659" t="s">
        <v>4798</v>
      </c>
      <c r="C4659" t="s">
        <v>836</v>
      </c>
      <c r="D4659" t="s">
        <v>553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2:18">
      <c r="B4660" t="s">
        <v>4799</v>
      </c>
      <c r="C4660" t="s">
        <v>836</v>
      </c>
      <c r="D4660" t="s">
        <v>553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2:18">
      <c r="B4661" t="s">
        <v>4800</v>
      </c>
      <c r="C4661" t="s">
        <v>836</v>
      </c>
      <c r="D4661" t="s">
        <v>553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2:18">
      <c r="B4662" t="s">
        <v>4801</v>
      </c>
      <c r="C4662" t="s">
        <v>836</v>
      </c>
      <c r="D4662" t="s">
        <v>553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2:18">
      <c r="B4663" t="s">
        <v>4802</v>
      </c>
      <c r="C4663" t="s">
        <v>836</v>
      </c>
      <c r="D4663" t="s">
        <v>553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2:18">
      <c r="B4664" t="s">
        <v>4803</v>
      </c>
      <c r="C4664" t="s">
        <v>836</v>
      </c>
      <c r="D4664" t="s">
        <v>553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</row>
    <row r="4665" spans="2:18">
      <c r="B4665" t="s">
        <v>4804</v>
      </c>
      <c r="C4665" t="s">
        <v>836</v>
      </c>
      <c r="D4665" t="s">
        <v>553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2:18">
      <c r="B4666" t="s">
        <v>4805</v>
      </c>
      <c r="C4666" t="s">
        <v>836</v>
      </c>
      <c r="D4666" t="s">
        <v>553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2:18">
      <c r="B4667" t="s">
        <v>4806</v>
      </c>
      <c r="C4667" t="s">
        <v>836</v>
      </c>
      <c r="D4667" t="s">
        <v>553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2:18">
      <c r="B4668" t="s">
        <v>4807</v>
      </c>
      <c r="C4668" t="s">
        <v>836</v>
      </c>
      <c r="D4668" t="s">
        <v>553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2:18">
      <c r="B4669" t="s">
        <v>4808</v>
      </c>
      <c r="C4669" t="s">
        <v>836</v>
      </c>
      <c r="D4669" t="s">
        <v>553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2:18">
      <c r="B4670" t="s">
        <v>4809</v>
      </c>
      <c r="C4670" t="s">
        <v>836</v>
      </c>
      <c r="D4670" t="s">
        <v>553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2:18">
      <c r="B4671" t="s">
        <v>4810</v>
      </c>
      <c r="C4671" t="s">
        <v>836</v>
      </c>
      <c r="D4671" t="s">
        <v>553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2:18">
      <c r="B4672" t="s">
        <v>4811</v>
      </c>
      <c r="C4672" t="s">
        <v>836</v>
      </c>
      <c r="D4672" t="s">
        <v>553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2:18">
      <c r="B4673" t="s">
        <v>4812</v>
      </c>
      <c r="C4673" t="s">
        <v>836</v>
      </c>
      <c r="D4673" t="s">
        <v>553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2:18">
      <c r="B4674" t="s">
        <v>4813</v>
      </c>
      <c r="C4674" t="s">
        <v>836</v>
      </c>
      <c r="D4674" t="s">
        <v>553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2:18">
      <c r="B4675" t="s">
        <v>4814</v>
      </c>
      <c r="C4675" t="s">
        <v>836</v>
      </c>
      <c r="D4675" t="s">
        <v>553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2:18">
      <c r="B4676" t="s">
        <v>4815</v>
      </c>
      <c r="C4676" t="s">
        <v>836</v>
      </c>
      <c r="D4676" t="s">
        <v>553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2:18">
      <c r="B4677" t="s">
        <v>4816</v>
      </c>
      <c r="C4677" t="s">
        <v>836</v>
      </c>
      <c r="D4677" t="s">
        <v>553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2:18">
      <c r="B4678" t="s">
        <v>4817</v>
      </c>
      <c r="C4678" t="s">
        <v>836</v>
      </c>
      <c r="D4678" t="s">
        <v>553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2:18">
      <c r="B4679" t="s">
        <v>4818</v>
      </c>
      <c r="C4679" t="s">
        <v>836</v>
      </c>
      <c r="D4679" t="s">
        <v>553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2:18">
      <c r="B4680" t="s">
        <v>4819</v>
      </c>
      <c r="C4680" t="s">
        <v>836</v>
      </c>
      <c r="D4680" t="s">
        <v>553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2:18">
      <c r="B4681" t="s">
        <v>4820</v>
      </c>
      <c r="C4681" t="s">
        <v>836</v>
      </c>
      <c r="D4681" t="s">
        <v>553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2:18">
      <c r="B4682" t="s">
        <v>4821</v>
      </c>
      <c r="C4682" t="s">
        <v>836</v>
      </c>
      <c r="D4682" t="s">
        <v>553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2:18">
      <c r="B4683" t="s">
        <v>4822</v>
      </c>
      <c r="C4683" t="s">
        <v>836</v>
      </c>
      <c r="D4683" t="s">
        <v>553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2:18">
      <c r="B4684" t="s">
        <v>4823</v>
      </c>
      <c r="C4684" t="s">
        <v>836</v>
      </c>
      <c r="D4684" t="s">
        <v>553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2:18">
      <c r="B4685" t="s">
        <v>4824</v>
      </c>
      <c r="C4685" t="s">
        <v>836</v>
      </c>
      <c r="D4685" t="s">
        <v>553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2:18">
      <c r="B4686" t="s">
        <v>4825</v>
      </c>
      <c r="C4686" t="s">
        <v>836</v>
      </c>
      <c r="D4686" t="s">
        <v>553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2:18">
      <c r="B4687" t="s">
        <v>4826</v>
      </c>
      <c r="C4687" t="s">
        <v>836</v>
      </c>
      <c r="D4687" t="s">
        <v>553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2:18">
      <c r="B4688" t="s">
        <v>4827</v>
      </c>
      <c r="C4688" t="s">
        <v>836</v>
      </c>
      <c r="D4688" t="s">
        <v>553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2:18">
      <c r="B4689" t="s">
        <v>4828</v>
      </c>
      <c r="C4689" t="s">
        <v>836</v>
      </c>
      <c r="D4689" t="s">
        <v>553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2:18">
      <c r="B4690" t="s">
        <v>4829</v>
      </c>
      <c r="C4690" t="s">
        <v>836</v>
      </c>
      <c r="D4690" t="s">
        <v>553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2:18">
      <c r="B4691" t="s">
        <v>4830</v>
      </c>
      <c r="C4691" t="s">
        <v>836</v>
      </c>
      <c r="D4691" t="s">
        <v>553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2:18">
      <c r="B4692" t="s">
        <v>4831</v>
      </c>
      <c r="C4692" t="s">
        <v>836</v>
      </c>
      <c r="D4692" t="s">
        <v>553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2:18">
      <c r="B4693" t="s">
        <v>4832</v>
      </c>
      <c r="C4693" t="s">
        <v>836</v>
      </c>
      <c r="D4693" t="s">
        <v>553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2:18">
      <c r="B4694" t="s">
        <v>4833</v>
      </c>
      <c r="C4694" t="s">
        <v>836</v>
      </c>
      <c r="D4694" t="s">
        <v>553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2:18">
      <c r="B4695" t="s">
        <v>4834</v>
      </c>
      <c r="C4695" t="s">
        <v>836</v>
      </c>
      <c r="D4695" t="s">
        <v>553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2:18">
      <c r="B4696" t="s">
        <v>4835</v>
      </c>
      <c r="C4696" t="s">
        <v>836</v>
      </c>
      <c r="D4696" t="s">
        <v>553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2:18">
      <c r="B4697" t="s">
        <v>4836</v>
      </c>
      <c r="C4697" t="s">
        <v>836</v>
      </c>
      <c r="D4697" t="s">
        <v>553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2:18">
      <c r="B4698" t="s">
        <v>4837</v>
      </c>
      <c r="C4698" t="s">
        <v>836</v>
      </c>
      <c r="D4698" t="s">
        <v>553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2:18">
      <c r="B4699" t="s">
        <v>4838</v>
      </c>
      <c r="C4699" t="s">
        <v>836</v>
      </c>
      <c r="D4699" t="s">
        <v>553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2:18">
      <c r="B4700" t="s">
        <v>4839</v>
      </c>
      <c r="C4700" t="s">
        <v>836</v>
      </c>
      <c r="D4700" t="s">
        <v>553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2:18">
      <c r="B4701" t="s">
        <v>4840</v>
      </c>
      <c r="C4701" t="s">
        <v>836</v>
      </c>
      <c r="D4701" t="s">
        <v>553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2:18">
      <c r="B4702" t="s">
        <v>4841</v>
      </c>
      <c r="C4702" t="s">
        <v>836</v>
      </c>
      <c r="D4702" t="s">
        <v>553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2:18">
      <c r="B4703" t="s">
        <v>4842</v>
      </c>
      <c r="C4703" t="s">
        <v>836</v>
      </c>
      <c r="D4703" t="s">
        <v>553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2:18">
      <c r="B4704" t="s">
        <v>4843</v>
      </c>
      <c r="C4704" t="s">
        <v>836</v>
      </c>
      <c r="D4704" t="s">
        <v>553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2:18">
      <c r="B4705" t="s">
        <v>4844</v>
      </c>
      <c r="C4705" t="s">
        <v>836</v>
      </c>
      <c r="D4705" t="s">
        <v>553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2:18">
      <c r="B4706" t="s">
        <v>4845</v>
      </c>
      <c r="C4706" t="s">
        <v>836</v>
      </c>
      <c r="D4706" t="s">
        <v>553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2:18">
      <c r="B4707" t="s">
        <v>4846</v>
      </c>
      <c r="C4707" t="s">
        <v>836</v>
      </c>
      <c r="D4707" t="s">
        <v>553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2:18">
      <c r="B4708" t="s">
        <v>4847</v>
      </c>
      <c r="C4708" t="s">
        <v>836</v>
      </c>
      <c r="D4708" t="s">
        <v>553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2:18">
      <c r="B4709" t="s">
        <v>4848</v>
      </c>
      <c r="C4709" t="s">
        <v>836</v>
      </c>
      <c r="D4709" t="s">
        <v>553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2:18">
      <c r="B4710" t="s">
        <v>4849</v>
      </c>
      <c r="C4710" t="s">
        <v>836</v>
      </c>
      <c r="D4710" t="s">
        <v>553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2:18">
      <c r="B4711" t="s">
        <v>4850</v>
      </c>
      <c r="C4711" t="s">
        <v>836</v>
      </c>
      <c r="D4711" t="s">
        <v>553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2:18">
      <c r="B4712" t="s">
        <v>4851</v>
      </c>
      <c r="C4712" t="s">
        <v>836</v>
      </c>
      <c r="D4712" t="s">
        <v>553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2:18">
      <c r="B4713" t="s">
        <v>4852</v>
      </c>
      <c r="C4713" t="s">
        <v>836</v>
      </c>
      <c r="D4713" t="s">
        <v>553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2:18">
      <c r="B4714" t="s">
        <v>4853</v>
      </c>
      <c r="C4714" t="s">
        <v>836</v>
      </c>
      <c r="D4714" t="s">
        <v>553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2:18">
      <c r="B4715" t="s">
        <v>4854</v>
      </c>
      <c r="C4715" t="s">
        <v>836</v>
      </c>
      <c r="D4715" t="s">
        <v>553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2:18">
      <c r="B4716" t="s">
        <v>4855</v>
      </c>
      <c r="C4716" t="s">
        <v>836</v>
      </c>
      <c r="D4716" t="s">
        <v>553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2:18">
      <c r="B4717" t="s">
        <v>4856</v>
      </c>
      <c r="C4717" t="s">
        <v>836</v>
      </c>
      <c r="D4717" t="s">
        <v>553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2:18">
      <c r="B4718" t="s">
        <v>4857</v>
      </c>
      <c r="C4718" t="s">
        <v>836</v>
      </c>
      <c r="D4718" t="s">
        <v>553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2:18">
      <c r="B4719" t="s">
        <v>4858</v>
      </c>
      <c r="C4719" t="s">
        <v>836</v>
      </c>
      <c r="D4719" t="s">
        <v>553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2:18">
      <c r="B4720" t="s">
        <v>4859</v>
      </c>
      <c r="C4720" t="s">
        <v>836</v>
      </c>
      <c r="D4720" t="s">
        <v>553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2:18">
      <c r="B4721" t="s">
        <v>4860</v>
      </c>
      <c r="C4721" t="s">
        <v>836</v>
      </c>
      <c r="D4721" t="s">
        <v>553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2:18">
      <c r="B4722" t="s">
        <v>4861</v>
      </c>
      <c r="C4722" t="s">
        <v>836</v>
      </c>
      <c r="D4722" t="s">
        <v>553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2:18">
      <c r="B4723" t="s">
        <v>4862</v>
      </c>
      <c r="C4723" t="s">
        <v>836</v>
      </c>
      <c r="D4723" t="s">
        <v>553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</row>
    <row r="4724" spans="2:18">
      <c r="B4724" t="s">
        <v>4863</v>
      </c>
      <c r="C4724" t="s">
        <v>836</v>
      </c>
      <c r="D4724" t="s">
        <v>553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2:18">
      <c r="B4725" t="s">
        <v>4864</v>
      </c>
      <c r="C4725" t="s">
        <v>836</v>
      </c>
      <c r="D4725" t="s">
        <v>563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2:18">
      <c r="B4726" t="s">
        <v>4865</v>
      </c>
      <c r="C4726" t="s">
        <v>836</v>
      </c>
      <c r="D4726" t="s">
        <v>563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2:18">
      <c r="B4727" t="s">
        <v>4866</v>
      </c>
      <c r="C4727" t="s">
        <v>836</v>
      </c>
      <c r="D4727" t="s">
        <v>563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2:18">
      <c r="B4728" t="s">
        <v>4867</v>
      </c>
      <c r="C4728" t="s">
        <v>836</v>
      </c>
      <c r="D4728" t="s">
        <v>563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2:18">
      <c r="B4729" t="s">
        <v>4868</v>
      </c>
      <c r="C4729" t="s">
        <v>836</v>
      </c>
      <c r="D4729" t="s">
        <v>563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2:18">
      <c r="B4730" t="s">
        <v>4869</v>
      </c>
      <c r="C4730" t="s">
        <v>836</v>
      </c>
      <c r="D4730" t="s">
        <v>563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2:18">
      <c r="B4731" t="s">
        <v>4870</v>
      </c>
      <c r="C4731" t="s">
        <v>836</v>
      </c>
      <c r="D4731" t="s">
        <v>563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</row>
    <row r="4732" spans="2:18">
      <c r="B4732" t="s">
        <v>4871</v>
      </c>
      <c r="C4732" t="s">
        <v>836</v>
      </c>
      <c r="D4732" t="s">
        <v>563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2:18">
      <c r="B4733" t="s">
        <v>4872</v>
      </c>
      <c r="C4733" t="s">
        <v>836</v>
      </c>
      <c r="D4733" t="s">
        <v>563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2:18">
      <c r="B4734" t="s">
        <v>4873</v>
      </c>
      <c r="C4734" t="s">
        <v>836</v>
      </c>
      <c r="D4734" t="s">
        <v>563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5380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2:18">
      <c r="B4735" t="s">
        <v>4874</v>
      </c>
      <c r="C4735" t="s">
        <v>836</v>
      </c>
      <c r="D4735" t="s">
        <v>563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2:18">
      <c r="B4736" t="s">
        <v>4875</v>
      </c>
      <c r="C4736" t="s">
        <v>836</v>
      </c>
      <c r="D4736" t="s">
        <v>563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2:18">
      <c r="B4737" t="s">
        <v>4876</v>
      </c>
      <c r="C4737" t="s">
        <v>836</v>
      </c>
      <c r="D4737" t="s">
        <v>563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2:18">
      <c r="B4738" t="s">
        <v>4877</v>
      </c>
      <c r="C4738" t="s">
        <v>836</v>
      </c>
      <c r="D4738" t="s">
        <v>563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</row>
    <row r="4739" spans="2:18">
      <c r="B4739" t="s">
        <v>4878</v>
      </c>
      <c r="C4739" t="s">
        <v>836</v>
      </c>
      <c r="D4739" t="s">
        <v>563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2:18">
      <c r="B4740" t="s">
        <v>4879</v>
      </c>
      <c r="C4740" t="s">
        <v>836</v>
      </c>
      <c r="D4740" t="s">
        <v>563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2:18">
      <c r="B4741" t="s">
        <v>4880</v>
      </c>
      <c r="C4741" t="s">
        <v>836</v>
      </c>
      <c r="D4741" t="s">
        <v>563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2:18">
      <c r="B4742" t="s">
        <v>4881</v>
      </c>
      <c r="C4742" t="s">
        <v>836</v>
      </c>
      <c r="D4742" t="s">
        <v>563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2:18">
      <c r="B4743" t="s">
        <v>4882</v>
      </c>
      <c r="C4743" t="s">
        <v>836</v>
      </c>
      <c r="D4743" t="s">
        <v>563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2:18">
      <c r="B4744" t="s">
        <v>4883</v>
      </c>
      <c r="C4744" t="s">
        <v>836</v>
      </c>
      <c r="D4744" t="s">
        <v>563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2:18">
      <c r="B4745" t="s">
        <v>4884</v>
      </c>
      <c r="C4745" t="s">
        <v>836</v>
      </c>
      <c r="D4745" t="s">
        <v>563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2:18">
      <c r="B4746" t="s">
        <v>4885</v>
      </c>
      <c r="C4746" t="s">
        <v>836</v>
      </c>
      <c r="D4746" t="s">
        <v>563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2:18">
      <c r="B4747" t="s">
        <v>4886</v>
      </c>
      <c r="C4747" t="s">
        <v>836</v>
      </c>
      <c r="D4747" t="s">
        <v>563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2:18">
      <c r="B4748" t="s">
        <v>4887</v>
      </c>
      <c r="C4748" t="s">
        <v>836</v>
      </c>
      <c r="D4748" t="s">
        <v>563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2:18">
      <c r="B4749" t="s">
        <v>4888</v>
      </c>
      <c r="C4749" t="s">
        <v>836</v>
      </c>
      <c r="D4749" t="s">
        <v>563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</row>
    <row r="4750" spans="2:18">
      <c r="B4750" t="s">
        <v>4889</v>
      </c>
      <c r="C4750" t="s">
        <v>836</v>
      </c>
      <c r="D4750" t="s">
        <v>563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3000</v>
      </c>
      <c r="N4750">
        <v>0</v>
      </c>
      <c r="O4750">
        <v>0</v>
      </c>
      <c r="P4750">
        <v>0</v>
      </c>
      <c r="Q4750">
        <v>0</v>
      </c>
      <c r="R4750">
        <v>0</v>
      </c>
    </row>
    <row r="4751" spans="2:18">
      <c r="B4751" t="s">
        <v>4890</v>
      </c>
      <c r="C4751" t="s">
        <v>836</v>
      </c>
      <c r="D4751" t="s">
        <v>563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2:18">
      <c r="B4752" t="s">
        <v>4891</v>
      </c>
      <c r="C4752" t="s">
        <v>836</v>
      </c>
      <c r="D4752" t="s">
        <v>563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2:18">
      <c r="B4753" t="s">
        <v>4892</v>
      </c>
      <c r="C4753" t="s">
        <v>836</v>
      </c>
      <c r="D4753" t="s">
        <v>563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2:18">
      <c r="B4754" t="s">
        <v>4893</v>
      </c>
      <c r="C4754" t="s">
        <v>836</v>
      </c>
      <c r="D4754" t="s">
        <v>563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2:18">
      <c r="B4755" t="s">
        <v>4894</v>
      </c>
      <c r="C4755" t="s">
        <v>836</v>
      </c>
      <c r="D4755" t="s">
        <v>563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2:18">
      <c r="B4756" t="s">
        <v>4895</v>
      </c>
      <c r="C4756" t="s">
        <v>836</v>
      </c>
      <c r="D4756" t="s">
        <v>563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2:18">
      <c r="B4757" t="s">
        <v>4896</v>
      </c>
      <c r="C4757" t="s">
        <v>836</v>
      </c>
      <c r="D4757" t="s">
        <v>4897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2:18">
      <c r="B4758" t="s">
        <v>4898</v>
      </c>
      <c r="C4758" t="s">
        <v>836</v>
      </c>
      <c r="D4758" t="s">
        <v>4897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</row>
    <row r="4759" spans="2:18">
      <c r="B4759" t="s">
        <v>4899</v>
      </c>
      <c r="C4759" t="s">
        <v>836</v>
      </c>
      <c r="D4759" t="s">
        <v>4897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2:18">
      <c r="B4760" t="s">
        <v>4900</v>
      </c>
      <c r="C4760" t="s">
        <v>836</v>
      </c>
      <c r="D4760" t="s">
        <v>4897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2:18">
      <c r="B4761" t="s">
        <v>4901</v>
      </c>
      <c r="C4761" t="s">
        <v>836</v>
      </c>
      <c r="D4761" t="s">
        <v>4897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2:18">
      <c r="B4762" t="s">
        <v>4902</v>
      </c>
      <c r="C4762" t="s">
        <v>836</v>
      </c>
      <c r="D4762" t="s">
        <v>4897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2:18">
      <c r="B4763" t="s">
        <v>4903</v>
      </c>
      <c r="C4763" t="s">
        <v>836</v>
      </c>
      <c r="D4763" t="s">
        <v>4897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2:18">
      <c r="B4764" t="s">
        <v>4904</v>
      </c>
      <c r="C4764" t="s">
        <v>836</v>
      </c>
      <c r="D4764" t="s">
        <v>4897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</row>
    <row r="4765" spans="2:18">
      <c r="B4765" t="s">
        <v>4905</v>
      </c>
      <c r="C4765" t="s">
        <v>836</v>
      </c>
      <c r="D4765" t="s">
        <v>4897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2:18">
      <c r="B4766" t="s">
        <v>4906</v>
      </c>
      <c r="C4766" t="s">
        <v>836</v>
      </c>
      <c r="D4766" t="s">
        <v>4897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2:18">
      <c r="B4767" t="s">
        <v>4907</v>
      </c>
      <c r="C4767" t="s">
        <v>836</v>
      </c>
      <c r="D4767" t="s">
        <v>4897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</row>
    <row r="4768" spans="2:18">
      <c r="B4768" t="s">
        <v>4908</v>
      </c>
      <c r="C4768" t="s">
        <v>836</v>
      </c>
      <c r="D4768" t="s">
        <v>4897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2:18">
      <c r="B4769" t="s">
        <v>4909</v>
      </c>
      <c r="C4769" t="s">
        <v>836</v>
      </c>
      <c r="D4769" t="s">
        <v>4897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2:18">
      <c r="B4770" t="s">
        <v>4910</v>
      </c>
      <c r="C4770" t="s">
        <v>836</v>
      </c>
      <c r="D4770" t="s">
        <v>4897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2:18">
      <c r="B4771" t="s">
        <v>4911</v>
      </c>
      <c r="C4771" t="s">
        <v>836</v>
      </c>
      <c r="D4771" t="s">
        <v>4897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2:18">
      <c r="B4772" t="s">
        <v>4912</v>
      </c>
      <c r="C4772" t="s">
        <v>836</v>
      </c>
      <c r="D4772" t="s">
        <v>4897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2:18">
      <c r="B4773" t="s">
        <v>4913</v>
      </c>
      <c r="C4773" t="s">
        <v>836</v>
      </c>
      <c r="D4773" t="s">
        <v>4897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2:18">
      <c r="B4774" t="s">
        <v>4914</v>
      </c>
      <c r="C4774" t="s">
        <v>836</v>
      </c>
      <c r="D4774" t="s">
        <v>4897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2:18">
      <c r="B4775" t="s">
        <v>4915</v>
      </c>
      <c r="C4775" t="s">
        <v>836</v>
      </c>
      <c r="D4775" t="s">
        <v>4897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2:18">
      <c r="B4776" t="s">
        <v>4916</v>
      </c>
      <c r="C4776" t="s">
        <v>836</v>
      </c>
      <c r="D4776" t="s">
        <v>4897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2:18">
      <c r="B4777" t="s">
        <v>4917</v>
      </c>
      <c r="C4777" t="s">
        <v>836</v>
      </c>
      <c r="D4777" t="s">
        <v>4897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2:18">
      <c r="B4778" t="s">
        <v>4918</v>
      </c>
      <c r="C4778" t="s">
        <v>836</v>
      </c>
      <c r="D4778" t="s">
        <v>4897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2:18">
      <c r="B4779" t="s">
        <v>4919</v>
      </c>
      <c r="C4779" t="s">
        <v>836</v>
      </c>
      <c r="D4779" t="s">
        <v>4897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2:18">
      <c r="B4780" t="s">
        <v>4920</v>
      </c>
      <c r="C4780" t="s">
        <v>836</v>
      </c>
      <c r="D4780" t="s">
        <v>4897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2:18">
      <c r="B4781" t="s">
        <v>4921</v>
      </c>
      <c r="C4781" t="s">
        <v>836</v>
      </c>
      <c r="D4781" t="s">
        <v>4897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2:18">
      <c r="B4782" t="s">
        <v>4922</v>
      </c>
      <c r="C4782" t="s">
        <v>836</v>
      </c>
      <c r="D4782" t="s">
        <v>4897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</row>
    <row r="4783" spans="2:18">
      <c r="B4783" t="s">
        <v>4923</v>
      </c>
      <c r="C4783" t="s">
        <v>836</v>
      </c>
      <c r="D4783" t="s">
        <v>4897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2:18">
      <c r="B4784" t="s">
        <v>4924</v>
      </c>
      <c r="C4784" t="s">
        <v>836</v>
      </c>
      <c r="D4784" t="s">
        <v>4897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2:18">
      <c r="B4785" t="s">
        <v>4925</v>
      </c>
      <c r="C4785" t="s">
        <v>836</v>
      </c>
      <c r="D4785" t="s">
        <v>4897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2:18">
      <c r="B4786" t="s">
        <v>4926</v>
      </c>
      <c r="C4786" t="s">
        <v>836</v>
      </c>
      <c r="D4786" t="s">
        <v>4897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2:18">
      <c r="B4787" t="s">
        <v>4927</v>
      </c>
      <c r="C4787" t="s">
        <v>836</v>
      </c>
      <c r="D4787" t="s">
        <v>4897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2:18">
      <c r="B4788" t="s">
        <v>4928</v>
      </c>
      <c r="C4788" t="s">
        <v>836</v>
      </c>
      <c r="D4788" t="s">
        <v>4897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2:18">
      <c r="B4789" t="s">
        <v>4929</v>
      </c>
      <c r="C4789" t="s">
        <v>836</v>
      </c>
      <c r="D4789" t="s">
        <v>4897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2:18">
      <c r="B4790" t="s">
        <v>4930</v>
      </c>
      <c r="C4790" t="s">
        <v>836</v>
      </c>
      <c r="D4790" t="s">
        <v>4897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2:18">
      <c r="B4791" t="s">
        <v>4931</v>
      </c>
      <c r="C4791" t="s">
        <v>836</v>
      </c>
      <c r="D4791" t="s">
        <v>4897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2:18">
      <c r="B4792" t="s">
        <v>4932</v>
      </c>
      <c r="C4792" t="s">
        <v>836</v>
      </c>
      <c r="D4792" t="s">
        <v>4897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2:18">
      <c r="B4793" t="s">
        <v>4933</v>
      </c>
      <c r="C4793" t="s">
        <v>836</v>
      </c>
      <c r="D4793" t="s">
        <v>4897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</row>
    <row r="4794" spans="2:18">
      <c r="B4794" t="s">
        <v>4934</v>
      </c>
      <c r="C4794" t="s">
        <v>836</v>
      </c>
      <c r="D4794" t="s">
        <v>4897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</row>
    <row r="4795" spans="2:18">
      <c r="B4795" t="s">
        <v>4935</v>
      </c>
      <c r="C4795" t="s">
        <v>836</v>
      </c>
      <c r="D4795" t="s">
        <v>4897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</row>
    <row r="4796" spans="2:18">
      <c r="B4796" t="s">
        <v>4936</v>
      </c>
      <c r="C4796" t="s">
        <v>836</v>
      </c>
      <c r="D4796" t="s">
        <v>4897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2:18">
      <c r="B4797" t="s">
        <v>4937</v>
      </c>
      <c r="C4797" t="s">
        <v>836</v>
      </c>
      <c r="D4797" t="s">
        <v>4897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2:18">
      <c r="B4798" t="s">
        <v>4938</v>
      </c>
      <c r="C4798" t="s">
        <v>836</v>
      </c>
      <c r="D4798" t="s">
        <v>4897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</row>
    <row r="4799" spans="2:18">
      <c r="B4799" t="s">
        <v>4939</v>
      </c>
      <c r="C4799" t="s">
        <v>836</v>
      </c>
      <c r="D4799" t="s">
        <v>4897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</row>
    <row r="4800" spans="2:18">
      <c r="B4800" t="s">
        <v>4940</v>
      </c>
      <c r="C4800" t="s">
        <v>836</v>
      </c>
      <c r="D4800" t="s">
        <v>4897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2:18">
      <c r="B4801" t="s">
        <v>4941</v>
      </c>
      <c r="C4801" t="s">
        <v>836</v>
      </c>
      <c r="D4801" t="s">
        <v>4897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</row>
    <row r="4802" spans="2:18">
      <c r="B4802" t="s">
        <v>4942</v>
      </c>
      <c r="C4802" t="s">
        <v>836</v>
      </c>
      <c r="D4802" t="s">
        <v>4897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</row>
    <row r="4803" spans="2:18">
      <c r="B4803" t="s">
        <v>4943</v>
      </c>
      <c r="C4803" t="s">
        <v>836</v>
      </c>
      <c r="D4803" t="s">
        <v>4897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2:18">
      <c r="B4804" t="s">
        <v>4944</v>
      </c>
      <c r="C4804" t="s">
        <v>836</v>
      </c>
      <c r="D4804" t="s">
        <v>4897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2:18">
      <c r="B4805" t="s">
        <v>4945</v>
      </c>
      <c r="C4805" t="s">
        <v>836</v>
      </c>
      <c r="D4805" t="s">
        <v>4897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2:18">
      <c r="B4806" t="s">
        <v>4946</v>
      </c>
      <c r="C4806" t="s">
        <v>836</v>
      </c>
      <c r="D4806" t="s">
        <v>4897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2:18">
      <c r="B4807" t="s">
        <v>4947</v>
      </c>
      <c r="C4807" t="s">
        <v>836</v>
      </c>
      <c r="D4807" t="s">
        <v>4897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2:18">
      <c r="B4808" t="s">
        <v>4948</v>
      </c>
      <c r="C4808" t="s">
        <v>836</v>
      </c>
      <c r="D4808" t="s">
        <v>4897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2:18">
      <c r="B4809" t="s">
        <v>4949</v>
      </c>
      <c r="C4809" t="s">
        <v>836</v>
      </c>
      <c r="D4809" t="s">
        <v>4897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2:18">
      <c r="B4810" t="s">
        <v>4950</v>
      </c>
      <c r="C4810" t="s">
        <v>836</v>
      </c>
      <c r="D4810" t="s">
        <v>4897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2:18">
      <c r="B4811" t="s">
        <v>4951</v>
      </c>
      <c r="C4811" t="s">
        <v>836</v>
      </c>
      <c r="D4811" t="s">
        <v>4897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2:18">
      <c r="B4812" t="s">
        <v>4952</v>
      </c>
      <c r="C4812" t="s">
        <v>836</v>
      </c>
      <c r="D4812" t="s">
        <v>4897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2:18">
      <c r="B4813" t="s">
        <v>4953</v>
      </c>
      <c r="C4813" t="s">
        <v>836</v>
      </c>
      <c r="D4813" t="s">
        <v>563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2:18">
      <c r="B4814" t="s">
        <v>4954</v>
      </c>
      <c r="C4814" t="s">
        <v>836</v>
      </c>
      <c r="D4814" t="s">
        <v>563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2:18">
      <c r="B4815" t="s">
        <v>4955</v>
      </c>
      <c r="C4815" t="s">
        <v>836</v>
      </c>
      <c r="D4815" t="s">
        <v>563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2:18">
      <c r="B4816" t="s">
        <v>4956</v>
      </c>
      <c r="C4816" t="s">
        <v>836</v>
      </c>
      <c r="D4816" t="s">
        <v>563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2:18">
      <c r="B4817" t="s">
        <v>4957</v>
      </c>
      <c r="C4817" t="s">
        <v>836</v>
      </c>
      <c r="D4817" t="s">
        <v>563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2:18">
      <c r="B4818" t="s">
        <v>4958</v>
      </c>
      <c r="C4818" t="s">
        <v>836</v>
      </c>
      <c r="D4818" t="s">
        <v>563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2:18">
      <c r="B4819" t="s">
        <v>4959</v>
      </c>
      <c r="C4819" t="s">
        <v>836</v>
      </c>
      <c r="D4819" t="s">
        <v>563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2:18">
      <c r="B4820" t="s">
        <v>4960</v>
      </c>
      <c r="C4820" t="s">
        <v>836</v>
      </c>
      <c r="D4820" t="s">
        <v>563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2:18">
      <c r="B4821" t="s">
        <v>4961</v>
      </c>
      <c r="C4821" t="s">
        <v>836</v>
      </c>
      <c r="D4821" t="s">
        <v>563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2:18">
      <c r="B4822" t="s">
        <v>4962</v>
      </c>
      <c r="C4822" t="s">
        <v>836</v>
      </c>
      <c r="D4822" t="s">
        <v>563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2:18">
      <c r="B4823" t="s">
        <v>4963</v>
      </c>
      <c r="C4823" t="s">
        <v>836</v>
      </c>
      <c r="D4823" t="s">
        <v>563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2:18">
      <c r="B4824" t="s">
        <v>4964</v>
      </c>
      <c r="C4824" t="s">
        <v>836</v>
      </c>
      <c r="D4824" t="s">
        <v>563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2:18">
      <c r="B4825" t="s">
        <v>4965</v>
      </c>
      <c r="C4825" t="s">
        <v>836</v>
      </c>
      <c r="D4825" t="s">
        <v>563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2:18">
      <c r="B4826" t="s">
        <v>4966</v>
      </c>
      <c r="C4826" t="s">
        <v>836</v>
      </c>
      <c r="D4826" t="s">
        <v>563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2:18">
      <c r="B4827" t="s">
        <v>4967</v>
      </c>
      <c r="C4827" t="s">
        <v>836</v>
      </c>
      <c r="D4827" t="s">
        <v>563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2:18">
      <c r="B4828" t="s">
        <v>4968</v>
      </c>
      <c r="C4828" t="s">
        <v>836</v>
      </c>
      <c r="D4828" t="s">
        <v>563</v>
      </c>
      <c r="E4828">
        <v>10</v>
      </c>
      <c r="F4828">
        <v>16227</v>
      </c>
      <c r="G4828">
        <v>16847</v>
      </c>
      <c r="H4828">
        <v>10</v>
      </c>
      <c r="I4828">
        <v>0</v>
      </c>
      <c r="J4828">
        <v>0</v>
      </c>
      <c r="K4828">
        <v>0</v>
      </c>
      <c r="L4828">
        <v>0</v>
      </c>
      <c r="M4828">
        <v>18275.689999999999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2:18">
      <c r="B4829" t="s">
        <v>4969</v>
      </c>
      <c r="C4829" t="s">
        <v>836</v>
      </c>
      <c r="D4829" t="s">
        <v>563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2:18">
      <c r="B4830" t="s">
        <v>4970</v>
      </c>
      <c r="C4830" t="s">
        <v>836</v>
      </c>
      <c r="D4830" t="s">
        <v>563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2:18">
      <c r="B4831" t="s">
        <v>4971</v>
      </c>
      <c r="C4831" t="s">
        <v>836</v>
      </c>
      <c r="D4831" t="s">
        <v>563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20400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2:18">
      <c r="B4832" t="s">
        <v>4972</v>
      </c>
      <c r="C4832" t="s">
        <v>836</v>
      </c>
      <c r="D4832" t="s">
        <v>563</v>
      </c>
      <c r="E4832">
        <v>10</v>
      </c>
      <c r="F4832">
        <v>13728</v>
      </c>
      <c r="G4832">
        <v>14439</v>
      </c>
      <c r="H4832">
        <v>10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2:19">
      <c r="B4833" t="s">
        <v>4973</v>
      </c>
      <c r="C4833" t="s">
        <v>836</v>
      </c>
      <c r="D4833" t="s">
        <v>563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2:19">
      <c r="B4834" t="s">
        <v>4974</v>
      </c>
      <c r="C4834" t="s">
        <v>836</v>
      </c>
      <c r="D4834" t="s">
        <v>563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2:19">
      <c r="B4835" t="s">
        <v>4975</v>
      </c>
      <c r="C4835" t="s">
        <v>836</v>
      </c>
      <c r="D4835" t="s">
        <v>563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2:19">
      <c r="B4836" t="s">
        <v>4976</v>
      </c>
      <c r="C4836" t="s">
        <v>836</v>
      </c>
      <c r="D4836" t="s">
        <v>563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2:19">
      <c r="B4837" t="s">
        <v>4977</v>
      </c>
      <c r="C4837" t="s">
        <v>836</v>
      </c>
      <c r="D4837" t="s">
        <v>563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2:19">
      <c r="B4838" t="s">
        <v>4978</v>
      </c>
      <c r="C4838" t="s">
        <v>836</v>
      </c>
      <c r="D4838" t="s">
        <v>563</v>
      </c>
      <c r="E4838">
        <v>10</v>
      </c>
      <c r="F4838">
        <v>12229</v>
      </c>
      <c r="G4838">
        <v>12969</v>
      </c>
      <c r="H4838">
        <v>10</v>
      </c>
      <c r="I4838">
        <v>0</v>
      </c>
      <c r="J4838">
        <v>0</v>
      </c>
      <c r="K4838">
        <v>0</v>
      </c>
      <c r="L4838">
        <v>0</v>
      </c>
      <c r="M4838">
        <v>12296.86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2:19">
      <c r="B4839" t="s">
        <v>4979</v>
      </c>
      <c r="C4839" t="s">
        <v>836</v>
      </c>
      <c r="D4839" t="s">
        <v>563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</row>
    <row r="4840" spans="2:19">
      <c r="B4840" t="s">
        <v>4980</v>
      </c>
      <c r="C4840" t="s">
        <v>836</v>
      </c>
      <c r="D4840" t="s">
        <v>563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</row>
    <row r="4841" spans="2:19">
      <c r="B4841" t="s">
        <v>4981</v>
      </c>
      <c r="C4841" t="s">
        <v>836</v>
      </c>
      <c r="D4841" t="s">
        <v>563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2:19">
      <c r="B4842" t="s">
        <v>4982</v>
      </c>
      <c r="C4842" t="s">
        <v>836</v>
      </c>
      <c r="D4842" t="s">
        <v>563</v>
      </c>
      <c r="E4842">
        <v>10</v>
      </c>
      <c r="F4842">
        <v>10740</v>
      </c>
      <c r="G4842">
        <v>11505</v>
      </c>
      <c r="H4842">
        <v>10</v>
      </c>
      <c r="I4842">
        <v>0</v>
      </c>
      <c r="J4842">
        <v>0</v>
      </c>
      <c r="K4842">
        <v>0</v>
      </c>
      <c r="L4842">
        <v>0</v>
      </c>
      <c r="M4842">
        <v>10690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2:19">
      <c r="B4843" t="s">
        <v>4983</v>
      </c>
      <c r="C4843" t="s">
        <v>836</v>
      </c>
      <c r="D4843" t="s">
        <v>563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2:19">
      <c r="B4844" t="s">
        <v>4984</v>
      </c>
      <c r="C4844" t="s">
        <v>836</v>
      </c>
      <c r="D4844" t="s">
        <v>563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2:19">
      <c r="B4845" t="s">
        <v>4985</v>
      </c>
      <c r="C4845" t="s">
        <v>836</v>
      </c>
      <c r="D4845" t="s">
        <v>563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2:19">
      <c r="B4846" t="s">
        <v>4986</v>
      </c>
      <c r="C4846" t="s">
        <v>836</v>
      </c>
      <c r="D4846" t="s">
        <v>563</v>
      </c>
      <c r="E4846">
        <v>10</v>
      </c>
      <c r="F4846">
        <v>9242</v>
      </c>
      <c r="G4846">
        <v>10061</v>
      </c>
      <c r="H4846">
        <v>8</v>
      </c>
      <c r="I4846">
        <v>9813</v>
      </c>
      <c r="J4846">
        <v>9813</v>
      </c>
      <c r="K4846">
        <v>9813</v>
      </c>
      <c r="L4846">
        <v>9813</v>
      </c>
      <c r="M4846">
        <v>11049</v>
      </c>
      <c r="N4846">
        <v>-0.1118</v>
      </c>
      <c r="O4846">
        <v>2</v>
      </c>
      <c r="P4846">
        <v>1962600</v>
      </c>
      <c r="Q4846">
        <v>9813</v>
      </c>
      <c r="R4846">
        <v>0</v>
      </c>
      <c r="S4846" t="s">
        <v>6284</v>
      </c>
    </row>
    <row r="4847" spans="2:19">
      <c r="B4847" t="s">
        <v>4987</v>
      </c>
      <c r="C4847" t="s">
        <v>836</v>
      </c>
      <c r="D4847" t="s">
        <v>563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2:19">
      <c r="B4848" t="s">
        <v>4988</v>
      </c>
      <c r="C4848" t="s">
        <v>836</v>
      </c>
      <c r="D4848" t="s">
        <v>563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</row>
    <row r="4849" spans="2:18">
      <c r="B4849" t="s">
        <v>4989</v>
      </c>
      <c r="C4849" t="s">
        <v>836</v>
      </c>
      <c r="D4849" t="s">
        <v>563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2:18">
      <c r="B4850" t="s">
        <v>4990</v>
      </c>
      <c r="C4850" t="s">
        <v>836</v>
      </c>
      <c r="D4850" t="s">
        <v>563</v>
      </c>
      <c r="E4850">
        <v>10</v>
      </c>
      <c r="F4850">
        <v>7743</v>
      </c>
      <c r="G4850">
        <v>8632</v>
      </c>
      <c r="H4850">
        <v>10</v>
      </c>
      <c r="I4850">
        <v>0</v>
      </c>
      <c r="J4850">
        <v>0</v>
      </c>
      <c r="K4850">
        <v>0</v>
      </c>
      <c r="L4850">
        <v>0</v>
      </c>
      <c r="M4850">
        <v>7338.17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2:18">
      <c r="B4851" t="s">
        <v>4991</v>
      </c>
      <c r="C4851" t="s">
        <v>836</v>
      </c>
      <c r="D4851" t="s">
        <v>563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2:18">
      <c r="B4852" t="s">
        <v>4992</v>
      </c>
      <c r="C4852" t="s">
        <v>836</v>
      </c>
      <c r="D4852" t="s">
        <v>563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</row>
    <row r="4853" spans="2:18">
      <c r="B4853" t="s">
        <v>4993</v>
      </c>
      <c r="C4853" t="s">
        <v>836</v>
      </c>
      <c r="D4853" t="s">
        <v>563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2:18">
      <c r="B4854" t="s">
        <v>4994</v>
      </c>
      <c r="C4854" t="s">
        <v>836</v>
      </c>
      <c r="D4854" t="s">
        <v>563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2:18">
      <c r="B4855" t="s">
        <v>4995</v>
      </c>
      <c r="C4855" t="s">
        <v>836</v>
      </c>
      <c r="D4855" t="s">
        <v>563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2:18">
      <c r="B4856" t="s">
        <v>4996</v>
      </c>
      <c r="C4856" t="s">
        <v>836</v>
      </c>
      <c r="D4856" t="s">
        <v>563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2:18">
      <c r="B4857" t="s">
        <v>4997</v>
      </c>
      <c r="C4857" t="s">
        <v>836</v>
      </c>
      <c r="D4857" t="s">
        <v>563</v>
      </c>
      <c r="E4857">
        <v>0</v>
      </c>
      <c r="F4857">
        <v>0</v>
      </c>
      <c r="G4857">
        <v>14236.7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4500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2:18">
      <c r="B4858" t="s">
        <v>4998</v>
      </c>
      <c r="C4858" t="s">
        <v>836</v>
      </c>
      <c r="D4858" t="s">
        <v>563</v>
      </c>
      <c r="E4858">
        <v>10</v>
      </c>
      <c r="F4858">
        <v>4746</v>
      </c>
      <c r="G4858">
        <v>5886.61</v>
      </c>
      <c r="H4858">
        <v>2</v>
      </c>
      <c r="I4858">
        <v>0</v>
      </c>
      <c r="J4858">
        <v>0</v>
      </c>
      <c r="K4858">
        <v>0</v>
      </c>
      <c r="L4858">
        <v>0</v>
      </c>
      <c r="M4858">
        <v>6020</v>
      </c>
      <c r="N4858">
        <v>0</v>
      </c>
      <c r="O4858">
        <v>0</v>
      </c>
      <c r="P4858">
        <v>0</v>
      </c>
      <c r="Q4858">
        <v>0</v>
      </c>
      <c r="R4858">
        <v>0</v>
      </c>
    </row>
    <row r="4859" spans="2:18">
      <c r="B4859" t="s">
        <v>4999</v>
      </c>
      <c r="C4859" t="s">
        <v>836</v>
      </c>
      <c r="D4859" t="s">
        <v>563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2:18">
      <c r="B4860" t="s">
        <v>5000</v>
      </c>
      <c r="C4860" t="s">
        <v>836</v>
      </c>
      <c r="D4860" t="s">
        <v>563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2:18">
      <c r="B4861" t="s">
        <v>5001</v>
      </c>
      <c r="C4861" t="s">
        <v>836</v>
      </c>
      <c r="D4861" t="s">
        <v>563</v>
      </c>
      <c r="E4861">
        <v>0</v>
      </c>
      <c r="F4861">
        <v>0</v>
      </c>
      <c r="G4861">
        <v>8400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5500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2:18">
      <c r="B4862" t="s">
        <v>5002</v>
      </c>
      <c r="C4862" t="s">
        <v>836</v>
      </c>
      <c r="D4862" t="s">
        <v>563</v>
      </c>
      <c r="E4862">
        <v>1</v>
      </c>
      <c r="F4862">
        <v>2000.51</v>
      </c>
      <c r="G4862">
        <v>2899.9</v>
      </c>
      <c r="H4862">
        <v>2</v>
      </c>
      <c r="I4862">
        <v>0</v>
      </c>
      <c r="J4862">
        <v>0</v>
      </c>
      <c r="K4862">
        <v>0</v>
      </c>
      <c r="L4862">
        <v>0</v>
      </c>
      <c r="M4862">
        <v>3620.8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2:18">
      <c r="B4863" t="s">
        <v>5003</v>
      </c>
      <c r="C4863" t="s">
        <v>836</v>
      </c>
      <c r="D4863" t="s">
        <v>563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2:18">
      <c r="B4864" t="s">
        <v>5004</v>
      </c>
      <c r="C4864" t="s">
        <v>836</v>
      </c>
      <c r="D4864" t="s">
        <v>563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2:19">
      <c r="B4865" t="s">
        <v>5005</v>
      </c>
      <c r="C4865" t="s">
        <v>836</v>
      </c>
      <c r="D4865" t="s">
        <v>563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2:19">
      <c r="B4866" t="s">
        <v>5006</v>
      </c>
      <c r="C4866" t="s">
        <v>836</v>
      </c>
      <c r="D4866" t="s">
        <v>563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2:19">
      <c r="B4867" t="s">
        <v>5007</v>
      </c>
      <c r="C4867" t="s">
        <v>836</v>
      </c>
      <c r="D4867" t="s">
        <v>563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2:19">
      <c r="B4868" t="s">
        <v>5008</v>
      </c>
      <c r="C4868" t="s">
        <v>836</v>
      </c>
      <c r="D4868" t="s">
        <v>563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6000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2:19">
      <c r="B4869" t="s">
        <v>5009</v>
      </c>
      <c r="C4869" t="s">
        <v>836</v>
      </c>
      <c r="D4869" t="s">
        <v>563</v>
      </c>
      <c r="E4869">
        <v>1</v>
      </c>
      <c r="F4869">
        <v>501</v>
      </c>
      <c r="G4869">
        <v>1790</v>
      </c>
      <c r="H4869">
        <v>3</v>
      </c>
      <c r="I4869">
        <v>800.5</v>
      </c>
      <c r="J4869">
        <v>800.5</v>
      </c>
      <c r="K4869">
        <v>800.5</v>
      </c>
      <c r="L4869">
        <v>800.5</v>
      </c>
      <c r="M4869">
        <v>1132.1500000000001</v>
      </c>
      <c r="N4869">
        <v>-0.29289999999999999</v>
      </c>
      <c r="O4869">
        <v>1</v>
      </c>
      <c r="P4869">
        <v>80050</v>
      </c>
      <c r="Q4869">
        <v>800.5</v>
      </c>
      <c r="R4869">
        <v>0</v>
      </c>
      <c r="S4869" t="s">
        <v>6285</v>
      </c>
    </row>
    <row r="4870" spans="2:19">
      <c r="B4870" t="s">
        <v>5010</v>
      </c>
      <c r="C4870" t="s">
        <v>836</v>
      </c>
      <c r="D4870" t="s">
        <v>563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2:19">
      <c r="B4871" t="s">
        <v>5011</v>
      </c>
      <c r="C4871" t="s">
        <v>836</v>
      </c>
      <c r="D4871" t="s">
        <v>563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2:19">
      <c r="B4872" t="s">
        <v>5012</v>
      </c>
      <c r="C4872" t="s">
        <v>836</v>
      </c>
      <c r="D4872" t="s">
        <v>563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2:19">
      <c r="B4873" t="s">
        <v>5013</v>
      </c>
      <c r="C4873" t="s">
        <v>836</v>
      </c>
      <c r="D4873" t="s">
        <v>563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2:19">
      <c r="B4874" t="s">
        <v>5014</v>
      </c>
      <c r="C4874" t="s">
        <v>836</v>
      </c>
      <c r="D4874" t="s">
        <v>563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2:19">
      <c r="B4875" t="s">
        <v>5015</v>
      </c>
      <c r="C4875" t="s">
        <v>836</v>
      </c>
      <c r="D4875" t="s">
        <v>563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2:19">
      <c r="B4876" t="s">
        <v>5016</v>
      </c>
      <c r="C4876" t="s">
        <v>836</v>
      </c>
      <c r="D4876" t="s">
        <v>563</v>
      </c>
      <c r="E4876">
        <v>1</v>
      </c>
      <c r="F4876">
        <v>2000.1</v>
      </c>
      <c r="G4876">
        <v>3450</v>
      </c>
      <c r="H4876">
        <v>1</v>
      </c>
      <c r="I4876">
        <v>2800</v>
      </c>
      <c r="J4876">
        <v>2800</v>
      </c>
      <c r="K4876">
        <v>2800</v>
      </c>
      <c r="L4876">
        <v>2800</v>
      </c>
      <c r="M4876">
        <v>2800</v>
      </c>
      <c r="N4876">
        <v>0</v>
      </c>
      <c r="O4876">
        <v>1</v>
      </c>
      <c r="P4876">
        <v>280000</v>
      </c>
      <c r="Q4876">
        <v>2800</v>
      </c>
      <c r="R4876">
        <v>0</v>
      </c>
      <c r="S4876" t="s">
        <v>6288</v>
      </c>
    </row>
    <row r="4877" spans="2:19">
      <c r="B4877" t="s">
        <v>5017</v>
      </c>
      <c r="C4877" t="s">
        <v>836</v>
      </c>
      <c r="D4877" t="s">
        <v>563</v>
      </c>
      <c r="E4877">
        <v>2</v>
      </c>
      <c r="F4877">
        <v>100</v>
      </c>
      <c r="G4877">
        <v>245.42</v>
      </c>
      <c r="H4877">
        <v>2</v>
      </c>
      <c r="I4877">
        <v>250</v>
      </c>
      <c r="J4877">
        <v>100</v>
      </c>
      <c r="K4877">
        <v>250</v>
      </c>
      <c r="L4877">
        <v>100</v>
      </c>
      <c r="M4877">
        <v>301.83300000000003</v>
      </c>
      <c r="N4877">
        <v>-0.66859999999999997</v>
      </c>
      <c r="O4877">
        <v>10</v>
      </c>
      <c r="P4877">
        <v>220000</v>
      </c>
      <c r="Q4877">
        <v>220</v>
      </c>
      <c r="R4877">
        <v>0</v>
      </c>
      <c r="S4877" t="s">
        <v>6284</v>
      </c>
    </row>
    <row r="4878" spans="2:19">
      <c r="B4878" t="s">
        <v>5018</v>
      </c>
      <c r="C4878" t="s">
        <v>836</v>
      </c>
      <c r="D4878" t="s">
        <v>563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2:19">
      <c r="B4879" t="s">
        <v>5019</v>
      </c>
      <c r="C4879" t="s">
        <v>836</v>
      </c>
      <c r="D4879" t="s">
        <v>563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2:19">
      <c r="B4880" t="s">
        <v>5020</v>
      </c>
      <c r="C4880" t="s">
        <v>836</v>
      </c>
      <c r="D4880" t="s">
        <v>563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2:18">
      <c r="B4881" t="s">
        <v>5021</v>
      </c>
      <c r="C4881" t="s">
        <v>836</v>
      </c>
      <c r="D4881" t="s">
        <v>563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2:18">
      <c r="B4882" t="s">
        <v>5022</v>
      </c>
      <c r="C4882" t="s">
        <v>836</v>
      </c>
      <c r="D4882" t="s">
        <v>563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2:18">
      <c r="B4883" t="s">
        <v>5023</v>
      </c>
      <c r="C4883" t="s">
        <v>836</v>
      </c>
      <c r="D4883" t="s">
        <v>563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2:18">
      <c r="B4884" t="s">
        <v>5024</v>
      </c>
      <c r="C4884" t="s">
        <v>836</v>
      </c>
      <c r="D4884" t="s">
        <v>563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2:18">
      <c r="B4885" t="s">
        <v>5025</v>
      </c>
      <c r="C4885" t="s">
        <v>836</v>
      </c>
      <c r="D4885" t="s">
        <v>563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2:18">
      <c r="B4886" t="s">
        <v>5026</v>
      </c>
      <c r="C4886" t="s">
        <v>836</v>
      </c>
      <c r="D4886" t="s">
        <v>563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2:18">
      <c r="B4887" t="s">
        <v>5027</v>
      </c>
      <c r="C4887" t="s">
        <v>836</v>
      </c>
      <c r="D4887" t="s">
        <v>563</v>
      </c>
      <c r="E4887">
        <v>0</v>
      </c>
      <c r="F4887">
        <v>0</v>
      </c>
      <c r="G4887">
        <v>4990.8</v>
      </c>
      <c r="H4887">
        <v>19</v>
      </c>
      <c r="I4887">
        <v>0</v>
      </c>
      <c r="J4887">
        <v>0</v>
      </c>
      <c r="K4887">
        <v>0</v>
      </c>
      <c r="L4887">
        <v>0</v>
      </c>
      <c r="M4887">
        <v>1500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2:18">
      <c r="B4888" t="s">
        <v>5028</v>
      </c>
      <c r="C4888" t="s">
        <v>836</v>
      </c>
      <c r="D4888" t="s">
        <v>563</v>
      </c>
      <c r="E4888">
        <v>3</v>
      </c>
      <c r="F4888">
        <v>33</v>
      </c>
      <c r="G4888">
        <v>90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49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2:18">
      <c r="B4889" t="s">
        <v>5029</v>
      </c>
      <c r="C4889" t="s">
        <v>836</v>
      </c>
      <c r="D4889" t="s">
        <v>563</v>
      </c>
      <c r="E4889">
        <v>0</v>
      </c>
      <c r="F4889">
        <v>0</v>
      </c>
      <c r="G4889">
        <v>8995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6500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2:18">
      <c r="B4890" t="s">
        <v>5030</v>
      </c>
      <c r="C4890" t="s">
        <v>836</v>
      </c>
      <c r="D4890" t="s">
        <v>563</v>
      </c>
      <c r="E4890">
        <v>0</v>
      </c>
      <c r="F4890">
        <v>0</v>
      </c>
      <c r="G4890">
        <v>1000</v>
      </c>
      <c r="H4890">
        <v>5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2:18">
      <c r="B4891" t="s">
        <v>5031</v>
      </c>
      <c r="C4891" t="s">
        <v>836</v>
      </c>
      <c r="D4891" t="s">
        <v>563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</row>
    <row r="4892" spans="2:18">
      <c r="B4892" t="s">
        <v>5032</v>
      </c>
      <c r="C4892" t="s">
        <v>836</v>
      </c>
      <c r="D4892" t="s">
        <v>563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2:18">
      <c r="B4893" t="s">
        <v>5033</v>
      </c>
      <c r="C4893" t="s">
        <v>836</v>
      </c>
      <c r="D4893" t="s">
        <v>563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2:18">
      <c r="B4894" t="s">
        <v>5034</v>
      </c>
      <c r="C4894" t="s">
        <v>836</v>
      </c>
      <c r="D4894" t="s">
        <v>563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2:18">
      <c r="B4895" t="s">
        <v>5035</v>
      </c>
      <c r="C4895" t="s">
        <v>836</v>
      </c>
      <c r="D4895" t="s">
        <v>563</v>
      </c>
      <c r="E4895">
        <v>2</v>
      </c>
      <c r="F4895">
        <v>20</v>
      </c>
      <c r="G4895">
        <v>264</v>
      </c>
      <c r="H4895">
        <v>10</v>
      </c>
      <c r="I4895">
        <v>0</v>
      </c>
      <c r="J4895">
        <v>0</v>
      </c>
      <c r="K4895">
        <v>0</v>
      </c>
      <c r="L4895">
        <v>0</v>
      </c>
      <c r="M4895">
        <v>47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2:18">
      <c r="B4896" t="s">
        <v>5036</v>
      </c>
      <c r="C4896" t="s">
        <v>836</v>
      </c>
      <c r="D4896" t="s">
        <v>563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2:18">
      <c r="B4897" t="s">
        <v>5037</v>
      </c>
      <c r="C4897" t="s">
        <v>836</v>
      </c>
      <c r="D4897" t="s">
        <v>563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2:18">
      <c r="B4898" t="s">
        <v>5038</v>
      </c>
      <c r="C4898" t="s">
        <v>836</v>
      </c>
      <c r="D4898" t="s">
        <v>563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2:18">
      <c r="B4899" t="s">
        <v>5039</v>
      </c>
      <c r="C4899" t="s">
        <v>836</v>
      </c>
      <c r="D4899" t="s">
        <v>563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2:18">
      <c r="B4900" t="s">
        <v>5040</v>
      </c>
      <c r="C4900" t="s">
        <v>836</v>
      </c>
      <c r="D4900" t="s">
        <v>563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2:18">
      <c r="B4901" t="s">
        <v>5041</v>
      </c>
      <c r="C4901" t="s">
        <v>836</v>
      </c>
      <c r="D4901" t="s">
        <v>563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</row>
    <row r="4902" spans="2:18">
      <c r="B4902" t="s">
        <v>5042</v>
      </c>
      <c r="C4902" t="s">
        <v>836</v>
      </c>
      <c r="D4902" t="s">
        <v>563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2:18">
      <c r="B4903" t="s">
        <v>5043</v>
      </c>
      <c r="C4903" t="s">
        <v>836</v>
      </c>
      <c r="D4903" t="s">
        <v>563</v>
      </c>
      <c r="E4903">
        <v>0</v>
      </c>
      <c r="F4903">
        <v>0</v>
      </c>
      <c r="G4903">
        <v>160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10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2:18">
      <c r="B4904" t="s">
        <v>5044</v>
      </c>
      <c r="C4904" t="s">
        <v>836</v>
      </c>
      <c r="D4904" t="s">
        <v>563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2:18">
      <c r="B4905" t="s">
        <v>5045</v>
      </c>
      <c r="C4905" t="s">
        <v>836</v>
      </c>
      <c r="D4905" t="s">
        <v>563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2:18">
      <c r="B4906" t="s">
        <v>5046</v>
      </c>
      <c r="C4906" t="s">
        <v>836</v>
      </c>
      <c r="D4906" t="s">
        <v>563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2:18">
      <c r="B4907" t="s">
        <v>5047</v>
      </c>
      <c r="C4907" t="s">
        <v>836</v>
      </c>
      <c r="D4907" t="s">
        <v>563</v>
      </c>
      <c r="E4907">
        <v>0</v>
      </c>
      <c r="F4907">
        <v>0</v>
      </c>
      <c r="G4907">
        <v>25</v>
      </c>
      <c r="H4907">
        <v>20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2:18">
      <c r="B4908" t="s">
        <v>5048</v>
      </c>
      <c r="C4908" t="s">
        <v>836</v>
      </c>
      <c r="D4908" t="s">
        <v>563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2:18">
      <c r="B4909" t="s">
        <v>5049</v>
      </c>
      <c r="C4909" t="s">
        <v>836</v>
      </c>
      <c r="D4909" t="s">
        <v>563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2:18">
      <c r="B4910" t="s">
        <v>5050</v>
      </c>
      <c r="C4910" t="s">
        <v>836</v>
      </c>
      <c r="D4910" t="s">
        <v>563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</row>
    <row r="4911" spans="2:18">
      <c r="B4911" t="s">
        <v>5051</v>
      </c>
      <c r="C4911" t="s">
        <v>836</v>
      </c>
      <c r="D4911" t="s">
        <v>563</v>
      </c>
      <c r="E4911">
        <v>0</v>
      </c>
      <c r="F4911">
        <v>0</v>
      </c>
      <c r="G4911">
        <v>20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2:18">
      <c r="B4912" t="s">
        <v>5052</v>
      </c>
      <c r="C4912" t="s">
        <v>836</v>
      </c>
      <c r="D4912" t="s">
        <v>563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2:18">
      <c r="B4913" t="s">
        <v>5053</v>
      </c>
      <c r="C4913" t="s">
        <v>836</v>
      </c>
      <c r="D4913" t="s">
        <v>563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2:18">
      <c r="B4914" t="s">
        <v>5054</v>
      </c>
      <c r="C4914" t="s">
        <v>836</v>
      </c>
      <c r="D4914" t="s">
        <v>563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2:18">
      <c r="B4915" t="s">
        <v>5055</v>
      </c>
      <c r="C4915" t="s">
        <v>836</v>
      </c>
      <c r="D4915" t="s">
        <v>563</v>
      </c>
      <c r="E4915">
        <v>0</v>
      </c>
      <c r="F4915">
        <v>0</v>
      </c>
      <c r="G4915">
        <v>15</v>
      </c>
      <c r="H4915">
        <v>20</v>
      </c>
      <c r="I4915">
        <v>0</v>
      </c>
      <c r="J4915">
        <v>0</v>
      </c>
      <c r="K4915">
        <v>0</v>
      </c>
      <c r="L4915">
        <v>0</v>
      </c>
      <c r="M4915">
        <v>15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2:18">
      <c r="B4916" t="s">
        <v>5056</v>
      </c>
      <c r="C4916" t="s">
        <v>836</v>
      </c>
      <c r="D4916" t="s">
        <v>563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2:18">
      <c r="B4917" t="s">
        <v>5057</v>
      </c>
      <c r="C4917" t="s">
        <v>836</v>
      </c>
      <c r="D4917" t="s">
        <v>563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2:18">
      <c r="B4918" t="s">
        <v>5058</v>
      </c>
      <c r="C4918" t="s">
        <v>836</v>
      </c>
      <c r="D4918" t="s">
        <v>563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2:18">
      <c r="B4919" t="s">
        <v>5059</v>
      </c>
      <c r="C4919" t="s">
        <v>836</v>
      </c>
      <c r="D4919" t="s">
        <v>563</v>
      </c>
      <c r="E4919">
        <v>0</v>
      </c>
      <c r="F4919">
        <v>0</v>
      </c>
      <c r="G4919">
        <v>10</v>
      </c>
      <c r="H4919">
        <v>30</v>
      </c>
      <c r="I4919">
        <v>0</v>
      </c>
      <c r="J4919">
        <v>0</v>
      </c>
      <c r="K4919">
        <v>0</v>
      </c>
      <c r="L4919">
        <v>0</v>
      </c>
      <c r="M4919">
        <v>11.9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2:18">
      <c r="B4920" t="s">
        <v>5060</v>
      </c>
      <c r="C4920" t="s">
        <v>836</v>
      </c>
      <c r="D4920" t="s">
        <v>563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2:18">
      <c r="B4921" t="s">
        <v>5061</v>
      </c>
      <c r="C4921" t="s">
        <v>836</v>
      </c>
      <c r="D4921" t="s">
        <v>563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2:18">
      <c r="B4922" t="s">
        <v>5062</v>
      </c>
      <c r="C4922" t="s">
        <v>836</v>
      </c>
      <c r="D4922" t="s">
        <v>563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2:18">
      <c r="B4923" t="s">
        <v>5063</v>
      </c>
      <c r="C4923" t="s">
        <v>836</v>
      </c>
      <c r="D4923" t="s">
        <v>563</v>
      </c>
      <c r="E4923">
        <v>0</v>
      </c>
      <c r="F4923">
        <v>0</v>
      </c>
      <c r="G4923">
        <v>41</v>
      </c>
      <c r="H4923">
        <v>10</v>
      </c>
      <c r="I4923">
        <v>0</v>
      </c>
      <c r="J4923">
        <v>0</v>
      </c>
      <c r="K4923">
        <v>0</v>
      </c>
      <c r="L4923">
        <v>0</v>
      </c>
      <c r="M4923">
        <v>9</v>
      </c>
      <c r="N4923">
        <v>0</v>
      </c>
      <c r="O4923">
        <v>0</v>
      </c>
      <c r="P4923">
        <v>0</v>
      </c>
      <c r="Q4923">
        <v>0</v>
      </c>
      <c r="R4923">
        <v>0</v>
      </c>
    </row>
    <row r="4924" spans="2:18">
      <c r="B4924" t="s">
        <v>5064</v>
      </c>
      <c r="C4924" t="s">
        <v>836</v>
      </c>
      <c r="D4924" t="s">
        <v>563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</row>
    <row r="4925" spans="2:18">
      <c r="B4925" t="s">
        <v>5065</v>
      </c>
      <c r="C4925" t="s">
        <v>836</v>
      </c>
      <c r="D4925" t="s">
        <v>563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2:18">
      <c r="B4926" t="s">
        <v>5066</v>
      </c>
      <c r="C4926" t="s">
        <v>836</v>
      </c>
      <c r="D4926" t="s">
        <v>563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2:18">
      <c r="B4927" t="s">
        <v>5067</v>
      </c>
      <c r="C4927" t="s">
        <v>836</v>
      </c>
      <c r="D4927" t="s">
        <v>563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2:18">
      <c r="B4928" t="s">
        <v>5068</v>
      </c>
      <c r="C4928" t="s">
        <v>836</v>
      </c>
      <c r="D4928" t="s">
        <v>563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2:18">
      <c r="B4929" t="s">
        <v>5069</v>
      </c>
      <c r="C4929" t="s">
        <v>836</v>
      </c>
      <c r="D4929" t="s">
        <v>563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2:18">
      <c r="B4930" t="s">
        <v>5070</v>
      </c>
      <c r="C4930" t="s">
        <v>836</v>
      </c>
      <c r="D4930" t="s">
        <v>563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2:18">
      <c r="B4931" t="s">
        <v>5071</v>
      </c>
      <c r="C4931" t="s">
        <v>836</v>
      </c>
      <c r="D4931" t="s">
        <v>563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2:18">
      <c r="B4932" t="s">
        <v>5072</v>
      </c>
      <c r="C4932" t="s">
        <v>836</v>
      </c>
      <c r="D4932" t="s">
        <v>563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2:18">
      <c r="B4933" t="s">
        <v>5073</v>
      </c>
      <c r="C4933" t="s">
        <v>836</v>
      </c>
      <c r="D4933" t="s">
        <v>563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2:18">
      <c r="B4934" t="s">
        <v>5074</v>
      </c>
      <c r="C4934" t="s">
        <v>836</v>
      </c>
      <c r="D4934" t="s">
        <v>563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2:18">
      <c r="B4935" t="s">
        <v>5075</v>
      </c>
      <c r="C4935" t="s">
        <v>836</v>
      </c>
      <c r="D4935" t="s">
        <v>563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2:18">
      <c r="B4936" t="s">
        <v>5076</v>
      </c>
      <c r="C4936" t="s">
        <v>836</v>
      </c>
      <c r="D4936" t="s">
        <v>563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2:18">
      <c r="B4937" t="s">
        <v>5077</v>
      </c>
      <c r="C4937" t="s">
        <v>836</v>
      </c>
      <c r="D4937" t="s">
        <v>563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2:18">
      <c r="B4938" t="s">
        <v>5078</v>
      </c>
      <c r="C4938" t="s">
        <v>836</v>
      </c>
      <c r="D4938" t="s">
        <v>563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2:18">
      <c r="B4939" t="s">
        <v>5079</v>
      </c>
      <c r="C4939" t="s">
        <v>836</v>
      </c>
      <c r="D4939" t="s">
        <v>563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</row>
    <row r="4940" spans="2:18">
      <c r="B4940" t="s">
        <v>5080</v>
      </c>
      <c r="C4940" t="s">
        <v>836</v>
      </c>
      <c r="D4940" t="s">
        <v>563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</row>
    <row r="4941" spans="2:18">
      <c r="B4941" t="s">
        <v>5081</v>
      </c>
      <c r="C4941" t="s">
        <v>836</v>
      </c>
      <c r="D4941" t="s">
        <v>563</v>
      </c>
      <c r="E4941">
        <v>0</v>
      </c>
      <c r="F4941">
        <v>0</v>
      </c>
      <c r="G4941">
        <v>50</v>
      </c>
      <c r="H4941">
        <v>12</v>
      </c>
      <c r="I4941">
        <v>0</v>
      </c>
      <c r="J4941">
        <v>0</v>
      </c>
      <c r="K4941">
        <v>0</v>
      </c>
      <c r="L4941">
        <v>0</v>
      </c>
      <c r="M4941">
        <v>10</v>
      </c>
      <c r="N4941">
        <v>0</v>
      </c>
      <c r="O4941">
        <v>0</v>
      </c>
      <c r="P4941">
        <v>0</v>
      </c>
      <c r="Q4941">
        <v>0</v>
      </c>
      <c r="R4941">
        <v>0</v>
      </c>
    </row>
    <row r="4942" spans="2:18">
      <c r="B4942" t="s">
        <v>5082</v>
      </c>
      <c r="C4942" t="s">
        <v>836</v>
      </c>
      <c r="D4942" t="s">
        <v>563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2:18">
      <c r="B4943" t="s">
        <v>5083</v>
      </c>
      <c r="C4943" t="s">
        <v>836</v>
      </c>
      <c r="D4943" t="s">
        <v>563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2:18">
      <c r="B4944" t="s">
        <v>5084</v>
      </c>
      <c r="C4944" t="s">
        <v>836</v>
      </c>
      <c r="D4944" t="s">
        <v>563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2:18">
      <c r="B4945" t="s">
        <v>5085</v>
      </c>
      <c r="C4945" t="s">
        <v>836</v>
      </c>
      <c r="D4945" t="s">
        <v>563</v>
      </c>
      <c r="E4945">
        <v>0</v>
      </c>
      <c r="F4945">
        <v>0</v>
      </c>
      <c r="G4945">
        <v>293.39999999999998</v>
      </c>
      <c r="H4945">
        <v>17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2:18">
      <c r="B4946" t="s">
        <v>5086</v>
      </c>
      <c r="C4946" t="s">
        <v>836</v>
      </c>
      <c r="D4946" t="s">
        <v>563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2:18">
      <c r="B4947" t="s">
        <v>5087</v>
      </c>
      <c r="C4947" t="s">
        <v>836</v>
      </c>
      <c r="D4947" t="s">
        <v>563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2:18">
      <c r="B4948" t="s">
        <v>5088</v>
      </c>
      <c r="C4948" t="s">
        <v>836</v>
      </c>
      <c r="D4948" t="s">
        <v>563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2:18">
      <c r="B4949" t="s">
        <v>5089</v>
      </c>
      <c r="C4949" t="s">
        <v>836</v>
      </c>
      <c r="D4949" t="s">
        <v>563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2:18">
      <c r="B4950" t="s">
        <v>5090</v>
      </c>
      <c r="C4950" t="s">
        <v>836</v>
      </c>
      <c r="D4950" t="s">
        <v>563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2:18">
      <c r="B4951" t="s">
        <v>5091</v>
      </c>
      <c r="C4951" t="s">
        <v>836</v>
      </c>
      <c r="D4951" t="s">
        <v>563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2:18">
      <c r="B4952" t="s">
        <v>5092</v>
      </c>
      <c r="C4952" t="s">
        <v>836</v>
      </c>
      <c r="D4952" t="s">
        <v>563</v>
      </c>
      <c r="E4952">
        <v>0</v>
      </c>
      <c r="F4952">
        <v>0</v>
      </c>
      <c r="G4952">
        <v>90</v>
      </c>
      <c r="H4952">
        <v>23</v>
      </c>
      <c r="I4952">
        <v>0</v>
      </c>
      <c r="J4952">
        <v>0</v>
      </c>
      <c r="K4952">
        <v>0</v>
      </c>
      <c r="L4952">
        <v>0</v>
      </c>
      <c r="M4952">
        <v>79.900000000000006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2:18">
      <c r="B4953" t="s">
        <v>5093</v>
      </c>
      <c r="C4953" t="s">
        <v>836</v>
      </c>
      <c r="D4953" t="s">
        <v>563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2:18">
      <c r="B4954" t="s">
        <v>5094</v>
      </c>
      <c r="C4954" t="s">
        <v>836</v>
      </c>
      <c r="D4954" t="s">
        <v>563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2:18">
      <c r="B4955" t="s">
        <v>5095</v>
      </c>
      <c r="C4955" t="s">
        <v>836</v>
      </c>
      <c r="D4955" t="s">
        <v>563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2:18">
      <c r="B4956" t="s">
        <v>5096</v>
      </c>
      <c r="C4956" t="s">
        <v>836</v>
      </c>
      <c r="D4956" t="s">
        <v>563</v>
      </c>
      <c r="E4956">
        <v>0</v>
      </c>
      <c r="F4956">
        <v>0</v>
      </c>
      <c r="G4956">
        <v>100</v>
      </c>
      <c r="H4956">
        <v>5</v>
      </c>
      <c r="I4956">
        <v>0</v>
      </c>
      <c r="J4956">
        <v>0</v>
      </c>
      <c r="K4956">
        <v>0</v>
      </c>
      <c r="L4956">
        <v>0</v>
      </c>
      <c r="M4956">
        <v>11.6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2:18">
      <c r="B4957" t="s">
        <v>5097</v>
      </c>
      <c r="C4957" t="s">
        <v>836</v>
      </c>
      <c r="D4957" t="s">
        <v>563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2:18">
      <c r="B4958" t="s">
        <v>5098</v>
      </c>
      <c r="C4958" t="s">
        <v>836</v>
      </c>
      <c r="D4958" t="s">
        <v>563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2:18">
      <c r="B4959" t="s">
        <v>5099</v>
      </c>
      <c r="C4959" t="s">
        <v>836</v>
      </c>
      <c r="D4959" t="s">
        <v>563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2:18">
      <c r="B4960" t="s">
        <v>5100</v>
      </c>
      <c r="C4960" t="s">
        <v>836</v>
      </c>
      <c r="D4960" t="s">
        <v>563</v>
      </c>
      <c r="E4960">
        <v>0</v>
      </c>
      <c r="F4960">
        <v>0</v>
      </c>
      <c r="G4960">
        <v>600</v>
      </c>
      <c r="H4960">
        <v>16</v>
      </c>
      <c r="I4960">
        <v>0</v>
      </c>
      <c r="J4960">
        <v>0</v>
      </c>
      <c r="K4960">
        <v>0</v>
      </c>
      <c r="L4960">
        <v>0</v>
      </c>
      <c r="M4960">
        <v>14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2:18">
      <c r="B4961" t="s">
        <v>5101</v>
      </c>
      <c r="C4961" t="s">
        <v>836</v>
      </c>
      <c r="D4961" t="s">
        <v>563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2:18">
      <c r="B4962" t="s">
        <v>5102</v>
      </c>
      <c r="C4962" t="s">
        <v>836</v>
      </c>
      <c r="D4962" t="s">
        <v>563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2:18">
      <c r="B4963" t="s">
        <v>5103</v>
      </c>
      <c r="C4963" t="s">
        <v>836</v>
      </c>
      <c r="D4963" t="s">
        <v>563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2:18">
      <c r="B4964" t="s">
        <v>5104</v>
      </c>
      <c r="C4964" t="s">
        <v>836</v>
      </c>
      <c r="D4964" t="s">
        <v>563</v>
      </c>
      <c r="E4964">
        <v>0</v>
      </c>
      <c r="F4964">
        <v>0</v>
      </c>
      <c r="G4964">
        <v>30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20.5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2:18">
      <c r="B4965" t="s">
        <v>5105</v>
      </c>
      <c r="C4965" t="s">
        <v>836</v>
      </c>
      <c r="D4965" t="s">
        <v>563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2:18">
      <c r="B4966" t="s">
        <v>5106</v>
      </c>
      <c r="C4966" t="s">
        <v>836</v>
      </c>
      <c r="D4966" t="s">
        <v>563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</row>
    <row r="4967" spans="2:18">
      <c r="B4967" t="s">
        <v>5107</v>
      </c>
      <c r="C4967" t="s">
        <v>836</v>
      </c>
      <c r="D4967" t="s">
        <v>563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</row>
    <row r="4968" spans="2:18">
      <c r="B4968" t="s">
        <v>5108</v>
      </c>
      <c r="C4968" t="s">
        <v>836</v>
      </c>
      <c r="D4968" t="s">
        <v>563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2:18">
      <c r="B4969" t="s">
        <v>5109</v>
      </c>
      <c r="C4969" t="s">
        <v>836</v>
      </c>
      <c r="D4969" t="s">
        <v>563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</row>
    <row r="4970" spans="2:18">
      <c r="B4970" t="s">
        <v>5110</v>
      </c>
      <c r="C4970" t="s">
        <v>836</v>
      </c>
      <c r="D4970" t="s">
        <v>563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2:18">
      <c r="B4971" t="s">
        <v>5111</v>
      </c>
      <c r="C4971" t="s">
        <v>836</v>
      </c>
      <c r="D4971" t="s">
        <v>563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2:18">
      <c r="B4972" t="s">
        <v>5112</v>
      </c>
      <c r="C4972" t="s">
        <v>836</v>
      </c>
      <c r="D4972" t="s">
        <v>563</v>
      </c>
      <c r="E4972">
        <v>5</v>
      </c>
      <c r="F4972">
        <v>20</v>
      </c>
      <c r="G4972">
        <v>137.24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25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2:18">
      <c r="B4973" t="s">
        <v>5113</v>
      </c>
      <c r="C4973" t="s">
        <v>836</v>
      </c>
      <c r="D4973" t="s">
        <v>563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2:18">
      <c r="B4974" t="s">
        <v>5114</v>
      </c>
      <c r="C4974" t="s">
        <v>836</v>
      </c>
      <c r="D4974" t="s">
        <v>563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2:18">
      <c r="B4975" t="s">
        <v>5115</v>
      </c>
      <c r="C4975" t="s">
        <v>836</v>
      </c>
      <c r="D4975" t="s">
        <v>563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2:18">
      <c r="B4976" t="s">
        <v>5116</v>
      </c>
      <c r="C4976" t="s">
        <v>836</v>
      </c>
      <c r="D4976" t="s">
        <v>563</v>
      </c>
      <c r="E4976">
        <v>1</v>
      </c>
      <c r="F4976">
        <v>250.55</v>
      </c>
      <c r="G4976">
        <v>349.5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276.36</v>
      </c>
      <c r="N4976">
        <v>0</v>
      </c>
      <c r="O4976">
        <v>0</v>
      </c>
      <c r="P4976">
        <v>0</v>
      </c>
      <c r="Q4976">
        <v>0</v>
      </c>
      <c r="R4976">
        <v>0</v>
      </c>
    </row>
    <row r="4977" spans="2:18">
      <c r="B4977" t="s">
        <v>5117</v>
      </c>
      <c r="C4977" t="s">
        <v>836</v>
      </c>
      <c r="D4977" t="s">
        <v>563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</row>
    <row r="4978" spans="2:18">
      <c r="B4978" t="s">
        <v>5118</v>
      </c>
      <c r="C4978" t="s">
        <v>836</v>
      </c>
      <c r="D4978" t="s">
        <v>563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2:18">
      <c r="B4979" t="s">
        <v>5119</v>
      </c>
      <c r="C4979" t="s">
        <v>836</v>
      </c>
      <c r="D4979" t="s">
        <v>563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2:18">
      <c r="B4980" t="s">
        <v>5120</v>
      </c>
      <c r="C4980" t="s">
        <v>836</v>
      </c>
      <c r="D4980" t="s">
        <v>563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2:18">
      <c r="B4981" t="s">
        <v>5121</v>
      </c>
      <c r="C4981" t="s">
        <v>836</v>
      </c>
      <c r="D4981" t="s">
        <v>563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2:18">
      <c r="B4982" t="s">
        <v>5122</v>
      </c>
      <c r="C4982" t="s">
        <v>836</v>
      </c>
      <c r="D4982" t="s">
        <v>563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2:18">
      <c r="B4983" t="s">
        <v>5123</v>
      </c>
      <c r="C4983" t="s">
        <v>836</v>
      </c>
      <c r="D4983" t="s">
        <v>563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2:18">
      <c r="B4984" t="s">
        <v>5124</v>
      </c>
      <c r="C4984" t="s">
        <v>836</v>
      </c>
      <c r="D4984" t="s">
        <v>563</v>
      </c>
      <c r="E4984">
        <v>2</v>
      </c>
      <c r="F4984">
        <v>701.00099999999998</v>
      </c>
      <c r="G4984">
        <v>2250.5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800</v>
      </c>
      <c r="N4984">
        <v>0</v>
      </c>
      <c r="O4984">
        <v>0</v>
      </c>
      <c r="P4984">
        <v>0</v>
      </c>
      <c r="Q4984">
        <v>0</v>
      </c>
      <c r="R4984">
        <v>0</v>
      </c>
    </row>
    <row r="4985" spans="2:18">
      <c r="B4985" t="s">
        <v>5125</v>
      </c>
      <c r="C4985" t="s">
        <v>836</v>
      </c>
      <c r="D4985" t="s">
        <v>563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</row>
    <row r="4986" spans="2:18">
      <c r="B4986" t="s">
        <v>5126</v>
      </c>
      <c r="C4986" t="s">
        <v>836</v>
      </c>
      <c r="D4986" t="s">
        <v>563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2:18">
      <c r="B4987" t="s">
        <v>5127</v>
      </c>
      <c r="C4987" t="s">
        <v>836</v>
      </c>
      <c r="D4987" t="s">
        <v>563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2:18">
      <c r="B4988" t="s">
        <v>5128</v>
      </c>
      <c r="C4988" t="s">
        <v>836</v>
      </c>
      <c r="D4988" t="s">
        <v>563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2:18">
      <c r="B4989" t="s">
        <v>5129</v>
      </c>
      <c r="C4989" t="s">
        <v>836</v>
      </c>
      <c r="D4989" t="s">
        <v>563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</row>
    <row r="4990" spans="2:18">
      <c r="B4990" t="s">
        <v>5130</v>
      </c>
      <c r="C4990" t="s">
        <v>836</v>
      </c>
      <c r="D4990" t="s">
        <v>563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2:18">
      <c r="B4991" t="s">
        <v>5131</v>
      </c>
      <c r="C4991" t="s">
        <v>836</v>
      </c>
      <c r="D4991" t="s">
        <v>563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2:18">
      <c r="B4992" t="s">
        <v>5132</v>
      </c>
      <c r="C4992" t="s">
        <v>836</v>
      </c>
      <c r="D4992" t="s">
        <v>563</v>
      </c>
      <c r="E4992">
        <v>10</v>
      </c>
      <c r="F4992">
        <v>3109</v>
      </c>
      <c r="G4992">
        <v>6002</v>
      </c>
      <c r="H4992">
        <v>10</v>
      </c>
      <c r="I4992">
        <v>0</v>
      </c>
      <c r="J4992">
        <v>0</v>
      </c>
      <c r="K4992">
        <v>0</v>
      </c>
      <c r="L4992">
        <v>0</v>
      </c>
      <c r="M4992">
        <v>2500.5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2:18">
      <c r="B4993" t="s">
        <v>5133</v>
      </c>
      <c r="C4993" t="s">
        <v>836</v>
      </c>
      <c r="D4993" t="s">
        <v>563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2:18">
      <c r="B4994" t="s">
        <v>5134</v>
      </c>
      <c r="C4994" t="s">
        <v>836</v>
      </c>
      <c r="D4994" t="s">
        <v>563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2:18">
      <c r="B4995" t="s">
        <v>5135</v>
      </c>
      <c r="C4995" t="s">
        <v>836</v>
      </c>
      <c r="D4995" t="s">
        <v>563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2:18">
      <c r="B4996" t="s">
        <v>5136</v>
      </c>
      <c r="C4996" t="s">
        <v>836</v>
      </c>
      <c r="D4996" t="s">
        <v>563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2:18">
      <c r="B4997" t="s">
        <v>5137</v>
      </c>
      <c r="C4997" t="s">
        <v>836</v>
      </c>
      <c r="D4997" t="s">
        <v>563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2:18">
      <c r="B4998" t="s">
        <v>5138</v>
      </c>
      <c r="C4998" t="s">
        <v>836</v>
      </c>
      <c r="D4998" t="s">
        <v>563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2:18">
      <c r="B4999" t="s">
        <v>5139</v>
      </c>
      <c r="C4999" t="s">
        <v>836</v>
      </c>
      <c r="D4999" t="s">
        <v>563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2:18">
      <c r="B5000" t="s">
        <v>5140</v>
      </c>
      <c r="C5000" t="s">
        <v>836</v>
      </c>
      <c r="D5000" t="s">
        <v>563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2:18">
      <c r="B5001" t="s">
        <v>5141</v>
      </c>
      <c r="C5001" t="s">
        <v>836</v>
      </c>
      <c r="D5001" t="s">
        <v>563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</row>
    <row r="5002" spans="2:18">
      <c r="B5002" t="s">
        <v>5142</v>
      </c>
      <c r="C5002" t="s">
        <v>836</v>
      </c>
      <c r="D5002" t="s">
        <v>563</v>
      </c>
      <c r="E5002">
        <v>10</v>
      </c>
      <c r="F5002">
        <v>6050</v>
      </c>
      <c r="G5002">
        <v>8706</v>
      </c>
      <c r="H5002">
        <v>10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2:18">
      <c r="B5003" t="s">
        <v>5143</v>
      </c>
      <c r="C5003" t="s">
        <v>836</v>
      </c>
      <c r="D5003" t="s">
        <v>563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2:18">
      <c r="B5004" t="s">
        <v>5144</v>
      </c>
      <c r="C5004" t="s">
        <v>836</v>
      </c>
      <c r="D5004" t="s">
        <v>563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</row>
    <row r="5005" spans="2:18">
      <c r="B5005" t="s">
        <v>5145</v>
      </c>
      <c r="C5005" t="s">
        <v>836</v>
      </c>
      <c r="D5005" t="s">
        <v>563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2:18">
      <c r="B5006" t="s">
        <v>5146</v>
      </c>
      <c r="C5006" t="s">
        <v>836</v>
      </c>
      <c r="D5006" t="s">
        <v>563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2:18">
      <c r="B5007" t="s">
        <v>5147</v>
      </c>
      <c r="C5007" t="s">
        <v>836</v>
      </c>
      <c r="D5007" t="s">
        <v>563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2:18">
      <c r="B5008" t="s">
        <v>5148</v>
      </c>
      <c r="C5008" t="s">
        <v>836</v>
      </c>
      <c r="D5008" t="s">
        <v>563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2:18">
      <c r="B5009" t="s">
        <v>5149</v>
      </c>
      <c r="C5009" t="s">
        <v>836</v>
      </c>
      <c r="D5009" t="s">
        <v>563</v>
      </c>
      <c r="E5009">
        <v>10</v>
      </c>
      <c r="F5009">
        <v>8991</v>
      </c>
      <c r="G5009">
        <v>11563</v>
      </c>
      <c r="H5009">
        <v>10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</row>
    <row r="5010" spans="2:18">
      <c r="B5010" t="s">
        <v>5150</v>
      </c>
      <c r="C5010" t="s">
        <v>836</v>
      </c>
      <c r="D5010" t="s">
        <v>563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2:18">
      <c r="B5011" t="s">
        <v>5151</v>
      </c>
      <c r="C5011" t="s">
        <v>836</v>
      </c>
      <c r="D5011" t="s">
        <v>563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2:18">
      <c r="B5012" t="s">
        <v>5152</v>
      </c>
      <c r="C5012" t="s">
        <v>836</v>
      </c>
      <c r="D5012" t="s">
        <v>563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2:18">
      <c r="B5013" t="s">
        <v>5153</v>
      </c>
      <c r="C5013" t="s">
        <v>836</v>
      </c>
      <c r="D5013" t="s">
        <v>563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</row>
    <row r="5014" spans="2:18">
      <c r="B5014" t="s">
        <v>5154</v>
      </c>
      <c r="C5014" t="s">
        <v>836</v>
      </c>
      <c r="D5014" t="s">
        <v>563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</row>
    <row r="5015" spans="2:18">
      <c r="B5015" t="s">
        <v>5155</v>
      </c>
      <c r="C5015" t="s">
        <v>836</v>
      </c>
      <c r="D5015" t="s">
        <v>563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2:18">
      <c r="B5016" t="s">
        <v>5156</v>
      </c>
      <c r="C5016" t="s">
        <v>836</v>
      </c>
      <c r="D5016" t="s">
        <v>563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</row>
    <row r="5017" spans="2:18">
      <c r="B5017" t="s">
        <v>5157</v>
      </c>
      <c r="C5017" t="s">
        <v>836</v>
      </c>
      <c r="D5017" t="s">
        <v>563</v>
      </c>
      <c r="E5017">
        <v>10</v>
      </c>
      <c r="F5017">
        <v>11933</v>
      </c>
      <c r="G5017">
        <v>14603</v>
      </c>
      <c r="H5017">
        <v>10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</row>
    <row r="5018" spans="2:18">
      <c r="B5018" t="s">
        <v>5158</v>
      </c>
      <c r="C5018" t="s">
        <v>836</v>
      </c>
      <c r="D5018" t="s">
        <v>563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2:18">
      <c r="B5019" t="s">
        <v>5159</v>
      </c>
      <c r="C5019" t="s">
        <v>836</v>
      </c>
      <c r="D5019" t="s">
        <v>563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2:18">
      <c r="B5020" t="s">
        <v>5160</v>
      </c>
      <c r="C5020" t="s">
        <v>836</v>
      </c>
      <c r="D5020" t="s">
        <v>563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2:18">
      <c r="B5021" t="s">
        <v>5161</v>
      </c>
      <c r="C5021" t="s">
        <v>836</v>
      </c>
      <c r="D5021" t="s">
        <v>563</v>
      </c>
      <c r="E5021">
        <v>10</v>
      </c>
      <c r="F5021">
        <v>14874</v>
      </c>
      <c r="G5021">
        <v>17763</v>
      </c>
      <c r="H5021">
        <v>10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2:18">
      <c r="B5022" t="s">
        <v>5162</v>
      </c>
      <c r="C5022" t="s">
        <v>836</v>
      </c>
      <c r="D5022" t="s">
        <v>563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2:18">
      <c r="B5023" t="s">
        <v>5163</v>
      </c>
      <c r="C5023" t="s">
        <v>836</v>
      </c>
      <c r="D5023" t="s">
        <v>563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2:18">
      <c r="B5024" t="s">
        <v>5164</v>
      </c>
      <c r="C5024" t="s">
        <v>836</v>
      </c>
      <c r="D5024" t="s">
        <v>563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2:18">
      <c r="B5025" t="s">
        <v>5165</v>
      </c>
      <c r="C5025" t="s">
        <v>836</v>
      </c>
      <c r="D5025" t="s">
        <v>563</v>
      </c>
      <c r="E5025">
        <v>10</v>
      </c>
      <c r="F5025">
        <v>17816</v>
      </c>
      <c r="G5025">
        <v>21057</v>
      </c>
      <c r="H5025">
        <v>10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2:18">
      <c r="B5026" t="s">
        <v>5166</v>
      </c>
      <c r="C5026" t="s">
        <v>836</v>
      </c>
      <c r="D5026" t="s">
        <v>563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2:18">
      <c r="B5027" t="s">
        <v>5167</v>
      </c>
      <c r="C5027" t="s">
        <v>836</v>
      </c>
      <c r="D5027" t="s">
        <v>563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2:18">
      <c r="B5028" t="s">
        <v>5168</v>
      </c>
      <c r="C5028" t="s">
        <v>836</v>
      </c>
      <c r="D5028" t="s">
        <v>563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2:18">
      <c r="B5029" t="s">
        <v>5169</v>
      </c>
      <c r="C5029" t="s">
        <v>836</v>
      </c>
      <c r="D5029" t="s">
        <v>563</v>
      </c>
      <c r="E5029">
        <v>10</v>
      </c>
      <c r="F5029">
        <v>20757</v>
      </c>
      <c r="G5029">
        <v>24486</v>
      </c>
      <c r="H5029">
        <v>10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2:18">
      <c r="B5030" t="s">
        <v>5170</v>
      </c>
      <c r="C5030" t="s">
        <v>836</v>
      </c>
      <c r="D5030" t="s">
        <v>563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2:18">
      <c r="B5031" t="s">
        <v>5171</v>
      </c>
      <c r="C5031" t="s">
        <v>836</v>
      </c>
      <c r="D5031" t="s">
        <v>563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2:18">
      <c r="B5032" t="s">
        <v>5172</v>
      </c>
      <c r="C5032" t="s">
        <v>836</v>
      </c>
      <c r="D5032" t="s">
        <v>563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2:18">
      <c r="B5033" t="s">
        <v>5173</v>
      </c>
      <c r="C5033" t="s">
        <v>836</v>
      </c>
      <c r="D5033" t="s">
        <v>563</v>
      </c>
      <c r="E5033">
        <v>10</v>
      </c>
      <c r="F5033">
        <v>23698</v>
      </c>
      <c r="G5033">
        <v>28084</v>
      </c>
      <c r="H5033">
        <v>10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2:18">
      <c r="B5034" t="s">
        <v>5174</v>
      </c>
      <c r="C5034" t="s">
        <v>836</v>
      </c>
      <c r="D5034" t="s">
        <v>563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2:18">
      <c r="B5035" t="s">
        <v>5175</v>
      </c>
      <c r="C5035" t="s">
        <v>836</v>
      </c>
      <c r="D5035" t="s">
        <v>563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2:18">
      <c r="B5036" t="s">
        <v>5176</v>
      </c>
      <c r="C5036" t="s">
        <v>836</v>
      </c>
      <c r="D5036" t="s">
        <v>563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2:18">
      <c r="B5037" t="s">
        <v>5177</v>
      </c>
      <c r="C5037" t="s">
        <v>836</v>
      </c>
      <c r="D5037" t="s">
        <v>563</v>
      </c>
      <c r="E5037">
        <v>10</v>
      </c>
      <c r="F5037">
        <v>26640</v>
      </c>
      <c r="G5037">
        <v>31862</v>
      </c>
      <c r="H5037">
        <v>10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2:18">
      <c r="B5038" t="s">
        <v>5178</v>
      </c>
      <c r="C5038" t="s">
        <v>836</v>
      </c>
      <c r="D5038" t="s">
        <v>563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2:18">
      <c r="B5039" t="s">
        <v>5179</v>
      </c>
      <c r="C5039" t="s">
        <v>836</v>
      </c>
      <c r="D5039" t="s">
        <v>563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2:18">
      <c r="B5040" t="s">
        <v>5170</v>
      </c>
      <c r="C5040" t="s">
        <v>836</v>
      </c>
      <c r="D5040" t="s">
        <v>563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</row>
    <row r="5041" spans="2:18">
      <c r="B5041" t="s">
        <v>5171</v>
      </c>
      <c r="C5041" t="s">
        <v>836</v>
      </c>
      <c r="D5041" t="s">
        <v>563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2:18">
      <c r="B5042" t="s">
        <v>5172</v>
      </c>
      <c r="C5042" t="s">
        <v>836</v>
      </c>
      <c r="D5042" t="s">
        <v>563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2:18">
      <c r="B5043" t="s">
        <v>5173</v>
      </c>
      <c r="C5043" t="s">
        <v>836</v>
      </c>
      <c r="D5043" t="s">
        <v>563</v>
      </c>
      <c r="E5043">
        <v>10</v>
      </c>
      <c r="F5043">
        <v>22200</v>
      </c>
      <c r="G5043">
        <v>26907.5</v>
      </c>
      <c r="H5043">
        <v>3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2:18">
      <c r="B5044" t="s">
        <v>5174</v>
      </c>
      <c r="C5044" t="s">
        <v>836</v>
      </c>
      <c r="D5044" t="s">
        <v>563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2:18">
      <c r="B5045" t="s">
        <v>5175</v>
      </c>
      <c r="C5045" t="s">
        <v>836</v>
      </c>
      <c r="D5045" t="s">
        <v>563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2:18">
      <c r="B5046" t="s">
        <v>5176</v>
      </c>
      <c r="C5046" t="s">
        <v>836</v>
      </c>
      <c r="D5046" t="s">
        <v>563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2:18">
      <c r="B5047" t="s">
        <v>5177</v>
      </c>
      <c r="C5047" t="s">
        <v>836</v>
      </c>
      <c r="D5047" t="s">
        <v>563</v>
      </c>
      <c r="E5047">
        <v>10</v>
      </c>
      <c r="F5047">
        <v>25134</v>
      </c>
      <c r="G5047">
        <v>30000</v>
      </c>
      <c r="H5047">
        <v>3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2:18">
      <c r="B5048" t="s">
        <v>5178</v>
      </c>
      <c r="C5048" t="s">
        <v>836</v>
      </c>
      <c r="D5048" t="s">
        <v>563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2:18">
      <c r="B5049" t="s">
        <v>5179</v>
      </c>
      <c r="C5049" t="s">
        <v>836</v>
      </c>
      <c r="D5049" t="s">
        <v>563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2:18">
      <c r="B5050" t="s">
        <v>5176</v>
      </c>
      <c r="C5050" t="s">
        <v>836</v>
      </c>
      <c r="D5050" t="s">
        <v>563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2:18">
      <c r="B5051" t="s">
        <v>5177</v>
      </c>
      <c r="C5051" t="s">
        <v>836</v>
      </c>
      <c r="D5051" t="s">
        <v>563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2:18">
      <c r="B5052" t="s">
        <v>5178</v>
      </c>
      <c r="C5052" t="s">
        <v>836</v>
      </c>
      <c r="D5052" t="s">
        <v>563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2:18">
      <c r="B5053" t="s">
        <v>5179</v>
      </c>
      <c r="C5053" t="s">
        <v>836</v>
      </c>
      <c r="D5053" t="s">
        <v>563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</sheetData>
  <autoFilter ref="A1:S4949" xr:uid="{4CBD7E8E-67AD-43AD-B297-5587EC85C9CC}">
    <sortState xmlns:xlrd2="http://schemas.microsoft.com/office/spreadsheetml/2017/richdata2" ref="A2:S4949">
      <sortCondition descending="1" ref="O1:O494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50EA-B641-4689-8869-80BEA3B2CA3A}">
  <dimension ref="A1:N147"/>
  <sheetViews>
    <sheetView workbookViewId="0">
      <pane ySplit="1" topLeftCell="A2" activePane="bottomLeft" state="frozen"/>
      <selection pane="bottomLeft"/>
    </sheetView>
  </sheetViews>
  <sheetFormatPr baseColWidth="10" defaultColWidth="11" defaultRowHeight="13.8"/>
  <cols>
    <col min="1" max="1" width="12.5" style="83" customWidth="1"/>
    <col min="2" max="2" width="14" style="83" hidden="1" customWidth="1"/>
    <col min="3" max="3" width="0" style="83" hidden="1" customWidth="1"/>
    <col min="4" max="4" width="11" style="83"/>
    <col min="5" max="5" width="11.09765625" style="83" bestFit="1" customWidth="1"/>
    <col min="6" max="6" width="11" style="83"/>
    <col min="7" max="7" width="11.09765625" style="84" bestFit="1" customWidth="1"/>
    <col min="8" max="8" width="13.3984375" style="83" customWidth="1"/>
    <col min="9" max="9" width="17.19921875" style="89" customWidth="1"/>
    <col min="10" max="10" width="11.09765625" style="83" bestFit="1" customWidth="1"/>
    <col min="11" max="12" width="11.09765625" style="84" bestFit="1" customWidth="1"/>
    <col min="13" max="14" width="11.09765625" style="83" bestFit="1" customWidth="1"/>
    <col min="15" max="16384" width="11" style="83"/>
  </cols>
  <sheetData>
    <row r="1" spans="1:14" s="87" customFormat="1">
      <c r="A1" s="85" t="str" cm="1">
        <f t="array" ref="A1">_xll.PanelCaucionesBD("S")</f>
        <v>CAUCIONES</v>
      </c>
      <c r="B1" s="85" t="s">
        <v>570</v>
      </c>
      <c r="C1" s="85" t="s">
        <v>571</v>
      </c>
      <c r="D1" s="85" t="s">
        <v>562</v>
      </c>
      <c r="E1" s="85" t="s">
        <v>572</v>
      </c>
      <c r="F1" s="85" t="s">
        <v>573</v>
      </c>
      <c r="G1" s="86" t="s">
        <v>574</v>
      </c>
      <c r="H1" s="85" t="s">
        <v>575</v>
      </c>
      <c r="I1" s="88" t="s">
        <v>576</v>
      </c>
      <c r="J1" s="85" t="s">
        <v>577</v>
      </c>
      <c r="K1" s="86" t="s">
        <v>578</v>
      </c>
      <c r="L1" s="86" t="s">
        <v>579</v>
      </c>
      <c r="M1" s="85" t="s">
        <v>580</v>
      </c>
      <c r="N1" s="85" t="s">
        <v>581</v>
      </c>
    </row>
    <row r="2" spans="1:14">
      <c r="B2" s="83" t="s">
        <v>5964</v>
      </c>
      <c r="C2" s="83" t="s">
        <v>5921</v>
      </c>
      <c r="D2" s="83" t="s">
        <v>553</v>
      </c>
      <c r="E2" s="83">
        <v>18</v>
      </c>
      <c r="F2" s="83" t="s">
        <v>582</v>
      </c>
      <c r="G2" s="84">
        <v>0</v>
      </c>
      <c r="H2" s="83">
        <v>0</v>
      </c>
      <c r="I2" s="89">
        <v>0</v>
      </c>
      <c r="J2" s="83">
        <v>0</v>
      </c>
      <c r="K2" s="84">
        <v>0</v>
      </c>
      <c r="L2" s="84">
        <v>3.5000000000000003E-2</v>
      </c>
      <c r="M2" s="83">
        <v>700</v>
      </c>
      <c r="N2" s="83">
        <v>0</v>
      </c>
    </row>
    <row r="3" spans="1:14">
      <c r="B3" s="83" t="s">
        <v>583</v>
      </c>
      <c r="C3" s="83" t="s">
        <v>5921</v>
      </c>
      <c r="D3" s="83" t="s">
        <v>553</v>
      </c>
      <c r="E3" s="83">
        <v>110</v>
      </c>
      <c r="F3" s="83" t="s">
        <v>584</v>
      </c>
      <c r="G3" s="84">
        <v>0</v>
      </c>
      <c r="H3" s="83">
        <v>0</v>
      </c>
      <c r="I3" s="89">
        <v>0</v>
      </c>
      <c r="J3" s="83">
        <v>0</v>
      </c>
      <c r="K3" s="84">
        <v>0</v>
      </c>
      <c r="L3" s="84">
        <v>0</v>
      </c>
      <c r="M3" s="83">
        <v>0</v>
      </c>
      <c r="N3" s="83">
        <v>0</v>
      </c>
    </row>
    <row r="4" spans="1:14">
      <c r="B4" s="83" t="s">
        <v>585</v>
      </c>
      <c r="C4" s="83" t="s">
        <v>5921</v>
      </c>
      <c r="D4" s="83" t="s">
        <v>553</v>
      </c>
      <c r="E4" s="83">
        <v>19</v>
      </c>
      <c r="F4" s="83" t="s">
        <v>586</v>
      </c>
      <c r="G4" s="84">
        <v>0</v>
      </c>
      <c r="H4" s="83">
        <v>0</v>
      </c>
      <c r="I4" s="89">
        <v>0</v>
      </c>
      <c r="J4" s="83">
        <v>105000</v>
      </c>
      <c r="K4" s="84">
        <v>8.0000000000000002E-3</v>
      </c>
      <c r="L4" s="84">
        <v>0.03</v>
      </c>
      <c r="M4" s="83">
        <v>119473</v>
      </c>
      <c r="N4" s="83">
        <v>0</v>
      </c>
    </row>
    <row r="5" spans="1:14">
      <c r="B5" s="83" t="s">
        <v>587</v>
      </c>
      <c r="C5" s="83" t="s">
        <v>5921</v>
      </c>
      <c r="D5" s="83" t="s">
        <v>553</v>
      </c>
      <c r="E5" s="83">
        <v>20</v>
      </c>
      <c r="F5" s="83" t="s">
        <v>588</v>
      </c>
      <c r="G5" s="84">
        <v>0.01</v>
      </c>
      <c r="H5" s="83">
        <v>1</v>
      </c>
      <c r="I5" s="89">
        <v>2001.1</v>
      </c>
      <c r="J5" s="83">
        <v>48000</v>
      </c>
      <c r="K5" s="84">
        <v>0.01</v>
      </c>
      <c r="L5" s="84">
        <v>0.03</v>
      </c>
      <c r="M5" s="83">
        <v>84343</v>
      </c>
      <c r="N5" s="83">
        <v>0.01</v>
      </c>
    </row>
    <row r="6" spans="1:14">
      <c r="B6" s="83" t="s">
        <v>589</v>
      </c>
      <c r="C6" s="83" t="s">
        <v>5921</v>
      </c>
      <c r="D6" s="83" t="s">
        <v>553</v>
      </c>
      <c r="E6" s="83">
        <v>81</v>
      </c>
      <c r="F6" s="83" t="s">
        <v>590</v>
      </c>
      <c r="G6" s="84">
        <v>0</v>
      </c>
      <c r="H6" s="83">
        <v>0</v>
      </c>
      <c r="I6" s="89">
        <v>0</v>
      </c>
      <c r="J6" s="83">
        <v>0</v>
      </c>
      <c r="K6" s="84">
        <v>0</v>
      </c>
      <c r="L6" s="84">
        <v>0</v>
      </c>
      <c r="M6" s="83">
        <v>0</v>
      </c>
      <c r="N6" s="83">
        <v>0</v>
      </c>
    </row>
    <row r="7" spans="1:14">
      <c r="B7" s="83" t="s">
        <v>820</v>
      </c>
      <c r="C7" s="83" t="s">
        <v>5921</v>
      </c>
      <c r="D7" s="83" t="s">
        <v>553</v>
      </c>
      <c r="E7" s="83">
        <v>112</v>
      </c>
      <c r="F7" s="83" t="s">
        <v>819</v>
      </c>
      <c r="G7" s="84">
        <v>0</v>
      </c>
      <c r="H7" s="83">
        <v>0</v>
      </c>
      <c r="I7" s="89">
        <v>0</v>
      </c>
      <c r="J7" s="83">
        <v>0</v>
      </c>
      <c r="K7" s="84">
        <v>0</v>
      </c>
      <c r="L7" s="84">
        <v>0</v>
      </c>
      <c r="M7" s="83">
        <v>0</v>
      </c>
      <c r="N7" s="83">
        <v>0</v>
      </c>
    </row>
    <row r="8" spans="1:14">
      <c r="B8" s="83" t="s">
        <v>810</v>
      </c>
      <c r="C8" s="83" t="s">
        <v>5921</v>
      </c>
      <c r="D8" s="83" t="s">
        <v>553</v>
      </c>
      <c r="E8" s="83">
        <v>21</v>
      </c>
      <c r="F8" s="83" t="s">
        <v>703</v>
      </c>
      <c r="G8" s="84">
        <v>2.5000000000000001E-2</v>
      </c>
      <c r="H8" s="83">
        <v>1</v>
      </c>
      <c r="I8" s="89">
        <v>1007.45</v>
      </c>
      <c r="J8" s="83">
        <v>0</v>
      </c>
      <c r="K8" s="84">
        <v>0</v>
      </c>
      <c r="L8" s="84">
        <v>3.5000000000000003E-2</v>
      </c>
      <c r="M8" s="83">
        <v>17286</v>
      </c>
      <c r="N8" s="83">
        <v>2.5000000000000001E-2</v>
      </c>
    </row>
    <row r="9" spans="1:14">
      <c r="B9" s="83" t="s">
        <v>591</v>
      </c>
      <c r="C9" s="83" t="s">
        <v>5921</v>
      </c>
      <c r="D9" s="83" t="s">
        <v>553</v>
      </c>
      <c r="E9" s="83">
        <v>82</v>
      </c>
      <c r="F9" s="83" t="s">
        <v>592</v>
      </c>
      <c r="G9" s="84">
        <v>0</v>
      </c>
      <c r="H9" s="83">
        <v>0</v>
      </c>
      <c r="I9" s="89">
        <v>0</v>
      </c>
      <c r="J9" s="83">
        <v>0</v>
      </c>
      <c r="K9" s="84">
        <v>0</v>
      </c>
      <c r="L9" s="84">
        <v>0</v>
      </c>
      <c r="M9" s="83">
        <v>0</v>
      </c>
      <c r="N9" s="83">
        <v>0</v>
      </c>
    </row>
    <row r="10" spans="1:14">
      <c r="B10" s="83" t="s">
        <v>5222</v>
      </c>
      <c r="C10" s="83" t="s">
        <v>5921</v>
      </c>
      <c r="D10" s="83" t="s">
        <v>553</v>
      </c>
      <c r="E10" s="83">
        <v>113</v>
      </c>
      <c r="F10" s="83" t="s">
        <v>5223</v>
      </c>
      <c r="G10" s="84">
        <v>0</v>
      </c>
      <c r="H10" s="83">
        <v>0</v>
      </c>
      <c r="I10" s="89">
        <v>0</v>
      </c>
      <c r="J10" s="83">
        <v>0</v>
      </c>
      <c r="K10" s="84">
        <v>0</v>
      </c>
      <c r="L10" s="84">
        <v>0</v>
      </c>
      <c r="M10" s="83">
        <v>0</v>
      </c>
      <c r="N10" s="83">
        <v>0</v>
      </c>
    </row>
    <row r="11" spans="1:14">
      <c r="B11" s="83" t="s">
        <v>593</v>
      </c>
      <c r="C11" s="83" t="s">
        <v>5921</v>
      </c>
      <c r="D11" s="83" t="s">
        <v>553</v>
      </c>
      <c r="E11" s="83">
        <v>22</v>
      </c>
      <c r="F11" s="83" t="s">
        <v>594</v>
      </c>
      <c r="G11" s="84">
        <v>0.03</v>
      </c>
      <c r="H11" s="83">
        <v>1</v>
      </c>
      <c r="I11" s="89">
        <v>500.9</v>
      </c>
      <c r="J11" s="83">
        <v>4111</v>
      </c>
      <c r="K11" s="84">
        <v>1.7000000000000001E-2</v>
      </c>
      <c r="L11" s="84">
        <v>2.8000000000000001E-2</v>
      </c>
      <c r="M11" s="83">
        <v>16766</v>
      </c>
      <c r="N11" s="83">
        <v>0.03</v>
      </c>
    </row>
    <row r="12" spans="1:14">
      <c r="B12" s="83" t="s">
        <v>595</v>
      </c>
      <c r="C12" s="83" t="s">
        <v>5921</v>
      </c>
      <c r="D12" s="83" t="s">
        <v>553</v>
      </c>
      <c r="E12" s="83">
        <v>53</v>
      </c>
      <c r="F12" s="83" t="s">
        <v>596</v>
      </c>
      <c r="G12" s="84">
        <v>0</v>
      </c>
      <c r="H12" s="83">
        <v>0</v>
      </c>
      <c r="I12" s="89">
        <v>0</v>
      </c>
      <c r="J12" s="83">
        <v>0</v>
      </c>
      <c r="K12" s="84">
        <v>0</v>
      </c>
      <c r="L12" s="84">
        <v>0</v>
      </c>
      <c r="M12" s="83">
        <v>0</v>
      </c>
      <c r="N12" s="83">
        <v>0</v>
      </c>
    </row>
    <row r="13" spans="1:14">
      <c r="B13" s="83" t="s">
        <v>597</v>
      </c>
      <c r="C13" s="83" t="s">
        <v>5921</v>
      </c>
      <c r="D13" s="83" t="s">
        <v>553</v>
      </c>
      <c r="E13" s="83">
        <v>83</v>
      </c>
      <c r="F13" s="83" t="s">
        <v>598</v>
      </c>
      <c r="G13" s="84">
        <v>0</v>
      </c>
      <c r="H13" s="83">
        <v>0</v>
      </c>
      <c r="I13" s="89">
        <v>0</v>
      </c>
      <c r="J13" s="83">
        <v>0</v>
      </c>
      <c r="K13" s="84">
        <v>0</v>
      </c>
      <c r="L13" s="84">
        <v>0</v>
      </c>
      <c r="M13" s="83">
        <v>0</v>
      </c>
      <c r="N13" s="83">
        <v>0</v>
      </c>
    </row>
    <row r="14" spans="1:14">
      <c r="B14" s="83" t="s">
        <v>599</v>
      </c>
      <c r="C14" s="83" t="s">
        <v>5921</v>
      </c>
      <c r="D14" s="83" t="s">
        <v>553</v>
      </c>
      <c r="E14" s="83">
        <v>54</v>
      </c>
      <c r="F14" s="83" t="s">
        <v>600</v>
      </c>
      <c r="G14" s="84">
        <v>0</v>
      </c>
      <c r="H14" s="83">
        <v>0</v>
      </c>
      <c r="I14" s="89">
        <v>0</v>
      </c>
      <c r="J14" s="83">
        <v>0</v>
      </c>
      <c r="K14" s="84">
        <v>0</v>
      </c>
      <c r="L14" s="84">
        <v>0</v>
      </c>
      <c r="M14" s="83">
        <v>0</v>
      </c>
      <c r="N14" s="83">
        <v>0</v>
      </c>
    </row>
    <row r="15" spans="1:14">
      <c r="B15" s="83" t="s">
        <v>601</v>
      </c>
      <c r="C15" s="83" t="s">
        <v>5921</v>
      </c>
      <c r="D15" s="83" t="s">
        <v>553</v>
      </c>
      <c r="E15" s="83">
        <v>84</v>
      </c>
      <c r="F15" s="83" t="s">
        <v>602</v>
      </c>
      <c r="G15" s="84">
        <v>0</v>
      </c>
      <c r="H15" s="83">
        <v>0</v>
      </c>
      <c r="I15" s="89">
        <v>0</v>
      </c>
      <c r="J15" s="83">
        <v>0</v>
      </c>
      <c r="K15" s="84">
        <v>0</v>
      </c>
      <c r="L15" s="84">
        <v>0</v>
      </c>
      <c r="M15" s="83">
        <v>0</v>
      </c>
      <c r="N15" s="83">
        <v>0</v>
      </c>
    </row>
    <row r="16" spans="1:14">
      <c r="B16" s="83" t="s">
        <v>603</v>
      </c>
      <c r="C16" s="83" t="s">
        <v>5921</v>
      </c>
      <c r="D16" s="83" t="s">
        <v>553</v>
      </c>
      <c r="E16" s="83">
        <v>55</v>
      </c>
      <c r="F16" s="83" t="s">
        <v>604</v>
      </c>
      <c r="G16" s="84">
        <v>0</v>
      </c>
      <c r="H16" s="83">
        <v>0</v>
      </c>
      <c r="I16" s="89">
        <v>0</v>
      </c>
      <c r="J16" s="83">
        <v>0</v>
      </c>
      <c r="K16" s="84">
        <v>0</v>
      </c>
      <c r="L16" s="84">
        <v>0</v>
      </c>
      <c r="M16" s="83">
        <v>0</v>
      </c>
      <c r="N16" s="83">
        <v>0</v>
      </c>
    </row>
    <row r="17" spans="2:14">
      <c r="B17" s="83" t="s">
        <v>605</v>
      </c>
      <c r="C17" s="83" t="s">
        <v>5921</v>
      </c>
      <c r="D17" s="83" t="s">
        <v>553</v>
      </c>
      <c r="E17" s="83">
        <v>85</v>
      </c>
      <c r="F17" s="83" t="s">
        <v>606</v>
      </c>
      <c r="G17" s="84">
        <v>0</v>
      </c>
      <c r="H17" s="83">
        <v>0</v>
      </c>
      <c r="I17" s="89">
        <v>0</v>
      </c>
      <c r="J17" s="83">
        <v>0</v>
      </c>
      <c r="K17" s="84">
        <v>0</v>
      </c>
      <c r="L17" s="84">
        <v>0</v>
      </c>
      <c r="M17" s="83">
        <v>0</v>
      </c>
      <c r="N17" s="83">
        <v>0</v>
      </c>
    </row>
    <row r="18" spans="2:14">
      <c r="B18" s="83" t="s">
        <v>6212</v>
      </c>
      <c r="C18" s="83" t="s">
        <v>5921</v>
      </c>
      <c r="D18" s="83" t="s">
        <v>553</v>
      </c>
      <c r="E18" s="83">
        <v>116</v>
      </c>
      <c r="F18" s="83" t="s">
        <v>6213</v>
      </c>
      <c r="G18" s="84">
        <v>0</v>
      </c>
      <c r="H18" s="83">
        <v>0</v>
      </c>
      <c r="I18" s="89">
        <v>0</v>
      </c>
      <c r="J18" s="83">
        <v>0</v>
      </c>
      <c r="K18" s="84">
        <v>0</v>
      </c>
      <c r="L18" s="84">
        <v>0</v>
      </c>
      <c r="M18" s="83">
        <v>0</v>
      </c>
      <c r="N18" s="83">
        <v>0</v>
      </c>
    </row>
    <row r="19" spans="2:14">
      <c r="B19" s="83" t="s">
        <v>608</v>
      </c>
      <c r="C19" s="83" t="s">
        <v>5921</v>
      </c>
      <c r="D19" s="83" t="s">
        <v>553</v>
      </c>
      <c r="E19" s="83">
        <v>25</v>
      </c>
      <c r="F19" s="83" t="s">
        <v>609</v>
      </c>
      <c r="G19" s="84">
        <v>0</v>
      </c>
      <c r="H19" s="83">
        <v>0</v>
      </c>
      <c r="I19" s="89">
        <v>0</v>
      </c>
      <c r="J19" s="83">
        <v>25000</v>
      </c>
      <c r="K19" s="84">
        <v>0.01</v>
      </c>
      <c r="L19" s="84">
        <v>0.03</v>
      </c>
      <c r="M19" s="83">
        <v>56117</v>
      </c>
      <c r="N19" s="83">
        <v>0</v>
      </c>
    </row>
    <row r="20" spans="2:14">
      <c r="B20" s="83" t="s">
        <v>610</v>
      </c>
      <c r="C20" s="83" t="s">
        <v>5921</v>
      </c>
      <c r="D20" s="83" t="s">
        <v>553</v>
      </c>
      <c r="E20" s="83">
        <v>56</v>
      </c>
      <c r="F20" s="83" t="s">
        <v>611</v>
      </c>
      <c r="G20" s="84">
        <v>0</v>
      </c>
      <c r="H20" s="83">
        <v>0</v>
      </c>
      <c r="I20" s="89">
        <v>0</v>
      </c>
      <c r="J20" s="83">
        <v>0</v>
      </c>
      <c r="K20" s="84">
        <v>0</v>
      </c>
      <c r="L20" s="84">
        <v>0</v>
      </c>
      <c r="M20" s="83">
        <v>0</v>
      </c>
      <c r="N20" s="83">
        <v>0</v>
      </c>
    </row>
    <row r="21" spans="2:14">
      <c r="B21" s="83" t="s">
        <v>6206</v>
      </c>
      <c r="C21" s="83" t="s">
        <v>5921</v>
      </c>
      <c r="D21" s="83" t="s">
        <v>553</v>
      </c>
      <c r="E21" s="83">
        <v>117</v>
      </c>
      <c r="F21" s="83" t="s">
        <v>6207</v>
      </c>
      <c r="G21" s="84">
        <v>0</v>
      </c>
      <c r="H21" s="83">
        <v>0</v>
      </c>
      <c r="I21" s="89">
        <v>0</v>
      </c>
      <c r="J21" s="83">
        <v>0</v>
      </c>
      <c r="K21" s="84">
        <v>0</v>
      </c>
      <c r="L21" s="84">
        <v>0</v>
      </c>
      <c r="M21" s="83">
        <v>0</v>
      </c>
      <c r="N21" s="83">
        <v>0</v>
      </c>
    </row>
    <row r="22" spans="2:14">
      <c r="B22" s="83" t="s">
        <v>612</v>
      </c>
      <c r="C22" s="83" t="s">
        <v>5921</v>
      </c>
      <c r="D22" s="83" t="s">
        <v>553</v>
      </c>
      <c r="E22" s="83">
        <v>26</v>
      </c>
      <c r="F22" s="83" t="s">
        <v>613</v>
      </c>
      <c r="G22" s="84">
        <v>0</v>
      </c>
      <c r="H22" s="83">
        <v>0</v>
      </c>
      <c r="I22" s="89">
        <v>0</v>
      </c>
      <c r="J22" s="83">
        <v>0</v>
      </c>
      <c r="K22" s="84">
        <v>0</v>
      </c>
      <c r="L22" s="84">
        <v>3.5000000000000003E-2</v>
      </c>
      <c r="M22" s="83">
        <v>1000</v>
      </c>
      <c r="N22" s="83">
        <v>0</v>
      </c>
    </row>
    <row r="23" spans="2:14">
      <c r="B23" s="83" t="s">
        <v>614</v>
      </c>
      <c r="C23" s="83" t="s">
        <v>5921</v>
      </c>
      <c r="D23" s="83" t="s">
        <v>553</v>
      </c>
      <c r="E23" s="83">
        <v>57</v>
      </c>
      <c r="F23" s="83" t="s">
        <v>615</v>
      </c>
      <c r="G23" s="84">
        <v>0</v>
      </c>
      <c r="H23" s="83">
        <v>0</v>
      </c>
      <c r="I23" s="89">
        <v>0</v>
      </c>
      <c r="J23" s="83">
        <v>0</v>
      </c>
      <c r="K23" s="84">
        <v>0</v>
      </c>
      <c r="L23" s="84">
        <v>0</v>
      </c>
      <c r="M23" s="83">
        <v>0</v>
      </c>
      <c r="N23" s="83">
        <v>0</v>
      </c>
    </row>
    <row r="24" spans="2:14">
      <c r="B24" s="83" t="s">
        <v>6217</v>
      </c>
      <c r="C24" s="83" t="s">
        <v>5921</v>
      </c>
      <c r="D24" s="83" t="s">
        <v>553</v>
      </c>
      <c r="E24" s="83">
        <v>118</v>
      </c>
      <c r="F24" s="83" t="s">
        <v>6218</v>
      </c>
      <c r="G24" s="84">
        <v>0</v>
      </c>
      <c r="H24" s="83">
        <v>0</v>
      </c>
      <c r="I24" s="89">
        <v>0</v>
      </c>
      <c r="J24" s="83">
        <v>0</v>
      </c>
      <c r="K24" s="84">
        <v>0</v>
      </c>
      <c r="L24" s="84">
        <v>0</v>
      </c>
      <c r="M24" s="83">
        <v>0</v>
      </c>
      <c r="N24" s="83">
        <v>0</v>
      </c>
    </row>
    <row r="25" spans="2:14">
      <c r="B25" s="83" t="s">
        <v>5180</v>
      </c>
      <c r="C25" s="83" t="s">
        <v>5921</v>
      </c>
      <c r="D25" s="83" t="s">
        <v>553</v>
      </c>
      <c r="E25" s="83">
        <v>27</v>
      </c>
      <c r="F25" s="83" t="s">
        <v>716</v>
      </c>
      <c r="G25" s="84">
        <v>0</v>
      </c>
      <c r="H25" s="83">
        <v>0</v>
      </c>
      <c r="I25" s="89">
        <v>0</v>
      </c>
      <c r="J25" s="83">
        <v>0</v>
      </c>
      <c r="K25" s="84">
        <v>0</v>
      </c>
      <c r="L25" s="84">
        <v>3.5000000000000003E-2</v>
      </c>
      <c r="M25" s="83">
        <v>1050</v>
      </c>
      <c r="N25" s="83">
        <v>0</v>
      </c>
    </row>
    <row r="26" spans="2:14">
      <c r="B26" s="83" t="s">
        <v>6208</v>
      </c>
      <c r="C26" s="83" t="s">
        <v>5921</v>
      </c>
      <c r="D26" s="83" t="s">
        <v>553</v>
      </c>
      <c r="E26" s="83">
        <v>88</v>
      </c>
      <c r="F26" s="83" t="s">
        <v>6209</v>
      </c>
      <c r="G26" s="84">
        <v>0</v>
      </c>
      <c r="H26" s="83">
        <v>0</v>
      </c>
      <c r="I26" s="89">
        <v>0</v>
      </c>
      <c r="J26" s="83">
        <v>0</v>
      </c>
      <c r="K26" s="84">
        <v>0</v>
      </c>
      <c r="L26" s="84">
        <v>0</v>
      </c>
      <c r="M26" s="83">
        <v>0</v>
      </c>
      <c r="N26" s="83">
        <v>0</v>
      </c>
    </row>
    <row r="27" spans="2:14">
      <c r="B27" s="83" t="s">
        <v>6219</v>
      </c>
      <c r="C27" s="83" t="s">
        <v>5921</v>
      </c>
      <c r="D27" s="83" t="s">
        <v>553</v>
      </c>
      <c r="E27" s="83">
        <v>119</v>
      </c>
      <c r="F27" s="83" t="s">
        <v>6220</v>
      </c>
      <c r="G27" s="84">
        <v>0</v>
      </c>
      <c r="H27" s="83">
        <v>0</v>
      </c>
      <c r="I27" s="89">
        <v>0</v>
      </c>
      <c r="J27" s="83">
        <v>20000</v>
      </c>
      <c r="K27" s="84">
        <v>2.5000000000000001E-2</v>
      </c>
      <c r="L27" s="84">
        <v>3.5000000000000003E-2</v>
      </c>
      <c r="M27" s="83">
        <v>3980</v>
      </c>
      <c r="N27" s="83">
        <v>0</v>
      </c>
    </row>
    <row r="28" spans="2:14">
      <c r="B28" s="83" t="s">
        <v>5181</v>
      </c>
      <c r="C28" s="83" t="s">
        <v>5921</v>
      </c>
      <c r="D28" s="83" t="s">
        <v>553</v>
      </c>
      <c r="E28" s="83">
        <v>28</v>
      </c>
      <c r="F28" s="83" t="s">
        <v>718</v>
      </c>
      <c r="G28" s="84">
        <v>1.7999999999999999E-2</v>
      </c>
      <c r="H28" s="83">
        <v>3</v>
      </c>
      <c r="I28" s="89">
        <v>248.34</v>
      </c>
      <c r="J28" s="83">
        <v>462</v>
      </c>
      <c r="K28" s="84">
        <v>1.7999999999999999E-2</v>
      </c>
      <c r="L28" s="84">
        <v>0.03</v>
      </c>
      <c r="M28" s="83">
        <v>68829</v>
      </c>
      <c r="N28" s="83">
        <v>1.7999999999999999E-2</v>
      </c>
    </row>
    <row r="29" spans="2:14">
      <c r="B29" s="83" t="s">
        <v>616</v>
      </c>
      <c r="C29" s="83" t="s">
        <v>5921</v>
      </c>
      <c r="D29" s="83" t="s">
        <v>553</v>
      </c>
      <c r="E29" s="83">
        <v>89</v>
      </c>
      <c r="F29" s="83" t="s">
        <v>617</v>
      </c>
      <c r="G29" s="84">
        <v>0</v>
      </c>
      <c r="H29" s="83">
        <v>0</v>
      </c>
      <c r="I29" s="89">
        <v>0</v>
      </c>
      <c r="J29" s="83">
        <v>0</v>
      </c>
      <c r="K29" s="84">
        <v>0</v>
      </c>
      <c r="L29" s="84">
        <v>0</v>
      </c>
      <c r="M29" s="83">
        <v>0</v>
      </c>
      <c r="N29" s="83">
        <v>0</v>
      </c>
    </row>
    <row r="30" spans="2:14">
      <c r="B30" s="83" t="s">
        <v>6221</v>
      </c>
      <c r="C30" s="83" t="s">
        <v>5921</v>
      </c>
      <c r="D30" s="83" t="s">
        <v>553</v>
      </c>
      <c r="E30" s="83">
        <v>120</v>
      </c>
      <c r="F30" s="83" t="s">
        <v>6222</v>
      </c>
      <c r="G30" s="84">
        <v>0.03</v>
      </c>
      <c r="H30" s="83">
        <v>6</v>
      </c>
      <c r="I30" s="89">
        <v>27697.67</v>
      </c>
      <c r="J30" s="83">
        <v>476820</v>
      </c>
      <c r="K30" s="84">
        <v>0.03</v>
      </c>
      <c r="L30" s="84">
        <v>3.3300000000000003E-2</v>
      </c>
      <c r="M30" s="83">
        <v>1940</v>
      </c>
      <c r="N30" s="83">
        <v>3.0017671999999999E-2</v>
      </c>
    </row>
    <row r="31" spans="2:14">
      <c r="B31" s="83" t="s">
        <v>618</v>
      </c>
      <c r="C31" s="83" t="s">
        <v>5921</v>
      </c>
      <c r="D31" s="83" t="s">
        <v>553</v>
      </c>
      <c r="E31" s="83">
        <v>1</v>
      </c>
      <c r="F31" s="83" t="s">
        <v>619</v>
      </c>
      <c r="G31" s="84">
        <v>1.01E-2</v>
      </c>
      <c r="H31" s="83">
        <v>1268</v>
      </c>
      <c r="I31" s="89">
        <v>525196432.07999998</v>
      </c>
      <c r="J31" s="83">
        <v>44031</v>
      </c>
      <c r="K31" s="84">
        <v>9.7000000000000003E-3</v>
      </c>
      <c r="L31" s="84">
        <v>1.01E-2</v>
      </c>
      <c r="M31" s="83">
        <v>2179393</v>
      </c>
      <c r="N31" s="83">
        <v>1.0170026E-2</v>
      </c>
    </row>
    <row r="32" spans="2:14">
      <c r="B32" s="83" t="s">
        <v>5949</v>
      </c>
      <c r="C32" s="83" t="s">
        <v>5921</v>
      </c>
      <c r="D32" s="83" t="s">
        <v>553</v>
      </c>
      <c r="E32" s="83">
        <v>29</v>
      </c>
      <c r="F32" s="83" t="s">
        <v>722</v>
      </c>
      <c r="G32" s="84">
        <v>1.4999999999999999E-2</v>
      </c>
      <c r="H32" s="83">
        <v>4</v>
      </c>
      <c r="I32" s="89">
        <v>830796.3</v>
      </c>
      <c r="J32" s="83">
        <v>54530</v>
      </c>
      <c r="K32" s="84">
        <v>1.4999999999999999E-2</v>
      </c>
      <c r="L32" s="84">
        <v>2.9000000000000001E-2</v>
      </c>
      <c r="M32" s="83">
        <v>2132</v>
      </c>
      <c r="N32" s="83">
        <v>2.9980996999999999E-2</v>
      </c>
    </row>
    <row r="33" spans="2:14">
      <c r="B33" s="83" t="s">
        <v>620</v>
      </c>
      <c r="C33" s="83" t="s">
        <v>5921</v>
      </c>
      <c r="D33" s="83" t="s">
        <v>553</v>
      </c>
      <c r="E33" s="83">
        <v>60</v>
      </c>
      <c r="F33" s="83" t="s">
        <v>621</v>
      </c>
      <c r="G33" s="84">
        <v>0</v>
      </c>
      <c r="H33" s="83">
        <v>0</v>
      </c>
      <c r="I33" s="89">
        <v>0</v>
      </c>
      <c r="J33" s="83">
        <v>50000</v>
      </c>
      <c r="K33" s="84">
        <v>1.9E-2</v>
      </c>
      <c r="L33" s="84">
        <v>0.03</v>
      </c>
      <c r="M33" s="83">
        <v>20418</v>
      </c>
      <c r="N33" s="83">
        <v>0</v>
      </c>
    </row>
    <row r="34" spans="2:14">
      <c r="B34" s="83" t="s">
        <v>622</v>
      </c>
      <c r="C34" s="83" t="s">
        <v>5921</v>
      </c>
      <c r="D34" s="83" t="s">
        <v>553</v>
      </c>
      <c r="E34" s="83">
        <v>90</v>
      </c>
      <c r="F34" s="83" t="s">
        <v>623</v>
      </c>
      <c r="G34" s="84">
        <v>0</v>
      </c>
      <c r="H34" s="83">
        <v>0</v>
      </c>
      <c r="I34" s="89">
        <v>0</v>
      </c>
      <c r="J34" s="83">
        <v>0</v>
      </c>
      <c r="K34" s="84">
        <v>0</v>
      </c>
      <c r="L34" s="84">
        <v>0</v>
      </c>
      <c r="M34" s="83">
        <v>0</v>
      </c>
      <c r="N34" s="83">
        <v>0</v>
      </c>
    </row>
    <row r="35" spans="2:14">
      <c r="B35" s="83" t="s">
        <v>624</v>
      </c>
      <c r="C35" s="83" t="s">
        <v>5921</v>
      </c>
      <c r="D35" s="83" t="s">
        <v>553</v>
      </c>
      <c r="E35" s="83">
        <v>61</v>
      </c>
      <c r="F35" s="83" t="s">
        <v>625</v>
      </c>
      <c r="G35" s="84">
        <v>0</v>
      </c>
      <c r="H35" s="83">
        <v>0</v>
      </c>
      <c r="I35" s="89">
        <v>0</v>
      </c>
      <c r="J35" s="83">
        <v>0</v>
      </c>
      <c r="K35" s="84">
        <v>0</v>
      </c>
      <c r="L35" s="84">
        <v>0</v>
      </c>
      <c r="M35" s="83">
        <v>0</v>
      </c>
      <c r="N35" s="83">
        <v>0</v>
      </c>
    </row>
    <row r="36" spans="2:14">
      <c r="B36" s="83" t="s">
        <v>626</v>
      </c>
      <c r="C36" s="83" t="s">
        <v>5921</v>
      </c>
      <c r="D36" s="83" t="s">
        <v>553</v>
      </c>
      <c r="E36" s="83">
        <v>91</v>
      </c>
      <c r="F36" s="83" t="s">
        <v>627</v>
      </c>
      <c r="G36" s="84">
        <v>0</v>
      </c>
      <c r="H36" s="83">
        <v>0</v>
      </c>
      <c r="I36" s="89">
        <v>0</v>
      </c>
      <c r="J36" s="83">
        <v>0</v>
      </c>
      <c r="K36" s="84">
        <v>0</v>
      </c>
      <c r="L36" s="84">
        <v>0</v>
      </c>
      <c r="M36" s="83">
        <v>0</v>
      </c>
      <c r="N36" s="83">
        <v>0</v>
      </c>
    </row>
    <row r="37" spans="2:14">
      <c r="B37" s="83" t="s">
        <v>628</v>
      </c>
      <c r="C37" s="83" t="s">
        <v>5921</v>
      </c>
      <c r="D37" s="83" t="s">
        <v>553</v>
      </c>
      <c r="E37" s="83">
        <v>92</v>
      </c>
      <c r="F37" s="83" t="s">
        <v>629</v>
      </c>
      <c r="G37" s="84">
        <v>0</v>
      </c>
      <c r="H37" s="83">
        <v>0</v>
      </c>
      <c r="I37" s="89">
        <v>0</v>
      </c>
      <c r="J37" s="83">
        <v>0</v>
      </c>
      <c r="K37" s="84">
        <v>0</v>
      </c>
      <c r="L37" s="84">
        <v>0</v>
      </c>
      <c r="M37" s="83">
        <v>0</v>
      </c>
      <c r="N37" s="83">
        <v>0</v>
      </c>
    </row>
    <row r="38" spans="2:14">
      <c r="B38" s="83" t="s">
        <v>630</v>
      </c>
      <c r="C38" s="83" t="s">
        <v>5921</v>
      </c>
      <c r="D38" s="83" t="s">
        <v>553</v>
      </c>
      <c r="E38" s="83">
        <v>32</v>
      </c>
      <c r="F38" s="83" t="s">
        <v>631</v>
      </c>
      <c r="G38" s="84">
        <v>0.02</v>
      </c>
      <c r="H38" s="83">
        <v>29</v>
      </c>
      <c r="I38" s="89">
        <v>929363.94</v>
      </c>
      <c r="J38" s="83">
        <v>12088</v>
      </c>
      <c r="K38" s="84">
        <v>1.7999999999999999E-2</v>
      </c>
      <c r="L38" s="84">
        <v>0.02</v>
      </c>
      <c r="M38" s="83">
        <v>500000</v>
      </c>
      <c r="N38" s="83">
        <v>2.1444266E-2</v>
      </c>
    </row>
    <row r="39" spans="2:14">
      <c r="B39" s="83" t="s">
        <v>632</v>
      </c>
      <c r="C39" s="83" t="s">
        <v>5921</v>
      </c>
      <c r="D39" s="83" t="s">
        <v>553</v>
      </c>
      <c r="E39" s="83">
        <v>63</v>
      </c>
      <c r="F39" s="83" t="s">
        <v>633</v>
      </c>
      <c r="G39" s="84">
        <v>0</v>
      </c>
      <c r="H39" s="83">
        <v>0</v>
      </c>
      <c r="I39" s="89">
        <v>0</v>
      </c>
      <c r="J39" s="83">
        <v>0</v>
      </c>
      <c r="K39" s="84">
        <v>0</v>
      </c>
      <c r="L39" s="84">
        <v>0</v>
      </c>
      <c r="M39" s="83">
        <v>0</v>
      </c>
      <c r="N39" s="83">
        <v>0</v>
      </c>
    </row>
    <row r="40" spans="2:14">
      <c r="B40" s="83" t="s">
        <v>634</v>
      </c>
      <c r="C40" s="83" t="s">
        <v>5921</v>
      </c>
      <c r="D40" s="83" t="s">
        <v>553</v>
      </c>
      <c r="E40" s="83">
        <v>33</v>
      </c>
      <c r="F40" s="83" t="s">
        <v>635</v>
      </c>
      <c r="G40" s="84">
        <v>0</v>
      </c>
      <c r="H40" s="83">
        <v>0</v>
      </c>
      <c r="I40" s="89">
        <v>0</v>
      </c>
      <c r="J40" s="83">
        <v>0</v>
      </c>
      <c r="K40" s="84">
        <v>0</v>
      </c>
      <c r="L40" s="84">
        <v>3.5000000000000003E-2</v>
      </c>
      <c r="M40" s="83">
        <v>1250</v>
      </c>
      <c r="N40" s="83">
        <v>0</v>
      </c>
    </row>
    <row r="41" spans="2:14">
      <c r="B41" s="83" t="s">
        <v>636</v>
      </c>
      <c r="C41" s="83" t="s">
        <v>5921</v>
      </c>
      <c r="D41" s="83" t="s">
        <v>553</v>
      </c>
      <c r="E41" s="83">
        <v>6</v>
      </c>
      <c r="F41" s="83" t="s">
        <v>637</v>
      </c>
      <c r="G41" s="84">
        <v>0.01</v>
      </c>
      <c r="H41" s="83">
        <v>37</v>
      </c>
      <c r="I41" s="89">
        <v>173541.72</v>
      </c>
      <c r="J41" s="83">
        <v>7000</v>
      </c>
      <c r="K41" s="84">
        <v>1.2999999999999999E-2</v>
      </c>
      <c r="L41" s="84">
        <v>0.02</v>
      </c>
      <c r="M41" s="83">
        <v>488497</v>
      </c>
      <c r="N41" s="83">
        <v>1.7783132E-2</v>
      </c>
    </row>
    <row r="42" spans="2:14">
      <c r="B42" s="83" t="s">
        <v>6223</v>
      </c>
      <c r="C42" s="83" t="s">
        <v>5921</v>
      </c>
      <c r="D42" s="83" t="s">
        <v>553</v>
      </c>
      <c r="E42" s="83">
        <v>34</v>
      </c>
      <c r="F42" s="83" t="s">
        <v>737</v>
      </c>
      <c r="G42" s="84">
        <v>0</v>
      </c>
      <c r="H42" s="83">
        <v>0</v>
      </c>
      <c r="I42" s="89">
        <v>0</v>
      </c>
      <c r="J42" s="83">
        <v>0</v>
      </c>
      <c r="K42" s="84">
        <v>0</v>
      </c>
      <c r="L42" s="84">
        <v>3.5000000000000003E-2</v>
      </c>
      <c r="M42" s="83">
        <v>1234</v>
      </c>
      <c r="N42" s="83">
        <v>0</v>
      </c>
    </row>
    <row r="43" spans="2:14">
      <c r="B43" s="83" t="s">
        <v>638</v>
      </c>
      <c r="C43" s="83" t="s">
        <v>5921</v>
      </c>
      <c r="D43" s="83" t="s">
        <v>553</v>
      </c>
      <c r="E43" s="83">
        <v>7</v>
      </c>
      <c r="F43" s="83" t="s">
        <v>639</v>
      </c>
      <c r="G43" s="84">
        <v>1.4999999999999999E-2</v>
      </c>
      <c r="H43" s="83">
        <v>153</v>
      </c>
      <c r="I43" s="89">
        <v>3953479.45</v>
      </c>
      <c r="J43" s="83">
        <v>96371</v>
      </c>
      <c r="K43" s="84">
        <v>1.2500000000000001E-2</v>
      </c>
      <c r="L43" s="84">
        <v>1.4999999999999999E-2</v>
      </c>
      <c r="M43" s="83">
        <v>599890</v>
      </c>
      <c r="N43" s="83">
        <v>1.6787804E-2</v>
      </c>
    </row>
    <row r="44" spans="2:14">
      <c r="B44" s="83" t="s">
        <v>640</v>
      </c>
      <c r="C44" s="83" t="s">
        <v>5921</v>
      </c>
      <c r="D44" s="83" t="s">
        <v>553</v>
      </c>
      <c r="E44" s="83">
        <v>96</v>
      </c>
      <c r="F44" s="83" t="s">
        <v>641</v>
      </c>
      <c r="G44" s="84">
        <v>0</v>
      </c>
      <c r="H44" s="83">
        <v>0</v>
      </c>
      <c r="I44" s="89">
        <v>0</v>
      </c>
      <c r="J44" s="83">
        <v>0</v>
      </c>
      <c r="K44" s="84">
        <v>0</v>
      </c>
      <c r="L44" s="84">
        <v>0</v>
      </c>
      <c r="M44" s="83">
        <v>0</v>
      </c>
      <c r="N44" s="83">
        <v>0</v>
      </c>
    </row>
    <row r="45" spans="2:14">
      <c r="B45" s="83" t="s">
        <v>642</v>
      </c>
      <c r="C45" s="83" t="s">
        <v>5921</v>
      </c>
      <c r="D45" s="83" t="s">
        <v>553</v>
      </c>
      <c r="E45" s="83">
        <v>8</v>
      </c>
      <c r="F45" s="83" t="s">
        <v>643</v>
      </c>
      <c r="G45" s="84">
        <v>1.4999999999999999E-2</v>
      </c>
      <c r="H45" s="83">
        <v>21</v>
      </c>
      <c r="I45" s="89">
        <v>202623.55</v>
      </c>
      <c r="J45" s="83">
        <v>5978</v>
      </c>
      <c r="K45" s="84">
        <v>1.4999999999999999E-2</v>
      </c>
      <c r="L45" s="84">
        <v>1.7000000000000001E-2</v>
      </c>
      <c r="M45" s="83">
        <v>12000</v>
      </c>
      <c r="N45" s="83">
        <v>1.7462700000000001E-2</v>
      </c>
    </row>
    <row r="46" spans="2:14">
      <c r="B46" s="83" t="s">
        <v>644</v>
      </c>
      <c r="C46" s="83" t="s">
        <v>5921</v>
      </c>
      <c r="D46" s="83" t="s">
        <v>553</v>
      </c>
      <c r="E46" s="83">
        <v>36</v>
      </c>
      <c r="F46" s="83" t="s">
        <v>645</v>
      </c>
      <c r="G46" s="84">
        <v>0</v>
      </c>
      <c r="H46" s="83">
        <v>0</v>
      </c>
      <c r="I46" s="89">
        <v>0</v>
      </c>
      <c r="J46" s="83">
        <v>0</v>
      </c>
      <c r="K46" s="84">
        <v>0</v>
      </c>
      <c r="L46" s="84">
        <v>0</v>
      </c>
      <c r="M46" s="83">
        <v>0</v>
      </c>
      <c r="N46" s="83">
        <v>0</v>
      </c>
    </row>
    <row r="47" spans="2:14">
      <c r="B47" s="83" t="s">
        <v>646</v>
      </c>
      <c r="C47" s="83" t="s">
        <v>5921</v>
      </c>
      <c r="D47" s="83" t="s">
        <v>553</v>
      </c>
      <c r="E47" s="83">
        <v>67</v>
      </c>
      <c r="F47" s="83" t="s">
        <v>647</v>
      </c>
      <c r="G47" s="84">
        <v>0</v>
      </c>
      <c r="H47" s="83">
        <v>0</v>
      </c>
      <c r="I47" s="89">
        <v>0</v>
      </c>
      <c r="J47" s="83">
        <v>0</v>
      </c>
      <c r="K47" s="84">
        <v>0</v>
      </c>
      <c r="L47" s="84">
        <v>0</v>
      </c>
      <c r="M47" s="83">
        <v>0</v>
      </c>
      <c r="N47" s="83">
        <v>0</v>
      </c>
    </row>
    <row r="48" spans="2:14">
      <c r="B48" s="83" t="s">
        <v>648</v>
      </c>
      <c r="C48" s="83" t="s">
        <v>5921</v>
      </c>
      <c r="D48" s="83" t="s">
        <v>553</v>
      </c>
      <c r="E48" s="83">
        <v>97</v>
      </c>
      <c r="F48" s="83" t="s">
        <v>649</v>
      </c>
      <c r="G48" s="84">
        <v>0</v>
      </c>
      <c r="H48" s="83">
        <v>0</v>
      </c>
      <c r="I48" s="89">
        <v>0</v>
      </c>
      <c r="J48" s="83">
        <v>0</v>
      </c>
      <c r="K48" s="84">
        <v>0</v>
      </c>
      <c r="L48" s="84">
        <v>0</v>
      </c>
      <c r="M48" s="83">
        <v>0</v>
      </c>
      <c r="N48" s="83">
        <v>0</v>
      </c>
    </row>
    <row r="49" spans="2:14">
      <c r="B49" s="83" t="s">
        <v>650</v>
      </c>
      <c r="C49" s="83" t="s">
        <v>5921</v>
      </c>
      <c r="D49" s="83" t="s">
        <v>553</v>
      </c>
      <c r="E49" s="83">
        <v>68</v>
      </c>
      <c r="F49" s="83" t="s">
        <v>651</v>
      </c>
      <c r="G49" s="84">
        <v>0</v>
      </c>
      <c r="H49" s="83">
        <v>0</v>
      </c>
      <c r="I49" s="89">
        <v>0</v>
      </c>
      <c r="J49" s="83">
        <v>0</v>
      </c>
      <c r="K49" s="84">
        <v>0</v>
      </c>
      <c r="L49" s="84">
        <v>0</v>
      </c>
      <c r="M49" s="83">
        <v>0</v>
      </c>
      <c r="N49" s="83">
        <v>0</v>
      </c>
    </row>
    <row r="50" spans="2:14">
      <c r="B50" s="83" t="s">
        <v>652</v>
      </c>
      <c r="C50" s="83" t="s">
        <v>5921</v>
      </c>
      <c r="D50" s="83" t="s">
        <v>553</v>
      </c>
      <c r="E50" s="83">
        <v>98</v>
      </c>
      <c r="F50" s="83" t="s">
        <v>653</v>
      </c>
      <c r="G50" s="84">
        <v>0</v>
      </c>
      <c r="H50" s="83">
        <v>0</v>
      </c>
      <c r="I50" s="89">
        <v>0</v>
      </c>
      <c r="J50" s="83">
        <v>0</v>
      </c>
      <c r="K50" s="84">
        <v>0</v>
      </c>
      <c r="L50" s="84">
        <v>0</v>
      </c>
      <c r="M50" s="83">
        <v>0</v>
      </c>
      <c r="N50" s="83">
        <v>0</v>
      </c>
    </row>
    <row r="51" spans="2:14">
      <c r="B51" s="83" t="s">
        <v>654</v>
      </c>
      <c r="C51" s="83" t="s">
        <v>5921</v>
      </c>
      <c r="D51" s="83" t="s">
        <v>553</v>
      </c>
      <c r="E51" s="83">
        <v>69</v>
      </c>
      <c r="F51" s="83" t="s">
        <v>655</v>
      </c>
      <c r="G51" s="84">
        <v>0</v>
      </c>
      <c r="H51" s="83">
        <v>0</v>
      </c>
      <c r="I51" s="89">
        <v>0</v>
      </c>
      <c r="J51" s="83">
        <v>50000</v>
      </c>
      <c r="K51" s="84">
        <v>0.02</v>
      </c>
      <c r="L51" s="84">
        <v>3.5000000000000003E-2</v>
      </c>
      <c r="M51" s="83">
        <v>14441</v>
      </c>
      <c r="N51" s="83">
        <v>0</v>
      </c>
    </row>
    <row r="52" spans="2:14">
      <c r="B52" s="83" t="s">
        <v>656</v>
      </c>
      <c r="C52" s="83" t="s">
        <v>5921</v>
      </c>
      <c r="D52" s="83" t="s">
        <v>553</v>
      </c>
      <c r="E52" s="83">
        <v>99</v>
      </c>
      <c r="F52" s="83" t="s">
        <v>657</v>
      </c>
      <c r="G52" s="84">
        <v>0</v>
      </c>
      <c r="H52" s="83">
        <v>0</v>
      </c>
      <c r="I52" s="89">
        <v>0</v>
      </c>
      <c r="J52" s="83">
        <v>0</v>
      </c>
      <c r="K52" s="84">
        <v>0</v>
      </c>
      <c r="L52" s="84">
        <v>0</v>
      </c>
      <c r="M52" s="83">
        <v>0</v>
      </c>
      <c r="N52" s="83">
        <v>0</v>
      </c>
    </row>
    <row r="53" spans="2:14">
      <c r="B53" s="83" t="s">
        <v>658</v>
      </c>
      <c r="C53" s="83" t="s">
        <v>5921</v>
      </c>
      <c r="D53" s="83" t="s">
        <v>553</v>
      </c>
      <c r="E53" s="83">
        <v>11</v>
      </c>
      <c r="F53" s="83" t="s">
        <v>659</v>
      </c>
      <c r="G53" s="84">
        <v>0.02</v>
      </c>
      <c r="H53" s="83">
        <v>2</v>
      </c>
      <c r="I53" s="89">
        <v>15849.55</v>
      </c>
      <c r="J53" s="83">
        <v>25000</v>
      </c>
      <c r="K53" s="84">
        <v>7.0000000000000001E-3</v>
      </c>
      <c r="L53" s="84">
        <v>0.02</v>
      </c>
      <c r="M53" s="83">
        <v>37164</v>
      </c>
      <c r="N53" s="83">
        <v>0.02</v>
      </c>
    </row>
    <row r="54" spans="2:14">
      <c r="B54" s="83" t="s">
        <v>660</v>
      </c>
      <c r="C54" s="83" t="s">
        <v>5921</v>
      </c>
      <c r="D54" s="83" t="s">
        <v>553</v>
      </c>
      <c r="E54" s="83">
        <v>70</v>
      </c>
      <c r="F54" s="83" t="s">
        <v>661</v>
      </c>
      <c r="G54" s="84">
        <v>0</v>
      </c>
      <c r="H54" s="83">
        <v>0</v>
      </c>
      <c r="I54" s="89">
        <v>0</v>
      </c>
      <c r="J54" s="83">
        <v>0</v>
      </c>
      <c r="K54" s="84">
        <v>0</v>
      </c>
      <c r="L54" s="84">
        <v>0</v>
      </c>
      <c r="M54" s="83">
        <v>0</v>
      </c>
      <c r="N54" s="83">
        <v>0</v>
      </c>
    </row>
    <row r="55" spans="2:14">
      <c r="B55" s="83" t="s">
        <v>662</v>
      </c>
      <c r="C55" s="83" t="s">
        <v>5921</v>
      </c>
      <c r="D55" s="83" t="s">
        <v>553</v>
      </c>
      <c r="E55" s="83">
        <v>12</v>
      </c>
      <c r="F55" s="83" t="s">
        <v>663</v>
      </c>
      <c r="G55" s="84">
        <v>0.01</v>
      </c>
      <c r="H55" s="83">
        <v>9</v>
      </c>
      <c r="I55" s="89">
        <v>127405.95</v>
      </c>
      <c r="J55" s="83">
        <v>102790</v>
      </c>
      <c r="K55" s="84">
        <v>0.01</v>
      </c>
      <c r="L55" s="84">
        <v>2.5000000000000001E-2</v>
      </c>
      <c r="M55" s="83">
        <v>110367</v>
      </c>
      <c r="N55" s="83">
        <v>2.435874E-2</v>
      </c>
    </row>
    <row r="56" spans="2:14">
      <c r="B56" s="83" t="s">
        <v>664</v>
      </c>
      <c r="C56" s="83" t="s">
        <v>5921</v>
      </c>
      <c r="D56" s="83" t="s">
        <v>553</v>
      </c>
      <c r="E56" s="83">
        <v>13</v>
      </c>
      <c r="F56" s="83" t="s">
        <v>665</v>
      </c>
      <c r="G56" s="84">
        <v>5.0000000000000001E-3</v>
      </c>
      <c r="H56" s="83">
        <v>1</v>
      </c>
      <c r="I56" s="89">
        <v>2780.5</v>
      </c>
      <c r="J56" s="83">
        <v>100000</v>
      </c>
      <c r="K56" s="84">
        <v>6.0000000000000001E-3</v>
      </c>
      <c r="L56" s="84">
        <v>0.03</v>
      </c>
      <c r="M56" s="83">
        <v>119890</v>
      </c>
      <c r="N56" s="83">
        <v>5.0000000000000001E-3</v>
      </c>
    </row>
    <row r="57" spans="2:14">
      <c r="B57" s="83" t="s">
        <v>666</v>
      </c>
      <c r="C57" s="83" t="s">
        <v>5921</v>
      </c>
      <c r="D57" s="83" t="s">
        <v>553</v>
      </c>
      <c r="E57" s="83">
        <v>41</v>
      </c>
      <c r="F57" s="83" t="s">
        <v>667</v>
      </c>
      <c r="G57" s="84">
        <v>0</v>
      </c>
      <c r="H57" s="83">
        <v>0</v>
      </c>
      <c r="I57" s="89">
        <v>0</v>
      </c>
      <c r="J57" s="83">
        <v>0</v>
      </c>
      <c r="K57" s="84">
        <v>0</v>
      </c>
      <c r="L57" s="84">
        <v>0</v>
      </c>
      <c r="M57" s="83">
        <v>0</v>
      </c>
      <c r="N57" s="83">
        <v>0</v>
      </c>
    </row>
    <row r="58" spans="2:14">
      <c r="B58" s="83" t="s">
        <v>668</v>
      </c>
      <c r="C58" s="83" t="s">
        <v>5921</v>
      </c>
      <c r="D58" s="83" t="s">
        <v>553</v>
      </c>
      <c r="E58" s="83">
        <v>14</v>
      </c>
      <c r="F58" s="83" t="s">
        <v>669</v>
      </c>
      <c r="G58" s="84">
        <v>0.03</v>
      </c>
      <c r="H58" s="83">
        <v>1</v>
      </c>
      <c r="I58" s="89">
        <v>4086.7</v>
      </c>
      <c r="J58" s="83">
        <v>25000</v>
      </c>
      <c r="K58" s="84">
        <v>3.0000000000000001E-3</v>
      </c>
      <c r="L58" s="84">
        <v>2.5000000000000001E-2</v>
      </c>
      <c r="M58" s="83">
        <v>40005</v>
      </c>
      <c r="N58" s="83">
        <v>0.03</v>
      </c>
    </row>
    <row r="59" spans="2:14">
      <c r="B59" s="83" t="s">
        <v>670</v>
      </c>
      <c r="C59" s="83" t="s">
        <v>5921</v>
      </c>
      <c r="D59" s="83" t="s">
        <v>553</v>
      </c>
      <c r="E59" s="83">
        <v>103</v>
      </c>
      <c r="F59" s="83" t="s">
        <v>671</v>
      </c>
      <c r="G59" s="84">
        <v>0</v>
      </c>
      <c r="H59" s="83">
        <v>0</v>
      </c>
      <c r="I59" s="89">
        <v>0</v>
      </c>
      <c r="J59" s="83">
        <v>0</v>
      </c>
      <c r="K59" s="84">
        <v>0</v>
      </c>
      <c r="L59" s="84">
        <v>0</v>
      </c>
      <c r="M59" s="83">
        <v>0</v>
      </c>
      <c r="N59" s="83">
        <v>0</v>
      </c>
    </row>
    <row r="60" spans="2:14">
      <c r="B60" s="83" t="s">
        <v>672</v>
      </c>
      <c r="C60" s="83" t="s">
        <v>5921</v>
      </c>
      <c r="D60" s="83" t="s">
        <v>553</v>
      </c>
      <c r="E60" s="83">
        <v>15</v>
      </c>
      <c r="F60" s="83" t="s">
        <v>673</v>
      </c>
      <c r="G60" s="84">
        <v>0</v>
      </c>
      <c r="H60" s="83">
        <v>0</v>
      </c>
      <c r="I60" s="89">
        <v>0</v>
      </c>
      <c r="J60" s="83">
        <v>100000</v>
      </c>
      <c r="K60" s="84">
        <v>7.0000000000000001E-3</v>
      </c>
      <c r="L60" s="84">
        <v>2.5000000000000001E-2</v>
      </c>
      <c r="M60" s="83">
        <v>1606</v>
      </c>
      <c r="N60" s="83">
        <v>0</v>
      </c>
    </row>
    <row r="61" spans="2:14">
      <c r="B61" s="83" t="s">
        <v>674</v>
      </c>
      <c r="C61" s="83" t="s">
        <v>5921</v>
      </c>
      <c r="D61" s="83" t="s">
        <v>553</v>
      </c>
      <c r="E61" s="83">
        <v>43</v>
      </c>
      <c r="F61" s="83" t="s">
        <v>675</v>
      </c>
      <c r="G61" s="84">
        <v>0</v>
      </c>
      <c r="H61" s="83">
        <v>0</v>
      </c>
      <c r="I61" s="89">
        <v>0</v>
      </c>
      <c r="J61" s="83">
        <v>25000</v>
      </c>
      <c r="K61" s="84">
        <v>8.0000000000000002E-3</v>
      </c>
      <c r="L61" s="84">
        <v>0</v>
      </c>
      <c r="M61" s="83">
        <v>0</v>
      </c>
      <c r="N61" s="83">
        <v>0</v>
      </c>
    </row>
    <row r="62" spans="2:14">
      <c r="B62" s="83" t="s">
        <v>676</v>
      </c>
      <c r="C62" s="83" t="s">
        <v>5921</v>
      </c>
      <c r="D62" s="83" t="s">
        <v>553</v>
      </c>
      <c r="E62" s="83">
        <v>74</v>
      </c>
      <c r="F62" s="83" t="s">
        <v>677</v>
      </c>
      <c r="G62" s="84">
        <v>0</v>
      </c>
      <c r="H62" s="83">
        <v>0</v>
      </c>
      <c r="I62" s="89">
        <v>0</v>
      </c>
      <c r="J62" s="83">
        <v>0</v>
      </c>
      <c r="K62" s="84">
        <v>0</v>
      </c>
      <c r="L62" s="84">
        <v>0</v>
      </c>
      <c r="M62" s="83">
        <v>0</v>
      </c>
      <c r="N62" s="83">
        <v>0</v>
      </c>
    </row>
    <row r="63" spans="2:14">
      <c r="B63" s="83" t="s">
        <v>678</v>
      </c>
      <c r="C63" s="83" t="s">
        <v>5921</v>
      </c>
      <c r="D63" s="83" t="s">
        <v>553</v>
      </c>
      <c r="E63" s="83">
        <v>104</v>
      </c>
      <c r="F63" s="83" t="s">
        <v>679</v>
      </c>
      <c r="G63" s="84">
        <v>0</v>
      </c>
      <c r="H63" s="83">
        <v>0</v>
      </c>
      <c r="I63" s="89">
        <v>0</v>
      </c>
      <c r="J63" s="83">
        <v>0</v>
      </c>
      <c r="K63" s="84">
        <v>0</v>
      </c>
      <c r="L63" s="84">
        <v>0</v>
      </c>
      <c r="M63" s="83">
        <v>0</v>
      </c>
      <c r="N63" s="83">
        <v>0</v>
      </c>
    </row>
    <row r="64" spans="2:14">
      <c r="B64" s="83" t="s">
        <v>680</v>
      </c>
      <c r="C64" s="83" t="s">
        <v>5921</v>
      </c>
      <c r="D64" s="83" t="s">
        <v>553</v>
      </c>
      <c r="E64" s="83">
        <v>75</v>
      </c>
      <c r="F64" s="83" t="s">
        <v>681</v>
      </c>
      <c r="G64" s="84">
        <v>0</v>
      </c>
      <c r="H64" s="83">
        <v>0</v>
      </c>
      <c r="I64" s="89">
        <v>0</v>
      </c>
      <c r="J64" s="83">
        <v>0</v>
      </c>
      <c r="K64" s="84">
        <v>0</v>
      </c>
      <c r="L64" s="84">
        <v>0</v>
      </c>
      <c r="M64" s="83">
        <v>0</v>
      </c>
      <c r="N64" s="83">
        <v>0</v>
      </c>
    </row>
    <row r="65" spans="2:14">
      <c r="B65" s="83" t="s">
        <v>682</v>
      </c>
      <c r="C65" s="83" t="s">
        <v>5921</v>
      </c>
      <c r="D65" s="83" t="s">
        <v>553</v>
      </c>
      <c r="E65" s="83">
        <v>105</v>
      </c>
      <c r="F65" s="83" t="s">
        <v>683</v>
      </c>
      <c r="G65" s="84">
        <v>0</v>
      </c>
      <c r="H65" s="83">
        <v>0</v>
      </c>
      <c r="I65" s="89">
        <v>0</v>
      </c>
      <c r="J65" s="83">
        <v>0</v>
      </c>
      <c r="K65" s="84">
        <v>0</v>
      </c>
      <c r="L65" s="84">
        <v>0</v>
      </c>
      <c r="M65" s="83">
        <v>0</v>
      </c>
      <c r="N65" s="83">
        <v>0</v>
      </c>
    </row>
    <row r="66" spans="2:14">
      <c r="B66" s="83" t="s">
        <v>684</v>
      </c>
      <c r="C66" s="83" t="s">
        <v>5921</v>
      </c>
      <c r="D66" s="83" t="s">
        <v>553</v>
      </c>
      <c r="E66" s="83">
        <v>76</v>
      </c>
      <c r="F66" s="83" t="s">
        <v>685</v>
      </c>
      <c r="G66" s="84">
        <v>0</v>
      </c>
      <c r="H66" s="83">
        <v>0</v>
      </c>
      <c r="I66" s="89">
        <v>0</v>
      </c>
      <c r="J66" s="83">
        <v>0</v>
      </c>
      <c r="K66" s="84">
        <v>0</v>
      </c>
      <c r="L66" s="84">
        <v>0</v>
      </c>
      <c r="M66" s="83">
        <v>0</v>
      </c>
      <c r="N66" s="83">
        <v>0</v>
      </c>
    </row>
    <row r="67" spans="2:14">
      <c r="B67" s="83" t="s">
        <v>686</v>
      </c>
      <c r="C67" s="83" t="s">
        <v>5921</v>
      </c>
      <c r="D67" s="83" t="s">
        <v>553</v>
      </c>
      <c r="E67" s="83">
        <v>106</v>
      </c>
      <c r="F67" s="83" t="s">
        <v>687</v>
      </c>
      <c r="G67" s="84">
        <v>0</v>
      </c>
      <c r="H67" s="83">
        <v>0</v>
      </c>
      <c r="I67" s="89">
        <v>0</v>
      </c>
      <c r="J67" s="83">
        <v>0</v>
      </c>
      <c r="K67" s="84">
        <v>0</v>
      </c>
      <c r="L67" s="84">
        <v>0</v>
      </c>
      <c r="M67" s="83">
        <v>0</v>
      </c>
      <c r="N67" s="83">
        <v>0</v>
      </c>
    </row>
    <row r="68" spans="2:14">
      <c r="B68" s="83" t="s">
        <v>688</v>
      </c>
      <c r="C68" s="83" t="s">
        <v>5921</v>
      </c>
      <c r="D68" s="83" t="s">
        <v>553</v>
      </c>
      <c r="E68" s="83">
        <v>46</v>
      </c>
      <c r="F68" s="83" t="s">
        <v>689</v>
      </c>
      <c r="G68" s="84">
        <v>0</v>
      </c>
      <c r="H68" s="83">
        <v>0</v>
      </c>
      <c r="I68" s="89">
        <v>0</v>
      </c>
      <c r="J68" s="83">
        <v>0</v>
      </c>
      <c r="K68" s="84">
        <v>0</v>
      </c>
      <c r="L68" s="84">
        <v>0</v>
      </c>
      <c r="M68" s="83">
        <v>0</v>
      </c>
      <c r="N68" s="83">
        <v>0</v>
      </c>
    </row>
    <row r="69" spans="2:14">
      <c r="B69" s="83" t="s">
        <v>690</v>
      </c>
      <c r="C69" s="83" t="s">
        <v>5921</v>
      </c>
      <c r="D69" s="83" t="s">
        <v>553</v>
      </c>
      <c r="E69" s="83">
        <v>77</v>
      </c>
      <c r="F69" s="83" t="s">
        <v>691</v>
      </c>
      <c r="G69" s="84">
        <v>0</v>
      </c>
      <c r="H69" s="83">
        <v>0</v>
      </c>
      <c r="I69" s="89">
        <v>0</v>
      </c>
      <c r="J69" s="83">
        <v>0</v>
      </c>
      <c r="K69" s="84">
        <v>0</v>
      </c>
      <c r="L69" s="84">
        <v>0</v>
      </c>
      <c r="M69" s="83">
        <v>0</v>
      </c>
      <c r="N69" s="83">
        <v>0</v>
      </c>
    </row>
    <row r="70" spans="2:14">
      <c r="B70" s="83" t="s">
        <v>692</v>
      </c>
      <c r="C70" s="83" t="s">
        <v>5921</v>
      </c>
      <c r="D70" s="83" t="s">
        <v>553</v>
      </c>
      <c r="E70" s="83">
        <v>47</v>
      </c>
      <c r="F70" s="83" t="s">
        <v>693</v>
      </c>
      <c r="G70" s="84">
        <v>0</v>
      </c>
      <c r="H70" s="83">
        <v>0</v>
      </c>
      <c r="I70" s="89">
        <v>0</v>
      </c>
      <c r="J70" s="83">
        <v>0</v>
      </c>
      <c r="K70" s="84">
        <v>0</v>
      </c>
      <c r="L70" s="84">
        <v>0</v>
      </c>
      <c r="M70" s="83">
        <v>0</v>
      </c>
      <c r="N70" s="83">
        <v>0</v>
      </c>
    </row>
    <row r="71" spans="2:14">
      <c r="B71" s="83" t="s">
        <v>694</v>
      </c>
      <c r="C71" s="83" t="s">
        <v>695</v>
      </c>
      <c r="D71" s="83" t="s">
        <v>563</v>
      </c>
      <c r="E71" s="83">
        <v>48</v>
      </c>
      <c r="F71" s="83" t="s">
        <v>696</v>
      </c>
      <c r="G71" s="84">
        <v>0</v>
      </c>
      <c r="H71" s="83">
        <v>0</v>
      </c>
      <c r="I71" s="89">
        <v>0</v>
      </c>
      <c r="J71" s="83">
        <v>10000000</v>
      </c>
      <c r="K71" s="84">
        <v>0.27</v>
      </c>
      <c r="L71" s="84">
        <v>0</v>
      </c>
      <c r="M71" s="83">
        <v>0</v>
      </c>
      <c r="N71" s="83">
        <v>0</v>
      </c>
    </row>
    <row r="72" spans="2:14">
      <c r="B72" s="83" t="s">
        <v>814</v>
      </c>
      <c r="C72" s="83" t="s">
        <v>695</v>
      </c>
      <c r="D72" s="83" t="s">
        <v>563</v>
      </c>
      <c r="E72" s="83">
        <v>109</v>
      </c>
      <c r="F72" s="83" t="s">
        <v>815</v>
      </c>
      <c r="G72" s="84">
        <v>0</v>
      </c>
      <c r="H72" s="83">
        <v>0</v>
      </c>
      <c r="I72" s="89">
        <v>0</v>
      </c>
      <c r="J72" s="83">
        <v>0</v>
      </c>
      <c r="K72" s="84">
        <v>0</v>
      </c>
      <c r="L72" s="84">
        <v>0</v>
      </c>
      <c r="M72" s="83">
        <v>0</v>
      </c>
      <c r="N72" s="83">
        <v>0</v>
      </c>
    </row>
    <row r="73" spans="2:14">
      <c r="B73" s="83" t="s">
        <v>697</v>
      </c>
      <c r="C73" s="83" t="s">
        <v>695</v>
      </c>
      <c r="D73" s="83" t="s">
        <v>563</v>
      </c>
      <c r="E73" s="83">
        <v>18</v>
      </c>
      <c r="F73" s="83" t="s">
        <v>582</v>
      </c>
      <c r="G73" s="84">
        <v>0.3</v>
      </c>
      <c r="H73" s="83">
        <v>122</v>
      </c>
      <c r="I73" s="89">
        <v>353204730.75999999</v>
      </c>
      <c r="J73" s="83">
        <v>5550000</v>
      </c>
      <c r="K73" s="84">
        <v>0.30099999999999999</v>
      </c>
      <c r="L73" s="84">
        <v>0.316</v>
      </c>
      <c r="M73" s="83">
        <v>33804376</v>
      </c>
      <c r="N73" s="83">
        <v>0.29666952600000002</v>
      </c>
    </row>
    <row r="74" spans="2:14">
      <c r="B74" s="83" t="s">
        <v>698</v>
      </c>
      <c r="C74" s="83" t="s">
        <v>695</v>
      </c>
      <c r="D74" s="83" t="s">
        <v>563</v>
      </c>
      <c r="E74" s="83">
        <v>110</v>
      </c>
      <c r="F74" s="83" t="s">
        <v>584</v>
      </c>
      <c r="G74" s="84">
        <v>0</v>
      </c>
      <c r="H74" s="83">
        <v>0</v>
      </c>
      <c r="I74" s="89">
        <v>0</v>
      </c>
      <c r="J74" s="83">
        <v>0</v>
      </c>
      <c r="K74" s="84">
        <v>0</v>
      </c>
      <c r="L74" s="84">
        <v>0</v>
      </c>
      <c r="M74" s="83">
        <v>0</v>
      </c>
      <c r="N74" s="83">
        <v>0</v>
      </c>
    </row>
    <row r="75" spans="2:14">
      <c r="B75" s="83" t="s">
        <v>699</v>
      </c>
      <c r="C75" s="83" t="s">
        <v>695</v>
      </c>
      <c r="D75" s="83" t="s">
        <v>563</v>
      </c>
      <c r="E75" s="83">
        <v>19</v>
      </c>
      <c r="F75" s="83" t="s">
        <v>586</v>
      </c>
      <c r="G75" s="84">
        <v>0.3</v>
      </c>
      <c r="H75" s="83">
        <v>26</v>
      </c>
      <c r="I75" s="89">
        <v>1351876266.51</v>
      </c>
      <c r="J75" s="83">
        <v>2500000</v>
      </c>
      <c r="K75" s="84">
        <v>0.3</v>
      </c>
      <c r="L75" s="84">
        <v>0.31</v>
      </c>
      <c r="M75" s="83">
        <v>1669500</v>
      </c>
      <c r="N75" s="83">
        <v>0.29601602500000002</v>
      </c>
    </row>
    <row r="76" spans="2:14">
      <c r="B76" s="83" t="s">
        <v>816</v>
      </c>
      <c r="C76" s="83" t="s">
        <v>695</v>
      </c>
      <c r="D76" s="83" t="s">
        <v>563</v>
      </c>
      <c r="E76" s="83">
        <v>111</v>
      </c>
      <c r="F76" s="83" t="s">
        <v>817</v>
      </c>
      <c r="G76" s="84">
        <v>0</v>
      </c>
      <c r="H76" s="83">
        <v>0</v>
      </c>
      <c r="I76" s="89">
        <v>0</v>
      </c>
      <c r="J76" s="83">
        <v>0</v>
      </c>
      <c r="K76" s="84">
        <v>0</v>
      </c>
      <c r="L76" s="84">
        <v>0</v>
      </c>
      <c r="M76" s="83">
        <v>0</v>
      </c>
      <c r="N76" s="83">
        <v>0</v>
      </c>
    </row>
    <row r="77" spans="2:14">
      <c r="B77" s="83" t="s">
        <v>700</v>
      </c>
      <c r="C77" s="83" t="s">
        <v>695</v>
      </c>
      <c r="D77" s="83" t="s">
        <v>563</v>
      </c>
      <c r="E77" s="83">
        <v>20</v>
      </c>
      <c r="F77" s="83" t="s">
        <v>588</v>
      </c>
      <c r="G77" s="84">
        <v>0.314</v>
      </c>
      <c r="H77" s="83">
        <v>55</v>
      </c>
      <c r="I77" s="89">
        <v>159759846.31</v>
      </c>
      <c r="J77" s="83">
        <v>6000000</v>
      </c>
      <c r="K77" s="84">
        <v>0.29099999999999998</v>
      </c>
      <c r="L77" s="84">
        <v>0.307</v>
      </c>
      <c r="M77" s="83">
        <v>2864561</v>
      </c>
      <c r="N77" s="83">
        <v>0.293440749</v>
      </c>
    </row>
    <row r="78" spans="2:14">
      <c r="B78" s="83" t="s">
        <v>701</v>
      </c>
      <c r="C78" s="83" t="s">
        <v>695</v>
      </c>
      <c r="D78" s="83" t="s">
        <v>563</v>
      </c>
      <c r="E78" s="83">
        <v>81</v>
      </c>
      <c r="F78" s="83" t="s">
        <v>590</v>
      </c>
      <c r="G78" s="84">
        <v>0.2</v>
      </c>
      <c r="H78" s="83">
        <v>1</v>
      </c>
      <c r="I78" s="89">
        <v>1227583.06</v>
      </c>
      <c r="J78" s="83">
        <v>0</v>
      </c>
      <c r="K78" s="84">
        <v>0</v>
      </c>
      <c r="L78" s="84">
        <v>0</v>
      </c>
      <c r="M78" s="83">
        <v>0</v>
      </c>
      <c r="N78" s="83">
        <v>0.2</v>
      </c>
    </row>
    <row r="79" spans="2:14">
      <c r="B79" s="83" t="s">
        <v>702</v>
      </c>
      <c r="C79" s="83" t="s">
        <v>695</v>
      </c>
      <c r="D79" s="83" t="s">
        <v>563</v>
      </c>
      <c r="E79" s="83">
        <v>21</v>
      </c>
      <c r="F79" s="83" t="s">
        <v>703</v>
      </c>
      <c r="G79" s="84">
        <v>0.3</v>
      </c>
      <c r="H79" s="83">
        <v>41</v>
      </c>
      <c r="I79" s="89">
        <v>53906662.240000002</v>
      </c>
      <c r="J79" s="83">
        <v>478000</v>
      </c>
      <c r="K79" s="84">
        <v>0.3</v>
      </c>
      <c r="L79" s="84">
        <v>0.32900000000000001</v>
      </c>
      <c r="M79" s="83">
        <v>1500000</v>
      </c>
      <c r="N79" s="83">
        <v>0.30522745099999998</v>
      </c>
    </row>
    <row r="80" spans="2:14">
      <c r="B80" s="83" t="s">
        <v>704</v>
      </c>
      <c r="C80" s="83" t="s">
        <v>695</v>
      </c>
      <c r="D80" s="83" t="s">
        <v>563</v>
      </c>
      <c r="E80" s="83">
        <v>82</v>
      </c>
      <c r="F80" s="83" t="s">
        <v>592</v>
      </c>
      <c r="G80" s="84">
        <v>0</v>
      </c>
      <c r="H80" s="83">
        <v>0</v>
      </c>
      <c r="I80" s="89">
        <v>0</v>
      </c>
      <c r="J80" s="83">
        <v>0</v>
      </c>
      <c r="K80" s="84">
        <v>0</v>
      </c>
      <c r="L80" s="84">
        <v>0</v>
      </c>
      <c r="M80" s="83">
        <v>0</v>
      </c>
      <c r="N80" s="83">
        <v>0</v>
      </c>
    </row>
    <row r="81" spans="2:14">
      <c r="B81" s="83" t="s">
        <v>5224</v>
      </c>
      <c r="C81" s="83" t="s">
        <v>695</v>
      </c>
      <c r="D81" s="83" t="s">
        <v>563</v>
      </c>
      <c r="E81" s="83">
        <v>113</v>
      </c>
      <c r="F81" s="83" t="s">
        <v>5223</v>
      </c>
      <c r="G81" s="84">
        <v>0</v>
      </c>
      <c r="H81" s="83">
        <v>0</v>
      </c>
      <c r="I81" s="89">
        <v>0</v>
      </c>
      <c r="J81" s="83">
        <v>0</v>
      </c>
      <c r="K81" s="84">
        <v>0</v>
      </c>
      <c r="L81" s="84">
        <v>0</v>
      </c>
      <c r="M81" s="83">
        <v>0</v>
      </c>
      <c r="N81" s="83">
        <v>0</v>
      </c>
    </row>
    <row r="82" spans="2:14">
      <c r="B82" s="83" t="s">
        <v>705</v>
      </c>
      <c r="C82" s="83" t="s">
        <v>695</v>
      </c>
      <c r="D82" s="83" t="s">
        <v>563</v>
      </c>
      <c r="E82" s="83">
        <v>22</v>
      </c>
      <c r="F82" s="83" t="s">
        <v>594</v>
      </c>
      <c r="G82" s="84">
        <v>0.31</v>
      </c>
      <c r="H82" s="83">
        <v>28</v>
      </c>
      <c r="I82" s="89">
        <v>73817801.599999994</v>
      </c>
      <c r="J82" s="83">
        <v>6000000</v>
      </c>
      <c r="K82" s="84">
        <v>0.30099999999999999</v>
      </c>
      <c r="L82" s="84">
        <v>0.317</v>
      </c>
      <c r="M82" s="83">
        <v>2957314</v>
      </c>
      <c r="N82" s="83">
        <v>0.30525857200000001</v>
      </c>
    </row>
    <row r="83" spans="2:14">
      <c r="B83" s="83" t="s">
        <v>706</v>
      </c>
      <c r="C83" s="83" t="s">
        <v>695</v>
      </c>
      <c r="D83" s="83" t="s">
        <v>563</v>
      </c>
      <c r="E83" s="83">
        <v>53</v>
      </c>
      <c r="F83" s="83" t="s">
        <v>596</v>
      </c>
      <c r="G83" s="84">
        <v>0.27</v>
      </c>
      <c r="H83" s="83">
        <v>1</v>
      </c>
      <c r="I83" s="89">
        <v>1244968.1599999999</v>
      </c>
      <c r="J83" s="83">
        <v>3802000</v>
      </c>
      <c r="K83" s="84">
        <v>0.27</v>
      </c>
      <c r="L83" s="84">
        <v>0</v>
      </c>
      <c r="M83" s="83">
        <v>0</v>
      </c>
      <c r="N83" s="83">
        <v>0.27</v>
      </c>
    </row>
    <row r="84" spans="2:14">
      <c r="B84" s="83" t="s">
        <v>707</v>
      </c>
      <c r="C84" s="83" t="s">
        <v>695</v>
      </c>
      <c r="D84" s="83" t="s">
        <v>563</v>
      </c>
      <c r="E84" s="83">
        <v>83</v>
      </c>
      <c r="F84" s="83" t="s">
        <v>598</v>
      </c>
      <c r="G84" s="84">
        <v>0</v>
      </c>
      <c r="H84" s="83">
        <v>0</v>
      </c>
      <c r="I84" s="89">
        <v>0</v>
      </c>
      <c r="J84" s="83">
        <v>0</v>
      </c>
      <c r="K84" s="84">
        <v>0</v>
      </c>
      <c r="L84" s="84">
        <v>0</v>
      </c>
      <c r="M84" s="83">
        <v>0</v>
      </c>
      <c r="N84" s="83">
        <v>0</v>
      </c>
    </row>
    <row r="85" spans="2:14">
      <c r="B85" s="83" t="s">
        <v>708</v>
      </c>
      <c r="C85" s="83" t="s">
        <v>695</v>
      </c>
      <c r="D85" s="83" t="s">
        <v>563</v>
      </c>
      <c r="E85" s="83">
        <v>54</v>
      </c>
      <c r="F85" s="83" t="s">
        <v>600</v>
      </c>
      <c r="G85" s="84">
        <v>0.20300000000000001</v>
      </c>
      <c r="H85" s="83">
        <v>1</v>
      </c>
      <c r="I85" s="89">
        <v>1210715.06</v>
      </c>
      <c r="J85" s="83">
        <v>28824586</v>
      </c>
      <c r="K85" s="84">
        <v>0.20300000000000001</v>
      </c>
      <c r="L85" s="84">
        <v>0</v>
      </c>
      <c r="M85" s="83">
        <v>0</v>
      </c>
      <c r="N85" s="83">
        <v>0.20300000000000001</v>
      </c>
    </row>
    <row r="86" spans="2:14">
      <c r="B86" s="83" t="s">
        <v>709</v>
      </c>
      <c r="C86" s="83" t="s">
        <v>695</v>
      </c>
      <c r="D86" s="83" t="s">
        <v>563</v>
      </c>
      <c r="E86" s="83">
        <v>84</v>
      </c>
      <c r="F86" s="83" t="s">
        <v>602</v>
      </c>
      <c r="G86" s="84">
        <v>0</v>
      </c>
      <c r="H86" s="83">
        <v>0</v>
      </c>
      <c r="I86" s="89">
        <v>0</v>
      </c>
      <c r="J86" s="83">
        <v>0</v>
      </c>
      <c r="K86" s="84">
        <v>0</v>
      </c>
      <c r="L86" s="84">
        <v>0</v>
      </c>
      <c r="M86" s="83">
        <v>0</v>
      </c>
      <c r="N86" s="83">
        <v>0</v>
      </c>
    </row>
    <row r="87" spans="2:14">
      <c r="B87" s="83" t="s">
        <v>710</v>
      </c>
      <c r="C87" s="83" t="s">
        <v>695</v>
      </c>
      <c r="D87" s="83" t="s">
        <v>563</v>
      </c>
      <c r="E87" s="83">
        <v>55</v>
      </c>
      <c r="F87" s="83" t="s">
        <v>604</v>
      </c>
      <c r="G87" s="84">
        <v>0.20300000000000001</v>
      </c>
      <c r="H87" s="83">
        <v>1</v>
      </c>
      <c r="I87" s="89">
        <v>691369.63</v>
      </c>
      <c r="J87" s="83">
        <v>300000000</v>
      </c>
      <c r="K87" s="84">
        <v>0.21</v>
      </c>
      <c r="L87" s="84">
        <v>0</v>
      </c>
      <c r="M87" s="83">
        <v>0</v>
      </c>
      <c r="N87" s="83">
        <v>0.20300000000000001</v>
      </c>
    </row>
    <row r="88" spans="2:14">
      <c r="B88" s="83" t="s">
        <v>711</v>
      </c>
      <c r="C88" s="83" t="s">
        <v>695</v>
      </c>
      <c r="D88" s="83" t="s">
        <v>563</v>
      </c>
      <c r="E88" s="83">
        <v>25</v>
      </c>
      <c r="F88" s="83" t="s">
        <v>609</v>
      </c>
      <c r="G88" s="84">
        <v>0.29699999999999999</v>
      </c>
      <c r="H88" s="83">
        <v>21</v>
      </c>
      <c r="I88" s="89">
        <v>21725916.34</v>
      </c>
      <c r="J88" s="83">
        <v>29057839</v>
      </c>
      <c r="K88" s="84">
        <v>0.29699999999999999</v>
      </c>
      <c r="L88" s="84">
        <v>0.33800000000000002</v>
      </c>
      <c r="M88" s="83">
        <v>6000000</v>
      </c>
      <c r="N88" s="83">
        <v>0.29932375700000002</v>
      </c>
    </row>
    <row r="89" spans="2:14">
      <c r="B89" s="83" t="s">
        <v>712</v>
      </c>
      <c r="C89" s="83" t="s">
        <v>695</v>
      </c>
      <c r="D89" s="83" t="s">
        <v>563</v>
      </c>
      <c r="E89" s="83">
        <v>56</v>
      </c>
      <c r="F89" s="83" t="s">
        <v>611</v>
      </c>
      <c r="G89" s="84">
        <v>0</v>
      </c>
      <c r="H89" s="83">
        <v>0</v>
      </c>
      <c r="I89" s="89">
        <v>0</v>
      </c>
      <c r="J89" s="83">
        <v>10000000</v>
      </c>
      <c r="K89" s="84">
        <v>0.27</v>
      </c>
      <c r="L89" s="84">
        <v>0</v>
      </c>
      <c r="M89" s="83">
        <v>0</v>
      </c>
      <c r="N89" s="83">
        <v>0</v>
      </c>
    </row>
    <row r="90" spans="2:14">
      <c r="B90" s="83" t="s">
        <v>6210</v>
      </c>
      <c r="C90" s="83" t="s">
        <v>695</v>
      </c>
      <c r="D90" s="83" t="s">
        <v>563</v>
      </c>
      <c r="E90" s="83">
        <v>117</v>
      </c>
      <c r="F90" s="83" t="s">
        <v>6207</v>
      </c>
      <c r="G90" s="84">
        <v>0</v>
      </c>
      <c r="H90" s="83">
        <v>0</v>
      </c>
      <c r="I90" s="89">
        <v>0</v>
      </c>
      <c r="J90" s="83">
        <v>0</v>
      </c>
      <c r="K90" s="84">
        <v>0</v>
      </c>
      <c r="L90" s="84">
        <v>0</v>
      </c>
      <c r="M90" s="83">
        <v>0</v>
      </c>
      <c r="N90" s="83">
        <v>0</v>
      </c>
    </row>
    <row r="91" spans="2:14">
      <c r="B91" s="83" t="s">
        <v>713</v>
      </c>
      <c r="C91" s="83" t="s">
        <v>695</v>
      </c>
      <c r="D91" s="83" t="s">
        <v>563</v>
      </c>
      <c r="E91" s="83">
        <v>26</v>
      </c>
      <c r="F91" s="83" t="s">
        <v>613</v>
      </c>
      <c r="G91" s="84">
        <v>0.29699999999999999</v>
      </c>
      <c r="H91" s="83">
        <v>15</v>
      </c>
      <c r="I91" s="89">
        <v>38104733.289999999</v>
      </c>
      <c r="J91" s="83">
        <v>4805870</v>
      </c>
      <c r="K91" s="84">
        <v>0.29699999999999999</v>
      </c>
      <c r="L91" s="84">
        <v>0.32800000000000001</v>
      </c>
      <c r="M91" s="83">
        <v>200000</v>
      </c>
      <c r="N91" s="83">
        <v>0.29702457300000001</v>
      </c>
    </row>
    <row r="92" spans="2:14">
      <c r="B92" s="83" t="s">
        <v>714</v>
      </c>
      <c r="C92" s="83" t="s">
        <v>695</v>
      </c>
      <c r="D92" s="83" t="s">
        <v>563</v>
      </c>
      <c r="E92" s="83">
        <v>57</v>
      </c>
      <c r="F92" s="83" t="s">
        <v>615</v>
      </c>
      <c r="G92" s="84">
        <v>0.25</v>
      </c>
      <c r="H92" s="83">
        <v>2</v>
      </c>
      <c r="I92" s="89">
        <v>1151901.74</v>
      </c>
      <c r="J92" s="83">
        <v>8891380</v>
      </c>
      <c r="K92" s="84">
        <v>0.25</v>
      </c>
      <c r="L92" s="84">
        <v>0</v>
      </c>
      <c r="M92" s="83">
        <v>0</v>
      </c>
      <c r="N92" s="83">
        <v>0.25</v>
      </c>
    </row>
    <row r="93" spans="2:14">
      <c r="B93" s="83" t="s">
        <v>715</v>
      </c>
      <c r="C93" s="83" t="s">
        <v>695</v>
      </c>
      <c r="D93" s="83" t="s">
        <v>563</v>
      </c>
      <c r="E93" s="83">
        <v>27</v>
      </c>
      <c r="F93" s="83" t="s">
        <v>716</v>
      </c>
      <c r="G93" s="84">
        <v>0.30099999999999999</v>
      </c>
      <c r="H93" s="83">
        <v>10</v>
      </c>
      <c r="I93" s="89">
        <v>21855418.960000001</v>
      </c>
      <c r="J93" s="83">
        <v>12965692</v>
      </c>
      <c r="K93" s="84">
        <v>0.30599999999999999</v>
      </c>
      <c r="L93" s="84">
        <v>0.33</v>
      </c>
      <c r="M93" s="83">
        <v>16388094</v>
      </c>
      <c r="N93" s="83">
        <v>0.32299277599999998</v>
      </c>
    </row>
    <row r="94" spans="2:14">
      <c r="B94" s="83" t="s">
        <v>6211</v>
      </c>
      <c r="C94" s="83" t="s">
        <v>695</v>
      </c>
      <c r="D94" s="83" t="s">
        <v>563</v>
      </c>
      <c r="E94" s="83">
        <v>88</v>
      </c>
      <c r="F94" s="83" t="s">
        <v>6209</v>
      </c>
      <c r="G94" s="84">
        <v>0.2</v>
      </c>
      <c r="H94" s="83">
        <v>1</v>
      </c>
      <c r="I94" s="89">
        <v>592386.39</v>
      </c>
      <c r="J94" s="83">
        <v>2000000</v>
      </c>
      <c r="K94" s="84">
        <v>0.21</v>
      </c>
      <c r="L94" s="84">
        <v>0</v>
      </c>
      <c r="M94" s="83">
        <v>0</v>
      </c>
      <c r="N94" s="83">
        <v>0.2</v>
      </c>
    </row>
    <row r="95" spans="2:14">
      <c r="B95" s="83" t="s">
        <v>717</v>
      </c>
      <c r="C95" s="83" t="s">
        <v>695</v>
      </c>
      <c r="D95" s="83" t="s">
        <v>563</v>
      </c>
      <c r="E95" s="83">
        <v>28</v>
      </c>
      <c r="F95" s="83" t="s">
        <v>718</v>
      </c>
      <c r="G95" s="84">
        <v>0.3</v>
      </c>
      <c r="H95" s="83">
        <v>26</v>
      </c>
      <c r="I95" s="89">
        <v>76127353.989999995</v>
      </c>
      <c r="J95" s="83">
        <v>6000000</v>
      </c>
      <c r="K95" s="84">
        <v>0.30099999999999999</v>
      </c>
      <c r="L95" s="84">
        <v>0.32800000000000001</v>
      </c>
      <c r="M95" s="83">
        <v>1570000</v>
      </c>
      <c r="N95" s="83">
        <v>0.312617111</v>
      </c>
    </row>
    <row r="96" spans="2:14">
      <c r="B96" s="83" t="s">
        <v>719</v>
      </c>
      <c r="C96" s="83" t="s">
        <v>695</v>
      </c>
      <c r="D96" s="83" t="s">
        <v>563</v>
      </c>
      <c r="E96" s="83">
        <v>89</v>
      </c>
      <c r="F96" s="83" t="s">
        <v>617</v>
      </c>
      <c r="G96" s="84">
        <v>0</v>
      </c>
      <c r="H96" s="83">
        <v>0</v>
      </c>
      <c r="I96" s="89">
        <v>0</v>
      </c>
      <c r="J96" s="83">
        <v>0</v>
      </c>
      <c r="K96" s="84">
        <v>0</v>
      </c>
      <c r="L96" s="84">
        <v>0</v>
      </c>
      <c r="M96" s="83">
        <v>0</v>
      </c>
      <c r="N96" s="83">
        <v>0</v>
      </c>
    </row>
    <row r="97" spans="2:14">
      <c r="B97" s="83" t="s">
        <v>6224</v>
      </c>
      <c r="C97" s="83" t="s">
        <v>695</v>
      </c>
      <c r="D97" s="83" t="s">
        <v>563</v>
      </c>
      <c r="E97" s="83">
        <v>120</v>
      </c>
      <c r="F97" s="83" t="s">
        <v>6222</v>
      </c>
      <c r="G97" s="84">
        <v>0</v>
      </c>
      <c r="H97" s="83">
        <v>0</v>
      </c>
      <c r="I97" s="89">
        <v>0</v>
      </c>
      <c r="J97" s="83">
        <v>5000000</v>
      </c>
      <c r="K97" s="84">
        <v>0.21</v>
      </c>
      <c r="L97" s="84">
        <v>1</v>
      </c>
      <c r="M97" s="83">
        <v>23242</v>
      </c>
      <c r="N97" s="83">
        <v>0</v>
      </c>
    </row>
    <row r="98" spans="2:14">
      <c r="B98" s="83" t="s">
        <v>720</v>
      </c>
      <c r="C98" s="83" t="s">
        <v>695</v>
      </c>
      <c r="D98" s="83" t="s">
        <v>563</v>
      </c>
      <c r="E98" s="83">
        <v>1</v>
      </c>
      <c r="F98" s="83" t="s">
        <v>619</v>
      </c>
      <c r="G98" s="84">
        <v>0.29799999999999999</v>
      </c>
      <c r="H98" s="83">
        <v>20577</v>
      </c>
      <c r="I98" s="89">
        <v>2818365628181.73</v>
      </c>
      <c r="J98" s="83">
        <v>1654028813</v>
      </c>
      <c r="K98" s="84">
        <v>0.29799999999999999</v>
      </c>
      <c r="L98" s="84">
        <v>0.29899999999999999</v>
      </c>
      <c r="M98" s="83">
        <v>195278958</v>
      </c>
      <c r="N98" s="83">
        <v>0.27311917099999999</v>
      </c>
    </row>
    <row r="99" spans="2:14">
      <c r="B99" s="83" t="s">
        <v>721</v>
      </c>
      <c r="C99" s="83" t="s">
        <v>695</v>
      </c>
      <c r="D99" s="83" t="s">
        <v>563</v>
      </c>
      <c r="E99" s="83">
        <v>29</v>
      </c>
      <c r="F99" s="83" t="s">
        <v>722</v>
      </c>
      <c r="G99" s="84">
        <v>0.315</v>
      </c>
      <c r="H99" s="83">
        <v>85</v>
      </c>
      <c r="I99" s="89">
        <v>663471043.22000003</v>
      </c>
      <c r="J99" s="83">
        <v>134560412</v>
      </c>
      <c r="K99" s="84">
        <v>0.315</v>
      </c>
      <c r="L99" s="84">
        <v>0.32200000000000001</v>
      </c>
      <c r="M99" s="83">
        <v>3585633</v>
      </c>
      <c r="N99" s="83">
        <v>0.30339289000000003</v>
      </c>
    </row>
    <row r="100" spans="2:14">
      <c r="B100" s="83" t="s">
        <v>723</v>
      </c>
      <c r="C100" s="83" t="s">
        <v>695</v>
      </c>
      <c r="D100" s="83" t="s">
        <v>563</v>
      </c>
      <c r="E100" s="83">
        <v>60</v>
      </c>
      <c r="F100" s="83" t="s">
        <v>621</v>
      </c>
      <c r="G100" s="84">
        <v>0</v>
      </c>
      <c r="H100" s="83">
        <v>0</v>
      </c>
      <c r="I100" s="89">
        <v>0</v>
      </c>
      <c r="J100" s="83">
        <v>30500000</v>
      </c>
      <c r="K100" s="84">
        <v>0.20300000000000001</v>
      </c>
      <c r="L100" s="84">
        <v>0</v>
      </c>
      <c r="M100" s="83">
        <v>0</v>
      </c>
      <c r="N100" s="83">
        <v>0</v>
      </c>
    </row>
    <row r="101" spans="2:14">
      <c r="B101" s="83" t="s">
        <v>724</v>
      </c>
      <c r="C101" s="83" t="s">
        <v>695</v>
      </c>
      <c r="D101" s="83" t="s">
        <v>563</v>
      </c>
      <c r="E101" s="83">
        <v>90</v>
      </c>
      <c r="F101" s="83" t="s">
        <v>623</v>
      </c>
      <c r="G101" s="84">
        <v>0.21</v>
      </c>
      <c r="H101" s="83">
        <v>1</v>
      </c>
      <c r="I101" s="89">
        <v>1358162.47</v>
      </c>
      <c r="J101" s="83">
        <v>3708702</v>
      </c>
      <c r="K101" s="84">
        <v>0.21</v>
      </c>
      <c r="L101" s="84">
        <v>0</v>
      </c>
      <c r="M101" s="83">
        <v>0</v>
      </c>
      <c r="N101" s="83">
        <v>0.21</v>
      </c>
    </row>
    <row r="102" spans="2:14">
      <c r="B102" s="83" t="s">
        <v>725</v>
      </c>
      <c r="C102" s="83" t="s">
        <v>695</v>
      </c>
      <c r="D102" s="83" t="s">
        <v>563</v>
      </c>
      <c r="E102" s="83">
        <v>61</v>
      </c>
      <c r="F102" s="83" t="s">
        <v>625</v>
      </c>
      <c r="G102" s="84">
        <v>0.20300000000000001</v>
      </c>
      <c r="H102" s="83">
        <v>2</v>
      </c>
      <c r="I102" s="89">
        <v>951328.78</v>
      </c>
      <c r="J102" s="83">
        <v>29079887</v>
      </c>
      <c r="K102" s="84">
        <v>0.20300000000000001</v>
      </c>
      <c r="L102" s="84">
        <v>0</v>
      </c>
      <c r="M102" s="83">
        <v>0</v>
      </c>
      <c r="N102" s="83">
        <v>0.20300000000000001</v>
      </c>
    </row>
    <row r="103" spans="2:14">
      <c r="B103" s="83" t="s">
        <v>726</v>
      </c>
      <c r="C103" s="83" t="s">
        <v>695</v>
      </c>
      <c r="D103" s="83" t="s">
        <v>563</v>
      </c>
      <c r="E103" s="83">
        <v>91</v>
      </c>
      <c r="F103" s="83" t="s">
        <v>627</v>
      </c>
      <c r="G103" s="84">
        <v>0</v>
      </c>
      <c r="H103" s="83">
        <v>0</v>
      </c>
      <c r="I103" s="89">
        <v>0</v>
      </c>
      <c r="J103" s="83">
        <v>0</v>
      </c>
      <c r="K103" s="84">
        <v>0</v>
      </c>
      <c r="L103" s="84">
        <v>0</v>
      </c>
      <c r="M103" s="83">
        <v>0</v>
      </c>
      <c r="N103" s="83">
        <v>0</v>
      </c>
    </row>
    <row r="104" spans="2:14">
      <c r="B104" s="83" t="s">
        <v>727</v>
      </c>
      <c r="C104" s="83" t="s">
        <v>695</v>
      </c>
      <c r="D104" s="83" t="s">
        <v>563</v>
      </c>
      <c r="E104" s="83">
        <v>62</v>
      </c>
      <c r="F104" s="83" t="s">
        <v>728</v>
      </c>
      <c r="G104" s="84">
        <v>0.27</v>
      </c>
      <c r="H104" s="83">
        <v>1</v>
      </c>
      <c r="I104" s="89">
        <v>1350520.82</v>
      </c>
      <c r="J104" s="83">
        <v>8708702</v>
      </c>
      <c r="K104" s="84">
        <v>0.27</v>
      </c>
      <c r="L104" s="84">
        <v>0</v>
      </c>
      <c r="M104" s="83">
        <v>0</v>
      </c>
      <c r="N104" s="83">
        <v>0.27</v>
      </c>
    </row>
    <row r="105" spans="2:14">
      <c r="B105" s="83" t="s">
        <v>729</v>
      </c>
      <c r="C105" s="83" t="s">
        <v>695</v>
      </c>
      <c r="D105" s="83" t="s">
        <v>563</v>
      </c>
      <c r="E105" s="83">
        <v>92</v>
      </c>
      <c r="F105" s="83" t="s">
        <v>629</v>
      </c>
      <c r="G105" s="84">
        <v>0</v>
      </c>
      <c r="H105" s="83">
        <v>0</v>
      </c>
      <c r="I105" s="89">
        <v>0</v>
      </c>
      <c r="J105" s="83">
        <v>0</v>
      </c>
      <c r="K105" s="84">
        <v>0</v>
      </c>
      <c r="L105" s="84">
        <v>0</v>
      </c>
      <c r="M105" s="83">
        <v>0</v>
      </c>
      <c r="N105" s="83">
        <v>0</v>
      </c>
    </row>
    <row r="106" spans="2:14">
      <c r="B106" s="83" t="s">
        <v>730</v>
      </c>
      <c r="C106" s="83" t="s">
        <v>695</v>
      </c>
      <c r="D106" s="83" t="s">
        <v>563</v>
      </c>
      <c r="E106" s="83">
        <v>32</v>
      </c>
      <c r="F106" s="83" t="s">
        <v>631</v>
      </c>
      <c r="G106" s="84">
        <v>0.315</v>
      </c>
      <c r="H106" s="83">
        <v>130</v>
      </c>
      <c r="I106" s="89">
        <v>569419126.38999999</v>
      </c>
      <c r="J106" s="83">
        <v>190736941</v>
      </c>
      <c r="K106" s="84">
        <v>0.315</v>
      </c>
      <c r="L106" s="84">
        <v>0.32100000000000001</v>
      </c>
      <c r="M106" s="83">
        <v>754272</v>
      </c>
      <c r="N106" s="83">
        <v>0.31708203800000001</v>
      </c>
    </row>
    <row r="107" spans="2:14">
      <c r="B107" s="83" t="s">
        <v>731</v>
      </c>
      <c r="C107" s="83" t="s">
        <v>695</v>
      </c>
      <c r="D107" s="83" t="s">
        <v>563</v>
      </c>
      <c r="E107" s="83">
        <v>63</v>
      </c>
      <c r="F107" s="83" t="s">
        <v>633</v>
      </c>
      <c r="G107" s="84">
        <v>0</v>
      </c>
      <c r="H107" s="83">
        <v>0</v>
      </c>
      <c r="I107" s="89">
        <v>0</v>
      </c>
      <c r="J107" s="83">
        <v>30000000</v>
      </c>
      <c r="K107" s="84">
        <v>0.20300000000000001</v>
      </c>
      <c r="L107" s="84">
        <v>0</v>
      </c>
      <c r="M107" s="83">
        <v>0</v>
      </c>
      <c r="N107" s="83">
        <v>0</v>
      </c>
    </row>
    <row r="108" spans="2:14">
      <c r="B108" s="83" t="s">
        <v>732</v>
      </c>
      <c r="C108" s="83" t="s">
        <v>695</v>
      </c>
      <c r="D108" s="83" t="s">
        <v>563</v>
      </c>
      <c r="E108" s="83">
        <v>33</v>
      </c>
      <c r="F108" s="83" t="s">
        <v>635</v>
      </c>
      <c r="G108" s="84">
        <v>0.31</v>
      </c>
      <c r="H108" s="83">
        <v>30</v>
      </c>
      <c r="I108" s="89">
        <v>126998883.70999999</v>
      </c>
      <c r="J108" s="83">
        <v>8000000</v>
      </c>
      <c r="K108" s="84">
        <v>0.29099999999999998</v>
      </c>
      <c r="L108" s="84">
        <v>0.33</v>
      </c>
      <c r="M108" s="83">
        <v>610705</v>
      </c>
      <c r="N108" s="83">
        <v>0.31699831899999997</v>
      </c>
    </row>
    <row r="109" spans="2:14">
      <c r="B109" s="83" t="s">
        <v>733</v>
      </c>
      <c r="C109" s="83" t="s">
        <v>695</v>
      </c>
      <c r="D109" s="83" t="s">
        <v>563</v>
      </c>
      <c r="E109" s="83">
        <v>64</v>
      </c>
      <c r="F109" s="83" t="s">
        <v>734</v>
      </c>
      <c r="G109" s="84">
        <v>0</v>
      </c>
      <c r="H109" s="83">
        <v>0</v>
      </c>
      <c r="I109" s="89">
        <v>0</v>
      </c>
      <c r="J109" s="83">
        <v>30000000</v>
      </c>
      <c r="K109" s="84">
        <v>0.20300000000000001</v>
      </c>
      <c r="L109" s="84">
        <v>0</v>
      </c>
      <c r="M109" s="83">
        <v>0</v>
      </c>
      <c r="N109" s="83">
        <v>0</v>
      </c>
    </row>
    <row r="110" spans="2:14">
      <c r="B110" s="83" t="s">
        <v>735</v>
      </c>
      <c r="C110" s="83" t="s">
        <v>695</v>
      </c>
      <c r="D110" s="83" t="s">
        <v>563</v>
      </c>
      <c r="E110" s="83">
        <v>6</v>
      </c>
      <c r="F110" s="83" t="s">
        <v>637</v>
      </c>
      <c r="G110" s="84">
        <v>0.308</v>
      </c>
      <c r="H110" s="83">
        <v>2023</v>
      </c>
      <c r="I110" s="89">
        <v>16038381687.690001</v>
      </c>
      <c r="J110" s="83">
        <v>10008300</v>
      </c>
      <c r="K110" s="84">
        <v>0.308</v>
      </c>
      <c r="L110" s="84">
        <v>0.31</v>
      </c>
      <c r="M110" s="83">
        <v>8779349</v>
      </c>
      <c r="N110" s="83">
        <v>0.29239226800000001</v>
      </c>
    </row>
    <row r="111" spans="2:14">
      <c r="B111" s="83" t="s">
        <v>736</v>
      </c>
      <c r="C111" s="83" t="s">
        <v>695</v>
      </c>
      <c r="D111" s="83" t="s">
        <v>563</v>
      </c>
      <c r="E111" s="83">
        <v>34</v>
      </c>
      <c r="F111" s="83" t="s">
        <v>737</v>
      </c>
      <c r="G111" s="84">
        <v>0.32</v>
      </c>
      <c r="H111" s="83">
        <v>12</v>
      </c>
      <c r="I111" s="89">
        <v>16178596.5</v>
      </c>
      <c r="J111" s="83">
        <v>5000000</v>
      </c>
      <c r="K111" s="84">
        <v>0.29499999999999998</v>
      </c>
      <c r="L111" s="84">
        <v>0.33</v>
      </c>
      <c r="M111" s="83">
        <v>3272537</v>
      </c>
      <c r="N111" s="83">
        <v>0.30641383900000002</v>
      </c>
    </row>
    <row r="112" spans="2:14">
      <c r="B112" s="83" t="s">
        <v>738</v>
      </c>
      <c r="C112" s="83" t="s">
        <v>695</v>
      </c>
      <c r="D112" s="83" t="s">
        <v>563</v>
      </c>
      <c r="E112" s="83">
        <v>95</v>
      </c>
      <c r="F112" s="83" t="s">
        <v>739</v>
      </c>
      <c r="G112" s="84">
        <v>0</v>
      </c>
      <c r="H112" s="83">
        <v>0</v>
      </c>
      <c r="I112" s="89">
        <v>0</v>
      </c>
      <c r="J112" s="83">
        <v>0</v>
      </c>
      <c r="K112" s="84">
        <v>0</v>
      </c>
      <c r="L112" s="84">
        <v>0</v>
      </c>
      <c r="M112" s="83">
        <v>0</v>
      </c>
      <c r="N112" s="83">
        <v>0</v>
      </c>
    </row>
    <row r="113" spans="2:14">
      <c r="B113" s="83" t="s">
        <v>740</v>
      </c>
      <c r="C113" s="83" t="s">
        <v>695</v>
      </c>
      <c r="D113" s="83" t="s">
        <v>563</v>
      </c>
      <c r="E113" s="83">
        <v>7</v>
      </c>
      <c r="F113" s="83" t="s">
        <v>639</v>
      </c>
      <c r="G113" s="84">
        <v>0.31</v>
      </c>
      <c r="H113" s="83">
        <v>2093</v>
      </c>
      <c r="I113" s="89">
        <v>25492276973.509998</v>
      </c>
      <c r="J113" s="83">
        <v>693580</v>
      </c>
      <c r="K113" s="84">
        <v>0.31</v>
      </c>
      <c r="L113" s="84">
        <v>0.32</v>
      </c>
      <c r="M113" s="83">
        <v>2222033229</v>
      </c>
      <c r="N113" s="83">
        <v>0.29870892700000001</v>
      </c>
    </row>
    <row r="114" spans="2:14">
      <c r="B114" s="83" t="s">
        <v>741</v>
      </c>
      <c r="C114" s="83" t="s">
        <v>695</v>
      </c>
      <c r="D114" s="83" t="s">
        <v>563</v>
      </c>
      <c r="E114" s="83">
        <v>35</v>
      </c>
      <c r="F114" s="83" t="s">
        <v>742</v>
      </c>
      <c r="G114" s="84">
        <v>0.32</v>
      </c>
      <c r="H114" s="83">
        <v>8</v>
      </c>
      <c r="I114" s="89">
        <v>10842530.039999999</v>
      </c>
      <c r="J114" s="83">
        <v>13292346</v>
      </c>
      <c r="K114" s="84">
        <v>0.32</v>
      </c>
      <c r="L114" s="84">
        <v>0.33</v>
      </c>
      <c r="M114" s="83">
        <v>4473855</v>
      </c>
      <c r="N114" s="83">
        <v>0.30931569199999998</v>
      </c>
    </row>
    <row r="115" spans="2:14">
      <c r="B115" s="83" t="s">
        <v>743</v>
      </c>
      <c r="C115" s="83" t="s">
        <v>695</v>
      </c>
      <c r="D115" s="83" t="s">
        <v>563</v>
      </c>
      <c r="E115" s="83">
        <v>96</v>
      </c>
      <c r="F115" s="83" t="s">
        <v>641</v>
      </c>
      <c r="G115" s="84">
        <v>0</v>
      </c>
      <c r="H115" s="83">
        <v>0</v>
      </c>
      <c r="I115" s="89">
        <v>0</v>
      </c>
      <c r="J115" s="83">
        <v>0</v>
      </c>
      <c r="K115" s="84">
        <v>0</v>
      </c>
      <c r="L115" s="84">
        <v>0</v>
      </c>
      <c r="M115" s="83">
        <v>0</v>
      </c>
      <c r="N115" s="83">
        <v>0</v>
      </c>
    </row>
    <row r="116" spans="2:14">
      <c r="B116" s="83" t="s">
        <v>744</v>
      </c>
      <c r="C116" s="83" t="s">
        <v>695</v>
      </c>
      <c r="D116" s="83" t="s">
        <v>563</v>
      </c>
      <c r="E116" s="83">
        <v>8</v>
      </c>
      <c r="F116" s="83" t="s">
        <v>643</v>
      </c>
      <c r="G116" s="84">
        <v>0.30099999999999999</v>
      </c>
      <c r="H116" s="83">
        <v>216</v>
      </c>
      <c r="I116" s="89">
        <v>920079447.88999999</v>
      </c>
      <c r="J116" s="83">
        <v>87966098</v>
      </c>
      <c r="K116" s="84">
        <v>0.30099999999999999</v>
      </c>
      <c r="L116" s="84">
        <v>0.307</v>
      </c>
      <c r="M116" s="83">
        <v>187648</v>
      </c>
      <c r="N116" s="83">
        <v>0.28872030999999998</v>
      </c>
    </row>
    <row r="117" spans="2:14">
      <c r="B117" s="83" t="s">
        <v>745</v>
      </c>
      <c r="C117" s="83" t="s">
        <v>695</v>
      </c>
      <c r="D117" s="83" t="s">
        <v>563</v>
      </c>
      <c r="E117" s="83">
        <v>36</v>
      </c>
      <c r="F117" s="83" t="s">
        <v>645</v>
      </c>
      <c r="G117" s="84">
        <v>0.29099999999999998</v>
      </c>
      <c r="H117" s="83">
        <v>6</v>
      </c>
      <c r="I117" s="89">
        <v>816686.87</v>
      </c>
      <c r="J117" s="83">
        <v>2999338190</v>
      </c>
      <c r="K117" s="84">
        <v>0.29099999999999998</v>
      </c>
      <c r="L117" s="84">
        <v>0.33</v>
      </c>
      <c r="M117" s="83">
        <v>110566</v>
      </c>
      <c r="N117" s="83">
        <v>0.28976306699999999</v>
      </c>
    </row>
    <row r="118" spans="2:14">
      <c r="B118" s="83" t="s">
        <v>746</v>
      </c>
      <c r="C118" s="83" t="s">
        <v>695</v>
      </c>
      <c r="D118" s="83" t="s">
        <v>563</v>
      </c>
      <c r="E118" s="83">
        <v>67</v>
      </c>
      <c r="F118" s="83" t="s">
        <v>647</v>
      </c>
      <c r="G118" s="84">
        <v>0.20300000000000001</v>
      </c>
      <c r="H118" s="83">
        <v>2</v>
      </c>
      <c r="I118" s="89">
        <v>1053142.48</v>
      </c>
      <c r="J118" s="83">
        <v>28984691</v>
      </c>
      <c r="K118" s="84">
        <v>0.20300000000000001</v>
      </c>
      <c r="L118" s="84">
        <v>0</v>
      </c>
      <c r="M118" s="83">
        <v>0</v>
      </c>
      <c r="N118" s="83">
        <v>0.20300000000000001</v>
      </c>
    </row>
    <row r="119" spans="2:14">
      <c r="B119" s="83" t="s">
        <v>747</v>
      </c>
      <c r="C119" s="83" t="s">
        <v>695</v>
      </c>
      <c r="D119" s="83" t="s">
        <v>563</v>
      </c>
      <c r="E119" s="83">
        <v>97</v>
      </c>
      <c r="F119" s="83" t="s">
        <v>649</v>
      </c>
      <c r="G119" s="84">
        <v>0</v>
      </c>
      <c r="H119" s="83">
        <v>0</v>
      </c>
      <c r="I119" s="89">
        <v>0</v>
      </c>
      <c r="J119" s="83">
        <v>0</v>
      </c>
      <c r="K119" s="84">
        <v>0</v>
      </c>
      <c r="L119" s="84">
        <v>0</v>
      </c>
      <c r="M119" s="83">
        <v>0</v>
      </c>
      <c r="N119" s="83">
        <v>0</v>
      </c>
    </row>
    <row r="120" spans="2:14">
      <c r="B120" s="83" t="s">
        <v>748</v>
      </c>
      <c r="C120" s="83" t="s">
        <v>695</v>
      </c>
      <c r="D120" s="83" t="s">
        <v>563</v>
      </c>
      <c r="E120" s="83">
        <v>68</v>
      </c>
      <c r="F120" s="83" t="s">
        <v>651</v>
      </c>
      <c r="G120" s="84">
        <v>0</v>
      </c>
      <c r="H120" s="83">
        <v>0</v>
      </c>
      <c r="I120" s="89">
        <v>0</v>
      </c>
      <c r="J120" s="83">
        <v>30000000</v>
      </c>
      <c r="K120" s="84">
        <v>0.20300000000000001</v>
      </c>
      <c r="L120" s="84">
        <v>0</v>
      </c>
      <c r="M120" s="83">
        <v>0</v>
      </c>
      <c r="N120" s="83">
        <v>0</v>
      </c>
    </row>
    <row r="121" spans="2:14">
      <c r="B121" s="83" t="s">
        <v>749</v>
      </c>
      <c r="C121" s="83" t="s">
        <v>695</v>
      </c>
      <c r="D121" s="83" t="s">
        <v>563</v>
      </c>
      <c r="E121" s="83">
        <v>98</v>
      </c>
      <c r="F121" s="83" t="s">
        <v>653</v>
      </c>
      <c r="G121" s="84">
        <v>0</v>
      </c>
      <c r="H121" s="83">
        <v>0</v>
      </c>
      <c r="I121" s="89">
        <v>0</v>
      </c>
      <c r="J121" s="83">
        <v>0</v>
      </c>
      <c r="K121" s="84">
        <v>0</v>
      </c>
      <c r="L121" s="84">
        <v>0</v>
      </c>
      <c r="M121" s="83">
        <v>0</v>
      </c>
      <c r="N121" s="83">
        <v>0</v>
      </c>
    </row>
    <row r="122" spans="2:14">
      <c r="B122" s="83" t="s">
        <v>750</v>
      </c>
      <c r="C122" s="83" t="s">
        <v>695</v>
      </c>
      <c r="D122" s="83" t="s">
        <v>563</v>
      </c>
      <c r="E122" s="83">
        <v>69</v>
      </c>
      <c r="F122" s="83" t="s">
        <v>655</v>
      </c>
      <c r="G122" s="84">
        <v>0.20300000000000001</v>
      </c>
      <c r="H122" s="83">
        <v>1</v>
      </c>
      <c r="I122" s="89">
        <v>1706445.27</v>
      </c>
      <c r="J122" s="83">
        <v>28356620</v>
      </c>
      <c r="K122" s="84">
        <v>0.20300000000000001</v>
      </c>
      <c r="L122" s="84">
        <v>0</v>
      </c>
      <c r="M122" s="83">
        <v>0</v>
      </c>
      <c r="N122" s="83">
        <v>0.20300000000000001</v>
      </c>
    </row>
    <row r="123" spans="2:14">
      <c r="B123" s="83" t="s">
        <v>751</v>
      </c>
      <c r="C123" s="83" t="s">
        <v>695</v>
      </c>
      <c r="D123" s="83" t="s">
        <v>563</v>
      </c>
      <c r="E123" s="83">
        <v>99</v>
      </c>
      <c r="F123" s="83" t="s">
        <v>657</v>
      </c>
      <c r="G123" s="84">
        <v>0</v>
      </c>
      <c r="H123" s="83">
        <v>0</v>
      </c>
      <c r="I123" s="89">
        <v>0</v>
      </c>
      <c r="J123" s="83">
        <v>0</v>
      </c>
      <c r="K123" s="84">
        <v>0</v>
      </c>
      <c r="L123" s="84">
        <v>0</v>
      </c>
      <c r="M123" s="83">
        <v>0</v>
      </c>
      <c r="N123" s="83">
        <v>0</v>
      </c>
    </row>
    <row r="124" spans="2:14">
      <c r="B124" s="83" t="s">
        <v>752</v>
      </c>
      <c r="C124" s="83" t="s">
        <v>695</v>
      </c>
      <c r="D124" s="83" t="s">
        <v>563</v>
      </c>
      <c r="E124" s="83">
        <v>11</v>
      </c>
      <c r="F124" s="83" t="s">
        <v>659</v>
      </c>
      <c r="G124" s="84">
        <v>0.30099999999999999</v>
      </c>
      <c r="H124" s="83">
        <v>90</v>
      </c>
      <c r="I124" s="89">
        <v>468791327.63999999</v>
      </c>
      <c r="J124" s="83">
        <v>1109127</v>
      </c>
      <c r="K124" s="84">
        <v>0.30099999999999999</v>
      </c>
      <c r="L124" s="84">
        <v>0.31</v>
      </c>
      <c r="M124" s="83">
        <v>404101</v>
      </c>
      <c r="N124" s="83">
        <v>0.29656609900000003</v>
      </c>
    </row>
    <row r="125" spans="2:14">
      <c r="B125" s="83" t="s">
        <v>753</v>
      </c>
      <c r="C125" s="83" t="s">
        <v>695</v>
      </c>
      <c r="D125" s="83" t="s">
        <v>563</v>
      </c>
      <c r="E125" s="83">
        <v>70</v>
      </c>
      <c r="F125" s="83" t="s">
        <v>661</v>
      </c>
      <c r="G125" s="84">
        <v>0.20300000000000001</v>
      </c>
      <c r="H125" s="83">
        <v>1</v>
      </c>
      <c r="I125" s="89">
        <v>346300.81</v>
      </c>
      <c r="J125" s="83">
        <v>29666676</v>
      </c>
      <c r="K125" s="84">
        <v>0.20300000000000001</v>
      </c>
      <c r="L125" s="84">
        <v>0</v>
      </c>
      <c r="M125" s="83">
        <v>0</v>
      </c>
      <c r="N125" s="83">
        <v>0.20300000000000001</v>
      </c>
    </row>
    <row r="126" spans="2:14">
      <c r="B126" s="83" t="s">
        <v>754</v>
      </c>
      <c r="C126" s="83" t="s">
        <v>695</v>
      </c>
      <c r="D126" s="83" t="s">
        <v>563</v>
      </c>
      <c r="E126" s="83">
        <v>12</v>
      </c>
      <c r="F126" s="83" t="s">
        <v>663</v>
      </c>
      <c r="G126" s="84">
        <v>0.28899999999999998</v>
      </c>
      <c r="H126" s="83">
        <v>62</v>
      </c>
      <c r="I126" s="89">
        <v>160044679.03999999</v>
      </c>
      <c r="J126" s="83">
        <v>18366379</v>
      </c>
      <c r="K126" s="84">
        <v>0.29299999999999998</v>
      </c>
      <c r="L126" s="84">
        <v>0.32</v>
      </c>
      <c r="M126" s="83">
        <v>4958000</v>
      </c>
      <c r="N126" s="83">
        <v>0.29398042299999999</v>
      </c>
    </row>
    <row r="127" spans="2:14">
      <c r="B127" s="83" t="s">
        <v>755</v>
      </c>
      <c r="C127" s="83" t="s">
        <v>695</v>
      </c>
      <c r="D127" s="83" t="s">
        <v>563</v>
      </c>
      <c r="E127" s="83">
        <v>71</v>
      </c>
      <c r="F127" s="83" t="s">
        <v>756</v>
      </c>
      <c r="G127" s="84">
        <v>0.2</v>
      </c>
      <c r="H127" s="83">
        <v>3</v>
      </c>
      <c r="I127" s="89">
        <v>659847.48</v>
      </c>
      <c r="J127" s="83">
        <v>0</v>
      </c>
      <c r="K127" s="84">
        <v>0</v>
      </c>
      <c r="L127" s="84">
        <v>0</v>
      </c>
      <c r="M127" s="83">
        <v>0</v>
      </c>
      <c r="N127" s="83">
        <v>0.2</v>
      </c>
    </row>
    <row r="128" spans="2:14">
      <c r="B128" s="83" t="s">
        <v>757</v>
      </c>
      <c r="C128" s="83" t="s">
        <v>695</v>
      </c>
      <c r="D128" s="83" t="s">
        <v>563</v>
      </c>
      <c r="E128" s="83">
        <v>13</v>
      </c>
      <c r="F128" s="83" t="s">
        <v>665</v>
      </c>
      <c r="G128" s="84">
        <v>0.28999999999999998</v>
      </c>
      <c r="H128" s="83">
        <v>34</v>
      </c>
      <c r="I128" s="89">
        <v>45934698.369999997</v>
      </c>
      <c r="J128" s="83">
        <v>2469588</v>
      </c>
      <c r="K128" s="84">
        <v>0.28999999999999998</v>
      </c>
      <c r="L128" s="84">
        <v>0.32800000000000001</v>
      </c>
      <c r="M128" s="83">
        <v>6000000</v>
      </c>
      <c r="N128" s="83">
        <v>0.29304944700000002</v>
      </c>
    </row>
    <row r="129" spans="2:14">
      <c r="B129" s="83" t="s">
        <v>758</v>
      </c>
      <c r="C129" s="83" t="s">
        <v>695</v>
      </c>
      <c r="D129" s="83" t="s">
        <v>563</v>
      </c>
      <c r="E129" s="83">
        <v>41</v>
      </c>
      <c r="F129" s="83" t="s">
        <v>667</v>
      </c>
      <c r="G129" s="84">
        <v>0.251</v>
      </c>
      <c r="H129" s="83">
        <v>1</v>
      </c>
      <c r="I129" s="89">
        <v>1689714.31</v>
      </c>
      <c r="J129" s="83">
        <v>18356620</v>
      </c>
      <c r="K129" s="84">
        <v>0.251</v>
      </c>
      <c r="L129" s="84">
        <v>0</v>
      </c>
      <c r="M129" s="83">
        <v>0</v>
      </c>
      <c r="N129" s="83">
        <v>0.251</v>
      </c>
    </row>
    <row r="130" spans="2:14">
      <c r="B130" s="83" t="s">
        <v>759</v>
      </c>
      <c r="C130" s="83" t="s">
        <v>695</v>
      </c>
      <c r="D130" s="83" t="s">
        <v>563</v>
      </c>
      <c r="E130" s="83">
        <v>14</v>
      </c>
      <c r="F130" s="83" t="s">
        <v>669</v>
      </c>
      <c r="G130" s="84">
        <v>0.30099999999999999</v>
      </c>
      <c r="H130" s="83">
        <v>237</v>
      </c>
      <c r="I130" s="89">
        <v>1643208045.6099999</v>
      </c>
      <c r="J130" s="83">
        <v>502517021</v>
      </c>
      <c r="K130" s="84">
        <v>0.31</v>
      </c>
      <c r="L130" s="84">
        <v>0.32</v>
      </c>
      <c r="M130" s="83">
        <v>10547801</v>
      </c>
      <c r="N130" s="83">
        <v>0.30194961999999997</v>
      </c>
    </row>
    <row r="131" spans="2:14">
      <c r="B131" s="83" t="s">
        <v>760</v>
      </c>
      <c r="C131" s="83" t="s">
        <v>695</v>
      </c>
      <c r="D131" s="83" t="s">
        <v>563</v>
      </c>
      <c r="E131" s="83">
        <v>42</v>
      </c>
      <c r="F131" s="83" t="s">
        <v>761</v>
      </c>
      <c r="G131" s="84">
        <v>0</v>
      </c>
      <c r="H131" s="83">
        <v>0</v>
      </c>
      <c r="I131" s="89">
        <v>0</v>
      </c>
      <c r="J131" s="83">
        <v>20000000</v>
      </c>
      <c r="K131" s="84">
        <v>0.251</v>
      </c>
      <c r="L131" s="84">
        <v>0</v>
      </c>
      <c r="M131" s="83">
        <v>0</v>
      </c>
      <c r="N131" s="83">
        <v>0</v>
      </c>
    </row>
    <row r="132" spans="2:14">
      <c r="B132" s="83" t="s">
        <v>762</v>
      </c>
      <c r="C132" s="83" t="s">
        <v>695</v>
      </c>
      <c r="D132" s="83" t="s">
        <v>563</v>
      </c>
      <c r="E132" s="83">
        <v>103</v>
      </c>
      <c r="F132" s="83" t="s">
        <v>671</v>
      </c>
      <c r="G132" s="84">
        <v>0</v>
      </c>
      <c r="H132" s="83">
        <v>0</v>
      </c>
      <c r="I132" s="89">
        <v>0</v>
      </c>
      <c r="J132" s="83">
        <v>0</v>
      </c>
      <c r="K132" s="84">
        <v>0</v>
      </c>
      <c r="L132" s="84">
        <v>0</v>
      </c>
      <c r="M132" s="83">
        <v>0</v>
      </c>
      <c r="N132" s="83">
        <v>0</v>
      </c>
    </row>
    <row r="133" spans="2:14">
      <c r="B133" s="83" t="s">
        <v>763</v>
      </c>
      <c r="C133" s="83" t="s">
        <v>695</v>
      </c>
      <c r="D133" s="83" t="s">
        <v>563</v>
      </c>
      <c r="E133" s="83">
        <v>15</v>
      </c>
      <c r="F133" s="83" t="s">
        <v>673</v>
      </c>
      <c r="G133" s="84">
        <v>0.31</v>
      </c>
      <c r="H133" s="83">
        <v>288</v>
      </c>
      <c r="I133" s="89">
        <v>1060022020.96</v>
      </c>
      <c r="J133" s="83">
        <v>373333032</v>
      </c>
      <c r="K133" s="84">
        <v>0.31</v>
      </c>
      <c r="L133" s="84">
        <v>0.32</v>
      </c>
      <c r="M133" s="83">
        <v>20000</v>
      </c>
      <c r="N133" s="83">
        <v>0.30205347500000002</v>
      </c>
    </row>
    <row r="134" spans="2:14">
      <c r="B134" s="83" t="s">
        <v>764</v>
      </c>
      <c r="C134" s="83" t="s">
        <v>695</v>
      </c>
      <c r="D134" s="83" t="s">
        <v>563</v>
      </c>
      <c r="E134" s="83">
        <v>43</v>
      </c>
      <c r="F134" s="83" t="s">
        <v>675</v>
      </c>
      <c r="G134" s="84">
        <v>0.26</v>
      </c>
      <c r="H134" s="83">
        <v>3</v>
      </c>
      <c r="I134" s="89">
        <v>1230398.3999999999</v>
      </c>
      <c r="J134" s="83">
        <v>100000</v>
      </c>
      <c r="K134" s="84">
        <v>0.26</v>
      </c>
      <c r="L134" s="84">
        <v>0</v>
      </c>
      <c r="M134" s="83">
        <v>0</v>
      </c>
      <c r="N134" s="83">
        <v>0.24675778100000001</v>
      </c>
    </row>
    <row r="135" spans="2:14">
      <c r="B135" s="83" t="s">
        <v>765</v>
      </c>
      <c r="C135" s="83" t="s">
        <v>695</v>
      </c>
      <c r="D135" s="83" t="s">
        <v>563</v>
      </c>
      <c r="E135" s="83">
        <v>74</v>
      </c>
      <c r="F135" s="83" t="s">
        <v>677</v>
      </c>
      <c r="G135" s="84">
        <v>0.2</v>
      </c>
      <c r="H135" s="83">
        <v>2</v>
      </c>
      <c r="I135" s="89">
        <v>1022265.52</v>
      </c>
      <c r="J135" s="83">
        <v>0</v>
      </c>
      <c r="K135" s="84">
        <v>0</v>
      </c>
      <c r="L135" s="84">
        <v>0</v>
      </c>
      <c r="M135" s="83">
        <v>0</v>
      </c>
      <c r="N135" s="83">
        <v>0.2</v>
      </c>
    </row>
    <row r="136" spans="2:14">
      <c r="B136" s="83" t="s">
        <v>766</v>
      </c>
      <c r="C136" s="83" t="s">
        <v>695</v>
      </c>
      <c r="D136" s="83" t="s">
        <v>563</v>
      </c>
      <c r="E136" s="83">
        <v>104</v>
      </c>
      <c r="F136" s="83" t="s">
        <v>679</v>
      </c>
      <c r="G136" s="84">
        <v>0</v>
      </c>
      <c r="H136" s="83">
        <v>0</v>
      </c>
      <c r="I136" s="89">
        <v>0</v>
      </c>
      <c r="J136" s="83">
        <v>0</v>
      </c>
      <c r="K136" s="84">
        <v>0</v>
      </c>
      <c r="L136" s="84">
        <v>0</v>
      </c>
      <c r="M136" s="83">
        <v>0</v>
      </c>
      <c r="N136" s="83">
        <v>0</v>
      </c>
    </row>
    <row r="137" spans="2:14">
      <c r="B137" s="83" t="s">
        <v>767</v>
      </c>
      <c r="C137" s="83" t="s">
        <v>695</v>
      </c>
      <c r="D137" s="83" t="s">
        <v>563</v>
      </c>
      <c r="E137" s="83">
        <v>75</v>
      </c>
      <c r="F137" s="83" t="s">
        <v>681</v>
      </c>
      <c r="G137" s="84">
        <v>0</v>
      </c>
      <c r="H137" s="83">
        <v>0</v>
      </c>
      <c r="I137" s="89">
        <v>0</v>
      </c>
      <c r="J137" s="83">
        <v>0</v>
      </c>
      <c r="K137" s="84">
        <v>0</v>
      </c>
      <c r="L137" s="84">
        <v>0</v>
      </c>
      <c r="M137" s="83">
        <v>0</v>
      </c>
      <c r="N137" s="83">
        <v>0</v>
      </c>
    </row>
    <row r="138" spans="2:14">
      <c r="B138" s="83" t="s">
        <v>768</v>
      </c>
      <c r="C138" s="83" t="s">
        <v>695</v>
      </c>
      <c r="D138" s="83" t="s">
        <v>563</v>
      </c>
      <c r="E138" s="83">
        <v>105</v>
      </c>
      <c r="F138" s="83" t="s">
        <v>683</v>
      </c>
      <c r="G138" s="84">
        <v>0</v>
      </c>
      <c r="H138" s="83">
        <v>0</v>
      </c>
      <c r="I138" s="89">
        <v>0</v>
      </c>
      <c r="J138" s="83">
        <v>0</v>
      </c>
      <c r="K138" s="84">
        <v>0</v>
      </c>
      <c r="L138" s="84">
        <v>0</v>
      </c>
      <c r="M138" s="83">
        <v>0</v>
      </c>
      <c r="N138" s="83">
        <v>0</v>
      </c>
    </row>
    <row r="139" spans="2:14">
      <c r="B139" s="83" t="s">
        <v>769</v>
      </c>
      <c r="C139" s="83" t="s">
        <v>695</v>
      </c>
      <c r="D139" s="83" t="s">
        <v>563</v>
      </c>
      <c r="E139" s="83">
        <v>76</v>
      </c>
      <c r="F139" s="83" t="s">
        <v>685</v>
      </c>
      <c r="G139" s="84">
        <v>0</v>
      </c>
      <c r="H139" s="83">
        <v>0</v>
      </c>
      <c r="I139" s="89">
        <v>0</v>
      </c>
      <c r="J139" s="83">
        <v>0</v>
      </c>
      <c r="K139" s="84">
        <v>0</v>
      </c>
      <c r="L139" s="84">
        <v>0</v>
      </c>
      <c r="M139" s="83">
        <v>0</v>
      </c>
      <c r="N139" s="83">
        <v>0</v>
      </c>
    </row>
    <row r="140" spans="2:14">
      <c r="B140" s="83" t="s">
        <v>770</v>
      </c>
      <c r="C140" s="83" t="s">
        <v>695</v>
      </c>
      <c r="D140" s="83" t="s">
        <v>563</v>
      </c>
      <c r="E140" s="83">
        <v>106</v>
      </c>
      <c r="F140" s="83" t="s">
        <v>687</v>
      </c>
      <c r="G140" s="84">
        <v>0</v>
      </c>
      <c r="H140" s="83">
        <v>0</v>
      </c>
      <c r="I140" s="89">
        <v>0</v>
      </c>
      <c r="J140" s="83">
        <v>0</v>
      </c>
      <c r="K140" s="84">
        <v>0</v>
      </c>
      <c r="L140" s="84">
        <v>0</v>
      </c>
      <c r="M140" s="83">
        <v>0</v>
      </c>
      <c r="N140" s="83">
        <v>0</v>
      </c>
    </row>
    <row r="141" spans="2:14">
      <c r="B141" s="83" t="s">
        <v>771</v>
      </c>
      <c r="C141" s="83" t="s">
        <v>695</v>
      </c>
      <c r="D141" s="83" t="s">
        <v>563</v>
      </c>
      <c r="E141" s="83">
        <v>46</v>
      </c>
      <c r="F141" s="83" t="s">
        <v>689</v>
      </c>
      <c r="G141" s="84">
        <v>0.26</v>
      </c>
      <c r="H141" s="83">
        <v>2</v>
      </c>
      <c r="I141" s="89">
        <v>1097994.6299999999</v>
      </c>
      <c r="J141" s="83">
        <v>13936842</v>
      </c>
      <c r="K141" s="84">
        <v>0.26</v>
      </c>
      <c r="L141" s="84">
        <v>0</v>
      </c>
      <c r="M141" s="83">
        <v>0</v>
      </c>
      <c r="N141" s="83">
        <v>0.26</v>
      </c>
    </row>
    <row r="142" spans="2:14">
      <c r="B142" s="83" t="s">
        <v>772</v>
      </c>
      <c r="C142" s="83" t="s">
        <v>695</v>
      </c>
      <c r="D142" s="83" t="s">
        <v>563</v>
      </c>
      <c r="E142" s="83">
        <v>77</v>
      </c>
      <c r="F142" s="83" t="s">
        <v>691</v>
      </c>
      <c r="G142" s="84">
        <v>0</v>
      </c>
      <c r="H142" s="83">
        <v>0</v>
      </c>
      <c r="I142" s="89">
        <v>0</v>
      </c>
      <c r="J142" s="83">
        <v>0</v>
      </c>
      <c r="K142" s="84">
        <v>0</v>
      </c>
      <c r="L142" s="84">
        <v>0</v>
      </c>
      <c r="M142" s="83">
        <v>0</v>
      </c>
      <c r="N142" s="83">
        <v>0</v>
      </c>
    </row>
    <row r="143" spans="2:14">
      <c r="B143" s="83" t="s">
        <v>773</v>
      </c>
      <c r="C143" s="83" t="s">
        <v>695</v>
      </c>
      <c r="D143" s="83" t="s">
        <v>563</v>
      </c>
      <c r="E143" s="83">
        <v>47</v>
      </c>
      <c r="F143" s="83" t="s">
        <v>693</v>
      </c>
      <c r="G143" s="84">
        <v>0.27</v>
      </c>
      <c r="H143" s="83">
        <v>2</v>
      </c>
      <c r="I143" s="89">
        <v>657219.92000000004</v>
      </c>
      <c r="J143" s="83">
        <v>9364862</v>
      </c>
      <c r="K143" s="84">
        <v>0.27</v>
      </c>
      <c r="L143" s="84">
        <v>0</v>
      </c>
      <c r="M143" s="83">
        <v>0</v>
      </c>
      <c r="N143" s="83">
        <v>0.27</v>
      </c>
    </row>
    <row r="144" spans="2:14">
      <c r="B144" s="83" t="s">
        <v>771</v>
      </c>
      <c r="C144" s="83" t="s">
        <v>695</v>
      </c>
      <c r="D144" s="83" t="s">
        <v>563</v>
      </c>
      <c r="E144" s="83">
        <v>49</v>
      </c>
      <c r="F144" s="83" t="s">
        <v>689</v>
      </c>
      <c r="G144" s="84">
        <v>0</v>
      </c>
      <c r="H144" s="83">
        <v>0</v>
      </c>
      <c r="I144" s="89">
        <v>0</v>
      </c>
      <c r="J144" s="83">
        <v>0</v>
      </c>
      <c r="K144" s="84">
        <v>0</v>
      </c>
      <c r="L144" s="84">
        <v>0</v>
      </c>
      <c r="M144" s="83">
        <v>0</v>
      </c>
      <c r="N144" s="83">
        <v>0</v>
      </c>
    </row>
    <row r="145" spans="2:14">
      <c r="B145" s="83" t="s">
        <v>772</v>
      </c>
      <c r="C145" s="83" t="s">
        <v>695</v>
      </c>
      <c r="D145" s="83" t="s">
        <v>563</v>
      </c>
      <c r="E145" s="83">
        <v>80</v>
      </c>
      <c r="F145" s="83" t="s">
        <v>691</v>
      </c>
      <c r="G145" s="84">
        <v>0</v>
      </c>
      <c r="H145" s="83">
        <v>0</v>
      </c>
      <c r="I145" s="89">
        <v>0</v>
      </c>
      <c r="J145" s="83">
        <v>0</v>
      </c>
      <c r="K145" s="84">
        <v>0</v>
      </c>
      <c r="L145" s="84">
        <v>0</v>
      </c>
      <c r="M145" s="83">
        <v>0</v>
      </c>
      <c r="N145" s="83">
        <v>0</v>
      </c>
    </row>
    <row r="146" spans="2:14">
      <c r="B146" s="83" t="s">
        <v>773</v>
      </c>
      <c r="C146" s="83" t="s">
        <v>695</v>
      </c>
      <c r="D146" s="83" t="s">
        <v>563</v>
      </c>
      <c r="E146" s="83">
        <v>50</v>
      </c>
      <c r="F146" s="83" t="s">
        <v>693</v>
      </c>
      <c r="G146" s="84">
        <v>0</v>
      </c>
      <c r="H146" s="83">
        <v>0</v>
      </c>
      <c r="I146" s="89">
        <v>0</v>
      </c>
      <c r="J146" s="83">
        <v>0</v>
      </c>
      <c r="K146" s="84">
        <v>0</v>
      </c>
      <c r="L146" s="84">
        <v>0</v>
      </c>
      <c r="M146" s="83">
        <v>0</v>
      </c>
      <c r="N146" s="83">
        <v>0</v>
      </c>
    </row>
    <row r="147" spans="2:14">
      <c r="B147" s="83" t="s">
        <v>773</v>
      </c>
      <c r="C147" s="83" t="s">
        <v>695</v>
      </c>
      <c r="D147" s="83" t="s">
        <v>563</v>
      </c>
      <c r="E147" s="83">
        <v>50</v>
      </c>
      <c r="F147" s="83" t="s">
        <v>693</v>
      </c>
      <c r="G147" s="84">
        <v>0</v>
      </c>
      <c r="H147" s="83">
        <v>0</v>
      </c>
      <c r="I147" s="89">
        <v>0</v>
      </c>
      <c r="J147" s="83">
        <v>30000000</v>
      </c>
      <c r="K147" s="84">
        <v>0.2</v>
      </c>
      <c r="L147" s="84">
        <v>0</v>
      </c>
      <c r="M147" s="83">
        <v>0</v>
      </c>
      <c r="N147" s="83">
        <v>0</v>
      </c>
    </row>
  </sheetData>
  <autoFilter ref="A1:N1" xr:uid="{EF1C50EA-B641-4689-8869-80BEA3B2CA3A}">
    <sortState xmlns:xlrd2="http://schemas.microsoft.com/office/spreadsheetml/2017/richdata2" ref="A2:N141">
      <sortCondition ref="G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1029"/>
  <sheetViews>
    <sheetView zoomScale="85" zoomScaleNormal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/>
    </sheetView>
  </sheetViews>
  <sheetFormatPr baseColWidth="10" defaultColWidth="12.59765625" defaultRowHeight="15" customHeight="1"/>
  <cols>
    <col min="1" max="1" width="2.69921875" style="183" customWidth="1"/>
    <col min="2" max="2" width="23.09765625" style="174" customWidth="1"/>
    <col min="3" max="3" width="12.59765625" style="125"/>
    <col min="4" max="4" width="16.19921875" style="174" customWidth="1"/>
    <col min="5" max="5" width="25.3984375" style="174" hidden="1" customWidth="1"/>
    <col min="6" max="6" width="25.3984375" style="174" customWidth="1"/>
    <col min="7" max="9" width="15.5" style="174" customWidth="1"/>
    <col min="10" max="10" width="15.5" style="201" customWidth="1"/>
    <col min="11" max="11" width="20.59765625" style="174" customWidth="1"/>
    <col min="12" max="12" width="16.5" style="174" customWidth="1"/>
    <col min="13" max="13" width="22.09765625" style="174" customWidth="1"/>
    <col min="14" max="14" width="15.09765625" style="174" customWidth="1"/>
    <col min="15" max="15" width="24.5" style="174" customWidth="1"/>
    <col min="16" max="16384" width="12.59765625" style="174"/>
  </cols>
  <sheetData>
    <row r="1" spans="1:38" ht="13.2">
      <c r="A1" s="123"/>
      <c r="B1" s="125"/>
      <c r="D1" s="125"/>
      <c r="E1" s="124"/>
      <c r="F1" s="124"/>
      <c r="G1" s="125" t="s">
        <v>0</v>
      </c>
      <c r="H1" s="125">
        <v>1</v>
      </c>
      <c r="I1" s="125"/>
      <c r="J1" s="126"/>
      <c r="K1" s="125"/>
      <c r="L1" s="125"/>
      <c r="M1" s="136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</row>
    <row r="2" spans="1:38" ht="13.2" hidden="1">
      <c r="A2" s="123"/>
      <c r="B2" s="125"/>
      <c r="D2" s="125"/>
      <c r="E2" s="125"/>
      <c r="F2" s="125"/>
      <c r="G2" s="125" t="s">
        <v>1</v>
      </c>
      <c r="H2" s="175">
        <f ca="1">Main!D1</f>
        <v>46068</v>
      </c>
      <c r="I2" s="176"/>
      <c r="J2" s="126"/>
      <c r="K2" s="125"/>
      <c r="L2" s="125"/>
      <c r="M2" s="136"/>
      <c r="N2" s="125"/>
      <c r="O2" s="125"/>
      <c r="P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</row>
    <row r="3" spans="1:38" ht="13.2">
      <c r="A3" s="123"/>
      <c r="B3" s="125"/>
      <c r="D3" s="125"/>
      <c r="E3" s="125"/>
      <c r="F3" s="125"/>
      <c r="G3" s="125"/>
      <c r="H3" s="125"/>
      <c r="I3" s="125"/>
      <c r="J3" s="126"/>
      <c r="K3" s="125"/>
      <c r="L3" s="125"/>
      <c r="M3" s="136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</row>
    <row r="4" spans="1:38" ht="21.75" customHeight="1">
      <c r="A4" s="123"/>
      <c r="B4" s="138" t="s">
        <v>2</v>
      </c>
      <c r="C4" s="138" t="s">
        <v>3</v>
      </c>
      <c r="D4" s="138" t="s">
        <v>4</v>
      </c>
      <c r="E4" s="138" t="s">
        <v>5</v>
      </c>
      <c r="F4" s="139" t="s">
        <v>6</v>
      </c>
      <c r="G4" s="138" t="s">
        <v>7</v>
      </c>
      <c r="H4" s="138" t="s">
        <v>8</v>
      </c>
      <c r="I4" s="138" t="s">
        <v>98</v>
      </c>
      <c r="J4" s="140" t="s">
        <v>99</v>
      </c>
      <c r="K4" s="138" t="s">
        <v>9</v>
      </c>
      <c r="L4" s="138" t="s">
        <v>10</v>
      </c>
      <c r="M4" s="138" t="s">
        <v>11</v>
      </c>
      <c r="N4" s="138" t="s">
        <v>12</v>
      </c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</row>
    <row r="5" spans="1:38" ht="21.75" customHeight="1">
      <c r="A5" s="123"/>
      <c r="B5" s="148" t="s">
        <v>72</v>
      </c>
      <c r="C5" s="155" t="s">
        <v>73</v>
      </c>
      <c r="D5" s="117" t="e">
        <f ca="1">NPCAD!K4</f>
        <v>#NUM!</v>
      </c>
      <c r="E5" s="149">
        <f t="shared" ref="E5:E52" si="0">F5*$H$1</f>
        <v>0</v>
      </c>
      <c r="F5" s="150" cm="1">
        <f t="array" ref="F5">_xll.PrecioBD(ONs_NY_2[[#This Row],[Ticker]],24,"ASK","N")</f>
        <v>0</v>
      </c>
      <c r="G5" s="118" t="e">
        <f ca="1">NPCAD!K3</f>
        <v>#NUM!</v>
      </c>
      <c r="H5" s="151"/>
      <c r="I5" s="152" cm="1">
        <f t="array" ref="I5">_xll.PrecioBD(ONs_NY_2[[#This Row],[Ticker]],24,"QUANTITY ASK","N")</f>
        <v>0</v>
      </c>
      <c r="J5" s="153" cm="1">
        <f t="array" ref="J5">_xll.PrecioBD(ONs_NY_2[[#This Row],[Ticker]],24,"VOLUME AMOUNT","N")</f>
        <v>0</v>
      </c>
      <c r="K5" s="148"/>
      <c r="L5" s="151"/>
      <c r="M5" s="154"/>
      <c r="N5" s="151"/>
      <c r="O5" s="125"/>
      <c r="P5" s="113"/>
      <c r="Q5" s="125"/>
      <c r="R5" s="113"/>
      <c r="S5" s="113"/>
      <c r="T5" s="125"/>
      <c r="U5" s="125" t="s">
        <v>20</v>
      </c>
      <c r="V5" s="177" t="s">
        <v>57</v>
      </c>
      <c r="W5" s="125">
        <f>GN40D!AQ4</f>
        <v>0</v>
      </c>
      <c r="X5" s="133" t="e">
        <f>Y5*$H$1</f>
        <v>#REF!</v>
      </c>
      <c r="Y5" s="134" t="e">
        <f>VLOOKUP(V5,#REF!,5,0)</f>
        <v>#REF!</v>
      </c>
      <c r="Z5" s="125">
        <f>GN40D!AQ3</f>
        <v>0</v>
      </c>
      <c r="AA5" s="135" t="e">
        <f>VLOOKUP(V5,#REF!,3,0)</f>
        <v>#REF!</v>
      </c>
      <c r="AB5" s="125" t="s">
        <v>58</v>
      </c>
      <c r="AC5" s="135" t="e">
        <f>VLOOKUP(V5,#REF!,9,0)</f>
        <v>#REF!</v>
      </c>
      <c r="AD5" s="136">
        <v>1</v>
      </c>
      <c r="AE5" s="135" t="e">
        <f>VLOOKUP(V5,#REF!,10,0)</f>
        <v>#REF!</v>
      </c>
      <c r="AF5" s="113" t="e">
        <f>NOMINAL(W5,2)</f>
        <v>#NUM!</v>
      </c>
      <c r="AG5" s="113">
        <f>(1 +W5 )^(1/12) - 1</f>
        <v>0</v>
      </c>
      <c r="AH5" s="125"/>
      <c r="AI5" s="125"/>
      <c r="AJ5" s="125"/>
      <c r="AK5" s="125"/>
      <c r="AL5" s="125"/>
    </row>
    <row r="6" spans="1:38" ht="21.75" customHeight="1">
      <c r="A6" s="178"/>
      <c r="B6" s="148" t="s">
        <v>41</v>
      </c>
      <c r="C6" s="155" t="s">
        <v>74</v>
      </c>
      <c r="D6" s="117" t="e">
        <f ca="1">TTC7D!K4</f>
        <v>#NUM!</v>
      </c>
      <c r="E6" s="149">
        <f t="shared" si="0"/>
        <v>0</v>
      </c>
      <c r="F6" s="150" cm="1">
        <f t="array" ref="F6">_xll.PrecioBD(ONs_NY_2[[#This Row],[Ticker]],24,"ASK","N")</f>
        <v>0</v>
      </c>
      <c r="G6" s="118" t="e">
        <f ca="1">TTC7D!K3</f>
        <v>#NUM!</v>
      </c>
      <c r="H6" s="151"/>
      <c r="I6" s="152" cm="1">
        <f t="array" ref="I6">_xll.PrecioBD(ONs_NY_2[[#This Row],[Ticker]],24,"QUANTITY ASK","N")</f>
        <v>0</v>
      </c>
      <c r="J6" s="153" cm="1">
        <f t="array" ref="J6">_xll.PrecioBD(ONs_NY_2[[#This Row],[Ticker]],24,"VOLUME AMOUNT","N")</f>
        <v>0</v>
      </c>
      <c r="K6" s="148"/>
      <c r="L6" s="151"/>
      <c r="M6" s="154"/>
      <c r="N6" s="151"/>
      <c r="O6" s="125"/>
      <c r="P6" s="113"/>
      <c r="Q6" s="125"/>
      <c r="R6" s="113"/>
      <c r="S6" s="113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</row>
    <row r="7" spans="1:38" ht="21.75" customHeight="1">
      <c r="A7" s="179"/>
      <c r="B7" s="148" t="s">
        <v>549</v>
      </c>
      <c r="C7" s="180" t="s">
        <v>135</v>
      </c>
      <c r="D7" s="181">
        <f ca="1">PQCSD!K4</f>
        <v>8.0271211266517664E-2</v>
      </c>
      <c r="E7" s="149">
        <f t="shared" si="0"/>
        <v>104.5</v>
      </c>
      <c r="F7" s="150" cm="1">
        <f t="array" ref="F7">_xll.PrecioBD(ONs_NY_2[[#This Row],[Ticker]],24,"ASK","N")</f>
        <v>104.5</v>
      </c>
      <c r="G7" s="118">
        <f ca="1">PQCSD!K3</f>
        <v>3.9113120552362339</v>
      </c>
      <c r="H7" s="151"/>
      <c r="I7" s="152" cm="1">
        <f t="array" ref="I7">_xll.PrecioBD(ONs_NY_2[[#This Row],[Ticker]],24,"QUANTITY ASK","N")</f>
        <v>586</v>
      </c>
      <c r="J7" s="153" cm="1">
        <f t="array" ref="J7">_xll.PrecioBD(ONs_NY_2[[#This Row],[Ticker]],24,"VOLUME AMOUNT","N")</f>
        <v>23560.29</v>
      </c>
      <c r="K7" s="148"/>
      <c r="L7" s="148"/>
      <c r="M7" s="154"/>
      <c r="N7" s="148"/>
      <c r="O7" s="125"/>
      <c r="P7" s="113"/>
      <c r="Q7" s="125"/>
      <c r="R7" s="113"/>
      <c r="S7" s="113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</row>
    <row r="8" spans="1:38" ht="21.75" customHeight="1">
      <c r="A8" s="179"/>
      <c r="B8" s="148" t="s">
        <v>142</v>
      </c>
      <c r="C8" s="182" t="s">
        <v>122</v>
      </c>
      <c r="D8" s="181">
        <f ca="1">CICAD!K4</f>
        <v>7.4706891179084786E-2</v>
      </c>
      <c r="E8" s="149">
        <f t="shared" si="0"/>
        <v>102.95</v>
      </c>
      <c r="F8" s="150" cm="1">
        <f t="array" ref="F8">_xll.PrecioBD(ONs_NY_2[[#This Row],[Ticker]],24,"ASK","N")</f>
        <v>102.95</v>
      </c>
      <c r="G8" s="118">
        <f ca="1">CICAD!K3</f>
        <v>2.0445697858554923</v>
      </c>
      <c r="H8" s="151"/>
      <c r="I8" s="152" cm="1">
        <f t="array" ref="I8">_xll.PrecioBD(ONs_NY_2[[#This Row],[Ticker]],24,"QUANTITY ASK","N")</f>
        <v>5887</v>
      </c>
      <c r="J8" s="153" cm="1">
        <f t="array" ref="J8">_xll.PrecioBD(ONs_NY_2[[#This Row],[Ticker]],24,"VOLUME AMOUNT","N")</f>
        <v>2019.31</v>
      </c>
      <c r="K8" s="148"/>
      <c r="L8" s="148"/>
      <c r="M8" s="154"/>
      <c r="N8" s="148"/>
      <c r="O8" s="125"/>
      <c r="P8" s="113"/>
      <c r="Q8" s="125"/>
      <c r="R8" s="113"/>
      <c r="S8" s="113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</row>
    <row r="9" spans="1:38" ht="21.75" customHeight="1">
      <c r="B9" s="148" t="s">
        <v>28</v>
      </c>
      <c r="C9" s="155" t="s">
        <v>78</v>
      </c>
      <c r="D9" s="181">
        <f ca="1">DNC5D!K4</f>
        <v>7.7970263361930844E-2</v>
      </c>
      <c r="E9" s="149">
        <f t="shared" si="0"/>
        <v>104.35</v>
      </c>
      <c r="F9" s="150" cm="1">
        <f t="array" ref="F9">_xll.PrecioBD(ONs_NY_2[[#This Row],[Ticker]],24,"ASK","N")</f>
        <v>104.35</v>
      </c>
      <c r="G9" s="118">
        <f ca="1">DNC5D!K3</f>
        <v>2.2046588400800688</v>
      </c>
      <c r="H9" s="151"/>
      <c r="I9" s="152" cm="1">
        <f t="array" ref="I9">_xll.PrecioBD(ONs_NY_2[[#This Row],[Ticker]],24,"QUANTITY ASK","N")</f>
        <v>2243</v>
      </c>
      <c r="J9" s="153" cm="1">
        <f t="array" ref="J9">_xll.PrecioBD(ONs_NY_2[[#This Row],[Ticker]],24,"VOLUME AMOUNT","N")</f>
        <v>38683</v>
      </c>
      <c r="K9" s="148"/>
      <c r="L9" s="148"/>
      <c r="M9" s="154"/>
      <c r="N9" s="151"/>
      <c r="O9" s="125"/>
      <c r="P9" s="113"/>
      <c r="Q9" s="125"/>
      <c r="R9" s="113"/>
      <c r="S9" s="113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</row>
    <row r="10" spans="1:38" ht="21.75" customHeight="1">
      <c r="A10" s="179"/>
      <c r="B10" s="148" t="s">
        <v>550</v>
      </c>
      <c r="C10" s="182" t="s">
        <v>133</v>
      </c>
      <c r="D10" s="181">
        <f ca="1">OT42D!K4</f>
        <v>6.9239082932472246E-2</v>
      </c>
      <c r="E10" s="149">
        <f t="shared" si="0"/>
        <v>104.9</v>
      </c>
      <c r="F10" s="150" cm="1">
        <f t="array" ref="F10">_xll.PrecioBD(ONs_NY_2[[#This Row],[Ticker]],24,"ASK","N")</f>
        <v>104.9</v>
      </c>
      <c r="G10" s="118">
        <f ca="1">OT42D!K3</f>
        <v>3.3243120051675916</v>
      </c>
      <c r="H10" s="151"/>
      <c r="I10" s="152" cm="1">
        <f t="array" ref="I10">_xll.PrecioBD(ONs_NY_2[[#This Row],[Ticker]],24,"QUANTITY ASK","N")</f>
        <v>643</v>
      </c>
      <c r="J10" s="153" cm="1">
        <f t="array" ref="J10">_xll.PrecioBD(ONs_NY_2[[#This Row],[Ticker]],24,"VOLUME AMOUNT","N")</f>
        <v>1806.83</v>
      </c>
      <c r="K10" s="148"/>
      <c r="L10" s="148"/>
      <c r="M10" s="154"/>
      <c r="N10" s="148"/>
      <c r="O10" s="125"/>
      <c r="P10" s="113"/>
      <c r="Q10" s="125"/>
      <c r="R10" s="113"/>
      <c r="S10" s="113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</row>
    <row r="11" spans="1:38" ht="21.75" customHeight="1">
      <c r="A11" s="184"/>
      <c r="B11" s="148" t="s">
        <v>822</v>
      </c>
      <c r="C11" s="182" t="s">
        <v>113</v>
      </c>
      <c r="D11" s="181">
        <f ca="1">MCC2D!K4</f>
        <v>7.235982120037078E-2</v>
      </c>
      <c r="E11" s="149">
        <f t="shared" si="0"/>
        <v>102</v>
      </c>
      <c r="F11" s="150" cm="1">
        <f t="array" ref="F11">_xll.PrecioBD(ONs_NY_2[[#This Row],[Ticker]],24,"ASK","N")</f>
        <v>102</v>
      </c>
      <c r="G11" s="118">
        <f ca="1">MCC2D!K3</f>
        <v>1.1972779665448783</v>
      </c>
      <c r="H11" s="151"/>
      <c r="I11" s="152" cm="1">
        <f t="array" ref="I11">_xll.PrecioBD(ONs_NY_2[[#This Row],[Ticker]],24,"QUANTITY ASK","N")</f>
        <v>361</v>
      </c>
      <c r="J11" s="153" cm="1">
        <f t="array" ref="J11">_xll.PrecioBD(ONs_NY_2[[#This Row],[Ticker]],24,"VOLUME AMOUNT","N")</f>
        <v>1463.69</v>
      </c>
      <c r="K11" s="148"/>
      <c r="L11" s="148"/>
      <c r="M11" s="154"/>
      <c r="N11" s="148"/>
      <c r="O11" s="125"/>
      <c r="P11" s="113"/>
      <c r="Q11" s="125"/>
      <c r="R11" s="113"/>
      <c r="S11" s="113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</row>
    <row r="12" spans="1:38" ht="21.75" customHeight="1">
      <c r="B12" s="148" t="s">
        <v>13</v>
      </c>
      <c r="C12" s="185" t="s">
        <v>79</v>
      </c>
      <c r="D12" s="117">
        <f ca="1">YM39D!K4</f>
        <v>6.9491431117057814E-2</v>
      </c>
      <c r="E12" s="149">
        <f t="shared" si="0"/>
        <v>108.25</v>
      </c>
      <c r="F12" s="150" cm="1">
        <f t="array" ref="F12">_xll.PrecioBD(ONs_NY_2[[#This Row],[Ticker]],24,"ASK","N")</f>
        <v>108.25</v>
      </c>
      <c r="G12" s="118">
        <f ca="1">YM39D!K3</f>
        <v>3.6456074909456353</v>
      </c>
      <c r="H12" s="151"/>
      <c r="I12" s="152" cm="1">
        <f t="array" ref="I12">_xll.PrecioBD(ONs_NY_2[[#This Row],[Ticker]],24,"QUANTITY ASK","N")</f>
        <v>13658</v>
      </c>
      <c r="J12" s="153" cm="1">
        <f t="array" ref="J12">_xll.PrecioBD(ONs_NY_2[[#This Row],[Ticker]],24,"VOLUME AMOUNT","N")</f>
        <v>369801.7</v>
      </c>
      <c r="K12" s="148"/>
      <c r="L12" s="148"/>
      <c r="M12" s="154"/>
      <c r="N12" s="151"/>
      <c r="O12" s="125"/>
      <c r="P12" s="113"/>
      <c r="Q12" s="125"/>
      <c r="R12" s="113"/>
      <c r="S12" s="113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</row>
    <row r="13" spans="1:38" ht="21.75" customHeight="1">
      <c r="B13" s="148" t="s">
        <v>142</v>
      </c>
      <c r="C13" s="182" t="s">
        <v>111</v>
      </c>
      <c r="D13" s="181">
        <f ca="1">CIC9D!K4</f>
        <v>7.8243550658226024E-2</v>
      </c>
      <c r="E13" s="149">
        <f t="shared" si="0"/>
        <v>102.6</v>
      </c>
      <c r="F13" s="150" cm="1">
        <f t="array" ref="F13">_xll.PrecioBD(ONs_NY_2[[#This Row],[Ticker]],24,"ASK","N")</f>
        <v>102.6</v>
      </c>
      <c r="G13" s="118">
        <f ca="1">CIC9D!K3</f>
        <v>1.1577742484780442</v>
      </c>
      <c r="H13" s="151"/>
      <c r="I13" s="152" cm="1">
        <f t="array" ref="I13">_xll.PrecioBD(ONs_NY_2[[#This Row],[Ticker]],24,"QUANTITY ASK","N")</f>
        <v>400</v>
      </c>
      <c r="J13" s="153" cm="1">
        <f t="array" ref="J13">_xll.PrecioBD(ONs_NY_2[[#This Row],[Ticker]],24,"VOLUME AMOUNT","N")</f>
        <v>20.28</v>
      </c>
      <c r="K13" s="148"/>
      <c r="L13" s="148"/>
      <c r="M13" s="154"/>
      <c r="N13" s="148"/>
      <c r="O13" s="125"/>
      <c r="P13" s="113"/>
      <c r="Q13" s="125"/>
      <c r="R13" s="113"/>
      <c r="S13" s="113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</row>
    <row r="14" spans="1:38" ht="21.75" customHeight="1">
      <c r="B14" s="148" t="s">
        <v>812</v>
      </c>
      <c r="C14" s="182" t="s">
        <v>127</v>
      </c>
      <c r="D14" s="181">
        <f ca="1">OLC6D!K4</f>
        <v>6.9483241438865667E-2</v>
      </c>
      <c r="E14" s="149">
        <f t="shared" si="0"/>
        <v>103.4</v>
      </c>
      <c r="F14" s="150" cm="1">
        <f t="array" ref="F14">_xll.PrecioBD(ONs_NY_2[[#This Row],[Ticker]],24,"ASK","N")</f>
        <v>103.4</v>
      </c>
      <c r="G14" s="118">
        <f ca="1">OLC6D!K3</f>
        <v>2.853647966754393</v>
      </c>
      <c r="H14" s="151"/>
      <c r="I14" s="152" cm="1">
        <f t="array" ref="I14">_xll.PrecioBD(ONs_NY_2[[#This Row],[Ticker]],24,"QUANTITY ASK","N")</f>
        <v>1999</v>
      </c>
      <c r="J14" s="153" cm="1">
        <f t="array" ref="J14">_xll.PrecioBD(ONs_NY_2[[#This Row],[Ticker]],24,"VOLUME AMOUNT","N")</f>
        <v>1.03</v>
      </c>
      <c r="K14" s="148"/>
      <c r="L14" s="148"/>
      <c r="M14" s="154"/>
      <c r="N14" s="148"/>
      <c r="O14" s="125"/>
      <c r="P14" s="113"/>
      <c r="Q14" s="125"/>
      <c r="R14" s="113"/>
      <c r="S14" s="113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</row>
    <row r="15" spans="1:38" ht="21.75" customHeight="1">
      <c r="B15" s="186" t="s">
        <v>28</v>
      </c>
      <c r="C15" s="187" t="s">
        <v>101</v>
      </c>
      <c r="D15" s="117">
        <f ca="1">DNC3D!K4</f>
        <v>6.3942155241966239E-2</v>
      </c>
      <c r="E15" s="149">
        <f t="shared" si="0"/>
        <v>104.8</v>
      </c>
      <c r="F15" s="150" cm="1">
        <f t="array" ref="F15">_xll.PrecioBD(ONs_NY_2[[#This Row],[Ticker]],24,"ASK","N")</f>
        <v>104.8</v>
      </c>
      <c r="G15" s="118">
        <f ca="1">DNC3D!K3</f>
        <v>0.72155423195874968</v>
      </c>
      <c r="H15" s="188"/>
      <c r="I15" s="152" cm="1">
        <f t="array" ref="I15">_xll.PrecioBD(ONs_NY_2[[#This Row],[Ticker]],24,"QUANTITY ASK","N")</f>
        <v>3732</v>
      </c>
      <c r="J15" s="153" cm="1">
        <f t="array" ref="J15">_xll.PrecioBD(ONs_NY_2[[#This Row],[Ticker]],24,"VOLUME AMOUNT","N")</f>
        <v>37435.61</v>
      </c>
      <c r="K15" s="148"/>
      <c r="L15" s="148"/>
      <c r="M15" s="154"/>
      <c r="N15" s="148"/>
      <c r="O15" s="125"/>
      <c r="P15" s="113"/>
      <c r="Q15" s="125"/>
      <c r="R15" s="113"/>
      <c r="S15" s="113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</row>
    <row r="16" spans="1:38" ht="21.75" customHeight="1">
      <c r="A16" s="179"/>
      <c r="B16" s="148" t="s">
        <v>38</v>
      </c>
      <c r="C16" s="182" t="s">
        <v>134</v>
      </c>
      <c r="D16" s="181">
        <f ca="1">PLC2D!K4</f>
        <v>6.5168622136116058E-2</v>
      </c>
      <c r="E16" s="149">
        <f t="shared" si="0"/>
        <v>106</v>
      </c>
      <c r="F16" s="150" cm="1">
        <f t="array" ref="F16">_xll.PrecioBD(ONs_NY_2[[#This Row],[Ticker]],24,"ASK","N")</f>
        <v>106</v>
      </c>
      <c r="G16" s="118">
        <f ca="1">PLC2D!K3</f>
        <v>3.3224971291897116</v>
      </c>
      <c r="H16" s="151"/>
      <c r="I16" s="152" cm="1">
        <f t="array" ref="I16">_xll.PrecioBD(ONs_NY_2[[#This Row],[Ticker]],24,"QUANTITY ASK","N")</f>
        <v>151867</v>
      </c>
      <c r="J16" s="153" cm="1">
        <f t="array" ref="J16">_xll.PrecioBD(ONs_NY_2[[#This Row],[Ticker]],24,"VOLUME AMOUNT","N")</f>
        <v>7303.64</v>
      </c>
      <c r="K16" s="148"/>
      <c r="L16" s="148"/>
      <c r="M16" s="154"/>
      <c r="N16" s="148"/>
      <c r="O16" s="125"/>
      <c r="P16" s="113"/>
      <c r="Q16" s="125"/>
      <c r="R16" s="113"/>
      <c r="S16" s="113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</row>
    <row r="17" spans="1:38" ht="21.75" customHeight="1">
      <c r="A17" s="189"/>
      <c r="B17" s="148" t="s">
        <v>143</v>
      </c>
      <c r="C17" s="182" t="s">
        <v>112</v>
      </c>
      <c r="D17" s="181">
        <f ca="1">HJCID!K4</f>
        <v>6.2810048460960388E-2</v>
      </c>
      <c r="E17" s="149">
        <f t="shared" si="0"/>
        <v>103.25</v>
      </c>
      <c r="F17" s="150" cm="1">
        <f t="array" ref="F17">_xll.PrecioBD(ONs_NY_2[[#This Row],[Ticker]],24,"ASK","N")</f>
        <v>103.25</v>
      </c>
      <c r="G17" s="118">
        <f ca="1">HJCID!K3</f>
        <v>1.1871122933575771</v>
      </c>
      <c r="H17" s="151"/>
      <c r="I17" s="152" cm="1">
        <f t="array" ref="I17">_xll.PrecioBD(ONs_NY_2[[#This Row],[Ticker]],24,"QUANTITY ASK","N")</f>
        <v>1200</v>
      </c>
      <c r="J17" s="153" cm="1">
        <f t="array" ref="J17">_xll.PrecioBD(ONs_NY_2[[#This Row],[Ticker]],24,"VOLUME AMOUNT","N")</f>
        <v>0</v>
      </c>
      <c r="K17" s="148"/>
      <c r="L17" s="148"/>
      <c r="M17" s="154"/>
      <c r="N17" s="148"/>
      <c r="O17" s="125"/>
      <c r="P17" s="113"/>
      <c r="Q17" s="125"/>
      <c r="R17" s="113"/>
      <c r="S17" s="113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</row>
    <row r="18" spans="1:38" ht="21.75" customHeight="1">
      <c r="A18" s="179"/>
      <c r="B18" s="148" t="s">
        <v>49</v>
      </c>
      <c r="C18" s="182" t="s">
        <v>131</v>
      </c>
      <c r="D18" s="181">
        <f ca="1">IRCOD!K4</f>
        <v>6.4771667122840909E-2</v>
      </c>
      <c r="E18" s="149">
        <f t="shared" si="0"/>
        <v>103.3</v>
      </c>
      <c r="F18" s="150" cm="1">
        <f t="array" ref="F18">_xll.PrecioBD(ONs_NY_2[[#This Row],[Ticker]],24,"ASK","N")</f>
        <v>103.3</v>
      </c>
      <c r="G18" s="118">
        <f ca="1">IRCOD!K3</f>
        <v>3.1910040024531057</v>
      </c>
      <c r="H18" s="151"/>
      <c r="I18" s="152" cm="1">
        <f t="array" ref="I18">_xll.PrecioBD(ONs_NY_2[[#This Row],[Ticker]],24,"QUANTITY ASK","N")</f>
        <v>54</v>
      </c>
      <c r="J18" s="153" cm="1">
        <f t="array" ref="J18">_xll.PrecioBD(ONs_NY_2[[#This Row],[Ticker]],24,"VOLUME AMOUNT","N")</f>
        <v>33925.199999999997</v>
      </c>
      <c r="K18" s="148"/>
      <c r="L18" s="148"/>
      <c r="M18" s="154"/>
      <c r="N18" s="148"/>
      <c r="O18" s="125"/>
      <c r="P18" s="113"/>
      <c r="Q18" s="125"/>
      <c r="R18" s="113"/>
      <c r="S18" s="113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</row>
    <row r="19" spans="1:38" ht="21.75" customHeight="1">
      <c r="A19" s="189"/>
      <c r="B19" s="148" t="s">
        <v>17</v>
      </c>
      <c r="C19" s="182" t="s">
        <v>137</v>
      </c>
      <c r="D19" s="181">
        <f ca="1">PN36D!K4</f>
        <v>6.6803225874900812E-2</v>
      </c>
      <c r="E19" s="149">
        <f t="shared" si="0"/>
        <v>105.05</v>
      </c>
      <c r="F19" s="150" cm="1">
        <f t="array" ref="F19">_xll.PrecioBD(ONs_NY_2[[#This Row],[Ticker]],24,"ASK","N")</f>
        <v>105.05</v>
      </c>
      <c r="G19" s="118">
        <f ca="1">PN36D!K3</f>
        <v>4.5838272363702126</v>
      </c>
      <c r="H19" s="151"/>
      <c r="I19" s="152" cm="1">
        <f t="array" ref="I19">_xll.PrecioBD(ONs_NY_2[[#This Row],[Ticker]],24,"QUANTITY ASK","N")</f>
        <v>517</v>
      </c>
      <c r="J19" s="153" cm="1">
        <f t="array" ref="J19">_xll.PrecioBD(ONs_NY_2[[#This Row],[Ticker]],24,"VOLUME AMOUNT","N")</f>
        <v>36630.06</v>
      </c>
      <c r="K19" s="148"/>
      <c r="L19" s="148"/>
      <c r="M19" s="154"/>
      <c r="N19" s="148"/>
      <c r="O19" s="125"/>
      <c r="P19" s="113"/>
      <c r="Q19" s="125"/>
      <c r="R19" s="113"/>
      <c r="S19" s="113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</row>
    <row r="20" spans="1:38" ht="21.75" customHeight="1">
      <c r="A20" s="179"/>
      <c r="B20" s="148" t="s">
        <v>812</v>
      </c>
      <c r="C20" s="182" t="s">
        <v>121</v>
      </c>
      <c r="D20" s="181">
        <f ca="1">OLC5D!K4</f>
        <v>6.2944307923316956E-2</v>
      </c>
      <c r="E20" s="149">
        <f t="shared" si="0"/>
        <v>105</v>
      </c>
      <c r="F20" s="150" cm="1">
        <f t="array" ref="F20">_xll.PrecioBD(ONs_NY_2[[#This Row],[Ticker]],24,"ASK","N")</f>
        <v>105</v>
      </c>
      <c r="G20" s="118">
        <f ca="1">OLC5D!K3</f>
        <v>2.0804194502494182</v>
      </c>
      <c r="H20" s="151"/>
      <c r="I20" s="152" cm="1">
        <f t="array" ref="I20">_xll.PrecioBD(ONs_NY_2[[#This Row],[Ticker]],24,"QUANTITY ASK","N")</f>
        <v>442</v>
      </c>
      <c r="J20" s="153" cm="1">
        <f t="array" ref="J20">_xll.PrecioBD(ONs_NY_2[[#This Row],[Ticker]],24,"VOLUME AMOUNT","N")</f>
        <v>1945.42</v>
      </c>
      <c r="K20" s="148"/>
      <c r="L20" s="148"/>
      <c r="M20" s="154"/>
      <c r="N20" s="148"/>
      <c r="O20" s="125"/>
      <c r="P20" s="113"/>
      <c r="Q20" s="125"/>
      <c r="R20" s="113"/>
      <c r="S20" s="113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</row>
    <row r="21" spans="1:38" ht="21.75" customHeight="1">
      <c r="A21" s="179"/>
      <c r="B21" s="148" t="s">
        <v>17</v>
      </c>
      <c r="C21" s="182" t="s">
        <v>130</v>
      </c>
      <c r="D21" s="181">
        <f ca="1">PN35D!K4</f>
        <v>6.2485077977180489E-2</v>
      </c>
      <c r="E21" s="149">
        <f t="shared" si="0"/>
        <v>105.4</v>
      </c>
      <c r="F21" s="150" cm="1">
        <f t="array" ref="F21">_xll.PrecioBD(ONs_NY_2[[#This Row],[Ticker]],24,"ASK","N")</f>
        <v>105.4</v>
      </c>
      <c r="G21" s="118">
        <f ca="1">PN35D!K3</f>
        <v>3.0860681715141456</v>
      </c>
      <c r="H21" s="151"/>
      <c r="I21" s="152" cm="1">
        <f t="array" ref="I21">_xll.PrecioBD(ONs_NY_2[[#This Row],[Ticker]],24,"QUANTITY ASK","N")</f>
        <v>1444</v>
      </c>
      <c r="J21" s="153" cm="1">
        <f t="array" ref="J21">_xll.PrecioBD(ONs_NY_2[[#This Row],[Ticker]],24,"VOLUME AMOUNT","N")</f>
        <v>37075.01</v>
      </c>
      <c r="K21" s="148"/>
      <c r="L21" s="148"/>
      <c r="M21" s="154"/>
      <c r="N21" s="148"/>
      <c r="O21" s="125"/>
      <c r="P21" s="113"/>
      <c r="Q21" s="125"/>
      <c r="R21" s="113"/>
      <c r="S21" s="113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</row>
    <row r="22" spans="1:38" ht="21.75" customHeight="1">
      <c r="A22" s="179"/>
      <c r="B22" s="148" t="s">
        <v>72</v>
      </c>
      <c r="C22" s="182" t="s">
        <v>128</v>
      </c>
      <c r="D22" s="181">
        <f ca="1">NPCCD!K4</f>
        <v>6.4410671591758728E-2</v>
      </c>
      <c r="E22" s="149">
        <f t="shared" si="0"/>
        <v>108.95</v>
      </c>
      <c r="F22" s="150" cm="1">
        <f t="array" ref="F22">_xll.PrecioBD(ONs_NY_2[[#This Row],[Ticker]],24,"ASK","N")</f>
        <v>108.95</v>
      </c>
      <c r="G22" s="118">
        <f ca="1">NPCCD!K3</f>
        <v>2.9532458119519327</v>
      </c>
      <c r="H22" s="151"/>
      <c r="I22" s="152" cm="1">
        <f t="array" ref="I22">_xll.PrecioBD(ONs_NY_2[[#This Row],[Ticker]],24,"QUANTITY ASK","N")</f>
        <v>1028</v>
      </c>
      <c r="J22" s="153" cm="1">
        <f t="array" ref="J22">_xll.PrecioBD(ONs_NY_2[[#This Row],[Ticker]],24,"VOLUME AMOUNT","N")</f>
        <v>1174.94</v>
      </c>
      <c r="K22" s="148"/>
      <c r="L22" s="148"/>
      <c r="M22" s="154"/>
      <c r="N22" s="148"/>
      <c r="O22" s="125"/>
      <c r="P22" s="113"/>
      <c r="Q22" s="125"/>
      <c r="R22" s="113"/>
      <c r="S22" s="113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</row>
    <row r="23" spans="1:38" ht="21.75" customHeight="1">
      <c r="A23" s="189"/>
      <c r="B23" s="148" t="s">
        <v>41</v>
      </c>
      <c r="C23" s="182" t="s">
        <v>132</v>
      </c>
      <c r="D23" s="181">
        <f ca="1">TTC9D!K4</f>
        <v>5.9581831097602844E-2</v>
      </c>
      <c r="E23" s="149">
        <f t="shared" si="0"/>
        <v>105.15</v>
      </c>
      <c r="F23" s="150" cm="1">
        <f t="array" ref="F23">_xll.PrecioBD(ONs_NY_2[[#This Row],[Ticker]],24,"ASK","N")</f>
        <v>105.15</v>
      </c>
      <c r="G23" s="118">
        <f ca="1">TTC9D!K3</f>
        <v>3.1739941379676493</v>
      </c>
      <c r="H23" s="151"/>
      <c r="I23" s="152" cm="1">
        <f t="array" ref="I23">_xll.PrecioBD(ONs_NY_2[[#This Row],[Ticker]],24,"QUANTITY ASK","N")</f>
        <v>196959</v>
      </c>
      <c r="J23" s="153" cm="1">
        <f t="array" ref="J23">_xll.PrecioBD(ONs_NY_2[[#This Row],[Ticker]],24,"VOLUME AMOUNT","N")</f>
        <v>5508.17</v>
      </c>
      <c r="K23" s="148"/>
      <c r="L23" s="148"/>
      <c r="M23" s="154"/>
      <c r="N23" s="148"/>
      <c r="O23" s="125"/>
      <c r="P23" s="113"/>
      <c r="Q23" s="125"/>
      <c r="R23" s="113"/>
      <c r="S23" s="113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</row>
    <row r="24" spans="1:38" ht="21.75" customHeight="1">
      <c r="A24" s="189"/>
      <c r="B24" s="148" t="s">
        <v>44</v>
      </c>
      <c r="C24" s="190" t="s">
        <v>136</v>
      </c>
      <c r="D24" s="181">
        <f ca="1">VSCRD!K4</f>
        <v>6.6487237811088548E-2</v>
      </c>
      <c r="E24" s="149">
        <f t="shared" si="0"/>
        <v>107.05</v>
      </c>
      <c r="F24" s="150" cm="1">
        <f t="array" ref="F24">_xll.PrecioBD(ONs_NY_2[[#This Row],[Ticker]],24,"ASK","N")</f>
        <v>107.05</v>
      </c>
      <c r="G24" s="118">
        <f ca="1">VSCRD!K3</f>
        <v>3.7897722228734683</v>
      </c>
      <c r="H24" s="151"/>
      <c r="I24" s="152" cm="1">
        <f t="array" ref="I24">_xll.PrecioBD(ONs_NY_2[[#This Row],[Ticker]],24,"QUANTITY ASK","N")</f>
        <v>1000</v>
      </c>
      <c r="J24" s="153" cm="1">
        <f t="array" ref="J24">_xll.PrecioBD(ONs_NY_2[[#This Row],[Ticker]],24,"VOLUME AMOUNT","N")</f>
        <v>59349.18</v>
      </c>
      <c r="K24" s="148"/>
      <c r="L24" s="148"/>
      <c r="M24" s="154"/>
      <c r="N24" s="148"/>
      <c r="O24" s="125"/>
      <c r="P24" s="113"/>
      <c r="Q24" s="125"/>
      <c r="R24" s="113"/>
      <c r="S24" s="113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</row>
    <row r="25" spans="1:38" ht="21.75" customHeight="1">
      <c r="A25" s="179"/>
      <c r="B25" s="148" t="s">
        <v>13</v>
      </c>
      <c r="C25" s="182" t="s">
        <v>123</v>
      </c>
      <c r="D25" s="181">
        <f ca="1">YM40D!K4</f>
        <v>5.9923461079597465E-2</v>
      </c>
      <c r="E25" s="149">
        <f t="shared" si="0"/>
        <v>105.45</v>
      </c>
      <c r="F25" s="150" cm="1">
        <f t="array" ref="F25">_xll.PrecioBD(ONs_NY_2[[#This Row],[Ticker]],24,"ASK","N")</f>
        <v>105.45</v>
      </c>
      <c r="G25" s="118">
        <f ca="1">YM40D!K3</f>
        <v>2.2566843849897253</v>
      </c>
      <c r="H25" s="151"/>
      <c r="I25" s="152" cm="1">
        <f t="array" ref="I25">_xll.PrecioBD(ONs_NY_2[[#This Row],[Ticker]],24,"QUANTITY ASK","N")</f>
        <v>901</v>
      </c>
      <c r="J25" s="153" cm="1">
        <f t="array" ref="J25">_xll.PrecioBD(ONs_NY_2[[#This Row],[Ticker]],24,"VOLUME AMOUNT","N")</f>
        <v>6102.02</v>
      </c>
      <c r="K25" s="148"/>
      <c r="L25" s="148"/>
      <c r="M25" s="154"/>
      <c r="N25" s="148"/>
      <c r="O25" s="113"/>
      <c r="P25" s="113"/>
      <c r="Q25" s="125"/>
      <c r="R25" s="113"/>
      <c r="S25" s="113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</row>
    <row r="26" spans="1:38" ht="21.75" customHeight="1">
      <c r="A26" s="179"/>
      <c r="B26" s="148" t="s">
        <v>38</v>
      </c>
      <c r="C26" s="182" t="s">
        <v>120</v>
      </c>
      <c r="D26" s="181">
        <f ca="1">PLC3D!K4</f>
        <v>5.1562973856925973E-2</v>
      </c>
      <c r="E26" s="149">
        <f t="shared" si="0"/>
        <v>104.75</v>
      </c>
      <c r="F26" s="150" cm="1">
        <f t="array" ref="F26">_xll.PrecioBD(ONs_NY_2[[#This Row],[Ticker]],24,"ASK","N")</f>
        <v>104.75</v>
      </c>
      <c r="G26" s="118">
        <f ca="1">PLC3D!K3</f>
        <v>2.0265942034124453</v>
      </c>
      <c r="H26" s="151"/>
      <c r="I26" s="152" cm="1">
        <f t="array" ref="I26">_xll.PrecioBD(ONs_NY_2[[#This Row],[Ticker]],24,"QUANTITY ASK","N")</f>
        <v>1000</v>
      </c>
      <c r="J26" s="153" cm="1">
        <f t="array" ref="J26">_xll.PrecioBD(ONs_NY_2[[#This Row],[Ticker]],24,"VOLUME AMOUNT","N")</f>
        <v>6066.68</v>
      </c>
      <c r="K26" s="148"/>
      <c r="L26" s="148"/>
      <c r="M26" s="154"/>
      <c r="N26" s="148"/>
      <c r="O26" s="113"/>
      <c r="P26" s="191"/>
      <c r="Q26" s="125"/>
      <c r="R26" s="113"/>
      <c r="S26" s="113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</row>
    <row r="27" spans="1:38" ht="21.75" customHeight="1">
      <c r="A27" s="179"/>
      <c r="B27" s="148" t="s">
        <v>821</v>
      </c>
      <c r="C27" s="182" t="s">
        <v>114</v>
      </c>
      <c r="D27" s="181">
        <f ca="1">PFC2D!K4</f>
        <v>6.0127088427543635E-2</v>
      </c>
      <c r="E27" s="149">
        <f t="shared" si="0"/>
        <v>102.55</v>
      </c>
      <c r="F27" s="150" cm="1">
        <f t="array" ref="F27">_xll.PrecioBD(ONs_NY_2[[#This Row],[Ticker]],24,"ASK","N")</f>
        <v>102.55</v>
      </c>
      <c r="G27" s="118">
        <f ca="1">PFC2D!K3</f>
        <v>1.317427277596787</v>
      </c>
      <c r="H27" s="151"/>
      <c r="I27" s="152" cm="1">
        <f t="array" ref="I27">_xll.PrecioBD(ONs_NY_2[[#This Row],[Ticker]],24,"QUANTITY ASK","N")</f>
        <v>3571</v>
      </c>
      <c r="J27" s="153" cm="1">
        <f t="array" ref="J27">_xll.PrecioBD(ONs_NY_2[[#This Row],[Ticker]],24,"VOLUME AMOUNT","N")</f>
        <v>1975.19</v>
      </c>
      <c r="K27" s="148"/>
      <c r="L27" s="148"/>
      <c r="M27" s="154"/>
      <c r="N27" s="148"/>
      <c r="O27" s="113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</row>
    <row r="28" spans="1:38" ht="21.75" customHeight="1">
      <c r="A28" s="179"/>
      <c r="B28" s="148" t="s">
        <v>31</v>
      </c>
      <c r="C28" s="182" t="s">
        <v>119</v>
      </c>
      <c r="D28" s="181">
        <f ca="1">TLCOD!K4</f>
        <v>6.3440325856208804E-2</v>
      </c>
      <c r="E28" s="149">
        <f t="shared" si="0"/>
        <v>103.4</v>
      </c>
      <c r="F28" s="150" cm="1">
        <f t="array" ref="F28">_xll.PrecioBD(ONs_NY_2[[#This Row],[Ticker]],24,"ASK","N")</f>
        <v>103.4</v>
      </c>
      <c r="G28" s="118">
        <f ca="1">TLCOD!K3</f>
        <v>2.4694927850113126</v>
      </c>
      <c r="H28" s="151"/>
      <c r="I28" s="152" cm="1">
        <f t="array" ref="I28">_xll.PrecioBD(ONs_NY_2[[#This Row],[Ticker]],24,"QUANTITY ASK","N")</f>
        <v>1845</v>
      </c>
      <c r="J28" s="153" cm="1">
        <f t="array" ref="J28">_xll.PrecioBD(ONs_NY_2[[#This Row],[Ticker]],24,"VOLUME AMOUNT","N")</f>
        <v>11187.98</v>
      </c>
      <c r="K28" s="148"/>
      <c r="L28" s="148"/>
      <c r="M28" s="154"/>
      <c r="N28" s="148"/>
      <c r="O28" s="113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</row>
    <row r="29" spans="1:38" ht="21.75" customHeight="1">
      <c r="A29" s="179"/>
      <c r="B29" s="148" t="s">
        <v>44</v>
      </c>
      <c r="C29" s="182" t="s">
        <v>126</v>
      </c>
      <c r="D29" s="181">
        <f ca="1">VSCPD!K4</f>
        <v>6.0540780425071716E-2</v>
      </c>
      <c r="E29" s="149">
        <f t="shared" si="0"/>
        <v>106.85</v>
      </c>
      <c r="F29" s="150" cm="1">
        <f t="array" ref="F29">_xll.PrecioBD(ONs_NY_2[[#This Row],[Ticker]],24,"ASK","N")</f>
        <v>106.85</v>
      </c>
      <c r="G29" s="118">
        <f ca="1">VSCPD!K3</f>
        <v>2.1741238307932895</v>
      </c>
      <c r="H29" s="151"/>
      <c r="I29" s="152" cm="1">
        <f t="array" ref="I29">_xll.PrecioBD(ONs_NY_2[[#This Row],[Ticker]],24,"QUANTITY ASK","N")</f>
        <v>4132</v>
      </c>
      <c r="J29" s="153" cm="1">
        <f t="array" ref="J29">_xll.PrecioBD(ONs_NY_2[[#This Row],[Ticker]],24,"VOLUME AMOUNT","N")</f>
        <v>59.84</v>
      </c>
      <c r="K29" s="148"/>
      <c r="L29" s="148"/>
      <c r="M29" s="154"/>
      <c r="N29" s="148"/>
      <c r="O29" s="113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</row>
    <row r="30" spans="1:38" ht="21.75" customHeight="1">
      <c r="A30" s="179"/>
      <c r="B30" s="148" t="s">
        <v>17</v>
      </c>
      <c r="C30" s="182" t="s">
        <v>129</v>
      </c>
      <c r="D30" s="181">
        <f ca="1">PN41D!K4</f>
        <v>6.342752873897553E-2</v>
      </c>
      <c r="E30" s="149">
        <f t="shared" si="0"/>
        <v>107.45</v>
      </c>
      <c r="F30" s="150" cm="1">
        <f t="array" ref="F30">_xll.PrecioBD(ONs_NY_2[[#This Row],[Ticker]],24,"ASK","N")</f>
        <v>107.45</v>
      </c>
      <c r="G30" s="118">
        <f ca="1">PN41D!K3</f>
        <v>2.9790173542995468</v>
      </c>
      <c r="H30" s="151"/>
      <c r="I30" s="152" cm="1">
        <f t="array" ref="I30">_xll.PrecioBD(ONs_NY_2[[#This Row],[Ticker]],24,"QUANTITY ASK","N")</f>
        <v>2198</v>
      </c>
      <c r="J30" s="153" cm="1">
        <f t="array" ref="J30">_xll.PrecioBD(ONs_NY_2[[#This Row],[Ticker]],24,"VOLUME AMOUNT","N")</f>
        <v>30139.360000000001</v>
      </c>
      <c r="K30" s="148"/>
      <c r="L30" s="148"/>
      <c r="M30" s="154"/>
      <c r="N30" s="148"/>
      <c r="O30" s="113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</row>
    <row r="31" spans="1:38" ht="21.75" customHeight="1">
      <c r="A31" s="189"/>
      <c r="B31" s="148" t="s">
        <v>141</v>
      </c>
      <c r="C31" s="182" t="s">
        <v>108</v>
      </c>
      <c r="D31" s="181">
        <f ca="1">OTS2D!K4</f>
        <v>5.8720216155052185E-2</v>
      </c>
      <c r="E31" s="149">
        <f t="shared" si="0"/>
        <v>101.85</v>
      </c>
      <c r="F31" s="150" cm="1">
        <f t="array" ref="F31">_xll.PrecioBD(ONs_NY_2[[#This Row],[Ticker]],24,"ASK","N")</f>
        <v>101.85</v>
      </c>
      <c r="G31" s="118">
        <f ca="1">OTS2D!K3</f>
        <v>1.1125311292405933</v>
      </c>
      <c r="H31" s="151"/>
      <c r="I31" s="152" cm="1">
        <f t="array" ref="I31">_xll.PrecioBD(ONs_NY_2[[#This Row],[Ticker]],24,"QUANTITY ASK","N")</f>
        <v>755</v>
      </c>
      <c r="J31" s="153" cm="1">
        <f t="array" ref="J31">_xll.PrecioBD(ONs_NY_2[[#This Row],[Ticker]],24,"VOLUME AMOUNT","N")</f>
        <v>0</v>
      </c>
      <c r="K31" s="148"/>
      <c r="L31" s="148"/>
      <c r="M31" s="154"/>
      <c r="N31" s="148"/>
      <c r="O31" s="113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</row>
    <row r="32" spans="1:38" ht="21.75" customHeight="1">
      <c r="A32" s="179"/>
      <c r="B32" s="148" t="s">
        <v>22</v>
      </c>
      <c r="C32" s="182" t="s">
        <v>110</v>
      </c>
      <c r="D32" s="181">
        <f ca="1">RCCRD!K4</f>
        <v>4.593794047832489E-2</v>
      </c>
      <c r="E32" s="149">
        <f t="shared" si="0"/>
        <v>104.4</v>
      </c>
      <c r="F32" s="150" cm="1">
        <f t="array" ref="F32">_xll.PrecioBD(ONs_NY_2[[#This Row],[Ticker]],24,"ASK","N")</f>
        <v>104.4</v>
      </c>
      <c r="G32" s="118">
        <f ca="1">RCCRD!K3</f>
        <v>1.1564905370890624</v>
      </c>
      <c r="H32" s="151"/>
      <c r="I32" s="152" cm="1">
        <f t="array" ref="I32">_xll.PrecioBD(ONs_NY_2[[#This Row],[Ticker]],24,"QUANTITY ASK","N")</f>
        <v>2000</v>
      </c>
      <c r="J32" s="153" cm="1">
        <f t="array" ref="J32">_xll.PrecioBD(ONs_NY_2[[#This Row],[Ticker]],24,"VOLUME AMOUNT","N")</f>
        <v>6327.97</v>
      </c>
      <c r="K32" s="148"/>
      <c r="L32" s="148"/>
      <c r="M32" s="154"/>
      <c r="N32" s="148"/>
      <c r="O32" s="113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</row>
    <row r="33" spans="1:38" ht="21.75" customHeight="1">
      <c r="A33" s="179"/>
      <c r="B33" s="148" t="s">
        <v>818</v>
      </c>
      <c r="C33" s="182" t="s">
        <v>117</v>
      </c>
      <c r="D33" s="181">
        <f ca="1">SBC1D!K4</f>
        <v>5.365009605884552E-2</v>
      </c>
      <c r="E33" s="149">
        <f t="shared" si="0"/>
        <v>106</v>
      </c>
      <c r="F33" s="150" cm="1">
        <f t="array" ref="F33">_xll.PrecioBD(ONs_NY_2[[#This Row],[Ticker]],24,"ASK","N")</f>
        <v>106</v>
      </c>
      <c r="G33" s="118">
        <f ca="1">SBC1D!K3</f>
        <v>0.75490111093244661</v>
      </c>
      <c r="H33" s="151"/>
      <c r="I33" s="152" cm="1">
        <f t="array" ref="I33">_xll.PrecioBD(ONs_NY_2[[#This Row],[Ticker]],24,"QUANTITY ASK","N")</f>
        <v>1500</v>
      </c>
      <c r="J33" s="153" cm="1">
        <f t="array" ref="J33">_xll.PrecioBD(ONs_NY_2[[#This Row],[Ticker]],24,"VOLUME AMOUNT","N")</f>
        <v>812.09</v>
      </c>
      <c r="K33" s="148"/>
      <c r="L33" s="148"/>
      <c r="M33" s="154"/>
      <c r="N33" s="148"/>
      <c r="O33" s="113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</row>
    <row r="34" spans="1:38" ht="21.75" customHeight="1">
      <c r="A34" s="189"/>
      <c r="B34" s="148" t="s">
        <v>13</v>
      </c>
      <c r="C34" s="182" t="s">
        <v>115</v>
      </c>
      <c r="D34" s="181">
        <f ca="1">YM38D!K4</f>
        <v>5.3336343169212347E-2</v>
      </c>
      <c r="E34" s="149">
        <f t="shared" si="0"/>
        <v>103.6</v>
      </c>
      <c r="F34" s="150" cm="1">
        <f t="array" ref="F34">_xll.PrecioBD(ONs_NY_2[[#This Row],[Ticker]],24,"ASK","N")</f>
        <v>103.6</v>
      </c>
      <c r="G34" s="118">
        <f ca="1">YM38D!K3</f>
        <v>1.329417807175763</v>
      </c>
      <c r="H34" s="151"/>
      <c r="I34" s="152" cm="1">
        <f t="array" ref="I34">_xll.PrecioBD(ONs_NY_2[[#This Row],[Ticker]],24,"QUANTITY ASK","N")</f>
        <v>282</v>
      </c>
      <c r="J34" s="153" cm="1">
        <f t="array" ref="J34">_xll.PrecioBD(ONs_NY_2[[#This Row],[Ticker]],24,"VOLUME AMOUNT","N")</f>
        <v>26682.81</v>
      </c>
      <c r="K34" s="148"/>
      <c r="L34" s="148"/>
      <c r="M34" s="154"/>
      <c r="N34" s="148"/>
      <c r="O34" s="113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</row>
    <row r="35" spans="1:38" ht="21.75" customHeight="1">
      <c r="A35" s="189"/>
      <c r="B35" s="148" t="s">
        <v>140</v>
      </c>
      <c r="C35" s="182" t="s">
        <v>124</v>
      </c>
      <c r="D35" s="181">
        <f ca="1">LMS7D!K4</f>
        <v>5.0817385315895081E-2</v>
      </c>
      <c r="E35" s="149">
        <f t="shared" si="0"/>
        <v>94.85</v>
      </c>
      <c r="F35" s="150" cm="1">
        <f t="array" ref="F35">_xll.PrecioBD(ONs_NY_2[[#This Row],[Ticker]],24,"ASK","N")</f>
        <v>94.85</v>
      </c>
      <c r="G35" s="118">
        <f ca="1">LMS7D!K3</f>
        <v>1.3138462158648541</v>
      </c>
      <c r="H35" s="151"/>
      <c r="I35" s="152" cm="1">
        <f t="array" ref="I35">_xll.PrecioBD(ONs_NY_2[[#This Row],[Ticker]],24,"QUANTITY ASK","N")</f>
        <v>1000</v>
      </c>
      <c r="J35" s="153" cm="1">
        <f t="array" ref="J35">_xll.PrecioBD(ONs_NY_2[[#This Row],[Ticker]],24,"VOLUME AMOUNT","N")</f>
        <v>0</v>
      </c>
      <c r="K35" s="148"/>
      <c r="L35" s="148"/>
      <c r="M35" s="154"/>
      <c r="N35" s="148"/>
      <c r="O35" s="113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</row>
    <row r="36" spans="1:38" ht="21.75" customHeight="1">
      <c r="A36" s="189"/>
      <c r="B36" s="186" t="s">
        <v>13</v>
      </c>
      <c r="C36" s="187" t="s">
        <v>102</v>
      </c>
      <c r="D36" s="117">
        <f ca="1">YM41D!K4</f>
        <v>2.4837407469749453E-2</v>
      </c>
      <c r="E36" s="149">
        <f t="shared" si="0"/>
        <v>103.75</v>
      </c>
      <c r="F36" s="150" cm="1">
        <f t="array" ref="F36">_xll.PrecioBD(ONs_NY_2[[#This Row],[Ticker]],24,"ASK","N")</f>
        <v>103.75</v>
      </c>
      <c r="G36" s="118">
        <f ca="1">YM41D!K3</f>
        <v>0.86369055045877985</v>
      </c>
      <c r="H36" s="151"/>
      <c r="I36" s="152" cm="1">
        <f t="array" ref="I36">_xll.PrecioBD(ONs_NY_2[[#This Row],[Ticker]],24,"QUANTITY ASK","N")</f>
        <v>1340</v>
      </c>
      <c r="J36" s="153" cm="1">
        <f t="array" ref="J36">_xll.PrecioBD(ONs_NY_2[[#This Row],[Ticker]],24,"VOLUME AMOUNT","N")</f>
        <v>639.70000000000005</v>
      </c>
      <c r="K36" s="148"/>
      <c r="L36" s="148"/>
      <c r="M36" s="154"/>
      <c r="N36" s="148"/>
      <c r="O36" s="113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</row>
    <row r="37" spans="1:38" ht="21.75" customHeight="1">
      <c r="A37" s="189"/>
      <c r="B37" s="148" t="s">
        <v>13</v>
      </c>
      <c r="C37" s="182" t="s">
        <v>109</v>
      </c>
      <c r="D37" s="181">
        <f ca="1">YM37D!K4</f>
        <v>4.9661406874656672E-2</v>
      </c>
      <c r="E37" s="149">
        <f t="shared" si="0"/>
        <v>102.65</v>
      </c>
      <c r="F37" s="150" cm="1">
        <f t="array" ref="F37">_xll.PrecioBD(ONs_NY_2[[#This Row],[Ticker]],24,"ASK","N")</f>
        <v>102.65</v>
      </c>
      <c r="G37" s="118">
        <f ca="1">YM37D!K3</f>
        <v>1.1525748819108161</v>
      </c>
      <c r="H37" s="151"/>
      <c r="I37" s="152" cm="1">
        <f t="array" ref="I37">_xll.PrecioBD(ONs_NY_2[[#This Row],[Ticker]],24,"QUANTITY ASK","N")</f>
        <v>88</v>
      </c>
      <c r="J37" s="153" cm="1">
        <f t="array" ref="J37">_xll.PrecioBD(ONs_NY_2[[#This Row],[Ticker]],24,"VOLUME AMOUNT","N")</f>
        <v>9951.3700000000008</v>
      </c>
      <c r="K37" s="148"/>
      <c r="L37" s="148"/>
      <c r="M37" s="154"/>
      <c r="N37" s="148"/>
      <c r="O37" s="113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</row>
    <row r="38" spans="1:38" ht="21.75" customHeight="1">
      <c r="A38" s="179"/>
      <c r="B38" s="148" t="s">
        <v>139</v>
      </c>
      <c r="C38" s="182" t="s">
        <v>103</v>
      </c>
      <c r="D38" s="117">
        <f ca="1">ZZC1D!K4</f>
        <v>6.9887503981590257E-2</v>
      </c>
      <c r="E38" s="149">
        <f t="shared" si="0"/>
        <v>104.9</v>
      </c>
      <c r="F38" s="150" cm="1">
        <f t="array" ref="F38">_xll.PrecioBD(ONs_NY_2[[#This Row],[Ticker]],24,"ASK","N")</f>
        <v>104.9</v>
      </c>
      <c r="G38" s="118">
        <f ca="1">ZZC1D!K3</f>
        <v>0.9307482680398963</v>
      </c>
      <c r="H38" s="151"/>
      <c r="I38" s="152" cm="1">
        <f t="array" ref="I38">_xll.PrecioBD(ONs_NY_2[[#This Row],[Ticker]],24,"QUANTITY ASK","N")</f>
        <v>162</v>
      </c>
      <c r="J38" s="153" cm="1">
        <f t="array" ref="J38">_xll.PrecioBD(ONs_NY_2[[#This Row],[Ticker]],24,"VOLUME AMOUNT","N")</f>
        <v>3823.34</v>
      </c>
      <c r="K38" s="148"/>
      <c r="L38" s="148"/>
      <c r="M38" s="154"/>
      <c r="N38" s="148"/>
      <c r="O38" s="113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</row>
    <row r="39" spans="1:38" ht="21.75" customHeight="1">
      <c r="A39" s="179"/>
      <c r="B39" s="148" t="s">
        <v>41</v>
      </c>
      <c r="C39" s="182" t="s">
        <v>118</v>
      </c>
      <c r="D39" s="181">
        <f ca="1">TTCBD!K4</f>
        <v>4.9716278910636916E-2</v>
      </c>
      <c r="E39" s="149">
        <f t="shared" si="0"/>
        <v>104.65</v>
      </c>
      <c r="F39" s="150" cm="1">
        <f t="array" ref="F39">_xll.PrecioBD(ONs_NY_2[[#This Row],[Ticker]],24,"ASK","N")</f>
        <v>104.65</v>
      </c>
      <c r="G39" s="118">
        <f ca="1">TTCBD!K3</f>
        <v>1.5419295275080533</v>
      </c>
      <c r="H39" s="151"/>
      <c r="I39" s="152" cm="1">
        <f t="array" ref="I39">_xll.PrecioBD(ONs_NY_2[[#This Row],[Ticker]],24,"QUANTITY ASK","N")</f>
        <v>4459</v>
      </c>
      <c r="J39" s="153" cm="1">
        <f t="array" ref="J39">_xll.PrecioBD(ONs_NY_2[[#This Row],[Ticker]],24,"VOLUME AMOUNT","N")</f>
        <v>521</v>
      </c>
      <c r="K39" s="148"/>
      <c r="L39" s="148"/>
      <c r="M39" s="154"/>
      <c r="N39" s="148"/>
      <c r="O39" s="113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</row>
    <row r="40" spans="1:38" ht="21.75" customHeight="1">
      <c r="A40" s="189"/>
      <c r="B40" s="148" t="s">
        <v>44</v>
      </c>
      <c r="C40" s="182" t="s">
        <v>106</v>
      </c>
      <c r="D40" s="181">
        <f ca="1">VSCWD!K4</f>
        <v>4.1663953661918648E-2</v>
      </c>
      <c r="E40" s="149">
        <f t="shared" si="0"/>
        <v>102.65</v>
      </c>
      <c r="F40" s="150" cm="1">
        <f t="array" ref="F40">_xll.PrecioBD(ONs_NY_2[[#This Row],[Ticker]],24,"ASK","N")</f>
        <v>102.65</v>
      </c>
      <c r="G40" s="118">
        <f ca="1">VSCWD!K3</f>
        <v>1.1031539840624602</v>
      </c>
      <c r="H40" s="151"/>
      <c r="I40" s="152" cm="1">
        <f t="array" ref="I40">_xll.PrecioBD(ONs_NY_2[[#This Row],[Ticker]],24,"QUANTITY ASK","N")</f>
        <v>837</v>
      </c>
      <c r="J40" s="153" cm="1">
        <f t="array" ref="J40">_xll.PrecioBD(ONs_NY_2[[#This Row],[Ticker]],24,"VOLUME AMOUNT","N")</f>
        <v>6191.64</v>
      </c>
      <c r="K40" s="148"/>
      <c r="L40" s="148"/>
      <c r="M40" s="154"/>
      <c r="N40" s="148"/>
      <c r="O40" s="113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</row>
    <row r="41" spans="1:38" ht="21.75" customHeight="1">
      <c r="A41" s="179"/>
      <c r="B41" s="148" t="s">
        <v>76</v>
      </c>
      <c r="C41" s="155" t="s">
        <v>77</v>
      </c>
      <c r="D41" s="181">
        <f ca="1">NBS1D!K4</f>
        <v>3.0466809868812558E-2</v>
      </c>
      <c r="E41" s="149">
        <f t="shared" si="0"/>
        <v>100.7</v>
      </c>
      <c r="F41" s="150" cm="1">
        <f t="array" ref="F41">_xll.PrecioBD(ONs_NY_2[[#This Row],[Ticker]],24,"ASK","N")</f>
        <v>100.7</v>
      </c>
      <c r="G41" s="118">
        <f ca="1">NBS1D!K3</f>
        <v>0.30653802576258232</v>
      </c>
      <c r="H41" s="151"/>
      <c r="I41" s="152" cm="1">
        <f t="array" ref="I41">_xll.PrecioBD(ONs_NY_2[[#This Row],[Ticker]],24,"QUANTITY ASK","N")</f>
        <v>8000</v>
      </c>
      <c r="J41" s="153" cm="1">
        <f t="array" ref="J41">_xll.PrecioBD(ONs_NY_2[[#This Row],[Ticker]],24,"VOLUME AMOUNT","N")</f>
        <v>28003</v>
      </c>
      <c r="K41" s="148"/>
      <c r="L41" s="151"/>
      <c r="M41" s="154"/>
      <c r="N41" s="151"/>
      <c r="O41" s="113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</row>
    <row r="42" spans="1:38" ht="21.75" customHeight="1">
      <c r="A42" s="189"/>
      <c r="B42" s="148" t="s">
        <v>17</v>
      </c>
      <c r="C42" s="182" t="s">
        <v>107</v>
      </c>
      <c r="D42" s="181">
        <f ca="1">PN42D!K4</f>
        <v>5.3087612986564642E-2</v>
      </c>
      <c r="E42" s="149">
        <f t="shared" si="0"/>
        <v>102.8</v>
      </c>
      <c r="F42" s="150" cm="1">
        <f t="array" ref="F42">_xll.PrecioBD(ONs_NY_2[[#This Row],[Ticker]],24,"ASK","N")</f>
        <v>102.8</v>
      </c>
      <c r="G42" s="118">
        <f ca="1">PN42D!K3</f>
        <v>1.1006715106076945</v>
      </c>
      <c r="H42" s="151"/>
      <c r="I42" s="152" cm="1">
        <f t="array" ref="I42">_xll.PrecioBD(ONs_NY_2[[#This Row],[Ticker]],24,"QUANTITY ASK","N")</f>
        <v>1000</v>
      </c>
      <c r="J42" s="153" cm="1">
        <f t="array" ref="J42">_xll.PrecioBD(ONs_NY_2[[#This Row],[Ticker]],24,"VOLUME AMOUNT","N")</f>
        <v>0</v>
      </c>
      <c r="K42" s="148"/>
      <c r="L42" s="148"/>
      <c r="M42" s="154"/>
      <c r="N42" s="148"/>
      <c r="O42" s="113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</row>
    <row r="43" spans="1:38" ht="21.75" customHeight="1">
      <c r="A43" s="179"/>
      <c r="B43" s="148" t="s">
        <v>49</v>
      </c>
      <c r="C43" s="182" t="s">
        <v>104</v>
      </c>
      <c r="D43" s="181">
        <f ca="1">IRCJDD!K4</f>
        <v>4.5801052451133736E-2</v>
      </c>
      <c r="E43" s="149">
        <f t="shared" si="0"/>
        <v>105.75</v>
      </c>
      <c r="F43" s="150" cm="1">
        <f t="array" ref="F43">_xll.PrecioBD(ONs_NY_2[[#This Row],[Ticker]],24,"ASK","N")</f>
        <v>105.75</v>
      </c>
      <c r="G43" s="118">
        <f ca="1">IRCJDD!K3</f>
        <v>0.96448738795474198</v>
      </c>
      <c r="H43" s="151"/>
      <c r="I43" s="152" cm="1">
        <f t="array" ref="I43">_xll.PrecioBD(ONs_NY_2[[#This Row],[Ticker]],24,"QUANTITY ASK","N")</f>
        <v>2075</v>
      </c>
      <c r="J43" s="153" cm="1">
        <f t="array" ref="J43">_xll.PrecioBD(ONs_NY_2[[#This Row],[Ticker]],24,"VOLUME AMOUNT","N")</f>
        <v>640.94000000000005</v>
      </c>
      <c r="K43" s="148"/>
      <c r="L43" s="148"/>
      <c r="M43" s="154"/>
      <c r="N43" s="148"/>
      <c r="O43" s="113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</row>
    <row r="44" spans="1:38" ht="21.75" customHeight="1">
      <c r="A44" s="179"/>
      <c r="B44" s="143" t="s">
        <v>17</v>
      </c>
      <c r="C44" s="192" t="s">
        <v>116</v>
      </c>
      <c r="D44" s="193">
        <f ca="1">PN38D!K4</f>
        <v>3.8571938872337341E-2</v>
      </c>
      <c r="E44" s="144">
        <f t="shared" si="0"/>
        <v>103.9</v>
      </c>
      <c r="F44" s="145" cm="1">
        <f t="array" ref="F44">_xll.PrecioBD(ONs_NY_2[[#This Row],[Ticker]],24,"ASK","N")</f>
        <v>103.9</v>
      </c>
      <c r="G44" s="194">
        <f ca="1">PN38D!K3</f>
        <v>1.4124416731811629</v>
      </c>
      <c r="H44" s="146"/>
      <c r="I44" s="141" cm="1">
        <f t="array" ref="I44">_xll.PrecioBD(ONs_NY_2[[#This Row],[Ticker]],24,"QUANTITY ASK","N")</f>
        <v>1770</v>
      </c>
      <c r="J44" s="142" cm="1">
        <f t="array" ref="J44">_xll.PrecioBD(ONs_NY_2[[#This Row],[Ticker]],24,"VOLUME AMOUNT","N")</f>
        <v>19049.7</v>
      </c>
      <c r="K44" s="143"/>
      <c r="L44" s="143"/>
      <c r="M44" s="147"/>
      <c r="N44" s="143"/>
      <c r="O44" s="113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</row>
    <row r="45" spans="1:38" ht="21.75" customHeight="1">
      <c r="A45" s="179"/>
      <c r="B45" s="156" t="s">
        <v>22</v>
      </c>
      <c r="C45" s="195" t="s">
        <v>100</v>
      </c>
      <c r="D45" s="196">
        <f ca="1">'RC2CD'!K4</f>
        <v>4.0278199315071123E-2</v>
      </c>
      <c r="E45" s="160">
        <f t="shared" si="0"/>
        <v>103.4</v>
      </c>
      <c r="F45" s="161" cm="1">
        <f t="array" ref="F45">_xll.PrecioBD(ONs_NY_2[[#This Row],[Ticker]],24,"ASK","N")</f>
        <v>103.4</v>
      </c>
      <c r="G45" s="162">
        <f ca="1">'RC2CD'!K3</f>
        <v>0.61178539785890873</v>
      </c>
      <c r="H45" s="163"/>
      <c r="I45" s="164" cm="1">
        <f t="array" ref="I45">_xll.PrecioBD(ONs_NY_2[[#This Row],[Ticker]],24,"QUANTITY ASK","N")</f>
        <v>5698</v>
      </c>
      <c r="J45" s="165" cm="1">
        <f t="array" ref="J45">_xll.PrecioBD(ONs_NY_2[[#This Row],[Ticker]],24,"VOLUME AMOUNT","N")</f>
        <v>11152.73</v>
      </c>
      <c r="K45" s="156"/>
      <c r="L45" s="156"/>
      <c r="M45" s="166"/>
      <c r="N45" s="156"/>
      <c r="O45" s="113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</row>
    <row r="46" spans="1:38" ht="21.75" customHeight="1">
      <c r="A46" s="189"/>
      <c r="B46" s="156" t="s">
        <v>140</v>
      </c>
      <c r="C46" s="195" t="s">
        <v>105</v>
      </c>
      <c r="D46" s="196">
        <f ca="1">LMS8D!K4</f>
        <v>2.5215622782707215E-2</v>
      </c>
      <c r="E46" s="160">
        <f t="shared" si="0"/>
        <v>103.7</v>
      </c>
      <c r="F46" s="161" cm="1">
        <f t="array" ref="F46">_xll.PrecioBD(ONs_NY_2[[#This Row],[Ticker]],24,"ASK","N")</f>
        <v>103.7</v>
      </c>
      <c r="G46" s="162">
        <f ca="1">LMS8D!K3</f>
        <v>0.69651517068712143</v>
      </c>
      <c r="H46" s="163"/>
      <c r="I46" s="164" cm="1">
        <f t="array" ref="I46">_xll.PrecioBD(ONs_NY_2[[#This Row],[Ticker]],24,"QUANTITY ASK","N")</f>
        <v>1450</v>
      </c>
      <c r="J46" s="165" cm="1">
        <f t="array" ref="J46">_xll.PrecioBD(ONs_NY_2[[#This Row],[Ticker]],24,"VOLUME AMOUNT","N")</f>
        <v>612</v>
      </c>
      <c r="K46" s="156"/>
      <c r="L46" s="156"/>
      <c r="M46" s="166"/>
      <c r="N46" s="156"/>
      <c r="O46" s="113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</row>
    <row r="47" spans="1:38" ht="21.75" customHeight="1">
      <c r="A47" s="189"/>
      <c r="B47" s="156" t="s">
        <v>13</v>
      </c>
      <c r="C47" s="157" t="s">
        <v>75</v>
      </c>
      <c r="D47" s="159">
        <f ca="1">YMCVO!K4</f>
        <v>3.6735793948173529E-2</v>
      </c>
      <c r="E47" s="160">
        <f t="shared" si="0"/>
        <v>101.95</v>
      </c>
      <c r="F47" s="161" cm="1">
        <f t="array" ref="F47">_xll.PrecioBD(ONs_NY_2[[#This Row],[Ticker]],24,"ASK","N")</f>
        <v>101.95</v>
      </c>
      <c r="G47" s="162">
        <f ca="1">YMCVO!K3</f>
        <v>0.27344947574106127</v>
      </c>
      <c r="H47" s="163"/>
      <c r="I47" s="164" cm="1">
        <f t="array" ref="I47">_xll.PrecioBD(ONs_NY_2[[#This Row],[Ticker]],24,"QUANTITY ASK","N")</f>
        <v>690</v>
      </c>
      <c r="J47" s="165" cm="1">
        <f t="array" ref="J47">_xll.PrecioBD(ONs_NY_2[[#This Row],[Ticker]],24,"VOLUME AMOUNT","N")</f>
        <v>317908.07</v>
      </c>
      <c r="K47" s="156"/>
      <c r="L47" s="163"/>
      <c r="M47" s="166"/>
      <c r="N47" s="163"/>
      <c r="O47" s="113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</row>
    <row r="48" spans="1:38" ht="21.75" customHeight="1">
      <c r="A48" s="179"/>
      <c r="B48" s="156" t="s">
        <v>13</v>
      </c>
      <c r="C48" s="195" t="s">
        <v>75</v>
      </c>
      <c r="D48" s="159">
        <f ca="1">YMCVD!K4</f>
        <v>3.6735793948173529E-2</v>
      </c>
      <c r="E48" s="160">
        <f t="shared" si="0"/>
        <v>101.95</v>
      </c>
      <c r="F48" s="161" cm="1">
        <f t="array" ref="F48">_xll.PrecioBD(ONs_NY_2[[#This Row],[Ticker]],24,"ASK","N")</f>
        <v>101.95</v>
      </c>
      <c r="G48" s="162">
        <f ca="1">YMCVD!K3</f>
        <v>0.27099424735918332</v>
      </c>
      <c r="H48" s="163"/>
      <c r="I48" s="164" cm="1">
        <f t="array" ref="I48">_xll.PrecioBD(ONs_NY_2[[#This Row],[Ticker]],24,"QUANTITY ASK","N")</f>
        <v>690</v>
      </c>
      <c r="J48" s="165" cm="1">
        <f t="array" ref="J48">_xll.PrecioBD(ONs_NY_2[[#This Row],[Ticker]],24,"VOLUME AMOUNT","N")</f>
        <v>317908.07</v>
      </c>
      <c r="K48" s="156"/>
      <c r="L48" s="156"/>
      <c r="M48" s="166"/>
      <c r="N48" s="156"/>
      <c r="O48" s="113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</row>
    <row r="49" spans="1:38" ht="21.75" customHeight="1">
      <c r="A49" s="179"/>
      <c r="B49" s="156" t="s">
        <v>67</v>
      </c>
      <c r="C49" s="157" t="s">
        <v>68</v>
      </c>
      <c r="D49" s="196">
        <f ca="1">CP34D!K4</f>
        <v>-0.27108714953064916</v>
      </c>
      <c r="E49" s="160">
        <f t="shared" si="0"/>
        <v>104.25</v>
      </c>
      <c r="F49" s="161" cm="1">
        <f t="array" ref="F49">_xll.PrecioBD(ONs_NY_2[[#This Row],[Ticker]],24,"ASK","N")</f>
        <v>104.25</v>
      </c>
      <c r="G49" s="162">
        <f ca="1">CP34D!K3</f>
        <v>2.5671977250962388E-2</v>
      </c>
      <c r="H49" s="163"/>
      <c r="I49" s="164" cm="1">
        <f t="array" ref="I49">_xll.PrecioBD(ONs_NY_2[[#This Row],[Ticker]],24,"QUANTITY ASK","N")</f>
        <v>10050</v>
      </c>
      <c r="J49" s="165" cm="1">
        <f t="array" ref="J49">_xll.PrecioBD(ONs_NY_2[[#This Row],[Ticker]],24,"VOLUME AMOUNT","N")</f>
        <v>0</v>
      </c>
      <c r="K49" s="156"/>
      <c r="L49" s="163"/>
      <c r="M49" s="166"/>
      <c r="N49" s="163"/>
      <c r="O49" s="113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</row>
    <row r="50" spans="1:38" ht="21.75" customHeight="1">
      <c r="A50" s="179"/>
      <c r="B50" s="156" t="s">
        <v>64</v>
      </c>
      <c r="C50" s="158" t="s">
        <v>71</v>
      </c>
      <c r="D50" s="159">
        <f ca="1">LOC3D!K4</f>
        <v>-8.9319404959678675E-2</v>
      </c>
      <c r="E50" s="160">
        <f t="shared" si="0"/>
        <v>104.35</v>
      </c>
      <c r="F50" s="161" cm="1">
        <f t="array" ref="F50">_xll.PrecioBD(ONs_NY_2[[#This Row],[Ticker]],24,"ASK","N")</f>
        <v>104.35</v>
      </c>
      <c r="G50" s="162">
        <f ca="1">LOC3D!K3</f>
        <v>6.8902556520588687E-2</v>
      </c>
      <c r="H50" s="163"/>
      <c r="I50" s="164" cm="1">
        <f t="array" ref="I50">_xll.PrecioBD(ONs_NY_2[[#This Row],[Ticker]],24,"QUANTITY ASK","N")</f>
        <v>1950</v>
      </c>
      <c r="J50" s="165" cm="1">
        <f t="array" ref="J50">_xll.PrecioBD(ONs_NY_2[[#This Row],[Ticker]],24,"VOLUME AMOUNT","N")</f>
        <v>0</v>
      </c>
      <c r="K50" s="156"/>
      <c r="L50" s="163"/>
      <c r="M50" s="166"/>
      <c r="N50" s="163"/>
      <c r="O50" s="113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</row>
    <row r="51" spans="1:38" ht="21.75" customHeight="1">
      <c r="A51" s="179"/>
      <c r="B51" s="156" t="s">
        <v>69</v>
      </c>
      <c r="C51" s="158" t="s">
        <v>70</v>
      </c>
      <c r="D51" s="196">
        <f ca="1">CS38D!K4</f>
        <v>-0.60075709745287909</v>
      </c>
      <c r="E51" s="160">
        <f t="shared" si="0"/>
        <v>105.45</v>
      </c>
      <c r="F51" s="161" cm="1">
        <f t="array" ref="F51">_xll.PrecioBD(ONs_NY_2[[#This Row],[Ticker]],24,"ASK","N")</f>
        <v>105.45</v>
      </c>
      <c r="G51" s="162">
        <f ca="1">CS38D!K3</f>
        <v>6.937588177037958E-2</v>
      </c>
      <c r="H51" s="163"/>
      <c r="I51" s="164" cm="1">
        <f t="array" ref="I51">_xll.PrecioBD(ONs_NY_2[[#This Row],[Ticker]],24,"QUANTITY ASK","N")</f>
        <v>959</v>
      </c>
      <c r="J51" s="165" cm="1">
        <f t="array" ref="J51">_xll.PrecioBD(ONs_NY_2[[#This Row],[Ticker]],24,"VOLUME AMOUNT","N")</f>
        <v>60428.3</v>
      </c>
      <c r="K51" s="156"/>
      <c r="L51" s="163"/>
      <c r="M51" s="166"/>
      <c r="N51" s="163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</row>
    <row r="52" spans="1:38" ht="21.75" customHeight="1">
      <c r="A52" s="179"/>
      <c r="B52" s="156" t="s">
        <v>13</v>
      </c>
      <c r="C52" s="157" t="s">
        <v>66</v>
      </c>
      <c r="D52" s="196" t="e">
        <f ca="1">YMCQD!K4</f>
        <v>#NUM!</v>
      </c>
      <c r="E52" s="160">
        <f t="shared" si="0"/>
        <v>0</v>
      </c>
      <c r="F52" s="161" cm="1">
        <f t="array" ref="F52">_xll.PrecioBD(ONs_NY_2[[#This Row],[Ticker]],24,"ASK","N")</f>
        <v>0</v>
      </c>
      <c r="G52" s="162" t="e">
        <f ca="1">YMCQD!K3</f>
        <v>#NUM!</v>
      </c>
      <c r="H52" s="163"/>
      <c r="I52" s="164" cm="1">
        <f t="array" ref="I52">_xll.PrecioBD(ONs_NY_2[[#This Row],[Ticker]],24,"QUANTITY ASK","N")</f>
        <v>0</v>
      </c>
      <c r="J52" s="165" cm="1">
        <f t="array" ref="J52">_xll.PrecioBD(ONs_NY_2[[#This Row],[Ticker]],24,"VOLUME AMOUNT","N")</f>
        <v>0</v>
      </c>
      <c r="K52" s="156"/>
      <c r="L52" s="163"/>
      <c r="M52" s="166"/>
      <c r="N52" s="163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</row>
    <row r="53" spans="1:38" ht="21.75" customHeight="1">
      <c r="A53" s="179"/>
      <c r="B53" s="156"/>
      <c r="C53" s="156"/>
      <c r="D53" s="196"/>
      <c r="E53" s="160"/>
      <c r="F53" s="161"/>
      <c r="G53" s="162"/>
      <c r="H53" s="163"/>
      <c r="I53" s="164"/>
      <c r="J53" s="165"/>
      <c r="K53" s="156"/>
      <c r="L53" s="163"/>
      <c r="M53" s="166"/>
      <c r="N53" s="163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</row>
    <row r="54" spans="1:38" ht="21.75" customHeight="1">
      <c r="B54" s="156"/>
      <c r="C54" s="197" t="s">
        <v>125</v>
      </c>
      <c r="D54" s="196"/>
      <c r="E54" s="160">
        <f>F54*$H$1</f>
        <v>0</v>
      </c>
      <c r="F54" s="161" cm="1">
        <f t="array" ref="F54">_xll.PrecioBD(ONs_NY_2[[#This Row],[Ticker]],24,"ASK","N")</f>
        <v>0</v>
      </c>
      <c r="G54" s="162"/>
      <c r="H54" s="163"/>
      <c r="I54" s="164" cm="1">
        <f t="array" ref="I54">_xll.PrecioBD(ONs_NY_2[[#This Row],[Ticker]],24,"QUANTITY ASK","N")</f>
        <v>0</v>
      </c>
      <c r="J54" s="165" cm="1">
        <f t="array" ref="J54">_xll.PrecioBD(ONs_NY_2[[#This Row],[Ticker]],24,"VOLUME AMOUNT","N")</f>
        <v>0</v>
      </c>
      <c r="K54" s="156"/>
      <c r="L54" s="156"/>
      <c r="M54" s="166"/>
      <c r="N54" s="156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</row>
    <row r="55" spans="1:38" ht="13.2">
      <c r="B55" s="112"/>
      <c r="D55" s="198"/>
      <c r="E55" s="127"/>
      <c r="F55" s="128"/>
      <c r="G55" s="199"/>
      <c r="H55" s="129"/>
      <c r="I55" s="130"/>
      <c r="J55" s="131"/>
      <c r="K55" s="112"/>
      <c r="L55" s="112"/>
      <c r="M55" s="132"/>
      <c r="N55" s="112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</row>
    <row r="56" spans="1:38" ht="13.2">
      <c r="B56" s="112"/>
      <c r="D56" s="198"/>
      <c r="E56" s="127"/>
      <c r="F56" s="128"/>
      <c r="G56" s="199"/>
      <c r="H56" s="129"/>
      <c r="I56" s="130"/>
      <c r="J56" s="131"/>
      <c r="K56" s="112"/>
      <c r="L56" s="112"/>
      <c r="M56" s="132"/>
      <c r="N56" s="112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</row>
    <row r="57" spans="1:38" ht="13.2">
      <c r="B57" s="112"/>
      <c r="D57" s="198"/>
      <c r="E57" s="127"/>
      <c r="F57" s="128"/>
      <c r="G57" s="199"/>
      <c r="H57" s="129"/>
      <c r="I57" s="130"/>
      <c r="J57" s="131"/>
      <c r="K57" s="112"/>
      <c r="L57" s="112"/>
      <c r="M57" s="132"/>
      <c r="N57" s="112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</row>
    <row r="58" spans="1:38" ht="13.2">
      <c r="B58" s="112"/>
      <c r="D58" s="198"/>
      <c r="E58" s="127"/>
      <c r="F58" s="128"/>
      <c r="G58" s="199"/>
      <c r="H58" s="129"/>
      <c r="I58" s="130"/>
      <c r="J58" s="131"/>
      <c r="K58" s="112"/>
      <c r="L58" s="112"/>
      <c r="M58" s="132"/>
      <c r="N58" s="112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</row>
    <row r="59" spans="1:38" ht="13.2">
      <c r="A59" s="179"/>
      <c r="B59" s="112"/>
      <c r="D59" s="198"/>
      <c r="E59" s="127"/>
      <c r="F59" s="128"/>
      <c r="G59" s="199"/>
      <c r="H59" s="129"/>
      <c r="I59" s="130"/>
      <c r="J59" s="131"/>
      <c r="K59" s="112"/>
      <c r="L59" s="112"/>
      <c r="M59" s="132"/>
      <c r="N59" s="112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</row>
    <row r="60" spans="1:38" ht="13.2">
      <c r="A60" s="179"/>
      <c r="B60" s="112"/>
      <c r="D60" s="198"/>
      <c r="E60" s="127"/>
      <c r="F60" s="128"/>
      <c r="G60" s="199"/>
      <c r="H60" s="129"/>
      <c r="I60" s="130"/>
      <c r="J60" s="131"/>
      <c r="K60" s="112"/>
      <c r="L60" s="112"/>
      <c r="M60" s="132"/>
      <c r="N60" s="112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</row>
    <row r="61" spans="1:38" ht="13.2">
      <c r="A61" s="123"/>
      <c r="B61" s="125"/>
      <c r="D61" s="125"/>
      <c r="E61" s="125"/>
      <c r="F61" s="125"/>
      <c r="G61" s="125"/>
      <c r="H61" s="125"/>
      <c r="I61" s="125"/>
      <c r="J61" s="126"/>
      <c r="K61" s="125"/>
      <c r="L61" s="125"/>
      <c r="M61" s="136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</row>
    <row r="62" spans="1:38" ht="13.2">
      <c r="A62" s="123"/>
      <c r="B62" s="125"/>
      <c r="D62" s="125"/>
      <c r="E62" s="125"/>
      <c r="F62" s="125"/>
      <c r="G62" s="125"/>
      <c r="H62" s="125"/>
      <c r="I62" s="125"/>
      <c r="J62" s="126"/>
      <c r="K62" s="125"/>
      <c r="L62" s="125"/>
      <c r="M62" s="136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</row>
    <row r="63" spans="1:38" ht="13.2">
      <c r="A63" s="123"/>
      <c r="B63" s="125"/>
      <c r="D63" s="125"/>
      <c r="E63" s="125"/>
      <c r="F63" s="125"/>
      <c r="G63" s="125"/>
      <c r="H63" s="125"/>
      <c r="I63" s="125"/>
      <c r="J63" s="126"/>
      <c r="K63" s="125"/>
      <c r="L63" s="125"/>
      <c r="M63" s="136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</row>
    <row r="64" spans="1:38" ht="13.2">
      <c r="A64" s="123"/>
      <c r="B64" s="125"/>
      <c r="D64" s="125"/>
      <c r="E64" s="125"/>
      <c r="F64" s="125"/>
      <c r="G64" s="125"/>
      <c r="H64" s="125"/>
      <c r="I64" s="125"/>
      <c r="J64" s="126"/>
      <c r="K64" s="125"/>
      <c r="L64" s="125"/>
      <c r="M64" s="136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</row>
    <row r="65" spans="1:38" ht="13.2">
      <c r="A65" s="123"/>
      <c r="B65" s="125"/>
      <c r="D65" s="125"/>
      <c r="E65" s="125"/>
      <c r="F65" s="125"/>
      <c r="G65" s="125"/>
      <c r="H65" s="125"/>
      <c r="I65" s="125"/>
      <c r="J65" s="126"/>
      <c r="K65" s="125"/>
      <c r="L65" s="125"/>
      <c r="M65" s="136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</row>
    <row r="66" spans="1:38" ht="13.2">
      <c r="A66" s="123"/>
      <c r="B66" s="125"/>
      <c r="D66" s="125"/>
      <c r="E66" s="125"/>
      <c r="F66" s="125"/>
      <c r="G66" s="125"/>
      <c r="H66" s="125"/>
      <c r="I66" s="125"/>
      <c r="J66" s="126"/>
      <c r="K66" s="125"/>
      <c r="L66" s="125"/>
      <c r="M66" s="136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</row>
    <row r="67" spans="1:38" ht="13.2">
      <c r="A67" s="123"/>
      <c r="B67" s="125"/>
      <c r="D67" s="125"/>
      <c r="E67" s="125"/>
      <c r="F67" s="125"/>
      <c r="G67" s="125"/>
      <c r="H67" s="125"/>
      <c r="I67" s="125"/>
      <c r="J67" s="126"/>
      <c r="K67" s="125"/>
      <c r="L67" s="125"/>
      <c r="M67" s="136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</row>
    <row r="68" spans="1:38" ht="13.2">
      <c r="A68" s="123"/>
      <c r="B68" s="125"/>
      <c r="D68" s="125"/>
      <c r="E68" s="125"/>
      <c r="F68" s="125"/>
      <c r="G68" s="125"/>
      <c r="H68" s="125"/>
      <c r="I68" s="125"/>
      <c r="J68" s="126"/>
      <c r="K68" s="125"/>
      <c r="L68" s="125"/>
      <c r="M68" s="136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</row>
    <row r="69" spans="1:38" ht="13.2">
      <c r="A69" s="123"/>
      <c r="B69" s="125"/>
      <c r="D69" s="125"/>
      <c r="E69" s="125"/>
      <c r="F69" s="125"/>
      <c r="G69" s="125"/>
      <c r="H69" s="125"/>
      <c r="I69" s="125"/>
      <c r="J69" s="126"/>
      <c r="K69" s="125"/>
      <c r="L69" s="125"/>
      <c r="M69" s="136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</row>
    <row r="70" spans="1:38" ht="13.2">
      <c r="A70" s="123"/>
      <c r="B70" s="125"/>
      <c r="D70" s="125"/>
      <c r="E70" s="125"/>
      <c r="F70" s="125"/>
      <c r="G70" s="125"/>
      <c r="H70" s="125"/>
      <c r="I70" s="125"/>
      <c r="J70" s="126"/>
      <c r="K70" s="125"/>
      <c r="L70" s="125"/>
      <c r="M70" s="136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</row>
    <row r="71" spans="1:38" ht="13.2">
      <c r="A71" s="123"/>
      <c r="B71" s="125"/>
      <c r="D71" s="125"/>
      <c r="E71" s="125"/>
      <c r="F71" s="125"/>
      <c r="G71" s="125"/>
      <c r="H71" s="125"/>
      <c r="I71" s="125"/>
      <c r="J71" s="126"/>
      <c r="K71" s="125"/>
      <c r="L71" s="125"/>
      <c r="M71" s="136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</row>
    <row r="72" spans="1:38" ht="13.2">
      <c r="A72" s="123"/>
      <c r="B72" s="125"/>
      <c r="D72" s="125"/>
      <c r="E72" s="125"/>
      <c r="F72" s="125"/>
      <c r="G72" s="125"/>
      <c r="H72" s="125"/>
      <c r="I72" s="125"/>
      <c r="J72" s="126"/>
      <c r="K72" s="125"/>
      <c r="L72" s="125"/>
      <c r="M72" s="136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</row>
    <row r="73" spans="1:38" ht="13.2">
      <c r="A73" s="123"/>
      <c r="B73" s="125"/>
      <c r="D73" s="125"/>
      <c r="E73" s="125"/>
      <c r="F73" s="125"/>
      <c r="G73" s="125"/>
      <c r="H73" s="125"/>
      <c r="I73" s="125"/>
      <c r="J73" s="126"/>
      <c r="K73" s="125"/>
      <c r="L73" s="125"/>
      <c r="M73" s="136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</row>
    <row r="74" spans="1:38" ht="13.2">
      <c r="A74" s="123"/>
      <c r="B74" s="125"/>
      <c r="D74" s="125"/>
      <c r="E74" s="125"/>
      <c r="F74" s="125"/>
      <c r="G74" s="125"/>
      <c r="H74" s="125"/>
      <c r="I74" s="125"/>
      <c r="J74" s="126"/>
      <c r="K74" s="125"/>
      <c r="L74" s="125"/>
      <c r="M74" s="136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</row>
    <row r="75" spans="1:38" ht="13.2">
      <c r="A75" s="123"/>
      <c r="B75" s="125"/>
      <c r="D75" s="125"/>
      <c r="E75" s="125"/>
      <c r="F75" s="125"/>
      <c r="G75" s="125"/>
      <c r="H75" s="125"/>
      <c r="I75" s="125"/>
      <c r="J75" s="126"/>
      <c r="K75" s="125"/>
      <c r="L75" s="125"/>
      <c r="M75" s="136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</row>
    <row r="76" spans="1:38" ht="13.2">
      <c r="A76" s="123"/>
      <c r="B76" s="125"/>
      <c r="D76" s="125"/>
      <c r="E76" s="125"/>
      <c r="F76" s="125"/>
      <c r="G76" s="125"/>
      <c r="H76" s="125"/>
      <c r="I76" s="125"/>
      <c r="J76" s="126"/>
      <c r="K76" s="125"/>
      <c r="L76" s="125"/>
      <c r="M76" s="136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</row>
    <row r="77" spans="1:38" ht="13.2">
      <c r="A77" s="123"/>
      <c r="B77" s="125"/>
      <c r="D77" s="125"/>
      <c r="E77" s="125"/>
      <c r="F77" s="125"/>
      <c r="G77" s="125"/>
      <c r="H77" s="125"/>
      <c r="I77" s="125"/>
      <c r="J77" s="126"/>
      <c r="K77" s="125"/>
      <c r="L77" s="125"/>
      <c r="M77" s="136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</row>
    <row r="78" spans="1:38" ht="13.2">
      <c r="A78" s="123"/>
      <c r="B78" s="125"/>
      <c r="D78" s="200"/>
      <c r="E78" s="125"/>
      <c r="F78" s="125"/>
      <c r="G78" s="125"/>
      <c r="H78" s="125"/>
      <c r="I78" s="125"/>
      <c r="J78" s="126"/>
      <c r="K78" s="125"/>
      <c r="L78" s="125"/>
      <c r="M78" s="136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</row>
    <row r="79" spans="1:38" ht="13.2">
      <c r="A79" s="123"/>
      <c r="B79" s="125"/>
      <c r="D79" s="125"/>
      <c r="E79" s="125"/>
      <c r="F79" s="125"/>
      <c r="G79" s="125"/>
      <c r="H79" s="125"/>
      <c r="I79" s="125"/>
      <c r="J79" s="126"/>
      <c r="K79" s="125"/>
      <c r="L79" s="125"/>
      <c r="M79" s="136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</row>
    <row r="80" spans="1:38" ht="13.2">
      <c r="A80" s="123"/>
      <c r="B80" s="125"/>
      <c r="D80" s="125"/>
      <c r="E80" s="125"/>
      <c r="F80" s="125"/>
      <c r="G80" s="125"/>
      <c r="H80" s="125"/>
      <c r="I80" s="125"/>
      <c r="J80" s="126"/>
      <c r="K80" s="125"/>
      <c r="L80" s="125"/>
      <c r="M80" s="136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</row>
    <row r="81" spans="1:38" ht="13.2">
      <c r="A81" s="123"/>
      <c r="B81" s="125"/>
      <c r="D81" s="125"/>
      <c r="E81" s="125"/>
      <c r="F81" s="125"/>
      <c r="G81" s="125"/>
      <c r="H81" s="125"/>
      <c r="I81" s="125"/>
      <c r="J81" s="126"/>
      <c r="K81" s="125"/>
      <c r="L81" s="125"/>
      <c r="M81" s="136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</row>
    <row r="82" spans="1:38" ht="13.2">
      <c r="A82" s="123"/>
      <c r="B82" s="125"/>
      <c r="D82" s="125"/>
      <c r="E82" s="125"/>
      <c r="F82" s="125"/>
      <c r="G82" s="125"/>
      <c r="H82" s="125"/>
      <c r="I82" s="125"/>
      <c r="J82" s="126"/>
      <c r="K82" s="125"/>
      <c r="L82" s="125"/>
      <c r="M82" s="136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</row>
    <row r="83" spans="1:38" ht="13.2">
      <c r="A83" s="123"/>
      <c r="B83" s="125"/>
      <c r="D83" s="200"/>
      <c r="E83" s="125"/>
      <c r="F83" s="125"/>
      <c r="G83" s="125"/>
      <c r="H83" s="125"/>
      <c r="I83" s="125"/>
      <c r="J83" s="126"/>
      <c r="K83" s="125"/>
      <c r="L83" s="125"/>
      <c r="M83" s="136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</row>
    <row r="84" spans="1:38" ht="13.2">
      <c r="A84" s="123"/>
      <c r="B84" s="125"/>
      <c r="D84" s="125"/>
      <c r="E84" s="125"/>
      <c r="F84" s="125"/>
      <c r="G84" s="125"/>
      <c r="H84" s="125"/>
      <c r="I84" s="125"/>
      <c r="J84" s="126"/>
      <c r="K84" s="125"/>
      <c r="L84" s="125"/>
      <c r="M84" s="136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</row>
    <row r="85" spans="1:38" ht="13.2">
      <c r="A85" s="123"/>
      <c r="B85" s="125"/>
      <c r="D85" s="125"/>
      <c r="E85" s="125"/>
      <c r="F85" s="125"/>
      <c r="G85" s="125"/>
      <c r="H85" s="125"/>
      <c r="I85" s="125"/>
      <c r="J85" s="126"/>
      <c r="K85" s="125"/>
      <c r="L85" s="125"/>
      <c r="M85" s="136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</row>
    <row r="86" spans="1:38" ht="13.2">
      <c r="A86" s="123"/>
      <c r="B86" s="125"/>
      <c r="D86" s="125"/>
      <c r="E86" s="125"/>
      <c r="F86" s="125"/>
      <c r="G86" s="125"/>
      <c r="H86" s="125"/>
      <c r="I86" s="125"/>
      <c r="J86" s="126"/>
      <c r="K86" s="125"/>
      <c r="L86" s="125"/>
      <c r="M86" s="136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</row>
    <row r="87" spans="1:38" ht="13.2">
      <c r="A87" s="123"/>
      <c r="B87" s="125"/>
      <c r="D87" s="125"/>
      <c r="E87" s="125"/>
      <c r="F87" s="125"/>
      <c r="G87" s="125"/>
      <c r="H87" s="125"/>
      <c r="I87" s="125"/>
      <c r="J87" s="126"/>
      <c r="K87" s="125"/>
      <c r="L87" s="125"/>
      <c r="M87" s="136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</row>
    <row r="88" spans="1:38" ht="13.2">
      <c r="A88" s="123"/>
      <c r="B88" s="125"/>
      <c r="D88" s="125"/>
      <c r="E88" s="125"/>
      <c r="F88" s="125"/>
      <c r="G88" s="125"/>
      <c r="H88" s="125"/>
      <c r="I88" s="125"/>
      <c r="J88" s="126"/>
      <c r="K88" s="125"/>
      <c r="L88" s="125"/>
      <c r="M88" s="136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</row>
    <row r="89" spans="1:38" ht="13.2">
      <c r="A89" s="123"/>
      <c r="B89" s="125"/>
      <c r="D89" s="125"/>
      <c r="E89" s="125"/>
      <c r="F89" s="125"/>
      <c r="G89" s="125"/>
      <c r="H89" s="125"/>
      <c r="I89" s="125"/>
      <c r="J89" s="126"/>
      <c r="K89" s="125"/>
      <c r="L89" s="125"/>
      <c r="M89" s="136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</row>
    <row r="90" spans="1:38" ht="13.2">
      <c r="A90" s="123"/>
      <c r="B90" s="125"/>
      <c r="D90" s="125"/>
      <c r="E90" s="125"/>
      <c r="F90" s="125"/>
      <c r="G90" s="125"/>
      <c r="H90" s="125"/>
      <c r="I90" s="125"/>
      <c r="J90" s="126"/>
      <c r="K90" s="125"/>
      <c r="L90" s="125"/>
      <c r="M90" s="136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</row>
    <row r="91" spans="1:38" ht="13.2">
      <c r="A91" s="123"/>
      <c r="B91" s="125"/>
      <c r="D91" s="125"/>
      <c r="E91" s="125"/>
      <c r="F91" s="125"/>
      <c r="G91" s="125"/>
      <c r="H91" s="125"/>
      <c r="I91" s="125"/>
      <c r="J91" s="126"/>
      <c r="K91" s="125"/>
      <c r="L91" s="125"/>
      <c r="M91" s="136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</row>
    <row r="92" spans="1:38" ht="13.2">
      <c r="A92" s="123"/>
      <c r="B92" s="125"/>
      <c r="D92" s="125"/>
      <c r="E92" s="125"/>
      <c r="F92" s="125"/>
      <c r="G92" s="125"/>
      <c r="H92" s="125"/>
      <c r="I92" s="125"/>
      <c r="J92" s="126"/>
      <c r="K92" s="125"/>
      <c r="L92" s="125"/>
      <c r="M92" s="136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</row>
    <row r="93" spans="1:38" ht="13.2">
      <c r="A93" s="123"/>
      <c r="B93" s="125"/>
      <c r="D93" s="125"/>
      <c r="E93" s="125"/>
      <c r="F93" s="125"/>
      <c r="G93" s="125"/>
      <c r="H93" s="125"/>
      <c r="I93" s="125"/>
      <c r="J93" s="126"/>
      <c r="K93" s="125"/>
      <c r="L93" s="125"/>
      <c r="M93" s="136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</row>
    <row r="94" spans="1:38" ht="13.2">
      <c r="A94" s="123"/>
      <c r="B94" s="125"/>
      <c r="D94" s="125"/>
      <c r="E94" s="125"/>
      <c r="F94" s="125"/>
      <c r="G94" s="125"/>
      <c r="H94" s="125"/>
      <c r="I94" s="125"/>
      <c r="J94" s="126"/>
      <c r="K94" s="125"/>
      <c r="L94" s="125"/>
      <c r="M94" s="136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</row>
    <row r="95" spans="1:38" ht="13.2">
      <c r="A95" s="123"/>
      <c r="B95" s="125"/>
      <c r="D95" s="125"/>
      <c r="E95" s="125"/>
      <c r="F95" s="125"/>
      <c r="G95" s="125"/>
      <c r="H95" s="125"/>
      <c r="I95" s="125"/>
      <c r="J95" s="126"/>
      <c r="K95" s="125"/>
      <c r="L95" s="125"/>
      <c r="M95" s="136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</row>
    <row r="96" spans="1:38" ht="13.2">
      <c r="A96" s="123"/>
      <c r="B96" s="125"/>
      <c r="D96" s="125"/>
      <c r="E96" s="125"/>
      <c r="F96" s="125"/>
      <c r="G96" s="125"/>
      <c r="H96" s="125"/>
      <c r="I96" s="125"/>
      <c r="J96" s="126"/>
      <c r="K96" s="125"/>
      <c r="L96" s="125"/>
      <c r="M96" s="136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</row>
    <row r="97" spans="1:38" ht="13.2">
      <c r="A97" s="123"/>
      <c r="B97" s="125"/>
      <c r="D97" s="125"/>
      <c r="E97" s="125"/>
      <c r="F97" s="125"/>
      <c r="G97" s="125"/>
      <c r="H97" s="125"/>
      <c r="I97" s="125"/>
      <c r="J97" s="126"/>
      <c r="K97" s="125"/>
      <c r="L97" s="125"/>
      <c r="M97" s="136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</row>
    <row r="98" spans="1:38" ht="13.2">
      <c r="A98" s="123"/>
      <c r="B98" s="125"/>
      <c r="D98" s="125"/>
      <c r="E98" s="125"/>
      <c r="F98" s="125"/>
      <c r="G98" s="125"/>
      <c r="H98" s="125"/>
      <c r="I98" s="125"/>
      <c r="J98" s="126"/>
      <c r="K98" s="125"/>
      <c r="L98" s="125"/>
      <c r="M98" s="136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</row>
    <row r="99" spans="1:38" ht="13.2">
      <c r="A99" s="123"/>
      <c r="B99" s="125"/>
      <c r="D99" s="125"/>
      <c r="E99" s="125"/>
      <c r="F99" s="125"/>
      <c r="G99" s="125"/>
      <c r="H99" s="125"/>
      <c r="I99" s="125"/>
      <c r="J99" s="126"/>
      <c r="K99" s="125"/>
      <c r="L99" s="125"/>
      <c r="M99" s="136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</row>
    <row r="100" spans="1:38" ht="13.2">
      <c r="A100" s="123"/>
      <c r="B100" s="125"/>
      <c r="D100" s="125"/>
      <c r="E100" s="125"/>
      <c r="F100" s="125"/>
      <c r="G100" s="125"/>
      <c r="H100" s="125"/>
      <c r="I100" s="125"/>
      <c r="J100" s="126"/>
      <c r="K100" s="125"/>
      <c r="L100" s="125"/>
      <c r="M100" s="136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</row>
    <row r="101" spans="1:38" ht="13.2">
      <c r="A101" s="123"/>
      <c r="B101" s="125"/>
      <c r="D101" s="125"/>
      <c r="E101" s="125"/>
      <c r="F101" s="125"/>
      <c r="G101" s="125"/>
      <c r="H101" s="125"/>
      <c r="I101" s="125"/>
      <c r="J101" s="126"/>
      <c r="K101" s="125"/>
      <c r="L101" s="125"/>
      <c r="M101" s="136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</row>
    <row r="102" spans="1:38" ht="13.2">
      <c r="A102" s="123"/>
      <c r="B102" s="137"/>
      <c r="D102" s="125"/>
      <c r="E102" s="125"/>
      <c r="F102" s="125"/>
      <c r="G102" s="125"/>
      <c r="H102" s="125"/>
      <c r="I102" s="125"/>
      <c r="J102" s="126"/>
      <c r="K102" s="125"/>
      <c r="L102" s="125"/>
      <c r="M102" s="136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</row>
    <row r="103" spans="1:38" ht="13.2">
      <c r="A103" s="123"/>
      <c r="B103" s="125"/>
      <c r="D103" s="125"/>
      <c r="E103" s="125"/>
      <c r="F103" s="125"/>
      <c r="G103" s="125"/>
      <c r="H103" s="125"/>
      <c r="I103" s="125"/>
      <c r="J103" s="126"/>
      <c r="K103" s="125"/>
      <c r="L103" s="125"/>
      <c r="M103" s="136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</row>
    <row r="104" spans="1:38" ht="13.2">
      <c r="A104" s="123"/>
      <c r="B104" s="125"/>
      <c r="D104" s="125"/>
      <c r="E104" s="125"/>
      <c r="F104" s="125"/>
      <c r="G104" s="125"/>
      <c r="H104" s="125"/>
      <c r="I104" s="125"/>
      <c r="J104" s="126"/>
      <c r="K104" s="125"/>
      <c r="L104" s="125"/>
      <c r="M104" s="136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</row>
    <row r="105" spans="1:38" ht="13.2">
      <c r="A105" s="123"/>
      <c r="B105" s="125"/>
      <c r="D105" s="125"/>
      <c r="E105" s="125"/>
      <c r="F105" s="125"/>
      <c r="G105" s="125"/>
      <c r="H105" s="125"/>
      <c r="I105" s="125"/>
      <c r="J105" s="126"/>
      <c r="K105" s="125"/>
      <c r="L105" s="125"/>
      <c r="M105" s="136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</row>
    <row r="106" spans="1:38" ht="13.2">
      <c r="A106" s="123"/>
      <c r="B106" s="125"/>
      <c r="D106" s="125"/>
      <c r="E106" s="125"/>
      <c r="F106" s="125"/>
      <c r="G106" s="125"/>
      <c r="H106" s="125"/>
      <c r="I106" s="125"/>
      <c r="J106" s="126"/>
      <c r="K106" s="125"/>
      <c r="L106" s="125"/>
      <c r="M106" s="136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</row>
    <row r="107" spans="1:38" ht="13.2">
      <c r="A107" s="123"/>
      <c r="B107" s="125"/>
      <c r="D107" s="125"/>
      <c r="E107" s="125"/>
      <c r="F107" s="125"/>
      <c r="G107" s="125"/>
      <c r="H107" s="125"/>
      <c r="I107" s="125"/>
      <c r="J107" s="126"/>
      <c r="K107" s="125"/>
      <c r="L107" s="125"/>
      <c r="M107" s="136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</row>
    <row r="108" spans="1:38" ht="13.2">
      <c r="A108" s="123"/>
      <c r="B108" s="125"/>
      <c r="D108" s="113"/>
      <c r="E108" s="125"/>
      <c r="F108" s="125"/>
      <c r="G108" s="125"/>
      <c r="H108" s="125"/>
      <c r="I108" s="125"/>
      <c r="J108" s="126"/>
      <c r="K108" s="125"/>
      <c r="L108" s="125"/>
      <c r="M108" s="136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</row>
    <row r="109" spans="1:38" ht="13.2">
      <c r="A109" s="123"/>
      <c r="B109" s="125"/>
      <c r="D109" s="125"/>
      <c r="E109" s="125"/>
      <c r="F109" s="125"/>
      <c r="G109" s="125"/>
      <c r="H109" s="125"/>
      <c r="I109" s="125"/>
      <c r="J109" s="126"/>
      <c r="K109" s="125"/>
      <c r="L109" s="125"/>
      <c r="M109" s="136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</row>
    <row r="110" spans="1:38" ht="13.2">
      <c r="A110" s="123"/>
      <c r="B110" s="125"/>
      <c r="D110" s="125"/>
      <c r="E110" s="125"/>
      <c r="F110" s="125"/>
      <c r="G110" s="125"/>
      <c r="H110" s="125"/>
      <c r="I110" s="125"/>
      <c r="J110" s="126"/>
      <c r="K110" s="125"/>
      <c r="L110" s="125"/>
      <c r="M110" s="136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</row>
    <row r="111" spans="1:38" ht="13.2">
      <c r="A111" s="123"/>
      <c r="B111" s="125"/>
      <c r="D111" s="125"/>
      <c r="E111" s="125"/>
      <c r="F111" s="125"/>
      <c r="G111" s="125"/>
      <c r="H111" s="125"/>
      <c r="I111" s="125"/>
      <c r="J111" s="126"/>
      <c r="K111" s="125"/>
      <c r="L111" s="125"/>
      <c r="M111" s="136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</row>
    <row r="112" spans="1:38" ht="13.2">
      <c r="A112" s="123"/>
      <c r="B112" s="113"/>
      <c r="D112" s="125"/>
      <c r="E112" s="125"/>
      <c r="F112" s="125"/>
      <c r="G112" s="125"/>
      <c r="H112" s="125"/>
      <c r="I112" s="125"/>
      <c r="J112" s="126"/>
      <c r="K112" s="125"/>
      <c r="L112" s="125"/>
      <c r="M112" s="136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</row>
    <row r="113" spans="1:38" ht="13.2">
      <c r="A113" s="123"/>
      <c r="B113" s="125"/>
      <c r="D113" s="125"/>
      <c r="E113" s="125"/>
      <c r="F113" s="125"/>
      <c r="G113" s="125"/>
      <c r="H113" s="125"/>
      <c r="I113" s="125"/>
      <c r="J113" s="126"/>
      <c r="K113" s="125"/>
      <c r="L113" s="125"/>
      <c r="M113" s="136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</row>
    <row r="114" spans="1:38" ht="13.2">
      <c r="A114" s="123"/>
      <c r="B114" s="125"/>
      <c r="D114" s="125"/>
      <c r="E114" s="125"/>
      <c r="F114" s="125"/>
      <c r="G114" s="125"/>
      <c r="H114" s="125"/>
      <c r="I114" s="125"/>
      <c r="J114" s="126"/>
      <c r="K114" s="125"/>
      <c r="L114" s="125"/>
      <c r="M114" s="136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</row>
    <row r="115" spans="1:38" ht="13.2">
      <c r="A115" s="123"/>
      <c r="B115" s="125"/>
      <c r="D115" s="125"/>
      <c r="E115" s="125"/>
      <c r="F115" s="125"/>
      <c r="G115" s="125"/>
      <c r="H115" s="125"/>
      <c r="I115" s="125"/>
      <c r="J115" s="126"/>
      <c r="K115" s="125"/>
      <c r="L115" s="125"/>
      <c r="M115" s="136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</row>
    <row r="116" spans="1:38" ht="13.2">
      <c r="A116" s="123"/>
      <c r="B116" s="125"/>
      <c r="D116" s="125"/>
      <c r="E116" s="125"/>
      <c r="F116" s="125"/>
      <c r="G116" s="125"/>
      <c r="H116" s="125"/>
      <c r="I116" s="125"/>
      <c r="J116" s="126"/>
      <c r="K116" s="125"/>
      <c r="L116" s="125"/>
      <c r="M116" s="136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</row>
    <row r="117" spans="1:38" ht="13.2">
      <c r="A117" s="123"/>
      <c r="B117" s="125"/>
      <c r="D117" s="125"/>
      <c r="E117" s="125"/>
      <c r="F117" s="125"/>
      <c r="G117" s="125"/>
      <c r="H117" s="125"/>
      <c r="I117" s="125"/>
      <c r="J117" s="126"/>
      <c r="K117" s="125"/>
      <c r="L117" s="125"/>
      <c r="M117" s="136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</row>
    <row r="118" spans="1:38" ht="13.2">
      <c r="A118" s="123"/>
      <c r="B118" s="125"/>
      <c r="D118" s="125"/>
      <c r="E118" s="125"/>
      <c r="F118" s="125"/>
      <c r="G118" s="125"/>
      <c r="H118" s="125"/>
      <c r="I118" s="125"/>
      <c r="J118" s="126"/>
      <c r="K118" s="125"/>
      <c r="L118" s="125"/>
      <c r="M118" s="136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</row>
    <row r="119" spans="1:38" ht="13.2">
      <c r="A119" s="123"/>
      <c r="B119" s="125"/>
      <c r="D119" s="125"/>
      <c r="E119" s="125"/>
      <c r="F119" s="125"/>
      <c r="G119" s="125"/>
      <c r="H119" s="125"/>
      <c r="I119" s="125"/>
      <c r="J119" s="126"/>
      <c r="K119" s="125"/>
      <c r="L119" s="125"/>
      <c r="M119" s="136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</row>
    <row r="120" spans="1:38" ht="13.2">
      <c r="A120" s="123"/>
      <c r="B120" s="125"/>
      <c r="D120" s="125"/>
      <c r="E120" s="125"/>
      <c r="F120" s="125"/>
      <c r="G120" s="125"/>
      <c r="H120" s="125"/>
      <c r="I120" s="125"/>
      <c r="J120" s="126"/>
      <c r="K120" s="125"/>
      <c r="L120" s="125"/>
      <c r="M120" s="136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</row>
    <row r="121" spans="1:38" ht="13.2">
      <c r="A121" s="123"/>
      <c r="B121" s="125"/>
      <c r="D121" s="125"/>
      <c r="E121" s="125"/>
      <c r="F121" s="125"/>
      <c r="G121" s="125"/>
      <c r="H121" s="125"/>
      <c r="I121" s="125"/>
      <c r="J121" s="126"/>
      <c r="K121" s="125"/>
      <c r="L121" s="125"/>
      <c r="M121" s="136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</row>
    <row r="122" spans="1:38" ht="13.2">
      <c r="A122" s="123"/>
      <c r="B122" s="125"/>
      <c r="D122" s="125"/>
      <c r="E122" s="125"/>
      <c r="F122" s="125"/>
      <c r="G122" s="125"/>
      <c r="H122" s="125"/>
      <c r="I122" s="125"/>
      <c r="J122" s="126"/>
      <c r="K122" s="125"/>
      <c r="L122" s="125"/>
      <c r="M122" s="136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</row>
    <row r="123" spans="1:38" ht="13.2">
      <c r="A123" s="123"/>
      <c r="B123" s="125"/>
      <c r="D123" s="125"/>
      <c r="E123" s="125"/>
      <c r="F123" s="125"/>
      <c r="G123" s="125"/>
      <c r="H123" s="125"/>
      <c r="I123" s="125"/>
      <c r="J123" s="126"/>
      <c r="K123" s="125"/>
      <c r="L123" s="125"/>
      <c r="M123" s="136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</row>
    <row r="124" spans="1:38" ht="13.2">
      <c r="A124" s="123"/>
      <c r="B124" s="125"/>
      <c r="D124" s="125"/>
      <c r="E124" s="125"/>
      <c r="F124" s="125"/>
      <c r="G124" s="125"/>
      <c r="H124" s="125"/>
      <c r="I124" s="125"/>
      <c r="J124" s="126"/>
      <c r="K124" s="125"/>
      <c r="L124" s="125"/>
      <c r="M124" s="136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</row>
    <row r="125" spans="1:38" ht="13.2">
      <c r="A125" s="123"/>
      <c r="B125" s="125"/>
      <c r="D125" s="125"/>
      <c r="E125" s="125"/>
      <c r="F125" s="125"/>
      <c r="G125" s="125"/>
      <c r="H125" s="125"/>
      <c r="I125" s="125"/>
      <c r="J125" s="126"/>
      <c r="K125" s="125"/>
      <c r="L125" s="125"/>
      <c r="M125" s="136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</row>
    <row r="126" spans="1:38" ht="13.2">
      <c r="A126" s="123"/>
      <c r="B126" s="125"/>
      <c r="D126" s="125"/>
      <c r="E126" s="125"/>
      <c r="F126" s="125"/>
      <c r="G126" s="125"/>
      <c r="H126" s="125"/>
      <c r="I126" s="125"/>
      <c r="J126" s="126"/>
      <c r="K126" s="125"/>
      <c r="L126" s="125"/>
      <c r="M126" s="136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</row>
    <row r="127" spans="1:38" ht="13.2">
      <c r="A127" s="123"/>
      <c r="B127" s="125"/>
      <c r="D127" s="125"/>
      <c r="E127" s="125"/>
      <c r="F127" s="125"/>
      <c r="G127" s="125"/>
      <c r="H127" s="125"/>
      <c r="I127" s="125"/>
      <c r="J127" s="126"/>
      <c r="K127" s="125"/>
      <c r="L127" s="125"/>
      <c r="M127" s="136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</row>
    <row r="128" spans="1:38" ht="13.2">
      <c r="A128" s="123"/>
      <c r="B128" s="125"/>
      <c r="D128" s="125"/>
      <c r="E128" s="125"/>
      <c r="F128" s="125"/>
      <c r="G128" s="125"/>
      <c r="H128" s="125"/>
      <c r="I128" s="125"/>
      <c r="J128" s="126"/>
      <c r="K128" s="125"/>
      <c r="L128" s="125"/>
      <c r="M128" s="136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</row>
    <row r="129" spans="1:38" ht="13.2">
      <c r="A129" s="123"/>
      <c r="B129" s="125"/>
      <c r="D129" s="125"/>
      <c r="E129" s="125"/>
      <c r="F129" s="125"/>
      <c r="G129" s="125"/>
      <c r="H129" s="125"/>
      <c r="I129" s="125"/>
      <c r="J129" s="126"/>
      <c r="K129" s="125"/>
      <c r="L129" s="125"/>
      <c r="M129" s="136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</row>
    <row r="130" spans="1:38" ht="13.2">
      <c r="A130" s="123"/>
      <c r="B130" s="125"/>
      <c r="D130" s="125"/>
      <c r="E130" s="125"/>
      <c r="F130" s="125"/>
      <c r="G130" s="125"/>
      <c r="H130" s="125"/>
      <c r="I130" s="125"/>
      <c r="J130" s="126"/>
      <c r="K130" s="125"/>
      <c r="L130" s="125"/>
      <c r="M130" s="136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</row>
    <row r="131" spans="1:38" ht="13.2">
      <c r="A131" s="123"/>
      <c r="B131" s="125"/>
      <c r="D131" s="125"/>
      <c r="E131" s="125"/>
      <c r="F131" s="125"/>
      <c r="G131" s="125"/>
      <c r="H131" s="125"/>
      <c r="I131" s="125"/>
      <c r="J131" s="126"/>
      <c r="K131" s="125"/>
      <c r="L131" s="125"/>
      <c r="M131" s="136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</row>
    <row r="132" spans="1:38" ht="13.2">
      <c r="A132" s="123"/>
      <c r="B132" s="125"/>
      <c r="D132" s="125"/>
      <c r="E132" s="125"/>
      <c r="F132" s="125"/>
      <c r="G132" s="125"/>
      <c r="H132" s="125"/>
      <c r="I132" s="125"/>
      <c r="J132" s="126"/>
      <c r="K132" s="125"/>
      <c r="L132" s="125"/>
      <c r="M132" s="136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</row>
    <row r="133" spans="1:38" ht="13.2">
      <c r="A133" s="123"/>
      <c r="B133" s="125"/>
      <c r="D133" s="125"/>
      <c r="E133" s="125"/>
      <c r="F133" s="125"/>
      <c r="G133" s="125"/>
      <c r="H133" s="125"/>
      <c r="I133" s="125"/>
      <c r="J133" s="126"/>
      <c r="K133" s="125"/>
      <c r="L133" s="125"/>
      <c r="M133" s="136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</row>
    <row r="134" spans="1:38" ht="13.2">
      <c r="A134" s="123"/>
      <c r="B134" s="125"/>
      <c r="D134" s="125"/>
      <c r="E134" s="125"/>
      <c r="F134" s="125"/>
      <c r="G134" s="125"/>
      <c r="H134" s="125"/>
      <c r="I134" s="125"/>
      <c r="J134" s="126"/>
      <c r="K134" s="125"/>
      <c r="L134" s="125"/>
      <c r="M134" s="136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</row>
    <row r="135" spans="1:38" ht="13.2">
      <c r="A135" s="123"/>
      <c r="B135" s="125"/>
      <c r="D135" s="125"/>
      <c r="E135" s="125"/>
      <c r="F135" s="125"/>
      <c r="G135" s="125"/>
      <c r="H135" s="125"/>
      <c r="I135" s="125"/>
      <c r="J135" s="126"/>
      <c r="K135" s="125"/>
      <c r="L135" s="125"/>
      <c r="M135" s="136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</row>
    <row r="136" spans="1:38" ht="13.2">
      <c r="A136" s="123"/>
      <c r="B136" s="125"/>
      <c r="D136" s="125"/>
      <c r="E136" s="125"/>
      <c r="F136" s="125"/>
      <c r="G136" s="125"/>
      <c r="H136" s="125"/>
      <c r="I136" s="125"/>
      <c r="J136" s="126"/>
      <c r="K136" s="125"/>
      <c r="L136" s="125"/>
      <c r="M136" s="136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</row>
    <row r="137" spans="1:38" ht="13.2">
      <c r="A137" s="123"/>
      <c r="B137" s="125"/>
      <c r="D137" s="125"/>
      <c r="E137" s="125"/>
      <c r="F137" s="125"/>
      <c r="G137" s="125"/>
      <c r="H137" s="125"/>
      <c r="I137" s="125"/>
      <c r="J137" s="126"/>
      <c r="K137" s="125"/>
      <c r="L137" s="125"/>
      <c r="M137" s="136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</row>
    <row r="138" spans="1:38" ht="13.2">
      <c r="A138" s="123"/>
      <c r="B138" s="125"/>
      <c r="D138" s="125"/>
      <c r="E138" s="125"/>
      <c r="F138" s="125"/>
      <c r="G138" s="125"/>
      <c r="H138" s="125"/>
      <c r="I138" s="125"/>
      <c r="J138" s="126"/>
      <c r="K138" s="125"/>
      <c r="L138" s="125"/>
      <c r="M138" s="136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</row>
    <row r="139" spans="1:38" ht="13.2">
      <c r="A139" s="123"/>
      <c r="B139" s="125"/>
      <c r="D139" s="125"/>
      <c r="E139" s="125"/>
      <c r="F139" s="125"/>
      <c r="G139" s="125"/>
      <c r="H139" s="125"/>
      <c r="I139" s="125"/>
      <c r="J139" s="126"/>
      <c r="K139" s="125"/>
      <c r="L139" s="125"/>
      <c r="M139" s="136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</row>
    <row r="140" spans="1:38" ht="13.2">
      <c r="A140" s="123"/>
      <c r="B140" s="125"/>
      <c r="D140" s="125"/>
      <c r="E140" s="125"/>
      <c r="F140" s="125"/>
      <c r="G140" s="125"/>
      <c r="H140" s="125"/>
      <c r="I140" s="125"/>
      <c r="J140" s="126"/>
      <c r="K140" s="125"/>
      <c r="L140" s="125"/>
      <c r="M140" s="136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</row>
    <row r="141" spans="1:38" ht="13.2">
      <c r="A141" s="123"/>
      <c r="B141" s="125"/>
      <c r="D141" s="125"/>
      <c r="E141" s="125"/>
      <c r="F141" s="125"/>
      <c r="G141" s="125"/>
      <c r="H141" s="125"/>
      <c r="I141" s="125"/>
      <c r="J141" s="126"/>
      <c r="K141" s="125"/>
      <c r="L141" s="125"/>
      <c r="M141" s="136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</row>
    <row r="142" spans="1:38" ht="13.2">
      <c r="A142" s="123"/>
      <c r="B142" s="125"/>
      <c r="D142" s="125"/>
      <c r="E142" s="125"/>
      <c r="F142" s="125"/>
      <c r="G142" s="125"/>
      <c r="H142" s="125"/>
      <c r="I142" s="125"/>
      <c r="J142" s="126"/>
      <c r="K142" s="125"/>
      <c r="L142" s="125"/>
      <c r="M142" s="136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</row>
    <row r="143" spans="1:38" ht="13.2">
      <c r="A143" s="123"/>
      <c r="B143" s="125"/>
      <c r="D143" s="125"/>
      <c r="E143" s="125"/>
      <c r="F143" s="125"/>
      <c r="G143" s="125"/>
      <c r="H143" s="125"/>
      <c r="I143" s="125"/>
      <c r="J143" s="126"/>
      <c r="K143" s="125"/>
      <c r="L143" s="125"/>
      <c r="M143" s="136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</row>
    <row r="144" spans="1:38" ht="13.2">
      <c r="A144" s="123"/>
      <c r="B144" s="125"/>
      <c r="D144" s="125"/>
      <c r="E144" s="125"/>
      <c r="F144" s="125"/>
      <c r="G144" s="125"/>
      <c r="H144" s="125"/>
      <c r="I144" s="125"/>
      <c r="J144" s="126"/>
      <c r="K144" s="125"/>
      <c r="L144" s="125"/>
      <c r="M144" s="136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</row>
    <row r="145" spans="1:38" ht="13.2">
      <c r="A145" s="123"/>
      <c r="B145" s="125"/>
      <c r="D145" s="125"/>
      <c r="E145" s="125"/>
      <c r="F145" s="125"/>
      <c r="G145" s="125"/>
      <c r="H145" s="125"/>
      <c r="I145" s="125"/>
      <c r="J145" s="126"/>
      <c r="K145" s="125"/>
      <c r="L145" s="125"/>
      <c r="M145" s="136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</row>
    <row r="146" spans="1:38" ht="13.2">
      <c r="A146" s="123"/>
      <c r="B146" s="125"/>
      <c r="D146" s="125"/>
      <c r="E146" s="125"/>
      <c r="F146" s="125"/>
      <c r="G146" s="125"/>
      <c r="H146" s="125"/>
      <c r="I146" s="125"/>
      <c r="J146" s="126"/>
      <c r="K146" s="125"/>
      <c r="L146" s="125"/>
      <c r="M146" s="136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</row>
    <row r="147" spans="1:38" ht="13.2">
      <c r="A147" s="123"/>
      <c r="B147" s="125"/>
      <c r="D147" s="125"/>
      <c r="E147" s="125"/>
      <c r="F147" s="125"/>
      <c r="G147" s="125"/>
      <c r="H147" s="125"/>
      <c r="I147" s="125"/>
      <c r="J147" s="126"/>
      <c r="K147" s="125"/>
      <c r="L147" s="125"/>
      <c r="M147" s="136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</row>
    <row r="148" spans="1:38" ht="13.2">
      <c r="A148" s="123"/>
      <c r="B148" s="125"/>
      <c r="D148" s="125"/>
      <c r="E148" s="125"/>
      <c r="F148" s="125"/>
      <c r="G148" s="125"/>
      <c r="H148" s="125"/>
      <c r="I148" s="125"/>
      <c r="J148" s="126"/>
      <c r="K148" s="125"/>
      <c r="L148" s="125"/>
      <c r="M148" s="136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</row>
    <row r="149" spans="1:38" ht="13.2">
      <c r="A149" s="123"/>
      <c r="B149" s="125"/>
      <c r="D149" s="125"/>
      <c r="E149" s="125"/>
      <c r="F149" s="125"/>
      <c r="G149" s="125"/>
      <c r="H149" s="125"/>
      <c r="I149" s="125"/>
      <c r="J149" s="126"/>
      <c r="K149" s="125"/>
      <c r="L149" s="125"/>
      <c r="M149" s="136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</row>
    <row r="150" spans="1:38" ht="13.2">
      <c r="A150" s="123"/>
      <c r="B150" s="125"/>
      <c r="D150" s="125"/>
      <c r="E150" s="125"/>
      <c r="F150" s="125"/>
      <c r="G150" s="125"/>
      <c r="H150" s="125"/>
      <c r="I150" s="125"/>
      <c r="J150" s="126"/>
      <c r="K150" s="125"/>
      <c r="L150" s="125"/>
      <c r="M150" s="136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</row>
    <row r="151" spans="1:38" ht="13.2">
      <c r="A151" s="123"/>
      <c r="B151" s="125"/>
      <c r="D151" s="125"/>
      <c r="E151" s="125"/>
      <c r="F151" s="125"/>
      <c r="G151" s="125"/>
      <c r="H151" s="125"/>
      <c r="I151" s="125"/>
      <c r="J151" s="126"/>
      <c r="K151" s="125"/>
      <c r="L151" s="125"/>
      <c r="M151" s="136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</row>
    <row r="152" spans="1:38" ht="13.2">
      <c r="A152" s="123"/>
      <c r="B152" s="125"/>
      <c r="D152" s="125"/>
      <c r="E152" s="125"/>
      <c r="F152" s="125"/>
      <c r="G152" s="125"/>
      <c r="H152" s="125"/>
      <c r="I152" s="125"/>
      <c r="J152" s="126"/>
      <c r="K152" s="125"/>
      <c r="L152" s="125"/>
      <c r="M152" s="136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</row>
    <row r="153" spans="1:38" ht="13.2">
      <c r="A153" s="123"/>
      <c r="B153" s="125"/>
      <c r="D153" s="125"/>
      <c r="E153" s="125"/>
      <c r="F153" s="125"/>
      <c r="G153" s="125"/>
      <c r="H153" s="125"/>
      <c r="I153" s="125"/>
      <c r="J153" s="126"/>
      <c r="K153" s="125"/>
      <c r="L153" s="125"/>
      <c r="M153" s="136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</row>
    <row r="154" spans="1:38" ht="13.2">
      <c r="A154" s="123"/>
      <c r="B154" s="125"/>
      <c r="D154" s="125"/>
      <c r="E154" s="125"/>
      <c r="F154" s="125"/>
      <c r="G154" s="125"/>
      <c r="H154" s="125"/>
      <c r="I154" s="125"/>
      <c r="J154" s="126"/>
      <c r="K154" s="125"/>
      <c r="L154" s="125"/>
      <c r="M154" s="136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</row>
    <row r="155" spans="1:38" ht="13.2">
      <c r="A155" s="123"/>
      <c r="B155" s="125"/>
      <c r="D155" s="125"/>
      <c r="E155" s="125"/>
      <c r="F155" s="125"/>
      <c r="G155" s="125"/>
      <c r="H155" s="125"/>
      <c r="I155" s="125"/>
      <c r="J155" s="126"/>
      <c r="K155" s="125"/>
      <c r="L155" s="125"/>
      <c r="M155" s="136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</row>
    <row r="156" spans="1:38" ht="13.2">
      <c r="A156" s="123"/>
      <c r="B156" s="125"/>
      <c r="D156" s="125"/>
      <c r="E156" s="125"/>
      <c r="F156" s="125"/>
      <c r="G156" s="125"/>
      <c r="H156" s="125"/>
      <c r="I156" s="125"/>
      <c r="J156" s="126"/>
      <c r="K156" s="125"/>
      <c r="L156" s="125"/>
      <c r="M156" s="136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</row>
    <row r="157" spans="1:38" ht="13.2">
      <c r="A157" s="123"/>
      <c r="B157" s="125"/>
      <c r="D157" s="125"/>
      <c r="E157" s="125"/>
      <c r="F157" s="125"/>
      <c r="G157" s="125"/>
      <c r="H157" s="125"/>
      <c r="I157" s="125"/>
      <c r="J157" s="126"/>
      <c r="K157" s="125"/>
      <c r="L157" s="125"/>
      <c r="M157" s="136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</row>
    <row r="158" spans="1:38" ht="13.2">
      <c r="A158" s="123"/>
      <c r="B158" s="125"/>
      <c r="D158" s="125"/>
      <c r="E158" s="125"/>
      <c r="F158" s="125"/>
      <c r="G158" s="125"/>
      <c r="H158" s="125"/>
      <c r="I158" s="125"/>
      <c r="J158" s="126"/>
      <c r="K158" s="125"/>
      <c r="L158" s="125"/>
      <c r="M158" s="136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</row>
    <row r="159" spans="1:38" ht="13.2">
      <c r="A159" s="123"/>
      <c r="B159" s="125"/>
      <c r="D159" s="125"/>
      <c r="E159" s="125"/>
      <c r="F159" s="125"/>
      <c r="G159" s="125"/>
      <c r="H159" s="125"/>
      <c r="I159" s="125"/>
      <c r="J159" s="126"/>
      <c r="K159" s="125"/>
      <c r="L159" s="125"/>
      <c r="M159" s="136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</row>
    <row r="160" spans="1:38" ht="13.2">
      <c r="A160" s="123"/>
      <c r="B160" s="125"/>
      <c r="D160" s="125"/>
      <c r="E160" s="125"/>
      <c r="F160" s="125"/>
      <c r="G160" s="125"/>
      <c r="H160" s="125"/>
      <c r="I160" s="125"/>
      <c r="J160" s="126"/>
      <c r="K160" s="125"/>
      <c r="L160" s="125"/>
      <c r="M160" s="136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</row>
    <row r="161" spans="1:38" ht="13.2">
      <c r="A161" s="123"/>
      <c r="B161" s="125"/>
      <c r="D161" s="125"/>
      <c r="E161" s="125"/>
      <c r="F161" s="125"/>
      <c r="G161" s="125"/>
      <c r="H161" s="125"/>
      <c r="I161" s="125"/>
      <c r="J161" s="126"/>
      <c r="K161" s="125"/>
      <c r="L161" s="125"/>
      <c r="M161" s="136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</row>
    <row r="162" spans="1:38" ht="13.2">
      <c r="A162" s="123"/>
      <c r="B162" s="125"/>
      <c r="D162" s="125"/>
      <c r="E162" s="125"/>
      <c r="F162" s="125"/>
      <c r="G162" s="125"/>
      <c r="H162" s="125"/>
      <c r="I162" s="125"/>
      <c r="J162" s="126"/>
      <c r="K162" s="125"/>
      <c r="L162" s="125"/>
      <c r="M162" s="136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</row>
    <row r="163" spans="1:38" ht="13.2">
      <c r="A163" s="123"/>
      <c r="B163" s="125"/>
      <c r="D163" s="125"/>
      <c r="E163" s="125"/>
      <c r="F163" s="125"/>
      <c r="G163" s="125"/>
      <c r="H163" s="125"/>
      <c r="I163" s="125"/>
      <c r="J163" s="126"/>
      <c r="K163" s="125"/>
      <c r="L163" s="125"/>
      <c r="M163" s="136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</row>
    <row r="164" spans="1:38" ht="13.2">
      <c r="A164" s="123"/>
      <c r="B164" s="125"/>
      <c r="D164" s="125"/>
      <c r="E164" s="125"/>
      <c r="F164" s="125"/>
      <c r="G164" s="125"/>
      <c r="H164" s="125"/>
      <c r="I164" s="125"/>
      <c r="J164" s="126"/>
      <c r="K164" s="125"/>
      <c r="L164" s="125"/>
      <c r="M164" s="136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</row>
    <row r="165" spans="1:38" ht="13.2">
      <c r="A165" s="123"/>
      <c r="B165" s="125"/>
      <c r="D165" s="125"/>
      <c r="E165" s="125"/>
      <c r="F165" s="125"/>
      <c r="G165" s="125"/>
      <c r="H165" s="125"/>
      <c r="I165" s="125"/>
      <c r="J165" s="126"/>
      <c r="K165" s="125"/>
      <c r="L165" s="125"/>
      <c r="M165" s="136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</row>
    <row r="166" spans="1:38" ht="13.2">
      <c r="A166" s="123"/>
      <c r="B166" s="125"/>
      <c r="D166" s="125"/>
      <c r="E166" s="125"/>
      <c r="F166" s="125"/>
      <c r="G166" s="125"/>
      <c r="H166" s="125"/>
      <c r="I166" s="125"/>
      <c r="J166" s="126"/>
      <c r="K166" s="125"/>
      <c r="L166" s="125"/>
      <c r="M166" s="136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</row>
    <row r="167" spans="1:38" ht="13.2">
      <c r="A167" s="123"/>
      <c r="B167" s="125"/>
      <c r="D167" s="125"/>
      <c r="E167" s="125"/>
      <c r="F167" s="125"/>
      <c r="G167" s="125"/>
      <c r="H167" s="125"/>
      <c r="I167" s="125"/>
      <c r="J167" s="126"/>
      <c r="K167" s="125"/>
      <c r="L167" s="125"/>
      <c r="M167" s="136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</row>
    <row r="168" spans="1:38" ht="13.2">
      <c r="A168" s="123"/>
      <c r="B168" s="125"/>
      <c r="D168" s="125"/>
      <c r="E168" s="125"/>
      <c r="F168" s="125"/>
      <c r="G168" s="125"/>
      <c r="H168" s="125"/>
      <c r="I168" s="125"/>
      <c r="J168" s="126"/>
      <c r="K168" s="125"/>
      <c r="L168" s="125"/>
      <c r="M168" s="136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</row>
    <row r="169" spans="1:38" ht="13.2">
      <c r="A169" s="123"/>
      <c r="B169" s="125"/>
      <c r="D169" s="125"/>
      <c r="E169" s="125"/>
      <c r="F169" s="125"/>
      <c r="G169" s="125"/>
      <c r="H169" s="125"/>
      <c r="I169" s="125"/>
      <c r="J169" s="126"/>
      <c r="K169" s="125"/>
      <c r="L169" s="125"/>
      <c r="M169" s="136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</row>
    <row r="170" spans="1:38" ht="13.2">
      <c r="A170" s="123"/>
      <c r="B170" s="125"/>
      <c r="D170" s="125"/>
      <c r="E170" s="125"/>
      <c r="F170" s="125"/>
      <c r="G170" s="125"/>
      <c r="H170" s="125"/>
      <c r="I170" s="125"/>
      <c r="J170" s="126"/>
      <c r="K170" s="125"/>
      <c r="L170" s="125"/>
      <c r="M170" s="136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</row>
    <row r="171" spans="1:38" ht="13.2">
      <c r="A171" s="123"/>
      <c r="B171" s="125"/>
      <c r="D171" s="125"/>
      <c r="E171" s="125"/>
      <c r="F171" s="125"/>
      <c r="G171" s="125"/>
      <c r="H171" s="125"/>
      <c r="I171" s="125"/>
      <c r="J171" s="126"/>
      <c r="K171" s="125"/>
      <c r="L171" s="125"/>
      <c r="M171" s="136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</row>
    <row r="172" spans="1:38" ht="13.2">
      <c r="A172" s="123"/>
      <c r="B172" s="125"/>
      <c r="D172" s="125"/>
      <c r="E172" s="125"/>
      <c r="F172" s="125"/>
      <c r="G172" s="125"/>
      <c r="H172" s="125"/>
      <c r="I172" s="125"/>
      <c r="J172" s="126"/>
      <c r="K172" s="125"/>
      <c r="L172" s="125"/>
      <c r="M172" s="136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</row>
    <row r="173" spans="1:38" ht="13.2">
      <c r="A173" s="123"/>
      <c r="B173" s="125"/>
      <c r="D173" s="125"/>
      <c r="E173" s="125"/>
      <c r="F173" s="125"/>
      <c r="G173" s="125"/>
      <c r="H173" s="125"/>
      <c r="I173" s="125"/>
      <c r="J173" s="126"/>
      <c r="K173" s="125"/>
      <c r="L173" s="125"/>
      <c r="M173" s="136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</row>
    <row r="174" spans="1:38" ht="13.2">
      <c r="A174" s="123"/>
      <c r="B174" s="125"/>
      <c r="D174" s="125"/>
      <c r="E174" s="125"/>
      <c r="F174" s="125"/>
      <c r="G174" s="125"/>
      <c r="H174" s="125"/>
      <c r="I174" s="125"/>
      <c r="J174" s="126"/>
      <c r="K174" s="125"/>
      <c r="L174" s="125"/>
      <c r="M174" s="136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</row>
    <row r="175" spans="1:38" ht="13.2">
      <c r="A175" s="123"/>
      <c r="B175" s="125"/>
      <c r="D175" s="125"/>
      <c r="E175" s="125"/>
      <c r="F175" s="125"/>
      <c r="G175" s="125"/>
      <c r="H175" s="125"/>
      <c r="I175" s="125"/>
      <c r="J175" s="126"/>
      <c r="K175" s="125"/>
      <c r="L175" s="125"/>
      <c r="M175" s="136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</row>
    <row r="176" spans="1:38" ht="13.2">
      <c r="A176" s="123"/>
      <c r="B176" s="125"/>
      <c r="D176" s="125"/>
      <c r="E176" s="125"/>
      <c r="F176" s="125"/>
      <c r="G176" s="125"/>
      <c r="H176" s="125"/>
      <c r="I176" s="125"/>
      <c r="J176" s="126"/>
      <c r="K176" s="125"/>
      <c r="L176" s="125"/>
      <c r="M176" s="136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</row>
    <row r="177" spans="1:38" ht="13.2">
      <c r="A177" s="123"/>
      <c r="B177" s="125"/>
      <c r="D177" s="125"/>
      <c r="E177" s="125"/>
      <c r="F177" s="125"/>
      <c r="G177" s="125"/>
      <c r="H177" s="125"/>
      <c r="I177" s="125"/>
      <c r="J177" s="126"/>
      <c r="K177" s="125"/>
      <c r="L177" s="125"/>
      <c r="M177" s="136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</row>
    <row r="178" spans="1:38" ht="13.2">
      <c r="A178" s="123"/>
      <c r="B178" s="125"/>
      <c r="D178" s="125"/>
      <c r="E178" s="125"/>
      <c r="F178" s="125"/>
      <c r="G178" s="125"/>
      <c r="H178" s="125"/>
      <c r="I178" s="125"/>
      <c r="J178" s="126"/>
      <c r="K178" s="125"/>
      <c r="L178" s="125"/>
      <c r="M178" s="136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</row>
    <row r="179" spans="1:38" ht="13.2">
      <c r="A179" s="123"/>
      <c r="B179" s="125"/>
      <c r="D179" s="125"/>
      <c r="E179" s="125"/>
      <c r="F179" s="125"/>
      <c r="G179" s="125"/>
      <c r="H179" s="125"/>
      <c r="I179" s="125"/>
      <c r="J179" s="126"/>
      <c r="K179" s="125"/>
      <c r="L179" s="125"/>
      <c r="M179" s="136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</row>
    <row r="180" spans="1:38" ht="13.2">
      <c r="A180" s="123"/>
      <c r="B180" s="125"/>
      <c r="D180" s="125"/>
      <c r="E180" s="125"/>
      <c r="F180" s="125"/>
      <c r="G180" s="125"/>
      <c r="H180" s="125"/>
      <c r="I180" s="125"/>
      <c r="J180" s="126"/>
      <c r="K180" s="125"/>
      <c r="L180" s="125"/>
      <c r="M180" s="136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</row>
    <row r="181" spans="1:38" ht="13.2">
      <c r="A181" s="123"/>
      <c r="B181" s="125"/>
      <c r="D181" s="125"/>
      <c r="E181" s="125"/>
      <c r="F181" s="125"/>
      <c r="G181" s="125"/>
      <c r="H181" s="125"/>
      <c r="I181" s="125"/>
      <c r="J181" s="126"/>
      <c r="K181" s="125"/>
      <c r="L181" s="125"/>
      <c r="M181" s="136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</row>
    <row r="182" spans="1:38" ht="13.2">
      <c r="A182" s="123"/>
      <c r="B182" s="125"/>
      <c r="D182" s="125"/>
      <c r="E182" s="125"/>
      <c r="F182" s="125"/>
      <c r="G182" s="125"/>
      <c r="H182" s="125"/>
      <c r="I182" s="125"/>
      <c r="J182" s="126"/>
      <c r="K182" s="125"/>
      <c r="L182" s="125"/>
      <c r="M182" s="136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</row>
    <row r="183" spans="1:38" ht="13.2">
      <c r="A183" s="123"/>
      <c r="B183" s="125"/>
      <c r="D183" s="125"/>
      <c r="E183" s="125"/>
      <c r="F183" s="125"/>
      <c r="G183" s="125"/>
      <c r="H183" s="125"/>
      <c r="I183" s="125"/>
      <c r="J183" s="126"/>
      <c r="K183" s="125"/>
      <c r="L183" s="125"/>
      <c r="M183" s="136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</row>
    <row r="184" spans="1:38" ht="13.2">
      <c r="A184" s="123"/>
      <c r="B184" s="125"/>
      <c r="D184" s="125"/>
      <c r="E184" s="125"/>
      <c r="F184" s="125"/>
      <c r="G184" s="125"/>
      <c r="H184" s="125"/>
      <c r="I184" s="125"/>
      <c r="J184" s="126"/>
      <c r="K184" s="125"/>
      <c r="L184" s="125"/>
      <c r="M184" s="136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</row>
    <row r="185" spans="1:38" ht="13.2">
      <c r="A185" s="123"/>
      <c r="B185" s="125"/>
      <c r="D185" s="125"/>
      <c r="E185" s="125"/>
      <c r="F185" s="125"/>
      <c r="G185" s="125"/>
      <c r="H185" s="125"/>
      <c r="I185" s="125"/>
      <c r="J185" s="126"/>
      <c r="K185" s="125"/>
      <c r="L185" s="125"/>
      <c r="M185" s="136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</row>
    <row r="186" spans="1:38" ht="13.2">
      <c r="A186" s="123"/>
      <c r="B186" s="125"/>
      <c r="D186" s="125"/>
      <c r="E186" s="125"/>
      <c r="F186" s="125"/>
      <c r="G186" s="125"/>
      <c r="H186" s="125"/>
      <c r="I186" s="125"/>
      <c r="J186" s="126"/>
      <c r="K186" s="125"/>
      <c r="L186" s="125"/>
      <c r="M186" s="136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</row>
    <row r="187" spans="1:38" ht="13.2">
      <c r="A187" s="123"/>
      <c r="B187" s="125"/>
      <c r="D187" s="125"/>
      <c r="E187" s="125"/>
      <c r="F187" s="125"/>
      <c r="G187" s="125"/>
      <c r="H187" s="125"/>
      <c r="I187" s="125"/>
      <c r="J187" s="126"/>
      <c r="K187" s="125"/>
      <c r="L187" s="125"/>
      <c r="M187" s="136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</row>
    <row r="188" spans="1:38" ht="13.2">
      <c r="A188" s="123"/>
      <c r="B188" s="125"/>
      <c r="D188" s="125"/>
      <c r="E188" s="125"/>
      <c r="F188" s="125"/>
      <c r="G188" s="125"/>
      <c r="H188" s="125"/>
      <c r="I188" s="125"/>
      <c r="J188" s="126"/>
      <c r="K188" s="125"/>
      <c r="L188" s="125"/>
      <c r="M188" s="136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</row>
    <row r="189" spans="1:38" ht="13.2">
      <c r="A189" s="123"/>
      <c r="B189" s="125"/>
      <c r="D189" s="125"/>
      <c r="E189" s="125"/>
      <c r="F189" s="125"/>
      <c r="G189" s="125"/>
      <c r="H189" s="125"/>
      <c r="I189" s="125"/>
      <c r="J189" s="126"/>
      <c r="K189" s="125"/>
      <c r="L189" s="125"/>
      <c r="M189" s="136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</row>
    <row r="190" spans="1:38" ht="13.2">
      <c r="A190" s="123"/>
      <c r="B190" s="125"/>
      <c r="D190" s="125"/>
      <c r="E190" s="125"/>
      <c r="F190" s="125"/>
      <c r="G190" s="125"/>
      <c r="H190" s="125"/>
      <c r="I190" s="125"/>
      <c r="J190" s="126"/>
      <c r="K190" s="125"/>
      <c r="L190" s="125"/>
      <c r="M190" s="136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</row>
    <row r="191" spans="1:38" ht="13.2">
      <c r="A191" s="123"/>
      <c r="B191" s="125"/>
      <c r="D191" s="125"/>
      <c r="E191" s="125"/>
      <c r="F191" s="125"/>
      <c r="G191" s="125"/>
      <c r="H191" s="125"/>
      <c r="I191" s="125"/>
      <c r="J191" s="126"/>
      <c r="K191" s="125"/>
      <c r="L191" s="125"/>
      <c r="M191" s="136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</row>
    <row r="192" spans="1:38" ht="13.2">
      <c r="A192" s="123"/>
      <c r="B192" s="125"/>
      <c r="D192" s="125"/>
      <c r="E192" s="125"/>
      <c r="F192" s="125"/>
      <c r="G192" s="125"/>
      <c r="H192" s="125"/>
      <c r="I192" s="125"/>
      <c r="J192" s="126"/>
      <c r="K192" s="125"/>
      <c r="L192" s="125"/>
      <c r="M192" s="136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</row>
    <row r="193" spans="1:38" ht="13.2">
      <c r="A193" s="123"/>
      <c r="B193" s="125"/>
      <c r="D193" s="125"/>
      <c r="E193" s="125"/>
      <c r="F193" s="125"/>
      <c r="G193" s="125"/>
      <c r="H193" s="125"/>
      <c r="I193" s="125"/>
      <c r="J193" s="126"/>
      <c r="K193" s="125"/>
      <c r="L193" s="125"/>
      <c r="M193" s="136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</row>
    <row r="194" spans="1:38" ht="13.2">
      <c r="A194" s="123"/>
      <c r="B194" s="125"/>
      <c r="D194" s="125"/>
      <c r="E194" s="125"/>
      <c r="F194" s="125"/>
      <c r="G194" s="125"/>
      <c r="H194" s="125"/>
      <c r="I194" s="125"/>
      <c r="J194" s="126"/>
      <c r="K194" s="125"/>
      <c r="L194" s="125"/>
      <c r="M194" s="136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</row>
    <row r="195" spans="1:38" ht="13.2">
      <c r="A195" s="123"/>
      <c r="B195" s="125"/>
      <c r="D195" s="125"/>
      <c r="E195" s="125"/>
      <c r="F195" s="125"/>
      <c r="G195" s="125"/>
      <c r="H195" s="125"/>
      <c r="I195" s="125"/>
      <c r="J195" s="126"/>
      <c r="K195" s="125"/>
      <c r="L195" s="125"/>
      <c r="M195" s="136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</row>
    <row r="196" spans="1:38" ht="13.2">
      <c r="A196" s="123"/>
      <c r="B196" s="125"/>
      <c r="D196" s="125"/>
      <c r="E196" s="125"/>
      <c r="F196" s="125"/>
      <c r="G196" s="125"/>
      <c r="H196" s="125"/>
      <c r="I196" s="125"/>
      <c r="J196" s="126"/>
      <c r="K196" s="125"/>
      <c r="L196" s="125"/>
      <c r="M196" s="136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</row>
    <row r="197" spans="1:38" ht="13.2">
      <c r="A197" s="123"/>
      <c r="B197" s="125"/>
      <c r="D197" s="125"/>
      <c r="E197" s="125"/>
      <c r="F197" s="125"/>
      <c r="G197" s="125"/>
      <c r="H197" s="125"/>
      <c r="I197" s="125"/>
      <c r="J197" s="126"/>
      <c r="K197" s="125"/>
      <c r="L197" s="125"/>
      <c r="M197" s="136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</row>
    <row r="198" spans="1:38" ht="13.2">
      <c r="A198" s="123"/>
      <c r="B198" s="125"/>
      <c r="D198" s="125"/>
      <c r="E198" s="125"/>
      <c r="F198" s="125"/>
      <c r="G198" s="125"/>
      <c r="H198" s="125"/>
      <c r="I198" s="125"/>
      <c r="J198" s="126"/>
      <c r="K198" s="125"/>
      <c r="L198" s="125"/>
      <c r="M198" s="136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</row>
    <row r="199" spans="1:38" ht="13.2">
      <c r="A199" s="123"/>
      <c r="B199" s="125"/>
      <c r="D199" s="125"/>
      <c r="E199" s="125"/>
      <c r="F199" s="125"/>
      <c r="G199" s="125"/>
      <c r="H199" s="125"/>
      <c r="I199" s="125"/>
      <c r="J199" s="126"/>
      <c r="K199" s="125"/>
      <c r="L199" s="125"/>
      <c r="M199" s="136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</row>
    <row r="200" spans="1:38" ht="13.2">
      <c r="A200" s="123"/>
      <c r="B200" s="125"/>
      <c r="D200" s="125"/>
      <c r="E200" s="125"/>
      <c r="F200" s="125"/>
      <c r="G200" s="125"/>
      <c r="H200" s="125"/>
      <c r="I200" s="125"/>
      <c r="J200" s="126"/>
      <c r="K200" s="125"/>
      <c r="L200" s="125"/>
      <c r="M200" s="136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</row>
    <row r="201" spans="1:38" ht="13.2">
      <c r="A201" s="123"/>
      <c r="B201" s="125"/>
      <c r="D201" s="125"/>
      <c r="E201" s="125"/>
      <c r="F201" s="125"/>
      <c r="G201" s="125"/>
      <c r="H201" s="125"/>
      <c r="I201" s="125"/>
      <c r="J201" s="126"/>
      <c r="K201" s="125"/>
      <c r="L201" s="125"/>
      <c r="M201" s="136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</row>
    <row r="202" spans="1:38" ht="13.2">
      <c r="A202" s="123"/>
      <c r="B202" s="125"/>
      <c r="D202" s="125"/>
      <c r="E202" s="125"/>
      <c r="F202" s="125"/>
      <c r="G202" s="125"/>
      <c r="H202" s="125"/>
      <c r="I202" s="125"/>
      <c r="J202" s="126"/>
      <c r="K202" s="125"/>
      <c r="L202" s="125"/>
      <c r="M202" s="136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</row>
    <row r="203" spans="1:38" ht="13.2">
      <c r="A203" s="123"/>
      <c r="B203" s="125"/>
      <c r="D203" s="125"/>
      <c r="E203" s="125"/>
      <c r="F203" s="125"/>
      <c r="G203" s="125"/>
      <c r="H203" s="125"/>
      <c r="I203" s="125"/>
      <c r="J203" s="126"/>
      <c r="K203" s="125"/>
      <c r="L203" s="125"/>
      <c r="M203" s="136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</row>
    <row r="204" spans="1:38" ht="13.2">
      <c r="A204" s="123"/>
      <c r="B204" s="125"/>
      <c r="D204" s="125"/>
      <c r="E204" s="125"/>
      <c r="F204" s="125"/>
      <c r="G204" s="125"/>
      <c r="H204" s="125"/>
      <c r="I204" s="125"/>
      <c r="J204" s="126"/>
      <c r="K204" s="125"/>
      <c r="L204" s="125"/>
      <c r="M204" s="136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</row>
    <row r="205" spans="1:38" ht="13.2">
      <c r="A205" s="123"/>
      <c r="B205" s="125"/>
      <c r="D205" s="125"/>
      <c r="E205" s="125"/>
      <c r="F205" s="125"/>
      <c r="G205" s="125"/>
      <c r="H205" s="125"/>
      <c r="I205" s="125"/>
      <c r="J205" s="126"/>
      <c r="K205" s="125"/>
      <c r="L205" s="125"/>
      <c r="M205" s="136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</row>
    <row r="206" spans="1:38" ht="13.2">
      <c r="A206" s="123"/>
      <c r="B206" s="125"/>
      <c r="D206" s="125"/>
      <c r="E206" s="125"/>
      <c r="F206" s="125"/>
      <c r="G206" s="125"/>
      <c r="H206" s="125"/>
      <c r="I206" s="125"/>
      <c r="J206" s="126"/>
      <c r="K206" s="125"/>
      <c r="L206" s="125"/>
      <c r="M206" s="136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</row>
    <row r="207" spans="1:38" ht="13.2">
      <c r="A207" s="123"/>
      <c r="B207" s="125"/>
      <c r="D207" s="125"/>
      <c r="E207" s="125"/>
      <c r="F207" s="125"/>
      <c r="G207" s="125"/>
      <c r="H207" s="125"/>
      <c r="I207" s="125"/>
      <c r="J207" s="126"/>
      <c r="K207" s="125"/>
      <c r="L207" s="125"/>
      <c r="M207" s="136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</row>
    <row r="208" spans="1:38" ht="13.2">
      <c r="A208" s="123"/>
      <c r="B208" s="125"/>
      <c r="D208" s="125"/>
      <c r="E208" s="125"/>
      <c r="F208" s="125"/>
      <c r="G208" s="125"/>
      <c r="H208" s="125"/>
      <c r="I208" s="125"/>
      <c r="J208" s="126"/>
      <c r="K208" s="125"/>
      <c r="L208" s="125"/>
      <c r="M208" s="136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</row>
    <row r="209" spans="1:38" ht="13.2">
      <c r="A209" s="123"/>
      <c r="B209" s="125"/>
      <c r="D209" s="125"/>
      <c r="E209" s="125"/>
      <c r="F209" s="125"/>
      <c r="G209" s="125"/>
      <c r="H209" s="125"/>
      <c r="I209" s="125"/>
      <c r="J209" s="126"/>
      <c r="K209" s="125"/>
      <c r="L209" s="125"/>
      <c r="M209" s="136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</row>
    <row r="210" spans="1:38" ht="13.2">
      <c r="A210" s="123"/>
      <c r="B210" s="125"/>
      <c r="D210" s="125"/>
      <c r="E210" s="125"/>
      <c r="F210" s="125"/>
      <c r="G210" s="125"/>
      <c r="H210" s="125"/>
      <c r="I210" s="125"/>
      <c r="J210" s="126"/>
      <c r="K210" s="125"/>
      <c r="L210" s="125"/>
      <c r="M210" s="136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</row>
    <row r="211" spans="1:38" ht="13.2">
      <c r="A211" s="123"/>
      <c r="B211" s="125"/>
      <c r="D211" s="125"/>
      <c r="E211" s="125"/>
      <c r="F211" s="125"/>
      <c r="G211" s="125"/>
      <c r="H211" s="125"/>
      <c r="I211" s="125"/>
      <c r="J211" s="126"/>
      <c r="K211" s="125"/>
      <c r="L211" s="125"/>
      <c r="M211" s="136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</row>
    <row r="212" spans="1:38" ht="13.2">
      <c r="A212" s="123"/>
      <c r="B212" s="125"/>
      <c r="D212" s="125"/>
      <c r="E212" s="125"/>
      <c r="F212" s="125"/>
      <c r="G212" s="125"/>
      <c r="H212" s="125"/>
      <c r="I212" s="125"/>
      <c r="J212" s="126"/>
      <c r="K212" s="125"/>
      <c r="L212" s="125"/>
      <c r="M212" s="136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</row>
    <row r="213" spans="1:38" ht="13.2">
      <c r="A213" s="123"/>
      <c r="B213" s="125"/>
      <c r="D213" s="125"/>
      <c r="E213" s="125"/>
      <c r="F213" s="125"/>
      <c r="G213" s="125"/>
      <c r="H213" s="125"/>
      <c r="I213" s="125"/>
      <c r="J213" s="126"/>
      <c r="K213" s="125"/>
      <c r="L213" s="125"/>
      <c r="M213" s="136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</row>
    <row r="214" spans="1:38" ht="13.2">
      <c r="A214" s="123"/>
      <c r="B214" s="125"/>
      <c r="D214" s="125"/>
      <c r="E214" s="125"/>
      <c r="F214" s="125"/>
      <c r="G214" s="125"/>
      <c r="H214" s="125"/>
      <c r="I214" s="125"/>
      <c r="J214" s="126"/>
      <c r="K214" s="125"/>
      <c r="L214" s="125"/>
      <c r="M214" s="136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</row>
    <row r="215" spans="1:38" ht="13.2">
      <c r="A215" s="123"/>
      <c r="B215" s="125"/>
      <c r="D215" s="125"/>
      <c r="E215" s="125"/>
      <c r="F215" s="125"/>
      <c r="G215" s="125"/>
      <c r="H215" s="125"/>
      <c r="I215" s="125"/>
      <c r="J215" s="126"/>
      <c r="K215" s="125"/>
      <c r="L215" s="125"/>
      <c r="M215" s="136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</row>
    <row r="216" spans="1:38" ht="13.2">
      <c r="A216" s="123"/>
      <c r="B216" s="125"/>
      <c r="D216" s="125"/>
      <c r="E216" s="125"/>
      <c r="F216" s="125"/>
      <c r="G216" s="125"/>
      <c r="H216" s="125"/>
      <c r="I216" s="125"/>
      <c r="J216" s="126"/>
      <c r="K216" s="125"/>
      <c r="L216" s="125"/>
      <c r="M216" s="136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</row>
    <row r="217" spans="1:38" ht="13.2">
      <c r="A217" s="123"/>
      <c r="B217" s="125"/>
      <c r="D217" s="125"/>
      <c r="E217" s="125"/>
      <c r="F217" s="125"/>
      <c r="G217" s="125"/>
      <c r="H217" s="125"/>
      <c r="I217" s="125"/>
      <c r="J217" s="126"/>
      <c r="K217" s="125"/>
      <c r="L217" s="125"/>
      <c r="M217" s="136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</row>
    <row r="218" spans="1:38" ht="13.2">
      <c r="A218" s="123"/>
      <c r="B218" s="125"/>
      <c r="D218" s="125"/>
      <c r="E218" s="125"/>
      <c r="F218" s="125"/>
      <c r="G218" s="125"/>
      <c r="H218" s="125"/>
      <c r="I218" s="125"/>
      <c r="J218" s="126"/>
      <c r="K218" s="125"/>
      <c r="L218" s="125"/>
      <c r="M218" s="136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</row>
    <row r="219" spans="1:38" ht="13.2">
      <c r="A219" s="123"/>
      <c r="B219" s="125"/>
      <c r="D219" s="125"/>
      <c r="E219" s="125"/>
      <c r="F219" s="125"/>
      <c r="G219" s="125"/>
      <c r="H219" s="125"/>
      <c r="I219" s="125"/>
      <c r="J219" s="126"/>
      <c r="K219" s="125"/>
      <c r="L219" s="125"/>
      <c r="M219" s="136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</row>
    <row r="220" spans="1:38" ht="13.2">
      <c r="A220" s="123"/>
      <c r="B220" s="125"/>
      <c r="D220" s="125"/>
      <c r="E220" s="125"/>
      <c r="F220" s="125"/>
      <c r="G220" s="125"/>
      <c r="H220" s="125"/>
      <c r="I220" s="125"/>
      <c r="J220" s="126"/>
      <c r="K220" s="125"/>
      <c r="L220" s="125"/>
      <c r="M220" s="136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</row>
    <row r="221" spans="1:38" ht="13.2">
      <c r="A221" s="123"/>
      <c r="B221" s="125"/>
      <c r="D221" s="125"/>
      <c r="E221" s="125"/>
      <c r="F221" s="125"/>
      <c r="G221" s="125"/>
      <c r="H221" s="125"/>
      <c r="I221" s="125"/>
      <c r="J221" s="126"/>
      <c r="K221" s="125"/>
      <c r="L221" s="125"/>
      <c r="M221" s="136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</row>
    <row r="222" spans="1:38" ht="13.2">
      <c r="A222" s="123"/>
      <c r="B222" s="125"/>
      <c r="D222" s="125"/>
      <c r="E222" s="125"/>
      <c r="F222" s="125"/>
      <c r="G222" s="125"/>
      <c r="H222" s="125"/>
      <c r="I222" s="125"/>
      <c r="J222" s="126"/>
      <c r="K222" s="125"/>
      <c r="L222" s="125"/>
      <c r="M222" s="136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</row>
    <row r="223" spans="1:38" ht="13.2">
      <c r="A223" s="123"/>
      <c r="B223" s="125"/>
      <c r="D223" s="125"/>
      <c r="E223" s="125"/>
      <c r="F223" s="125"/>
      <c r="G223" s="125"/>
      <c r="H223" s="125"/>
      <c r="I223" s="125"/>
      <c r="J223" s="126"/>
      <c r="K223" s="125"/>
      <c r="L223" s="125"/>
      <c r="M223" s="136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</row>
    <row r="224" spans="1:38" ht="13.2">
      <c r="A224" s="123"/>
      <c r="B224" s="125"/>
      <c r="D224" s="125"/>
      <c r="E224" s="125"/>
      <c r="F224" s="125"/>
      <c r="G224" s="125"/>
      <c r="H224" s="125"/>
      <c r="I224" s="125"/>
      <c r="J224" s="126"/>
      <c r="K224" s="125"/>
      <c r="L224" s="125"/>
      <c r="M224" s="136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</row>
    <row r="225" spans="1:38" ht="13.2">
      <c r="A225" s="123"/>
      <c r="B225" s="125"/>
      <c r="D225" s="125"/>
      <c r="E225" s="125"/>
      <c r="F225" s="125"/>
      <c r="G225" s="125"/>
      <c r="H225" s="125"/>
      <c r="I225" s="125"/>
      <c r="J225" s="126"/>
      <c r="K225" s="125"/>
      <c r="L225" s="125"/>
      <c r="M225" s="136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</row>
    <row r="226" spans="1:38" ht="13.2">
      <c r="A226" s="123"/>
      <c r="B226" s="125"/>
      <c r="D226" s="125"/>
      <c r="E226" s="125"/>
      <c r="F226" s="125"/>
      <c r="G226" s="125"/>
      <c r="H226" s="125"/>
      <c r="I226" s="125"/>
      <c r="J226" s="126"/>
      <c r="K226" s="125"/>
      <c r="L226" s="125"/>
      <c r="M226" s="136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</row>
    <row r="227" spans="1:38" ht="13.2">
      <c r="A227" s="123"/>
      <c r="B227" s="125"/>
      <c r="D227" s="125"/>
      <c r="E227" s="125"/>
      <c r="F227" s="125"/>
      <c r="G227" s="125"/>
      <c r="H227" s="125"/>
      <c r="I227" s="125"/>
      <c r="J227" s="126"/>
      <c r="K227" s="125"/>
      <c r="L227" s="125"/>
      <c r="M227" s="136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</row>
    <row r="228" spans="1:38" ht="13.2">
      <c r="A228" s="123"/>
      <c r="B228" s="125"/>
      <c r="D228" s="125"/>
      <c r="E228" s="125"/>
      <c r="F228" s="125"/>
      <c r="G228" s="125"/>
      <c r="H228" s="125"/>
      <c r="I228" s="125"/>
      <c r="J228" s="126"/>
      <c r="K228" s="125"/>
      <c r="L228" s="125"/>
      <c r="M228" s="136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</row>
    <row r="229" spans="1:38" ht="13.2">
      <c r="A229" s="123"/>
      <c r="B229" s="125"/>
      <c r="D229" s="125"/>
      <c r="E229" s="125"/>
      <c r="F229" s="125"/>
      <c r="G229" s="125"/>
      <c r="H229" s="125"/>
      <c r="I229" s="125"/>
      <c r="J229" s="126"/>
      <c r="K229" s="125"/>
      <c r="L229" s="125"/>
      <c r="M229" s="136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</row>
    <row r="230" spans="1:38" ht="13.2">
      <c r="A230" s="123"/>
      <c r="B230" s="125"/>
      <c r="D230" s="125"/>
      <c r="E230" s="125"/>
      <c r="F230" s="125"/>
      <c r="G230" s="125"/>
      <c r="H230" s="125"/>
      <c r="I230" s="125"/>
      <c r="J230" s="126"/>
      <c r="K230" s="125"/>
      <c r="L230" s="125"/>
      <c r="M230" s="136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</row>
    <row r="231" spans="1:38" ht="13.2">
      <c r="A231" s="123"/>
      <c r="B231" s="125"/>
      <c r="D231" s="125"/>
      <c r="E231" s="125"/>
      <c r="F231" s="125"/>
      <c r="G231" s="125"/>
      <c r="H231" s="125"/>
      <c r="I231" s="125"/>
      <c r="J231" s="126"/>
      <c r="K231" s="125"/>
      <c r="L231" s="125"/>
      <c r="M231" s="136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</row>
    <row r="232" spans="1:38" ht="13.2">
      <c r="A232" s="123"/>
      <c r="B232" s="125"/>
      <c r="D232" s="125"/>
      <c r="E232" s="125"/>
      <c r="F232" s="125"/>
      <c r="G232" s="125"/>
      <c r="H232" s="125"/>
      <c r="I232" s="125"/>
      <c r="J232" s="126"/>
      <c r="K232" s="125"/>
      <c r="L232" s="125"/>
      <c r="M232" s="136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</row>
    <row r="233" spans="1:38" ht="13.2">
      <c r="A233" s="123"/>
      <c r="B233" s="125"/>
      <c r="D233" s="125"/>
      <c r="E233" s="125"/>
      <c r="F233" s="125"/>
      <c r="G233" s="125"/>
      <c r="H233" s="125"/>
      <c r="I233" s="125"/>
      <c r="J233" s="126"/>
      <c r="K233" s="125"/>
      <c r="L233" s="125"/>
      <c r="M233" s="136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</row>
    <row r="234" spans="1:38" ht="13.2">
      <c r="A234" s="123"/>
      <c r="B234" s="125"/>
      <c r="D234" s="125"/>
      <c r="E234" s="125"/>
      <c r="F234" s="125"/>
      <c r="G234" s="125"/>
      <c r="H234" s="125"/>
      <c r="I234" s="125"/>
      <c r="J234" s="126"/>
      <c r="K234" s="125"/>
      <c r="L234" s="125"/>
      <c r="M234" s="136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</row>
    <row r="235" spans="1:38" ht="13.2">
      <c r="A235" s="123"/>
      <c r="B235" s="125"/>
      <c r="D235" s="125"/>
      <c r="E235" s="125"/>
      <c r="F235" s="125"/>
      <c r="G235" s="125"/>
      <c r="H235" s="125"/>
      <c r="I235" s="125"/>
      <c r="J235" s="126"/>
      <c r="K235" s="125"/>
      <c r="L235" s="125"/>
      <c r="M235" s="136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</row>
    <row r="236" spans="1:38" ht="13.2">
      <c r="A236" s="123"/>
      <c r="B236" s="125"/>
      <c r="D236" s="125"/>
      <c r="E236" s="125"/>
      <c r="F236" s="125"/>
      <c r="G236" s="125"/>
      <c r="H236" s="125"/>
      <c r="I236" s="125"/>
      <c r="J236" s="126"/>
      <c r="K236" s="125"/>
      <c r="L236" s="125"/>
      <c r="M236" s="136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</row>
    <row r="237" spans="1:38" ht="13.2">
      <c r="A237" s="123"/>
      <c r="B237" s="125"/>
      <c r="D237" s="125"/>
      <c r="E237" s="125"/>
      <c r="F237" s="125"/>
      <c r="G237" s="125"/>
      <c r="H237" s="125"/>
      <c r="I237" s="125"/>
      <c r="J237" s="126"/>
      <c r="K237" s="125"/>
      <c r="L237" s="125"/>
      <c r="M237" s="136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</row>
    <row r="238" spans="1:38" ht="13.2">
      <c r="A238" s="123"/>
      <c r="B238" s="125"/>
      <c r="D238" s="125"/>
      <c r="E238" s="125"/>
      <c r="F238" s="125"/>
      <c r="G238" s="125"/>
      <c r="H238" s="125"/>
      <c r="I238" s="125"/>
      <c r="J238" s="126"/>
      <c r="K238" s="125"/>
      <c r="L238" s="125"/>
      <c r="M238" s="136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</row>
    <row r="239" spans="1:38" ht="13.2">
      <c r="A239" s="123"/>
      <c r="B239" s="125"/>
      <c r="D239" s="125"/>
      <c r="E239" s="125"/>
      <c r="F239" s="125"/>
      <c r="G239" s="125"/>
      <c r="H239" s="125"/>
      <c r="I239" s="125"/>
      <c r="J239" s="126"/>
      <c r="K239" s="125"/>
      <c r="L239" s="125"/>
      <c r="M239" s="136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</row>
    <row r="240" spans="1:38" ht="13.2">
      <c r="A240" s="123"/>
      <c r="B240" s="125"/>
      <c r="D240" s="125"/>
      <c r="E240" s="125"/>
      <c r="F240" s="125"/>
      <c r="G240" s="125"/>
      <c r="H240" s="125"/>
      <c r="I240" s="125"/>
      <c r="J240" s="126"/>
      <c r="K240" s="125"/>
      <c r="L240" s="125"/>
      <c r="M240" s="136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</row>
    <row r="241" spans="1:38" ht="13.2">
      <c r="A241" s="123"/>
      <c r="B241" s="125"/>
      <c r="D241" s="125"/>
      <c r="E241" s="125"/>
      <c r="F241" s="125"/>
      <c r="G241" s="125"/>
      <c r="H241" s="125"/>
      <c r="I241" s="125"/>
      <c r="J241" s="126"/>
      <c r="K241" s="125"/>
      <c r="L241" s="125"/>
      <c r="M241" s="136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</row>
    <row r="242" spans="1:38" ht="13.2">
      <c r="A242" s="123"/>
      <c r="B242" s="125"/>
      <c r="D242" s="125"/>
      <c r="E242" s="125"/>
      <c r="F242" s="125"/>
      <c r="G242" s="125"/>
      <c r="H242" s="125"/>
      <c r="I242" s="125"/>
      <c r="J242" s="126"/>
      <c r="K242" s="125"/>
      <c r="L242" s="125"/>
      <c r="M242" s="136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</row>
    <row r="243" spans="1:38" ht="13.2">
      <c r="A243" s="123"/>
      <c r="B243" s="125"/>
      <c r="D243" s="125"/>
      <c r="E243" s="125"/>
      <c r="F243" s="125"/>
      <c r="G243" s="125"/>
      <c r="H243" s="125"/>
      <c r="I243" s="125"/>
      <c r="J243" s="126"/>
      <c r="K243" s="125"/>
      <c r="L243" s="125"/>
      <c r="M243" s="136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</row>
    <row r="244" spans="1:38" ht="13.2">
      <c r="A244" s="123"/>
      <c r="B244" s="125"/>
      <c r="D244" s="125"/>
      <c r="E244" s="125"/>
      <c r="F244" s="125"/>
      <c r="G244" s="125"/>
      <c r="H244" s="125"/>
      <c r="I244" s="125"/>
      <c r="J244" s="126"/>
      <c r="K244" s="125"/>
      <c r="L244" s="125"/>
      <c r="M244" s="136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</row>
    <row r="245" spans="1:38" ht="13.2">
      <c r="A245" s="123"/>
      <c r="B245" s="125"/>
      <c r="D245" s="125"/>
      <c r="E245" s="125"/>
      <c r="F245" s="125"/>
      <c r="G245" s="125"/>
      <c r="H245" s="125"/>
      <c r="I245" s="125"/>
      <c r="J245" s="126"/>
      <c r="K245" s="125"/>
      <c r="L245" s="125"/>
      <c r="M245" s="136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</row>
    <row r="246" spans="1:38" ht="13.2">
      <c r="A246" s="123"/>
      <c r="B246" s="125"/>
      <c r="D246" s="125"/>
      <c r="E246" s="125"/>
      <c r="F246" s="125"/>
      <c r="G246" s="125"/>
      <c r="H246" s="125"/>
      <c r="I246" s="125"/>
      <c r="J246" s="126"/>
      <c r="K246" s="125"/>
      <c r="L246" s="125"/>
      <c r="M246" s="136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</row>
    <row r="247" spans="1:38" ht="13.2">
      <c r="A247" s="123"/>
      <c r="B247" s="125"/>
      <c r="D247" s="125"/>
      <c r="E247" s="125"/>
      <c r="F247" s="125"/>
      <c r="G247" s="125"/>
      <c r="H247" s="125"/>
      <c r="I247" s="125"/>
      <c r="J247" s="126"/>
      <c r="K247" s="125"/>
      <c r="L247" s="125"/>
      <c r="M247" s="136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</row>
    <row r="248" spans="1:38" ht="13.2">
      <c r="A248" s="123"/>
      <c r="B248" s="125"/>
      <c r="D248" s="125"/>
      <c r="E248" s="125"/>
      <c r="F248" s="125"/>
      <c r="G248" s="125"/>
      <c r="H248" s="125"/>
      <c r="I248" s="125"/>
      <c r="J248" s="126"/>
      <c r="K248" s="125"/>
      <c r="L248" s="125"/>
      <c r="M248" s="136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</row>
    <row r="249" spans="1:38" ht="13.2">
      <c r="A249" s="123"/>
      <c r="B249" s="125"/>
      <c r="D249" s="125"/>
      <c r="E249" s="125"/>
      <c r="F249" s="125"/>
      <c r="G249" s="125"/>
      <c r="H249" s="125"/>
      <c r="I249" s="125"/>
      <c r="J249" s="126"/>
      <c r="K249" s="125"/>
      <c r="L249" s="125"/>
      <c r="M249" s="136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</row>
    <row r="250" spans="1:38" ht="13.2">
      <c r="A250" s="123"/>
      <c r="B250" s="125"/>
      <c r="D250" s="125"/>
      <c r="E250" s="125"/>
      <c r="F250" s="125"/>
      <c r="G250" s="125"/>
      <c r="H250" s="125"/>
      <c r="I250" s="125"/>
      <c r="J250" s="126"/>
      <c r="K250" s="125"/>
      <c r="L250" s="125"/>
      <c r="M250" s="136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</row>
    <row r="251" spans="1:38" ht="13.2">
      <c r="A251" s="123"/>
      <c r="B251" s="125"/>
      <c r="D251" s="125"/>
      <c r="E251" s="125"/>
      <c r="F251" s="125"/>
      <c r="G251" s="125"/>
      <c r="H251" s="125"/>
      <c r="I251" s="125"/>
      <c r="J251" s="126"/>
      <c r="K251" s="125"/>
      <c r="L251" s="125"/>
      <c r="M251" s="136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</row>
    <row r="252" spans="1:38" ht="13.2">
      <c r="A252" s="123"/>
      <c r="B252" s="125"/>
      <c r="D252" s="125"/>
      <c r="E252" s="125"/>
      <c r="F252" s="125"/>
      <c r="G252" s="125"/>
      <c r="H252" s="125"/>
      <c r="I252" s="125"/>
      <c r="J252" s="126"/>
      <c r="K252" s="125"/>
      <c r="L252" s="125"/>
      <c r="M252" s="136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</row>
    <row r="253" spans="1:38" ht="13.2">
      <c r="A253" s="123"/>
      <c r="B253" s="125"/>
      <c r="D253" s="125"/>
      <c r="E253" s="125"/>
      <c r="F253" s="125"/>
      <c r="G253" s="125"/>
      <c r="H253" s="125"/>
      <c r="I253" s="125"/>
      <c r="J253" s="126"/>
      <c r="K253" s="125"/>
      <c r="L253" s="125"/>
      <c r="M253" s="136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</row>
    <row r="254" spans="1:38" ht="13.2">
      <c r="A254" s="123"/>
      <c r="B254" s="125"/>
      <c r="D254" s="125"/>
      <c r="E254" s="125"/>
      <c r="F254" s="125"/>
      <c r="G254" s="125"/>
      <c r="H254" s="125"/>
      <c r="I254" s="125"/>
      <c r="J254" s="126"/>
      <c r="K254" s="125"/>
      <c r="L254" s="125"/>
      <c r="M254" s="136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</row>
    <row r="255" spans="1:38" ht="13.2">
      <c r="A255" s="123"/>
      <c r="B255" s="125"/>
      <c r="D255" s="125"/>
      <c r="E255" s="125"/>
      <c r="F255" s="125"/>
      <c r="G255" s="125"/>
      <c r="H255" s="125"/>
      <c r="I255" s="125"/>
      <c r="J255" s="126"/>
      <c r="K255" s="125"/>
      <c r="L255" s="125"/>
      <c r="M255" s="136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</row>
    <row r="256" spans="1:38" ht="13.2">
      <c r="A256" s="123"/>
      <c r="B256" s="125"/>
      <c r="D256" s="125"/>
      <c r="E256" s="125"/>
      <c r="F256" s="125"/>
      <c r="G256" s="125"/>
      <c r="H256" s="125"/>
      <c r="I256" s="125"/>
      <c r="J256" s="126"/>
      <c r="K256" s="125"/>
      <c r="L256" s="125"/>
      <c r="M256" s="136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</row>
    <row r="257" spans="1:38" ht="13.2">
      <c r="A257" s="123"/>
      <c r="B257" s="125"/>
      <c r="D257" s="125"/>
      <c r="E257" s="125"/>
      <c r="F257" s="125"/>
      <c r="G257" s="125"/>
      <c r="H257" s="125"/>
      <c r="I257" s="125"/>
      <c r="J257" s="126"/>
      <c r="K257" s="125"/>
      <c r="L257" s="125"/>
      <c r="M257" s="136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</row>
    <row r="258" spans="1:38" ht="13.2">
      <c r="A258" s="123"/>
      <c r="B258" s="125"/>
      <c r="D258" s="125"/>
      <c r="E258" s="125"/>
      <c r="F258" s="125"/>
      <c r="G258" s="125"/>
      <c r="H258" s="125"/>
      <c r="I258" s="125"/>
      <c r="J258" s="126"/>
      <c r="K258" s="125"/>
      <c r="L258" s="125"/>
      <c r="M258" s="136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</row>
    <row r="259" spans="1:38" ht="13.2">
      <c r="A259" s="123"/>
      <c r="B259" s="125"/>
      <c r="D259" s="125"/>
      <c r="E259" s="125"/>
      <c r="F259" s="125"/>
      <c r="G259" s="125"/>
      <c r="H259" s="125"/>
      <c r="I259" s="125"/>
      <c r="J259" s="126"/>
      <c r="K259" s="125"/>
      <c r="L259" s="125"/>
      <c r="M259" s="136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</row>
    <row r="260" spans="1:38" ht="13.2">
      <c r="A260" s="123"/>
      <c r="B260" s="125"/>
      <c r="D260" s="125"/>
      <c r="E260" s="125"/>
      <c r="F260" s="125"/>
      <c r="G260" s="125"/>
      <c r="H260" s="125"/>
      <c r="I260" s="125"/>
      <c r="J260" s="126"/>
      <c r="K260" s="125"/>
      <c r="L260" s="125"/>
      <c r="M260" s="136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</row>
    <row r="261" spans="1:38" ht="13.2">
      <c r="A261" s="123"/>
      <c r="B261" s="125"/>
      <c r="D261" s="125"/>
      <c r="E261" s="125"/>
      <c r="F261" s="125"/>
      <c r="G261" s="125"/>
      <c r="H261" s="125"/>
      <c r="I261" s="125"/>
      <c r="J261" s="126"/>
      <c r="K261" s="125"/>
      <c r="L261" s="125"/>
      <c r="M261" s="136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</row>
    <row r="262" spans="1:38" ht="13.2">
      <c r="A262" s="123"/>
      <c r="B262" s="125"/>
      <c r="D262" s="125"/>
      <c r="E262" s="125"/>
      <c r="F262" s="125"/>
      <c r="G262" s="125"/>
      <c r="H262" s="125"/>
      <c r="I262" s="125"/>
      <c r="J262" s="126"/>
      <c r="K262" s="125"/>
      <c r="L262" s="125"/>
      <c r="M262" s="136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</row>
    <row r="263" spans="1:38" ht="13.2">
      <c r="A263" s="123"/>
      <c r="B263" s="125"/>
      <c r="D263" s="125"/>
      <c r="E263" s="125"/>
      <c r="F263" s="125"/>
      <c r="G263" s="125"/>
      <c r="H263" s="125"/>
      <c r="I263" s="125"/>
      <c r="J263" s="126"/>
      <c r="K263" s="125"/>
      <c r="L263" s="125"/>
      <c r="M263" s="136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</row>
    <row r="264" spans="1:38" ht="13.2">
      <c r="A264" s="123"/>
      <c r="B264" s="125"/>
      <c r="D264" s="125"/>
      <c r="E264" s="125"/>
      <c r="F264" s="125"/>
      <c r="G264" s="125"/>
      <c r="H264" s="125"/>
      <c r="I264" s="125"/>
      <c r="J264" s="126"/>
      <c r="K264" s="125"/>
      <c r="L264" s="125"/>
      <c r="M264" s="136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</row>
    <row r="265" spans="1:38" ht="13.2">
      <c r="A265" s="123"/>
      <c r="B265" s="125"/>
      <c r="D265" s="125"/>
      <c r="E265" s="125"/>
      <c r="F265" s="125"/>
      <c r="G265" s="125"/>
      <c r="H265" s="125"/>
      <c r="I265" s="125"/>
      <c r="J265" s="126"/>
      <c r="K265" s="125"/>
      <c r="L265" s="125"/>
      <c r="M265" s="136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</row>
    <row r="266" spans="1:38" ht="13.2">
      <c r="A266" s="123"/>
      <c r="B266" s="125"/>
      <c r="D266" s="125"/>
      <c r="E266" s="125"/>
      <c r="F266" s="125"/>
      <c r="G266" s="125"/>
      <c r="H266" s="125"/>
      <c r="I266" s="125"/>
      <c r="J266" s="126"/>
      <c r="K266" s="125"/>
      <c r="L266" s="125"/>
      <c r="M266" s="136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</row>
    <row r="267" spans="1:38" ht="13.2">
      <c r="A267" s="123"/>
      <c r="B267" s="125"/>
      <c r="D267" s="125"/>
      <c r="E267" s="125"/>
      <c r="F267" s="125"/>
      <c r="G267" s="125"/>
      <c r="H267" s="125"/>
      <c r="I267" s="125"/>
      <c r="J267" s="126"/>
      <c r="K267" s="125"/>
      <c r="L267" s="125"/>
      <c r="M267" s="136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</row>
    <row r="268" spans="1:38" ht="13.2">
      <c r="A268" s="123"/>
      <c r="B268" s="125"/>
      <c r="D268" s="125"/>
      <c r="E268" s="125"/>
      <c r="F268" s="125"/>
      <c r="G268" s="125"/>
      <c r="H268" s="125"/>
      <c r="I268" s="125"/>
      <c r="J268" s="126"/>
      <c r="K268" s="125"/>
      <c r="L268" s="125"/>
      <c r="M268" s="136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</row>
    <row r="269" spans="1:38" ht="13.2">
      <c r="A269" s="123"/>
      <c r="B269" s="125"/>
      <c r="D269" s="125"/>
      <c r="E269" s="125"/>
      <c r="F269" s="125"/>
      <c r="G269" s="125"/>
      <c r="H269" s="125"/>
      <c r="I269" s="125"/>
      <c r="J269" s="126"/>
      <c r="K269" s="125"/>
      <c r="L269" s="125"/>
      <c r="M269" s="136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</row>
    <row r="270" spans="1:38" ht="13.2">
      <c r="A270" s="123"/>
      <c r="B270" s="125"/>
      <c r="D270" s="125"/>
      <c r="E270" s="125"/>
      <c r="F270" s="125"/>
      <c r="G270" s="125"/>
      <c r="H270" s="125"/>
      <c r="I270" s="125"/>
      <c r="J270" s="126"/>
      <c r="K270" s="125"/>
      <c r="L270" s="125"/>
      <c r="M270" s="136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</row>
    <row r="271" spans="1:38" ht="13.2">
      <c r="A271" s="123"/>
      <c r="B271" s="125"/>
      <c r="D271" s="125"/>
      <c r="E271" s="125"/>
      <c r="F271" s="125"/>
      <c r="G271" s="125"/>
      <c r="H271" s="125"/>
      <c r="I271" s="125"/>
      <c r="J271" s="126"/>
      <c r="K271" s="125"/>
      <c r="L271" s="125"/>
      <c r="M271" s="136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</row>
    <row r="272" spans="1:38" ht="13.2">
      <c r="A272" s="123"/>
      <c r="B272" s="125"/>
      <c r="D272" s="125"/>
      <c r="E272" s="125"/>
      <c r="F272" s="125"/>
      <c r="G272" s="125"/>
      <c r="H272" s="125"/>
      <c r="I272" s="125"/>
      <c r="J272" s="126"/>
      <c r="K272" s="125"/>
      <c r="L272" s="125"/>
      <c r="M272" s="136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</row>
    <row r="273" spans="1:38" ht="13.2">
      <c r="A273" s="123"/>
      <c r="B273" s="125"/>
      <c r="D273" s="125"/>
      <c r="E273" s="125"/>
      <c r="F273" s="125"/>
      <c r="G273" s="125"/>
      <c r="H273" s="125"/>
      <c r="I273" s="125"/>
      <c r="J273" s="126"/>
      <c r="K273" s="125"/>
      <c r="L273" s="125"/>
      <c r="M273" s="136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</row>
    <row r="274" spans="1:38" ht="13.2">
      <c r="A274" s="123"/>
      <c r="B274" s="125"/>
      <c r="D274" s="125"/>
      <c r="E274" s="125"/>
      <c r="F274" s="125"/>
      <c r="G274" s="125"/>
      <c r="H274" s="125"/>
      <c r="I274" s="125"/>
      <c r="J274" s="126"/>
      <c r="K274" s="125"/>
      <c r="L274" s="125"/>
      <c r="M274" s="136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</row>
    <row r="275" spans="1:38" ht="13.2">
      <c r="A275" s="123"/>
      <c r="B275" s="125"/>
      <c r="D275" s="125"/>
      <c r="E275" s="125"/>
      <c r="F275" s="125"/>
      <c r="G275" s="125"/>
      <c r="H275" s="125"/>
      <c r="I275" s="125"/>
      <c r="J275" s="126"/>
      <c r="K275" s="125"/>
      <c r="L275" s="125"/>
      <c r="M275" s="136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</row>
    <row r="276" spans="1:38" ht="13.2">
      <c r="A276" s="123"/>
      <c r="B276" s="125"/>
      <c r="D276" s="125"/>
      <c r="E276" s="125"/>
      <c r="F276" s="125"/>
      <c r="G276" s="125"/>
      <c r="H276" s="125"/>
      <c r="I276" s="125"/>
      <c r="J276" s="126"/>
      <c r="K276" s="125"/>
      <c r="L276" s="125"/>
      <c r="M276" s="136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</row>
    <row r="277" spans="1:38" ht="13.2">
      <c r="A277" s="123"/>
      <c r="B277" s="125"/>
      <c r="D277" s="125"/>
      <c r="E277" s="125"/>
      <c r="F277" s="125"/>
      <c r="G277" s="125"/>
      <c r="H277" s="125"/>
      <c r="I277" s="125"/>
      <c r="J277" s="126"/>
      <c r="K277" s="125"/>
      <c r="L277" s="125"/>
      <c r="M277" s="136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</row>
    <row r="278" spans="1:38" ht="13.2">
      <c r="A278" s="123"/>
      <c r="B278" s="125"/>
      <c r="D278" s="125"/>
      <c r="E278" s="125"/>
      <c r="F278" s="125"/>
      <c r="G278" s="125"/>
      <c r="H278" s="125"/>
      <c r="I278" s="125"/>
      <c r="J278" s="126"/>
      <c r="K278" s="125"/>
      <c r="L278" s="125"/>
      <c r="M278" s="136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</row>
    <row r="279" spans="1:38" ht="13.2">
      <c r="A279" s="123"/>
      <c r="B279" s="125"/>
      <c r="D279" s="125"/>
      <c r="E279" s="125"/>
      <c r="F279" s="125"/>
      <c r="G279" s="125"/>
      <c r="H279" s="125"/>
      <c r="I279" s="125"/>
      <c r="J279" s="126"/>
      <c r="K279" s="125"/>
      <c r="L279" s="125"/>
      <c r="M279" s="136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</row>
    <row r="280" spans="1:38" ht="13.2">
      <c r="A280" s="123"/>
      <c r="B280" s="125"/>
      <c r="D280" s="125"/>
      <c r="E280" s="125"/>
      <c r="F280" s="125"/>
      <c r="G280" s="125"/>
      <c r="H280" s="125"/>
      <c r="I280" s="125"/>
      <c r="J280" s="126"/>
      <c r="K280" s="125"/>
      <c r="L280" s="125"/>
      <c r="M280" s="136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</row>
    <row r="281" spans="1:38" ht="13.2">
      <c r="A281" s="123"/>
      <c r="B281" s="125"/>
      <c r="D281" s="125"/>
      <c r="E281" s="125"/>
      <c r="F281" s="125"/>
      <c r="G281" s="125"/>
      <c r="H281" s="125"/>
      <c r="I281" s="125"/>
      <c r="J281" s="126"/>
      <c r="K281" s="125"/>
      <c r="L281" s="125"/>
      <c r="M281" s="136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</row>
    <row r="282" spans="1:38" ht="13.2">
      <c r="A282" s="123"/>
      <c r="B282" s="125"/>
      <c r="D282" s="125"/>
      <c r="E282" s="125"/>
      <c r="F282" s="125"/>
      <c r="G282" s="125"/>
      <c r="H282" s="125"/>
      <c r="I282" s="125"/>
      <c r="J282" s="126"/>
      <c r="K282" s="125"/>
      <c r="L282" s="125"/>
      <c r="M282" s="136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</row>
    <row r="283" spans="1:38" ht="13.2">
      <c r="A283" s="123"/>
      <c r="B283" s="125"/>
      <c r="D283" s="125"/>
      <c r="E283" s="125"/>
      <c r="F283" s="125"/>
      <c r="G283" s="125"/>
      <c r="H283" s="125"/>
      <c r="I283" s="125"/>
      <c r="J283" s="126"/>
      <c r="K283" s="125"/>
      <c r="L283" s="125"/>
      <c r="M283" s="136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</row>
    <row r="284" spans="1:38" ht="13.2">
      <c r="A284" s="123"/>
      <c r="B284" s="125"/>
      <c r="D284" s="125"/>
      <c r="E284" s="125"/>
      <c r="F284" s="125"/>
      <c r="G284" s="125"/>
      <c r="H284" s="125"/>
      <c r="I284" s="125"/>
      <c r="J284" s="126"/>
      <c r="K284" s="125"/>
      <c r="L284" s="125"/>
      <c r="M284" s="136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</row>
    <row r="285" spans="1:38" ht="13.2">
      <c r="A285" s="123"/>
      <c r="B285" s="125"/>
      <c r="D285" s="125"/>
      <c r="E285" s="125"/>
      <c r="F285" s="125"/>
      <c r="G285" s="125"/>
      <c r="H285" s="125"/>
      <c r="I285" s="125"/>
      <c r="J285" s="126"/>
      <c r="K285" s="125"/>
      <c r="L285" s="125"/>
      <c r="M285" s="136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</row>
    <row r="286" spans="1:38" ht="13.2">
      <c r="A286" s="123"/>
      <c r="B286" s="125"/>
      <c r="D286" s="125"/>
      <c r="E286" s="125"/>
      <c r="F286" s="125"/>
      <c r="G286" s="125"/>
      <c r="H286" s="125"/>
      <c r="I286" s="125"/>
      <c r="J286" s="126"/>
      <c r="K286" s="125"/>
      <c r="L286" s="125"/>
      <c r="M286" s="136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</row>
    <row r="287" spans="1:38" ht="13.2">
      <c r="A287" s="123"/>
      <c r="B287" s="125"/>
      <c r="D287" s="125"/>
      <c r="E287" s="125"/>
      <c r="F287" s="125"/>
      <c r="G287" s="125"/>
      <c r="H287" s="125"/>
      <c r="I287" s="125"/>
      <c r="J287" s="126"/>
      <c r="K287" s="125"/>
      <c r="L287" s="125"/>
      <c r="M287" s="136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</row>
    <row r="288" spans="1:38" ht="13.2">
      <c r="A288" s="123"/>
      <c r="B288" s="125"/>
      <c r="D288" s="125"/>
      <c r="E288" s="125"/>
      <c r="F288" s="125"/>
      <c r="G288" s="125"/>
      <c r="H288" s="125"/>
      <c r="I288" s="125"/>
      <c r="J288" s="126"/>
      <c r="K288" s="125"/>
      <c r="L288" s="125"/>
      <c r="M288" s="136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</row>
    <row r="289" spans="1:38" ht="13.2">
      <c r="A289" s="123"/>
      <c r="B289" s="125"/>
      <c r="D289" s="125"/>
      <c r="E289" s="125"/>
      <c r="F289" s="125"/>
      <c r="G289" s="125"/>
      <c r="H289" s="125"/>
      <c r="I289" s="125"/>
      <c r="J289" s="126"/>
      <c r="K289" s="125"/>
      <c r="L289" s="125"/>
      <c r="M289" s="136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</row>
    <row r="290" spans="1:38" ht="13.2">
      <c r="A290" s="123"/>
      <c r="B290" s="125"/>
      <c r="D290" s="125"/>
      <c r="E290" s="125"/>
      <c r="F290" s="125"/>
      <c r="G290" s="125"/>
      <c r="H290" s="125"/>
      <c r="I290" s="125"/>
      <c r="J290" s="126"/>
      <c r="K290" s="125"/>
      <c r="L290" s="125"/>
      <c r="M290" s="136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</row>
    <row r="291" spans="1:38" ht="13.2">
      <c r="A291" s="123"/>
      <c r="B291" s="125"/>
      <c r="D291" s="125"/>
      <c r="E291" s="125"/>
      <c r="F291" s="125"/>
      <c r="G291" s="125"/>
      <c r="H291" s="125"/>
      <c r="I291" s="125"/>
      <c r="J291" s="126"/>
      <c r="K291" s="125"/>
      <c r="L291" s="125"/>
      <c r="M291" s="136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</row>
    <row r="292" spans="1:38" ht="13.2">
      <c r="A292" s="123"/>
      <c r="B292" s="125"/>
      <c r="D292" s="125"/>
      <c r="E292" s="125"/>
      <c r="F292" s="125"/>
      <c r="G292" s="125"/>
      <c r="H292" s="125"/>
      <c r="I292" s="125"/>
      <c r="J292" s="126"/>
      <c r="K292" s="125"/>
      <c r="L292" s="125"/>
      <c r="M292" s="136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</row>
    <row r="293" spans="1:38" ht="13.2">
      <c r="A293" s="123"/>
      <c r="B293" s="125"/>
      <c r="D293" s="125"/>
      <c r="E293" s="125"/>
      <c r="F293" s="125"/>
      <c r="G293" s="125"/>
      <c r="H293" s="125"/>
      <c r="I293" s="125"/>
      <c r="J293" s="126"/>
      <c r="K293" s="125"/>
      <c r="L293" s="125"/>
      <c r="M293" s="136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</row>
    <row r="294" spans="1:38" ht="13.2">
      <c r="A294" s="123"/>
      <c r="B294" s="125"/>
      <c r="D294" s="125"/>
      <c r="E294" s="125"/>
      <c r="F294" s="125"/>
      <c r="G294" s="125"/>
      <c r="H294" s="125"/>
      <c r="I294" s="125"/>
      <c r="J294" s="126"/>
      <c r="K294" s="125"/>
      <c r="L294" s="125"/>
      <c r="M294" s="136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</row>
    <row r="295" spans="1:38" ht="13.2">
      <c r="A295" s="123"/>
      <c r="B295" s="125"/>
      <c r="D295" s="125"/>
      <c r="E295" s="125"/>
      <c r="F295" s="125"/>
      <c r="G295" s="125"/>
      <c r="H295" s="125"/>
      <c r="I295" s="125"/>
      <c r="J295" s="126"/>
      <c r="K295" s="125"/>
      <c r="L295" s="125"/>
      <c r="M295" s="136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</row>
    <row r="296" spans="1:38" ht="13.2">
      <c r="A296" s="123"/>
      <c r="B296" s="125"/>
      <c r="D296" s="125"/>
      <c r="E296" s="125"/>
      <c r="F296" s="125"/>
      <c r="G296" s="125"/>
      <c r="H296" s="125"/>
      <c r="I296" s="125"/>
      <c r="J296" s="126"/>
      <c r="K296" s="125"/>
      <c r="L296" s="125"/>
      <c r="M296" s="136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</row>
    <row r="297" spans="1:38" ht="13.2">
      <c r="A297" s="123"/>
      <c r="B297" s="125"/>
      <c r="D297" s="125"/>
      <c r="E297" s="125"/>
      <c r="F297" s="125"/>
      <c r="G297" s="125"/>
      <c r="H297" s="125"/>
      <c r="I297" s="125"/>
      <c r="J297" s="126"/>
      <c r="K297" s="125"/>
      <c r="L297" s="125"/>
      <c r="M297" s="136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</row>
    <row r="298" spans="1:38" ht="13.2">
      <c r="A298" s="123"/>
      <c r="B298" s="125"/>
      <c r="D298" s="125"/>
      <c r="E298" s="125"/>
      <c r="F298" s="125"/>
      <c r="G298" s="125"/>
      <c r="H298" s="125"/>
      <c r="I298" s="125"/>
      <c r="J298" s="126"/>
      <c r="K298" s="125"/>
      <c r="L298" s="125"/>
      <c r="M298" s="136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</row>
    <row r="299" spans="1:38" ht="13.2">
      <c r="A299" s="123"/>
      <c r="B299" s="125"/>
      <c r="D299" s="125"/>
      <c r="E299" s="125"/>
      <c r="F299" s="125"/>
      <c r="G299" s="125"/>
      <c r="H299" s="125"/>
      <c r="I299" s="125"/>
      <c r="J299" s="126"/>
      <c r="K299" s="125"/>
      <c r="L299" s="125"/>
      <c r="M299" s="136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</row>
    <row r="300" spans="1:38" ht="13.2">
      <c r="A300" s="123"/>
      <c r="B300" s="125"/>
      <c r="D300" s="125"/>
      <c r="E300" s="125"/>
      <c r="F300" s="125"/>
      <c r="G300" s="125"/>
      <c r="H300" s="125"/>
      <c r="I300" s="125"/>
      <c r="J300" s="126"/>
      <c r="K300" s="125"/>
      <c r="L300" s="125"/>
      <c r="M300" s="136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</row>
    <row r="301" spans="1:38" ht="13.2">
      <c r="A301" s="123"/>
      <c r="B301" s="125"/>
      <c r="D301" s="125"/>
      <c r="E301" s="125"/>
      <c r="F301" s="125"/>
      <c r="G301" s="125"/>
      <c r="H301" s="125"/>
      <c r="I301" s="125"/>
      <c r="J301" s="126"/>
      <c r="K301" s="125"/>
      <c r="L301" s="125"/>
      <c r="M301" s="136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</row>
    <row r="302" spans="1:38" ht="13.2">
      <c r="A302" s="123"/>
      <c r="B302" s="125"/>
      <c r="D302" s="125"/>
      <c r="E302" s="125"/>
      <c r="F302" s="125"/>
      <c r="G302" s="125"/>
      <c r="H302" s="125"/>
      <c r="I302" s="125"/>
      <c r="J302" s="126"/>
      <c r="K302" s="125"/>
      <c r="L302" s="125"/>
      <c r="M302" s="136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</row>
    <row r="303" spans="1:38" ht="13.2">
      <c r="A303" s="123"/>
      <c r="B303" s="125"/>
      <c r="D303" s="125"/>
      <c r="E303" s="125"/>
      <c r="F303" s="125"/>
      <c r="G303" s="125"/>
      <c r="H303" s="125"/>
      <c r="I303" s="125"/>
      <c r="J303" s="126"/>
      <c r="K303" s="125"/>
      <c r="L303" s="125"/>
      <c r="M303" s="136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</row>
    <row r="304" spans="1:38" ht="13.2">
      <c r="A304" s="123"/>
      <c r="B304" s="125"/>
      <c r="D304" s="125"/>
      <c r="E304" s="125"/>
      <c r="F304" s="125"/>
      <c r="G304" s="125"/>
      <c r="H304" s="125"/>
      <c r="I304" s="125"/>
      <c r="J304" s="126"/>
      <c r="K304" s="125"/>
      <c r="L304" s="125"/>
      <c r="M304" s="136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</row>
    <row r="305" spans="1:38" ht="13.2">
      <c r="A305" s="123"/>
      <c r="B305" s="125"/>
      <c r="D305" s="125"/>
      <c r="E305" s="125"/>
      <c r="F305" s="125"/>
      <c r="G305" s="125"/>
      <c r="H305" s="125"/>
      <c r="I305" s="125"/>
      <c r="J305" s="126"/>
      <c r="K305" s="125"/>
      <c r="L305" s="125"/>
      <c r="M305" s="136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</row>
    <row r="306" spans="1:38" ht="13.2">
      <c r="A306" s="123"/>
      <c r="B306" s="125"/>
      <c r="D306" s="125"/>
      <c r="E306" s="125"/>
      <c r="F306" s="125"/>
      <c r="G306" s="125"/>
      <c r="H306" s="125"/>
      <c r="I306" s="125"/>
      <c r="J306" s="126"/>
      <c r="K306" s="125"/>
      <c r="L306" s="125"/>
      <c r="M306" s="136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</row>
    <row r="307" spans="1:38" ht="13.2">
      <c r="A307" s="123"/>
      <c r="B307" s="125"/>
      <c r="D307" s="125"/>
      <c r="E307" s="125"/>
      <c r="F307" s="125"/>
      <c r="G307" s="125"/>
      <c r="H307" s="125"/>
      <c r="I307" s="125"/>
      <c r="J307" s="126"/>
      <c r="K307" s="125"/>
      <c r="L307" s="125"/>
      <c r="M307" s="136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</row>
    <row r="308" spans="1:38" ht="13.2">
      <c r="A308" s="123"/>
      <c r="B308" s="125"/>
      <c r="D308" s="125"/>
      <c r="E308" s="125"/>
      <c r="F308" s="125"/>
      <c r="G308" s="125"/>
      <c r="H308" s="125"/>
      <c r="I308" s="125"/>
      <c r="J308" s="126"/>
      <c r="K308" s="125"/>
      <c r="L308" s="125"/>
      <c r="M308" s="136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</row>
    <row r="309" spans="1:38" ht="13.2">
      <c r="A309" s="123"/>
      <c r="B309" s="125"/>
      <c r="D309" s="125"/>
      <c r="E309" s="125"/>
      <c r="F309" s="125"/>
      <c r="G309" s="125"/>
      <c r="H309" s="125"/>
      <c r="I309" s="125"/>
      <c r="J309" s="126"/>
      <c r="K309" s="125"/>
      <c r="L309" s="125"/>
      <c r="M309" s="136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</row>
    <row r="310" spans="1:38" ht="13.2">
      <c r="A310" s="123"/>
      <c r="B310" s="125"/>
      <c r="D310" s="125"/>
      <c r="E310" s="125"/>
      <c r="F310" s="125"/>
      <c r="G310" s="125"/>
      <c r="H310" s="125"/>
      <c r="I310" s="125"/>
      <c r="J310" s="126"/>
      <c r="K310" s="125"/>
      <c r="L310" s="125"/>
      <c r="M310" s="136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</row>
    <row r="311" spans="1:38" ht="13.2">
      <c r="A311" s="123"/>
      <c r="B311" s="125"/>
      <c r="D311" s="125"/>
      <c r="E311" s="125"/>
      <c r="F311" s="125"/>
      <c r="G311" s="125"/>
      <c r="H311" s="125"/>
      <c r="I311" s="125"/>
      <c r="J311" s="126"/>
      <c r="K311" s="125"/>
      <c r="L311" s="125"/>
      <c r="M311" s="136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</row>
    <row r="312" spans="1:38" ht="13.2">
      <c r="A312" s="123"/>
      <c r="B312" s="125"/>
      <c r="D312" s="125"/>
      <c r="E312" s="125"/>
      <c r="F312" s="125"/>
      <c r="G312" s="125"/>
      <c r="H312" s="125"/>
      <c r="I312" s="125"/>
      <c r="J312" s="126"/>
      <c r="K312" s="125"/>
      <c r="L312" s="125"/>
      <c r="M312" s="136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</row>
    <row r="313" spans="1:38" ht="13.2">
      <c r="A313" s="123"/>
      <c r="B313" s="125"/>
      <c r="D313" s="125"/>
      <c r="E313" s="125"/>
      <c r="F313" s="125"/>
      <c r="G313" s="125"/>
      <c r="H313" s="125"/>
      <c r="I313" s="125"/>
      <c r="J313" s="126"/>
      <c r="K313" s="125"/>
      <c r="L313" s="125"/>
      <c r="M313" s="136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</row>
    <row r="314" spans="1:38" ht="13.2">
      <c r="A314" s="123"/>
      <c r="B314" s="125"/>
      <c r="D314" s="125"/>
      <c r="E314" s="125"/>
      <c r="F314" s="125"/>
      <c r="G314" s="125"/>
      <c r="H314" s="125"/>
      <c r="I314" s="125"/>
      <c r="J314" s="126"/>
      <c r="K314" s="125"/>
      <c r="L314" s="125"/>
      <c r="M314" s="136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</row>
    <row r="315" spans="1:38" ht="13.2">
      <c r="A315" s="123"/>
      <c r="B315" s="125"/>
      <c r="D315" s="125"/>
      <c r="E315" s="125"/>
      <c r="F315" s="125"/>
      <c r="G315" s="125"/>
      <c r="H315" s="125"/>
      <c r="I315" s="125"/>
      <c r="J315" s="126"/>
      <c r="K315" s="125"/>
      <c r="L315" s="125"/>
      <c r="M315" s="136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</row>
    <row r="316" spans="1:38" ht="13.2">
      <c r="A316" s="123"/>
      <c r="B316" s="125"/>
      <c r="D316" s="125"/>
      <c r="E316" s="125"/>
      <c r="F316" s="125"/>
      <c r="G316" s="125"/>
      <c r="H316" s="125"/>
      <c r="I316" s="125"/>
      <c r="J316" s="126"/>
      <c r="K316" s="125"/>
      <c r="L316" s="125"/>
      <c r="M316" s="136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</row>
    <row r="317" spans="1:38" ht="13.2">
      <c r="A317" s="123"/>
      <c r="B317" s="125"/>
      <c r="D317" s="125"/>
      <c r="E317" s="125"/>
      <c r="F317" s="125"/>
      <c r="G317" s="125"/>
      <c r="H317" s="125"/>
      <c r="I317" s="125"/>
      <c r="J317" s="126"/>
      <c r="K317" s="125"/>
      <c r="L317" s="125"/>
      <c r="M317" s="136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</row>
    <row r="318" spans="1:38" ht="13.2">
      <c r="A318" s="123"/>
      <c r="B318" s="125"/>
      <c r="D318" s="125"/>
      <c r="E318" s="125"/>
      <c r="F318" s="125"/>
      <c r="G318" s="125"/>
      <c r="H318" s="125"/>
      <c r="I318" s="125"/>
      <c r="J318" s="126"/>
      <c r="K318" s="125"/>
      <c r="L318" s="125"/>
      <c r="M318" s="136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</row>
    <row r="319" spans="1:38" ht="13.2">
      <c r="A319" s="123"/>
      <c r="B319" s="125"/>
      <c r="D319" s="125"/>
      <c r="E319" s="125"/>
      <c r="F319" s="125"/>
      <c r="G319" s="125"/>
      <c r="H319" s="125"/>
      <c r="I319" s="125"/>
      <c r="J319" s="126"/>
      <c r="K319" s="125"/>
      <c r="L319" s="125"/>
      <c r="M319" s="136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</row>
    <row r="320" spans="1:38" ht="13.2">
      <c r="A320" s="123"/>
      <c r="B320" s="125"/>
      <c r="D320" s="125"/>
      <c r="E320" s="125"/>
      <c r="F320" s="125"/>
      <c r="G320" s="125"/>
      <c r="H320" s="125"/>
      <c r="I320" s="125"/>
      <c r="J320" s="126"/>
      <c r="K320" s="125"/>
      <c r="L320" s="125"/>
      <c r="M320" s="136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</row>
    <row r="321" spans="1:38" ht="13.2">
      <c r="A321" s="123"/>
      <c r="B321" s="125"/>
      <c r="D321" s="125"/>
      <c r="E321" s="125"/>
      <c r="F321" s="125"/>
      <c r="G321" s="125"/>
      <c r="H321" s="125"/>
      <c r="I321" s="125"/>
      <c r="J321" s="126"/>
      <c r="K321" s="125"/>
      <c r="L321" s="125"/>
      <c r="M321" s="136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</row>
    <row r="322" spans="1:38" ht="13.2">
      <c r="A322" s="123"/>
      <c r="B322" s="125"/>
      <c r="D322" s="125"/>
      <c r="E322" s="125"/>
      <c r="F322" s="125"/>
      <c r="G322" s="125"/>
      <c r="H322" s="125"/>
      <c r="I322" s="125"/>
      <c r="J322" s="126"/>
      <c r="K322" s="125"/>
      <c r="L322" s="125"/>
      <c r="M322" s="136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</row>
    <row r="323" spans="1:38" ht="13.2">
      <c r="A323" s="123"/>
      <c r="B323" s="125"/>
      <c r="D323" s="125"/>
      <c r="E323" s="125"/>
      <c r="F323" s="125"/>
      <c r="G323" s="125"/>
      <c r="H323" s="125"/>
      <c r="I323" s="125"/>
      <c r="J323" s="126"/>
      <c r="K323" s="125"/>
      <c r="L323" s="125"/>
      <c r="M323" s="136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</row>
    <row r="324" spans="1:38" ht="13.2">
      <c r="A324" s="123"/>
      <c r="B324" s="125"/>
      <c r="D324" s="125"/>
      <c r="E324" s="125"/>
      <c r="F324" s="125"/>
      <c r="G324" s="125"/>
      <c r="H324" s="125"/>
      <c r="I324" s="125"/>
      <c r="J324" s="126"/>
      <c r="K324" s="125"/>
      <c r="L324" s="125"/>
      <c r="M324" s="136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</row>
    <row r="325" spans="1:38" ht="13.2">
      <c r="A325" s="123"/>
      <c r="B325" s="125"/>
      <c r="D325" s="125"/>
      <c r="E325" s="125"/>
      <c r="F325" s="125"/>
      <c r="G325" s="125"/>
      <c r="H325" s="125"/>
      <c r="I325" s="125"/>
      <c r="J325" s="126"/>
      <c r="K325" s="125"/>
      <c r="L325" s="125"/>
      <c r="M325" s="136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</row>
    <row r="326" spans="1:38" ht="13.2">
      <c r="A326" s="123"/>
      <c r="B326" s="125"/>
      <c r="D326" s="125"/>
      <c r="E326" s="125"/>
      <c r="F326" s="125"/>
      <c r="G326" s="125"/>
      <c r="H326" s="125"/>
      <c r="I326" s="125"/>
      <c r="J326" s="126"/>
      <c r="K326" s="125"/>
      <c r="L326" s="125"/>
      <c r="M326" s="136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</row>
    <row r="327" spans="1:38" ht="13.2">
      <c r="A327" s="123"/>
      <c r="B327" s="125"/>
      <c r="D327" s="125"/>
      <c r="E327" s="125"/>
      <c r="F327" s="125"/>
      <c r="G327" s="125"/>
      <c r="H327" s="125"/>
      <c r="I327" s="125"/>
      <c r="J327" s="126"/>
      <c r="K327" s="125"/>
      <c r="L327" s="125"/>
      <c r="M327" s="136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</row>
    <row r="328" spans="1:38" ht="13.2">
      <c r="A328" s="123"/>
      <c r="B328" s="125"/>
      <c r="D328" s="125"/>
      <c r="E328" s="125"/>
      <c r="F328" s="125"/>
      <c r="G328" s="125"/>
      <c r="H328" s="125"/>
      <c r="I328" s="125"/>
      <c r="J328" s="126"/>
      <c r="K328" s="125"/>
      <c r="L328" s="125"/>
      <c r="M328" s="136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</row>
    <row r="329" spans="1:38" ht="13.2">
      <c r="A329" s="123"/>
      <c r="B329" s="125"/>
      <c r="D329" s="125"/>
      <c r="E329" s="125"/>
      <c r="F329" s="125"/>
      <c r="G329" s="125"/>
      <c r="H329" s="125"/>
      <c r="I329" s="125"/>
      <c r="J329" s="126"/>
      <c r="K329" s="125"/>
      <c r="L329" s="125"/>
      <c r="M329" s="136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</row>
    <row r="330" spans="1:38" ht="13.2">
      <c r="A330" s="123"/>
      <c r="B330" s="125"/>
      <c r="D330" s="125"/>
      <c r="E330" s="125"/>
      <c r="F330" s="125"/>
      <c r="G330" s="125"/>
      <c r="H330" s="125"/>
      <c r="I330" s="125"/>
      <c r="J330" s="126"/>
      <c r="K330" s="125"/>
      <c r="L330" s="125"/>
      <c r="M330" s="136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</row>
    <row r="331" spans="1:38" ht="13.2">
      <c r="A331" s="123"/>
      <c r="B331" s="125"/>
      <c r="D331" s="125"/>
      <c r="E331" s="125"/>
      <c r="F331" s="125"/>
      <c r="G331" s="125"/>
      <c r="H331" s="125"/>
      <c r="I331" s="125"/>
      <c r="J331" s="126"/>
      <c r="K331" s="125"/>
      <c r="L331" s="125"/>
      <c r="M331" s="136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</row>
    <row r="332" spans="1:38" ht="13.2">
      <c r="A332" s="123"/>
      <c r="B332" s="125"/>
      <c r="D332" s="125"/>
      <c r="E332" s="125"/>
      <c r="F332" s="125"/>
      <c r="G332" s="125"/>
      <c r="H332" s="125"/>
      <c r="I332" s="125"/>
      <c r="J332" s="126"/>
      <c r="K332" s="125"/>
      <c r="L332" s="125"/>
      <c r="M332" s="136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</row>
    <row r="333" spans="1:38" ht="13.2">
      <c r="A333" s="123"/>
      <c r="B333" s="125"/>
      <c r="D333" s="125"/>
      <c r="E333" s="125"/>
      <c r="F333" s="125"/>
      <c r="G333" s="125"/>
      <c r="H333" s="125"/>
      <c r="I333" s="125"/>
      <c r="J333" s="126"/>
      <c r="K333" s="125"/>
      <c r="L333" s="125"/>
      <c r="M333" s="136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</row>
    <row r="334" spans="1:38" ht="13.2">
      <c r="A334" s="123"/>
      <c r="B334" s="125"/>
      <c r="D334" s="125"/>
      <c r="E334" s="125"/>
      <c r="F334" s="125"/>
      <c r="G334" s="125"/>
      <c r="H334" s="125"/>
      <c r="I334" s="125"/>
      <c r="J334" s="126"/>
      <c r="K334" s="125"/>
      <c r="L334" s="125"/>
      <c r="M334" s="136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</row>
    <row r="335" spans="1:38" ht="13.2">
      <c r="A335" s="123"/>
      <c r="B335" s="125"/>
      <c r="D335" s="125"/>
      <c r="E335" s="125"/>
      <c r="F335" s="125"/>
      <c r="G335" s="125"/>
      <c r="H335" s="125"/>
      <c r="I335" s="125"/>
      <c r="J335" s="126"/>
      <c r="K335" s="125"/>
      <c r="L335" s="125"/>
      <c r="M335" s="136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</row>
    <row r="336" spans="1:38" ht="13.2">
      <c r="A336" s="123"/>
      <c r="B336" s="125"/>
      <c r="D336" s="125"/>
      <c r="E336" s="125"/>
      <c r="F336" s="125"/>
      <c r="G336" s="125"/>
      <c r="H336" s="125"/>
      <c r="I336" s="125"/>
      <c r="J336" s="126"/>
      <c r="K336" s="125"/>
      <c r="L336" s="125"/>
      <c r="M336" s="136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</row>
    <row r="337" spans="1:38" ht="13.2">
      <c r="A337" s="123"/>
      <c r="B337" s="125"/>
      <c r="D337" s="125"/>
      <c r="E337" s="125"/>
      <c r="F337" s="125"/>
      <c r="G337" s="125"/>
      <c r="H337" s="125"/>
      <c r="I337" s="125"/>
      <c r="J337" s="126"/>
      <c r="K337" s="125"/>
      <c r="L337" s="125"/>
      <c r="M337" s="136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</row>
    <row r="338" spans="1:38" ht="13.2">
      <c r="A338" s="123"/>
      <c r="B338" s="125"/>
      <c r="D338" s="125"/>
      <c r="E338" s="125"/>
      <c r="F338" s="125"/>
      <c r="G338" s="125"/>
      <c r="H338" s="125"/>
      <c r="I338" s="125"/>
      <c r="J338" s="126"/>
      <c r="K338" s="125"/>
      <c r="L338" s="125"/>
      <c r="M338" s="136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</row>
    <row r="339" spans="1:38" ht="13.2">
      <c r="A339" s="123"/>
      <c r="B339" s="125"/>
      <c r="D339" s="125"/>
      <c r="E339" s="125"/>
      <c r="F339" s="125"/>
      <c r="G339" s="125"/>
      <c r="H339" s="125"/>
      <c r="I339" s="125"/>
      <c r="J339" s="126"/>
      <c r="K339" s="125"/>
      <c r="L339" s="125"/>
      <c r="M339" s="136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</row>
    <row r="340" spans="1:38" ht="13.2">
      <c r="A340" s="123"/>
      <c r="B340" s="125"/>
      <c r="D340" s="125"/>
      <c r="E340" s="125"/>
      <c r="F340" s="125"/>
      <c r="G340" s="125"/>
      <c r="H340" s="125"/>
      <c r="I340" s="125"/>
      <c r="J340" s="126"/>
      <c r="K340" s="125"/>
      <c r="L340" s="125"/>
      <c r="M340" s="136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</row>
    <row r="341" spans="1:38" ht="13.2">
      <c r="A341" s="123"/>
      <c r="B341" s="125"/>
      <c r="D341" s="125"/>
      <c r="E341" s="125"/>
      <c r="F341" s="125"/>
      <c r="G341" s="125"/>
      <c r="H341" s="125"/>
      <c r="I341" s="125"/>
      <c r="J341" s="126"/>
      <c r="K341" s="125"/>
      <c r="L341" s="125"/>
      <c r="M341" s="136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</row>
    <row r="342" spans="1:38" ht="13.2">
      <c r="A342" s="123"/>
      <c r="B342" s="125"/>
      <c r="D342" s="125"/>
      <c r="E342" s="125"/>
      <c r="F342" s="125"/>
      <c r="G342" s="125"/>
      <c r="H342" s="125"/>
      <c r="I342" s="125"/>
      <c r="J342" s="126"/>
      <c r="K342" s="125"/>
      <c r="L342" s="125"/>
      <c r="M342" s="136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</row>
    <row r="343" spans="1:38" ht="13.2">
      <c r="A343" s="123"/>
      <c r="B343" s="125"/>
      <c r="D343" s="125"/>
      <c r="E343" s="125"/>
      <c r="F343" s="125"/>
      <c r="G343" s="125"/>
      <c r="H343" s="125"/>
      <c r="I343" s="125"/>
      <c r="J343" s="126"/>
      <c r="K343" s="125"/>
      <c r="L343" s="125"/>
      <c r="M343" s="136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</row>
    <row r="344" spans="1:38" ht="13.2">
      <c r="A344" s="123"/>
      <c r="B344" s="125"/>
      <c r="D344" s="125"/>
      <c r="E344" s="125"/>
      <c r="F344" s="125"/>
      <c r="G344" s="125"/>
      <c r="H344" s="125"/>
      <c r="I344" s="125"/>
      <c r="J344" s="126"/>
      <c r="K344" s="125"/>
      <c r="L344" s="125"/>
      <c r="M344" s="136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</row>
    <row r="345" spans="1:38" ht="13.2">
      <c r="A345" s="123"/>
      <c r="B345" s="125"/>
      <c r="D345" s="125"/>
      <c r="E345" s="125"/>
      <c r="F345" s="125"/>
      <c r="G345" s="125"/>
      <c r="H345" s="125"/>
      <c r="I345" s="125"/>
      <c r="J345" s="126"/>
      <c r="K345" s="125"/>
      <c r="L345" s="125"/>
      <c r="M345" s="136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</row>
    <row r="346" spans="1:38" ht="13.2">
      <c r="A346" s="123"/>
      <c r="B346" s="125"/>
      <c r="D346" s="125"/>
      <c r="E346" s="125"/>
      <c r="F346" s="125"/>
      <c r="G346" s="125"/>
      <c r="H346" s="125"/>
      <c r="I346" s="125"/>
      <c r="J346" s="126"/>
      <c r="K346" s="125"/>
      <c r="L346" s="125"/>
      <c r="M346" s="136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</row>
    <row r="347" spans="1:38" ht="13.2">
      <c r="A347" s="123"/>
      <c r="B347" s="125"/>
      <c r="D347" s="125"/>
      <c r="E347" s="125"/>
      <c r="F347" s="125"/>
      <c r="G347" s="125"/>
      <c r="H347" s="125"/>
      <c r="I347" s="125"/>
      <c r="J347" s="126"/>
      <c r="K347" s="125"/>
      <c r="L347" s="125"/>
      <c r="M347" s="136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5"/>
      <c r="AL347" s="125"/>
    </row>
    <row r="348" spans="1:38" ht="13.2">
      <c r="A348" s="123"/>
      <c r="B348" s="125"/>
      <c r="D348" s="125"/>
      <c r="E348" s="125"/>
      <c r="F348" s="125"/>
      <c r="G348" s="125"/>
      <c r="H348" s="125"/>
      <c r="I348" s="125"/>
      <c r="J348" s="126"/>
      <c r="K348" s="125"/>
      <c r="L348" s="125"/>
      <c r="M348" s="136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5"/>
      <c r="AL348" s="125"/>
    </row>
    <row r="349" spans="1:38" ht="13.2">
      <c r="A349" s="123"/>
      <c r="B349" s="125"/>
      <c r="D349" s="125"/>
      <c r="E349" s="125"/>
      <c r="F349" s="125"/>
      <c r="G349" s="125"/>
      <c r="H349" s="125"/>
      <c r="I349" s="125"/>
      <c r="J349" s="126"/>
      <c r="K349" s="125"/>
      <c r="L349" s="125"/>
      <c r="M349" s="136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</row>
    <row r="350" spans="1:38" ht="13.2">
      <c r="A350" s="123"/>
      <c r="B350" s="125"/>
      <c r="D350" s="125"/>
      <c r="E350" s="125"/>
      <c r="F350" s="125"/>
      <c r="G350" s="125"/>
      <c r="H350" s="125"/>
      <c r="I350" s="125"/>
      <c r="J350" s="126"/>
      <c r="K350" s="125"/>
      <c r="L350" s="125"/>
      <c r="M350" s="136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</row>
    <row r="351" spans="1:38" ht="13.2">
      <c r="A351" s="123"/>
      <c r="B351" s="125"/>
      <c r="D351" s="125"/>
      <c r="E351" s="125"/>
      <c r="F351" s="125"/>
      <c r="G351" s="125"/>
      <c r="H351" s="125"/>
      <c r="I351" s="125"/>
      <c r="J351" s="126"/>
      <c r="K351" s="125"/>
      <c r="L351" s="125"/>
      <c r="M351" s="136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5"/>
      <c r="AL351" s="125"/>
    </row>
    <row r="352" spans="1:38" ht="13.2">
      <c r="A352" s="123"/>
      <c r="B352" s="125"/>
      <c r="D352" s="125"/>
      <c r="E352" s="125"/>
      <c r="F352" s="125"/>
      <c r="G352" s="125"/>
      <c r="H352" s="125"/>
      <c r="I352" s="125"/>
      <c r="J352" s="126"/>
      <c r="K352" s="125"/>
      <c r="L352" s="125"/>
      <c r="M352" s="136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5"/>
      <c r="AL352" s="125"/>
    </row>
    <row r="353" spans="1:38" ht="13.2">
      <c r="A353" s="123"/>
      <c r="B353" s="125"/>
      <c r="D353" s="125"/>
      <c r="E353" s="125"/>
      <c r="F353" s="125"/>
      <c r="G353" s="125"/>
      <c r="H353" s="125"/>
      <c r="I353" s="125"/>
      <c r="J353" s="126"/>
      <c r="K353" s="125"/>
      <c r="L353" s="125"/>
      <c r="M353" s="136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</row>
    <row r="354" spans="1:38" ht="13.2">
      <c r="A354" s="123"/>
      <c r="B354" s="125"/>
      <c r="D354" s="125"/>
      <c r="E354" s="125"/>
      <c r="F354" s="125"/>
      <c r="G354" s="125"/>
      <c r="H354" s="125"/>
      <c r="I354" s="125"/>
      <c r="J354" s="126"/>
      <c r="K354" s="125"/>
      <c r="L354" s="125"/>
      <c r="M354" s="136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</row>
    <row r="355" spans="1:38" ht="13.2">
      <c r="A355" s="123"/>
      <c r="B355" s="125"/>
      <c r="D355" s="125"/>
      <c r="E355" s="125"/>
      <c r="F355" s="125"/>
      <c r="G355" s="125"/>
      <c r="H355" s="125"/>
      <c r="I355" s="125"/>
      <c r="J355" s="126"/>
      <c r="K355" s="125"/>
      <c r="L355" s="125"/>
      <c r="M355" s="136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</row>
    <row r="356" spans="1:38" ht="13.2">
      <c r="A356" s="123"/>
      <c r="B356" s="125"/>
      <c r="D356" s="125"/>
      <c r="E356" s="125"/>
      <c r="F356" s="125"/>
      <c r="G356" s="125"/>
      <c r="H356" s="125"/>
      <c r="I356" s="125"/>
      <c r="J356" s="126"/>
      <c r="K356" s="125"/>
      <c r="L356" s="125"/>
      <c r="M356" s="136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</row>
    <row r="357" spans="1:38" ht="13.2">
      <c r="A357" s="123"/>
      <c r="B357" s="125"/>
      <c r="D357" s="125"/>
      <c r="E357" s="125"/>
      <c r="F357" s="125"/>
      <c r="G357" s="125"/>
      <c r="H357" s="125"/>
      <c r="I357" s="125"/>
      <c r="J357" s="126"/>
      <c r="K357" s="125"/>
      <c r="L357" s="125"/>
      <c r="M357" s="136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</row>
    <row r="358" spans="1:38" ht="13.2">
      <c r="A358" s="123"/>
      <c r="B358" s="125"/>
      <c r="D358" s="125"/>
      <c r="E358" s="125"/>
      <c r="F358" s="125"/>
      <c r="G358" s="125"/>
      <c r="H358" s="125"/>
      <c r="I358" s="125"/>
      <c r="J358" s="126"/>
      <c r="K358" s="125"/>
      <c r="L358" s="125"/>
      <c r="M358" s="136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</row>
    <row r="359" spans="1:38" ht="13.2">
      <c r="A359" s="123"/>
      <c r="B359" s="125"/>
      <c r="D359" s="125"/>
      <c r="E359" s="125"/>
      <c r="F359" s="125"/>
      <c r="G359" s="125"/>
      <c r="H359" s="125"/>
      <c r="I359" s="125"/>
      <c r="J359" s="126"/>
      <c r="K359" s="125"/>
      <c r="L359" s="125"/>
      <c r="M359" s="136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</row>
    <row r="360" spans="1:38" ht="13.2">
      <c r="A360" s="123"/>
      <c r="B360" s="125"/>
      <c r="D360" s="125"/>
      <c r="E360" s="125"/>
      <c r="F360" s="125"/>
      <c r="G360" s="125"/>
      <c r="H360" s="125"/>
      <c r="I360" s="125"/>
      <c r="J360" s="126"/>
      <c r="K360" s="125"/>
      <c r="L360" s="125"/>
      <c r="M360" s="136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</row>
    <row r="361" spans="1:38" ht="13.2">
      <c r="A361" s="123"/>
      <c r="B361" s="125"/>
      <c r="D361" s="125"/>
      <c r="E361" s="125"/>
      <c r="F361" s="125"/>
      <c r="G361" s="125"/>
      <c r="H361" s="125"/>
      <c r="I361" s="125"/>
      <c r="J361" s="126"/>
      <c r="K361" s="125"/>
      <c r="L361" s="125"/>
      <c r="M361" s="136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</row>
    <row r="362" spans="1:38" ht="13.2">
      <c r="A362" s="123"/>
      <c r="B362" s="125"/>
      <c r="D362" s="125"/>
      <c r="E362" s="125"/>
      <c r="F362" s="125"/>
      <c r="G362" s="125"/>
      <c r="H362" s="125"/>
      <c r="I362" s="125"/>
      <c r="J362" s="126"/>
      <c r="K362" s="125"/>
      <c r="L362" s="125"/>
      <c r="M362" s="136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</row>
    <row r="363" spans="1:38" ht="13.2">
      <c r="A363" s="123"/>
      <c r="B363" s="125"/>
      <c r="D363" s="125"/>
      <c r="E363" s="125"/>
      <c r="F363" s="125"/>
      <c r="G363" s="125"/>
      <c r="H363" s="125"/>
      <c r="I363" s="125"/>
      <c r="J363" s="126"/>
      <c r="K363" s="125"/>
      <c r="L363" s="125"/>
      <c r="M363" s="136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</row>
    <row r="364" spans="1:38" ht="13.2">
      <c r="A364" s="123"/>
      <c r="B364" s="125"/>
      <c r="D364" s="125"/>
      <c r="E364" s="125"/>
      <c r="F364" s="125"/>
      <c r="G364" s="125"/>
      <c r="H364" s="125"/>
      <c r="I364" s="125"/>
      <c r="J364" s="126"/>
      <c r="K364" s="125"/>
      <c r="L364" s="125"/>
      <c r="M364" s="136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</row>
    <row r="365" spans="1:38" ht="13.2">
      <c r="A365" s="123"/>
      <c r="B365" s="125"/>
      <c r="D365" s="125"/>
      <c r="E365" s="125"/>
      <c r="F365" s="125"/>
      <c r="G365" s="125"/>
      <c r="H365" s="125"/>
      <c r="I365" s="125"/>
      <c r="J365" s="126"/>
      <c r="K365" s="125"/>
      <c r="L365" s="125"/>
      <c r="M365" s="136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</row>
    <row r="366" spans="1:38" ht="13.2">
      <c r="A366" s="123"/>
      <c r="B366" s="125"/>
      <c r="D366" s="125"/>
      <c r="E366" s="125"/>
      <c r="F366" s="125"/>
      <c r="G366" s="125"/>
      <c r="H366" s="125"/>
      <c r="I366" s="125"/>
      <c r="J366" s="126"/>
      <c r="K366" s="125"/>
      <c r="L366" s="125"/>
      <c r="M366" s="136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</row>
    <row r="367" spans="1:38" ht="13.2">
      <c r="A367" s="123"/>
      <c r="B367" s="125"/>
      <c r="D367" s="125"/>
      <c r="E367" s="125"/>
      <c r="F367" s="125"/>
      <c r="G367" s="125"/>
      <c r="H367" s="125"/>
      <c r="I367" s="125"/>
      <c r="J367" s="126"/>
      <c r="K367" s="125"/>
      <c r="L367" s="125"/>
      <c r="M367" s="136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</row>
    <row r="368" spans="1:38" ht="13.2">
      <c r="A368" s="123"/>
      <c r="B368" s="125"/>
      <c r="D368" s="125"/>
      <c r="E368" s="125"/>
      <c r="F368" s="125"/>
      <c r="G368" s="125"/>
      <c r="H368" s="125"/>
      <c r="I368" s="125"/>
      <c r="J368" s="126"/>
      <c r="K368" s="125"/>
      <c r="L368" s="125"/>
      <c r="M368" s="136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</row>
    <row r="369" spans="1:38" ht="13.2">
      <c r="A369" s="123"/>
      <c r="B369" s="125"/>
      <c r="D369" s="125"/>
      <c r="E369" s="125"/>
      <c r="F369" s="125"/>
      <c r="G369" s="125"/>
      <c r="H369" s="125"/>
      <c r="I369" s="125"/>
      <c r="J369" s="126"/>
      <c r="K369" s="125"/>
      <c r="L369" s="125"/>
      <c r="M369" s="136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</row>
    <row r="370" spans="1:38" ht="13.2">
      <c r="A370" s="123"/>
      <c r="B370" s="125"/>
      <c r="D370" s="125"/>
      <c r="E370" s="125"/>
      <c r="F370" s="125"/>
      <c r="G370" s="125"/>
      <c r="H370" s="125"/>
      <c r="I370" s="125"/>
      <c r="J370" s="126"/>
      <c r="K370" s="125"/>
      <c r="L370" s="125"/>
      <c r="M370" s="136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</row>
    <row r="371" spans="1:38" ht="13.2">
      <c r="A371" s="123"/>
      <c r="B371" s="125"/>
      <c r="D371" s="125"/>
      <c r="E371" s="125"/>
      <c r="F371" s="125"/>
      <c r="G371" s="125"/>
      <c r="H371" s="125"/>
      <c r="I371" s="125"/>
      <c r="J371" s="126"/>
      <c r="K371" s="125"/>
      <c r="L371" s="125"/>
      <c r="M371" s="136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</row>
    <row r="372" spans="1:38" ht="13.2">
      <c r="A372" s="123"/>
      <c r="B372" s="125"/>
      <c r="D372" s="125"/>
      <c r="E372" s="125"/>
      <c r="F372" s="125"/>
      <c r="G372" s="125"/>
      <c r="H372" s="125"/>
      <c r="I372" s="125"/>
      <c r="J372" s="126"/>
      <c r="K372" s="125"/>
      <c r="L372" s="125"/>
      <c r="M372" s="136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</row>
    <row r="373" spans="1:38" ht="13.2">
      <c r="A373" s="123"/>
      <c r="B373" s="125"/>
      <c r="D373" s="125"/>
      <c r="E373" s="125"/>
      <c r="F373" s="125"/>
      <c r="G373" s="125"/>
      <c r="H373" s="125"/>
      <c r="I373" s="125"/>
      <c r="J373" s="126"/>
      <c r="K373" s="125"/>
      <c r="L373" s="125"/>
      <c r="M373" s="136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</row>
    <row r="374" spans="1:38" ht="13.2">
      <c r="A374" s="123"/>
      <c r="B374" s="125"/>
      <c r="D374" s="125"/>
      <c r="E374" s="125"/>
      <c r="F374" s="125"/>
      <c r="G374" s="125"/>
      <c r="H374" s="125"/>
      <c r="I374" s="125"/>
      <c r="J374" s="126"/>
      <c r="K374" s="125"/>
      <c r="L374" s="125"/>
      <c r="M374" s="136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</row>
    <row r="375" spans="1:38" ht="13.2">
      <c r="A375" s="123"/>
      <c r="B375" s="125"/>
      <c r="D375" s="125"/>
      <c r="E375" s="125"/>
      <c r="F375" s="125"/>
      <c r="G375" s="125"/>
      <c r="H375" s="125"/>
      <c r="I375" s="125"/>
      <c r="J375" s="126"/>
      <c r="K375" s="125"/>
      <c r="L375" s="125"/>
      <c r="M375" s="136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</row>
    <row r="376" spans="1:38" ht="13.2">
      <c r="A376" s="123"/>
      <c r="B376" s="125"/>
      <c r="D376" s="125"/>
      <c r="E376" s="125"/>
      <c r="F376" s="125"/>
      <c r="G376" s="125"/>
      <c r="H376" s="125"/>
      <c r="I376" s="125"/>
      <c r="J376" s="126"/>
      <c r="K376" s="125"/>
      <c r="L376" s="125"/>
      <c r="M376" s="136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</row>
    <row r="377" spans="1:38" ht="13.2">
      <c r="A377" s="123"/>
      <c r="B377" s="125"/>
      <c r="D377" s="125"/>
      <c r="E377" s="125"/>
      <c r="F377" s="125"/>
      <c r="G377" s="125"/>
      <c r="H377" s="125"/>
      <c r="I377" s="125"/>
      <c r="J377" s="126"/>
      <c r="K377" s="125"/>
      <c r="L377" s="125"/>
      <c r="M377" s="136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</row>
    <row r="378" spans="1:38" ht="13.2">
      <c r="A378" s="123"/>
      <c r="B378" s="125"/>
      <c r="D378" s="125"/>
      <c r="E378" s="125"/>
      <c r="F378" s="125"/>
      <c r="G378" s="125"/>
      <c r="H378" s="125"/>
      <c r="I378" s="125"/>
      <c r="J378" s="126"/>
      <c r="K378" s="125"/>
      <c r="L378" s="125"/>
      <c r="M378" s="136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</row>
    <row r="379" spans="1:38" ht="13.2">
      <c r="A379" s="123"/>
      <c r="B379" s="125"/>
      <c r="D379" s="125"/>
      <c r="E379" s="125"/>
      <c r="F379" s="125"/>
      <c r="G379" s="125"/>
      <c r="H379" s="125"/>
      <c r="I379" s="125"/>
      <c r="J379" s="126"/>
      <c r="K379" s="125"/>
      <c r="L379" s="125"/>
      <c r="M379" s="136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</row>
    <row r="380" spans="1:38" ht="13.2">
      <c r="A380" s="123"/>
      <c r="B380" s="125"/>
      <c r="D380" s="125"/>
      <c r="E380" s="125"/>
      <c r="F380" s="125"/>
      <c r="G380" s="125"/>
      <c r="H380" s="125"/>
      <c r="I380" s="125"/>
      <c r="J380" s="126"/>
      <c r="K380" s="125"/>
      <c r="L380" s="125"/>
      <c r="M380" s="136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</row>
    <row r="381" spans="1:38" ht="13.2">
      <c r="A381" s="123"/>
      <c r="B381" s="125"/>
      <c r="D381" s="125"/>
      <c r="E381" s="125"/>
      <c r="F381" s="125"/>
      <c r="G381" s="125"/>
      <c r="H381" s="125"/>
      <c r="I381" s="125"/>
      <c r="J381" s="126"/>
      <c r="K381" s="125"/>
      <c r="L381" s="125"/>
      <c r="M381" s="136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</row>
    <row r="382" spans="1:38" ht="13.2">
      <c r="A382" s="123"/>
      <c r="B382" s="125"/>
      <c r="D382" s="125"/>
      <c r="E382" s="125"/>
      <c r="F382" s="125"/>
      <c r="G382" s="125"/>
      <c r="H382" s="125"/>
      <c r="I382" s="125"/>
      <c r="J382" s="126"/>
      <c r="K382" s="125"/>
      <c r="L382" s="125"/>
      <c r="M382" s="136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</row>
    <row r="383" spans="1:38" ht="13.2">
      <c r="A383" s="123"/>
      <c r="B383" s="125"/>
      <c r="D383" s="125"/>
      <c r="E383" s="125"/>
      <c r="F383" s="125"/>
      <c r="G383" s="125"/>
      <c r="H383" s="125"/>
      <c r="I383" s="125"/>
      <c r="J383" s="126"/>
      <c r="K383" s="125"/>
      <c r="L383" s="125"/>
      <c r="M383" s="136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</row>
    <row r="384" spans="1:38" ht="13.2">
      <c r="A384" s="123"/>
      <c r="B384" s="125"/>
      <c r="D384" s="125"/>
      <c r="E384" s="125"/>
      <c r="F384" s="125"/>
      <c r="G384" s="125"/>
      <c r="H384" s="125"/>
      <c r="I384" s="125"/>
      <c r="J384" s="126"/>
      <c r="K384" s="125"/>
      <c r="L384" s="125"/>
      <c r="M384" s="136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</row>
    <row r="385" spans="1:38" ht="13.2">
      <c r="A385" s="123"/>
      <c r="B385" s="125"/>
      <c r="D385" s="125"/>
      <c r="E385" s="125"/>
      <c r="F385" s="125"/>
      <c r="G385" s="125"/>
      <c r="H385" s="125"/>
      <c r="I385" s="125"/>
      <c r="J385" s="126"/>
      <c r="K385" s="125"/>
      <c r="L385" s="125"/>
      <c r="M385" s="136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</row>
    <row r="386" spans="1:38" ht="13.2">
      <c r="A386" s="123"/>
      <c r="B386" s="125"/>
      <c r="D386" s="125"/>
      <c r="E386" s="125"/>
      <c r="F386" s="125"/>
      <c r="G386" s="125"/>
      <c r="H386" s="125"/>
      <c r="I386" s="125"/>
      <c r="J386" s="126"/>
      <c r="K386" s="125"/>
      <c r="L386" s="125"/>
      <c r="M386" s="136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</row>
    <row r="387" spans="1:38" ht="13.2">
      <c r="A387" s="123"/>
      <c r="B387" s="125"/>
      <c r="D387" s="125"/>
      <c r="E387" s="125"/>
      <c r="F387" s="125"/>
      <c r="G387" s="125"/>
      <c r="H387" s="125"/>
      <c r="I387" s="125"/>
      <c r="J387" s="126"/>
      <c r="K387" s="125"/>
      <c r="L387" s="125"/>
      <c r="M387" s="136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</row>
    <row r="388" spans="1:38" ht="13.2">
      <c r="A388" s="123"/>
      <c r="B388" s="125"/>
      <c r="D388" s="125"/>
      <c r="E388" s="125"/>
      <c r="F388" s="125"/>
      <c r="G388" s="125"/>
      <c r="H388" s="125"/>
      <c r="I388" s="125"/>
      <c r="J388" s="126"/>
      <c r="K388" s="125"/>
      <c r="L388" s="125"/>
      <c r="M388" s="136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</row>
    <row r="389" spans="1:38" ht="13.2">
      <c r="A389" s="123"/>
      <c r="B389" s="125"/>
      <c r="D389" s="125"/>
      <c r="E389" s="125"/>
      <c r="F389" s="125"/>
      <c r="G389" s="125"/>
      <c r="H389" s="125"/>
      <c r="I389" s="125"/>
      <c r="J389" s="126"/>
      <c r="K389" s="125"/>
      <c r="L389" s="125"/>
      <c r="M389" s="136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</row>
    <row r="390" spans="1:38" ht="13.2">
      <c r="A390" s="123"/>
      <c r="B390" s="125"/>
      <c r="D390" s="125"/>
      <c r="E390" s="125"/>
      <c r="F390" s="125"/>
      <c r="G390" s="125"/>
      <c r="H390" s="125"/>
      <c r="I390" s="125"/>
      <c r="J390" s="126"/>
      <c r="K390" s="125"/>
      <c r="L390" s="125"/>
      <c r="M390" s="136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</row>
    <row r="391" spans="1:38" ht="13.2">
      <c r="A391" s="123"/>
      <c r="B391" s="125"/>
      <c r="D391" s="125"/>
      <c r="E391" s="125"/>
      <c r="F391" s="125"/>
      <c r="G391" s="125"/>
      <c r="H391" s="125"/>
      <c r="I391" s="125"/>
      <c r="J391" s="126"/>
      <c r="K391" s="125"/>
      <c r="L391" s="125"/>
      <c r="M391" s="136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</row>
    <row r="392" spans="1:38" ht="13.2">
      <c r="A392" s="123"/>
      <c r="B392" s="125"/>
      <c r="D392" s="125"/>
      <c r="E392" s="125"/>
      <c r="F392" s="125"/>
      <c r="G392" s="125"/>
      <c r="H392" s="125"/>
      <c r="I392" s="125"/>
      <c r="J392" s="126"/>
      <c r="K392" s="125"/>
      <c r="L392" s="125"/>
      <c r="M392" s="136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</row>
    <row r="393" spans="1:38" ht="13.2">
      <c r="A393" s="123"/>
      <c r="B393" s="125"/>
      <c r="D393" s="125"/>
      <c r="E393" s="125"/>
      <c r="F393" s="125"/>
      <c r="G393" s="125"/>
      <c r="H393" s="125"/>
      <c r="I393" s="125"/>
      <c r="J393" s="126"/>
      <c r="K393" s="125"/>
      <c r="L393" s="125"/>
      <c r="M393" s="136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</row>
    <row r="394" spans="1:38" ht="13.2">
      <c r="A394" s="123"/>
      <c r="B394" s="125"/>
      <c r="D394" s="125"/>
      <c r="E394" s="125"/>
      <c r="F394" s="125"/>
      <c r="G394" s="125"/>
      <c r="H394" s="125"/>
      <c r="I394" s="125"/>
      <c r="J394" s="126"/>
      <c r="K394" s="125"/>
      <c r="L394" s="125"/>
      <c r="M394" s="136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</row>
    <row r="395" spans="1:38" ht="13.2">
      <c r="A395" s="123"/>
      <c r="B395" s="125"/>
      <c r="D395" s="125"/>
      <c r="E395" s="125"/>
      <c r="F395" s="125"/>
      <c r="G395" s="125"/>
      <c r="H395" s="125"/>
      <c r="I395" s="125"/>
      <c r="J395" s="126"/>
      <c r="K395" s="125"/>
      <c r="L395" s="125"/>
      <c r="M395" s="136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</row>
    <row r="396" spans="1:38" ht="13.2">
      <c r="A396" s="123"/>
      <c r="B396" s="125"/>
      <c r="D396" s="125"/>
      <c r="E396" s="125"/>
      <c r="F396" s="125"/>
      <c r="G396" s="125"/>
      <c r="H396" s="125"/>
      <c r="I396" s="125"/>
      <c r="J396" s="126"/>
      <c r="K396" s="125"/>
      <c r="L396" s="125"/>
      <c r="M396" s="136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</row>
    <row r="397" spans="1:38" ht="13.2">
      <c r="A397" s="123"/>
      <c r="B397" s="125"/>
      <c r="D397" s="125"/>
      <c r="E397" s="125"/>
      <c r="F397" s="125"/>
      <c r="G397" s="125"/>
      <c r="H397" s="125"/>
      <c r="I397" s="125"/>
      <c r="J397" s="126"/>
      <c r="K397" s="125"/>
      <c r="L397" s="125"/>
      <c r="M397" s="136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</row>
    <row r="398" spans="1:38" ht="13.2">
      <c r="A398" s="123"/>
      <c r="B398" s="125"/>
      <c r="D398" s="125"/>
      <c r="E398" s="125"/>
      <c r="F398" s="125"/>
      <c r="G398" s="125"/>
      <c r="H398" s="125"/>
      <c r="I398" s="125"/>
      <c r="J398" s="126"/>
      <c r="K398" s="125"/>
      <c r="L398" s="125"/>
      <c r="M398" s="136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</row>
    <row r="399" spans="1:38" ht="13.2">
      <c r="A399" s="123"/>
      <c r="B399" s="125"/>
      <c r="D399" s="125"/>
      <c r="E399" s="125"/>
      <c r="F399" s="125"/>
      <c r="G399" s="125"/>
      <c r="H399" s="125"/>
      <c r="I399" s="125"/>
      <c r="J399" s="126"/>
      <c r="K399" s="125"/>
      <c r="L399" s="125"/>
      <c r="M399" s="136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</row>
    <row r="400" spans="1:38" ht="13.2">
      <c r="A400" s="123"/>
      <c r="B400" s="125"/>
      <c r="D400" s="125"/>
      <c r="E400" s="125"/>
      <c r="F400" s="125"/>
      <c r="G400" s="125"/>
      <c r="H400" s="125"/>
      <c r="I400" s="125"/>
      <c r="J400" s="126"/>
      <c r="K400" s="125"/>
      <c r="L400" s="125"/>
      <c r="M400" s="136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</row>
    <row r="401" spans="1:38" ht="13.2">
      <c r="A401" s="123"/>
      <c r="B401" s="125"/>
      <c r="D401" s="125"/>
      <c r="E401" s="125"/>
      <c r="F401" s="125"/>
      <c r="G401" s="125"/>
      <c r="H401" s="125"/>
      <c r="I401" s="125"/>
      <c r="J401" s="126"/>
      <c r="K401" s="125"/>
      <c r="L401" s="125"/>
      <c r="M401" s="136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</row>
    <row r="402" spans="1:38" ht="13.2">
      <c r="A402" s="123"/>
      <c r="B402" s="125"/>
      <c r="D402" s="125"/>
      <c r="E402" s="125"/>
      <c r="F402" s="125"/>
      <c r="G402" s="125"/>
      <c r="H402" s="125"/>
      <c r="I402" s="125"/>
      <c r="J402" s="126"/>
      <c r="K402" s="125"/>
      <c r="L402" s="125"/>
      <c r="M402" s="136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</row>
    <row r="403" spans="1:38" ht="13.2">
      <c r="A403" s="123"/>
      <c r="B403" s="125"/>
      <c r="D403" s="125"/>
      <c r="E403" s="125"/>
      <c r="F403" s="125"/>
      <c r="G403" s="125"/>
      <c r="H403" s="125"/>
      <c r="I403" s="125"/>
      <c r="J403" s="126"/>
      <c r="K403" s="125"/>
      <c r="L403" s="125"/>
      <c r="M403" s="136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</row>
    <row r="404" spans="1:38" ht="13.2">
      <c r="A404" s="123"/>
      <c r="B404" s="125"/>
      <c r="D404" s="125"/>
      <c r="E404" s="125"/>
      <c r="F404" s="125"/>
      <c r="G404" s="125"/>
      <c r="H404" s="125"/>
      <c r="I404" s="125"/>
      <c r="J404" s="126"/>
      <c r="K404" s="125"/>
      <c r="L404" s="125"/>
      <c r="M404" s="136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</row>
    <row r="405" spans="1:38" ht="13.2">
      <c r="A405" s="123"/>
      <c r="B405" s="125"/>
      <c r="D405" s="125"/>
      <c r="E405" s="125"/>
      <c r="F405" s="125"/>
      <c r="G405" s="125"/>
      <c r="H405" s="125"/>
      <c r="I405" s="125"/>
      <c r="J405" s="126"/>
      <c r="K405" s="125"/>
      <c r="L405" s="125"/>
      <c r="M405" s="136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</row>
    <row r="406" spans="1:38" ht="13.2">
      <c r="A406" s="123"/>
      <c r="B406" s="125"/>
      <c r="D406" s="125"/>
      <c r="E406" s="125"/>
      <c r="F406" s="125"/>
      <c r="G406" s="125"/>
      <c r="H406" s="125"/>
      <c r="I406" s="125"/>
      <c r="J406" s="126"/>
      <c r="K406" s="125"/>
      <c r="L406" s="125"/>
      <c r="M406" s="136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</row>
    <row r="407" spans="1:38" ht="13.2">
      <c r="A407" s="123"/>
      <c r="B407" s="125"/>
      <c r="D407" s="125"/>
      <c r="E407" s="125"/>
      <c r="F407" s="125"/>
      <c r="G407" s="125"/>
      <c r="H407" s="125"/>
      <c r="I407" s="125"/>
      <c r="J407" s="126"/>
      <c r="K407" s="125"/>
      <c r="L407" s="125"/>
      <c r="M407" s="136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</row>
    <row r="408" spans="1:38" ht="13.2">
      <c r="A408" s="123"/>
      <c r="B408" s="125"/>
      <c r="D408" s="125"/>
      <c r="E408" s="125"/>
      <c r="F408" s="125"/>
      <c r="G408" s="125"/>
      <c r="H408" s="125"/>
      <c r="I408" s="125"/>
      <c r="J408" s="126"/>
      <c r="K408" s="125"/>
      <c r="L408" s="125"/>
      <c r="M408" s="136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</row>
    <row r="409" spans="1:38" ht="13.2">
      <c r="A409" s="123"/>
      <c r="B409" s="125"/>
      <c r="D409" s="125"/>
      <c r="E409" s="125"/>
      <c r="F409" s="125"/>
      <c r="G409" s="125"/>
      <c r="H409" s="125"/>
      <c r="I409" s="125"/>
      <c r="J409" s="126"/>
      <c r="K409" s="125"/>
      <c r="L409" s="125"/>
      <c r="M409" s="136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</row>
    <row r="410" spans="1:38" ht="13.2">
      <c r="A410" s="123"/>
      <c r="B410" s="125"/>
      <c r="D410" s="125"/>
      <c r="E410" s="125"/>
      <c r="F410" s="125"/>
      <c r="G410" s="125"/>
      <c r="H410" s="125"/>
      <c r="I410" s="125"/>
      <c r="J410" s="126"/>
      <c r="K410" s="125"/>
      <c r="L410" s="125"/>
      <c r="M410" s="136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</row>
    <row r="411" spans="1:38" ht="13.2">
      <c r="A411" s="123"/>
      <c r="B411" s="125"/>
      <c r="D411" s="125"/>
      <c r="E411" s="125"/>
      <c r="F411" s="125"/>
      <c r="G411" s="125"/>
      <c r="H411" s="125"/>
      <c r="I411" s="125"/>
      <c r="J411" s="126"/>
      <c r="K411" s="125"/>
      <c r="L411" s="125"/>
      <c r="M411" s="136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</row>
    <row r="412" spans="1:38" ht="13.2">
      <c r="A412" s="123"/>
      <c r="B412" s="125"/>
      <c r="D412" s="125"/>
      <c r="E412" s="125"/>
      <c r="F412" s="125"/>
      <c r="G412" s="125"/>
      <c r="H412" s="125"/>
      <c r="I412" s="125"/>
      <c r="J412" s="126"/>
      <c r="K412" s="125"/>
      <c r="L412" s="125"/>
      <c r="M412" s="136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</row>
    <row r="413" spans="1:38" ht="13.2">
      <c r="A413" s="123"/>
      <c r="B413" s="125"/>
      <c r="D413" s="125"/>
      <c r="E413" s="125"/>
      <c r="F413" s="125"/>
      <c r="G413" s="125"/>
      <c r="H413" s="125"/>
      <c r="I413" s="125"/>
      <c r="J413" s="126"/>
      <c r="K413" s="125"/>
      <c r="L413" s="125"/>
      <c r="M413" s="136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</row>
    <row r="414" spans="1:38" ht="13.2">
      <c r="A414" s="123"/>
      <c r="B414" s="125"/>
      <c r="D414" s="125"/>
      <c r="E414" s="125"/>
      <c r="F414" s="125"/>
      <c r="G414" s="125"/>
      <c r="H414" s="125"/>
      <c r="I414" s="125"/>
      <c r="J414" s="126"/>
      <c r="K414" s="125"/>
      <c r="L414" s="125"/>
      <c r="M414" s="136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</row>
    <row r="415" spans="1:38" ht="13.2">
      <c r="A415" s="123"/>
      <c r="B415" s="125"/>
      <c r="D415" s="125"/>
      <c r="E415" s="125"/>
      <c r="F415" s="125"/>
      <c r="G415" s="125"/>
      <c r="H415" s="125"/>
      <c r="I415" s="125"/>
      <c r="J415" s="126"/>
      <c r="K415" s="125"/>
      <c r="L415" s="125"/>
      <c r="M415" s="136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</row>
    <row r="416" spans="1:38" ht="13.2">
      <c r="A416" s="123"/>
      <c r="B416" s="125"/>
      <c r="D416" s="125"/>
      <c r="E416" s="125"/>
      <c r="F416" s="125"/>
      <c r="G416" s="125"/>
      <c r="H416" s="125"/>
      <c r="I416" s="125"/>
      <c r="J416" s="126"/>
      <c r="K416" s="125"/>
      <c r="L416" s="125"/>
      <c r="M416" s="136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</row>
    <row r="417" spans="1:38" ht="13.2">
      <c r="A417" s="123"/>
      <c r="B417" s="125"/>
      <c r="D417" s="125"/>
      <c r="E417" s="125"/>
      <c r="F417" s="125"/>
      <c r="G417" s="125"/>
      <c r="H417" s="125"/>
      <c r="I417" s="125"/>
      <c r="J417" s="126"/>
      <c r="K417" s="125"/>
      <c r="L417" s="125"/>
      <c r="M417" s="136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</row>
    <row r="418" spans="1:38" ht="13.2">
      <c r="A418" s="123"/>
      <c r="B418" s="125"/>
      <c r="D418" s="125"/>
      <c r="E418" s="125"/>
      <c r="F418" s="125"/>
      <c r="G418" s="125"/>
      <c r="H418" s="125"/>
      <c r="I418" s="125"/>
      <c r="J418" s="126"/>
      <c r="K418" s="125"/>
      <c r="L418" s="125"/>
      <c r="M418" s="136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</row>
    <row r="419" spans="1:38" ht="13.2">
      <c r="A419" s="123"/>
      <c r="B419" s="125"/>
      <c r="D419" s="125"/>
      <c r="E419" s="125"/>
      <c r="F419" s="125"/>
      <c r="G419" s="125"/>
      <c r="H419" s="125"/>
      <c r="I419" s="125"/>
      <c r="J419" s="126"/>
      <c r="K419" s="125"/>
      <c r="L419" s="125"/>
      <c r="M419" s="136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</row>
    <row r="420" spans="1:38" ht="13.2">
      <c r="A420" s="123"/>
      <c r="B420" s="125"/>
      <c r="D420" s="125"/>
      <c r="E420" s="125"/>
      <c r="F420" s="125"/>
      <c r="G420" s="125"/>
      <c r="H420" s="125"/>
      <c r="I420" s="125"/>
      <c r="J420" s="126"/>
      <c r="K420" s="125"/>
      <c r="L420" s="125"/>
      <c r="M420" s="136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</row>
    <row r="421" spans="1:38" ht="13.2">
      <c r="A421" s="123"/>
      <c r="B421" s="125"/>
      <c r="D421" s="125"/>
      <c r="E421" s="125"/>
      <c r="F421" s="125"/>
      <c r="G421" s="125"/>
      <c r="H421" s="125"/>
      <c r="I421" s="125"/>
      <c r="J421" s="126"/>
      <c r="K421" s="125"/>
      <c r="L421" s="125"/>
      <c r="M421" s="136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</row>
    <row r="422" spans="1:38" ht="13.2">
      <c r="A422" s="123"/>
      <c r="B422" s="125"/>
      <c r="D422" s="125"/>
      <c r="E422" s="125"/>
      <c r="F422" s="125"/>
      <c r="G422" s="125"/>
      <c r="H422" s="125"/>
      <c r="I422" s="125"/>
      <c r="J422" s="126"/>
      <c r="K422" s="125"/>
      <c r="L422" s="125"/>
      <c r="M422" s="136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5"/>
      <c r="AL422" s="125"/>
    </row>
    <row r="423" spans="1:38" ht="13.2">
      <c r="A423" s="123"/>
      <c r="B423" s="125"/>
      <c r="D423" s="125"/>
      <c r="E423" s="125"/>
      <c r="F423" s="125"/>
      <c r="G423" s="125"/>
      <c r="H423" s="125"/>
      <c r="I423" s="125"/>
      <c r="J423" s="126"/>
      <c r="K423" s="125"/>
      <c r="L423" s="125"/>
      <c r="M423" s="136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</row>
    <row r="424" spans="1:38" ht="13.2">
      <c r="A424" s="123"/>
      <c r="B424" s="125"/>
      <c r="D424" s="125"/>
      <c r="E424" s="125"/>
      <c r="F424" s="125"/>
      <c r="G424" s="125"/>
      <c r="H424" s="125"/>
      <c r="I424" s="125"/>
      <c r="J424" s="126"/>
      <c r="K424" s="125"/>
      <c r="L424" s="125"/>
      <c r="M424" s="136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5"/>
      <c r="AL424" s="125"/>
    </row>
    <row r="425" spans="1:38" ht="13.2">
      <c r="A425" s="123"/>
      <c r="B425" s="125"/>
      <c r="D425" s="125"/>
      <c r="E425" s="125"/>
      <c r="F425" s="125"/>
      <c r="G425" s="125"/>
      <c r="H425" s="125"/>
      <c r="I425" s="125"/>
      <c r="J425" s="126"/>
      <c r="K425" s="125"/>
      <c r="L425" s="125"/>
      <c r="M425" s="136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5"/>
      <c r="AL425" s="125"/>
    </row>
    <row r="426" spans="1:38" ht="13.2">
      <c r="A426" s="123"/>
      <c r="B426" s="125"/>
      <c r="D426" s="125"/>
      <c r="E426" s="125"/>
      <c r="F426" s="125"/>
      <c r="G426" s="125"/>
      <c r="H426" s="125"/>
      <c r="I426" s="125"/>
      <c r="J426" s="126"/>
      <c r="K426" s="125"/>
      <c r="L426" s="125"/>
      <c r="M426" s="136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5"/>
      <c r="AL426" s="125"/>
    </row>
    <row r="427" spans="1:38" ht="13.2">
      <c r="A427" s="123"/>
      <c r="B427" s="125"/>
      <c r="D427" s="125"/>
      <c r="E427" s="125"/>
      <c r="F427" s="125"/>
      <c r="G427" s="125"/>
      <c r="H427" s="125"/>
      <c r="I427" s="125"/>
      <c r="J427" s="126"/>
      <c r="K427" s="125"/>
      <c r="L427" s="125"/>
      <c r="M427" s="136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5"/>
      <c r="AL427" s="125"/>
    </row>
    <row r="428" spans="1:38" ht="13.2">
      <c r="A428" s="123"/>
      <c r="B428" s="125"/>
      <c r="D428" s="125"/>
      <c r="E428" s="125"/>
      <c r="F428" s="125"/>
      <c r="G428" s="125"/>
      <c r="H428" s="125"/>
      <c r="I428" s="125"/>
      <c r="J428" s="126"/>
      <c r="K428" s="125"/>
      <c r="L428" s="125"/>
      <c r="M428" s="136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5"/>
      <c r="AL428" s="125"/>
    </row>
    <row r="429" spans="1:38" ht="13.2">
      <c r="A429" s="123"/>
      <c r="B429" s="125"/>
      <c r="D429" s="125"/>
      <c r="E429" s="125"/>
      <c r="F429" s="125"/>
      <c r="G429" s="125"/>
      <c r="H429" s="125"/>
      <c r="I429" s="125"/>
      <c r="J429" s="126"/>
      <c r="K429" s="125"/>
      <c r="L429" s="125"/>
      <c r="M429" s="136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5"/>
      <c r="AL429" s="125"/>
    </row>
    <row r="430" spans="1:38" ht="13.2">
      <c r="A430" s="123"/>
      <c r="B430" s="125"/>
      <c r="D430" s="125"/>
      <c r="E430" s="125"/>
      <c r="F430" s="125"/>
      <c r="G430" s="125"/>
      <c r="H430" s="125"/>
      <c r="I430" s="125"/>
      <c r="J430" s="126"/>
      <c r="K430" s="125"/>
      <c r="L430" s="125"/>
      <c r="M430" s="136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5"/>
      <c r="AL430" s="125"/>
    </row>
    <row r="431" spans="1:38" ht="13.2">
      <c r="A431" s="123"/>
      <c r="B431" s="125"/>
      <c r="D431" s="125"/>
      <c r="E431" s="125"/>
      <c r="F431" s="125"/>
      <c r="G431" s="125"/>
      <c r="H431" s="125"/>
      <c r="I431" s="125"/>
      <c r="J431" s="126"/>
      <c r="K431" s="125"/>
      <c r="L431" s="125"/>
      <c r="M431" s="136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5"/>
      <c r="AL431" s="125"/>
    </row>
    <row r="432" spans="1:38" ht="13.2">
      <c r="A432" s="123"/>
      <c r="B432" s="125"/>
      <c r="D432" s="125"/>
      <c r="E432" s="125"/>
      <c r="F432" s="125"/>
      <c r="G432" s="125"/>
      <c r="H432" s="125"/>
      <c r="I432" s="125"/>
      <c r="J432" s="126"/>
      <c r="K432" s="125"/>
      <c r="L432" s="125"/>
      <c r="M432" s="136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5"/>
      <c r="AL432" s="125"/>
    </row>
    <row r="433" spans="1:38" ht="13.2">
      <c r="A433" s="123"/>
      <c r="B433" s="125"/>
      <c r="D433" s="125"/>
      <c r="E433" s="125"/>
      <c r="F433" s="125"/>
      <c r="G433" s="125"/>
      <c r="H433" s="125"/>
      <c r="I433" s="125"/>
      <c r="J433" s="126"/>
      <c r="K433" s="125"/>
      <c r="L433" s="125"/>
      <c r="M433" s="136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5"/>
      <c r="AL433" s="125"/>
    </row>
    <row r="434" spans="1:38" ht="13.2">
      <c r="A434" s="123"/>
      <c r="B434" s="125"/>
      <c r="D434" s="125"/>
      <c r="E434" s="125"/>
      <c r="F434" s="125"/>
      <c r="G434" s="125"/>
      <c r="H434" s="125"/>
      <c r="I434" s="125"/>
      <c r="J434" s="126"/>
      <c r="K434" s="125"/>
      <c r="L434" s="125"/>
      <c r="M434" s="136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5"/>
      <c r="AL434" s="125"/>
    </row>
    <row r="435" spans="1:38" ht="13.2">
      <c r="A435" s="123"/>
      <c r="B435" s="125"/>
      <c r="D435" s="125"/>
      <c r="E435" s="125"/>
      <c r="F435" s="125"/>
      <c r="G435" s="125"/>
      <c r="H435" s="125"/>
      <c r="I435" s="125"/>
      <c r="J435" s="126"/>
      <c r="K435" s="125"/>
      <c r="L435" s="125"/>
      <c r="M435" s="136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5"/>
      <c r="AL435" s="125"/>
    </row>
    <row r="436" spans="1:38" ht="13.2">
      <c r="A436" s="123"/>
      <c r="B436" s="125"/>
      <c r="D436" s="125"/>
      <c r="E436" s="125"/>
      <c r="F436" s="125"/>
      <c r="G436" s="125"/>
      <c r="H436" s="125"/>
      <c r="I436" s="125"/>
      <c r="J436" s="126"/>
      <c r="K436" s="125"/>
      <c r="L436" s="125"/>
      <c r="M436" s="136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</row>
    <row r="437" spans="1:38" ht="13.2">
      <c r="A437" s="123"/>
      <c r="B437" s="125"/>
      <c r="D437" s="125"/>
      <c r="E437" s="125"/>
      <c r="F437" s="125"/>
      <c r="G437" s="125"/>
      <c r="H437" s="125"/>
      <c r="I437" s="125"/>
      <c r="J437" s="126"/>
      <c r="K437" s="125"/>
      <c r="L437" s="125"/>
      <c r="M437" s="136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</row>
    <row r="438" spans="1:38" ht="13.2">
      <c r="A438" s="123"/>
      <c r="B438" s="125"/>
      <c r="D438" s="125"/>
      <c r="E438" s="125"/>
      <c r="F438" s="125"/>
      <c r="G438" s="125"/>
      <c r="H438" s="125"/>
      <c r="I438" s="125"/>
      <c r="J438" s="126"/>
      <c r="K438" s="125"/>
      <c r="L438" s="125"/>
      <c r="M438" s="136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</row>
    <row r="439" spans="1:38" ht="13.2">
      <c r="A439" s="123"/>
      <c r="B439" s="125"/>
      <c r="D439" s="125"/>
      <c r="E439" s="125"/>
      <c r="F439" s="125"/>
      <c r="G439" s="125"/>
      <c r="H439" s="125"/>
      <c r="I439" s="125"/>
      <c r="J439" s="126"/>
      <c r="K439" s="125"/>
      <c r="L439" s="125"/>
      <c r="M439" s="136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</row>
    <row r="440" spans="1:38" ht="13.2">
      <c r="A440" s="123"/>
      <c r="B440" s="125"/>
      <c r="D440" s="125"/>
      <c r="E440" s="125"/>
      <c r="F440" s="125"/>
      <c r="G440" s="125"/>
      <c r="H440" s="125"/>
      <c r="I440" s="125"/>
      <c r="J440" s="126"/>
      <c r="K440" s="125"/>
      <c r="L440" s="125"/>
      <c r="M440" s="136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5"/>
      <c r="AL440" s="125"/>
    </row>
    <row r="441" spans="1:38" ht="13.2">
      <c r="A441" s="123"/>
      <c r="B441" s="125"/>
      <c r="D441" s="125"/>
      <c r="E441" s="125"/>
      <c r="F441" s="125"/>
      <c r="G441" s="125"/>
      <c r="H441" s="125"/>
      <c r="I441" s="125"/>
      <c r="J441" s="126"/>
      <c r="K441" s="125"/>
      <c r="L441" s="125"/>
      <c r="M441" s="136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</row>
    <row r="442" spans="1:38" ht="13.2">
      <c r="A442" s="123"/>
      <c r="B442" s="125"/>
      <c r="D442" s="125"/>
      <c r="E442" s="125"/>
      <c r="F442" s="125"/>
      <c r="G442" s="125"/>
      <c r="H442" s="125"/>
      <c r="I442" s="125"/>
      <c r="J442" s="126"/>
      <c r="K442" s="125"/>
      <c r="L442" s="125"/>
      <c r="M442" s="136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</row>
    <row r="443" spans="1:38" ht="13.2">
      <c r="A443" s="123"/>
      <c r="B443" s="125"/>
      <c r="D443" s="125"/>
      <c r="E443" s="125"/>
      <c r="F443" s="125"/>
      <c r="G443" s="125"/>
      <c r="H443" s="125"/>
      <c r="I443" s="125"/>
      <c r="J443" s="126"/>
      <c r="K443" s="125"/>
      <c r="L443" s="125"/>
      <c r="M443" s="136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</row>
    <row r="444" spans="1:38" ht="13.2">
      <c r="A444" s="123"/>
      <c r="B444" s="125"/>
      <c r="D444" s="125"/>
      <c r="E444" s="125"/>
      <c r="F444" s="125"/>
      <c r="G444" s="125"/>
      <c r="H444" s="125"/>
      <c r="I444" s="125"/>
      <c r="J444" s="126"/>
      <c r="K444" s="125"/>
      <c r="L444" s="125"/>
      <c r="M444" s="136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</row>
    <row r="445" spans="1:38" ht="13.2">
      <c r="A445" s="123"/>
      <c r="B445" s="125"/>
      <c r="D445" s="125"/>
      <c r="E445" s="125"/>
      <c r="F445" s="125"/>
      <c r="G445" s="125"/>
      <c r="H445" s="125"/>
      <c r="I445" s="125"/>
      <c r="J445" s="126"/>
      <c r="K445" s="125"/>
      <c r="L445" s="125"/>
      <c r="M445" s="136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</row>
    <row r="446" spans="1:38" ht="13.2">
      <c r="A446" s="123"/>
      <c r="B446" s="125"/>
      <c r="D446" s="125"/>
      <c r="E446" s="125"/>
      <c r="F446" s="125"/>
      <c r="G446" s="125"/>
      <c r="H446" s="125"/>
      <c r="I446" s="125"/>
      <c r="J446" s="126"/>
      <c r="K446" s="125"/>
      <c r="L446" s="125"/>
      <c r="M446" s="136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</row>
    <row r="447" spans="1:38" ht="13.2">
      <c r="A447" s="123"/>
      <c r="B447" s="125"/>
      <c r="D447" s="125"/>
      <c r="E447" s="125"/>
      <c r="F447" s="125"/>
      <c r="G447" s="125"/>
      <c r="H447" s="125"/>
      <c r="I447" s="125"/>
      <c r="J447" s="126"/>
      <c r="K447" s="125"/>
      <c r="L447" s="125"/>
      <c r="M447" s="136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</row>
    <row r="448" spans="1:38" ht="13.2">
      <c r="A448" s="123"/>
      <c r="B448" s="125"/>
      <c r="D448" s="125"/>
      <c r="E448" s="125"/>
      <c r="F448" s="125"/>
      <c r="G448" s="125"/>
      <c r="H448" s="125"/>
      <c r="I448" s="125"/>
      <c r="J448" s="126"/>
      <c r="K448" s="125"/>
      <c r="L448" s="125"/>
      <c r="M448" s="136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5"/>
      <c r="AL448" s="125"/>
    </row>
    <row r="449" spans="1:38" ht="13.2">
      <c r="A449" s="123"/>
      <c r="B449" s="125"/>
      <c r="D449" s="125"/>
      <c r="E449" s="125"/>
      <c r="F449" s="125"/>
      <c r="G449" s="125"/>
      <c r="H449" s="125"/>
      <c r="I449" s="125"/>
      <c r="J449" s="126"/>
      <c r="K449" s="125"/>
      <c r="L449" s="125"/>
      <c r="M449" s="136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5"/>
      <c r="AL449" s="125"/>
    </row>
    <row r="450" spans="1:38" ht="13.2">
      <c r="A450" s="123"/>
      <c r="B450" s="125"/>
      <c r="D450" s="125"/>
      <c r="E450" s="125"/>
      <c r="F450" s="125"/>
      <c r="G450" s="125"/>
      <c r="H450" s="125"/>
      <c r="I450" s="125"/>
      <c r="J450" s="126"/>
      <c r="K450" s="125"/>
      <c r="L450" s="125"/>
      <c r="M450" s="136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5"/>
      <c r="AL450" s="125"/>
    </row>
    <row r="451" spans="1:38" ht="13.2">
      <c r="A451" s="123"/>
      <c r="B451" s="125"/>
      <c r="D451" s="125"/>
      <c r="E451" s="125"/>
      <c r="F451" s="125"/>
      <c r="G451" s="125"/>
      <c r="H451" s="125"/>
      <c r="I451" s="125"/>
      <c r="J451" s="126"/>
      <c r="K451" s="125"/>
      <c r="L451" s="125"/>
      <c r="M451" s="136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</row>
    <row r="452" spans="1:38" ht="13.2">
      <c r="A452" s="123"/>
      <c r="B452" s="125"/>
      <c r="D452" s="125"/>
      <c r="E452" s="125"/>
      <c r="F452" s="125"/>
      <c r="G452" s="125"/>
      <c r="H452" s="125"/>
      <c r="I452" s="125"/>
      <c r="J452" s="126"/>
      <c r="K452" s="125"/>
      <c r="L452" s="125"/>
      <c r="M452" s="136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</row>
    <row r="453" spans="1:38" ht="13.2">
      <c r="A453" s="123"/>
      <c r="B453" s="125"/>
      <c r="D453" s="125"/>
      <c r="E453" s="125"/>
      <c r="F453" s="125"/>
      <c r="G453" s="125"/>
      <c r="H453" s="125"/>
      <c r="I453" s="125"/>
      <c r="J453" s="126"/>
      <c r="K453" s="125"/>
      <c r="L453" s="125"/>
      <c r="M453" s="136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</row>
    <row r="454" spans="1:38" ht="13.2">
      <c r="A454" s="123"/>
      <c r="B454" s="125"/>
      <c r="D454" s="125"/>
      <c r="E454" s="125"/>
      <c r="F454" s="125"/>
      <c r="G454" s="125"/>
      <c r="H454" s="125"/>
      <c r="I454" s="125"/>
      <c r="J454" s="126"/>
      <c r="K454" s="125"/>
      <c r="L454" s="125"/>
      <c r="M454" s="136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</row>
    <row r="455" spans="1:38" ht="13.2">
      <c r="A455" s="123"/>
      <c r="B455" s="125"/>
      <c r="D455" s="125"/>
      <c r="E455" s="125"/>
      <c r="F455" s="125"/>
      <c r="G455" s="125"/>
      <c r="H455" s="125"/>
      <c r="I455" s="125"/>
      <c r="J455" s="126"/>
      <c r="K455" s="125"/>
      <c r="L455" s="125"/>
      <c r="M455" s="136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</row>
    <row r="456" spans="1:38" ht="13.2">
      <c r="A456" s="123"/>
      <c r="B456" s="125"/>
      <c r="D456" s="125"/>
      <c r="E456" s="125"/>
      <c r="F456" s="125"/>
      <c r="G456" s="125"/>
      <c r="H456" s="125"/>
      <c r="I456" s="125"/>
      <c r="J456" s="126"/>
      <c r="K456" s="125"/>
      <c r="L456" s="125"/>
      <c r="M456" s="136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</row>
    <row r="457" spans="1:38" ht="13.2">
      <c r="A457" s="123"/>
      <c r="B457" s="125"/>
      <c r="D457" s="125"/>
      <c r="E457" s="125"/>
      <c r="F457" s="125"/>
      <c r="G457" s="125"/>
      <c r="H457" s="125"/>
      <c r="I457" s="125"/>
      <c r="J457" s="126"/>
      <c r="K457" s="125"/>
      <c r="L457" s="125"/>
      <c r="M457" s="136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</row>
    <row r="458" spans="1:38" ht="13.2">
      <c r="A458" s="123"/>
      <c r="B458" s="125"/>
      <c r="D458" s="125"/>
      <c r="E458" s="125"/>
      <c r="F458" s="125"/>
      <c r="G458" s="125"/>
      <c r="H458" s="125"/>
      <c r="I458" s="125"/>
      <c r="J458" s="126"/>
      <c r="K458" s="125"/>
      <c r="L458" s="125"/>
      <c r="M458" s="136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</row>
    <row r="459" spans="1:38" ht="13.2">
      <c r="A459" s="123"/>
      <c r="B459" s="125"/>
      <c r="D459" s="125"/>
      <c r="E459" s="125"/>
      <c r="F459" s="125"/>
      <c r="G459" s="125"/>
      <c r="H459" s="125"/>
      <c r="I459" s="125"/>
      <c r="J459" s="126"/>
      <c r="K459" s="125"/>
      <c r="L459" s="125"/>
      <c r="M459" s="136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5"/>
      <c r="AL459" s="125"/>
    </row>
    <row r="460" spans="1:38" ht="13.2">
      <c r="A460" s="123"/>
      <c r="B460" s="125"/>
      <c r="D460" s="125"/>
      <c r="E460" s="125"/>
      <c r="F460" s="125"/>
      <c r="G460" s="125"/>
      <c r="H460" s="125"/>
      <c r="I460" s="125"/>
      <c r="J460" s="126"/>
      <c r="K460" s="125"/>
      <c r="L460" s="125"/>
      <c r="M460" s="136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5"/>
      <c r="AL460" s="125"/>
    </row>
    <row r="461" spans="1:38" ht="13.2">
      <c r="A461" s="123"/>
      <c r="B461" s="125"/>
      <c r="D461" s="125"/>
      <c r="E461" s="125"/>
      <c r="F461" s="125"/>
      <c r="G461" s="125"/>
      <c r="H461" s="125"/>
      <c r="I461" s="125"/>
      <c r="J461" s="126"/>
      <c r="K461" s="125"/>
      <c r="L461" s="125"/>
      <c r="M461" s="136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5"/>
      <c r="AL461" s="125"/>
    </row>
    <row r="462" spans="1:38" ht="13.2">
      <c r="A462" s="123"/>
      <c r="B462" s="125"/>
      <c r="D462" s="125"/>
      <c r="E462" s="125"/>
      <c r="F462" s="125"/>
      <c r="G462" s="125"/>
      <c r="H462" s="125"/>
      <c r="I462" s="125"/>
      <c r="J462" s="126"/>
      <c r="K462" s="125"/>
      <c r="L462" s="125"/>
      <c r="M462" s="136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5"/>
      <c r="AL462" s="125"/>
    </row>
    <row r="463" spans="1:38" ht="13.2">
      <c r="A463" s="123"/>
      <c r="B463" s="125"/>
      <c r="D463" s="125"/>
      <c r="E463" s="125"/>
      <c r="F463" s="125"/>
      <c r="G463" s="125"/>
      <c r="H463" s="125"/>
      <c r="I463" s="125"/>
      <c r="J463" s="126"/>
      <c r="K463" s="125"/>
      <c r="L463" s="125"/>
      <c r="M463" s="136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5"/>
      <c r="AL463" s="125"/>
    </row>
    <row r="464" spans="1:38" ht="13.2">
      <c r="A464" s="123"/>
      <c r="B464" s="125"/>
      <c r="D464" s="125"/>
      <c r="E464" s="125"/>
      <c r="F464" s="125"/>
      <c r="G464" s="125"/>
      <c r="H464" s="125"/>
      <c r="I464" s="125"/>
      <c r="J464" s="126"/>
      <c r="K464" s="125"/>
      <c r="L464" s="125"/>
      <c r="M464" s="136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5"/>
      <c r="AL464" s="125"/>
    </row>
    <row r="465" spans="1:38" ht="13.2">
      <c r="A465" s="123"/>
      <c r="B465" s="125"/>
      <c r="D465" s="125"/>
      <c r="E465" s="125"/>
      <c r="F465" s="125"/>
      <c r="G465" s="125"/>
      <c r="H465" s="125"/>
      <c r="I465" s="125"/>
      <c r="J465" s="126"/>
      <c r="K465" s="125"/>
      <c r="L465" s="125"/>
      <c r="M465" s="136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5"/>
      <c r="AL465" s="125"/>
    </row>
    <row r="466" spans="1:38" ht="13.2">
      <c r="A466" s="123"/>
      <c r="B466" s="125"/>
      <c r="D466" s="125"/>
      <c r="E466" s="125"/>
      <c r="F466" s="125"/>
      <c r="G466" s="125"/>
      <c r="H466" s="125"/>
      <c r="I466" s="125"/>
      <c r="J466" s="126"/>
      <c r="K466" s="125"/>
      <c r="L466" s="125"/>
      <c r="M466" s="136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5"/>
      <c r="AL466" s="125"/>
    </row>
    <row r="467" spans="1:38" ht="13.2">
      <c r="A467" s="123"/>
      <c r="B467" s="125"/>
      <c r="D467" s="125"/>
      <c r="E467" s="125"/>
      <c r="F467" s="125"/>
      <c r="G467" s="125"/>
      <c r="H467" s="125"/>
      <c r="I467" s="125"/>
      <c r="J467" s="126"/>
      <c r="K467" s="125"/>
      <c r="L467" s="125"/>
      <c r="M467" s="136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</row>
    <row r="468" spans="1:38" ht="13.2">
      <c r="A468" s="123"/>
      <c r="B468" s="125"/>
      <c r="D468" s="125"/>
      <c r="E468" s="125"/>
      <c r="F468" s="125"/>
      <c r="G468" s="125"/>
      <c r="H468" s="125"/>
      <c r="I468" s="125"/>
      <c r="J468" s="126"/>
      <c r="K468" s="125"/>
      <c r="L468" s="125"/>
      <c r="M468" s="136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</row>
    <row r="469" spans="1:38" ht="13.2">
      <c r="A469" s="123"/>
      <c r="B469" s="125"/>
      <c r="D469" s="125"/>
      <c r="E469" s="125"/>
      <c r="F469" s="125"/>
      <c r="G469" s="125"/>
      <c r="H469" s="125"/>
      <c r="I469" s="125"/>
      <c r="J469" s="126"/>
      <c r="K469" s="125"/>
      <c r="L469" s="125"/>
      <c r="M469" s="136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5"/>
      <c r="AL469" s="125"/>
    </row>
    <row r="470" spans="1:38" ht="13.2">
      <c r="A470" s="123"/>
      <c r="B470" s="125"/>
      <c r="D470" s="125"/>
      <c r="E470" s="125"/>
      <c r="F470" s="125"/>
      <c r="G470" s="125"/>
      <c r="H470" s="125"/>
      <c r="I470" s="125"/>
      <c r="J470" s="126"/>
      <c r="K470" s="125"/>
      <c r="L470" s="125"/>
      <c r="M470" s="136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5"/>
      <c r="AL470" s="125"/>
    </row>
    <row r="471" spans="1:38" ht="13.2">
      <c r="A471" s="123"/>
      <c r="B471" s="125"/>
      <c r="D471" s="125"/>
      <c r="E471" s="125"/>
      <c r="F471" s="125"/>
      <c r="G471" s="125"/>
      <c r="H471" s="125"/>
      <c r="I471" s="125"/>
      <c r="J471" s="126"/>
      <c r="K471" s="125"/>
      <c r="L471" s="125"/>
      <c r="M471" s="136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5"/>
      <c r="AL471" s="125"/>
    </row>
    <row r="472" spans="1:38" ht="13.2">
      <c r="A472" s="123"/>
      <c r="B472" s="125"/>
      <c r="D472" s="125"/>
      <c r="E472" s="125"/>
      <c r="F472" s="125"/>
      <c r="G472" s="125"/>
      <c r="H472" s="125"/>
      <c r="I472" s="125"/>
      <c r="J472" s="126"/>
      <c r="K472" s="125"/>
      <c r="L472" s="125"/>
      <c r="M472" s="136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  <c r="AH472" s="125"/>
      <c r="AI472" s="125"/>
      <c r="AJ472" s="125"/>
      <c r="AK472" s="125"/>
      <c r="AL472" s="125"/>
    </row>
    <row r="473" spans="1:38" ht="13.2">
      <c r="A473" s="123"/>
      <c r="B473" s="125"/>
      <c r="D473" s="125"/>
      <c r="E473" s="125"/>
      <c r="F473" s="125"/>
      <c r="G473" s="125"/>
      <c r="H473" s="125"/>
      <c r="I473" s="125"/>
      <c r="J473" s="126"/>
      <c r="K473" s="125"/>
      <c r="L473" s="125"/>
      <c r="M473" s="136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  <c r="AH473" s="125"/>
      <c r="AI473" s="125"/>
      <c r="AJ473" s="125"/>
      <c r="AK473" s="125"/>
      <c r="AL473" s="125"/>
    </row>
    <row r="474" spans="1:38" ht="13.2">
      <c r="A474" s="123"/>
      <c r="B474" s="125"/>
      <c r="D474" s="125"/>
      <c r="E474" s="125"/>
      <c r="F474" s="125"/>
      <c r="G474" s="125"/>
      <c r="H474" s="125"/>
      <c r="I474" s="125"/>
      <c r="J474" s="126"/>
      <c r="K474" s="125"/>
      <c r="L474" s="125"/>
      <c r="M474" s="136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5"/>
      <c r="AL474" s="125"/>
    </row>
    <row r="475" spans="1:38" ht="13.2">
      <c r="A475" s="123"/>
      <c r="B475" s="125"/>
      <c r="D475" s="125"/>
      <c r="E475" s="125"/>
      <c r="F475" s="125"/>
      <c r="G475" s="125"/>
      <c r="H475" s="125"/>
      <c r="I475" s="125"/>
      <c r="J475" s="126"/>
      <c r="K475" s="125"/>
      <c r="L475" s="125"/>
      <c r="M475" s="136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5"/>
      <c r="AL475" s="125"/>
    </row>
    <row r="476" spans="1:38" ht="13.2">
      <c r="A476" s="123"/>
      <c r="B476" s="125"/>
      <c r="D476" s="125"/>
      <c r="E476" s="125"/>
      <c r="F476" s="125"/>
      <c r="G476" s="125"/>
      <c r="H476" s="125"/>
      <c r="I476" s="125"/>
      <c r="J476" s="126"/>
      <c r="K476" s="125"/>
      <c r="L476" s="125"/>
      <c r="M476" s="136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</row>
    <row r="477" spans="1:38" ht="13.2">
      <c r="A477" s="123"/>
      <c r="B477" s="125"/>
      <c r="D477" s="125"/>
      <c r="E477" s="125"/>
      <c r="F477" s="125"/>
      <c r="G477" s="125"/>
      <c r="H477" s="125"/>
      <c r="I477" s="125"/>
      <c r="J477" s="126"/>
      <c r="K477" s="125"/>
      <c r="L477" s="125"/>
      <c r="M477" s="136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5"/>
      <c r="AL477" s="125"/>
    </row>
    <row r="478" spans="1:38" ht="13.2">
      <c r="A478" s="123"/>
      <c r="B478" s="125"/>
      <c r="D478" s="125"/>
      <c r="E478" s="125"/>
      <c r="F478" s="125"/>
      <c r="G478" s="125"/>
      <c r="H478" s="125"/>
      <c r="I478" s="125"/>
      <c r="J478" s="126"/>
      <c r="K478" s="125"/>
      <c r="L478" s="125"/>
      <c r="M478" s="136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</row>
    <row r="479" spans="1:38" ht="13.2">
      <c r="A479" s="123"/>
      <c r="B479" s="125"/>
      <c r="D479" s="125"/>
      <c r="E479" s="125"/>
      <c r="F479" s="125"/>
      <c r="G479" s="125"/>
      <c r="H479" s="125"/>
      <c r="I479" s="125"/>
      <c r="J479" s="126"/>
      <c r="K479" s="125"/>
      <c r="L479" s="125"/>
      <c r="M479" s="136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5"/>
      <c r="AL479" s="125"/>
    </row>
    <row r="480" spans="1:38" ht="13.2">
      <c r="A480" s="123"/>
      <c r="B480" s="125"/>
      <c r="D480" s="125"/>
      <c r="E480" s="125"/>
      <c r="F480" s="125"/>
      <c r="G480" s="125"/>
      <c r="H480" s="125"/>
      <c r="I480" s="125"/>
      <c r="J480" s="126"/>
      <c r="K480" s="125"/>
      <c r="L480" s="125"/>
      <c r="M480" s="136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5"/>
      <c r="AL480" s="125"/>
    </row>
    <row r="481" spans="1:38" ht="13.2">
      <c r="A481" s="123"/>
      <c r="B481" s="125"/>
      <c r="D481" s="125"/>
      <c r="E481" s="125"/>
      <c r="F481" s="125"/>
      <c r="G481" s="125"/>
      <c r="H481" s="125"/>
      <c r="I481" s="125"/>
      <c r="J481" s="126"/>
      <c r="K481" s="125"/>
      <c r="L481" s="125"/>
      <c r="M481" s="136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5"/>
      <c r="AL481" s="125"/>
    </row>
    <row r="482" spans="1:38" ht="13.2">
      <c r="A482" s="123"/>
      <c r="B482" s="125"/>
      <c r="D482" s="125"/>
      <c r="E482" s="125"/>
      <c r="F482" s="125"/>
      <c r="G482" s="125"/>
      <c r="H482" s="125"/>
      <c r="I482" s="125"/>
      <c r="J482" s="126"/>
      <c r="K482" s="125"/>
      <c r="L482" s="125"/>
      <c r="M482" s="136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5"/>
      <c r="AL482" s="125"/>
    </row>
    <row r="483" spans="1:38" ht="13.2">
      <c r="A483" s="123"/>
      <c r="B483" s="125"/>
      <c r="D483" s="125"/>
      <c r="E483" s="125"/>
      <c r="F483" s="125"/>
      <c r="G483" s="125"/>
      <c r="H483" s="125"/>
      <c r="I483" s="125"/>
      <c r="J483" s="126"/>
      <c r="K483" s="125"/>
      <c r="L483" s="125"/>
      <c r="M483" s="136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5"/>
      <c r="AL483" s="125"/>
    </row>
    <row r="484" spans="1:38" ht="13.2">
      <c r="A484" s="123"/>
      <c r="B484" s="125"/>
      <c r="D484" s="125"/>
      <c r="E484" s="125"/>
      <c r="F484" s="125"/>
      <c r="G484" s="125"/>
      <c r="H484" s="125"/>
      <c r="I484" s="125"/>
      <c r="J484" s="126"/>
      <c r="K484" s="125"/>
      <c r="L484" s="125"/>
      <c r="M484" s="136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5"/>
      <c r="AL484" s="125"/>
    </row>
    <row r="485" spans="1:38" ht="13.2">
      <c r="A485" s="123"/>
      <c r="B485" s="125"/>
      <c r="D485" s="125"/>
      <c r="E485" s="125"/>
      <c r="F485" s="125"/>
      <c r="G485" s="125"/>
      <c r="H485" s="125"/>
      <c r="I485" s="125"/>
      <c r="J485" s="126"/>
      <c r="K485" s="125"/>
      <c r="L485" s="125"/>
      <c r="M485" s="136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5"/>
      <c r="AL485" s="125"/>
    </row>
    <row r="486" spans="1:38" ht="13.2">
      <c r="A486" s="123"/>
      <c r="B486" s="125"/>
      <c r="D486" s="125"/>
      <c r="E486" s="125"/>
      <c r="F486" s="125"/>
      <c r="G486" s="125"/>
      <c r="H486" s="125"/>
      <c r="I486" s="125"/>
      <c r="J486" s="126"/>
      <c r="K486" s="125"/>
      <c r="L486" s="125"/>
      <c r="M486" s="136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</row>
    <row r="487" spans="1:38" ht="13.2">
      <c r="A487" s="123"/>
      <c r="B487" s="125"/>
      <c r="D487" s="125"/>
      <c r="E487" s="125"/>
      <c r="F487" s="125"/>
      <c r="G487" s="125"/>
      <c r="H487" s="125"/>
      <c r="I487" s="125"/>
      <c r="J487" s="126"/>
      <c r="K487" s="125"/>
      <c r="L487" s="125"/>
      <c r="M487" s="136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5"/>
      <c r="AL487" s="125"/>
    </row>
    <row r="488" spans="1:38" ht="13.2">
      <c r="A488" s="123"/>
      <c r="B488" s="125"/>
      <c r="D488" s="125"/>
      <c r="E488" s="125"/>
      <c r="F488" s="125"/>
      <c r="G488" s="125"/>
      <c r="H488" s="125"/>
      <c r="I488" s="125"/>
      <c r="J488" s="126"/>
      <c r="K488" s="125"/>
      <c r="L488" s="125"/>
      <c r="M488" s="136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</row>
    <row r="489" spans="1:38" ht="13.2">
      <c r="A489" s="123"/>
      <c r="B489" s="125"/>
      <c r="D489" s="125"/>
      <c r="E489" s="125"/>
      <c r="F489" s="125"/>
      <c r="G489" s="125"/>
      <c r="H489" s="125"/>
      <c r="I489" s="125"/>
      <c r="J489" s="126"/>
      <c r="K489" s="125"/>
      <c r="L489" s="125"/>
      <c r="M489" s="136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</row>
    <row r="490" spans="1:38" ht="13.2">
      <c r="A490" s="123"/>
      <c r="B490" s="125"/>
      <c r="D490" s="125"/>
      <c r="E490" s="125"/>
      <c r="F490" s="125"/>
      <c r="G490" s="125"/>
      <c r="H490" s="125"/>
      <c r="I490" s="125"/>
      <c r="J490" s="126"/>
      <c r="K490" s="125"/>
      <c r="L490" s="125"/>
      <c r="M490" s="136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</row>
    <row r="491" spans="1:38" ht="13.2">
      <c r="A491" s="123"/>
      <c r="B491" s="125"/>
      <c r="D491" s="125"/>
      <c r="E491" s="125"/>
      <c r="F491" s="125"/>
      <c r="G491" s="125"/>
      <c r="H491" s="125"/>
      <c r="I491" s="125"/>
      <c r="J491" s="126"/>
      <c r="K491" s="125"/>
      <c r="L491" s="125"/>
      <c r="M491" s="136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  <c r="AH491" s="125"/>
      <c r="AI491" s="125"/>
      <c r="AJ491" s="125"/>
      <c r="AK491" s="125"/>
      <c r="AL491" s="125"/>
    </row>
    <row r="492" spans="1:38" ht="13.2">
      <c r="A492" s="123"/>
      <c r="B492" s="125"/>
      <c r="D492" s="125"/>
      <c r="E492" s="125"/>
      <c r="F492" s="125"/>
      <c r="G492" s="125"/>
      <c r="H492" s="125"/>
      <c r="I492" s="125"/>
      <c r="J492" s="126"/>
      <c r="K492" s="125"/>
      <c r="L492" s="125"/>
      <c r="M492" s="136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5"/>
      <c r="AL492" s="125"/>
    </row>
    <row r="493" spans="1:38" ht="13.2">
      <c r="A493" s="123"/>
      <c r="B493" s="125"/>
      <c r="D493" s="125"/>
      <c r="E493" s="125"/>
      <c r="F493" s="125"/>
      <c r="G493" s="125"/>
      <c r="H493" s="125"/>
      <c r="I493" s="125"/>
      <c r="J493" s="126"/>
      <c r="K493" s="125"/>
      <c r="L493" s="125"/>
      <c r="M493" s="136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5"/>
      <c r="AL493" s="125"/>
    </row>
    <row r="494" spans="1:38" ht="13.2">
      <c r="A494" s="123"/>
      <c r="B494" s="125"/>
      <c r="D494" s="125"/>
      <c r="E494" s="125"/>
      <c r="F494" s="125"/>
      <c r="G494" s="125"/>
      <c r="H494" s="125"/>
      <c r="I494" s="125"/>
      <c r="J494" s="126"/>
      <c r="K494" s="125"/>
      <c r="L494" s="125"/>
      <c r="M494" s="136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5"/>
      <c r="AL494" s="125"/>
    </row>
    <row r="495" spans="1:38" ht="13.2">
      <c r="A495" s="123"/>
      <c r="B495" s="125"/>
      <c r="D495" s="125"/>
      <c r="E495" s="125"/>
      <c r="F495" s="125"/>
      <c r="G495" s="125"/>
      <c r="H495" s="125"/>
      <c r="I495" s="125"/>
      <c r="J495" s="126"/>
      <c r="K495" s="125"/>
      <c r="L495" s="125"/>
      <c r="M495" s="136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5"/>
      <c r="AL495" s="125"/>
    </row>
    <row r="496" spans="1:38" ht="13.2">
      <c r="A496" s="123"/>
      <c r="B496" s="125"/>
      <c r="D496" s="125"/>
      <c r="E496" s="125"/>
      <c r="F496" s="125"/>
      <c r="G496" s="125"/>
      <c r="H496" s="125"/>
      <c r="I496" s="125"/>
      <c r="J496" s="126"/>
      <c r="K496" s="125"/>
      <c r="L496" s="125"/>
      <c r="M496" s="136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5"/>
      <c r="AL496" s="125"/>
    </row>
    <row r="497" spans="1:38" ht="13.2">
      <c r="A497" s="123"/>
      <c r="B497" s="125"/>
      <c r="D497" s="125"/>
      <c r="E497" s="125"/>
      <c r="F497" s="125"/>
      <c r="G497" s="125"/>
      <c r="H497" s="125"/>
      <c r="I497" s="125"/>
      <c r="J497" s="126"/>
      <c r="K497" s="125"/>
      <c r="L497" s="125"/>
      <c r="M497" s="136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5"/>
      <c r="AL497" s="125"/>
    </row>
    <row r="498" spans="1:38" ht="13.2">
      <c r="A498" s="123"/>
      <c r="B498" s="125"/>
      <c r="D498" s="125"/>
      <c r="E498" s="125"/>
      <c r="F498" s="125"/>
      <c r="G498" s="125"/>
      <c r="H498" s="125"/>
      <c r="I498" s="125"/>
      <c r="J498" s="126"/>
      <c r="K498" s="125"/>
      <c r="L498" s="125"/>
      <c r="M498" s="136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5"/>
      <c r="AL498" s="125"/>
    </row>
    <row r="499" spans="1:38" ht="13.2">
      <c r="A499" s="123"/>
      <c r="B499" s="125"/>
      <c r="D499" s="125"/>
      <c r="E499" s="125"/>
      <c r="F499" s="125"/>
      <c r="G499" s="125"/>
      <c r="H499" s="125"/>
      <c r="I499" s="125"/>
      <c r="J499" s="126"/>
      <c r="K499" s="125"/>
      <c r="L499" s="125"/>
      <c r="M499" s="136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5"/>
      <c r="AL499" s="125"/>
    </row>
    <row r="500" spans="1:38" ht="13.2">
      <c r="A500" s="123"/>
      <c r="B500" s="125"/>
      <c r="D500" s="125"/>
      <c r="E500" s="125"/>
      <c r="F500" s="125"/>
      <c r="G500" s="125"/>
      <c r="H500" s="125"/>
      <c r="I500" s="125"/>
      <c r="J500" s="126"/>
      <c r="K500" s="125"/>
      <c r="L500" s="125"/>
      <c r="M500" s="136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5"/>
      <c r="AL500" s="125"/>
    </row>
    <row r="501" spans="1:38" ht="13.2">
      <c r="A501" s="123"/>
      <c r="B501" s="125"/>
      <c r="D501" s="125"/>
      <c r="E501" s="125"/>
      <c r="F501" s="125"/>
      <c r="G501" s="125"/>
      <c r="H501" s="125"/>
      <c r="I501" s="125"/>
      <c r="J501" s="126"/>
      <c r="K501" s="125"/>
      <c r="L501" s="125"/>
      <c r="M501" s="136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</row>
    <row r="502" spans="1:38" ht="13.2">
      <c r="A502" s="123"/>
      <c r="B502" s="125"/>
      <c r="D502" s="125"/>
      <c r="E502" s="125"/>
      <c r="F502" s="125"/>
      <c r="G502" s="125"/>
      <c r="H502" s="125"/>
      <c r="I502" s="125"/>
      <c r="J502" s="126"/>
      <c r="K502" s="125"/>
      <c r="L502" s="125"/>
      <c r="M502" s="136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5"/>
      <c r="AL502" s="125"/>
    </row>
    <row r="503" spans="1:38" ht="13.2">
      <c r="A503" s="123"/>
      <c r="B503" s="125"/>
      <c r="D503" s="125"/>
      <c r="E503" s="125"/>
      <c r="F503" s="125"/>
      <c r="G503" s="125"/>
      <c r="H503" s="125"/>
      <c r="I503" s="125"/>
      <c r="J503" s="126"/>
      <c r="K503" s="125"/>
      <c r="L503" s="125"/>
      <c r="M503" s="136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5"/>
      <c r="AL503" s="125"/>
    </row>
    <row r="504" spans="1:38" ht="13.2">
      <c r="A504" s="123"/>
      <c r="B504" s="125"/>
      <c r="D504" s="125"/>
      <c r="E504" s="125"/>
      <c r="F504" s="125"/>
      <c r="G504" s="125"/>
      <c r="H504" s="125"/>
      <c r="I504" s="125"/>
      <c r="J504" s="126"/>
      <c r="K504" s="125"/>
      <c r="L504" s="125"/>
      <c r="M504" s="136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5"/>
      <c r="AL504" s="125"/>
    </row>
    <row r="505" spans="1:38" ht="13.2">
      <c r="A505" s="123"/>
      <c r="B505" s="125"/>
      <c r="D505" s="125"/>
      <c r="E505" s="125"/>
      <c r="F505" s="125"/>
      <c r="G505" s="125"/>
      <c r="H505" s="125"/>
      <c r="I505" s="125"/>
      <c r="J505" s="126"/>
      <c r="K505" s="125"/>
      <c r="L505" s="125"/>
      <c r="M505" s="136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5"/>
      <c r="AL505" s="125"/>
    </row>
    <row r="506" spans="1:38" ht="13.2">
      <c r="A506" s="123"/>
      <c r="B506" s="125"/>
      <c r="D506" s="125"/>
      <c r="E506" s="125"/>
      <c r="F506" s="125"/>
      <c r="G506" s="125"/>
      <c r="H506" s="125"/>
      <c r="I506" s="125"/>
      <c r="J506" s="126"/>
      <c r="K506" s="125"/>
      <c r="L506" s="125"/>
      <c r="M506" s="136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5"/>
      <c r="AL506" s="125"/>
    </row>
    <row r="507" spans="1:38" ht="13.2">
      <c r="A507" s="123"/>
      <c r="B507" s="125"/>
      <c r="D507" s="125"/>
      <c r="E507" s="125"/>
      <c r="F507" s="125"/>
      <c r="G507" s="125"/>
      <c r="H507" s="125"/>
      <c r="I507" s="125"/>
      <c r="J507" s="126"/>
      <c r="K507" s="125"/>
      <c r="L507" s="125"/>
      <c r="M507" s="136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5"/>
      <c r="AL507" s="125"/>
    </row>
    <row r="508" spans="1:38" ht="13.2">
      <c r="A508" s="123"/>
      <c r="B508" s="125"/>
      <c r="D508" s="125"/>
      <c r="E508" s="125"/>
      <c r="F508" s="125"/>
      <c r="G508" s="125"/>
      <c r="H508" s="125"/>
      <c r="I508" s="125"/>
      <c r="J508" s="126"/>
      <c r="K508" s="125"/>
      <c r="L508" s="125"/>
      <c r="M508" s="136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5"/>
      <c r="AL508" s="125"/>
    </row>
    <row r="509" spans="1:38" ht="13.2">
      <c r="A509" s="123"/>
      <c r="B509" s="125"/>
      <c r="D509" s="125"/>
      <c r="E509" s="125"/>
      <c r="F509" s="125"/>
      <c r="G509" s="125"/>
      <c r="H509" s="125"/>
      <c r="I509" s="125"/>
      <c r="J509" s="126"/>
      <c r="K509" s="125"/>
      <c r="L509" s="125"/>
      <c r="M509" s="136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5"/>
      <c r="AL509" s="125"/>
    </row>
    <row r="510" spans="1:38" ht="13.2">
      <c r="A510" s="123"/>
      <c r="B510" s="125"/>
      <c r="D510" s="125"/>
      <c r="E510" s="125"/>
      <c r="F510" s="125"/>
      <c r="G510" s="125"/>
      <c r="H510" s="125"/>
      <c r="I510" s="125"/>
      <c r="J510" s="126"/>
      <c r="K510" s="125"/>
      <c r="L510" s="125"/>
      <c r="M510" s="136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5"/>
      <c r="AL510" s="125"/>
    </row>
    <row r="511" spans="1:38" ht="13.2">
      <c r="A511" s="123"/>
      <c r="B511" s="125"/>
      <c r="D511" s="125"/>
      <c r="E511" s="125"/>
      <c r="F511" s="125"/>
      <c r="G511" s="125"/>
      <c r="H511" s="125"/>
      <c r="I511" s="125"/>
      <c r="J511" s="126"/>
      <c r="K511" s="125"/>
      <c r="L511" s="125"/>
      <c r="M511" s="136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5"/>
      <c r="AL511" s="125"/>
    </row>
    <row r="512" spans="1:38" ht="13.2">
      <c r="A512" s="123"/>
      <c r="B512" s="125"/>
      <c r="D512" s="125"/>
      <c r="E512" s="125"/>
      <c r="F512" s="125"/>
      <c r="G512" s="125"/>
      <c r="H512" s="125"/>
      <c r="I512" s="125"/>
      <c r="J512" s="126"/>
      <c r="K512" s="125"/>
      <c r="L512" s="125"/>
      <c r="M512" s="136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5"/>
      <c r="AL512" s="125"/>
    </row>
    <row r="513" spans="1:38" ht="13.2">
      <c r="A513" s="123"/>
      <c r="B513" s="125"/>
      <c r="D513" s="125"/>
      <c r="E513" s="125"/>
      <c r="F513" s="125"/>
      <c r="G513" s="125"/>
      <c r="H513" s="125"/>
      <c r="I513" s="125"/>
      <c r="J513" s="126"/>
      <c r="K513" s="125"/>
      <c r="L513" s="125"/>
      <c r="M513" s="136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5"/>
      <c r="AL513" s="125"/>
    </row>
    <row r="514" spans="1:38" ht="13.2">
      <c r="A514" s="123"/>
      <c r="B514" s="125"/>
      <c r="D514" s="125"/>
      <c r="E514" s="125"/>
      <c r="F514" s="125"/>
      <c r="G514" s="125"/>
      <c r="H514" s="125"/>
      <c r="I514" s="125"/>
      <c r="J514" s="126"/>
      <c r="K514" s="125"/>
      <c r="L514" s="125"/>
      <c r="M514" s="136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5"/>
      <c r="AL514" s="125"/>
    </row>
    <row r="515" spans="1:38" ht="13.2">
      <c r="A515" s="123"/>
      <c r="B515" s="125"/>
      <c r="D515" s="125"/>
      <c r="E515" s="125"/>
      <c r="F515" s="125"/>
      <c r="G515" s="125"/>
      <c r="H515" s="125"/>
      <c r="I515" s="125"/>
      <c r="J515" s="126"/>
      <c r="K515" s="125"/>
      <c r="L515" s="125"/>
      <c r="M515" s="136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5"/>
      <c r="AL515" s="125"/>
    </row>
    <row r="516" spans="1:38" ht="13.2">
      <c r="A516" s="123"/>
      <c r="B516" s="125"/>
      <c r="D516" s="125"/>
      <c r="E516" s="125"/>
      <c r="F516" s="125"/>
      <c r="G516" s="125"/>
      <c r="H516" s="125"/>
      <c r="I516" s="125"/>
      <c r="J516" s="126"/>
      <c r="K516" s="125"/>
      <c r="L516" s="125"/>
      <c r="M516" s="136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5"/>
      <c r="AL516" s="125"/>
    </row>
    <row r="517" spans="1:38" ht="13.2">
      <c r="A517" s="123"/>
      <c r="B517" s="125"/>
      <c r="D517" s="125"/>
      <c r="E517" s="125"/>
      <c r="F517" s="125"/>
      <c r="G517" s="125"/>
      <c r="H517" s="125"/>
      <c r="I517" s="125"/>
      <c r="J517" s="126"/>
      <c r="K517" s="125"/>
      <c r="L517" s="125"/>
      <c r="M517" s="136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5"/>
      <c r="AL517" s="125"/>
    </row>
    <row r="518" spans="1:38" ht="13.2">
      <c r="A518" s="123"/>
      <c r="B518" s="125"/>
      <c r="D518" s="125"/>
      <c r="E518" s="125"/>
      <c r="F518" s="125"/>
      <c r="G518" s="125"/>
      <c r="H518" s="125"/>
      <c r="I518" s="125"/>
      <c r="J518" s="126"/>
      <c r="K518" s="125"/>
      <c r="L518" s="125"/>
      <c r="M518" s="136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5"/>
      <c r="AL518" s="125"/>
    </row>
    <row r="519" spans="1:38" ht="13.2">
      <c r="A519" s="123"/>
      <c r="B519" s="125"/>
      <c r="D519" s="125"/>
      <c r="E519" s="125"/>
      <c r="F519" s="125"/>
      <c r="G519" s="125"/>
      <c r="H519" s="125"/>
      <c r="I519" s="125"/>
      <c r="J519" s="126"/>
      <c r="K519" s="125"/>
      <c r="L519" s="125"/>
      <c r="M519" s="136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  <c r="AH519" s="125"/>
      <c r="AI519" s="125"/>
      <c r="AJ519" s="125"/>
      <c r="AK519" s="125"/>
      <c r="AL519" s="125"/>
    </row>
    <row r="520" spans="1:38" ht="13.2">
      <c r="A520" s="123"/>
      <c r="B520" s="125"/>
      <c r="D520" s="125"/>
      <c r="E520" s="125"/>
      <c r="F520" s="125"/>
      <c r="G520" s="125"/>
      <c r="H520" s="125"/>
      <c r="I520" s="125"/>
      <c r="J520" s="126"/>
      <c r="K520" s="125"/>
      <c r="L520" s="125"/>
      <c r="M520" s="136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5"/>
      <c r="AL520" s="125"/>
    </row>
    <row r="521" spans="1:38" ht="13.2">
      <c r="A521" s="123"/>
      <c r="B521" s="125"/>
      <c r="D521" s="125"/>
      <c r="E521" s="125"/>
      <c r="F521" s="125"/>
      <c r="G521" s="125"/>
      <c r="H521" s="125"/>
      <c r="I521" s="125"/>
      <c r="J521" s="126"/>
      <c r="K521" s="125"/>
      <c r="L521" s="125"/>
      <c r="M521" s="136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5"/>
      <c r="AL521" s="125"/>
    </row>
    <row r="522" spans="1:38" ht="13.2">
      <c r="A522" s="123"/>
      <c r="B522" s="125"/>
      <c r="D522" s="125"/>
      <c r="E522" s="125"/>
      <c r="F522" s="125"/>
      <c r="G522" s="125"/>
      <c r="H522" s="125"/>
      <c r="I522" s="125"/>
      <c r="J522" s="126"/>
      <c r="K522" s="125"/>
      <c r="L522" s="125"/>
      <c r="M522" s="136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  <c r="AH522" s="125"/>
      <c r="AI522" s="125"/>
      <c r="AJ522" s="125"/>
      <c r="AK522" s="125"/>
      <c r="AL522" s="125"/>
    </row>
    <row r="523" spans="1:38" ht="13.2">
      <c r="A523" s="123"/>
      <c r="B523" s="125"/>
      <c r="D523" s="125"/>
      <c r="E523" s="125"/>
      <c r="F523" s="125"/>
      <c r="G523" s="125"/>
      <c r="H523" s="125"/>
      <c r="I523" s="125"/>
      <c r="J523" s="126"/>
      <c r="K523" s="125"/>
      <c r="L523" s="125"/>
      <c r="M523" s="136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</row>
    <row r="524" spans="1:38" ht="13.2">
      <c r="A524" s="123"/>
      <c r="B524" s="125"/>
      <c r="D524" s="125"/>
      <c r="E524" s="125"/>
      <c r="F524" s="125"/>
      <c r="G524" s="125"/>
      <c r="H524" s="125"/>
      <c r="I524" s="125"/>
      <c r="J524" s="126"/>
      <c r="K524" s="125"/>
      <c r="L524" s="125"/>
      <c r="M524" s="136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</row>
    <row r="525" spans="1:38" ht="13.2">
      <c r="A525" s="123"/>
      <c r="B525" s="125"/>
      <c r="D525" s="125"/>
      <c r="E525" s="125"/>
      <c r="F525" s="125"/>
      <c r="G525" s="125"/>
      <c r="H525" s="125"/>
      <c r="I525" s="125"/>
      <c r="J525" s="126"/>
      <c r="K525" s="125"/>
      <c r="L525" s="125"/>
      <c r="M525" s="136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  <c r="AH525" s="125"/>
      <c r="AI525" s="125"/>
      <c r="AJ525" s="125"/>
      <c r="AK525" s="125"/>
      <c r="AL525" s="125"/>
    </row>
    <row r="526" spans="1:38" ht="13.2">
      <c r="A526" s="123"/>
      <c r="B526" s="125"/>
      <c r="D526" s="125"/>
      <c r="E526" s="125"/>
      <c r="F526" s="125"/>
      <c r="G526" s="125"/>
      <c r="H526" s="125"/>
      <c r="I526" s="125"/>
      <c r="J526" s="126"/>
      <c r="K526" s="125"/>
      <c r="L526" s="125"/>
      <c r="M526" s="136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5"/>
      <c r="AL526" s="125"/>
    </row>
    <row r="527" spans="1:38" ht="13.2">
      <c r="A527" s="123"/>
      <c r="B527" s="125"/>
      <c r="D527" s="125"/>
      <c r="E527" s="125"/>
      <c r="F527" s="125"/>
      <c r="G527" s="125"/>
      <c r="H527" s="125"/>
      <c r="I527" s="125"/>
      <c r="J527" s="126"/>
      <c r="K527" s="125"/>
      <c r="L527" s="125"/>
      <c r="M527" s="136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5"/>
      <c r="AL527" s="125"/>
    </row>
    <row r="528" spans="1:38" ht="13.2">
      <c r="A528" s="123"/>
      <c r="B528" s="125"/>
      <c r="D528" s="125"/>
      <c r="E528" s="125"/>
      <c r="F528" s="125"/>
      <c r="G528" s="125"/>
      <c r="H528" s="125"/>
      <c r="I528" s="125"/>
      <c r="J528" s="126"/>
      <c r="K528" s="125"/>
      <c r="L528" s="125"/>
      <c r="M528" s="136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5"/>
      <c r="AL528" s="125"/>
    </row>
    <row r="529" spans="1:38" ht="13.2">
      <c r="A529" s="123"/>
      <c r="B529" s="125"/>
      <c r="D529" s="125"/>
      <c r="E529" s="125"/>
      <c r="F529" s="125"/>
      <c r="G529" s="125"/>
      <c r="H529" s="125"/>
      <c r="I529" s="125"/>
      <c r="J529" s="126"/>
      <c r="K529" s="125"/>
      <c r="L529" s="125"/>
      <c r="M529" s="136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5"/>
      <c r="AL529" s="125"/>
    </row>
    <row r="530" spans="1:38" ht="13.2">
      <c r="A530" s="123"/>
      <c r="B530" s="125"/>
      <c r="D530" s="125"/>
      <c r="E530" s="125"/>
      <c r="F530" s="125"/>
      <c r="G530" s="125"/>
      <c r="H530" s="125"/>
      <c r="I530" s="125"/>
      <c r="J530" s="126"/>
      <c r="K530" s="125"/>
      <c r="L530" s="125"/>
      <c r="M530" s="136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</row>
    <row r="531" spans="1:38" ht="13.2">
      <c r="A531" s="123"/>
      <c r="B531" s="125"/>
      <c r="D531" s="125"/>
      <c r="E531" s="125"/>
      <c r="F531" s="125"/>
      <c r="G531" s="125"/>
      <c r="H531" s="125"/>
      <c r="I531" s="125"/>
      <c r="J531" s="126"/>
      <c r="K531" s="125"/>
      <c r="L531" s="125"/>
      <c r="M531" s="136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5"/>
      <c r="AL531" s="125"/>
    </row>
    <row r="532" spans="1:38" ht="13.2">
      <c r="A532" s="123"/>
      <c r="B532" s="125"/>
      <c r="D532" s="125"/>
      <c r="E532" s="125"/>
      <c r="F532" s="125"/>
      <c r="G532" s="125"/>
      <c r="H532" s="125"/>
      <c r="I532" s="125"/>
      <c r="J532" s="126"/>
      <c r="K532" s="125"/>
      <c r="L532" s="125"/>
      <c r="M532" s="136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</row>
    <row r="533" spans="1:38" ht="13.2">
      <c r="A533" s="123"/>
      <c r="B533" s="125"/>
      <c r="D533" s="125"/>
      <c r="E533" s="125"/>
      <c r="F533" s="125"/>
      <c r="G533" s="125"/>
      <c r="H533" s="125"/>
      <c r="I533" s="125"/>
      <c r="J533" s="126"/>
      <c r="K533" s="125"/>
      <c r="L533" s="125"/>
      <c r="M533" s="136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</row>
    <row r="534" spans="1:38" ht="13.2">
      <c r="A534" s="123"/>
      <c r="B534" s="125"/>
      <c r="D534" s="125"/>
      <c r="E534" s="125"/>
      <c r="F534" s="125"/>
      <c r="G534" s="125"/>
      <c r="H534" s="125"/>
      <c r="I534" s="125"/>
      <c r="J534" s="126"/>
      <c r="K534" s="125"/>
      <c r="L534" s="125"/>
      <c r="M534" s="136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</row>
    <row r="535" spans="1:38" ht="13.2">
      <c r="A535" s="123"/>
      <c r="B535" s="125"/>
      <c r="D535" s="125"/>
      <c r="E535" s="125"/>
      <c r="F535" s="125"/>
      <c r="G535" s="125"/>
      <c r="H535" s="125"/>
      <c r="I535" s="125"/>
      <c r="J535" s="126"/>
      <c r="K535" s="125"/>
      <c r="L535" s="125"/>
      <c r="M535" s="136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</row>
    <row r="536" spans="1:38" ht="13.2">
      <c r="A536" s="123"/>
      <c r="B536" s="125"/>
      <c r="D536" s="125"/>
      <c r="E536" s="125"/>
      <c r="F536" s="125"/>
      <c r="G536" s="125"/>
      <c r="H536" s="125"/>
      <c r="I536" s="125"/>
      <c r="J536" s="126"/>
      <c r="K536" s="125"/>
      <c r="L536" s="125"/>
      <c r="M536" s="136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5"/>
      <c r="AL536" s="125"/>
    </row>
    <row r="537" spans="1:38" ht="13.2">
      <c r="A537" s="123"/>
      <c r="B537" s="125"/>
      <c r="D537" s="125"/>
      <c r="E537" s="125"/>
      <c r="F537" s="125"/>
      <c r="G537" s="125"/>
      <c r="H537" s="125"/>
      <c r="I537" s="125"/>
      <c r="J537" s="126"/>
      <c r="K537" s="125"/>
      <c r="L537" s="125"/>
      <c r="M537" s="136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125"/>
      <c r="AL537" s="125"/>
    </row>
    <row r="538" spans="1:38" ht="13.2">
      <c r="A538" s="123"/>
      <c r="B538" s="125"/>
      <c r="D538" s="125"/>
      <c r="E538" s="125"/>
      <c r="F538" s="125"/>
      <c r="G538" s="125"/>
      <c r="H538" s="125"/>
      <c r="I538" s="125"/>
      <c r="J538" s="126"/>
      <c r="K538" s="125"/>
      <c r="L538" s="125"/>
      <c r="M538" s="136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  <c r="AH538" s="125"/>
      <c r="AI538" s="125"/>
      <c r="AJ538" s="125"/>
      <c r="AK538" s="125"/>
      <c r="AL538" s="125"/>
    </row>
    <row r="539" spans="1:38" ht="13.2">
      <c r="A539" s="123"/>
      <c r="B539" s="125"/>
      <c r="D539" s="125"/>
      <c r="E539" s="125"/>
      <c r="F539" s="125"/>
      <c r="G539" s="125"/>
      <c r="H539" s="125"/>
      <c r="I539" s="125"/>
      <c r="J539" s="126"/>
      <c r="K539" s="125"/>
      <c r="L539" s="125"/>
      <c r="M539" s="136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5"/>
      <c r="AL539" s="125"/>
    </row>
    <row r="540" spans="1:38" ht="13.2">
      <c r="A540" s="123"/>
      <c r="B540" s="125"/>
      <c r="D540" s="125"/>
      <c r="E540" s="125"/>
      <c r="F540" s="125"/>
      <c r="G540" s="125"/>
      <c r="H540" s="125"/>
      <c r="I540" s="125"/>
      <c r="J540" s="126"/>
      <c r="K540" s="125"/>
      <c r="L540" s="125"/>
      <c r="M540" s="136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5"/>
      <c r="AL540" s="125"/>
    </row>
    <row r="541" spans="1:38" ht="13.2">
      <c r="A541" s="123"/>
      <c r="B541" s="125"/>
      <c r="D541" s="125"/>
      <c r="E541" s="125"/>
      <c r="F541" s="125"/>
      <c r="G541" s="125"/>
      <c r="H541" s="125"/>
      <c r="I541" s="125"/>
      <c r="J541" s="126"/>
      <c r="K541" s="125"/>
      <c r="L541" s="125"/>
      <c r="M541" s="136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5"/>
      <c r="AL541" s="125"/>
    </row>
    <row r="542" spans="1:38" ht="13.2">
      <c r="A542" s="123"/>
      <c r="B542" s="125"/>
      <c r="D542" s="125"/>
      <c r="E542" s="125"/>
      <c r="F542" s="125"/>
      <c r="G542" s="125"/>
      <c r="H542" s="125"/>
      <c r="I542" s="125"/>
      <c r="J542" s="126"/>
      <c r="K542" s="125"/>
      <c r="L542" s="125"/>
      <c r="M542" s="136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5"/>
      <c r="AL542" s="125"/>
    </row>
    <row r="543" spans="1:38" ht="13.2">
      <c r="A543" s="123"/>
      <c r="B543" s="125"/>
      <c r="D543" s="125"/>
      <c r="E543" s="125"/>
      <c r="F543" s="125"/>
      <c r="G543" s="125"/>
      <c r="H543" s="125"/>
      <c r="I543" s="125"/>
      <c r="J543" s="126"/>
      <c r="K543" s="125"/>
      <c r="L543" s="125"/>
      <c r="M543" s="136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5"/>
      <c r="AL543" s="125"/>
    </row>
    <row r="544" spans="1:38" ht="13.2">
      <c r="A544" s="123"/>
      <c r="B544" s="125"/>
      <c r="D544" s="125"/>
      <c r="E544" s="125"/>
      <c r="F544" s="125"/>
      <c r="G544" s="125"/>
      <c r="H544" s="125"/>
      <c r="I544" s="125"/>
      <c r="J544" s="126"/>
      <c r="K544" s="125"/>
      <c r="L544" s="125"/>
      <c r="M544" s="136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5"/>
      <c r="AL544" s="125"/>
    </row>
    <row r="545" spans="1:38" ht="13.2">
      <c r="A545" s="123"/>
      <c r="B545" s="125"/>
      <c r="D545" s="125"/>
      <c r="E545" s="125"/>
      <c r="F545" s="125"/>
      <c r="G545" s="125"/>
      <c r="H545" s="125"/>
      <c r="I545" s="125"/>
      <c r="J545" s="126"/>
      <c r="K545" s="125"/>
      <c r="L545" s="125"/>
      <c r="M545" s="136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5"/>
      <c r="AL545" s="125"/>
    </row>
    <row r="546" spans="1:38" ht="13.2">
      <c r="A546" s="123"/>
      <c r="B546" s="125"/>
      <c r="D546" s="125"/>
      <c r="E546" s="125"/>
      <c r="F546" s="125"/>
      <c r="G546" s="125"/>
      <c r="H546" s="125"/>
      <c r="I546" s="125"/>
      <c r="J546" s="126"/>
      <c r="K546" s="125"/>
      <c r="L546" s="125"/>
      <c r="M546" s="136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</row>
    <row r="547" spans="1:38" ht="13.2">
      <c r="A547" s="123"/>
      <c r="B547" s="125"/>
      <c r="D547" s="125"/>
      <c r="E547" s="125"/>
      <c r="F547" s="125"/>
      <c r="G547" s="125"/>
      <c r="H547" s="125"/>
      <c r="I547" s="125"/>
      <c r="J547" s="126"/>
      <c r="K547" s="125"/>
      <c r="L547" s="125"/>
      <c r="M547" s="136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5"/>
      <c r="AL547" s="125"/>
    </row>
    <row r="548" spans="1:38" ht="13.2">
      <c r="A548" s="123"/>
      <c r="B548" s="125"/>
      <c r="D548" s="125"/>
      <c r="E548" s="125"/>
      <c r="F548" s="125"/>
      <c r="G548" s="125"/>
      <c r="H548" s="125"/>
      <c r="I548" s="125"/>
      <c r="J548" s="126"/>
      <c r="K548" s="125"/>
      <c r="L548" s="125"/>
      <c r="M548" s="136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5"/>
      <c r="AL548" s="125"/>
    </row>
    <row r="549" spans="1:38" ht="13.2">
      <c r="A549" s="123"/>
      <c r="B549" s="125"/>
      <c r="D549" s="125"/>
      <c r="E549" s="125"/>
      <c r="F549" s="125"/>
      <c r="G549" s="125"/>
      <c r="H549" s="125"/>
      <c r="I549" s="125"/>
      <c r="J549" s="126"/>
      <c r="K549" s="125"/>
      <c r="L549" s="125"/>
      <c r="M549" s="136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5"/>
      <c r="AL549" s="125"/>
    </row>
    <row r="550" spans="1:38" ht="13.2">
      <c r="A550" s="123"/>
      <c r="B550" s="125"/>
      <c r="D550" s="125"/>
      <c r="E550" s="125"/>
      <c r="F550" s="125"/>
      <c r="G550" s="125"/>
      <c r="H550" s="125"/>
      <c r="I550" s="125"/>
      <c r="J550" s="126"/>
      <c r="K550" s="125"/>
      <c r="L550" s="125"/>
      <c r="M550" s="136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5"/>
      <c r="AL550" s="125"/>
    </row>
    <row r="551" spans="1:38" ht="13.2">
      <c r="A551" s="123"/>
      <c r="B551" s="125"/>
      <c r="D551" s="125"/>
      <c r="E551" s="125"/>
      <c r="F551" s="125"/>
      <c r="G551" s="125"/>
      <c r="H551" s="125"/>
      <c r="I551" s="125"/>
      <c r="J551" s="126"/>
      <c r="K551" s="125"/>
      <c r="L551" s="125"/>
      <c r="M551" s="136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5"/>
      <c r="AL551" s="125"/>
    </row>
    <row r="552" spans="1:38" ht="13.2">
      <c r="A552" s="123"/>
      <c r="B552" s="125"/>
      <c r="D552" s="125"/>
      <c r="E552" s="125"/>
      <c r="F552" s="125"/>
      <c r="G552" s="125"/>
      <c r="H552" s="125"/>
      <c r="I552" s="125"/>
      <c r="J552" s="126"/>
      <c r="K552" s="125"/>
      <c r="L552" s="125"/>
      <c r="M552" s="136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5"/>
      <c r="AL552" s="125"/>
    </row>
    <row r="553" spans="1:38" ht="13.2">
      <c r="A553" s="123"/>
      <c r="B553" s="125"/>
      <c r="D553" s="125"/>
      <c r="E553" s="125"/>
      <c r="F553" s="125"/>
      <c r="G553" s="125"/>
      <c r="H553" s="125"/>
      <c r="I553" s="125"/>
      <c r="J553" s="126"/>
      <c r="K553" s="125"/>
      <c r="L553" s="125"/>
      <c r="M553" s="136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5"/>
      <c r="AL553" s="125"/>
    </row>
    <row r="554" spans="1:38" ht="13.2">
      <c r="A554" s="123"/>
      <c r="B554" s="125"/>
      <c r="D554" s="125"/>
      <c r="E554" s="125"/>
      <c r="F554" s="125"/>
      <c r="G554" s="125"/>
      <c r="H554" s="125"/>
      <c r="I554" s="125"/>
      <c r="J554" s="126"/>
      <c r="K554" s="125"/>
      <c r="L554" s="125"/>
      <c r="M554" s="136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5"/>
      <c r="AL554" s="125"/>
    </row>
    <row r="555" spans="1:38" ht="13.2">
      <c r="A555" s="123"/>
      <c r="B555" s="125"/>
      <c r="D555" s="125"/>
      <c r="E555" s="125"/>
      <c r="F555" s="125"/>
      <c r="G555" s="125"/>
      <c r="H555" s="125"/>
      <c r="I555" s="125"/>
      <c r="J555" s="126"/>
      <c r="K555" s="125"/>
      <c r="L555" s="125"/>
      <c r="M555" s="136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  <c r="AH555" s="125"/>
      <c r="AI555" s="125"/>
      <c r="AJ555" s="125"/>
      <c r="AK555" s="125"/>
      <c r="AL555" s="125"/>
    </row>
    <row r="556" spans="1:38" ht="13.2">
      <c r="A556" s="123"/>
      <c r="B556" s="125"/>
      <c r="D556" s="125"/>
      <c r="E556" s="125"/>
      <c r="F556" s="125"/>
      <c r="G556" s="125"/>
      <c r="H556" s="125"/>
      <c r="I556" s="125"/>
      <c r="J556" s="126"/>
      <c r="K556" s="125"/>
      <c r="L556" s="125"/>
      <c r="M556" s="136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5"/>
      <c r="AL556" s="125"/>
    </row>
    <row r="557" spans="1:38" ht="13.2">
      <c r="A557" s="123"/>
      <c r="B557" s="125"/>
      <c r="D557" s="125"/>
      <c r="E557" s="125"/>
      <c r="F557" s="125"/>
      <c r="G557" s="125"/>
      <c r="H557" s="125"/>
      <c r="I557" s="125"/>
      <c r="J557" s="126"/>
      <c r="K557" s="125"/>
      <c r="L557" s="125"/>
      <c r="M557" s="136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5"/>
      <c r="AL557" s="125"/>
    </row>
    <row r="558" spans="1:38" ht="13.2">
      <c r="A558" s="123"/>
      <c r="B558" s="125"/>
      <c r="D558" s="125"/>
      <c r="E558" s="125"/>
      <c r="F558" s="125"/>
      <c r="G558" s="125"/>
      <c r="H558" s="125"/>
      <c r="I558" s="125"/>
      <c r="J558" s="126"/>
      <c r="K558" s="125"/>
      <c r="L558" s="125"/>
      <c r="M558" s="136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5"/>
      <c r="AL558" s="125"/>
    </row>
    <row r="559" spans="1:38" ht="13.2">
      <c r="A559" s="123"/>
      <c r="B559" s="125"/>
      <c r="D559" s="125"/>
      <c r="E559" s="125"/>
      <c r="F559" s="125"/>
      <c r="G559" s="125"/>
      <c r="H559" s="125"/>
      <c r="I559" s="125"/>
      <c r="J559" s="126"/>
      <c r="K559" s="125"/>
      <c r="L559" s="125"/>
      <c r="M559" s="136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5"/>
      <c r="AL559" s="125"/>
    </row>
    <row r="560" spans="1:38" ht="13.2">
      <c r="A560" s="123"/>
      <c r="B560" s="125"/>
      <c r="D560" s="125"/>
      <c r="E560" s="125"/>
      <c r="F560" s="125"/>
      <c r="G560" s="125"/>
      <c r="H560" s="125"/>
      <c r="I560" s="125"/>
      <c r="J560" s="126"/>
      <c r="K560" s="125"/>
      <c r="L560" s="125"/>
      <c r="M560" s="136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5"/>
      <c r="AL560" s="125"/>
    </row>
    <row r="561" spans="1:38" ht="13.2">
      <c r="A561" s="123"/>
      <c r="B561" s="125"/>
      <c r="D561" s="125"/>
      <c r="E561" s="125"/>
      <c r="F561" s="125"/>
      <c r="G561" s="125"/>
      <c r="H561" s="125"/>
      <c r="I561" s="125"/>
      <c r="J561" s="126"/>
      <c r="K561" s="125"/>
      <c r="L561" s="125"/>
      <c r="M561" s="136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5"/>
      <c r="AL561" s="125"/>
    </row>
    <row r="562" spans="1:38" ht="13.2">
      <c r="A562" s="123"/>
      <c r="B562" s="125"/>
      <c r="D562" s="125"/>
      <c r="E562" s="125"/>
      <c r="F562" s="125"/>
      <c r="G562" s="125"/>
      <c r="H562" s="125"/>
      <c r="I562" s="125"/>
      <c r="J562" s="126"/>
      <c r="K562" s="125"/>
      <c r="L562" s="125"/>
      <c r="M562" s="136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5"/>
      <c r="AL562" s="125"/>
    </row>
    <row r="563" spans="1:38" ht="13.2">
      <c r="A563" s="123"/>
      <c r="B563" s="125"/>
      <c r="D563" s="125"/>
      <c r="E563" s="125"/>
      <c r="F563" s="125"/>
      <c r="G563" s="125"/>
      <c r="H563" s="125"/>
      <c r="I563" s="125"/>
      <c r="J563" s="126"/>
      <c r="K563" s="125"/>
      <c r="L563" s="125"/>
      <c r="M563" s="136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</row>
    <row r="564" spans="1:38" ht="13.2">
      <c r="A564" s="123"/>
      <c r="B564" s="125"/>
      <c r="D564" s="125"/>
      <c r="E564" s="125"/>
      <c r="F564" s="125"/>
      <c r="G564" s="125"/>
      <c r="H564" s="125"/>
      <c r="I564" s="125"/>
      <c r="J564" s="126"/>
      <c r="K564" s="125"/>
      <c r="L564" s="125"/>
      <c r="M564" s="136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5"/>
      <c r="AL564" s="125"/>
    </row>
    <row r="565" spans="1:38" ht="13.2">
      <c r="A565" s="123"/>
      <c r="B565" s="125"/>
      <c r="D565" s="125"/>
      <c r="E565" s="125"/>
      <c r="F565" s="125"/>
      <c r="G565" s="125"/>
      <c r="H565" s="125"/>
      <c r="I565" s="125"/>
      <c r="J565" s="126"/>
      <c r="K565" s="125"/>
      <c r="L565" s="125"/>
      <c r="M565" s="136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5"/>
      <c r="AL565" s="125"/>
    </row>
    <row r="566" spans="1:38" ht="13.2">
      <c r="A566" s="123"/>
      <c r="B566" s="125"/>
      <c r="D566" s="125"/>
      <c r="E566" s="125"/>
      <c r="F566" s="125"/>
      <c r="G566" s="125"/>
      <c r="H566" s="125"/>
      <c r="I566" s="125"/>
      <c r="J566" s="126"/>
      <c r="K566" s="125"/>
      <c r="L566" s="125"/>
      <c r="M566" s="136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5"/>
      <c r="AL566" s="125"/>
    </row>
    <row r="567" spans="1:38" ht="13.2">
      <c r="A567" s="123"/>
      <c r="B567" s="125"/>
      <c r="D567" s="125"/>
      <c r="E567" s="125"/>
      <c r="F567" s="125"/>
      <c r="G567" s="125"/>
      <c r="H567" s="125"/>
      <c r="I567" s="125"/>
      <c r="J567" s="126"/>
      <c r="K567" s="125"/>
      <c r="L567" s="125"/>
      <c r="M567" s="136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5"/>
      <c r="AL567" s="125"/>
    </row>
    <row r="568" spans="1:38" ht="13.2">
      <c r="A568" s="123"/>
      <c r="B568" s="125"/>
      <c r="D568" s="125"/>
      <c r="E568" s="125"/>
      <c r="F568" s="125"/>
      <c r="G568" s="125"/>
      <c r="H568" s="125"/>
      <c r="I568" s="125"/>
      <c r="J568" s="126"/>
      <c r="K568" s="125"/>
      <c r="L568" s="125"/>
      <c r="M568" s="136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5"/>
      <c r="AL568" s="125"/>
    </row>
    <row r="569" spans="1:38" ht="13.2">
      <c r="A569" s="123"/>
      <c r="B569" s="125"/>
      <c r="D569" s="125"/>
      <c r="E569" s="125"/>
      <c r="F569" s="125"/>
      <c r="G569" s="125"/>
      <c r="H569" s="125"/>
      <c r="I569" s="125"/>
      <c r="J569" s="126"/>
      <c r="K569" s="125"/>
      <c r="L569" s="125"/>
      <c r="M569" s="136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5"/>
      <c r="AL569" s="125"/>
    </row>
    <row r="570" spans="1:38" ht="13.2">
      <c r="A570" s="123"/>
      <c r="B570" s="125"/>
      <c r="D570" s="125"/>
      <c r="E570" s="125"/>
      <c r="F570" s="125"/>
      <c r="G570" s="125"/>
      <c r="H570" s="125"/>
      <c r="I570" s="125"/>
      <c r="J570" s="126"/>
      <c r="K570" s="125"/>
      <c r="L570" s="125"/>
      <c r="M570" s="136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5"/>
      <c r="AL570" s="125"/>
    </row>
    <row r="571" spans="1:38" ht="13.2">
      <c r="A571" s="123"/>
      <c r="B571" s="125"/>
      <c r="D571" s="125"/>
      <c r="E571" s="125"/>
      <c r="F571" s="125"/>
      <c r="G571" s="125"/>
      <c r="H571" s="125"/>
      <c r="I571" s="125"/>
      <c r="J571" s="126"/>
      <c r="K571" s="125"/>
      <c r="L571" s="125"/>
      <c r="M571" s="136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5"/>
      <c r="AL571" s="125"/>
    </row>
    <row r="572" spans="1:38" ht="13.2">
      <c r="A572" s="123"/>
      <c r="B572" s="125"/>
      <c r="D572" s="125"/>
      <c r="E572" s="125"/>
      <c r="F572" s="125"/>
      <c r="G572" s="125"/>
      <c r="H572" s="125"/>
      <c r="I572" s="125"/>
      <c r="J572" s="126"/>
      <c r="K572" s="125"/>
      <c r="L572" s="125"/>
      <c r="M572" s="136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5"/>
      <c r="AL572" s="125"/>
    </row>
    <row r="573" spans="1:38" ht="13.2">
      <c r="A573" s="123"/>
      <c r="B573" s="125"/>
      <c r="D573" s="125"/>
      <c r="E573" s="125"/>
      <c r="F573" s="125"/>
      <c r="G573" s="125"/>
      <c r="H573" s="125"/>
      <c r="I573" s="125"/>
      <c r="J573" s="126"/>
      <c r="K573" s="125"/>
      <c r="L573" s="125"/>
      <c r="M573" s="136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5"/>
      <c r="AL573" s="125"/>
    </row>
    <row r="574" spans="1:38" ht="13.2">
      <c r="A574" s="123"/>
      <c r="B574" s="125"/>
      <c r="D574" s="125"/>
      <c r="E574" s="125"/>
      <c r="F574" s="125"/>
      <c r="G574" s="125"/>
      <c r="H574" s="125"/>
      <c r="I574" s="125"/>
      <c r="J574" s="126"/>
      <c r="K574" s="125"/>
      <c r="L574" s="125"/>
      <c r="M574" s="136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</row>
    <row r="575" spans="1:38" ht="13.2">
      <c r="A575" s="123"/>
      <c r="B575" s="125"/>
      <c r="D575" s="125"/>
      <c r="E575" s="125"/>
      <c r="F575" s="125"/>
      <c r="G575" s="125"/>
      <c r="H575" s="125"/>
      <c r="I575" s="125"/>
      <c r="J575" s="126"/>
      <c r="K575" s="125"/>
      <c r="L575" s="125"/>
      <c r="M575" s="136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5"/>
      <c r="AL575" s="125"/>
    </row>
    <row r="576" spans="1:38" ht="13.2">
      <c r="A576" s="123"/>
      <c r="B576" s="125"/>
      <c r="D576" s="125"/>
      <c r="E576" s="125"/>
      <c r="F576" s="125"/>
      <c r="G576" s="125"/>
      <c r="H576" s="125"/>
      <c r="I576" s="125"/>
      <c r="J576" s="126"/>
      <c r="K576" s="125"/>
      <c r="L576" s="125"/>
      <c r="M576" s="136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5"/>
      <c r="AL576" s="125"/>
    </row>
    <row r="577" spans="1:38" ht="13.2">
      <c r="A577" s="123"/>
      <c r="B577" s="125"/>
      <c r="D577" s="125"/>
      <c r="E577" s="125"/>
      <c r="F577" s="125"/>
      <c r="G577" s="125"/>
      <c r="H577" s="125"/>
      <c r="I577" s="125"/>
      <c r="J577" s="126"/>
      <c r="K577" s="125"/>
      <c r="L577" s="125"/>
      <c r="M577" s="136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</row>
    <row r="578" spans="1:38" ht="13.2">
      <c r="A578" s="123"/>
      <c r="B578" s="125"/>
      <c r="D578" s="125"/>
      <c r="E578" s="125"/>
      <c r="F578" s="125"/>
      <c r="G578" s="125"/>
      <c r="H578" s="125"/>
      <c r="I578" s="125"/>
      <c r="J578" s="126"/>
      <c r="K578" s="125"/>
      <c r="L578" s="125"/>
      <c r="M578" s="136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5"/>
      <c r="AL578" s="125"/>
    </row>
    <row r="579" spans="1:38" ht="13.2">
      <c r="A579" s="123"/>
      <c r="B579" s="125"/>
      <c r="D579" s="125"/>
      <c r="E579" s="125"/>
      <c r="F579" s="125"/>
      <c r="G579" s="125"/>
      <c r="H579" s="125"/>
      <c r="I579" s="125"/>
      <c r="J579" s="126"/>
      <c r="K579" s="125"/>
      <c r="L579" s="125"/>
      <c r="M579" s="136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5"/>
      <c r="AL579" s="125"/>
    </row>
    <row r="580" spans="1:38" ht="13.2">
      <c r="A580" s="123"/>
      <c r="B580" s="125"/>
      <c r="D580" s="125"/>
      <c r="E580" s="125"/>
      <c r="F580" s="125"/>
      <c r="G580" s="125"/>
      <c r="H580" s="125"/>
      <c r="I580" s="125"/>
      <c r="J580" s="126"/>
      <c r="K580" s="125"/>
      <c r="L580" s="125"/>
      <c r="M580" s="136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5"/>
      <c r="AL580" s="125"/>
    </row>
    <row r="581" spans="1:38" ht="13.2">
      <c r="A581" s="123"/>
      <c r="B581" s="125"/>
      <c r="D581" s="125"/>
      <c r="E581" s="125"/>
      <c r="F581" s="125"/>
      <c r="G581" s="125"/>
      <c r="H581" s="125"/>
      <c r="I581" s="125"/>
      <c r="J581" s="126"/>
      <c r="K581" s="125"/>
      <c r="L581" s="125"/>
      <c r="M581" s="136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5"/>
      <c r="AL581" s="125"/>
    </row>
    <row r="582" spans="1:38" ht="13.2">
      <c r="A582" s="123"/>
      <c r="B582" s="125"/>
      <c r="D582" s="125"/>
      <c r="E582" s="125"/>
      <c r="F582" s="125"/>
      <c r="G582" s="125"/>
      <c r="H582" s="125"/>
      <c r="I582" s="125"/>
      <c r="J582" s="126"/>
      <c r="K582" s="125"/>
      <c r="L582" s="125"/>
      <c r="M582" s="136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5"/>
      <c r="AL582" s="125"/>
    </row>
    <row r="583" spans="1:38" ht="13.2">
      <c r="A583" s="123"/>
      <c r="B583" s="125"/>
      <c r="D583" s="125"/>
      <c r="E583" s="125"/>
      <c r="F583" s="125"/>
      <c r="G583" s="125"/>
      <c r="H583" s="125"/>
      <c r="I583" s="125"/>
      <c r="J583" s="126"/>
      <c r="K583" s="125"/>
      <c r="L583" s="125"/>
      <c r="M583" s="136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5"/>
      <c r="AL583" s="125"/>
    </row>
    <row r="584" spans="1:38" ht="13.2">
      <c r="A584" s="123"/>
      <c r="B584" s="125"/>
      <c r="D584" s="125"/>
      <c r="E584" s="125"/>
      <c r="F584" s="125"/>
      <c r="G584" s="125"/>
      <c r="H584" s="125"/>
      <c r="I584" s="125"/>
      <c r="J584" s="126"/>
      <c r="K584" s="125"/>
      <c r="L584" s="125"/>
      <c r="M584" s="136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5"/>
      <c r="AL584" s="125"/>
    </row>
    <row r="585" spans="1:38" ht="13.2">
      <c r="A585" s="123"/>
      <c r="B585" s="125"/>
      <c r="D585" s="125"/>
      <c r="E585" s="125"/>
      <c r="F585" s="125"/>
      <c r="G585" s="125"/>
      <c r="H585" s="125"/>
      <c r="I585" s="125"/>
      <c r="J585" s="126"/>
      <c r="K585" s="125"/>
      <c r="L585" s="125"/>
      <c r="M585" s="136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5"/>
      <c r="AL585" s="125"/>
    </row>
    <row r="586" spans="1:38" ht="13.2">
      <c r="A586" s="123"/>
      <c r="B586" s="125"/>
      <c r="D586" s="125"/>
      <c r="E586" s="125"/>
      <c r="F586" s="125"/>
      <c r="G586" s="125"/>
      <c r="H586" s="125"/>
      <c r="I586" s="125"/>
      <c r="J586" s="126"/>
      <c r="K586" s="125"/>
      <c r="L586" s="125"/>
      <c r="M586" s="136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5"/>
      <c r="AL586" s="125"/>
    </row>
    <row r="587" spans="1:38" ht="13.2">
      <c r="A587" s="123"/>
      <c r="B587" s="125"/>
      <c r="D587" s="125"/>
      <c r="E587" s="125"/>
      <c r="F587" s="125"/>
      <c r="G587" s="125"/>
      <c r="H587" s="125"/>
      <c r="I587" s="125"/>
      <c r="J587" s="126"/>
      <c r="K587" s="125"/>
      <c r="L587" s="125"/>
      <c r="M587" s="136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5"/>
      <c r="AL587" s="125"/>
    </row>
    <row r="588" spans="1:38" ht="13.2">
      <c r="A588" s="123"/>
      <c r="B588" s="125"/>
      <c r="D588" s="125"/>
      <c r="E588" s="125"/>
      <c r="F588" s="125"/>
      <c r="G588" s="125"/>
      <c r="H588" s="125"/>
      <c r="I588" s="125"/>
      <c r="J588" s="126"/>
      <c r="K588" s="125"/>
      <c r="L588" s="125"/>
      <c r="M588" s="136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5"/>
      <c r="AL588" s="125"/>
    </row>
    <row r="589" spans="1:38" ht="13.2">
      <c r="A589" s="123"/>
      <c r="B589" s="125"/>
      <c r="D589" s="125"/>
      <c r="E589" s="125"/>
      <c r="F589" s="125"/>
      <c r="G589" s="125"/>
      <c r="H589" s="125"/>
      <c r="I589" s="125"/>
      <c r="J589" s="126"/>
      <c r="K589" s="125"/>
      <c r="L589" s="125"/>
      <c r="M589" s="136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5"/>
      <c r="AL589" s="125"/>
    </row>
    <row r="590" spans="1:38" ht="13.2">
      <c r="A590" s="123"/>
      <c r="B590" s="125"/>
      <c r="D590" s="125"/>
      <c r="E590" s="125"/>
      <c r="F590" s="125"/>
      <c r="G590" s="125"/>
      <c r="H590" s="125"/>
      <c r="I590" s="125"/>
      <c r="J590" s="126"/>
      <c r="K590" s="125"/>
      <c r="L590" s="125"/>
      <c r="M590" s="136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5"/>
      <c r="AL590" s="125"/>
    </row>
    <row r="591" spans="1:38" ht="13.2">
      <c r="A591" s="123"/>
      <c r="B591" s="125"/>
      <c r="D591" s="125"/>
      <c r="E591" s="125"/>
      <c r="F591" s="125"/>
      <c r="G591" s="125"/>
      <c r="H591" s="125"/>
      <c r="I591" s="125"/>
      <c r="J591" s="126"/>
      <c r="K591" s="125"/>
      <c r="L591" s="125"/>
      <c r="M591" s="136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5"/>
      <c r="AL591" s="125"/>
    </row>
    <row r="592" spans="1:38" ht="13.2">
      <c r="A592" s="123"/>
      <c r="B592" s="125"/>
      <c r="D592" s="125"/>
      <c r="E592" s="125"/>
      <c r="F592" s="125"/>
      <c r="G592" s="125"/>
      <c r="H592" s="125"/>
      <c r="I592" s="125"/>
      <c r="J592" s="126"/>
      <c r="K592" s="125"/>
      <c r="L592" s="125"/>
      <c r="M592" s="136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5"/>
      <c r="AL592" s="125"/>
    </row>
    <row r="593" spans="1:38" ht="13.2">
      <c r="A593" s="123"/>
      <c r="B593" s="125"/>
      <c r="D593" s="125"/>
      <c r="E593" s="125"/>
      <c r="F593" s="125"/>
      <c r="G593" s="125"/>
      <c r="H593" s="125"/>
      <c r="I593" s="125"/>
      <c r="J593" s="126"/>
      <c r="K593" s="125"/>
      <c r="L593" s="125"/>
      <c r="M593" s="136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5"/>
      <c r="AL593" s="125"/>
    </row>
    <row r="594" spans="1:38" ht="13.2">
      <c r="A594" s="123"/>
      <c r="B594" s="125"/>
      <c r="D594" s="125"/>
      <c r="E594" s="125"/>
      <c r="F594" s="125"/>
      <c r="G594" s="125"/>
      <c r="H594" s="125"/>
      <c r="I594" s="125"/>
      <c r="J594" s="126"/>
      <c r="K594" s="125"/>
      <c r="L594" s="125"/>
      <c r="M594" s="136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5"/>
      <c r="AL594" s="125"/>
    </row>
    <row r="595" spans="1:38" ht="13.2">
      <c r="A595" s="123"/>
      <c r="B595" s="125"/>
      <c r="D595" s="125"/>
      <c r="E595" s="125"/>
      <c r="F595" s="125"/>
      <c r="G595" s="125"/>
      <c r="H595" s="125"/>
      <c r="I595" s="125"/>
      <c r="J595" s="126"/>
      <c r="K595" s="125"/>
      <c r="L595" s="125"/>
      <c r="M595" s="136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5"/>
      <c r="AL595" s="125"/>
    </row>
    <row r="596" spans="1:38" ht="13.2">
      <c r="A596" s="123"/>
      <c r="B596" s="125"/>
      <c r="D596" s="125"/>
      <c r="E596" s="125"/>
      <c r="F596" s="125"/>
      <c r="G596" s="125"/>
      <c r="H596" s="125"/>
      <c r="I596" s="125"/>
      <c r="J596" s="126"/>
      <c r="K596" s="125"/>
      <c r="L596" s="125"/>
      <c r="M596" s="136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5"/>
      <c r="AL596" s="125"/>
    </row>
    <row r="597" spans="1:38" ht="13.2">
      <c r="A597" s="123"/>
      <c r="B597" s="125"/>
      <c r="D597" s="125"/>
      <c r="E597" s="125"/>
      <c r="F597" s="125"/>
      <c r="G597" s="125"/>
      <c r="H597" s="125"/>
      <c r="I597" s="125"/>
      <c r="J597" s="126"/>
      <c r="K597" s="125"/>
      <c r="L597" s="125"/>
      <c r="M597" s="136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5"/>
      <c r="AL597" s="125"/>
    </row>
    <row r="598" spans="1:38" ht="13.2">
      <c r="A598" s="123"/>
      <c r="B598" s="125"/>
      <c r="D598" s="125"/>
      <c r="E598" s="125"/>
      <c r="F598" s="125"/>
      <c r="G598" s="125"/>
      <c r="H598" s="125"/>
      <c r="I598" s="125"/>
      <c r="J598" s="126"/>
      <c r="K598" s="125"/>
      <c r="L598" s="125"/>
      <c r="M598" s="136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5"/>
      <c r="AL598" s="125"/>
    </row>
    <row r="599" spans="1:38" ht="13.2">
      <c r="A599" s="123"/>
      <c r="B599" s="125"/>
      <c r="D599" s="125"/>
      <c r="E599" s="125"/>
      <c r="F599" s="125"/>
      <c r="G599" s="125"/>
      <c r="H599" s="125"/>
      <c r="I599" s="125"/>
      <c r="J599" s="126"/>
      <c r="K599" s="125"/>
      <c r="L599" s="125"/>
      <c r="M599" s="136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</row>
    <row r="600" spans="1:38" ht="13.2">
      <c r="A600" s="123"/>
      <c r="B600" s="125"/>
      <c r="D600" s="125"/>
      <c r="E600" s="125"/>
      <c r="F600" s="125"/>
      <c r="G600" s="125"/>
      <c r="H600" s="125"/>
      <c r="I600" s="125"/>
      <c r="J600" s="126"/>
      <c r="K600" s="125"/>
      <c r="L600" s="125"/>
      <c r="M600" s="136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5"/>
      <c r="AL600" s="125"/>
    </row>
    <row r="601" spans="1:38" ht="13.2">
      <c r="A601" s="123"/>
      <c r="B601" s="125"/>
      <c r="D601" s="125"/>
      <c r="E601" s="125"/>
      <c r="F601" s="125"/>
      <c r="G601" s="125"/>
      <c r="H601" s="125"/>
      <c r="I601" s="125"/>
      <c r="J601" s="126"/>
      <c r="K601" s="125"/>
      <c r="L601" s="125"/>
      <c r="M601" s="136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5"/>
      <c r="AL601" s="125"/>
    </row>
    <row r="602" spans="1:38" ht="13.2">
      <c r="A602" s="123"/>
      <c r="B602" s="125"/>
      <c r="D602" s="125"/>
      <c r="E602" s="125"/>
      <c r="F602" s="125"/>
      <c r="G602" s="125"/>
      <c r="H602" s="125"/>
      <c r="I602" s="125"/>
      <c r="J602" s="126"/>
      <c r="K602" s="125"/>
      <c r="L602" s="125"/>
      <c r="M602" s="136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5"/>
      <c r="AL602" s="125"/>
    </row>
    <row r="603" spans="1:38" ht="13.2">
      <c r="A603" s="123"/>
      <c r="B603" s="125"/>
      <c r="D603" s="125"/>
      <c r="E603" s="125"/>
      <c r="F603" s="125"/>
      <c r="G603" s="125"/>
      <c r="H603" s="125"/>
      <c r="I603" s="125"/>
      <c r="J603" s="126"/>
      <c r="K603" s="125"/>
      <c r="L603" s="125"/>
      <c r="M603" s="136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5"/>
      <c r="AL603" s="125"/>
    </row>
    <row r="604" spans="1:38" ht="13.2">
      <c r="A604" s="123"/>
      <c r="B604" s="125"/>
      <c r="D604" s="125"/>
      <c r="E604" s="125"/>
      <c r="F604" s="125"/>
      <c r="G604" s="125"/>
      <c r="H604" s="125"/>
      <c r="I604" s="125"/>
      <c r="J604" s="126"/>
      <c r="K604" s="125"/>
      <c r="L604" s="125"/>
      <c r="M604" s="136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5"/>
      <c r="AL604" s="125"/>
    </row>
    <row r="605" spans="1:38" ht="13.2">
      <c r="A605" s="123"/>
      <c r="B605" s="125"/>
      <c r="D605" s="125"/>
      <c r="E605" s="125"/>
      <c r="F605" s="125"/>
      <c r="G605" s="125"/>
      <c r="H605" s="125"/>
      <c r="I605" s="125"/>
      <c r="J605" s="126"/>
      <c r="K605" s="125"/>
      <c r="L605" s="125"/>
      <c r="M605" s="136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5"/>
      <c r="AL605" s="125"/>
    </row>
    <row r="606" spans="1:38" ht="13.2">
      <c r="A606" s="123"/>
      <c r="B606" s="125"/>
      <c r="D606" s="125"/>
      <c r="E606" s="125"/>
      <c r="F606" s="125"/>
      <c r="G606" s="125"/>
      <c r="H606" s="125"/>
      <c r="I606" s="125"/>
      <c r="J606" s="126"/>
      <c r="K606" s="125"/>
      <c r="L606" s="125"/>
      <c r="M606" s="136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5"/>
      <c r="AL606" s="125"/>
    </row>
    <row r="607" spans="1:38" ht="13.2">
      <c r="A607" s="123"/>
      <c r="B607" s="125"/>
      <c r="D607" s="125"/>
      <c r="E607" s="125"/>
      <c r="F607" s="125"/>
      <c r="G607" s="125"/>
      <c r="H607" s="125"/>
      <c r="I607" s="125"/>
      <c r="J607" s="126"/>
      <c r="K607" s="125"/>
      <c r="L607" s="125"/>
      <c r="M607" s="136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  <c r="AH607" s="125"/>
      <c r="AI607" s="125"/>
      <c r="AJ607" s="125"/>
      <c r="AK607" s="125"/>
      <c r="AL607" s="125"/>
    </row>
    <row r="608" spans="1:38" ht="13.2">
      <c r="A608" s="123"/>
      <c r="B608" s="125"/>
      <c r="D608" s="125"/>
      <c r="E608" s="125"/>
      <c r="F608" s="125"/>
      <c r="G608" s="125"/>
      <c r="H608" s="125"/>
      <c r="I608" s="125"/>
      <c r="J608" s="126"/>
      <c r="K608" s="125"/>
      <c r="L608" s="125"/>
      <c r="M608" s="136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5"/>
      <c r="AL608" s="125"/>
    </row>
    <row r="609" spans="1:38" ht="13.2">
      <c r="A609" s="123"/>
      <c r="B609" s="125"/>
      <c r="D609" s="125"/>
      <c r="E609" s="125"/>
      <c r="F609" s="125"/>
      <c r="G609" s="125"/>
      <c r="H609" s="125"/>
      <c r="I609" s="125"/>
      <c r="J609" s="126"/>
      <c r="K609" s="125"/>
      <c r="L609" s="125"/>
      <c r="M609" s="136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5"/>
      <c r="AL609" s="125"/>
    </row>
    <row r="610" spans="1:38" ht="13.2">
      <c r="A610" s="123"/>
      <c r="B610" s="125"/>
      <c r="D610" s="125"/>
      <c r="E610" s="125"/>
      <c r="F610" s="125"/>
      <c r="G610" s="125"/>
      <c r="H610" s="125"/>
      <c r="I610" s="125"/>
      <c r="J610" s="126"/>
      <c r="K610" s="125"/>
      <c r="L610" s="125"/>
      <c r="M610" s="136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</row>
    <row r="611" spans="1:38" ht="13.2">
      <c r="A611" s="123"/>
      <c r="B611" s="125"/>
      <c r="D611" s="125"/>
      <c r="E611" s="125"/>
      <c r="F611" s="125"/>
      <c r="G611" s="125"/>
      <c r="H611" s="125"/>
      <c r="I611" s="125"/>
      <c r="J611" s="126"/>
      <c r="K611" s="125"/>
      <c r="L611" s="125"/>
      <c r="M611" s="136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</row>
    <row r="612" spans="1:38" ht="13.2">
      <c r="A612" s="123"/>
      <c r="B612" s="125"/>
      <c r="D612" s="125"/>
      <c r="E612" s="125"/>
      <c r="F612" s="125"/>
      <c r="G612" s="125"/>
      <c r="H612" s="125"/>
      <c r="I612" s="125"/>
      <c r="J612" s="126"/>
      <c r="K612" s="125"/>
      <c r="L612" s="125"/>
      <c r="M612" s="136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5"/>
      <c r="AL612" s="125"/>
    </row>
    <row r="613" spans="1:38" ht="13.2">
      <c r="A613" s="123"/>
      <c r="B613" s="125"/>
      <c r="D613" s="125"/>
      <c r="E613" s="125"/>
      <c r="F613" s="125"/>
      <c r="G613" s="125"/>
      <c r="H613" s="125"/>
      <c r="I613" s="125"/>
      <c r="J613" s="126"/>
      <c r="K613" s="125"/>
      <c r="L613" s="125"/>
      <c r="M613" s="136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5"/>
      <c r="AL613" s="125"/>
    </row>
    <row r="614" spans="1:38" ht="13.2">
      <c r="A614" s="123"/>
      <c r="B614" s="125"/>
      <c r="D614" s="125"/>
      <c r="E614" s="125"/>
      <c r="F614" s="125"/>
      <c r="G614" s="125"/>
      <c r="H614" s="125"/>
      <c r="I614" s="125"/>
      <c r="J614" s="126"/>
      <c r="K614" s="125"/>
      <c r="L614" s="125"/>
      <c r="M614" s="136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5"/>
      <c r="AL614" s="125"/>
    </row>
    <row r="615" spans="1:38" ht="13.2">
      <c r="A615" s="123"/>
      <c r="B615" s="125"/>
      <c r="D615" s="125"/>
      <c r="E615" s="125"/>
      <c r="F615" s="125"/>
      <c r="G615" s="125"/>
      <c r="H615" s="125"/>
      <c r="I615" s="125"/>
      <c r="J615" s="126"/>
      <c r="K615" s="125"/>
      <c r="L615" s="125"/>
      <c r="M615" s="136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5"/>
      <c r="AL615" s="125"/>
    </row>
    <row r="616" spans="1:38" ht="13.2">
      <c r="A616" s="123"/>
      <c r="B616" s="125"/>
      <c r="D616" s="125"/>
      <c r="E616" s="125"/>
      <c r="F616" s="125"/>
      <c r="G616" s="125"/>
      <c r="H616" s="125"/>
      <c r="I616" s="125"/>
      <c r="J616" s="126"/>
      <c r="K616" s="125"/>
      <c r="L616" s="125"/>
      <c r="M616" s="136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  <c r="AH616" s="125"/>
      <c r="AI616" s="125"/>
      <c r="AJ616" s="125"/>
      <c r="AK616" s="125"/>
      <c r="AL616" s="125"/>
    </row>
    <row r="617" spans="1:38" ht="13.2">
      <c r="A617" s="123"/>
      <c r="B617" s="125"/>
      <c r="D617" s="125"/>
      <c r="E617" s="125"/>
      <c r="F617" s="125"/>
      <c r="G617" s="125"/>
      <c r="H617" s="125"/>
      <c r="I617" s="125"/>
      <c r="J617" s="126"/>
      <c r="K617" s="125"/>
      <c r="L617" s="125"/>
      <c r="M617" s="136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</row>
    <row r="618" spans="1:38" ht="13.2">
      <c r="A618" s="123"/>
      <c r="B618" s="125"/>
      <c r="D618" s="125"/>
      <c r="E618" s="125"/>
      <c r="F618" s="125"/>
      <c r="G618" s="125"/>
      <c r="H618" s="125"/>
      <c r="I618" s="125"/>
      <c r="J618" s="126"/>
      <c r="K618" s="125"/>
      <c r="L618" s="125"/>
      <c r="M618" s="136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</row>
    <row r="619" spans="1:38" ht="13.2">
      <c r="A619" s="123"/>
      <c r="B619" s="125"/>
      <c r="D619" s="125"/>
      <c r="E619" s="125"/>
      <c r="F619" s="125"/>
      <c r="G619" s="125"/>
      <c r="H619" s="125"/>
      <c r="I619" s="125"/>
      <c r="J619" s="126"/>
      <c r="K619" s="125"/>
      <c r="L619" s="125"/>
      <c r="M619" s="136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  <c r="AH619" s="125"/>
      <c r="AI619" s="125"/>
      <c r="AJ619" s="125"/>
      <c r="AK619" s="125"/>
      <c r="AL619" s="125"/>
    </row>
    <row r="620" spans="1:38" ht="13.2">
      <c r="A620" s="123"/>
      <c r="B620" s="125"/>
      <c r="D620" s="125"/>
      <c r="E620" s="125"/>
      <c r="F620" s="125"/>
      <c r="G620" s="125"/>
      <c r="H620" s="125"/>
      <c r="I620" s="125"/>
      <c r="J620" s="126"/>
      <c r="K620" s="125"/>
      <c r="L620" s="125"/>
      <c r="M620" s="136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  <c r="AH620" s="125"/>
      <c r="AI620" s="125"/>
      <c r="AJ620" s="125"/>
      <c r="AK620" s="125"/>
      <c r="AL620" s="125"/>
    </row>
    <row r="621" spans="1:38" ht="13.2">
      <c r="A621" s="123"/>
      <c r="B621" s="125"/>
      <c r="D621" s="125"/>
      <c r="E621" s="125"/>
      <c r="F621" s="125"/>
      <c r="G621" s="125"/>
      <c r="H621" s="125"/>
      <c r="I621" s="125"/>
      <c r="J621" s="126"/>
      <c r="K621" s="125"/>
      <c r="L621" s="125"/>
      <c r="M621" s="136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</row>
    <row r="622" spans="1:38" ht="13.2">
      <c r="A622" s="123"/>
      <c r="B622" s="125"/>
      <c r="D622" s="125"/>
      <c r="E622" s="125"/>
      <c r="F622" s="125"/>
      <c r="G622" s="125"/>
      <c r="H622" s="125"/>
      <c r="I622" s="125"/>
      <c r="J622" s="126"/>
      <c r="K622" s="125"/>
      <c r="L622" s="125"/>
      <c r="M622" s="136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  <c r="AH622" s="125"/>
      <c r="AI622" s="125"/>
      <c r="AJ622" s="125"/>
      <c r="AK622" s="125"/>
      <c r="AL622" s="125"/>
    </row>
    <row r="623" spans="1:38" ht="13.2">
      <c r="A623" s="123"/>
      <c r="B623" s="125"/>
      <c r="D623" s="125"/>
      <c r="E623" s="125"/>
      <c r="F623" s="125"/>
      <c r="G623" s="125"/>
      <c r="H623" s="125"/>
      <c r="I623" s="125"/>
      <c r="J623" s="126"/>
      <c r="K623" s="125"/>
      <c r="L623" s="125"/>
      <c r="M623" s="136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  <c r="AH623" s="125"/>
      <c r="AI623" s="125"/>
      <c r="AJ623" s="125"/>
      <c r="AK623" s="125"/>
      <c r="AL623" s="125"/>
    </row>
    <row r="624" spans="1:38" ht="13.2">
      <c r="A624" s="123"/>
      <c r="B624" s="125"/>
      <c r="D624" s="125"/>
      <c r="E624" s="125"/>
      <c r="F624" s="125"/>
      <c r="G624" s="125"/>
      <c r="H624" s="125"/>
      <c r="I624" s="125"/>
      <c r="J624" s="126"/>
      <c r="K624" s="125"/>
      <c r="L624" s="125"/>
      <c r="M624" s="136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  <c r="AG624" s="125"/>
      <c r="AH624" s="125"/>
      <c r="AI624" s="125"/>
      <c r="AJ624" s="125"/>
      <c r="AK624" s="125"/>
      <c r="AL624" s="125"/>
    </row>
    <row r="625" spans="1:38" ht="13.2">
      <c r="A625" s="123"/>
      <c r="B625" s="125"/>
      <c r="D625" s="125"/>
      <c r="E625" s="125"/>
      <c r="F625" s="125"/>
      <c r="G625" s="125"/>
      <c r="H625" s="125"/>
      <c r="I625" s="125"/>
      <c r="J625" s="126"/>
      <c r="K625" s="125"/>
      <c r="L625" s="125"/>
      <c r="M625" s="136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</row>
    <row r="626" spans="1:38" ht="13.2">
      <c r="A626" s="123"/>
      <c r="B626" s="125"/>
      <c r="D626" s="125"/>
      <c r="E626" s="125"/>
      <c r="F626" s="125"/>
      <c r="G626" s="125"/>
      <c r="H626" s="125"/>
      <c r="I626" s="125"/>
      <c r="J626" s="126"/>
      <c r="K626" s="125"/>
      <c r="L626" s="125"/>
      <c r="M626" s="136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  <c r="AH626" s="125"/>
      <c r="AI626" s="125"/>
      <c r="AJ626" s="125"/>
      <c r="AK626" s="125"/>
      <c r="AL626" s="125"/>
    </row>
    <row r="627" spans="1:38" ht="13.2">
      <c r="A627" s="123"/>
      <c r="B627" s="125"/>
      <c r="D627" s="125"/>
      <c r="E627" s="125"/>
      <c r="F627" s="125"/>
      <c r="G627" s="125"/>
      <c r="H627" s="125"/>
      <c r="I627" s="125"/>
      <c r="J627" s="126"/>
      <c r="K627" s="125"/>
      <c r="L627" s="125"/>
      <c r="M627" s="136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  <c r="AH627" s="125"/>
      <c r="AI627" s="125"/>
      <c r="AJ627" s="125"/>
      <c r="AK627" s="125"/>
      <c r="AL627" s="125"/>
    </row>
    <row r="628" spans="1:38" ht="13.2">
      <c r="A628" s="123"/>
      <c r="B628" s="125"/>
      <c r="D628" s="125"/>
      <c r="E628" s="125"/>
      <c r="F628" s="125"/>
      <c r="G628" s="125"/>
      <c r="H628" s="125"/>
      <c r="I628" s="125"/>
      <c r="J628" s="126"/>
      <c r="K628" s="125"/>
      <c r="L628" s="125"/>
      <c r="M628" s="136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  <c r="AH628" s="125"/>
      <c r="AI628" s="125"/>
      <c r="AJ628" s="125"/>
      <c r="AK628" s="125"/>
      <c r="AL628" s="125"/>
    </row>
    <row r="629" spans="1:38" ht="13.2">
      <c r="A629" s="123"/>
      <c r="B629" s="125"/>
      <c r="D629" s="125"/>
      <c r="E629" s="125"/>
      <c r="F629" s="125"/>
      <c r="G629" s="125"/>
      <c r="H629" s="125"/>
      <c r="I629" s="125"/>
      <c r="J629" s="126"/>
      <c r="K629" s="125"/>
      <c r="L629" s="125"/>
      <c r="M629" s="136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  <c r="AH629" s="125"/>
      <c r="AI629" s="125"/>
      <c r="AJ629" s="125"/>
      <c r="AK629" s="125"/>
      <c r="AL629" s="125"/>
    </row>
    <row r="630" spans="1:38" ht="13.2">
      <c r="A630" s="123"/>
      <c r="B630" s="125"/>
      <c r="D630" s="125"/>
      <c r="E630" s="125"/>
      <c r="F630" s="125"/>
      <c r="G630" s="125"/>
      <c r="H630" s="125"/>
      <c r="I630" s="125"/>
      <c r="J630" s="126"/>
      <c r="K630" s="125"/>
      <c r="L630" s="125"/>
      <c r="M630" s="136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/>
      <c r="AK630" s="125"/>
      <c r="AL630" s="125"/>
    </row>
    <row r="631" spans="1:38" ht="13.2">
      <c r="A631" s="123"/>
      <c r="B631" s="125"/>
      <c r="D631" s="125"/>
      <c r="E631" s="125"/>
      <c r="F631" s="125"/>
      <c r="G631" s="125"/>
      <c r="H631" s="125"/>
      <c r="I631" s="125"/>
      <c r="J631" s="126"/>
      <c r="K631" s="125"/>
      <c r="L631" s="125"/>
      <c r="M631" s="136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/>
      <c r="AK631" s="125"/>
      <c r="AL631" s="125"/>
    </row>
    <row r="632" spans="1:38" ht="13.2">
      <c r="A632" s="123"/>
      <c r="B632" s="125"/>
      <c r="D632" s="125"/>
      <c r="E632" s="125"/>
      <c r="F632" s="125"/>
      <c r="G632" s="125"/>
      <c r="H632" s="125"/>
      <c r="I632" s="125"/>
      <c r="J632" s="126"/>
      <c r="K632" s="125"/>
      <c r="L632" s="125"/>
      <c r="M632" s="136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</row>
    <row r="633" spans="1:38" ht="13.2">
      <c r="A633" s="123"/>
      <c r="B633" s="125"/>
      <c r="D633" s="125"/>
      <c r="E633" s="125"/>
      <c r="F633" s="125"/>
      <c r="G633" s="125"/>
      <c r="H633" s="125"/>
      <c r="I633" s="125"/>
      <c r="J633" s="126"/>
      <c r="K633" s="125"/>
      <c r="L633" s="125"/>
      <c r="M633" s="136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  <c r="AH633" s="125"/>
      <c r="AI633" s="125"/>
      <c r="AJ633" s="125"/>
      <c r="AK633" s="125"/>
      <c r="AL633" s="125"/>
    </row>
    <row r="634" spans="1:38" ht="13.2">
      <c r="A634" s="123"/>
      <c r="B634" s="125"/>
      <c r="D634" s="125"/>
      <c r="E634" s="125"/>
      <c r="F634" s="125"/>
      <c r="G634" s="125"/>
      <c r="H634" s="125"/>
      <c r="I634" s="125"/>
      <c r="J634" s="126"/>
      <c r="K634" s="125"/>
      <c r="L634" s="125"/>
      <c r="M634" s="136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  <c r="AG634" s="125"/>
      <c r="AH634" s="125"/>
      <c r="AI634" s="125"/>
      <c r="AJ634" s="125"/>
      <c r="AK634" s="125"/>
      <c r="AL634" s="125"/>
    </row>
    <row r="635" spans="1:38" ht="13.2">
      <c r="A635" s="123"/>
      <c r="B635" s="125"/>
      <c r="D635" s="125"/>
      <c r="E635" s="125"/>
      <c r="F635" s="125"/>
      <c r="G635" s="125"/>
      <c r="H635" s="125"/>
      <c r="I635" s="125"/>
      <c r="J635" s="126"/>
      <c r="K635" s="125"/>
      <c r="L635" s="125"/>
      <c r="M635" s="136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  <c r="AH635" s="125"/>
      <c r="AI635" s="125"/>
      <c r="AJ635" s="125"/>
      <c r="AK635" s="125"/>
      <c r="AL635" s="125"/>
    </row>
    <row r="636" spans="1:38" ht="13.2">
      <c r="A636" s="123"/>
      <c r="B636" s="125"/>
      <c r="D636" s="125"/>
      <c r="E636" s="125"/>
      <c r="F636" s="125"/>
      <c r="G636" s="125"/>
      <c r="H636" s="125"/>
      <c r="I636" s="125"/>
      <c r="J636" s="126"/>
      <c r="K636" s="125"/>
      <c r="L636" s="125"/>
      <c r="M636" s="136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  <c r="AH636" s="125"/>
      <c r="AI636" s="125"/>
      <c r="AJ636" s="125"/>
      <c r="AK636" s="125"/>
      <c r="AL636" s="125"/>
    </row>
    <row r="637" spans="1:38" ht="13.2">
      <c r="A637" s="123"/>
      <c r="B637" s="125"/>
      <c r="D637" s="125"/>
      <c r="E637" s="125"/>
      <c r="F637" s="125"/>
      <c r="G637" s="125"/>
      <c r="H637" s="125"/>
      <c r="I637" s="125"/>
      <c r="J637" s="126"/>
      <c r="K637" s="125"/>
      <c r="L637" s="125"/>
      <c r="M637" s="136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  <c r="AH637" s="125"/>
      <c r="AI637" s="125"/>
      <c r="AJ637" s="125"/>
      <c r="AK637" s="125"/>
      <c r="AL637" s="125"/>
    </row>
    <row r="638" spans="1:38" ht="13.2">
      <c r="A638" s="123"/>
      <c r="B638" s="125"/>
      <c r="D638" s="125"/>
      <c r="E638" s="125"/>
      <c r="F638" s="125"/>
      <c r="G638" s="125"/>
      <c r="H638" s="125"/>
      <c r="I638" s="125"/>
      <c r="J638" s="126"/>
      <c r="K638" s="125"/>
      <c r="L638" s="125"/>
      <c r="M638" s="136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</row>
    <row r="639" spans="1:38" ht="13.2">
      <c r="A639" s="123"/>
      <c r="B639" s="125"/>
      <c r="D639" s="125"/>
      <c r="E639" s="125"/>
      <c r="F639" s="125"/>
      <c r="G639" s="125"/>
      <c r="H639" s="125"/>
      <c r="I639" s="125"/>
      <c r="J639" s="126"/>
      <c r="K639" s="125"/>
      <c r="L639" s="125"/>
      <c r="M639" s="136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  <c r="AG639" s="125"/>
      <c r="AH639" s="125"/>
      <c r="AI639" s="125"/>
      <c r="AJ639" s="125"/>
      <c r="AK639" s="125"/>
      <c r="AL639" s="125"/>
    </row>
    <row r="640" spans="1:38" ht="13.2">
      <c r="A640" s="123"/>
      <c r="B640" s="125"/>
      <c r="D640" s="125"/>
      <c r="E640" s="125"/>
      <c r="F640" s="125"/>
      <c r="G640" s="125"/>
      <c r="H640" s="125"/>
      <c r="I640" s="125"/>
      <c r="J640" s="126"/>
      <c r="K640" s="125"/>
      <c r="L640" s="125"/>
      <c r="M640" s="136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  <c r="AH640" s="125"/>
      <c r="AI640" s="125"/>
      <c r="AJ640" s="125"/>
      <c r="AK640" s="125"/>
      <c r="AL640" s="125"/>
    </row>
    <row r="641" spans="1:38" ht="13.2">
      <c r="A641" s="123"/>
      <c r="B641" s="125"/>
      <c r="D641" s="125"/>
      <c r="E641" s="125"/>
      <c r="F641" s="125"/>
      <c r="G641" s="125"/>
      <c r="H641" s="125"/>
      <c r="I641" s="125"/>
      <c r="J641" s="126"/>
      <c r="K641" s="125"/>
      <c r="L641" s="125"/>
      <c r="M641" s="136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  <c r="AH641" s="125"/>
      <c r="AI641" s="125"/>
      <c r="AJ641" s="125"/>
      <c r="AK641" s="125"/>
      <c r="AL641" s="125"/>
    </row>
    <row r="642" spans="1:38" ht="13.2">
      <c r="A642" s="123"/>
      <c r="B642" s="125"/>
      <c r="D642" s="125"/>
      <c r="E642" s="125"/>
      <c r="F642" s="125"/>
      <c r="G642" s="125"/>
      <c r="H642" s="125"/>
      <c r="I642" s="125"/>
      <c r="J642" s="126"/>
      <c r="K642" s="125"/>
      <c r="L642" s="125"/>
      <c r="M642" s="136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  <c r="AH642" s="125"/>
      <c r="AI642" s="125"/>
      <c r="AJ642" s="125"/>
      <c r="AK642" s="125"/>
      <c r="AL642" s="125"/>
    </row>
    <row r="643" spans="1:38" ht="13.2">
      <c r="A643" s="123"/>
      <c r="B643" s="125"/>
      <c r="D643" s="125"/>
      <c r="E643" s="125"/>
      <c r="F643" s="125"/>
      <c r="G643" s="125"/>
      <c r="H643" s="125"/>
      <c r="I643" s="125"/>
      <c r="J643" s="126"/>
      <c r="K643" s="125"/>
      <c r="L643" s="125"/>
      <c r="M643" s="136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  <c r="AG643" s="125"/>
      <c r="AH643" s="125"/>
      <c r="AI643" s="125"/>
      <c r="AJ643" s="125"/>
      <c r="AK643" s="125"/>
      <c r="AL643" s="125"/>
    </row>
    <row r="644" spans="1:38" ht="13.2">
      <c r="A644" s="123"/>
      <c r="B644" s="125"/>
      <c r="D644" s="125"/>
      <c r="E644" s="125"/>
      <c r="F644" s="125"/>
      <c r="G644" s="125"/>
      <c r="H644" s="125"/>
      <c r="I644" s="125"/>
      <c r="J644" s="126"/>
      <c r="K644" s="125"/>
      <c r="L644" s="125"/>
      <c r="M644" s="136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5"/>
      <c r="AK644" s="125"/>
      <c r="AL644" s="125"/>
    </row>
    <row r="645" spans="1:38" ht="13.2">
      <c r="A645" s="123"/>
      <c r="B645" s="125"/>
      <c r="D645" s="125"/>
      <c r="E645" s="125"/>
      <c r="F645" s="125"/>
      <c r="G645" s="125"/>
      <c r="H645" s="125"/>
      <c r="I645" s="125"/>
      <c r="J645" s="126"/>
      <c r="K645" s="125"/>
      <c r="L645" s="125"/>
      <c r="M645" s="136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5"/>
      <c r="AK645" s="125"/>
      <c r="AL645" s="125"/>
    </row>
    <row r="646" spans="1:38" ht="13.2">
      <c r="A646" s="123"/>
      <c r="B646" s="125"/>
      <c r="D646" s="125"/>
      <c r="E646" s="125"/>
      <c r="F646" s="125"/>
      <c r="G646" s="125"/>
      <c r="H646" s="125"/>
      <c r="I646" s="125"/>
      <c r="J646" s="126"/>
      <c r="K646" s="125"/>
      <c r="L646" s="125"/>
      <c r="M646" s="136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  <c r="AH646" s="125"/>
      <c r="AI646" s="125"/>
      <c r="AJ646" s="125"/>
      <c r="AK646" s="125"/>
      <c r="AL646" s="125"/>
    </row>
    <row r="647" spans="1:38" ht="13.2">
      <c r="A647" s="123"/>
      <c r="B647" s="125"/>
      <c r="D647" s="125"/>
      <c r="E647" s="125"/>
      <c r="F647" s="125"/>
      <c r="G647" s="125"/>
      <c r="H647" s="125"/>
      <c r="I647" s="125"/>
      <c r="J647" s="126"/>
      <c r="K647" s="125"/>
      <c r="L647" s="125"/>
      <c r="M647" s="136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5"/>
      <c r="AK647" s="125"/>
      <c r="AL647" s="125"/>
    </row>
    <row r="648" spans="1:38" ht="13.2">
      <c r="A648" s="123"/>
      <c r="B648" s="125"/>
      <c r="D648" s="125"/>
      <c r="E648" s="125"/>
      <c r="F648" s="125"/>
      <c r="G648" s="125"/>
      <c r="H648" s="125"/>
      <c r="I648" s="125"/>
      <c r="J648" s="126"/>
      <c r="K648" s="125"/>
      <c r="L648" s="125"/>
      <c r="M648" s="136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5"/>
      <c r="AK648" s="125"/>
      <c r="AL648" s="125"/>
    </row>
    <row r="649" spans="1:38" ht="13.2">
      <c r="A649" s="123"/>
      <c r="B649" s="125"/>
      <c r="D649" s="125"/>
      <c r="E649" s="125"/>
      <c r="F649" s="125"/>
      <c r="G649" s="125"/>
      <c r="H649" s="125"/>
      <c r="I649" s="125"/>
      <c r="J649" s="126"/>
      <c r="K649" s="125"/>
      <c r="L649" s="125"/>
      <c r="M649" s="136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</row>
    <row r="650" spans="1:38" ht="13.2">
      <c r="A650" s="123"/>
      <c r="B650" s="125"/>
      <c r="D650" s="125"/>
      <c r="E650" s="125"/>
      <c r="F650" s="125"/>
      <c r="G650" s="125"/>
      <c r="H650" s="125"/>
      <c r="I650" s="125"/>
      <c r="J650" s="126"/>
      <c r="K650" s="125"/>
      <c r="L650" s="125"/>
      <c r="M650" s="136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5"/>
      <c r="AK650" s="125"/>
      <c r="AL650" s="125"/>
    </row>
    <row r="651" spans="1:38" ht="13.2">
      <c r="A651" s="123"/>
      <c r="B651" s="125"/>
      <c r="D651" s="125"/>
      <c r="E651" s="125"/>
      <c r="F651" s="125"/>
      <c r="G651" s="125"/>
      <c r="H651" s="125"/>
      <c r="I651" s="125"/>
      <c r="J651" s="126"/>
      <c r="K651" s="125"/>
      <c r="L651" s="125"/>
      <c r="M651" s="136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5"/>
      <c r="AK651" s="125"/>
      <c r="AL651" s="125"/>
    </row>
    <row r="652" spans="1:38" ht="13.2">
      <c r="A652" s="123"/>
      <c r="B652" s="125"/>
      <c r="D652" s="125"/>
      <c r="E652" s="125"/>
      <c r="F652" s="125"/>
      <c r="G652" s="125"/>
      <c r="H652" s="125"/>
      <c r="I652" s="125"/>
      <c r="J652" s="126"/>
      <c r="K652" s="125"/>
      <c r="L652" s="125"/>
      <c r="M652" s="136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</row>
    <row r="653" spans="1:38" ht="13.2">
      <c r="A653" s="123"/>
      <c r="B653" s="125"/>
      <c r="D653" s="125"/>
      <c r="E653" s="125"/>
      <c r="F653" s="125"/>
      <c r="G653" s="125"/>
      <c r="H653" s="125"/>
      <c r="I653" s="125"/>
      <c r="J653" s="126"/>
      <c r="K653" s="125"/>
      <c r="L653" s="125"/>
      <c r="M653" s="136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5"/>
      <c r="AK653" s="125"/>
      <c r="AL653" s="125"/>
    </row>
    <row r="654" spans="1:38" ht="13.2">
      <c r="A654" s="123"/>
      <c r="B654" s="125"/>
      <c r="D654" s="125"/>
      <c r="E654" s="125"/>
      <c r="F654" s="125"/>
      <c r="G654" s="125"/>
      <c r="H654" s="125"/>
      <c r="I654" s="125"/>
      <c r="J654" s="126"/>
      <c r="K654" s="125"/>
      <c r="L654" s="125"/>
      <c r="M654" s="136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5"/>
      <c r="AK654" s="125"/>
      <c r="AL654" s="125"/>
    </row>
    <row r="655" spans="1:38" ht="13.2">
      <c r="A655" s="123"/>
      <c r="B655" s="125"/>
      <c r="D655" s="125"/>
      <c r="E655" s="125"/>
      <c r="F655" s="125"/>
      <c r="G655" s="125"/>
      <c r="H655" s="125"/>
      <c r="I655" s="125"/>
      <c r="J655" s="126"/>
      <c r="K655" s="125"/>
      <c r="L655" s="125"/>
      <c r="M655" s="136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5"/>
      <c r="AK655" s="125"/>
      <c r="AL655" s="125"/>
    </row>
    <row r="656" spans="1:38" ht="13.2">
      <c r="A656" s="123"/>
      <c r="B656" s="125"/>
      <c r="D656" s="125"/>
      <c r="E656" s="125"/>
      <c r="F656" s="125"/>
      <c r="G656" s="125"/>
      <c r="H656" s="125"/>
      <c r="I656" s="125"/>
      <c r="J656" s="126"/>
      <c r="K656" s="125"/>
      <c r="L656" s="125"/>
      <c r="M656" s="136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5"/>
      <c r="AK656" s="125"/>
      <c r="AL656" s="125"/>
    </row>
    <row r="657" spans="1:38" ht="13.2">
      <c r="A657" s="123"/>
      <c r="B657" s="125"/>
      <c r="D657" s="125"/>
      <c r="E657" s="125"/>
      <c r="F657" s="125"/>
      <c r="G657" s="125"/>
      <c r="H657" s="125"/>
      <c r="I657" s="125"/>
      <c r="J657" s="126"/>
      <c r="K657" s="125"/>
      <c r="L657" s="125"/>
      <c r="M657" s="136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5"/>
      <c r="AK657" s="125"/>
      <c r="AL657" s="125"/>
    </row>
    <row r="658" spans="1:38" ht="13.2">
      <c r="A658" s="123"/>
      <c r="B658" s="125"/>
      <c r="D658" s="125"/>
      <c r="E658" s="125"/>
      <c r="F658" s="125"/>
      <c r="G658" s="125"/>
      <c r="H658" s="125"/>
      <c r="I658" s="125"/>
      <c r="J658" s="126"/>
      <c r="K658" s="125"/>
      <c r="L658" s="125"/>
      <c r="M658" s="136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5"/>
      <c r="AK658" s="125"/>
      <c r="AL658" s="125"/>
    </row>
    <row r="659" spans="1:38" ht="13.2">
      <c r="A659" s="123"/>
      <c r="B659" s="125"/>
      <c r="D659" s="125"/>
      <c r="E659" s="125"/>
      <c r="F659" s="125"/>
      <c r="G659" s="125"/>
      <c r="H659" s="125"/>
      <c r="I659" s="125"/>
      <c r="J659" s="126"/>
      <c r="K659" s="125"/>
      <c r="L659" s="125"/>
      <c r="M659" s="136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5"/>
      <c r="AK659" s="125"/>
      <c r="AL659" s="125"/>
    </row>
    <row r="660" spans="1:38" ht="13.2">
      <c r="A660" s="123"/>
      <c r="B660" s="125"/>
      <c r="D660" s="125"/>
      <c r="E660" s="125"/>
      <c r="F660" s="125"/>
      <c r="G660" s="125"/>
      <c r="H660" s="125"/>
      <c r="I660" s="125"/>
      <c r="J660" s="126"/>
      <c r="K660" s="125"/>
      <c r="L660" s="125"/>
      <c r="M660" s="136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5"/>
      <c r="AK660" s="125"/>
      <c r="AL660" s="125"/>
    </row>
    <row r="661" spans="1:38" ht="13.2">
      <c r="A661" s="123"/>
      <c r="B661" s="125"/>
      <c r="D661" s="125"/>
      <c r="E661" s="125"/>
      <c r="F661" s="125"/>
      <c r="G661" s="125"/>
      <c r="H661" s="125"/>
      <c r="I661" s="125"/>
      <c r="J661" s="126"/>
      <c r="K661" s="125"/>
      <c r="L661" s="125"/>
      <c r="M661" s="136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5"/>
      <c r="AK661" s="125"/>
      <c r="AL661" s="125"/>
    </row>
    <row r="662" spans="1:38" ht="13.2">
      <c r="A662" s="123"/>
      <c r="B662" s="125"/>
      <c r="D662" s="125"/>
      <c r="E662" s="125"/>
      <c r="F662" s="125"/>
      <c r="G662" s="125"/>
      <c r="H662" s="125"/>
      <c r="I662" s="125"/>
      <c r="J662" s="126"/>
      <c r="K662" s="125"/>
      <c r="L662" s="125"/>
      <c r="M662" s="136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5"/>
      <c r="AK662" s="125"/>
      <c r="AL662" s="125"/>
    </row>
    <row r="663" spans="1:38" ht="13.2">
      <c r="A663" s="123"/>
      <c r="B663" s="125"/>
      <c r="D663" s="125"/>
      <c r="E663" s="125"/>
      <c r="F663" s="125"/>
      <c r="G663" s="125"/>
      <c r="H663" s="125"/>
      <c r="I663" s="125"/>
      <c r="J663" s="126"/>
      <c r="K663" s="125"/>
      <c r="L663" s="125"/>
      <c r="M663" s="136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</row>
    <row r="664" spans="1:38" ht="13.2">
      <c r="A664" s="123"/>
      <c r="B664" s="125"/>
      <c r="D664" s="125"/>
      <c r="E664" s="125"/>
      <c r="F664" s="125"/>
      <c r="G664" s="125"/>
      <c r="H664" s="125"/>
      <c r="I664" s="125"/>
      <c r="J664" s="126"/>
      <c r="K664" s="125"/>
      <c r="L664" s="125"/>
      <c r="M664" s="136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  <c r="AH664" s="125"/>
      <c r="AI664" s="125"/>
      <c r="AJ664" s="125"/>
      <c r="AK664" s="125"/>
      <c r="AL664" s="125"/>
    </row>
    <row r="665" spans="1:38" ht="13.2">
      <c r="A665" s="123"/>
      <c r="B665" s="125"/>
      <c r="D665" s="125"/>
      <c r="E665" s="125"/>
      <c r="F665" s="125"/>
      <c r="G665" s="125"/>
      <c r="H665" s="125"/>
      <c r="I665" s="125"/>
      <c r="J665" s="126"/>
      <c r="K665" s="125"/>
      <c r="L665" s="125"/>
      <c r="M665" s="136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</row>
    <row r="666" spans="1:38" ht="13.2">
      <c r="A666" s="123"/>
      <c r="B666" s="125"/>
      <c r="D666" s="125"/>
      <c r="E666" s="125"/>
      <c r="F666" s="125"/>
      <c r="G666" s="125"/>
      <c r="H666" s="125"/>
      <c r="I666" s="125"/>
      <c r="J666" s="126"/>
      <c r="K666" s="125"/>
      <c r="L666" s="125"/>
      <c r="M666" s="136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5"/>
      <c r="AK666" s="125"/>
      <c r="AL666" s="125"/>
    </row>
    <row r="667" spans="1:38" ht="13.2">
      <c r="A667" s="123"/>
      <c r="B667" s="125"/>
      <c r="D667" s="125"/>
      <c r="E667" s="125"/>
      <c r="F667" s="125"/>
      <c r="G667" s="125"/>
      <c r="H667" s="125"/>
      <c r="I667" s="125"/>
      <c r="J667" s="126"/>
      <c r="K667" s="125"/>
      <c r="L667" s="125"/>
      <c r="M667" s="136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5"/>
      <c r="AK667" s="125"/>
      <c r="AL667" s="125"/>
    </row>
    <row r="668" spans="1:38" ht="13.2">
      <c r="A668" s="123"/>
      <c r="B668" s="125"/>
      <c r="D668" s="125"/>
      <c r="E668" s="125"/>
      <c r="F668" s="125"/>
      <c r="G668" s="125"/>
      <c r="H668" s="125"/>
      <c r="I668" s="125"/>
      <c r="J668" s="126"/>
      <c r="K668" s="125"/>
      <c r="L668" s="125"/>
      <c r="M668" s="136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5"/>
      <c r="AK668" s="125"/>
      <c r="AL668" s="125"/>
    </row>
    <row r="669" spans="1:38" ht="13.2">
      <c r="A669" s="123"/>
      <c r="B669" s="125"/>
      <c r="D669" s="125"/>
      <c r="E669" s="125"/>
      <c r="F669" s="125"/>
      <c r="G669" s="125"/>
      <c r="H669" s="125"/>
      <c r="I669" s="125"/>
      <c r="J669" s="126"/>
      <c r="K669" s="125"/>
      <c r="L669" s="125"/>
      <c r="M669" s="136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  <c r="AH669" s="125"/>
      <c r="AI669" s="125"/>
      <c r="AJ669" s="125"/>
      <c r="AK669" s="125"/>
      <c r="AL669" s="125"/>
    </row>
    <row r="670" spans="1:38" ht="13.2">
      <c r="A670" s="123"/>
      <c r="B670" s="125"/>
      <c r="D670" s="125"/>
      <c r="E670" s="125"/>
      <c r="F670" s="125"/>
      <c r="G670" s="125"/>
      <c r="H670" s="125"/>
      <c r="I670" s="125"/>
      <c r="J670" s="126"/>
      <c r="K670" s="125"/>
      <c r="L670" s="125"/>
      <c r="M670" s="136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5"/>
      <c r="AK670" s="125"/>
      <c r="AL670" s="125"/>
    </row>
    <row r="671" spans="1:38" ht="13.2">
      <c r="A671" s="123"/>
      <c r="B671" s="125"/>
      <c r="D671" s="125"/>
      <c r="E671" s="125"/>
      <c r="F671" s="125"/>
      <c r="G671" s="125"/>
      <c r="H671" s="125"/>
      <c r="I671" s="125"/>
      <c r="J671" s="126"/>
      <c r="K671" s="125"/>
      <c r="L671" s="125"/>
      <c r="M671" s="136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5"/>
      <c r="AK671" s="125"/>
      <c r="AL671" s="125"/>
    </row>
    <row r="672" spans="1:38" ht="13.2">
      <c r="A672" s="123"/>
      <c r="B672" s="125"/>
      <c r="D672" s="125"/>
      <c r="E672" s="125"/>
      <c r="F672" s="125"/>
      <c r="G672" s="125"/>
      <c r="H672" s="125"/>
      <c r="I672" s="125"/>
      <c r="J672" s="126"/>
      <c r="K672" s="125"/>
      <c r="L672" s="125"/>
      <c r="M672" s="136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5"/>
      <c r="AK672" s="125"/>
      <c r="AL672" s="125"/>
    </row>
    <row r="673" spans="1:38" ht="13.2">
      <c r="A673" s="123"/>
      <c r="B673" s="125"/>
      <c r="D673" s="125"/>
      <c r="E673" s="125"/>
      <c r="F673" s="125"/>
      <c r="G673" s="125"/>
      <c r="H673" s="125"/>
      <c r="I673" s="125"/>
      <c r="J673" s="126"/>
      <c r="K673" s="125"/>
      <c r="L673" s="125"/>
      <c r="M673" s="136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5"/>
      <c r="AK673" s="125"/>
      <c r="AL673" s="125"/>
    </row>
    <row r="674" spans="1:38" ht="13.2">
      <c r="A674" s="123"/>
      <c r="B674" s="125"/>
      <c r="D674" s="125"/>
      <c r="E674" s="125"/>
      <c r="F674" s="125"/>
      <c r="G674" s="125"/>
      <c r="H674" s="125"/>
      <c r="I674" s="125"/>
      <c r="J674" s="126"/>
      <c r="K674" s="125"/>
      <c r="L674" s="125"/>
      <c r="M674" s="136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5"/>
      <c r="AK674" s="125"/>
      <c r="AL674" s="125"/>
    </row>
    <row r="675" spans="1:38" ht="13.2">
      <c r="A675" s="123"/>
      <c r="B675" s="125"/>
      <c r="D675" s="125"/>
      <c r="E675" s="125"/>
      <c r="F675" s="125"/>
      <c r="G675" s="125"/>
      <c r="H675" s="125"/>
      <c r="I675" s="125"/>
      <c r="J675" s="126"/>
      <c r="K675" s="125"/>
      <c r="L675" s="125"/>
      <c r="M675" s="136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5"/>
      <c r="AK675" s="125"/>
      <c r="AL675" s="125"/>
    </row>
    <row r="676" spans="1:38" ht="13.2">
      <c r="A676" s="123"/>
      <c r="B676" s="125"/>
      <c r="D676" s="125"/>
      <c r="E676" s="125"/>
      <c r="F676" s="125"/>
      <c r="G676" s="125"/>
      <c r="H676" s="125"/>
      <c r="I676" s="125"/>
      <c r="J676" s="126"/>
      <c r="K676" s="125"/>
      <c r="L676" s="125"/>
      <c r="M676" s="136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5"/>
      <c r="AK676" s="125"/>
      <c r="AL676" s="125"/>
    </row>
    <row r="677" spans="1:38" ht="13.2">
      <c r="A677" s="123"/>
      <c r="B677" s="125"/>
      <c r="D677" s="125"/>
      <c r="E677" s="125"/>
      <c r="F677" s="125"/>
      <c r="G677" s="125"/>
      <c r="H677" s="125"/>
      <c r="I677" s="125"/>
      <c r="J677" s="126"/>
      <c r="K677" s="125"/>
      <c r="L677" s="125"/>
      <c r="M677" s="136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5"/>
      <c r="AK677" s="125"/>
      <c r="AL677" s="125"/>
    </row>
    <row r="678" spans="1:38" ht="13.2">
      <c r="A678" s="123"/>
      <c r="B678" s="125"/>
      <c r="D678" s="125"/>
      <c r="E678" s="125"/>
      <c r="F678" s="125"/>
      <c r="G678" s="125"/>
      <c r="H678" s="125"/>
      <c r="I678" s="125"/>
      <c r="J678" s="126"/>
      <c r="K678" s="125"/>
      <c r="L678" s="125"/>
      <c r="M678" s="136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5"/>
      <c r="AK678" s="125"/>
      <c r="AL678" s="125"/>
    </row>
    <row r="679" spans="1:38" ht="13.2">
      <c r="A679" s="123"/>
      <c r="B679" s="125"/>
      <c r="D679" s="125"/>
      <c r="E679" s="125"/>
      <c r="F679" s="125"/>
      <c r="G679" s="125"/>
      <c r="H679" s="125"/>
      <c r="I679" s="125"/>
      <c r="J679" s="126"/>
      <c r="K679" s="125"/>
      <c r="L679" s="125"/>
      <c r="M679" s="136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5"/>
      <c r="AK679" s="125"/>
      <c r="AL679" s="125"/>
    </row>
    <row r="680" spans="1:38" ht="13.2">
      <c r="A680" s="123"/>
      <c r="B680" s="125"/>
      <c r="D680" s="125"/>
      <c r="E680" s="125"/>
      <c r="F680" s="125"/>
      <c r="G680" s="125"/>
      <c r="H680" s="125"/>
      <c r="I680" s="125"/>
      <c r="J680" s="126"/>
      <c r="K680" s="125"/>
      <c r="L680" s="125"/>
      <c r="M680" s="136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5"/>
      <c r="AK680" s="125"/>
      <c r="AL680" s="125"/>
    </row>
    <row r="681" spans="1:38" ht="13.2">
      <c r="A681" s="123"/>
      <c r="B681" s="125"/>
      <c r="D681" s="125"/>
      <c r="E681" s="125"/>
      <c r="F681" s="125"/>
      <c r="G681" s="125"/>
      <c r="H681" s="125"/>
      <c r="I681" s="125"/>
      <c r="J681" s="126"/>
      <c r="K681" s="125"/>
      <c r="L681" s="125"/>
      <c r="M681" s="136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5"/>
      <c r="AK681" s="125"/>
      <c r="AL681" s="125"/>
    </row>
    <row r="682" spans="1:38" ht="13.2">
      <c r="A682" s="123"/>
      <c r="B682" s="125"/>
      <c r="D682" s="125"/>
      <c r="E682" s="125"/>
      <c r="F682" s="125"/>
      <c r="G682" s="125"/>
      <c r="H682" s="125"/>
      <c r="I682" s="125"/>
      <c r="J682" s="126"/>
      <c r="K682" s="125"/>
      <c r="L682" s="125"/>
      <c r="M682" s="136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</row>
    <row r="683" spans="1:38" ht="13.2">
      <c r="A683" s="123"/>
      <c r="B683" s="125"/>
      <c r="D683" s="125"/>
      <c r="E683" s="125"/>
      <c r="F683" s="125"/>
      <c r="G683" s="125"/>
      <c r="H683" s="125"/>
      <c r="I683" s="125"/>
      <c r="J683" s="126"/>
      <c r="K683" s="125"/>
      <c r="L683" s="125"/>
      <c r="M683" s="136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</row>
    <row r="684" spans="1:38" ht="13.2">
      <c r="A684" s="123"/>
      <c r="B684" s="125"/>
      <c r="D684" s="125"/>
      <c r="E684" s="125"/>
      <c r="F684" s="125"/>
      <c r="G684" s="125"/>
      <c r="H684" s="125"/>
      <c r="I684" s="125"/>
      <c r="J684" s="126"/>
      <c r="K684" s="125"/>
      <c r="L684" s="125"/>
      <c r="M684" s="136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5"/>
      <c r="AK684" s="125"/>
      <c r="AL684" s="125"/>
    </row>
    <row r="685" spans="1:38" ht="13.2">
      <c r="A685" s="123"/>
      <c r="B685" s="125"/>
      <c r="D685" s="125"/>
      <c r="E685" s="125"/>
      <c r="F685" s="125"/>
      <c r="G685" s="125"/>
      <c r="H685" s="125"/>
      <c r="I685" s="125"/>
      <c r="J685" s="126"/>
      <c r="K685" s="125"/>
      <c r="L685" s="125"/>
      <c r="M685" s="136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5"/>
      <c r="AK685" s="125"/>
      <c r="AL685" s="125"/>
    </row>
    <row r="686" spans="1:38" ht="13.2">
      <c r="A686" s="123"/>
      <c r="B686" s="125"/>
      <c r="D686" s="125"/>
      <c r="E686" s="125"/>
      <c r="F686" s="125"/>
      <c r="G686" s="125"/>
      <c r="H686" s="125"/>
      <c r="I686" s="125"/>
      <c r="J686" s="126"/>
      <c r="K686" s="125"/>
      <c r="L686" s="125"/>
      <c r="M686" s="136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5"/>
      <c r="AK686" s="125"/>
      <c r="AL686" s="125"/>
    </row>
    <row r="687" spans="1:38" ht="13.2">
      <c r="A687" s="123"/>
      <c r="B687" s="125"/>
      <c r="D687" s="125"/>
      <c r="E687" s="125"/>
      <c r="F687" s="125"/>
      <c r="G687" s="125"/>
      <c r="H687" s="125"/>
      <c r="I687" s="125"/>
      <c r="J687" s="126"/>
      <c r="K687" s="125"/>
      <c r="L687" s="125"/>
      <c r="M687" s="136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5"/>
      <c r="AK687" s="125"/>
      <c r="AL687" s="125"/>
    </row>
    <row r="688" spans="1:38" ht="13.2">
      <c r="A688" s="123"/>
      <c r="B688" s="125"/>
      <c r="D688" s="125"/>
      <c r="E688" s="125"/>
      <c r="F688" s="125"/>
      <c r="G688" s="125"/>
      <c r="H688" s="125"/>
      <c r="I688" s="125"/>
      <c r="J688" s="126"/>
      <c r="K688" s="125"/>
      <c r="L688" s="125"/>
      <c r="M688" s="136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  <c r="AH688" s="125"/>
      <c r="AI688" s="125"/>
      <c r="AJ688" s="125"/>
      <c r="AK688" s="125"/>
      <c r="AL688" s="125"/>
    </row>
    <row r="689" spans="1:38" ht="13.2">
      <c r="A689" s="123"/>
      <c r="B689" s="125"/>
      <c r="D689" s="125"/>
      <c r="E689" s="125"/>
      <c r="F689" s="125"/>
      <c r="G689" s="125"/>
      <c r="H689" s="125"/>
      <c r="I689" s="125"/>
      <c r="J689" s="126"/>
      <c r="K689" s="125"/>
      <c r="L689" s="125"/>
      <c r="M689" s="136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/>
      <c r="AK689" s="125"/>
      <c r="AL689" s="125"/>
    </row>
    <row r="690" spans="1:38" ht="13.2">
      <c r="A690" s="123"/>
      <c r="B690" s="125"/>
      <c r="D690" s="125"/>
      <c r="E690" s="125"/>
      <c r="F690" s="125"/>
      <c r="G690" s="125"/>
      <c r="H690" s="125"/>
      <c r="I690" s="125"/>
      <c r="J690" s="126"/>
      <c r="K690" s="125"/>
      <c r="L690" s="125"/>
      <c r="M690" s="136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5"/>
      <c r="AK690" s="125"/>
      <c r="AL690" s="125"/>
    </row>
    <row r="691" spans="1:38" ht="13.2">
      <c r="A691" s="123"/>
      <c r="B691" s="125"/>
      <c r="D691" s="125"/>
      <c r="E691" s="125"/>
      <c r="F691" s="125"/>
      <c r="G691" s="125"/>
      <c r="H691" s="125"/>
      <c r="I691" s="125"/>
      <c r="J691" s="126"/>
      <c r="K691" s="125"/>
      <c r="L691" s="125"/>
      <c r="M691" s="136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5"/>
      <c r="AK691" s="125"/>
      <c r="AL691" s="125"/>
    </row>
    <row r="692" spans="1:38" ht="13.2">
      <c r="A692" s="123"/>
      <c r="B692" s="125"/>
      <c r="D692" s="125"/>
      <c r="E692" s="125"/>
      <c r="F692" s="125"/>
      <c r="G692" s="125"/>
      <c r="H692" s="125"/>
      <c r="I692" s="125"/>
      <c r="J692" s="126"/>
      <c r="K692" s="125"/>
      <c r="L692" s="125"/>
      <c r="M692" s="136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5"/>
      <c r="AK692" s="125"/>
      <c r="AL692" s="125"/>
    </row>
    <row r="693" spans="1:38" ht="13.2">
      <c r="A693" s="123"/>
      <c r="B693" s="125"/>
      <c r="D693" s="125"/>
      <c r="E693" s="125"/>
      <c r="F693" s="125"/>
      <c r="G693" s="125"/>
      <c r="H693" s="125"/>
      <c r="I693" s="125"/>
      <c r="J693" s="126"/>
      <c r="K693" s="125"/>
      <c r="L693" s="125"/>
      <c r="M693" s="136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/>
      <c r="AK693" s="125"/>
      <c r="AL693" s="125"/>
    </row>
    <row r="694" spans="1:38" ht="13.2">
      <c r="A694" s="123"/>
      <c r="B694" s="125"/>
      <c r="D694" s="125"/>
      <c r="E694" s="125"/>
      <c r="F694" s="125"/>
      <c r="G694" s="125"/>
      <c r="H694" s="125"/>
      <c r="I694" s="125"/>
      <c r="J694" s="126"/>
      <c r="K694" s="125"/>
      <c r="L694" s="125"/>
      <c r="M694" s="136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5"/>
      <c r="AK694" s="125"/>
      <c r="AL694" s="125"/>
    </row>
    <row r="695" spans="1:38" ht="13.2">
      <c r="A695" s="123"/>
      <c r="B695" s="125"/>
      <c r="D695" s="125"/>
      <c r="E695" s="125"/>
      <c r="F695" s="125"/>
      <c r="G695" s="125"/>
      <c r="H695" s="125"/>
      <c r="I695" s="125"/>
      <c r="J695" s="126"/>
      <c r="K695" s="125"/>
      <c r="L695" s="125"/>
      <c r="M695" s="136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5"/>
      <c r="AK695" s="125"/>
      <c r="AL695" s="125"/>
    </row>
    <row r="696" spans="1:38" ht="13.2">
      <c r="A696" s="123"/>
      <c r="B696" s="125"/>
      <c r="D696" s="125"/>
      <c r="E696" s="125"/>
      <c r="F696" s="125"/>
      <c r="G696" s="125"/>
      <c r="H696" s="125"/>
      <c r="I696" s="125"/>
      <c r="J696" s="126"/>
      <c r="K696" s="125"/>
      <c r="L696" s="125"/>
      <c r="M696" s="136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5"/>
      <c r="AK696" s="125"/>
      <c r="AL696" s="125"/>
    </row>
    <row r="697" spans="1:38" ht="13.2">
      <c r="A697" s="123"/>
      <c r="B697" s="125"/>
      <c r="D697" s="125"/>
      <c r="E697" s="125"/>
      <c r="F697" s="125"/>
      <c r="G697" s="125"/>
      <c r="H697" s="125"/>
      <c r="I697" s="125"/>
      <c r="J697" s="126"/>
      <c r="K697" s="125"/>
      <c r="L697" s="125"/>
      <c r="M697" s="136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</row>
    <row r="698" spans="1:38" ht="13.2">
      <c r="A698" s="123"/>
      <c r="B698" s="125"/>
      <c r="D698" s="125"/>
      <c r="E698" s="125"/>
      <c r="F698" s="125"/>
      <c r="G698" s="125"/>
      <c r="H698" s="125"/>
      <c r="I698" s="125"/>
      <c r="J698" s="126"/>
      <c r="K698" s="125"/>
      <c r="L698" s="125"/>
      <c r="M698" s="136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</row>
    <row r="699" spans="1:38" ht="13.2">
      <c r="A699" s="123"/>
      <c r="B699" s="125"/>
      <c r="D699" s="125"/>
      <c r="E699" s="125"/>
      <c r="F699" s="125"/>
      <c r="G699" s="125"/>
      <c r="H699" s="125"/>
      <c r="I699" s="125"/>
      <c r="J699" s="126"/>
      <c r="K699" s="125"/>
      <c r="L699" s="125"/>
      <c r="M699" s="136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</row>
    <row r="700" spans="1:38" ht="13.2">
      <c r="A700" s="123"/>
      <c r="B700" s="125"/>
      <c r="D700" s="125"/>
      <c r="E700" s="125"/>
      <c r="F700" s="125"/>
      <c r="G700" s="125"/>
      <c r="H700" s="125"/>
      <c r="I700" s="125"/>
      <c r="J700" s="126"/>
      <c r="K700" s="125"/>
      <c r="L700" s="125"/>
      <c r="M700" s="136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  <c r="AH700" s="125"/>
      <c r="AI700" s="125"/>
      <c r="AJ700" s="125"/>
      <c r="AK700" s="125"/>
      <c r="AL700" s="125"/>
    </row>
    <row r="701" spans="1:38" ht="13.2">
      <c r="A701" s="123"/>
      <c r="B701" s="125"/>
      <c r="D701" s="125"/>
      <c r="E701" s="125"/>
      <c r="F701" s="125"/>
      <c r="G701" s="125"/>
      <c r="H701" s="125"/>
      <c r="I701" s="125"/>
      <c r="J701" s="126"/>
      <c r="K701" s="125"/>
      <c r="L701" s="125"/>
      <c r="M701" s="136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5"/>
      <c r="AK701" s="125"/>
      <c r="AL701" s="125"/>
    </row>
    <row r="702" spans="1:38" ht="13.2">
      <c r="A702" s="123"/>
      <c r="B702" s="125"/>
      <c r="D702" s="125"/>
      <c r="E702" s="125"/>
      <c r="F702" s="125"/>
      <c r="G702" s="125"/>
      <c r="H702" s="125"/>
      <c r="I702" s="125"/>
      <c r="J702" s="126"/>
      <c r="K702" s="125"/>
      <c r="L702" s="125"/>
      <c r="M702" s="136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5"/>
      <c r="AK702" s="125"/>
      <c r="AL702" s="125"/>
    </row>
    <row r="703" spans="1:38" ht="13.2">
      <c r="A703" s="123"/>
      <c r="B703" s="125"/>
      <c r="D703" s="125"/>
      <c r="E703" s="125"/>
      <c r="F703" s="125"/>
      <c r="G703" s="125"/>
      <c r="H703" s="125"/>
      <c r="I703" s="125"/>
      <c r="J703" s="126"/>
      <c r="K703" s="125"/>
      <c r="L703" s="125"/>
      <c r="M703" s="136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5"/>
      <c r="AK703" s="125"/>
      <c r="AL703" s="125"/>
    </row>
    <row r="704" spans="1:38" ht="13.2">
      <c r="A704" s="123"/>
      <c r="B704" s="125"/>
      <c r="D704" s="125"/>
      <c r="E704" s="125"/>
      <c r="F704" s="125"/>
      <c r="G704" s="125"/>
      <c r="H704" s="125"/>
      <c r="I704" s="125"/>
      <c r="J704" s="126"/>
      <c r="K704" s="125"/>
      <c r="L704" s="125"/>
      <c r="M704" s="136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5"/>
      <c r="AK704" s="125"/>
      <c r="AL704" s="125"/>
    </row>
    <row r="705" spans="1:38" ht="13.2">
      <c r="A705" s="123"/>
      <c r="B705" s="125"/>
      <c r="D705" s="125"/>
      <c r="E705" s="125"/>
      <c r="F705" s="125"/>
      <c r="G705" s="125"/>
      <c r="H705" s="125"/>
      <c r="I705" s="125"/>
      <c r="J705" s="126"/>
      <c r="K705" s="125"/>
      <c r="L705" s="125"/>
      <c r="M705" s="136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5"/>
      <c r="AK705" s="125"/>
      <c r="AL705" s="125"/>
    </row>
    <row r="706" spans="1:38" ht="13.2">
      <c r="A706" s="123"/>
      <c r="B706" s="125"/>
      <c r="D706" s="125"/>
      <c r="E706" s="125"/>
      <c r="F706" s="125"/>
      <c r="G706" s="125"/>
      <c r="H706" s="125"/>
      <c r="I706" s="125"/>
      <c r="J706" s="126"/>
      <c r="K706" s="125"/>
      <c r="L706" s="125"/>
      <c r="M706" s="136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5"/>
      <c r="AK706" s="125"/>
      <c r="AL706" s="125"/>
    </row>
    <row r="707" spans="1:38" ht="13.2">
      <c r="A707" s="123"/>
      <c r="B707" s="125"/>
      <c r="D707" s="125"/>
      <c r="E707" s="125"/>
      <c r="F707" s="125"/>
      <c r="G707" s="125"/>
      <c r="H707" s="125"/>
      <c r="I707" s="125"/>
      <c r="J707" s="126"/>
      <c r="K707" s="125"/>
      <c r="L707" s="125"/>
      <c r="M707" s="136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</row>
    <row r="708" spans="1:38" ht="13.2">
      <c r="A708" s="123"/>
      <c r="B708" s="125"/>
      <c r="D708" s="125"/>
      <c r="E708" s="125"/>
      <c r="F708" s="125"/>
      <c r="G708" s="125"/>
      <c r="H708" s="125"/>
      <c r="I708" s="125"/>
      <c r="J708" s="126"/>
      <c r="K708" s="125"/>
      <c r="L708" s="125"/>
      <c r="M708" s="136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5"/>
      <c r="AK708" s="125"/>
      <c r="AL708" s="125"/>
    </row>
    <row r="709" spans="1:38" ht="13.2">
      <c r="A709" s="123"/>
      <c r="B709" s="125"/>
      <c r="D709" s="125"/>
      <c r="E709" s="125"/>
      <c r="F709" s="125"/>
      <c r="G709" s="125"/>
      <c r="H709" s="125"/>
      <c r="I709" s="125"/>
      <c r="J709" s="126"/>
      <c r="K709" s="125"/>
      <c r="L709" s="125"/>
      <c r="M709" s="136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5"/>
      <c r="AK709" s="125"/>
      <c r="AL709" s="125"/>
    </row>
    <row r="710" spans="1:38" ht="13.2">
      <c r="A710" s="123"/>
      <c r="B710" s="125"/>
      <c r="D710" s="125"/>
      <c r="E710" s="125"/>
      <c r="F710" s="125"/>
      <c r="G710" s="125"/>
      <c r="H710" s="125"/>
      <c r="I710" s="125"/>
      <c r="J710" s="126"/>
      <c r="K710" s="125"/>
      <c r="L710" s="125"/>
      <c r="M710" s="136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5"/>
      <c r="AK710" s="125"/>
      <c r="AL710" s="125"/>
    </row>
    <row r="711" spans="1:38" ht="13.2">
      <c r="A711" s="123"/>
      <c r="B711" s="125"/>
      <c r="D711" s="125"/>
      <c r="E711" s="125"/>
      <c r="F711" s="125"/>
      <c r="G711" s="125"/>
      <c r="H711" s="125"/>
      <c r="I711" s="125"/>
      <c r="J711" s="126"/>
      <c r="K711" s="125"/>
      <c r="L711" s="125"/>
      <c r="M711" s="136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5"/>
      <c r="AK711" s="125"/>
      <c r="AL711" s="125"/>
    </row>
    <row r="712" spans="1:38" ht="13.2">
      <c r="A712" s="123"/>
      <c r="B712" s="125"/>
      <c r="D712" s="125"/>
      <c r="E712" s="125"/>
      <c r="F712" s="125"/>
      <c r="G712" s="125"/>
      <c r="H712" s="125"/>
      <c r="I712" s="125"/>
      <c r="J712" s="126"/>
      <c r="K712" s="125"/>
      <c r="L712" s="125"/>
      <c r="M712" s="136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5"/>
      <c r="AK712" s="125"/>
      <c r="AL712" s="125"/>
    </row>
    <row r="713" spans="1:38" ht="13.2">
      <c r="A713" s="123"/>
      <c r="B713" s="125"/>
      <c r="D713" s="125"/>
      <c r="E713" s="125"/>
      <c r="F713" s="125"/>
      <c r="G713" s="125"/>
      <c r="H713" s="125"/>
      <c r="I713" s="125"/>
      <c r="J713" s="126"/>
      <c r="K713" s="125"/>
      <c r="L713" s="125"/>
      <c r="M713" s="136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</row>
    <row r="714" spans="1:38" ht="13.2">
      <c r="A714" s="123"/>
      <c r="B714" s="125"/>
      <c r="D714" s="125"/>
      <c r="E714" s="125"/>
      <c r="F714" s="125"/>
      <c r="G714" s="125"/>
      <c r="H714" s="125"/>
      <c r="I714" s="125"/>
      <c r="J714" s="126"/>
      <c r="K714" s="125"/>
      <c r="L714" s="125"/>
      <c r="M714" s="136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5"/>
      <c r="AK714" s="125"/>
      <c r="AL714" s="125"/>
    </row>
    <row r="715" spans="1:38" ht="13.2">
      <c r="A715" s="123"/>
      <c r="B715" s="125"/>
      <c r="D715" s="125"/>
      <c r="E715" s="125"/>
      <c r="F715" s="125"/>
      <c r="G715" s="125"/>
      <c r="H715" s="125"/>
      <c r="I715" s="125"/>
      <c r="J715" s="126"/>
      <c r="K715" s="125"/>
      <c r="L715" s="125"/>
      <c r="M715" s="136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5"/>
      <c r="AK715" s="125"/>
      <c r="AL715" s="125"/>
    </row>
    <row r="716" spans="1:38" ht="13.2">
      <c r="A716" s="123"/>
      <c r="B716" s="125"/>
      <c r="D716" s="125"/>
      <c r="E716" s="125"/>
      <c r="F716" s="125"/>
      <c r="G716" s="125"/>
      <c r="H716" s="125"/>
      <c r="I716" s="125"/>
      <c r="J716" s="126"/>
      <c r="K716" s="125"/>
      <c r="L716" s="125"/>
      <c r="M716" s="136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5"/>
      <c r="AK716" s="125"/>
      <c r="AL716" s="125"/>
    </row>
    <row r="717" spans="1:38" ht="13.2">
      <c r="A717" s="123"/>
      <c r="B717" s="125"/>
      <c r="D717" s="125"/>
      <c r="E717" s="125"/>
      <c r="F717" s="125"/>
      <c r="G717" s="125"/>
      <c r="H717" s="125"/>
      <c r="I717" s="125"/>
      <c r="J717" s="126"/>
      <c r="K717" s="125"/>
      <c r="L717" s="125"/>
      <c r="M717" s="136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5"/>
      <c r="AK717" s="125"/>
      <c r="AL717" s="125"/>
    </row>
    <row r="718" spans="1:38" ht="13.2">
      <c r="A718" s="123"/>
      <c r="B718" s="125"/>
      <c r="D718" s="125"/>
      <c r="E718" s="125"/>
      <c r="F718" s="125"/>
      <c r="G718" s="125"/>
      <c r="H718" s="125"/>
      <c r="I718" s="125"/>
      <c r="J718" s="126"/>
      <c r="K718" s="125"/>
      <c r="L718" s="125"/>
      <c r="M718" s="136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5"/>
      <c r="AK718" s="125"/>
      <c r="AL718" s="125"/>
    </row>
    <row r="719" spans="1:38" ht="13.2">
      <c r="A719" s="123"/>
      <c r="B719" s="125"/>
      <c r="D719" s="125"/>
      <c r="E719" s="125"/>
      <c r="F719" s="125"/>
      <c r="G719" s="125"/>
      <c r="H719" s="125"/>
      <c r="I719" s="125"/>
      <c r="J719" s="126"/>
      <c r="K719" s="125"/>
      <c r="L719" s="125"/>
      <c r="M719" s="136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/>
      <c r="AK719" s="125"/>
      <c r="AL719" s="125"/>
    </row>
    <row r="720" spans="1:38" ht="13.2">
      <c r="A720" s="123"/>
      <c r="B720" s="125"/>
      <c r="D720" s="125"/>
      <c r="E720" s="125"/>
      <c r="F720" s="125"/>
      <c r="G720" s="125"/>
      <c r="H720" s="125"/>
      <c r="I720" s="125"/>
      <c r="J720" s="126"/>
      <c r="K720" s="125"/>
      <c r="L720" s="125"/>
      <c r="M720" s="136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5"/>
      <c r="AK720" s="125"/>
      <c r="AL720" s="125"/>
    </row>
    <row r="721" spans="1:38" ht="13.2">
      <c r="A721" s="123"/>
      <c r="B721" s="125"/>
      <c r="D721" s="125"/>
      <c r="E721" s="125"/>
      <c r="F721" s="125"/>
      <c r="G721" s="125"/>
      <c r="H721" s="125"/>
      <c r="I721" s="125"/>
      <c r="J721" s="126"/>
      <c r="K721" s="125"/>
      <c r="L721" s="125"/>
      <c r="M721" s="136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5"/>
      <c r="AK721" s="125"/>
      <c r="AL721" s="125"/>
    </row>
    <row r="722" spans="1:38" ht="13.2">
      <c r="A722" s="123"/>
      <c r="B722" s="125"/>
      <c r="D722" s="125"/>
      <c r="E722" s="125"/>
      <c r="F722" s="125"/>
      <c r="G722" s="125"/>
      <c r="H722" s="125"/>
      <c r="I722" s="125"/>
      <c r="J722" s="126"/>
      <c r="K722" s="125"/>
      <c r="L722" s="125"/>
      <c r="M722" s="136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5"/>
      <c r="AK722" s="125"/>
      <c r="AL722" s="125"/>
    </row>
    <row r="723" spans="1:38" ht="13.2">
      <c r="A723" s="123"/>
      <c r="B723" s="125"/>
      <c r="D723" s="125"/>
      <c r="E723" s="125"/>
      <c r="F723" s="125"/>
      <c r="G723" s="125"/>
      <c r="H723" s="125"/>
      <c r="I723" s="125"/>
      <c r="J723" s="126"/>
      <c r="K723" s="125"/>
      <c r="L723" s="125"/>
      <c r="M723" s="136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5"/>
      <c r="AK723" s="125"/>
      <c r="AL723" s="125"/>
    </row>
    <row r="724" spans="1:38" ht="13.2">
      <c r="A724" s="123"/>
      <c r="B724" s="125"/>
      <c r="D724" s="125"/>
      <c r="E724" s="125"/>
      <c r="F724" s="125"/>
      <c r="G724" s="125"/>
      <c r="H724" s="125"/>
      <c r="I724" s="125"/>
      <c r="J724" s="126"/>
      <c r="K724" s="125"/>
      <c r="L724" s="125"/>
      <c r="M724" s="136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5"/>
      <c r="AK724" s="125"/>
      <c r="AL724" s="125"/>
    </row>
    <row r="725" spans="1:38" ht="13.2">
      <c r="A725" s="123"/>
      <c r="B725" s="125"/>
      <c r="D725" s="125"/>
      <c r="E725" s="125"/>
      <c r="F725" s="125"/>
      <c r="G725" s="125"/>
      <c r="H725" s="125"/>
      <c r="I725" s="125"/>
      <c r="J725" s="126"/>
      <c r="K725" s="125"/>
      <c r="L725" s="125"/>
      <c r="M725" s="136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/>
      <c r="AK725" s="125"/>
      <c r="AL725" s="125"/>
    </row>
    <row r="726" spans="1:38" ht="13.2">
      <c r="A726" s="123"/>
      <c r="B726" s="125"/>
      <c r="D726" s="125"/>
      <c r="E726" s="125"/>
      <c r="F726" s="125"/>
      <c r="G726" s="125"/>
      <c r="H726" s="125"/>
      <c r="I726" s="125"/>
      <c r="J726" s="126"/>
      <c r="K726" s="125"/>
      <c r="L726" s="125"/>
      <c r="M726" s="136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  <c r="AH726" s="125"/>
      <c r="AI726" s="125"/>
      <c r="AJ726" s="125"/>
      <c r="AK726" s="125"/>
      <c r="AL726" s="125"/>
    </row>
    <row r="727" spans="1:38" ht="13.2">
      <c r="A727" s="123"/>
      <c r="B727" s="125"/>
      <c r="D727" s="125"/>
      <c r="E727" s="125"/>
      <c r="F727" s="125"/>
      <c r="G727" s="125"/>
      <c r="H727" s="125"/>
      <c r="I727" s="125"/>
      <c r="J727" s="126"/>
      <c r="K727" s="125"/>
      <c r="L727" s="125"/>
      <c r="M727" s="136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</row>
    <row r="728" spans="1:38" ht="13.2">
      <c r="A728" s="123"/>
      <c r="B728" s="125"/>
      <c r="D728" s="125"/>
      <c r="E728" s="125"/>
      <c r="F728" s="125"/>
      <c r="G728" s="125"/>
      <c r="H728" s="125"/>
      <c r="I728" s="125"/>
      <c r="J728" s="126"/>
      <c r="K728" s="125"/>
      <c r="L728" s="125"/>
      <c r="M728" s="136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/>
      <c r="AK728" s="125"/>
      <c r="AL728" s="125"/>
    </row>
    <row r="729" spans="1:38" ht="13.2">
      <c r="A729" s="123"/>
      <c r="B729" s="125"/>
      <c r="D729" s="125"/>
      <c r="E729" s="125"/>
      <c r="F729" s="125"/>
      <c r="G729" s="125"/>
      <c r="H729" s="125"/>
      <c r="I729" s="125"/>
      <c r="J729" s="126"/>
      <c r="K729" s="125"/>
      <c r="L729" s="125"/>
      <c r="M729" s="136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/>
      <c r="AK729" s="125"/>
      <c r="AL729" s="125"/>
    </row>
    <row r="730" spans="1:38" ht="13.2">
      <c r="A730" s="123"/>
      <c r="B730" s="125"/>
      <c r="D730" s="125"/>
      <c r="E730" s="125"/>
      <c r="F730" s="125"/>
      <c r="G730" s="125"/>
      <c r="H730" s="125"/>
      <c r="I730" s="125"/>
      <c r="J730" s="126"/>
      <c r="K730" s="125"/>
      <c r="L730" s="125"/>
      <c r="M730" s="136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5"/>
      <c r="AK730" s="125"/>
      <c r="AL730" s="125"/>
    </row>
    <row r="731" spans="1:38" ht="13.2">
      <c r="A731" s="123"/>
      <c r="B731" s="125"/>
      <c r="D731" s="125"/>
      <c r="E731" s="125"/>
      <c r="F731" s="125"/>
      <c r="G731" s="125"/>
      <c r="H731" s="125"/>
      <c r="I731" s="125"/>
      <c r="J731" s="126"/>
      <c r="K731" s="125"/>
      <c r="L731" s="125"/>
      <c r="M731" s="136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</row>
    <row r="732" spans="1:38" ht="13.2">
      <c r="A732" s="123"/>
      <c r="B732" s="125"/>
      <c r="D732" s="125"/>
      <c r="E732" s="125"/>
      <c r="F732" s="125"/>
      <c r="G732" s="125"/>
      <c r="H732" s="125"/>
      <c r="I732" s="125"/>
      <c r="J732" s="126"/>
      <c r="K732" s="125"/>
      <c r="L732" s="125"/>
      <c r="M732" s="136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5"/>
      <c r="AK732" s="125"/>
      <c r="AL732" s="125"/>
    </row>
    <row r="733" spans="1:38" ht="13.2">
      <c r="A733" s="123"/>
      <c r="B733" s="125"/>
      <c r="D733" s="125"/>
      <c r="E733" s="125"/>
      <c r="F733" s="125"/>
      <c r="G733" s="125"/>
      <c r="H733" s="125"/>
      <c r="I733" s="125"/>
      <c r="J733" s="126"/>
      <c r="K733" s="125"/>
      <c r="L733" s="125"/>
      <c r="M733" s="136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5"/>
      <c r="AK733" s="125"/>
      <c r="AL733" s="125"/>
    </row>
    <row r="734" spans="1:38" ht="13.2">
      <c r="A734" s="123"/>
      <c r="B734" s="125"/>
      <c r="D734" s="125"/>
      <c r="E734" s="125"/>
      <c r="F734" s="125"/>
      <c r="G734" s="125"/>
      <c r="H734" s="125"/>
      <c r="I734" s="125"/>
      <c r="J734" s="126"/>
      <c r="K734" s="125"/>
      <c r="L734" s="125"/>
      <c r="M734" s="136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/>
      <c r="AK734" s="125"/>
      <c r="AL734" s="125"/>
    </row>
    <row r="735" spans="1:38" ht="13.2">
      <c r="A735" s="123"/>
      <c r="B735" s="125"/>
      <c r="D735" s="125"/>
      <c r="E735" s="125"/>
      <c r="F735" s="125"/>
      <c r="G735" s="125"/>
      <c r="H735" s="125"/>
      <c r="I735" s="125"/>
      <c r="J735" s="126"/>
      <c r="K735" s="125"/>
      <c r="L735" s="125"/>
      <c r="M735" s="136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/>
      <c r="AK735" s="125"/>
      <c r="AL735" s="125"/>
    </row>
    <row r="736" spans="1:38" ht="13.2">
      <c r="A736" s="123"/>
      <c r="B736" s="125"/>
      <c r="D736" s="125"/>
      <c r="E736" s="125"/>
      <c r="F736" s="125"/>
      <c r="G736" s="125"/>
      <c r="H736" s="125"/>
      <c r="I736" s="125"/>
      <c r="J736" s="126"/>
      <c r="K736" s="125"/>
      <c r="L736" s="125"/>
      <c r="M736" s="136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5"/>
      <c r="AK736" s="125"/>
      <c r="AL736" s="125"/>
    </row>
    <row r="737" spans="1:38" ht="13.2">
      <c r="A737" s="123"/>
      <c r="B737" s="125"/>
      <c r="D737" s="125"/>
      <c r="E737" s="125"/>
      <c r="F737" s="125"/>
      <c r="G737" s="125"/>
      <c r="H737" s="125"/>
      <c r="I737" s="125"/>
      <c r="J737" s="126"/>
      <c r="K737" s="125"/>
      <c r="L737" s="125"/>
      <c r="M737" s="136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5"/>
      <c r="AK737" s="125"/>
      <c r="AL737" s="125"/>
    </row>
    <row r="738" spans="1:38" ht="13.2">
      <c r="A738" s="123"/>
      <c r="B738" s="125"/>
      <c r="D738" s="125"/>
      <c r="E738" s="125"/>
      <c r="F738" s="125"/>
      <c r="G738" s="125"/>
      <c r="H738" s="125"/>
      <c r="I738" s="125"/>
      <c r="J738" s="126"/>
      <c r="K738" s="125"/>
      <c r="L738" s="125"/>
      <c r="M738" s="136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</row>
    <row r="739" spans="1:38" ht="13.2">
      <c r="A739" s="123"/>
      <c r="B739" s="125"/>
      <c r="D739" s="125"/>
      <c r="E739" s="125"/>
      <c r="F739" s="125"/>
      <c r="G739" s="125"/>
      <c r="H739" s="125"/>
      <c r="I739" s="125"/>
      <c r="J739" s="126"/>
      <c r="K739" s="125"/>
      <c r="L739" s="125"/>
      <c r="M739" s="136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5"/>
      <c r="AK739" s="125"/>
      <c r="AL739" s="125"/>
    </row>
    <row r="740" spans="1:38" ht="13.2">
      <c r="A740" s="123"/>
      <c r="B740" s="125"/>
      <c r="D740" s="125"/>
      <c r="E740" s="125"/>
      <c r="F740" s="125"/>
      <c r="G740" s="125"/>
      <c r="H740" s="125"/>
      <c r="I740" s="125"/>
      <c r="J740" s="126"/>
      <c r="K740" s="125"/>
      <c r="L740" s="125"/>
      <c r="M740" s="136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5"/>
      <c r="AK740" s="125"/>
      <c r="AL740" s="125"/>
    </row>
    <row r="741" spans="1:38" ht="13.2">
      <c r="A741" s="123"/>
      <c r="B741" s="125"/>
      <c r="D741" s="125"/>
      <c r="E741" s="125"/>
      <c r="F741" s="125"/>
      <c r="G741" s="125"/>
      <c r="H741" s="125"/>
      <c r="I741" s="125"/>
      <c r="J741" s="126"/>
      <c r="K741" s="125"/>
      <c r="L741" s="125"/>
      <c r="M741" s="136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5"/>
      <c r="AK741" s="125"/>
      <c r="AL741" s="125"/>
    </row>
    <row r="742" spans="1:38" ht="13.2">
      <c r="A742" s="123"/>
      <c r="B742" s="125"/>
      <c r="D742" s="125"/>
      <c r="E742" s="125"/>
      <c r="F742" s="125"/>
      <c r="G742" s="125"/>
      <c r="H742" s="125"/>
      <c r="I742" s="125"/>
      <c r="J742" s="126"/>
      <c r="K742" s="125"/>
      <c r="L742" s="125"/>
      <c r="M742" s="136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5"/>
      <c r="AK742" s="125"/>
      <c r="AL742" s="125"/>
    </row>
    <row r="743" spans="1:38" ht="13.2">
      <c r="A743" s="123"/>
      <c r="B743" s="125"/>
      <c r="D743" s="125"/>
      <c r="E743" s="125"/>
      <c r="F743" s="125"/>
      <c r="G743" s="125"/>
      <c r="H743" s="125"/>
      <c r="I743" s="125"/>
      <c r="J743" s="126"/>
      <c r="K743" s="125"/>
      <c r="L743" s="125"/>
      <c r="M743" s="136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5"/>
      <c r="AK743" s="125"/>
      <c r="AL743" s="125"/>
    </row>
    <row r="744" spans="1:38" ht="13.2">
      <c r="A744" s="123"/>
      <c r="B744" s="125"/>
      <c r="D744" s="125"/>
      <c r="E744" s="125"/>
      <c r="F744" s="125"/>
      <c r="G744" s="125"/>
      <c r="H744" s="125"/>
      <c r="I744" s="125"/>
      <c r="J744" s="126"/>
      <c r="K744" s="125"/>
      <c r="L744" s="125"/>
      <c r="M744" s="136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  <c r="AH744" s="125"/>
      <c r="AI744" s="125"/>
      <c r="AJ744" s="125"/>
      <c r="AK744" s="125"/>
      <c r="AL744" s="125"/>
    </row>
    <row r="745" spans="1:38" ht="13.2">
      <c r="A745" s="123"/>
      <c r="B745" s="125"/>
      <c r="D745" s="125"/>
      <c r="E745" s="125"/>
      <c r="F745" s="125"/>
      <c r="G745" s="125"/>
      <c r="H745" s="125"/>
      <c r="I745" s="125"/>
      <c r="J745" s="126"/>
      <c r="K745" s="125"/>
      <c r="L745" s="125"/>
      <c r="M745" s="136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5"/>
      <c r="AK745" s="125"/>
      <c r="AL745" s="125"/>
    </row>
    <row r="746" spans="1:38" ht="13.2">
      <c r="A746" s="123"/>
      <c r="B746" s="125"/>
      <c r="D746" s="125"/>
      <c r="E746" s="125"/>
      <c r="F746" s="125"/>
      <c r="G746" s="125"/>
      <c r="H746" s="125"/>
      <c r="I746" s="125"/>
      <c r="J746" s="126"/>
      <c r="K746" s="125"/>
      <c r="L746" s="125"/>
      <c r="M746" s="136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5"/>
      <c r="AK746" s="125"/>
      <c r="AL746" s="125"/>
    </row>
    <row r="747" spans="1:38" ht="13.2">
      <c r="A747" s="123"/>
      <c r="B747" s="125"/>
      <c r="D747" s="125"/>
      <c r="E747" s="125"/>
      <c r="F747" s="125"/>
      <c r="G747" s="125"/>
      <c r="H747" s="125"/>
      <c r="I747" s="125"/>
      <c r="J747" s="126"/>
      <c r="K747" s="125"/>
      <c r="L747" s="125"/>
      <c r="M747" s="136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5"/>
      <c r="AK747" s="125"/>
      <c r="AL747" s="125"/>
    </row>
    <row r="748" spans="1:38" ht="13.2">
      <c r="A748" s="123"/>
      <c r="B748" s="125"/>
      <c r="D748" s="125"/>
      <c r="E748" s="125"/>
      <c r="F748" s="125"/>
      <c r="G748" s="125"/>
      <c r="H748" s="125"/>
      <c r="I748" s="125"/>
      <c r="J748" s="126"/>
      <c r="K748" s="125"/>
      <c r="L748" s="125"/>
      <c r="M748" s="136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5"/>
      <c r="AK748" s="125"/>
      <c r="AL748" s="125"/>
    </row>
    <row r="749" spans="1:38" ht="13.2">
      <c r="A749" s="123"/>
      <c r="B749" s="125"/>
      <c r="D749" s="125"/>
      <c r="E749" s="125"/>
      <c r="F749" s="125"/>
      <c r="G749" s="125"/>
      <c r="H749" s="125"/>
      <c r="I749" s="125"/>
      <c r="J749" s="126"/>
      <c r="K749" s="125"/>
      <c r="L749" s="125"/>
      <c r="M749" s="136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5"/>
      <c r="AK749" s="125"/>
      <c r="AL749" s="125"/>
    </row>
    <row r="750" spans="1:38" ht="13.2">
      <c r="A750" s="123"/>
      <c r="B750" s="125"/>
      <c r="D750" s="125"/>
      <c r="E750" s="125"/>
      <c r="F750" s="125"/>
      <c r="G750" s="125"/>
      <c r="H750" s="125"/>
      <c r="I750" s="125"/>
      <c r="J750" s="126"/>
      <c r="K750" s="125"/>
      <c r="L750" s="125"/>
      <c r="M750" s="136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</row>
    <row r="751" spans="1:38" ht="13.2">
      <c r="A751" s="123"/>
      <c r="B751" s="125"/>
      <c r="D751" s="125"/>
      <c r="E751" s="125"/>
      <c r="F751" s="125"/>
      <c r="G751" s="125"/>
      <c r="H751" s="125"/>
      <c r="I751" s="125"/>
      <c r="J751" s="126"/>
      <c r="K751" s="125"/>
      <c r="L751" s="125"/>
      <c r="M751" s="136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5"/>
      <c r="AK751" s="125"/>
      <c r="AL751" s="125"/>
    </row>
    <row r="752" spans="1:38" ht="13.2">
      <c r="A752" s="123"/>
      <c r="B752" s="125"/>
      <c r="D752" s="125"/>
      <c r="E752" s="125"/>
      <c r="F752" s="125"/>
      <c r="G752" s="125"/>
      <c r="H752" s="125"/>
      <c r="I752" s="125"/>
      <c r="J752" s="126"/>
      <c r="K752" s="125"/>
      <c r="L752" s="125"/>
      <c r="M752" s="136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5"/>
      <c r="AK752" s="125"/>
      <c r="AL752" s="125"/>
    </row>
    <row r="753" spans="1:38" ht="13.2">
      <c r="A753" s="123"/>
      <c r="B753" s="125"/>
      <c r="D753" s="125"/>
      <c r="E753" s="125"/>
      <c r="F753" s="125"/>
      <c r="G753" s="125"/>
      <c r="H753" s="125"/>
      <c r="I753" s="125"/>
      <c r="J753" s="126"/>
      <c r="K753" s="125"/>
      <c r="L753" s="125"/>
      <c r="M753" s="136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5"/>
      <c r="AK753" s="125"/>
      <c r="AL753" s="125"/>
    </row>
    <row r="754" spans="1:38" ht="13.2">
      <c r="A754" s="123"/>
      <c r="B754" s="125"/>
      <c r="D754" s="125"/>
      <c r="E754" s="125"/>
      <c r="F754" s="125"/>
      <c r="G754" s="125"/>
      <c r="H754" s="125"/>
      <c r="I754" s="125"/>
      <c r="J754" s="126"/>
      <c r="K754" s="125"/>
      <c r="L754" s="125"/>
      <c r="M754" s="136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</row>
    <row r="755" spans="1:38" ht="13.2">
      <c r="A755" s="123"/>
      <c r="B755" s="125"/>
      <c r="D755" s="125"/>
      <c r="E755" s="125"/>
      <c r="F755" s="125"/>
      <c r="G755" s="125"/>
      <c r="H755" s="125"/>
      <c r="I755" s="125"/>
      <c r="J755" s="126"/>
      <c r="K755" s="125"/>
      <c r="L755" s="125"/>
      <c r="M755" s="136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</row>
    <row r="756" spans="1:38" ht="13.2">
      <c r="A756" s="123"/>
      <c r="B756" s="125"/>
      <c r="D756" s="125"/>
      <c r="E756" s="125"/>
      <c r="F756" s="125"/>
      <c r="G756" s="125"/>
      <c r="H756" s="125"/>
      <c r="I756" s="125"/>
      <c r="J756" s="126"/>
      <c r="K756" s="125"/>
      <c r="L756" s="125"/>
      <c r="M756" s="136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</row>
    <row r="757" spans="1:38" ht="13.2">
      <c r="A757" s="123"/>
      <c r="B757" s="125"/>
      <c r="D757" s="125"/>
      <c r="E757" s="125"/>
      <c r="F757" s="125"/>
      <c r="G757" s="125"/>
      <c r="H757" s="125"/>
      <c r="I757" s="125"/>
      <c r="J757" s="126"/>
      <c r="K757" s="125"/>
      <c r="L757" s="125"/>
      <c r="M757" s="136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</row>
    <row r="758" spans="1:38" ht="13.2">
      <c r="A758" s="123"/>
      <c r="B758" s="125"/>
      <c r="D758" s="125"/>
      <c r="E758" s="125"/>
      <c r="F758" s="125"/>
      <c r="G758" s="125"/>
      <c r="H758" s="125"/>
      <c r="I758" s="125"/>
      <c r="J758" s="126"/>
      <c r="K758" s="125"/>
      <c r="L758" s="125"/>
      <c r="M758" s="136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</row>
    <row r="759" spans="1:38" ht="13.2">
      <c r="A759" s="123"/>
      <c r="B759" s="125"/>
      <c r="D759" s="125"/>
      <c r="E759" s="125"/>
      <c r="F759" s="125"/>
      <c r="G759" s="125"/>
      <c r="H759" s="125"/>
      <c r="I759" s="125"/>
      <c r="J759" s="126"/>
      <c r="K759" s="125"/>
      <c r="L759" s="125"/>
      <c r="M759" s="136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</row>
    <row r="760" spans="1:38" ht="13.2">
      <c r="A760" s="123"/>
      <c r="B760" s="125"/>
      <c r="D760" s="125"/>
      <c r="E760" s="125"/>
      <c r="F760" s="125"/>
      <c r="G760" s="125"/>
      <c r="H760" s="125"/>
      <c r="I760" s="125"/>
      <c r="J760" s="126"/>
      <c r="K760" s="125"/>
      <c r="L760" s="125"/>
      <c r="M760" s="136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</row>
    <row r="761" spans="1:38" ht="13.2">
      <c r="A761" s="123"/>
      <c r="B761" s="125"/>
      <c r="D761" s="125"/>
      <c r="E761" s="125"/>
      <c r="F761" s="125"/>
      <c r="G761" s="125"/>
      <c r="H761" s="125"/>
      <c r="I761" s="125"/>
      <c r="J761" s="126"/>
      <c r="K761" s="125"/>
      <c r="L761" s="125"/>
      <c r="M761" s="136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</row>
    <row r="762" spans="1:38" ht="13.2">
      <c r="A762" s="123"/>
      <c r="B762" s="125"/>
      <c r="D762" s="125"/>
      <c r="E762" s="125"/>
      <c r="F762" s="125"/>
      <c r="G762" s="125"/>
      <c r="H762" s="125"/>
      <c r="I762" s="125"/>
      <c r="J762" s="126"/>
      <c r="K762" s="125"/>
      <c r="L762" s="125"/>
      <c r="M762" s="136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</row>
    <row r="763" spans="1:38" ht="13.2">
      <c r="A763" s="123"/>
      <c r="B763" s="125"/>
      <c r="D763" s="125"/>
      <c r="E763" s="125"/>
      <c r="F763" s="125"/>
      <c r="G763" s="125"/>
      <c r="H763" s="125"/>
      <c r="I763" s="125"/>
      <c r="J763" s="126"/>
      <c r="K763" s="125"/>
      <c r="L763" s="125"/>
      <c r="M763" s="136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5"/>
      <c r="AK763" s="125"/>
      <c r="AL763" s="125"/>
    </row>
    <row r="764" spans="1:38" ht="13.2">
      <c r="A764" s="123"/>
      <c r="B764" s="125"/>
      <c r="D764" s="125"/>
      <c r="E764" s="125"/>
      <c r="F764" s="125"/>
      <c r="G764" s="125"/>
      <c r="H764" s="125"/>
      <c r="I764" s="125"/>
      <c r="J764" s="126"/>
      <c r="K764" s="125"/>
      <c r="L764" s="125"/>
      <c r="M764" s="136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5"/>
      <c r="AK764" s="125"/>
      <c r="AL764" s="125"/>
    </row>
    <row r="765" spans="1:38" ht="13.2">
      <c r="A765" s="123"/>
      <c r="B765" s="125"/>
      <c r="D765" s="125"/>
      <c r="E765" s="125"/>
      <c r="F765" s="125"/>
      <c r="G765" s="125"/>
      <c r="H765" s="125"/>
      <c r="I765" s="125"/>
      <c r="J765" s="126"/>
      <c r="K765" s="125"/>
      <c r="L765" s="125"/>
      <c r="M765" s="136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5"/>
      <c r="AK765" s="125"/>
      <c r="AL765" s="125"/>
    </row>
    <row r="766" spans="1:38" ht="13.2">
      <c r="A766" s="123"/>
      <c r="B766" s="125"/>
      <c r="D766" s="125"/>
      <c r="E766" s="125"/>
      <c r="F766" s="125"/>
      <c r="G766" s="125"/>
      <c r="H766" s="125"/>
      <c r="I766" s="125"/>
      <c r="J766" s="126"/>
      <c r="K766" s="125"/>
      <c r="L766" s="125"/>
      <c r="M766" s="136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5"/>
      <c r="AK766" s="125"/>
      <c r="AL766" s="125"/>
    </row>
    <row r="767" spans="1:38" ht="13.2">
      <c r="A767" s="123"/>
      <c r="B767" s="125"/>
      <c r="D767" s="125"/>
      <c r="E767" s="125"/>
      <c r="F767" s="125"/>
      <c r="G767" s="125"/>
      <c r="H767" s="125"/>
      <c r="I767" s="125"/>
      <c r="J767" s="126"/>
      <c r="K767" s="125"/>
      <c r="L767" s="125"/>
      <c r="M767" s="136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5"/>
      <c r="AK767" s="125"/>
      <c r="AL767" s="125"/>
    </row>
    <row r="768" spans="1:38" ht="13.2">
      <c r="A768" s="123"/>
      <c r="B768" s="125"/>
      <c r="D768" s="125"/>
      <c r="E768" s="125"/>
      <c r="F768" s="125"/>
      <c r="G768" s="125"/>
      <c r="H768" s="125"/>
      <c r="I768" s="125"/>
      <c r="J768" s="126"/>
      <c r="K768" s="125"/>
      <c r="L768" s="125"/>
      <c r="M768" s="136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5"/>
      <c r="AK768" s="125"/>
      <c r="AL768" s="125"/>
    </row>
    <row r="769" spans="1:38" ht="13.2">
      <c r="A769" s="123"/>
      <c r="B769" s="125"/>
      <c r="D769" s="125"/>
      <c r="E769" s="125"/>
      <c r="F769" s="125"/>
      <c r="G769" s="125"/>
      <c r="H769" s="125"/>
      <c r="I769" s="125"/>
      <c r="J769" s="126"/>
      <c r="K769" s="125"/>
      <c r="L769" s="125"/>
      <c r="M769" s="136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5"/>
      <c r="AK769" s="125"/>
      <c r="AL769" s="125"/>
    </row>
    <row r="770" spans="1:38" ht="13.2">
      <c r="A770" s="123"/>
      <c r="B770" s="125"/>
      <c r="D770" s="125"/>
      <c r="E770" s="125"/>
      <c r="F770" s="125"/>
      <c r="G770" s="125"/>
      <c r="H770" s="125"/>
      <c r="I770" s="125"/>
      <c r="J770" s="126"/>
      <c r="K770" s="125"/>
      <c r="L770" s="125"/>
      <c r="M770" s="136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5"/>
      <c r="AK770" s="125"/>
      <c r="AL770" s="125"/>
    </row>
    <row r="771" spans="1:38" ht="13.2">
      <c r="A771" s="123"/>
      <c r="B771" s="125"/>
      <c r="D771" s="125"/>
      <c r="E771" s="125"/>
      <c r="F771" s="125"/>
      <c r="G771" s="125"/>
      <c r="H771" s="125"/>
      <c r="I771" s="125"/>
      <c r="J771" s="126"/>
      <c r="K771" s="125"/>
      <c r="L771" s="125"/>
      <c r="M771" s="136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5"/>
      <c r="AK771" s="125"/>
      <c r="AL771" s="125"/>
    </row>
    <row r="772" spans="1:38" ht="13.2">
      <c r="A772" s="123"/>
      <c r="B772" s="125"/>
      <c r="D772" s="125"/>
      <c r="E772" s="125"/>
      <c r="F772" s="125"/>
      <c r="G772" s="125"/>
      <c r="H772" s="125"/>
      <c r="I772" s="125"/>
      <c r="J772" s="126"/>
      <c r="K772" s="125"/>
      <c r="L772" s="125"/>
      <c r="M772" s="136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</row>
    <row r="773" spans="1:38" ht="13.2">
      <c r="A773" s="123"/>
      <c r="B773" s="125"/>
      <c r="D773" s="125"/>
      <c r="E773" s="125"/>
      <c r="F773" s="125"/>
      <c r="G773" s="125"/>
      <c r="H773" s="125"/>
      <c r="I773" s="125"/>
      <c r="J773" s="126"/>
      <c r="K773" s="125"/>
      <c r="L773" s="125"/>
      <c r="M773" s="136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</row>
    <row r="774" spans="1:38" ht="13.2">
      <c r="A774" s="123"/>
      <c r="B774" s="125"/>
      <c r="D774" s="125"/>
      <c r="E774" s="125"/>
      <c r="F774" s="125"/>
      <c r="G774" s="125"/>
      <c r="H774" s="125"/>
      <c r="I774" s="125"/>
      <c r="J774" s="126"/>
      <c r="K774" s="125"/>
      <c r="L774" s="125"/>
      <c r="M774" s="136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</row>
    <row r="775" spans="1:38" ht="13.2">
      <c r="A775" s="123"/>
      <c r="B775" s="125"/>
      <c r="D775" s="125"/>
      <c r="E775" s="125"/>
      <c r="F775" s="125"/>
      <c r="G775" s="125"/>
      <c r="H775" s="125"/>
      <c r="I775" s="125"/>
      <c r="J775" s="126"/>
      <c r="K775" s="125"/>
      <c r="L775" s="125"/>
      <c r="M775" s="136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5"/>
      <c r="AK775" s="125"/>
      <c r="AL775" s="125"/>
    </row>
    <row r="776" spans="1:38" ht="13.2">
      <c r="A776" s="123"/>
      <c r="B776" s="125"/>
      <c r="D776" s="125"/>
      <c r="E776" s="125"/>
      <c r="F776" s="125"/>
      <c r="G776" s="125"/>
      <c r="H776" s="125"/>
      <c r="I776" s="125"/>
      <c r="J776" s="126"/>
      <c r="K776" s="125"/>
      <c r="L776" s="125"/>
      <c r="M776" s="136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5"/>
      <c r="AK776" s="125"/>
      <c r="AL776" s="125"/>
    </row>
    <row r="777" spans="1:38" ht="13.2">
      <c r="A777" s="123"/>
      <c r="B777" s="125"/>
      <c r="D777" s="125"/>
      <c r="E777" s="125"/>
      <c r="F777" s="125"/>
      <c r="G777" s="125"/>
      <c r="H777" s="125"/>
      <c r="I777" s="125"/>
      <c r="J777" s="126"/>
      <c r="K777" s="125"/>
      <c r="L777" s="125"/>
      <c r="M777" s="136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5"/>
      <c r="AK777" s="125"/>
      <c r="AL777" s="125"/>
    </row>
    <row r="778" spans="1:38" ht="13.2">
      <c r="A778" s="123"/>
      <c r="B778" s="125"/>
      <c r="D778" s="125"/>
      <c r="E778" s="125"/>
      <c r="F778" s="125"/>
      <c r="G778" s="125"/>
      <c r="H778" s="125"/>
      <c r="I778" s="125"/>
      <c r="J778" s="126"/>
      <c r="K778" s="125"/>
      <c r="L778" s="125"/>
      <c r="M778" s="136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5"/>
      <c r="AK778" s="125"/>
      <c r="AL778" s="125"/>
    </row>
    <row r="779" spans="1:38" ht="13.2">
      <c r="A779" s="123"/>
      <c r="B779" s="125"/>
      <c r="D779" s="125"/>
      <c r="E779" s="125"/>
      <c r="F779" s="125"/>
      <c r="G779" s="125"/>
      <c r="H779" s="125"/>
      <c r="I779" s="125"/>
      <c r="J779" s="126"/>
      <c r="K779" s="125"/>
      <c r="L779" s="125"/>
      <c r="M779" s="136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5"/>
      <c r="AK779" s="125"/>
      <c r="AL779" s="125"/>
    </row>
    <row r="780" spans="1:38" ht="13.2">
      <c r="A780" s="123"/>
      <c r="B780" s="125"/>
      <c r="D780" s="125"/>
      <c r="E780" s="125"/>
      <c r="F780" s="125"/>
      <c r="G780" s="125"/>
      <c r="H780" s="125"/>
      <c r="I780" s="125"/>
      <c r="J780" s="126"/>
      <c r="K780" s="125"/>
      <c r="L780" s="125"/>
      <c r="M780" s="136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5"/>
      <c r="AK780" s="125"/>
      <c r="AL780" s="125"/>
    </row>
    <row r="781" spans="1:38" ht="13.2">
      <c r="A781" s="123"/>
      <c r="B781" s="125"/>
      <c r="D781" s="125"/>
      <c r="E781" s="125"/>
      <c r="F781" s="125"/>
      <c r="G781" s="125"/>
      <c r="H781" s="125"/>
      <c r="I781" s="125"/>
      <c r="J781" s="126"/>
      <c r="K781" s="125"/>
      <c r="L781" s="125"/>
      <c r="M781" s="136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5"/>
      <c r="AK781" s="125"/>
      <c r="AL781" s="125"/>
    </row>
    <row r="782" spans="1:38" ht="13.2">
      <c r="A782" s="123"/>
      <c r="B782" s="125"/>
      <c r="D782" s="125"/>
      <c r="E782" s="125"/>
      <c r="F782" s="125"/>
      <c r="G782" s="125"/>
      <c r="H782" s="125"/>
      <c r="I782" s="125"/>
      <c r="J782" s="126"/>
      <c r="K782" s="125"/>
      <c r="L782" s="125"/>
      <c r="M782" s="136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5"/>
      <c r="AK782" s="125"/>
      <c r="AL782" s="125"/>
    </row>
    <row r="783" spans="1:38" ht="13.2">
      <c r="A783" s="123"/>
      <c r="B783" s="125"/>
      <c r="D783" s="125"/>
      <c r="E783" s="125"/>
      <c r="F783" s="125"/>
      <c r="G783" s="125"/>
      <c r="H783" s="125"/>
      <c r="I783" s="125"/>
      <c r="J783" s="126"/>
      <c r="K783" s="125"/>
      <c r="L783" s="125"/>
      <c r="M783" s="136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5"/>
      <c r="AK783" s="125"/>
      <c r="AL783" s="125"/>
    </row>
    <row r="784" spans="1:38" ht="13.2">
      <c r="A784" s="123"/>
      <c r="B784" s="125"/>
      <c r="D784" s="125"/>
      <c r="E784" s="125"/>
      <c r="F784" s="125"/>
      <c r="G784" s="125"/>
      <c r="H784" s="125"/>
      <c r="I784" s="125"/>
      <c r="J784" s="126"/>
      <c r="K784" s="125"/>
      <c r="L784" s="125"/>
      <c r="M784" s="136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</row>
    <row r="785" spans="1:38" ht="13.2">
      <c r="A785" s="123"/>
      <c r="B785" s="125"/>
      <c r="D785" s="125"/>
      <c r="E785" s="125"/>
      <c r="F785" s="125"/>
      <c r="G785" s="125"/>
      <c r="H785" s="125"/>
      <c r="I785" s="125"/>
      <c r="J785" s="126"/>
      <c r="K785" s="125"/>
      <c r="L785" s="125"/>
      <c r="M785" s="136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</row>
    <row r="786" spans="1:38" ht="13.2">
      <c r="A786" s="123"/>
      <c r="B786" s="125"/>
      <c r="D786" s="125"/>
      <c r="E786" s="125"/>
      <c r="F786" s="125"/>
      <c r="G786" s="125"/>
      <c r="H786" s="125"/>
      <c r="I786" s="125"/>
      <c r="J786" s="126"/>
      <c r="K786" s="125"/>
      <c r="L786" s="125"/>
      <c r="M786" s="136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</row>
    <row r="787" spans="1:38" ht="13.2">
      <c r="A787" s="123"/>
      <c r="B787" s="125"/>
      <c r="D787" s="125"/>
      <c r="E787" s="125"/>
      <c r="F787" s="125"/>
      <c r="G787" s="125"/>
      <c r="H787" s="125"/>
      <c r="I787" s="125"/>
      <c r="J787" s="126"/>
      <c r="K787" s="125"/>
      <c r="L787" s="125"/>
      <c r="M787" s="136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</row>
    <row r="788" spans="1:38" ht="13.2">
      <c r="A788" s="123"/>
      <c r="B788" s="125"/>
      <c r="D788" s="125"/>
      <c r="E788" s="125"/>
      <c r="F788" s="125"/>
      <c r="G788" s="125"/>
      <c r="H788" s="125"/>
      <c r="I788" s="125"/>
      <c r="J788" s="126"/>
      <c r="K788" s="125"/>
      <c r="L788" s="125"/>
      <c r="M788" s="136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</row>
    <row r="789" spans="1:38" ht="13.2">
      <c r="A789" s="123"/>
      <c r="B789" s="125"/>
      <c r="D789" s="125"/>
      <c r="E789" s="125"/>
      <c r="F789" s="125"/>
      <c r="G789" s="125"/>
      <c r="H789" s="125"/>
      <c r="I789" s="125"/>
      <c r="J789" s="126"/>
      <c r="K789" s="125"/>
      <c r="L789" s="125"/>
      <c r="M789" s="136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</row>
    <row r="790" spans="1:38" ht="13.2">
      <c r="A790" s="123"/>
      <c r="B790" s="125"/>
      <c r="D790" s="125"/>
      <c r="E790" s="125"/>
      <c r="F790" s="125"/>
      <c r="G790" s="125"/>
      <c r="H790" s="125"/>
      <c r="I790" s="125"/>
      <c r="J790" s="126"/>
      <c r="K790" s="125"/>
      <c r="L790" s="125"/>
      <c r="M790" s="136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</row>
    <row r="791" spans="1:38" ht="13.2">
      <c r="A791" s="123"/>
      <c r="B791" s="125"/>
      <c r="D791" s="125"/>
      <c r="E791" s="125"/>
      <c r="F791" s="125"/>
      <c r="G791" s="125"/>
      <c r="H791" s="125"/>
      <c r="I791" s="125"/>
      <c r="J791" s="126"/>
      <c r="K791" s="125"/>
      <c r="L791" s="125"/>
      <c r="M791" s="136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</row>
    <row r="792" spans="1:38" ht="13.2">
      <c r="A792" s="123"/>
      <c r="B792" s="125"/>
      <c r="D792" s="125"/>
      <c r="E792" s="125"/>
      <c r="F792" s="125"/>
      <c r="G792" s="125"/>
      <c r="H792" s="125"/>
      <c r="I792" s="125"/>
      <c r="J792" s="126"/>
      <c r="K792" s="125"/>
      <c r="L792" s="125"/>
      <c r="M792" s="136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5"/>
      <c r="AK792" s="125"/>
      <c r="AL792" s="125"/>
    </row>
    <row r="793" spans="1:38" ht="13.2">
      <c r="A793" s="123"/>
      <c r="B793" s="125"/>
      <c r="D793" s="125"/>
      <c r="E793" s="125"/>
      <c r="F793" s="125"/>
      <c r="G793" s="125"/>
      <c r="H793" s="125"/>
      <c r="I793" s="125"/>
      <c r="J793" s="126"/>
      <c r="K793" s="125"/>
      <c r="L793" s="125"/>
      <c r="M793" s="136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5"/>
      <c r="AK793" s="125"/>
      <c r="AL793" s="125"/>
    </row>
    <row r="794" spans="1:38" ht="13.2">
      <c r="A794" s="123"/>
      <c r="B794" s="125"/>
      <c r="D794" s="125"/>
      <c r="E794" s="125"/>
      <c r="F794" s="125"/>
      <c r="G794" s="125"/>
      <c r="H794" s="125"/>
      <c r="I794" s="125"/>
      <c r="J794" s="126"/>
      <c r="K794" s="125"/>
      <c r="L794" s="125"/>
      <c r="M794" s="136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</row>
    <row r="795" spans="1:38" ht="13.2">
      <c r="A795" s="123"/>
      <c r="B795" s="125"/>
      <c r="D795" s="125"/>
      <c r="E795" s="125"/>
      <c r="F795" s="125"/>
      <c r="G795" s="125"/>
      <c r="H795" s="125"/>
      <c r="I795" s="125"/>
      <c r="J795" s="126"/>
      <c r="K795" s="125"/>
      <c r="L795" s="125"/>
      <c r="M795" s="136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</row>
    <row r="796" spans="1:38" ht="13.2">
      <c r="A796" s="123"/>
      <c r="B796" s="125"/>
      <c r="D796" s="125"/>
      <c r="E796" s="125"/>
      <c r="F796" s="125"/>
      <c r="G796" s="125"/>
      <c r="H796" s="125"/>
      <c r="I796" s="125"/>
      <c r="J796" s="126"/>
      <c r="K796" s="125"/>
      <c r="L796" s="125"/>
      <c r="M796" s="136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</row>
    <row r="797" spans="1:38" ht="13.2">
      <c r="A797" s="123"/>
      <c r="B797" s="125"/>
      <c r="D797" s="125"/>
      <c r="E797" s="125"/>
      <c r="F797" s="125"/>
      <c r="G797" s="125"/>
      <c r="H797" s="125"/>
      <c r="I797" s="125"/>
      <c r="J797" s="126"/>
      <c r="K797" s="125"/>
      <c r="L797" s="125"/>
      <c r="M797" s="136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</row>
    <row r="798" spans="1:38" ht="13.2">
      <c r="A798" s="123"/>
      <c r="B798" s="125"/>
      <c r="D798" s="125"/>
      <c r="E798" s="125"/>
      <c r="F798" s="125"/>
      <c r="G798" s="125"/>
      <c r="H798" s="125"/>
      <c r="I798" s="125"/>
      <c r="J798" s="126"/>
      <c r="K798" s="125"/>
      <c r="L798" s="125"/>
      <c r="M798" s="136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  <c r="AH798" s="125"/>
      <c r="AI798" s="125"/>
      <c r="AJ798" s="125"/>
      <c r="AK798" s="125"/>
      <c r="AL798" s="125"/>
    </row>
    <row r="799" spans="1:38" ht="13.2">
      <c r="A799" s="123"/>
      <c r="B799" s="125"/>
      <c r="D799" s="125"/>
      <c r="E799" s="125"/>
      <c r="F799" s="125"/>
      <c r="G799" s="125"/>
      <c r="H799" s="125"/>
      <c r="I799" s="125"/>
      <c r="J799" s="126"/>
      <c r="K799" s="125"/>
      <c r="L799" s="125"/>
      <c r="M799" s="136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  <c r="AG799" s="125"/>
      <c r="AH799" s="125"/>
      <c r="AI799" s="125"/>
      <c r="AJ799" s="125"/>
      <c r="AK799" s="125"/>
      <c r="AL799" s="125"/>
    </row>
    <row r="800" spans="1:38" ht="13.2">
      <c r="A800" s="123"/>
      <c r="B800" s="125"/>
      <c r="D800" s="125"/>
      <c r="E800" s="125"/>
      <c r="F800" s="125"/>
      <c r="G800" s="125"/>
      <c r="H800" s="125"/>
      <c r="I800" s="125"/>
      <c r="J800" s="126"/>
      <c r="K800" s="125"/>
      <c r="L800" s="125"/>
      <c r="M800" s="136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5"/>
      <c r="AK800" s="125"/>
      <c r="AL800" s="125"/>
    </row>
    <row r="801" spans="1:38" ht="13.2">
      <c r="A801" s="123"/>
      <c r="B801" s="125"/>
      <c r="D801" s="125"/>
      <c r="E801" s="125"/>
      <c r="F801" s="125"/>
      <c r="G801" s="125"/>
      <c r="H801" s="125"/>
      <c r="I801" s="125"/>
      <c r="J801" s="126"/>
      <c r="K801" s="125"/>
      <c r="L801" s="125"/>
      <c r="M801" s="136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5"/>
      <c r="AK801" s="125"/>
      <c r="AL801" s="125"/>
    </row>
    <row r="802" spans="1:38" ht="13.2">
      <c r="A802" s="123"/>
      <c r="B802" s="125"/>
      <c r="D802" s="125"/>
      <c r="E802" s="125"/>
      <c r="F802" s="125"/>
      <c r="G802" s="125"/>
      <c r="H802" s="125"/>
      <c r="I802" s="125"/>
      <c r="J802" s="126"/>
      <c r="K802" s="125"/>
      <c r="L802" s="125"/>
      <c r="M802" s="136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5"/>
      <c r="AK802" s="125"/>
      <c r="AL802" s="125"/>
    </row>
    <row r="803" spans="1:38" ht="13.2">
      <c r="A803" s="123"/>
      <c r="B803" s="125"/>
      <c r="D803" s="125"/>
      <c r="E803" s="125"/>
      <c r="F803" s="125"/>
      <c r="G803" s="125"/>
      <c r="H803" s="125"/>
      <c r="I803" s="125"/>
      <c r="J803" s="126"/>
      <c r="K803" s="125"/>
      <c r="L803" s="125"/>
      <c r="M803" s="136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5"/>
      <c r="AK803" s="125"/>
      <c r="AL803" s="125"/>
    </row>
    <row r="804" spans="1:38" ht="13.2">
      <c r="A804" s="123"/>
      <c r="B804" s="125"/>
      <c r="D804" s="125"/>
      <c r="E804" s="125"/>
      <c r="F804" s="125"/>
      <c r="G804" s="125"/>
      <c r="H804" s="125"/>
      <c r="I804" s="125"/>
      <c r="J804" s="126"/>
      <c r="K804" s="125"/>
      <c r="L804" s="125"/>
      <c r="M804" s="136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5"/>
      <c r="AK804" s="125"/>
      <c r="AL804" s="125"/>
    </row>
    <row r="805" spans="1:38" ht="13.2">
      <c r="A805" s="123"/>
      <c r="B805" s="125"/>
      <c r="D805" s="125"/>
      <c r="E805" s="125"/>
      <c r="F805" s="125"/>
      <c r="G805" s="125"/>
      <c r="H805" s="125"/>
      <c r="I805" s="125"/>
      <c r="J805" s="126"/>
      <c r="K805" s="125"/>
      <c r="L805" s="125"/>
      <c r="M805" s="136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5"/>
      <c r="AK805" s="125"/>
      <c r="AL805" s="125"/>
    </row>
    <row r="806" spans="1:38" ht="13.2">
      <c r="A806" s="123"/>
      <c r="B806" s="125"/>
      <c r="D806" s="125"/>
      <c r="E806" s="125"/>
      <c r="F806" s="125"/>
      <c r="G806" s="125"/>
      <c r="H806" s="125"/>
      <c r="I806" s="125"/>
      <c r="J806" s="126"/>
      <c r="K806" s="125"/>
      <c r="L806" s="125"/>
      <c r="M806" s="136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  <c r="AH806" s="125"/>
      <c r="AI806" s="125"/>
      <c r="AJ806" s="125"/>
      <c r="AK806" s="125"/>
      <c r="AL806" s="125"/>
    </row>
    <row r="807" spans="1:38" ht="13.2">
      <c r="A807" s="123"/>
      <c r="B807" s="125"/>
      <c r="D807" s="125"/>
      <c r="E807" s="125"/>
      <c r="F807" s="125"/>
      <c r="G807" s="125"/>
      <c r="H807" s="125"/>
      <c r="I807" s="125"/>
      <c r="J807" s="126"/>
      <c r="K807" s="125"/>
      <c r="L807" s="125"/>
      <c r="M807" s="136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5"/>
      <c r="AK807" s="125"/>
      <c r="AL807" s="125"/>
    </row>
    <row r="808" spans="1:38" ht="13.2">
      <c r="A808" s="123"/>
      <c r="B808" s="125"/>
      <c r="D808" s="125"/>
      <c r="E808" s="125"/>
      <c r="F808" s="125"/>
      <c r="G808" s="125"/>
      <c r="H808" s="125"/>
      <c r="I808" s="125"/>
      <c r="J808" s="126"/>
      <c r="K808" s="125"/>
      <c r="L808" s="125"/>
      <c r="M808" s="136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5"/>
      <c r="AK808" s="125"/>
      <c r="AL808" s="125"/>
    </row>
    <row r="809" spans="1:38" ht="13.2">
      <c r="A809" s="123"/>
      <c r="B809" s="125"/>
      <c r="D809" s="125"/>
      <c r="E809" s="125"/>
      <c r="F809" s="125"/>
      <c r="G809" s="125"/>
      <c r="H809" s="125"/>
      <c r="I809" s="125"/>
      <c r="J809" s="126"/>
      <c r="K809" s="125"/>
      <c r="L809" s="125"/>
      <c r="M809" s="136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125"/>
      <c r="AL809" s="125"/>
    </row>
    <row r="810" spans="1:38" ht="13.2">
      <c r="A810" s="123"/>
      <c r="B810" s="125"/>
      <c r="D810" s="125"/>
      <c r="E810" s="125"/>
      <c r="F810" s="125"/>
      <c r="G810" s="125"/>
      <c r="H810" s="125"/>
      <c r="I810" s="125"/>
      <c r="J810" s="126"/>
      <c r="K810" s="125"/>
      <c r="L810" s="125"/>
      <c r="M810" s="136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125"/>
      <c r="AL810" s="125"/>
    </row>
    <row r="811" spans="1:38" ht="13.2">
      <c r="A811" s="123"/>
      <c r="B811" s="125"/>
      <c r="D811" s="125"/>
      <c r="E811" s="125"/>
      <c r="F811" s="125"/>
      <c r="G811" s="125"/>
      <c r="H811" s="125"/>
      <c r="I811" s="125"/>
      <c r="J811" s="126"/>
      <c r="K811" s="125"/>
      <c r="L811" s="125"/>
      <c r="M811" s="136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5"/>
      <c r="AK811" s="125"/>
      <c r="AL811" s="125"/>
    </row>
    <row r="812" spans="1:38" ht="13.2">
      <c r="A812" s="123"/>
      <c r="B812" s="125"/>
      <c r="D812" s="125"/>
      <c r="E812" s="125"/>
      <c r="F812" s="125"/>
      <c r="G812" s="125"/>
      <c r="H812" s="125"/>
      <c r="I812" s="125"/>
      <c r="J812" s="126"/>
      <c r="K812" s="125"/>
      <c r="L812" s="125"/>
      <c r="M812" s="136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5"/>
      <c r="AK812" s="125"/>
      <c r="AL812" s="125"/>
    </row>
    <row r="813" spans="1:38" ht="13.2">
      <c r="A813" s="123"/>
      <c r="B813" s="125"/>
      <c r="D813" s="125"/>
      <c r="E813" s="125"/>
      <c r="F813" s="125"/>
      <c r="G813" s="125"/>
      <c r="H813" s="125"/>
      <c r="I813" s="125"/>
      <c r="J813" s="126"/>
      <c r="K813" s="125"/>
      <c r="L813" s="125"/>
      <c r="M813" s="136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5"/>
      <c r="AK813" s="125"/>
      <c r="AL813" s="125"/>
    </row>
    <row r="814" spans="1:38" ht="13.2">
      <c r="A814" s="123"/>
      <c r="B814" s="125"/>
      <c r="D814" s="125"/>
      <c r="E814" s="125"/>
      <c r="F814" s="125"/>
      <c r="G814" s="125"/>
      <c r="H814" s="125"/>
      <c r="I814" s="125"/>
      <c r="J814" s="126"/>
      <c r="K814" s="125"/>
      <c r="L814" s="125"/>
      <c r="M814" s="136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5"/>
      <c r="AK814" s="125"/>
      <c r="AL814" s="125"/>
    </row>
    <row r="815" spans="1:38" ht="13.2">
      <c r="A815" s="123"/>
      <c r="B815" s="125"/>
      <c r="D815" s="125"/>
      <c r="E815" s="125"/>
      <c r="F815" s="125"/>
      <c r="G815" s="125"/>
      <c r="H815" s="125"/>
      <c r="I815" s="125"/>
      <c r="J815" s="126"/>
      <c r="K815" s="125"/>
      <c r="L815" s="125"/>
      <c r="M815" s="136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5"/>
      <c r="AK815" s="125"/>
      <c r="AL815" s="125"/>
    </row>
    <row r="816" spans="1:38" ht="13.2">
      <c r="A816" s="123"/>
      <c r="B816" s="125"/>
      <c r="D816" s="125"/>
      <c r="E816" s="125"/>
      <c r="F816" s="125"/>
      <c r="G816" s="125"/>
      <c r="H816" s="125"/>
      <c r="I816" s="125"/>
      <c r="J816" s="126"/>
      <c r="K816" s="125"/>
      <c r="L816" s="125"/>
      <c r="M816" s="136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5"/>
      <c r="AK816" s="125"/>
      <c r="AL816" s="125"/>
    </row>
    <row r="817" spans="1:38" ht="13.2">
      <c r="A817" s="123"/>
      <c r="B817" s="125"/>
      <c r="D817" s="125"/>
      <c r="E817" s="125"/>
      <c r="F817" s="125"/>
      <c r="G817" s="125"/>
      <c r="H817" s="125"/>
      <c r="I817" s="125"/>
      <c r="J817" s="126"/>
      <c r="K817" s="125"/>
      <c r="L817" s="125"/>
      <c r="M817" s="136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5"/>
      <c r="AK817" s="125"/>
      <c r="AL817" s="125"/>
    </row>
    <row r="818" spans="1:38" ht="13.2">
      <c r="A818" s="123"/>
      <c r="B818" s="125"/>
      <c r="D818" s="125"/>
      <c r="E818" s="125"/>
      <c r="F818" s="125"/>
      <c r="G818" s="125"/>
      <c r="H818" s="125"/>
      <c r="I818" s="125"/>
      <c r="J818" s="126"/>
      <c r="K818" s="125"/>
      <c r="L818" s="125"/>
      <c r="M818" s="136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5"/>
      <c r="AK818" s="125"/>
      <c r="AL818" s="125"/>
    </row>
    <row r="819" spans="1:38" ht="13.2">
      <c r="A819" s="123"/>
      <c r="B819" s="125"/>
      <c r="D819" s="125"/>
      <c r="E819" s="125"/>
      <c r="F819" s="125"/>
      <c r="G819" s="125"/>
      <c r="H819" s="125"/>
      <c r="I819" s="125"/>
      <c r="J819" s="126"/>
      <c r="K819" s="125"/>
      <c r="L819" s="125"/>
      <c r="M819" s="136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5"/>
      <c r="AK819" s="125"/>
      <c r="AL819" s="125"/>
    </row>
    <row r="820" spans="1:38" ht="13.2">
      <c r="A820" s="123"/>
      <c r="B820" s="125"/>
      <c r="D820" s="125"/>
      <c r="E820" s="125"/>
      <c r="F820" s="125"/>
      <c r="G820" s="125"/>
      <c r="H820" s="125"/>
      <c r="I820" s="125"/>
      <c r="J820" s="126"/>
      <c r="K820" s="125"/>
      <c r="L820" s="125"/>
      <c r="M820" s="136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5"/>
      <c r="AK820" s="125"/>
      <c r="AL820" s="125"/>
    </row>
    <row r="821" spans="1:38" ht="13.2">
      <c r="A821" s="123"/>
      <c r="B821" s="125"/>
      <c r="D821" s="125"/>
      <c r="E821" s="125"/>
      <c r="F821" s="125"/>
      <c r="G821" s="125"/>
      <c r="H821" s="125"/>
      <c r="I821" s="125"/>
      <c r="J821" s="126"/>
      <c r="K821" s="125"/>
      <c r="L821" s="125"/>
      <c r="M821" s="136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5"/>
      <c r="AK821" s="125"/>
      <c r="AL821" s="125"/>
    </row>
    <row r="822" spans="1:38" ht="13.2">
      <c r="A822" s="123"/>
      <c r="B822" s="125"/>
      <c r="D822" s="125"/>
      <c r="E822" s="125"/>
      <c r="F822" s="125"/>
      <c r="G822" s="125"/>
      <c r="H822" s="125"/>
      <c r="I822" s="125"/>
      <c r="J822" s="126"/>
      <c r="K822" s="125"/>
      <c r="L822" s="125"/>
      <c r="M822" s="136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</row>
    <row r="823" spans="1:38" ht="13.2">
      <c r="A823" s="123"/>
      <c r="B823" s="125"/>
      <c r="D823" s="125"/>
      <c r="E823" s="125"/>
      <c r="F823" s="125"/>
      <c r="G823" s="125"/>
      <c r="H823" s="125"/>
      <c r="I823" s="125"/>
      <c r="J823" s="126"/>
      <c r="K823" s="125"/>
      <c r="L823" s="125"/>
      <c r="M823" s="136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</row>
    <row r="824" spans="1:38" ht="13.2">
      <c r="A824" s="123"/>
      <c r="B824" s="125"/>
      <c r="D824" s="125"/>
      <c r="E824" s="125"/>
      <c r="F824" s="125"/>
      <c r="G824" s="125"/>
      <c r="H824" s="125"/>
      <c r="I824" s="125"/>
      <c r="J824" s="126"/>
      <c r="K824" s="125"/>
      <c r="L824" s="125"/>
      <c r="M824" s="136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5"/>
      <c r="AK824" s="125"/>
      <c r="AL824" s="125"/>
    </row>
    <row r="825" spans="1:38" ht="13.2">
      <c r="A825" s="123"/>
      <c r="B825" s="125"/>
      <c r="D825" s="125"/>
      <c r="E825" s="125"/>
      <c r="F825" s="125"/>
      <c r="G825" s="125"/>
      <c r="H825" s="125"/>
      <c r="I825" s="125"/>
      <c r="J825" s="126"/>
      <c r="K825" s="125"/>
      <c r="L825" s="125"/>
      <c r="M825" s="136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5"/>
      <c r="AK825" s="125"/>
      <c r="AL825" s="125"/>
    </row>
    <row r="826" spans="1:38" ht="13.2">
      <c r="A826" s="123"/>
      <c r="B826" s="125"/>
      <c r="D826" s="125"/>
      <c r="E826" s="125"/>
      <c r="F826" s="125"/>
      <c r="G826" s="125"/>
      <c r="H826" s="125"/>
      <c r="I826" s="125"/>
      <c r="J826" s="126"/>
      <c r="K826" s="125"/>
      <c r="L826" s="125"/>
      <c r="M826" s="136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5"/>
      <c r="AK826" s="125"/>
      <c r="AL826" s="125"/>
    </row>
    <row r="827" spans="1:38" ht="13.2">
      <c r="A827" s="123"/>
      <c r="B827" s="125"/>
      <c r="D827" s="125"/>
      <c r="E827" s="125"/>
      <c r="F827" s="125"/>
      <c r="G827" s="125"/>
      <c r="H827" s="125"/>
      <c r="I827" s="125"/>
      <c r="J827" s="126"/>
      <c r="K827" s="125"/>
      <c r="L827" s="125"/>
      <c r="M827" s="136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5"/>
      <c r="AK827" s="125"/>
      <c r="AL827" s="125"/>
    </row>
    <row r="828" spans="1:38" ht="13.2">
      <c r="A828" s="123"/>
      <c r="B828" s="125"/>
      <c r="D828" s="125"/>
      <c r="E828" s="125"/>
      <c r="F828" s="125"/>
      <c r="G828" s="125"/>
      <c r="H828" s="125"/>
      <c r="I828" s="125"/>
      <c r="J828" s="126"/>
      <c r="K828" s="125"/>
      <c r="L828" s="125"/>
      <c r="M828" s="136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5"/>
      <c r="AK828" s="125"/>
      <c r="AL828" s="125"/>
    </row>
    <row r="829" spans="1:38" ht="13.2">
      <c r="A829" s="123"/>
      <c r="B829" s="125"/>
      <c r="D829" s="125"/>
      <c r="E829" s="125"/>
      <c r="F829" s="125"/>
      <c r="G829" s="125"/>
      <c r="H829" s="125"/>
      <c r="I829" s="125"/>
      <c r="J829" s="126"/>
      <c r="K829" s="125"/>
      <c r="L829" s="125"/>
      <c r="M829" s="136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5"/>
      <c r="AK829" s="125"/>
      <c r="AL829" s="125"/>
    </row>
    <row r="830" spans="1:38" ht="13.2">
      <c r="A830" s="123"/>
      <c r="B830" s="125"/>
      <c r="D830" s="125"/>
      <c r="E830" s="125"/>
      <c r="F830" s="125"/>
      <c r="G830" s="125"/>
      <c r="H830" s="125"/>
      <c r="I830" s="125"/>
      <c r="J830" s="126"/>
      <c r="K830" s="125"/>
      <c r="L830" s="125"/>
      <c r="M830" s="136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5"/>
      <c r="AK830" s="125"/>
      <c r="AL830" s="125"/>
    </row>
    <row r="831" spans="1:38" ht="13.2">
      <c r="A831" s="123"/>
      <c r="B831" s="125"/>
      <c r="D831" s="125"/>
      <c r="E831" s="125"/>
      <c r="F831" s="125"/>
      <c r="G831" s="125"/>
      <c r="H831" s="125"/>
      <c r="I831" s="125"/>
      <c r="J831" s="126"/>
      <c r="K831" s="125"/>
      <c r="L831" s="125"/>
      <c r="M831" s="136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  <c r="AH831" s="125"/>
      <c r="AI831" s="125"/>
      <c r="AJ831" s="125"/>
      <c r="AK831" s="125"/>
      <c r="AL831" s="125"/>
    </row>
    <row r="832" spans="1:38" ht="13.2">
      <c r="A832" s="123"/>
      <c r="B832" s="125"/>
      <c r="D832" s="125"/>
      <c r="E832" s="125"/>
      <c r="F832" s="125"/>
      <c r="G832" s="125"/>
      <c r="H832" s="125"/>
      <c r="I832" s="125"/>
      <c r="J832" s="126"/>
      <c r="K832" s="125"/>
      <c r="L832" s="125"/>
      <c r="M832" s="136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5"/>
      <c r="AK832" s="125"/>
      <c r="AL832" s="125"/>
    </row>
    <row r="833" spans="1:38" ht="13.2">
      <c r="A833" s="123"/>
      <c r="B833" s="125"/>
      <c r="D833" s="125"/>
      <c r="E833" s="125"/>
      <c r="F833" s="125"/>
      <c r="G833" s="125"/>
      <c r="H833" s="125"/>
      <c r="I833" s="125"/>
      <c r="J833" s="126"/>
      <c r="K833" s="125"/>
      <c r="L833" s="125"/>
      <c r="M833" s="136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5"/>
      <c r="AK833" s="125"/>
      <c r="AL833" s="125"/>
    </row>
    <row r="834" spans="1:38" ht="13.2">
      <c r="A834" s="123"/>
      <c r="B834" s="125"/>
      <c r="D834" s="125"/>
      <c r="E834" s="125"/>
      <c r="F834" s="125"/>
      <c r="G834" s="125"/>
      <c r="H834" s="125"/>
      <c r="I834" s="125"/>
      <c r="J834" s="126"/>
      <c r="K834" s="125"/>
      <c r="L834" s="125"/>
      <c r="M834" s="136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5"/>
      <c r="AK834" s="125"/>
      <c r="AL834" s="125"/>
    </row>
    <row r="835" spans="1:38" ht="13.2">
      <c r="A835" s="123"/>
      <c r="B835" s="125"/>
      <c r="D835" s="125"/>
      <c r="E835" s="125"/>
      <c r="F835" s="125"/>
      <c r="G835" s="125"/>
      <c r="H835" s="125"/>
      <c r="I835" s="125"/>
      <c r="J835" s="126"/>
      <c r="K835" s="125"/>
      <c r="L835" s="125"/>
      <c r="M835" s="136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5"/>
      <c r="AK835" s="125"/>
      <c r="AL835" s="125"/>
    </row>
    <row r="836" spans="1:38" ht="13.2">
      <c r="A836" s="123"/>
      <c r="B836" s="125"/>
      <c r="D836" s="125"/>
      <c r="E836" s="125"/>
      <c r="F836" s="125"/>
      <c r="G836" s="125"/>
      <c r="H836" s="125"/>
      <c r="I836" s="125"/>
      <c r="J836" s="126"/>
      <c r="K836" s="125"/>
      <c r="L836" s="125"/>
      <c r="M836" s="136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5"/>
      <c r="AK836" s="125"/>
      <c r="AL836" s="125"/>
    </row>
    <row r="837" spans="1:38" ht="13.2">
      <c r="A837" s="123"/>
      <c r="B837" s="125"/>
      <c r="D837" s="125"/>
      <c r="E837" s="125"/>
      <c r="F837" s="125"/>
      <c r="G837" s="125"/>
      <c r="H837" s="125"/>
      <c r="I837" s="125"/>
      <c r="J837" s="126"/>
      <c r="K837" s="125"/>
      <c r="L837" s="125"/>
      <c r="M837" s="136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5"/>
      <c r="AK837" s="125"/>
      <c r="AL837" s="125"/>
    </row>
    <row r="838" spans="1:38" ht="13.2">
      <c r="A838" s="123"/>
      <c r="B838" s="125"/>
      <c r="D838" s="125"/>
      <c r="E838" s="125"/>
      <c r="F838" s="125"/>
      <c r="G838" s="125"/>
      <c r="H838" s="125"/>
      <c r="I838" s="125"/>
      <c r="J838" s="126"/>
      <c r="K838" s="125"/>
      <c r="L838" s="125"/>
      <c r="M838" s="136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5"/>
      <c r="AK838" s="125"/>
      <c r="AL838" s="125"/>
    </row>
    <row r="839" spans="1:38" ht="13.2">
      <c r="A839" s="123"/>
      <c r="B839" s="125"/>
      <c r="D839" s="125"/>
      <c r="E839" s="125"/>
      <c r="F839" s="125"/>
      <c r="G839" s="125"/>
      <c r="H839" s="125"/>
      <c r="I839" s="125"/>
      <c r="J839" s="126"/>
      <c r="K839" s="125"/>
      <c r="L839" s="125"/>
      <c r="M839" s="136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</row>
    <row r="840" spans="1:38" ht="13.2">
      <c r="A840" s="123"/>
      <c r="B840" s="125"/>
      <c r="D840" s="125"/>
      <c r="E840" s="125"/>
      <c r="F840" s="125"/>
      <c r="G840" s="125"/>
      <c r="H840" s="125"/>
      <c r="I840" s="125"/>
      <c r="J840" s="126"/>
      <c r="K840" s="125"/>
      <c r="L840" s="125"/>
      <c r="M840" s="136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5"/>
      <c r="AK840" s="125"/>
      <c r="AL840" s="125"/>
    </row>
    <row r="841" spans="1:38" ht="13.2">
      <c r="A841" s="123"/>
      <c r="B841" s="125"/>
      <c r="D841" s="125"/>
      <c r="E841" s="125"/>
      <c r="F841" s="125"/>
      <c r="G841" s="125"/>
      <c r="H841" s="125"/>
      <c r="I841" s="125"/>
      <c r="J841" s="126"/>
      <c r="K841" s="125"/>
      <c r="L841" s="125"/>
      <c r="M841" s="136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5"/>
      <c r="AK841" s="125"/>
      <c r="AL841" s="125"/>
    </row>
    <row r="842" spans="1:38" ht="13.2">
      <c r="A842" s="123"/>
      <c r="B842" s="125"/>
      <c r="D842" s="125"/>
      <c r="E842" s="125"/>
      <c r="F842" s="125"/>
      <c r="G842" s="125"/>
      <c r="H842" s="125"/>
      <c r="I842" s="125"/>
      <c r="J842" s="126"/>
      <c r="K842" s="125"/>
      <c r="L842" s="125"/>
      <c r="M842" s="136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5"/>
      <c r="AK842" s="125"/>
      <c r="AL842" s="125"/>
    </row>
    <row r="843" spans="1:38" ht="13.2">
      <c r="A843" s="123"/>
      <c r="B843" s="125"/>
      <c r="D843" s="125"/>
      <c r="E843" s="125"/>
      <c r="F843" s="125"/>
      <c r="G843" s="125"/>
      <c r="H843" s="125"/>
      <c r="I843" s="125"/>
      <c r="J843" s="126"/>
      <c r="K843" s="125"/>
      <c r="L843" s="125"/>
      <c r="M843" s="136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5"/>
      <c r="AK843" s="125"/>
      <c r="AL843" s="125"/>
    </row>
    <row r="844" spans="1:38" ht="13.2">
      <c r="A844" s="123"/>
      <c r="B844" s="125"/>
      <c r="D844" s="125"/>
      <c r="E844" s="125"/>
      <c r="F844" s="125"/>
      <c r="G844" s="125"/>
      <c r="H844" s="125"/>
      <c r="I844" s="125"/>
      <c r="J844" s="126"/>
      <c r="K844" s="125"/>
      <c r="L844" s="125"/>
      <c r="M844" s="136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5"/>
      <c r="AK844" s="125"/>
      <c r="AL844" s="125"/>
    </row>
    <row r="845" spans="1:38" ht="13.2">
      <c r="A845" s="123"/>
      <c r="B845" s="125"/>
      <c r="D845" s="125"/>
      <c r="E845" s="125"/>
      <c r="F845" s="125"/>
      <c r="G845" s="125"/>
      <c r="H845" s="125"/>
      <c r="I845" s="125"/>
      <c r="J845" s="126"/>
      <c r="K845" s="125"/>
      <c r="L845" s="125"/>
      <c r="M845" s="136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5"/>
      <c r="AK845" s="125"/>
      <c r="AL845" s="125"/>
    </row>
    <row r="846" spans="1:38" ht="13.2">
      <c r="A846" s="123"/>
      <c r="B846" s="125"/>
      <c r="D846" s="125"/>
      <c r="E846" s="125"/>
      <c r="F846" s="125"/>
      <c r="G846" s="125"/>
      <c r="H846" s="125"/>
      <c r="I846" s="125"/>
      <c r="J846" s="126"/>
      <c r="K846" s="125"/>
      <c r="L846" s="125"/>
      <c r="M846" s="136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5"/>
      <c r="AK846" s="125"/>
      <c r="AL846" s="125"/>
    </row>
    <row r="847" spans="1:38" ht="13.2">
      <c r="A847" s="123"/>
      <c r="B847" s="125"/>
      <c r="D847" s="125"/>
      <c r="E847" s="125"/>
      <c r="F847" s="125"/>
      <c r="G847" s="125"/>
      <c r="H847" s="125"/>
      <c r="I847" s="125"/>
      <c r="J847" s="126"/>
      <c r="K847" s="125"/>
      <c r="L847" s="125"/>
      <c r="M847" s="136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5"/>
      <c r="AK847" s="125"/>
      <c r="AL847" s="125"/>
    </row>
    <row r="848" spans="1:38" ht="13.2">
      <c r="A848" s="123"/>
      <c r="B848" s="125"/>
      <c r="D848" s="125"/>
      <c r="E848" s="125"/>
      <c r="F848" s="125"/>
      <c r="G848" s="125"/>
      <c r="H848" s="125"/>
      <c r="I848" s="125"/>
      <c r="J848" s="126"/>
      <c r="K848" s="125"/>
      <c r="L848" s="125"/>
      <c r="M848" s="136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5"/>
      <c r="AK848" s="125"/>
      <c r="AL848" s="125"/>
    </row>
    <row r="849" spans="1:38" ht="13.2">
      <c r="A849" s="123"/>
      <c r="B849" s="125"/>
      <c r="D849" s="125"/>
      <c r="E849" s="125"/>
      <c r="F849" s="125"/>
      <c r="G849" s="125"/>
      <c r="H849" s="125"/>
      <c r="I849" s="125"/>
      <c r="J849" s="126"/>
      <c r="K849" s="125"/>
      <c r="L849" s="125"/>
      <c r="M849" s="136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5"/>
      <c r="AK849" s="125"/>
      <c r="AL849" s="125"/>
    </row>
    <row r="850" spans="1:38" ht="13.2">
      <c r="A850" s="123"/>
      <c r="B850" s="125"/>
      <c r="D850" s="125"/>
      <c r="E850" s="125"/>
      <c r="F850" s="125"/>
      <c r="G850" s="125"/>
      <c r="H850" s="125"/>
      <c r="I850" s="125"/>
      <c r="J850" s="126"/>
      <c r="K850" s="125"/>
      <c r="L850" s="125"/>
      <c r="M850" s="136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5"/>
      <c r="AK850" s="125"/>
      <c r="AL850" s="125"/>
    </row>
    <row r="851" spans="1:38" ht="13.2">
      <c r="A851" s="123"/>
      <c r="B851" s="125"/>
      <c r="D851" s="125"/>
      <c r="E851" s="125"/>
      <c r="F851" s="125"/>
      <c r="G851" s="125"/>
      <c r="H851" s="125"/>
      <c r="I851" s="125"/>
      <c r="J851" s="126"/>
      <c r="K851" s="125"/>
      <c r="L851" s="125"/>
      <c r="M851" s="136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5"/>
      <c r="AK851" s="125"/>
      <c r="AL851" s="125"/>
    </row>
    <row r="852" spans="1:38" ht="13.2">
      <c r="A852" s="123"/>
      <c r="B852" s="125"/>
      <c r="D852" s="125"/>
      <c r="E852" s="125"/>
      <c r="F852" s="125"/>
      <c r="G852" s="125"/>
      <c r="H852" s="125"/>
      <c r="I852" s="125"/>
      <c r="J852" s="126"/>
      <c r="K852" s="125"/>
      <c r="L852" s="125"/>
      <c r="M852" s="136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  <c r="AH852" s="125"/>
      <c r="AI852" s="125"/>
      <c r="AJ852" s="125"/>
      <c r="AK852" s="125"/>
      <c r="AL852" s="125"/>
    </row>
    <row r="853" spans="1:38" ht="13.2">
      <c r="A853" s="123"/>
      <c r="B853" s="125"/>
      <c r="D853" s="125"/>
      <c r="E853" s="125"/>
      <c r="F853" s="125"/>
      <c r="G853" s="125"/>
      <c r="H853" s="125"/>
      <c r="I853" s="125"/>
      <c r="J853" s="126"/>
      <c r="K853" s="125"/>
      <c r="L853" s="125"/>
      <c r="M853" s="136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  <c r="AH853" s="125"/>
      <c r="AI853" s="125"/>
      <c r="AJ853" s="125"/>
      <c r="AK853" s="125"/>
      <c r="AL853" s="125"/>
    </row>
    <row r="854" spans="1:38" ht="13.2">
      <c r="A854" s="123"/>
      <c r="B854" s="125"/>
      <c r="D854" s="125"/>
      <c r="E854" s="125"/>
      <c r="F854" s="125"/>
      <c r="G854" s="125"/>
      <c r="H854" s="125"/>
      <c r="I854" s="125"/>
      <c r="J854" s="126"/>
      <c r="K854" s="125"/>
      <c r="L854" s="125"/>
      <c r="M854" s="136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5"/>
      <c r="AK854" s="125"/>
      <c r="AL854" s="125"/>
    </row>
    <row r="855" spans="1:38" ht="13.2">
      <c r="A855" s="123"/>
      <c r="B855" s="125"/>
      <c r="D855" s="125"/>
      <c r="E855" s="125"/>
      <c r="F855" s="125"/>
      <c r="G855" s="125"/>
      <c r="H855" s="125"/>
      <c r="I855" s="125"/>
      <c r="J855" s="126"/>
      <c r="K855" s="125"/>
      <c r="L855" s="125"/>
      <c r="M855" s="136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  <c r="AH855" s="125"/>
      <c r="AI855" s="125"/>
      <c r="AJ855" s="125"/>
      <c r="AK855" s="125"/>
      <c r="AL855" s="125"/>
    </row>
    <row r="856" spans="1:38" ht="13.2">
      <c r="A856" s="123"/>
      <c r="B856" s="125"/>
      <c r="D856" s="125"/>
      <c r="E856" s="125"/>
      <c r="F856" s="125"/>
      <c r="G856" s="125"/>
      <c r="H856" s="125"/>
      <c r="I856" s="125"/>
      <c r="J856" s="126"/>
      <c r="K856" s="125"/>
      <c r="L856" s="125"/>
      <c r="M856" s="136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  <c r="AH856" s="125"/>
      <c r="AI856" s="125"/>
      <c r="AJ856" s="125"/>
      <c r="AK856" s="125"/>
      <c r="AL856" s="125"/>
    </row>
    <row r="857" spans="1:38" ht="13.2">
      <c r="A857" s="123"/>
      <c r="B857" s="125"/>
      <c r="D857" s="125"/>
      <c r="E857" s="125"/>
      <c r="F857" s="125"/>
      <c r="G857" s="125"/>
      <c r="H857" s="125"/>
      <c r="I857" s="125"/>
      <c r="J857" s="126"/>
      <c r="K857" s="125"/>
      <c r="L857" s="125"/>
      <c r="M857" s="136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5"/>
      <c r="AK857" s="125"/>
      <c r="AL857" s="125"/>
    </row>
    <row r="858" spans="1:38" ht="13.2">
      <c r="A858" s="123"/>
      <c r="B858" s="125"/>
      <c r="D858" s="125"/>
      <c r="E858" s="125"/>
      <c r="F858" s="125"/>
      <c r="G858" s="125"/>
      <c r="H858" s="125"/>
      <c r="I858" s="125"/>
      <c r="J858" s="126"/>
      <c r="K858" s="125"/>
      <c r="L858" s="125"/>
      <c r="M858" s="136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5"/>
      <c r="AK858" s="125"/>
      <c r="AL858" s="125"/>
    </row>
    <row r="859" spans="1:38" ht="13.2">
      <c r="A859" s="123"/>
      <c r="B859" s="125"/>
      <c r="D859" s="125"/>
      <c r="E859" s="125"/>
      <c r="F859" s="125"/>
      <c r="G859" s="125"/>
      <c r="H859" s="125"/>
      <c r="I859" s="125"/>
      <c r="J859" s="126"/>
      <c r="K859" s="125"/>
      <c r="L859" s="125"/>
      <c r="M859" s="136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5"/>
      <c r="AK859" s="125"/>
      <c r="AL859" s="125"/>
    </row>
    <row r="860" spans="1:38" ht="13.2">
      <c r="A860" s="123"/>
      <c r="B860" s="125"/>
      <c r="D860" s="125"/>
      <c r="E860" s="125"/>
      <c r="F860" s="125"/>
      <c r="G860" s="125"/>
      <c r="H860" s="125"/>
      <c r="I860" s="125"/>
      <c r="J860" s="126"/>
      <c r="K860" s="125"/>
      <c r="L860" s="125"/>
      <c r="M860" s="136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5"/>
      <c r="AK860" s="125"/>
      <c r="AL860" s="125"/>
    </row>
    <row r="861" spans="1:38" ht="13.2">
      <c r="A861" s="123"/>
      <c r="B861" s="125"/>
      <c r="D861" s="125"/>
      <c r="E861" s="125"/>
      <c r="F861" s="125"/>
      <c r="G861" s="125"/>
      <c r="H861" s="125"/>
      <c r="I861" s="125"/>
      <c r="J861" s="126"/>
      <c r="K861" s="125"/>
      <c r="L861" s="125"/>
      <c r="M861" s="136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</row>
    <row r="862" spans="1:38" ht="13.2">
      <c r="A862" s="123"/>
      <c r="B862" s="125"/>
      <c r="D862" s="125"/>
      <c r="E862" s="125"/>
      <c r="F862" s="125"/>
      <c r="G862" s="125"/>
      <c r="H862" s="125"/>
      <c r="I862" s="125"/>
      <c r="J862" s="126"/>
      <c r="K862" s="125"/>
      <c r="L862" s="125"/>
      <c r="M862" s="136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5"/>
      <c r="AK862" s="125"/>
      <c r="AL862" s="125"/>
    </row>
    <row r="863" spans="1:38" ht="13.2">
      <c r="A863" s="123"/>
      <c r="B863" s="125"/>
      <c r="D863" s="125"/>
      <c r="E863" s="125"/>
      <c r="F863" s="125"/>
      <c r="G863" s="125"/>
      <c r="H863" s="125"/>
      <c r="I863" s="125"/>
      <c r="J863" s="126"/>
      <c r="K863" s="125"/>
      <c r="L863" s="125"/>
      <c r="M863" s="136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</row>
    <row r="864" spans="1:38" ht="13.2">
      <c r="A864" s="123"/>
      <c r="B864" s="125"/>
      <c r="D864" s="125"/>
      <c r="E864" s="125"/>
      <c r="F864" s="125"/>
      <c r="G864" s="125"/>
      <c r="H864" s="125"/>
      <c r="I864" s="125"/>
      <c r="J864" s="126"/>
      <c r="K864" s="125"/>
      <c r="L864" s="125"/>
      <c r="M864" s="136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5"/>
      <c r="AK864" s="125"/>
      <c r="AL864" s="125"/>
    </row>
    <row r="865" spans="1:38" ht="13.2">
      <c r="A865" s="123"/>
      <c r="B865" s="125"/>
      <c r="D865" s="125"/>
      <c r="E865" s="125"/>
      <c r="F865" s="125"/>
      <c r="G865" s="125"/>
      <c r="H865" s="125"/>
      <c r="I865" s="125"/>
      <c r="J865" s="126"/>
      <c r="K865" s="125"/>
      <c r="L865" s="125"/>
      <c r="M865" s="136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5"/>
      <c r="AK865" s="125"/>
      <c r="AL865" s="125"/>
    </row>
    <row r="866" spans="1:38" ht="13.2">
      <c r="A866" s="123"/>
      <c r="B866" s="125"/>
      <c r="D866" s="125"/>
      <c r="E866" s="125"/>
      <c r="F866" s="125"/>
      <c r="G866" s="125"/>
      <c r="H866" s="125"/>
      <c r="I866" s="125"/>
      <c r="J866" s="126"/>
      <c r="K866" s="125"/>
      <c r="L866" s="125"/>
      <c r="M866" s="136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5"/>
      <c r="AK866" s="125"/>
      <c r="AL866" s="125"/>
    </row>
    <row r="867" spans="1:38" ht="13.2">
      <c r="A867" s="123"/>
      <c r="B867" s="125"/>
      <c r="D867" s="125"/>
      <c r="E867" s="125"/>
      <c r="F867" s="125"/>
      <c r="G867" s="125"/>
      <c r="H867" s="125"/>
      <c r="I867" s="125"/>
      <c r="J867" s="126"/>
      <c r="K867" s="125"/>
      <c r="L867" s="125"/>
      <c r="M867" s="136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5"/>
      <c r="AK867" s="125"/>
      <c r="AL867" s="125"/>
    </row>
    <row r="868" spans="1:38" ht="13.2">
      <c r="A868" s="123"/>
      <c r="B868" s="125"/>
      <c r="D868" s="125"/>
      <c r="E868" s="125"/>
      <c r="F868" s="125"/>
      <c r="G868" s="125"/>
      <c r="H868" s="125"/>
      <c r="I868" s="125"/>
      <c r="J868" s="126"/>
      <c r="K868" s="125"/>
      <c r="L868" s="125"/>
      <c r="M868" s="136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5"/>
      <c r="AK868" s="125"/>
      <c r="AL868" s="125"/>
    </row>
    <row r="869" spans="1:38" ht="13.2">
      <c r="A869" s="123"/>
      <c r="B869" s="125"/>
      <c r="D869" s="125"/>
      <c r="E869" s="125"/>
      <c r="F869" s="125"/>
      <c r="G869" s="125"/>
      <c r="H869" s="125"/>
      <c r="I869" s="125"/>
      <c r="J869" s="126"/>
      <c r="K869" s="125"/>
      <c r="L869" s="125"/>
      <c r="M869" s="136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5"/>
      <c r="AK869" s="125"/>
      <c r="AL869" s="125"/>
    </row>
    <row r="870" spans="1:38" ht="13.2">
      <c r="A870" s="123"/>
      <c r="B870" s="125"/>
      <c r="D870" s="125"/>
      <c r="E870" s="125"/>
      <c r="F870" s="125"/>
      <c r="G870" s="125"/>
      <c r="H870" s="125"/>
      <c r="I870" s="125"/>
      <c r="J870" s="126"/>
      <c r="K870" s="125"/>
      <c r="L870" s="125"/>
      <c r="M870" s="136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5"/>
      <c r="AK870" s="125"/>
      <c r="AL870" s="125"/>
    </row>
    <row r="871" spans="1:38" ht="13.2">
      <c r="A871" s="123"/>
      <c r="B871" s="125"/>
      <c r="D871" s="125"/>
      <c r="E871" s="125"/>
      <c r="F871" s="125"/>
      <c r="G871" s="125"/>
      <c r="H871" s="125"/>
      <c r="I871" s="125"/>
      <c r="J871" s="126"/>
      <c r="K871" s="125"/>
      <c r="L871" s="125"/>
      <c r="M871" s="136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</row>
    <row r="872" spans="1:38" ht="13.2">
      <c r="A872" s="123"/>
      <c r="B872" s="125"/>
      <c r="D872" s="125"/>
      <c r="E872" s="125"/>
      <c r="F872" s="125"/>
      <c r="G872" s="125"/>
      <c r="H872" s="125"/>
      <c r="I872" s="125"/>
      <c r="J872" s="126"/>
      <c r="K872" s="125"/>
      <c r="L872" s="125"/>
      <c r="M872" s="136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5"/>
      <c r="AK872" s="125"/>
      <c r="AL872" s="125"/>
    </row>
    <row r="873" spans="1:38" ht="13.2">
      <c r="A873" s="123"/>
      <c r="B873" s="125"/>
      <c r="D873" s="125"/>
      <c r="E873" s="125"/>
      <c r="F873" s="125"/>
      <c r="G873" s="125"/>
      <c r="H873" s="125"/>
      <c r="I873" s="125"/>
      <c r="J873" s="126"/>
      <c r="K873" s="125"/>
      <c r="L873" s="125"/>
      <c r="M873" s="136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5"/>
      <c r="AK873" s="125"/>
      <c r="AL873" s="125"/>
    </row>
    <row r="874" spans="1:38" ht="13.2">
      <c r="A874" s="123"/>
      <c r="B874" s="125"/>
      <c r="D874" s="125"/>
      <c r="E874" s="125"/>
      <c r="F874" s="125"/>
      <c r="G874" s="125"/>
      <c r="H874" s="125"/>
      <c r="I874" s="125"/>
      <c r="J874" s="126"/>
      <c r="K874" s="125"/>
      <c r="L874" s="125"/>
      <c r="M874" s="136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5"/>
      <c r="AK874" s="125"/>
      <c r="AL874" s="125"/>
    </row>
    <row r="875" spans="1:38" ht="13.2">
      <c r="A875" s="123"/>
      <c r="B875" s="125"/>
      <c r="D875" s="125"/>
      <c r="E875" s="125"/>
      <c r="F875" s="125"/>
      <c r="G875" s="125"/>
      <c r="H875" s="125"/>
      <c r="I875" s="125"/>
      <c r="J875" s="126"/>
      <c r="K875" s="125"/>
      <c r="L875" s="125"/>
      <c r="M875" s="136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5"/>
      <c r="AK875" s="125"/>
      <c r="AL875" s="125"/>
    </row>
    <row r="876" spans="1:38" ht="13.2">
      <c r="A876" s="123"/>
      <c r="B876" s="125"/>
      <c r="D876" s="125"/>
      <c r="E876" s="125"/>
      <c r="F876" s="125"/>
      <c r="G876" s="125"/>
      <c r="H876" s="125"/>
      <c r="I876" s="125"/>
      <c r="J876" s="126"/>
      <c r="K876" s="125"/>
      <c r="L876" s="125"/>
      <c r="M876" s="136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5"/>
      <c r="AK876" s="125"/>
      <c r="AL876" s="125"/>
    </row>
    <row r="877" spans="1:38" ht="13.2">
      <c r="A877" s="123"/>
      <c r="B877" s="125"/>
      <c r="D877" s="125"/>
      <c r="E877" s="125"/>
      <c r="F877" s="125"/>
      <c r="G877" s="125"/>
      <c r="H877" s="125"/>
      <c r="I877" s="125"/>
      <c r="J877" s="126"/>
      <c r="K877" s="125"/>
      <c r="L877" s="125"/>
      <c r="M877" s="136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5"/>
      <c r="AK877" s="125"/>
      <c r="AL877" s="125"/>
    </row>
    <row r="878" spans="1:38" ht="13.2">
      <c r="A878" s="123"/>
      <c r="B878" s="125"/>
      <c r="D878" s="125"/>
      <c r="E878" s="125"/>
      <c r="F878" s="125"/>
      <c r="G878" s="125"/>
      <c r="H878" s="125"/>
      <c r="I878" s="125"/>
      <c r="J878" s="126"/>
      <c r="K878" s="125"/>
      <c r="L878" s="125"/>
      <c r="M878" s="136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5"/>
      <c r="AK878" s="125"/>
      <c r="AL878" s="125"/>
    </row>
    <row r="879" spans="1:38" ht="13.2">
      <c r="A879" s="123"/>
      <c r="B879" s="125"/>
      <c r="D879" s="125"/>
      <c r="E879" s="125"/>
      <c r="F879" s="125"/>
      <c r="G879" s="125"/>
      <c r="H879" s="125"/>
      <c r="I879" s="125"/>
      <c r="J879" s="126"/>
      <c r="K879" s="125"/>
      <c r="L879" s="125"/>
      <c r="M879" s="136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5"/>
      <c r="AK879" s="125"/>
      <c r="AL879" s="125"/>
    </row>
    <row r="880" spans="1:38" ht="13.2">
      <c r="A880" s="123"/>
      <c r="B880" s="125"/>
      <c r="D880" s="125"/>
      <c r="E880" s="125"/>
      <c r="F880" s="125"/>
      <c r="G880" s="125"/>
      <c r="H880" s="125"/>
      <c r="I880" s="125"/>
      <c r="J880" s="126"/>
      <c r="K880" s="125"/>
      <c r="L880" s="125"/>
      <c r="M880" s="136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5"/>
      <c r="AK880" s="125"/>
      <c r="AL880" s="125"/>
    </row>
    <row r="881" spans="1:38" ht="13.2">
      <c r="A881" s="123"/>
      <c r="B881" s="125"/>
      <c r="D881" s="125"/>
      <c r="E881" s="125"/>
      <c r="F881" s="125"/>
      <c r="G881" s="125"/>
      <c r="H881" s="125"/>
      <c r="I881" s="125"/>
      <c r="J881" s="126"/>
      <c r="K881" s="125"/>
      <c r="L881" s="125"/>
      <c r="M881" s="136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5"/>
      <c r="AK881" s="125"/>
      <c r="AL881" s="125"/>
    </row>
    <row r="882" spans="1:38" ht="13.2">
      <c r="A882" s="123"/>
      <c r="B882" s="125"/>
      <c r="D882" s="125"/>
      <c r="E882" s="125"/>
      <c r="F882" s="125"/>
      <c r="G882" s="125"/>
      <c r="H882" s="125"/>
      <c r="I882" s="125"/>
      <c r="J882" s="126"/>
      <c r="K882" s="125"/>
      <c r="L882" s="125"/>
      <c r="M882" s="136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5"/>
      <c r="AK882" s="125"/>
      <c r="AL882" s="125"/>
    </row>
    <row r="883" spans="1:38" ht="13.2">
      <c r="A883" s="123"/>
      <c r="B883" s="125"/>
      <c r="D883" s="125"/>
      <c r="E883" s="125"/>
      <c r="F883" s="125"/>
      <c r="G883" s="125"/>
      <c r="H883" s="125"/>
      <c r="I883" s="125"/>
      <c r="J883" s="126"/>
      <c r="K883" s="125"/>
      <c r="L883" s="125"/>
      <c r="M883" s="136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5"/>
      <c r="AK883" s="125"/>
      <c r="AL883" s="125"/>
    </row>
    <row r="884" spans="1:38" ht="13.2">
      <c r="A884" s="123"/>
      <c r="B884" s="125"/>
      <c r="D884" s="125"/>
      <c r="E884" s="125"/>
      <c r="F884" s="125"/>
      <c r="G884" s="125"/>
      <c r="H884" s="125"/>
      <c r="I884" s="125"/>
      <c r="J884" s="126"/>
      <c r="K884" s="125"/>
      <c r="L884" s="125"/>
      <c r="M884" s="136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5"/>
      <c r="AK884" s="125"/>
      <c r="AL884" s="125"/>
    </row>
    <row r="885" spans="1:38" ht="13.2">
      <c r="A885" s="123"/>
      <c r="B885" s="125"/>
      <c r="D885" s="125"/>
      <c r="E885" s="125"/>
      <c r="F885" s="125"/>
      <c r="G885" s="125"/>
      <c r="H885" s="125"/>
      <c r="I885" s="125"/>
      <c r="J885" s="126"/>
      <c r="K885" s="125"/>
      <c r="L885" s="125"/>
      <c r="M885" s="136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5"/>
      <c r="AK885" s="125"/>
      <c r="AL885" s="125"/>
    </row>
    <row r="886" spans="1:38" ht="13.2">
      <c r="A886" s="123"/>
      <c r="B886" s="125"/>
      <c r="D886" s="125"/>
      <c r="E886" s="125"/>
      <c r="F886" s="125"/>
      <c r="G886" s="125"/>
      <c r="H886" s="125"/>
      <c r="I886" s="125"/>
      <c r="J886" s="126"/>
      <c r="K886" s="125"/>
      <c r="L886" s="125"/>
      <c r="M886" s="136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5"/>
      <c r="AK886" s="125"/>
      <c r="AL886" s="125"/>
    </row>
    <row r="887" spans="1:38" ht="13.2">
      <c r="A887" s="123"/>
      <c r="B887" s="125"/>
      <c r="D887" s="125"/>
      <c r="E887" s="125"/>
      <c r="F887" s="125"/>
      <c r="G887" s="125"/>
      <c r="H887" s="125"/>
      <c r="I887" s="125"/>
      <c r="J887" s="126"/>
      <c r="K887" s="125"/>
      <c r="L887" s="125"/>
      <c r="M887" s="136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5"/>
      <c r="AK887" s="125"/>
      <c r="AL887" s="125"/>
    </row>
    <row r="888" spans="1:38" ht="13.2">
      <c r="A888" s="123"/>
      <c r="B888" s="125"/>
      <c r="D888" s="125"/>
      <c r="E888" s="125"/>
      <c r="F888" s="125"/>
      <c r="G888" s="125"/>
      <c r="H888" s="125"/>
      <c r="I888" s="125"/>
      <c r="J888" s="126"/>
      <c r="K888" s="125"/>
      <c r="L888" s="125"/>
      <c r="M888" s="136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5"/>
      <c r="AK888" s="125"/>
      <c r="AL888" s="125"/>
    </row>
    <row r="889" spans="1:38" ht="13.2">
      <c r="A889" s="123"/>
      <c r="B889" s="125"/>
      <c r="D889" s="125"/>
      <c r="E889" s="125"/>
      <c r="F889" s="125"/>
      <c r="G889" s="125"/>
      <c r="H889" s="125"/>
      <c r="I889" s="125"/>
      <c r="J889" s="126"/>
      <c r="K889" s="125"/>
      <c r="L889" s="125"/>
      <c r="M889" s="136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5"/>
      <c r="AK889" s="125"/>
      <c r="AL889" s="125"/>
    </row>
    <row r="890" spans="1:38" ht="13.2">
      <c r="A890" s="123"/>
      <c r="B890" s="125"/>
      <c r="D890" s="125"/>
      <c r="E890" s="125"/>
      <c r="F890" s="125"/>
      <c r="G890" s="125"/>
      <c r="H890" s="125"/>
      <c r="I890" s="125"/>
      <c r="J890" s="126"/>
      <c r="K890" s="125"/>
      <c r="L890" s="125"/>
      <c r="M890" s="136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5"/>
      <c r="AK890" s="125"/>
      <c r="AL890" s="125"/>
    </row>
    <row r="891" spans="1:38" ht="13.2">
      <c r="A891" s="123"/>
      <c r="B891" s="125"/>
      <c r="D891" s="125"/>
      <c r="E891" s="125"/>
      <c r="F891" s="125"/>
      <c r="G891" s="125"/>
      <c r="H891" s="125"/>
      <c r="I891" s="125"/>
      <c r="J891" s="126"/>
      <c r="K891" s="125"/>
      <c r="L891" s="125"/>
      <c r="M891" s="136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5"/>
      <c r="AK891" s="125"/>
      <c r="AL891" s="125"/>
    </row>
    <row r="892" spans="1:38" ht="13.2">
      <c r="A892" s="123"/>
      <c r="B892" s="125"/>
      <c r="D892" s="125"/>
      <c r="E892" s="125"/>
      <c r="F892" s="125"/>
      <c r="G892" s="125"/>
      <c r="H892" s="125"/>
      <c r="I892" s="125"/>
      <c r="J892" s="126"/>
      <c r="K892" s="125"/>
      <c r="L892" s="125"/>
      <c r="M892" s="136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5"/>
      <c r="AK892" s="125"/>
      <c r="AL892" s="125"/>
    </row>
    <row r="893" spans="1:38" ht="13.2">
      <c r="A893" s="123"/>
      <c r="B893" s="125"/>
      <c r="D893" s="125"/>
      <c r="E893" s="125"/>
      <c r="F893" s="125"/>
      <c r="G893" s="125"/>
      <c r="H893" s="125"/>
      <c r="I893" s="125"/>
      <c r="J893" s="126"/>
      <c r="K893" s="125"/>
      <c r="L893" s="125"/>
      <c r="M893" s="136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5"/>
      <c r="AK893" s="125"/>
      <c r="AL893" s="125"/>
    </row>
    <row r="894" spans="1:38" ht="13.2">
      <c r="A894" s="123"/>
      <c r="B894" s="125"/>
      <c r="D894" s="125"/>
      <c r="E894" s="125"/>
      <c r="F894" s="125"/>
      <c r="G894" s="125"/>
      <c r="H894" s="125"/>
      <c r="I894" s="125"/>
      <c r="J894" s="126"/>
      <c r="K894" s="125"/>
      <c r="L894" s="125"/>
      <c r="M894" s="136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5"/>
      <c r="AK894" s="125"/>
      <c r="AL894" s="125"/>
    </row>
    <row r="895" spans="1:38" ht="13.2">
      <c r="A895" s="123"/>
      <c r="B895" s="125"/>
      <c r="D895" s="125"/>
      <c r="E895" s="125"/>
      <c r="F895" s="125"/>
      <c r="G895" s="125"/>
      <c r="H895" s="125"/>
      <c r="I895" s="125"/>
      <c r="J895" s="126"/>
      <c r="K895" s="125"/>
      <c r="L895" s="125"/>
      <c r="M895" s="136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5"/>
      <c r="AK895" s="125"/>
      <c r="AL895" s="125"/>
    </row>
    <row r="896" spans="1:38" ht="13.2">
      <c r="A896" s="123"/>
      <c r="B896" s="125"/>
      <c r="D896" s="125"/>
      <c r="E896" s="125"/>
      <c r="F896" s="125"/>
      <c r="G896" s="125"/>
      <c r="H896" s="125"/>
      <c r="I896" s="125"/>
      <c r="J896" s="126"/>
      <c r="K896" s="125"/>
      <c r="L896" s="125"/>
      <c r="M896" s="136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5"/>
      <c r="AK896" s="125"/>
      <c r="AL896" s="125"/>
    </row>
    <row r="897" spans="1:38" ht="13.2">
      <c r="A897" s="123"/>
      <c r="B897" s="125"/>
      <c r="D897" s="125"/>
      <c r="E897" s="125"/>
      <c r="F897" s="125"/>
      <c r="G897" s="125"/>
      <c r="H897" s="125"/>
      <c r="I897" s="125"/>
      <c r="J897" s="126"/>
      <c r="K897" s="125"/>
      <c r="L897" s="125"/>
      <c r="M897" s="136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5"/>
      <c r="AK897" s="125"/>
      <c r="AL897" s="125"/>
    </row>
    <row r="898" spans="1:38" ht="13.2">
      <c r="A898" s="123"/>
      <c r="B898" s="125"/>
      <c r="D898" s="125"/>
      <c r="E898" s="125"/>
      <c r="F898" s="125"/>
      <c r="G898" s="125"/>
      <c r="H898" s="125"/>
      <c r="I898" s="125"/>
      <c r="J898" s="126"/>
      <c r="K898" s="125"/>
      <c r="L898" s="125"/>
      <c r="M898" s="136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5"/>
      <c r="AK898" s="125"/>
      <c r="AL898" s="125"/>
    </row>
    <row r="899" spans="1:38" ht="13.2">
      <c r="A899" s="123"/>
      <c r="B899" s="125"/>
      <c r="D899" s="125"/>
      <c r="E899" s="125"/>
      <c r="F899" s="125"/>
      <c r="G899" s="125"/>
      <c r="H899" s="125"/>
      <c r="I899" s="125"/>
      <c r="J899" s="126"/>
      <c r="K899" s="125"/>
      <c r="L899" s="125"/>
      <c r="M899" s="136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5"/>
      <c r="AK899" s="125"/>
      <c r="AL899" s="125"/>
    </row>
    <row r="900" spans="1:38" ht="13.2">
      <c r="A900" s="123"/>
      <c r="B900" s="125"/>
      <c r="D900" s="125"/>
      <c r="E900" s="125"/>
      <c r="F900" s="125"/>
      <c r="G900" s="125"/>
      <c r="H900" s="125"/>
      <c r="I900" s="125"/>
      <c r="J900" s="126"/>
      <c r="K900" s="125"/>
      <c r="L900" s="125"/>
      <c r="M900" s="136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5"/>
      <c r="AK900" s="125"/>
      <c r="AL900" s="125"/>
    </row>
    <row r="901" spans="1:38" ht="13.2">
      <c r="A901" s="123"/>
      <c r="B901" s="125"/>
      <c r="D901" s="125"/>
      <c r="E901" s="125"/>
      <c r="F901" s="125"/>
      <c r="G901" s="125"/>
      <c r="H901" s="125"/>
      <c r="I901" s="125"/>
      <c r="J901" s="126"/>
      <c r="K901" s="125"/>
      <c r="L901" s="125"/>
      <c r="M901" s="136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5"/>
      <c r="AK901" s="125"/>
      <c r="AL901" s="125"/>
    </row>
    <row r="902" spans="1:38" ht="13.2">
      <c r="A902" s="123"/>
      <c r="B902" s="125"/>
      <c r="D902" s="125"/>
      <c r="E902" s="125"/>
      <c r="F902" s="125"/>
      <c r="G902" s="125"/>
      <c r="H902" s="125"/>
      <c r="I902" s="125"/>
      <c r="J902" s="126"/>
      <c r="K902" s="125"/>
      <c r="L902" s="125"/>
      <c r="M902" s="136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5"/>
      <c r="AK902" s="125"/>
      <c r="AL902" s="125"/>
    </row>
    <row r="903" spans="1:38" ht="13.2">
      <c r="A903" s="123"/>
      <c r="B903" s="125"/>
      <c r="D903" s="125"/>
      <c r="E903" s="125"/>
      <c r="F903" s="125"/>
      <c r="G903" s="125"/>
      <c r="H903" s="125"/>
      <c r="I903" s="125"/>
      <c r="J903" s="126"/>
      <c r="K903" s="125"/>
      <c r="L903" s="125"/>
      <c r="M903" s="136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5"/>
      <c r="AK903" s="125"/>
      <c r="AL903" s="125"/>
    </row>
    <row r="904" spans="1:38" ht="13.2">
      <c r="A904" s="123"/>
      <c r="B904" s="125"/>
      <c r="D904" s="125"/>
      <c r="E904" s="125"/>
      <c r="F904" s="125"/>
      <c r="G904" s="125"/>
      <c r="H904" s="125"/>
      <c r="I904" s="125"/>
      <c r="J904" s="126"/>
      <c r="K904" s="125"/>
      <c r="L904" s="125"/>
      <c r="M904" s="136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5"/>
      <c r="AK904" s="125"/>
      <c r="AL904" s="125"/>
    </row>
    <row r="905" spans="1:38" ht="13.2">
      <c r="A905" s="123"/>
      <c r="B905" s="125"/>
      <c r="D905" s="125"/>
      <c r="E905" s="125"/>
      <c r="F905" s="125"/>
      <c r="G905" s="125"/>
      <c r="H905" s="125"/>
      <c r="I905" s="125"/>
      <c r="J905" s="126"/>
      <c r="K905" s="125"/>
      <c r="L905" s="125"/>
      <c r="M905" s="136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5"/>
      <c r="AK905" s="125"/>
      <c r="AL905" s="125"/>
    </row>
    <row r="906" spans="1:38" ht="13.2">
      <c r="A906" s="123"/>
      <c r="B906" s="125"/>
      <c r="D906" s="125"/>
      <c r="E906" s="125"/>
      <c r="F906" s="125"/>
      <c r="G906" s="125"/>
      <c r="H906" s="125"/>
      <c r="I906" s="125"/>
      <c r="J906" s="126"/>
      <c r="K906" s="125"/>
      <c r="L906" s="125"/>
      <c r="M906" s="136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5"/>
      <c r="AK906" s="125"/>
      <c r="AL906" s="125"/>
    </row>
    <row r="907" spans="1:38" ht="13.2">
      <c r="A907" s="123"/>
      <c r="B907" s="125"/>
      <c r="D907" s="125"/>
      <c r="E907" s="125"/>
      <c r="F907" s="125"/>
      <c r="G907" s="125"/>
      <c r="H907" s="125"/>
      <c r="I907" s="125"/>
      <c r="J907" s="126"/>
      <c r="K907" s="125"/>
      <c r="L907" s="125"/>
      <c r="M907" s="136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5"/>
      <c r="AK907" s="125"/>
      <c r="AL907" s="125"/>
    </row>
    <row r="908" spans="1:38" ht="13.2">
      <c r="A908" s="123"/>
      <c r="B908" s="125"/>
      <c r="D908" s="125"/>
      <c r="E908" s="125"/>
      <c r="F908" s="125"/>
      <c r="G908" s="125"/>
      <c r="H908" s="125"/>
      <c r="I908" s="125"/>
      <c r="J908" s="126"/>
      <c r="K908" s="125"/>
      <c r="L908" s="125"/>
      <c r="M908" s="136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5"/>
      <c r="AK908" s="125"/>
      <c r="AL908" s="125"/>
    </row>
    <row r="909" spans="1:38" ht="13.2">
      <c r="A909" s="123"/>
      <c r="B909" s="125"/>
      <c r="D909" s="125"/>
      <c r="E909" s="125"/>
      <c r="F909" s="125"/>
      <c r="G909" s="125"/>
      <c r="H909" s="125"/>
      <c r="I909" s="125"/>
      <c r="J909" s="126"/>
      <c r="K909" s="125"/>
      <c r="L909" s="125"/>
      <c r="M909" s="136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5"/>
      <c r="AK909" s="125"/>
      <c r="AL909" s="125"/>
    </row>
    <row r="910" spans="1:38" ht="13.2">
      <c r="A910" s="123"/>
      <c r="B910" s="125"/>
      <c r="D910" s="125"/>
      <c r="E910" s="125"/>
      <c r="F910" s="125"/>
      <c r="G910" s="125"/>
      <c r="H910" s="125"/>
      <c r="I910" s="125"/>
      <c r="J910" s="126"/>
      <c r="K910" s="125"/>
      <c r="L910" s="125"/>
      <c r="M910" s="136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5"/>
      <c r="AK910" s="125"/>
      <c r="AL910" s="125"/>
    </row>
    <row r="911" spans="1:38" ht="13.2">
      <c r="A911" s="123"/>
      <c r="B911" s="125"/>
      <c r="D911" s="125"/>
      <c r="E911" s="125"/>
      <c r="F911" s="125"/>
      <c r="G911" s="125"/>
      <c r="H911" s="125"/>
      <c r="I911" s="125"/>
      <c r="J911" s="126"/>
      <c r="K911" s="125"/>
      <c r="L911" s="125"/>
      <c r="M911" s="136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5"/>
      <c r="AK911" s="125"/>
      <c r="AL911" s="125"/>
    </row>
    <row r="912" spans="1:38" ht="13.2">
      <c r="A912" s="123"/>
      <c r="B912" s="125"/>
      <c r="D912" s="125"/>
      <c r="E912" s="125"/>
      <c r="F912" s="125"/>
      <c r="G912" s="125"/>
      <c r="H912" s="125"/>
      <c r="I912" s="125"/>
      <c r="J912" s="126"/>
      <c r="K912" s="125"/>
      <c r="L912" s="125"/>
      <c r="M912" s="136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5"/>
      <c r="AK912" s="125"/>
      <c r="AL912" s="125"/>
    </row>
    <row r="913" spans="1:38" ht="13.2">
      <c r="A913" s="123"/>
      <c r="B913" s="125"/>
      <c r="D913" s="125"/>
      <c r="E913" s="125"/>
      <c r="F913" s="125"/>
      <c r="G913" s="125"/>
      <c r="H913" s="125"/>
      <c r="I913" s="125"/>
      <c r="J913" s="126"/>
      <c r="K913" s="125"/>
      <c r="L913" s="125"/>
      <c r="M913" s="136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5"/>
      <c r="AK913" s="125"/>
      <c r="AL913" s="125"/>
    </row>
    <row r="914" spans="1:38" ht="13.2">
      <c r="A914" s="123"/>
      <c r="B914" s="125"/>
      <c r="D914" s="125"/>
      <c r="E914" s="125"/>
      <c r="F914" s="125"/>
      <c r="G914" s="125"/>
      <c r="H914" s="125"/>
      <c r="I914" s="125"/>
      <c r="J914" s="126"/>
      <c r="K914" s="125"/>
      <c r="L914" s="125"/>
      <c r="M914" s="136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5"/>
      <c r="AK914" s="125"/>
      <c r="AL914" s="125"/>
    </row>
    <row r="915" spans="1:38" ht="13.2">
      <c r="A915" s="123"/>
      <c r="B915" s="125"/>
      <c r="D915" s="125"/>
      <c r="E915" s="125"/>
      <c r="F915" s="125"/>
      <c r="G915" s="125"/>
      <c r="H915" s="125"/>
      <c r="I915" s="125"/>
      <c r="J915" s="126"/>
      <c r="K915" s="125"/>
      <c r="L915" s="125"/>
      <c r="M915" s="136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5"/>
      <c r="AK915" s="125"/>
      <c r="AL915" s="125"/>
    </row>
    <row r="916" spans="1:38" ht="13.2">
      <c r="A916" s="123"/>
      <c r="B916" s="125"/>
      <c r="D916" s="125"/>
      <c r="E916" s="125"/>
      <c r="F916" s="125"/>
      <c r="G916" s="125"/>
      <c r="H916" s="125"/>
      <c r="I916" s="125"/>
      <c r="J916" s="126"/>
      <c r="K916" s="125"/>
      <c r="L916" s="125"/>
      <c r="M916" s="136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5"/>
      <c r="AK916" s="125"/>
      <c r="AL916" s="125"/>
    </row>
    <row r="917" spans="1:38" ht="13.2">
      <c r="A917" s="123"/>
      <c r="B917" s="125"/>
      <c r="D917" s="125"/>
      <c r="E917" s="125"/>
      <c r="F917" s="125"/>
      <c r="G917" s="125"/>
      <c r="H917" s="125"/>
      <c r="I917" s="125"/>
      <c r="J917" s="126"/>
      <c r="K917" s="125"/>
      <c r="L917" s="125"/>
      <c r="M917" s="136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5"/>
      <c r="AK917" s="125"/>
      <c r="AL917" s="125"/>
    </row>
    <row r="918" spans="1:38" ht="13.2">
      <c r="A918" s="123"/>
      <c r="B918" s="125"/>
      <c r="D918" s="125"/>
      <c r="E918" s="125"/>
      <c r="F918" s="125"/>
      <c r="G918" s="125"/>
      <c r="H918" s="125"/>
      <c r="I918" s="125"/>
      <c r="J918" s="126"/>
      <c r="K918" s="125"/>
      <c r="L918" s="125"/>
      <c r="M918" s="136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5"/>
      <c r="AK918" s="125"/>
      <c r="AL918" s="125"/>
    </row>
    <row r="919" spans="1:38" ht="13.2">
      <c r="A919" s="123"/>
      <c r="B919" s="125"/>
      <c r="D919" s="125"/>
      <c r="E919" s="125"/>
      <c r="F919" s="125"/>
      <c r="G919" s="125"/>
      <c r="H919" s="125"/>
      <c r="I919" s="125"/>
      <c r="J919" s="126"/>
      <c r="K919" s="125"/>
      <c r="L919" s="125"/>
      <c r="M919" s="136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5"/>
      <c r="AK919" s="125"/>
      <c r="AL919" s="125"/>
    </row>
    <row r="920" spans="1:38" ht="13.2">
      <c r="A920" s="123"/>
      <c r="B920" s="125"/>
      <c r="D920" s="125"/>
      <c r="E920" s="125"/>
      <c r="F920" s="125"/>
      <c r="G920" s="125"/>
      <c r="H920" s="125"/>
      <c r="I920" s="125"/>
      <c r="J920" s="126"/>
      <c r="K920" s="125"/>
      <c r="L920" s="125"/>
      <c r="M920" s="136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5"/>
      <c r="AK920" s="125"/>
      <c r="AL920" s="125"/>
    </row>
    <row r="921" spans="1:38" ht="13.2">
      <c r="A921" s="123"/>
      <c r="B921" s="125"/>
      <c r="D921" s="125"/>
      <c r="E921" s="125"/>
      <c r="F921" s="125"/>
      <c r="G921" s="125"/>
      <c r="H921" s="125"/>
      <c r="I921" s="125"/>
      <c r="J921" s="126"/>
      <c r="K921" s="125"/>
      <c r="L921" s="125"/>
      <c r="M921" s="136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5"/>
      <c r="AK921" s="125"/>
      <c r="AL921" s="125"/>
    </row>
    <row r="922" spans="1:38" ht="13.2">
      <c r="A922" s="123"/>
      <c r="B922" s="125"/>
      <c r="D922" s="125"/>
      <c r="E922" s="125"/>
      <c r="F922" s="125"/>
      <c r="G922" s="125"/>
      <c r="H922" s="125"/>
      <c r="I922" s="125"/>
      <c r="J922" s="126"/>
      <c r="K922" s="125"/>
      <c r="L922" s="125"/>
      <c r="M922" s="136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5"/>
      <c r="AK922" s="125"/>
      <c r="AL922" s="125"/>
    </row>
    <row r="923" spans="1:38" ht="13.2">
      <c r="A923" s="123"/>
      <c r="B923" s="125"/>
      <c r="D923" s="125"/>
      <c r="E923" s="125"/>
      <c r="F923" s="125"/>
      <c r="G923" s="125"/>
      <c r="H923" s="125"/>
      <c r="I923" s="125"/>
      <c r="J923" s="126"/>
      <c r="K923" s="125"/>
      <c r="L923" s="125"/>
      <c r="M923" s="136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5"/>
      <c r="AK923" s="125"/>
      <c r="AL923" s="125"/>
    </row>
    <row r="924" spans="1:38" ht="13.2">
      <c r="A924" s="123"/>
      <c r="B924" s="125"/>
      <c r="D924" s="125"/>
      <c r="E924" s="125"/>
      <c r="F924" s="125"/>
      <c r="G924" s="125"/>
      <c r="H924" s="125"/>
      <c r="I924" s="125"/>
      <c r="J924" s="126"/>
      <c r="K924" s="125"/>
      <c r="L924" s="125"/>
      <c r="M924" s="136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5"/>
      <c r="AK924" s="125"/>
      <c r="AL924" s="125"/>
    </row>
    <row r="925" spans="1:38" ht="13.2">
      <c r="A925" s="123"/>
      <c r="B925" s="125"/>
      <c r="D925" s="125"/>
      <c r="E925" s="125"/>
      <c r="F925" s="125"/>
      <c r="G925" s="125"/>
      <c r="H925" s="125"/>
      <c r="I925" s="125"/>
      <c r="J925" s="126"/>
      <c r="K925" s="125"/>
      <c r="L925" s="125"/>
      <c r="M925" s="136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5"/>
      <c r="AK925" s="125"/>
      <c r="AL925" s="125"/>
    </row>
    <row r="926" spans="1:38" ht="13.2">
      <c r="A926" s="123"/>
      <c r="B926" s="125"/>
      <c r="D926" s="125"/>
      <c r="E926" s="125"/>
      <c r="F926" s="125"/>
      <c r="G926" s="125"/>
      <c r="H926" s="125"/>
      <c r="I926" s="125"/>
      <c r="J926" s="126"/>
      <c r="K926" s="125"/>
      <c r="L926" s="125"/>
      <c r="M926" s="136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5"/>
      <c r="AK926" s="125"/>
      <c r="AL926" s="125"/>
    </row>
    <row r="927" spans="1:38" ht="13.2">
      <c r="A927" s="123"/>
      <c r="B927" s="125"/>
      <c r="D927" s="125"/>
      <c r="E927" s="125"/>
      <c r="F927" s="125"/>
      <c r="G927" s="125"/>
      <c r="H927" s="125"/>
      <c r="I927" s="125"/>
      <c r="J927" s="126"/>
      <c r="K927" s="125"/>
      <c r="L927" s="125"/>
      <c r="M927" s="136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5"/>
      <c r="AK927" s="125"/>
      <c r="AL927" s="125"/>
    </row>
    <row r="928" spans="1:38" ht="13.2">
      <c r="A928" s="123"/>
      <c r="B928" s="125"/>
      <c r="D928" s="125"/>
      <c r="E928" s="125"/>
      <c r="F928" s="125"/>
      <c r="G928" s="125"/>
      <c r="H928" s="125"/>
      <c r="I928" s="125"/>
      <c r="J928" s="126"/>
      <c r="K928" s="125"/>
      <c r="L928" s="125"/>
      <c r="M928" s="136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  <c r="AH928" s="125"/>
      <c r="AI928" s="125"/>
      <c r="AJ928" s="125"/>
      <c r="AK928" s="125"/>
      <c r="AL928" s="125"/>
    </row>
    <row r="929" spans="1:38" ht="13.2">
      <c r="A929" s="123"/>
      <c r="B929" s="125"/>
      <c r="D929" s="125"/>
      <c r="E929" s="125"/>
      <c r="F929" s="125"/>
      <c r="G929" s="125"/>
      <c r="H929" s="125"/>
      <c r="I929" s="125"/>
      <c r="J929" s="126"/>
      <c r="K929" s="125"/>
      <c r="L929" s="125"/>
      <c r="M929" s="136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</row>
    <row r="930" spans="1:38" ht="13.2">
      <c r="A930" s="123"/>
      <c r="B930" s="125"/>
      <c r="D930" s="125"/>
      <c r="E930" s="125"/>
      <c r="F930" s="125"/>
      <c r="G930" s="125"/>
      <c r="H930" s="125"/>
      <c r="I930" s="125"/>
      <c r="J930" s="126"/>
      <c r="K930" s="125"/>
      <c r="L930" s="125"/>
      <c r="M930" s="136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5"/>
      <c r="AK930" s="125"/>
      <c r="AL930" s="125"/>
    </row>
    <row r="931" spans="1:38" ht="13.2">
      <c r="A931" s="123"/>
      <c r="B931" s="125"/>
      <c r="D931" s="125"/>
      <c r="E931" s="125"/>
      <c r="F931" s="125"/>
      <c r="G931" s="125"/>
      <c r="H931" s="125"/>
      <c r="I931" s="125"/>
      <c r="J931" s="126"/>
      <c r="K931" s="125"/>
      <c r="L931" s="125"/>
      <c r="M931" s="136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5"/>
      <c r="AK931" s="125"/>
      <c r="AL931" s="125"/>
    </row>
    <row r="932" spans="1:38" ht="13.2">
      <c r="A932" s="123"/>
      <c r="B932" s="125"/>
      <c r="D932" s="125"/>
      <c r="E932" s="125"/>
      <c r="F932" s="125"/>
      <c r="G932" s="125"/>
      <c r="H932" s="125"/>
      <c r="I932" s="125"/>
      <c r="J932" s="126"/>
      <c r="K932" s="125"/>
      <c r="L932" s="125"/>
      <c r="M932" s="136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5"/>
      <c r="AK932" s="125"/>
      <c r="AL932" s="125"/>
    </row>
    <row r="933" spans="1:38" ht="13.2">
      <c r="A933" s="123"/>
      <c r="B933" s="125"/>
      <c r="D933" s="125"/>
      <c r="E933" s="125"/>
      <c r="F933" s="125"/>
      <c r="G933" s="125"/>
      <c r="H933" s="125"/>
      <c r="I933" s="125"/>
      <c r="J933" s="126"/>
      <c r="K933" s="125"/>
      <c r="L933" s="125"/>
      <c r="M933" s="136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5"/>
      <c r="AK933" s="125"/>
      <c r="AL933" s="125"/>
    </row>
    <row r="934" spans="1:38" ht="13.2">
      <c r="A934" s="123"/>
      <c r="B934" s="125"/>
      <c r="D934" s="125"/>
      <c r="E934" s="125"/>
      <c r="F934" s="125"/>
      <c r="G934" s="125"/>
      <c r="H934" s="125"/>
      <c r="I934" s="125"/>
      <c r="J934" s="126"/>
      <c r="K934" s="125"/>
      <c r="L934" s="125"/>
      <c r="M934" s="136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  <c r="AH934" s="125"/>
      <c r="AI934" s="125"/>
      <c r="AJ934" s="125"/>
      <c r="AK934" s="125"/>
      <c r="AL934" s="125"/>
    </row>
    <row r="935" spans="1:38" ht="13.2">
      <c r="A935" s="123"/>
      <c r="B935" s="125"/>
      <c r="D935" s="125"/>
      <c r="E935" s="125"/>
      <c r="F935" s="125"/>
      <c r="G935" s="125"/>
      <c r="H935" s="125"/>
      <c r="I935" s="125"/>
      <c r="J935" s="126"/>
      <c r="K935" s="125"/>
      <c r="L935" s="125"/>
      <c r="M935" s="136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5"/>
      <c r="AK935" s="125"/>
      <c r="AL935" s="125"/>
    </row>
    <row r="936" spans="1:38" ht="13.2">
      <c r="A936" s="123"/>
      <c r="B936" s="125"/>
      <c r="D936" s="125"/>
      <c r="E936" s="125"/>
      <c r="F936" s="125"/>
      <c r="G936" s="125"/>
      <c r="H936" s="125"/>
      <c r="I936" s="125"/>
      <c r="J936" s="126"/>
      <c r="K936" s="125"/>
      <c r="L936" s="125"/>
      <c r="M936" s="136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5"/>
      <c r="AK936" s="125"/>
      <c r="AL936" s="125"/>
    </row>
    <row r="937" spans="1:38" ht="13.2">
      <c r="A937" s="123"/>
      <c r="B937" s="125"/>
      <c r="D937" s="125"/>
      <c r="E937" s="125"/>
      <c r="F937" s="125"/>
      <c r="G937" s="125"/>
      <c r="H937" s="125"/>
      <c r="I937" s="125"/>
      <c r="J937" s="126"/>
      <c r="K937" s="125"/>
      <c r="L937" s="125"/>
      <c r="M937" s="136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5"/>
      <c r="AK937" s="125"/>
      <c r="AL937" s="125"/>
    </row>
    <row r="938" spans="1:38" ht="13.2">
      <c r="A938" s="123"/>
      <c r="B938" s="125"/>
      <c r="D938" s="125"/>
      <c r="E938" s="125"/>
      <c r="F938" s="125"/>
      <c r="G938" s="125"/>
      <c r="H938" s="125"/>
      <c r="I938" s="125"/>
      <c r="J938" s="126"/>
      <c r="K938" s="125"/>
      <c r="L938" s="125"/>
      <c r="M938" s="136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5"/>
      <c r="AK938" s="125"/>
      <c r="AL938" s="125"/>
    </row>
    <row r="939" spans="1:38" ht="13.2">
      <c r="A939" s="123"/>
      <c r="B939" s="125"/>
      <c r="D939" s="125"/>
      <c r="E939" s="125"/>
      <c r="F939" s="125"/>
      <c r="G939" s="125"/>
      <c r="H939" s="125"/>
      <c r="I939" s="125"/>
      <c r="J939" s="126"/>
      <c r="K939" s="125"/>
      <c r="L939" s="125"/>
      <c r="M939" s="136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5"/>
      <c r="AK939" s="125"/>
      <c r="AL939" s="125"/>
    </row>
    <row r="940" spans="1:38" ht="13.2">
      <c r="A940" s="123"/>
      <c r="B940" s="125"/>
      <c r="D940" s="125"/>
      <c r="E940" s="125"/>
      <c r="F940" s="125"/>
      <c r="G940" s="125"/>
      <c r="H940" s="125"/>
      <c r="I940" s="125"/>
      <c r="J940" s="126"/>
      <c r="K940" s="125"/>
      <c r="L940" s="125"/>
      <c r="M940" s="136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</row>
    <row r="941" spans="1:38" ht="13.2">
      <c r="A941" s="123"/>
      <c r="B941" s="125"/>
      <c r="D941" s="125"/>
      <c r="E941" s="125"/>
      <c r="F941" s="125"/>
      <c r="G941" s="125"/>
      <c r="H941" s="125"/>
      <c r="I941" s="125"/>
      <c r="J941" s="126"/>
      <c r="K941" s="125"/>
      <c r="L941" s="125"/>
      <c r="M941" s="136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5"/>
      <c r="AK941" s="125"/>
      <c r="AL941" s="125"/>
    </row>
    <row r="942" spans="1:38" ht="13.2">
      <c r="A942" s="123"/>
      <c r="B942" s="125"/>
      <c r="D942" s="125"/>
      <c r="E942" s="125"/>
      <c r="F942" s="125"/>
      <c r="G942" s="125"/>
      <c r="H942" s="125"/>
      <c r="I942" s="125"/>
      <c r="J942" s="126"/>
      <c r="K942" s="125"/>
      <c r="L942" s="125"/>
      <c r="M942" s="136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5"/>
      <c r="AK942" s="125"/>
      <c r="AL942" s="125"/>
    </row>
    <row r="943" spans="1:38" ht="13.2">
      <c r="A943" s="123"/>
      <c r="B943" s="125"/>
      <c r="D943" s="125"/>
      <c r="E943" s="125"/>
      <c r="F943" s="125"/>
      <c r="G943" s="125"/>
      <c r="H943" s="125"/>
      <c r="I943" s="125"/>
      <c r="J943" s="126"/>
      <c r="K943" s="125"/>
      <c r="L943" s="125"/>
      <c r="M943" s="136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5"/>
      <c r="AK943" s="125"/>
      <c r="AL943" s="125"/>
    </row>
    <row r="944" spans="1:38" ht="13.2">
      <c r="A944" s="123"/>
      <c r="B944" s="125"/>
      <c r="D944" s="125"/>
      <c r="E944" s="125"/>
      <c r="F944" s="125"/>
      <c r="G944" s="125"/>
      <c r="H944" s="125"/>
      <c r="I944" s="125"/>
      <c r="J944" s="126"/>
      <c r="K944" s="125"/>
      <c r="L944" s="125"/>
      <c r="M944" s="136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  <c r="AF944" s="125"/>
      <c r="AG944" s="125"/>
      <c r="AH944" s="125"/>
      <c r="AI944" s="125"/>
      <c r="AJ944" s="125"/>
      <c r="AK944" s="125"/>
      <c r="AL944" s="125"/>
    </row>
    <row r="945" spans="1:38" ht="13.2">
      <c r="A945" s="123"/>
      <c r="B945" s="125"/>
      <c r="D945" s="125"/>
      <c r="E945" s="125"/>
      <c r="F945" s="125"/>
      <c r="G945" s="125"/>
      <c r="H945" s="125"/>
      <c r="I945" s="125"/>
      <c r="J945" s="126"/>
      <c r="K945" s="125"/>
      <c r="L945" s="125"/>
      <c r="M945" s="136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5"/>
      <c r="AK945" s="125"/>
      <c r="AL945" s="125"/>
    </row>
    <row r="946" spans="1:38" ht="13.2">
      <c r="A946" s="123"/>
      <c r="B946" s="125"/>
      <c r="D946" s="125"/>
      <c r="E946" s="125"/>
      <c r="F946" s="125"/>
      <c r="G946" s="125"/>
      <c r="H946" s="125"/>
      <c r="I946" s="125"/>
      <c r="J946" s="126"/>
      <c r="K946" s="125"/>
      <c r="L946" s="125"/>
      <c r="M946" s="136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5"/>
      <c r="AK946" s="125"/>
      <c r="AL946" s="125"/>
    </row>
    <row r="947" spans="1:38" ht="13.2">
      <c r="A947" s="123"/>
      <c r="B947" s="125"/>
      <c r="D947" s="125"/>
      <c r="E947" s="125"/>
      <c r="F947" s="125"/>
      <c r="G947" s="125"/>
      <c r="H947" s="125"/>
      <c r="I947" s="125"/>
      <c r="J947" s="126"/>
      <c r="K947" s="125"/>
      <c r="L947" s="125"/>
      <c r="M947" s="136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5"/>
      <c r="AK947" s="125"/>
      <c r="AL947" s="125"/>
    </row>
    <row r="948" spans="1:38" ht="13.2">
      <c r="A948" s="123"/>
      <c r="B948" s="125"/>
      <c r="D948" s="125"/>
      <c r="E948" s="125"/>
      <c r="F948" s="125"/>
      <c r="G948" s="125"/>
      <c r="H948" s="125"/>
      <c r="I948" s="125"/>
      <c r="J948" s="126"/>
      <c r="K948" s="125"/>
      <c r="L948" s="125"/>
      <c r="M948" s="136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5"/>
      <c r="AK948" s="125"/>
      <c r="AL948" s="125"/>
    </row>
    <row r="949" spans="1:38" ht="13.2">
      <c r="A949" s="123"/>
      <c r="B949" s="125"/>
      <c r="D949" s="125"/>
      <c r="E949" s="125"/>
      <c r="F949" s="125"/>
      <c r="G949" s="125"/>
      <c r="H949" s="125"/>
      <c r="I949" s="125"/>
      <c r="J949" s="126"/>
      <c r="K949" s="125"/>
      <c r="L949" s="125"/>
      <c r="M949" s="136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5"/>
      <c r="AK949" s="125"/>
      <c r="AL949" s="125"/>
    </row>
    <row r="950" spans="1:38" ht="13.2">
      <c r="A950" s="123"/>
      <c r="B950" s="125"/>
      <c r="D950" s="125"/>
      <c r="E950" s="125"/>
      <c r="F950" s="125"/>
      <c r="G950" s="125"/>
      <c r="H950" s="125"/>
      <c r="I950" s="125"/>
      <c r="J950" s="126"/>
      <c r="K950" s="125"/>
      <c r="L950" s="125"/>
      <c r="M950" s="136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5"/>
      <c r="AK950" s="125"/>
      <c r="AL950" s="125"/>
    </row>
    <row r="951" spans="1:38" ht="13.2">
      <c r="A951" s="123"/>
      <c r="B951" s="125"/>
      <c r="D951" s="125"/>
      <c r="E951" s="125"/>
      <c r="F951" s="125"/>
      <c r="G951" s="125"/>
      <c r="H951" s="125"/>
      <c r="I951" s="125"/>
      <c r="J951" s="126"/>
      <c r="K951" s="125"/>
      <c r="L951" s="125"/>
      <c r="M951" s="136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5"/>
      <c r="AK951" s="125"/>
      <c r="AL951" s="125"/>
    </row>
    <row r="952" spans="1:38" ht="13.2">
      <c r="A952" s="123"/>
      <c r="B952" s="125"/>
      <c r="D952" s="125"/>
      <c r="E952" s="125"/>
      <c r="F952" s="125"/>
      <c r="G952" s="125"/>
      <c r="H952" s="125"/>
      <c r="I952" s="125"/>
      <c r="J952" s="126"/>
      <c r="K952" s="125"/>
      <c r="L952" s="125"/>
      <c r="M952" s="136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5"/>
      <c r="AK952" s="125"/>
      <c r="AL952" s="125"/>
    </row>
    <row r="953" spans="1:38" ht="13.2">
      <c r="A953" s="123"/>
      <c r="B953" s="125"/>
      <c r="D953" s="125"/>
      <c r="E953" s="125"/>
      <c r="F953" s="125"/>
      <c r="G953" s="125"/>
      <c r="H953" s="125"/>
      <c r="I953" s="125"/>
      <c r="J953" s="126"/>
      <c r="K953" s="125"/>
      <c r="L953" s="125"/>
      <c r="M953" s="136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</row>
    <row r="954" spans="1:38" ht="13.2">
      <c r="A954" s="123"/>
      <c r="B954" s="125"/>
      <c r="D954" s="125"/>
      <c r="E954" s="125"/>
      <c r="F954" s="125"/>
      <c r="G954" s="125"/>
      <c r="H954" s="125"/>
      <c r="I954" s="125"/>
      <c r="J954" s="126"/>
      <c r="K954" s="125"/>
      <c r="L954" s="125"/>
      <c r="M954" s="136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5"/>
      <c r="AK954" s="125"/>
      <c r="AL954" s="125"/>
    </row>
    <row r="955" spans="1:38" ht="13.2">
      <c r="A955" s="123"/>
      <c r="B955" s="125"/>
      <c r="D955" s="125"/>
      <c r="E955" s="125"/>
      <c r="F955" s="125"/>
      <c r="G955" s="125"/>
      <c r="H955" s="125"/>
      <c r="I955" s="125"/>
      <c r="J955" s="126"/>
      <c r="K955" s="125"/>
      <c r="L955" s="125"/>
      <c r="M955" s="136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5"/>
      <c r="AK955" s="125"/>
      <c r="AL955" s="125"/>
    </row>
    <row r="956" spans="1:38" ht="13.2">
      <c r="A956" s="123"/>
      <c r="B956" s="125"/>
      <c r="D956" s="125"/>
      <c r="E956" s="125"/>
      <c r="F956" s="125"/>
      <c r="G956" s="125"/>
      <c r="H956" s="125"/>
      <c r="I956" s="125"/>
      <c r="J956" s="126"/>
      <c r="K956" s="125"/>
      <c r="L956" s="125"/>
      <c r="M956" s="136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5"/>
      <c r="AK956" s="125"/>
      <c r="AL956" s="125"/>
    </row>
    <row r="957" spans="1:38" ht="13.2">
      <c r="A957" s="123"/>
      <c r="B957" s="125"/>
      <c r="D957" s="125"/>
      <c r="E957" s="125"/>
      <c r="F957" s="125"/>
      <c r="G957" s="125"/>
      <c r="H957" s="125"/>
      <c r="I957" s="125"/>
      <c r="J957" s="126"/>
      <c r="K957" s="125"/>
      <c r="L957" s="125"/>
      <c r="M957" s="136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5"/>
      <c r="AK957" s="125"/>
      <c r="AL957" s="125"/>
    </row>
    <row r="958" spans="1:38" ht="13.2">
      <c r="A958" s="123"/>
      <c r="B958" s="125"/>
      <c r="D958" s="125"/>
      <c r="E958" s="125"/>
      <c r="F958" s="125"/>
      <c r="G958" s="125"/>
      <c r="H958" s="125"/>
      <c r="I958" s="125"/>
      <c r="J958" s="126"/>
      <c r="K958" s="125"/>
      <c r="L958" s="125"/>
      <c r="M958" s="136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</row>
    <row r="959" spans="1:38" ht="13.2">
      <c r="A959" s="123"/>
      <c r="B959" s="125"/>
      <c r="D959" s="125"/>
      <c r="E959" s="125"/>
      <c r="F959" s="125"/>
      <c r="G959" s="125"/>
      <c r="H959" s="125"/>
      <c r="I959" s="125"/>
      <c r="J959" s="126"/>
      <c r="K959" s="125"/>
      <c r="L959" s="125"/>
      <c r="M959" s="136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</row>
    <row r="960" spans="1:38" ht="13.2">
      <c r="A960" s="123"/>
      <c r="B960" s="125"/>
      <c r="D960" s="125"/>
      <c r="E960" s="125"/>
      <c r="F960" s="125"/>
      <c r="G960" s="125"/>
      <c r="H960" s="125"/>
      <c r="I960" s="125"/>
      <c r="J960" s="126"/>
      <c r="K960" s="125"/>
      <c r="L960" s="125"/>
      <c r="M960" s="136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  <c r="AF960" s="125"/>
      <c r="AG960" s="125"/>
      <c r="AH960" s="125"/>
      <c r="AI960" s="125"/>
      <c r="AJ960" s="125"/>
      <c r="AK960" s="125"/>
      <c r="AL960" s="125"/>
    </row>
    <row r="961" spans="1:38" ht="13.2">
      <c r="A961" s="123"/>
      <c r="B961" s="125"/>
      <c r="D961" s="125"/>
      <c r="E961" s="125"/>
      <c r="F961" s="125"/>
      <c r="G961" s="125"/>
      <c r="H961" s="125"/>
      <c r="I961" s="125"/>
      <c r="J961" s="126"/>
      <c r="K961" s="125"/>
      <c r="L961" s="125"/>
      <c r="M961" s="136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5"/>
      <c r="AK961" s="125"/>
      <c r="AL961" s="125"/>
    </row>
    <row r="962" spans="1:38" ht="13.2">
      <c r="A962" s="123"/>
      <c r="B962" s="125"/>
      <c r="D962" s="125"/>
      <c r="E962" s="125"/>
      <c r="F962" s="125"/>
      <c r="G962" s="125"/>
      <c r="H962" s="125"/>
      <c r="I962" s="125"/>
      <c r="J962" s="126"/>
      <c r="K962" s="125"/>
      <c r="L962" s="125"/>
      <c r="M962" s="136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5"/>
      <c r="AK962" s="125"/>
      <c r="AL962" s="125"/>
    </row>
    <row r="963" spans="1:38" ht="13.2">
      <c r="A963" s="123"/>
      <c r="B963" s="125"/>
      <c r="D963" s="125"/>
      <c r="E963" s="125"/>
      <c r="F963" s="125"/>
      <c r="G963" s="125"/>
      <c r="H963" s="125"/>
      <c r="I963" s="125"/>
      <c r="J963" s="126"/>
      <c r="K963" s="125"/>
      <c r="L963" s="125"/>
      <c r="M963" s="136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5"/>
      <c r="AK963" s="125"/>
      <c r="AL963" s="125"/>
    </row>
    <row r="964" spans="1:38" ht="13.2">
      <c r="A964" s="123"/>
      <c r="B964" s="125"/>
      <c r="D964" s="125"/>
      <c r="E964" s="125"/>
      <c r="F964" s="125"/>
      <c r="G964" s="125"/>
      <c r="H964" s="125"/>
      <c r="I964" s="125"/>
      <c r="J964" s="126"/>
      <c r="K964" s="125"/>
      <c r="L964" s="125"/>
      <c r="M964" s="136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5"/>
      <c r="AK964" s="125"/>
      <c r="AL964" s="125"/>
    </row>
    <row r="965" spans="1:38" ht="13.2">
      <c r="A965" s="123"/>
      <c r="B965" s="125"/>
      <c r="D965" s="125"/>
      <c r="E965" s="125"/>
      <c r="F965" s="125"/>
      <c r="G965" s="125"/>
      <c r="H965" s="125"/>
      <c r="I965" s="125"/>
      <c r="J965" s="126"/>
      <c r="K965" s="125"/>
      <c r="L965" s="125"/>
      <c r="M965" s="136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5"/>
      <c r="AK965" s="125"/>
      <c r="AL965" s="125"/>
    </row>
    <row r="966" spans="1:38" ht="13.2">
      <c r="A966" s="123"/>
      <c r="B966" s="125"/>
      <c r="D966" s="125"/>
      <c r="E966" s="125"/>
      <c r="F966" s="125"/>
      <c r="G966" s="125"/>
      <c r="H966" s="125"/>
      <c r="I966" s="125"/>
      <c r="J966" s="126"/>
      <c r="K966" s="125"/>
      <c r="L966" s="125"/>
      <c r="M966" s="136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5"/>
      <c r="AK966" s="125"/>
      <c r="AL966" s="125"/>
    </row>
    <row r="967" spans="1:38" ht="13.2">
      <c r="A967" s="123"/>
      <c r="B967" s="125"/>
      <c r="D967" s="125"/>
      <c r="E967" s="125"/>
      <c r="F967" s="125"/>
      <c r="G967" s="125"/>
      <c r="H967" s="125"/>
      <c r="I967" s="125"/>
      <c r="J967" s="126"/>
      <c r="K967" s="125"/>
      <c r="L967" s="125"/>
      <c r="M967" s="136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  <c r="AF967" s="125"/>
      <c r="AG967" s="125"/>
      <c r="AH967" s="125"/>
      <c r="AI967" s="125"/>
      <c r="AJ967" s="125"/>
      <c r="AK967" s="125"/>
      <c r="AL967" s="125"/>
    </row>
    <row r="968" spans="1:38" ht="13.2">
      <c r="A968" s="123"/>
      <c r="B968" s="125"/>
      <c r="D968" s="125"/>
      <c r="E968" s="125"/>
      <c r="F968" s="125"/>
      <c r="G968" s="125"/>
      <c r="H968" s="125"/>
      <c r="I968" s="125"/>
      <c r="J968" s="126"/>
      <c r="K968" s="125"/>
      <c r="L968" s="125"/>
      <c r="M968" s="136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  <c r="AF968" s="125"/>
      <c r="AG968" s="125"/>
      <c r="AH968" s="125"/>
      <c r="AI968" s="125"/>
      <c r="AJ968" s="125"/>
      <c r="AK968" s="125"/>
      <c r="AL968" s="125"/>
    </row>
    <row r="969" spans="1:38" ht="13.2">
      <c r="A969" s="123"/>
      <c r="B969" s="125"/>
      <c r="D969" s="125"/>
      <c r="E969" s="125"/>
      <c r="F969" s="125"/>
      <c r="G969" s="125"/>
      <c r="H969" s="125"/>
      <c r="I969" s="125"/>
      <c r="J969" s="126"/>
      <c r="K969" s="125"/>
      <c r="L969" s="125"/>
      <c r="M969" s="136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</row>
    <row r="970" spans="1:38" ht="13.2">
      <c r="A970" s="123"/>
      <c r="B970" s="125"/>
      <c r="D970" s="125"/>
      <c r="E970" s="125"/>
      <c r="F970" s="125"/>
      <c r="G970" s="125"/>
      <c r="H970" s="125"/>
      <c r="I970" s="125"/>
      <c r="J970" s="126"/>
      <c r="K970" s="125"/>
      <c r="L970" s="125"/>
      <c r="M970" s="136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5"/>
      <c r="AK970" s="125"/>
      <c r="AL970" s="125"/>
    </row>
    <row r="971" spans="1:38" ht="13.2">
      <c r="A971" s="123"/>
      <c r="B971" s="125"/>
      <c r="D971" s="125"/>
      <c r="E971" s="125"/>
      <c r="F971" s="125"/>
      <c r="G971" s="125"/>
      <c r="H971" s="125"/>
      <c r="I971" s="125"/>
      <c r="J971" s="126"/>
      <c r="K971" s="125"/>
      <c r="L971" s="125"/>
      <c r="M971" s="136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5"/>
      <c r="AK971" s="125"/>
      <c r="AL971" s="125"/>
    </row>
    <row r="972" spans="1:38" ht="13.2">
      <c r="A972" s="123"/>
      <c r="B972" s="125"/>
      <c r="D972" s="125"/>
      <c r="E972" s="125"/>
      <c r="F972" s="125"/>
      <c r="G972" s="125"/>
      <c r="H972" s="125"/>
      <c r="I972" s="125"/>
      <c r="J972" s="126"/>
      <c r="K972" s="125"/>
      <c r="L972" s="125"/>
      <c r="M972" s="136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5"/>
      <c r="AK972" s="125"/>
      <c r="AL972" s="125"/>
    </row>
    <row r="973" spans="1:38" ht="13.2">
      <c r="A973" s="123"/>
      <c r="B973" s="125"/>
      <c r="D973" s="125"/>
      <c r="E973" s="125"/>
      <c r="F973" s="125"/>
      <c r="G973" s="125"/>
      <c r="H973" s="125"/>
      <c r="I973" s="125"/>
      <c r="J973" s="126"/>
      <c r="K973" s="125"/>
      <c r="L973" s="125"/>
      <c r="M973" s="136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5"/>
      <c r="AK973" s="125"/>
      <c r="AL973" s="125"/>
    </row>
    <row r="974" spans="1:38" ht="13.2">
      <c r="A974" s="123"/>
      <c r="B974" s="125"/>
      <c r="D974" s="125"/>
      <c r="E974" s="125"/>
      <c r="F974" s="125"/>
      <c r="G974" s="125"/>
      <c r="H974" s="125"/>
      <c r="I974" s="125"/>
      <c r="J974" s="126"/>
      <c r="K974" s="125"/>
      <c r="L974" s="125"/>
      <c r="M974" s="136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5"/>
      <c r="AK974" s="125"/>
      <c r="AL974" s="125"/>
    </row>
    <row r="975" spans="1:38" ht="13.2">
      <c r="A975" s="123"/>
      <c r="B975" s="125"/>
      <c r="D975" s="125"/>
      <c r="E975" s="125"/>
      <c r="F975" s="125"/>
      <c r="G975" s="125"/>
      <c r="H975" s="125"/>
      <c r="I975" s="125"/>
      <c r="J975" s="126"/>
      <c r="K975" s="125"/>
      <c r="L975" s="125"/>
      <c r="M975" s="136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5"/>
      <c r="AK975" s="125"/>
      <c r="AL975" s="125"/>
    </row>
    <row r="976" spans="1:38" ht="13.2">
      <c r="A976" s="123"/>
      <c r="B976" s="125"/>
      <c r="D976" s="125"/>
      <c r="E976" s="125"/>
      <c r="F976" s="125"/>
      <c r="G976" s="125"/>
      <c r="H976" s="125"/>
      <c r="I976" s="125"/>
      <c r="J976" s="126"/>
      <c r="K976" s="125"/>
      <c r="L976" s="125"/>
      <c r="M976" s="136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5"/>
      <c r="AK976" s="125"/>
      <c r="AL976" s="125"/>
    </row>
    <row r="977" spans="1:38" ht="13.2">
      <c r="A977" s="123"/>
      <c r="B977" s="125"/>
      <c r="D977" s="125"/>
      <c r="E977" s="125"/>
      <c r="F977" s="125"/>
      <c r="G977" s="125"/>
      <c r="H977" s="125"/>
      <c r="I977" s="125"/>
      <c r="J977" s="126"/>
      <c r="K977" s="125"/>
      <c r="L977" s="125"/>
      <c r="M977" s="136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5"/>
      <c r="AK977" s="125"/>
      <c r="AL977" s="125"/>
    </row>
    <row r="978" spans="1:38" ht="13.2">
      <c r="A978" s="123"/>
      <c r="B978" s="125"/>
      <c r="D978" s="125"/>
      <c r="E978" s="125"/>
      <c r="F978" s="125"/>
      <c r="G978" s="125"/>
      <c r="H978" s="125"/>
      <c r="I978" s="125"/>
      <c r="J978" s="126"/>
      <c r="K978" s="125"/>
      <c r="L978" s="125"/>
      <c r="M978" s="136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5"/>
      <c r="AK978" s="125"/>
      <c r="AL978" s="125"/>
    </row>
    <row r="979" spans="1:38" ht="13.2">
      <c r="A979" s="123"/>
      <c r="B979" s="125"/>
      <c r="D979" s="125"/>
      <c r="E979" s="125"/>
      <c r="F979" s="125"/>
      <c r="G979" s="125"/>
      <c r="H979" s="125"/>
      <c r="I979" s="125"/>
      <c r="J979" s="126"/>
      <c r="K979" s="125"/>
      <c r="L979" s="125"/>
      <c r="M979" s="136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5"/>
      <c r="AK979" s="125"/>
      <c r="AL979" s="125"/>
    </row>
    <row r="980" spans="1:38" ht="13.2">
      <c r="A980" s="123"/>
      <c r="B980" s="125"/>
      <c r="D980" s="125"/>
      <c r="E980" s="125"/>
      <c r="F980" s="125"/>
      <c r="G980" s="125"/>
      <c r="H980" s="125"/>
      <c r="I980" s="125"/>
      <c r="J980" s="126"/>
      <c r="K980" s="125"/>
      <c r="L980" s="125"/>
      <c r="M980" s="136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5"/>
      <c r="AK980" s="125"/>
      <c r="AL980" s="125"/>
    </row>
    <row r="981" spans="1:38" ht="13.2">
      <c r="A981" s="123"/>
      <c r="B981" s="125"/>
      <c r="D981" s="125"/>
      <c r="E981" s="125"/>
      <c r="F981" s="125"/>
      <c r="G981" s="125"/>
      <c r="H981" s="125"/>
      <c r="I981" s="125"/>
      <c r="J981" s="126"/>
      <c r="K981" s="125"/>
      <c r="L981" s="125"/>
      <c r="M981" s="136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5"/>
      <c r="AK981" s="125"/>
      <c r="AL981" s="125"/>
    </row>
    <row r="982" spans="1:38" ht="13.2">
      <c r="A982" s="123"/>
      <c r="B982" s="125"/>
      <c r="D982" s="125"/>
      <c r="E982" s="125"/>
      <c r="F982" s="125"/>
      <c r="G982" s="125"/>
      <c r="H982" s="125"/>
      <c r="I982" s="125"/>
      <c r="J982" s="126"/>
      <c r="K982" s="125"/>
      <c r="L982" s="125"/>
      <c r="M982" s="136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5"/>
      <c r="AK982" s="125"/>
      <c r="AL982" s="125"/>
    </row>
    <row r="983" spans="1:38" ht="13.2">
      <c r="A983" s="123"/>
      <c r="B983" s="125"/>
      <c r="D983" s="125"/>
      <c r="E983" s="125"/>
      <c r="F983" s="125"/>
      <c r="G983" s="125"/>
      <c r="H983" s="125"/>
      <c r="I983" s="125"/>
      <c r="J983" s="126"/>
      <c r="K983" s="125"/>
      <c r="L983" s="125"/>
      <c r="M983" s="136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5"/>
      <c r="AK983" s="125"/>
      <c r="AL983" s="125"/>
    </row>
    <row r="984" spans="1:38" ht="13.2">
      <c r="A984" s="123"/>
      <c r="B984" s="125"/>
      <c r="D984" s="125"/>
      <c r="E984" s="125"/>
      <c r="F984" s="125"/>
      <c r="G984" s="125"/>
      <c r="H984" s="125"/>
      <c r="I984" s="125"/>
      <c r="J984" s="126"/>
      <c r="K984" s="125"/>
      <c r="L984" s="125"/>
      <c r="M984" s="136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5"/>
      <c r="AK984" s="125"/>
      <c r="AL984" s="125"/>
    </row>
    <row r="985" spans="1:38" ht="13.2">
      <c r="A985" s="123"/>
      <c r="B985" s="125"/>
      <c r="D985" s="125"/>
      <c r="E985" s="125"/>
      <c r="F985" s="125"/>
      <c r="G985" s="125"/>
      <c r="H985" s="125"/>
      <c r="I985" s="125"/>
      <c r="J985" s="126"/>
      <c r="K985" s="125"/>
      <c r="L985" s="125"/>
      <c r="M985" s="136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5"/>
      <c r="AK985" s="125"/>
      <c r="AL985" s="125"/>
    </row>
    <row r="986" spans="1:38" ht="13.2">
      <c r="A986" s="123"/>
      <c r="B986" s="125"/>
      <c r="D986" s="125"/>
      <c r="E986" s="125"/>
      <c r="F986" s="125"/>
      <c r="G986" s="125"/>
      <c r="H986" s="125"/>
      <c r="I986" s="125"/>
      <c r="J986" s="126"/>
      <c r="K986" s="125"/>
      <c r="L986" s="125"/>
      <c r="M986" s="136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5"/>
      <c r="AK986" s="125"/>
      <c r="AL986" s="125"/>
    </row>
    <row r="987" spans="1:38" ht="13.2">
      <c r="A987" s="123"/>
      <c r="B987" s="125"/>
      <c r="D987" s="125"/>
      <c r="E987" s="125"/>
      <c r="F987" s="125"/>
      <c r="G987" s="125"/>
      <c r="H987" s="125"/>
      <c r="I987" s="125"/>
      <c r="J987" s="126"/>
      <c r="K987" s="125"/>
      <c r="L987" s="125"/>
      <c r="M987" s="136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5"/>
      <c r="AK987" s="125"/>
      <c r="AL987" s="125"/>
    </row>
    <row r="988" spans="1:38" ht="13.2">
      <c r="A988" s="123"/>
      <c r="B988" s="125"/>
      <c r="D988" s="125"/>
      <c r="E988" s="125"/>
      <c r="F988" s="125"/>
      <c r="G988" s="125"/>
      <c r="H988" s="125"/>
      <c r="I988" s="125"/>
      <c r="J988" s="126"/>
      <c r="K988" s="125"/>
      <c r="L988" s="125"/>
      <c r="M988" s="136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5"/>
      <c r="AK988" s="125"/>
      <c r="AL988" s="125"/>
    </row>
    <row r="989" spans="1:38" ht="13.2">
      <c r="A989" s="123"/>
      <c r="B989" s="125"/>
      <c r="D989" s="125"/>
      <c r="E989" s="125"/>
      <c r="F989" s="125"/>
      <c r="G989" s="125"/>
      <c r="H989" s="125"/>
      <c r="I989" s="125"/>
      <c r="J989" s="126"/>
      <c r="K989" s="125"/>
      <c r="L989" s="125"/>
      <c r="M989" s="136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5"/>
      <c r="AK989" s="125"/>
      <c r="AL989" s="125"/>
    </row>
    <row r="990" spans="1:38" ht="13.2">
      <c r="A990" s="123"/>
      <c r="B990" s="125"/>
      <c r="D990" s="125"/>
      <c r="E990" s="125"/>
      <c r="F990" s="125"/>
      <c r="G990" s="125"/>
      <c r="H990" s="125"/>
      <c r="I990" s="125"/>
      <c r="J990" s="126"/>
      <c r="K990" s="125"/>
      <c r="L990" s="125"/>
      <c r="M990" s="136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  <c r="AL990" s="125"/>
    </row>
    <row r="991" spans="1:38" ht="13.2">
      <c r="A991" s="123"/>
      <c r="B991" s="125"/>
      <c r="D991" s="125"/>
      <c r="E991" s="125"/>
      <c r="F991" s="125"/>
      <c r="G991" s="125"/>
      <c r="H991" s="125"/>
      <c r="I991" s="125"/>
      <c r="J991" s="126"/>
      <c r="K991" s="125"/>
      <c r="L991" s="125"/>
      <c r="M991" s="136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  <c r="AL991" s="125"/>
    </row>
    <row r="992" spans="1:38" ht="13.2">
      <c r="A992" s="123"/>
      <c r="B992" s="125"/>
      <c r="D992" s="125"/>
      <c r="E992" s="125"/>
      <c r="F992" s="125"/>
      <c r="G992" s="125"/>
      <c r="H992" s="125"/>
      <c r="I992" s="125"/>
      <c r="J992" s="126"/>
      <c r="K992" s="125"/>
      <c r="L992" s="125"/>
      <c r="M992" s="136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  <c r="AL992" s="125"/>
    </row>
    <row r="993" spans="1:38" ht="13.2">
      <c r="A993" s="123"/>
      <c r="B993" s="125"/>
      <c r="D993" s="125"/>
      <c r="E993" s="125"/>
      <c r="F993" s="125"/>
      <c r="G993" s="125"/>
      <c r="H993" s="125"/>
      <c r="I993" s="125"/>
      <c r="J993" s="126"/>
      <c r="K993" s="125"/>
      <c r="L993" s="125"/>
      <c r="M993" s="136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5"/>
      <c r="AK993" s="125"/>
      <c r="AL993" s="125"/>
    </row>
    <row r="994" spans="1:38" ht="13.2">
      <c r="A994" s="123"/>
      <c r="B994" s="125"/>
      <c r="D994" s="125"/>
      <c r="E994" s="125"/>
      <c r="F994" s="125"/>
      <c r="G994" s="125"/>
      <c r="H994" s="125"/>
      <c r="I994" s="125"/>
      <c r="J994" s="126"/>
      <c r="K994" s="125"/>
      <c r="L994" s="125"/>
      <c r="M994" s="136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5"/>
      <c r="AK994" s="125"/>
      <c r="AL994" s="125"/>
    </row>
    <row r="995" spans="1:38" ht="13.2">
      <c r="A995" s="123"/>
      <c r="B995" s="125"/>
      <c r="D995" s="125"/>
      <c r="E995" s="125"/>
      <c r="F995" s="125"/>
      <c r="G995" s="125"/>
      <c r="H995" s="125"/>
      <c r="I995" s="125"/>
      <c r="J995" s="126"/>
      <c r="K995" s="125"/>
      <c r="L995" s="125"/>
      <c r="M995" s="136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</row>
    <row r="996" spans="1:38" ht="13.2">
      <c r="A996" s="123"/>
      <c r="B996" s="125"/>
      <c r="D996" s="125"/>
      <c r="E996" s="125"/>
      <c r="F996" s="125"/>
      <c r="G996" s="125"/>
      <c r="H996" s="125"/>
      <c r="I996" s="125"/>
      <c r="J996" s="126"/>
      <c r="K996" s="125"/>
      <c r="L996" s="125"/>
      <c r="M996" s="136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5"/>
      <c r="AK996" s="125"/>
      <c r="AL996" s="125"/>
    </row>
    <row r="997" spans="1:38" ht="13.2">
      <c r="A997" s="123"/>
      <c r="B997" s="125"/>
      <c r="D997" s="125"/>
      <c r="E997" s="125"/>
      <c r="F997" s="125"/>
      <c r="G997" s="125"/>
      <c r="H997" s="125"/>
      <c r="I997" s="125"/>
      <c r="J997" s="126"/>
      <c r="K997" s="125"/>
      <c r="L997" s="125"/>
      <c r="M997" s="136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5"/>
      <c r="AK997" s="125"/>
      <c r="AL997" s="125"/>
    </row>
    <row r="998" spans="1:38" ht="15" customHeight="1">
      <c r="B998" s="125"/>
      <c r="D998" s="125"/>
      <c r="E998" s="125"/>
      <c r="F998" s="125"/>
      <c r="G998" s="125"/>
      <c r="H998" s="125"/>
      <c r="I998" s="125"/>
      <c r="J998" s="126"/>
      <c r="K998" s="125"/>
      <c r="L998" s="125"/>
      <c r="M998" s="136"/>
      <c r="N998" s="125"/>
    </row>
    <row r="999" spans="1:38" ht="15" customHeight="1">
      <c r="B999" s="125"/>
      <c r="D999" s="125"/>
      <c r="E999" s="125"/>
      <c r="F999" s="125"/>
      <c r="G999" s="125"/>
      <c r="H999" s="125"/>
      <c r="I999" s="125"/>
      <c r="J999" s="126"/>
      <c r="K999" s="125"/>
      <c r="L999" s="125"/>
      <c r="M999" s="136"/>
      <c r="N999" s="125"/>
    </row>
    <row r="1000" spans="1:38" ht="15" customHeight="1">
      <c r="B1000" s="125"/>
      <c r="D1000" s="125"/>
      <c r="E1000" s="125"/>
      <c r="F1000" s="125"/>
      <c r="G1000" s="125"/>
      <c r="H1000" s="125"/>
      <c r="I1000" s="125"/>
      <c r="J1000" s="126"/>
      <c r="K1000" s="125"/>
      <c r="L1000" s="125"/>
      <c r="M1000" s="136"/>
      <c r="N1000" s="125"/>
    </row>
    <row r="1001" spans="1:38" ht="15" customHeight="1">
      <c r="B1001" s="125"/>
      <c r="D1001" s="125"/>
      <c r="E1001" s="125"/>
      <c r="F1001" s="125"/>
      <c r="G1001" s="125"/>
      <c r="H1001" s="125"/>
      <c r="I1001" s="125"/>
      <c r="J1001" s="126"/>
      <c r="K1001" s="125"/>
      <c r="L1001" s="125"/>
      <c r="M1001" s="136"/>
      <c r="N1001" s="125"/>
    </row>
    <row r="1002" spans="1:38" ht="15" customHeight="1">
      <c r="B1002" s="125"/>
      <c r="D1002" s="125"/>
      <c r="E1002" s="125"/>
      <c r="F1002" s="125"/>
      <c r="G1002" s="125"/>
      <c r="H1002" s="125"/>
      <c r="I1002" s="125"/>
      <c r="J1002" s="126"/>
      <c r="K1002" s="125"/>
      <c r="L1002" s="125"/>
      <c r="M1002" s="136"/>
      <c r="N1002" s="125"/>
    </row>
    <row r="1003" spans="1:38" ht="15" customHeight="1">
      <c r="B1003" s="125"/>
      <c r="D1003" s="125"/>
      <c r="E1003" s="125"/>
      <c r="F1003" s="125"/>
      <c r="G1003" s="125"/>
      <c r="H1003" s="125"/>
      <c r="I1003" s="125"/>
      <c r="J1003" s="126"/>
      <c r="K1003" s="125"/>
      <c r="L1003" s="125"/>
      <c r="M1003" s="136"/>
      <c r="N1003" s="125"/>
    </row>
    <row r="1004" spans="1:38" ht="15" customHeight="1">
      <c r="B1004" s="125"/>
      <c r="D1004" s="125"/>
      <c r="E1004" s="125"/>
      <c r="F1004" s="125"/>
      <c r="G1004" s="125"/>
      <c r="H1004" s="125"/>
      <c r="I1004" s="125"/>
      <c r="J1004" s="126"/>
      <c r="K1004" s="125"/>
      <c r="L1004" s="125"/>
      <c r="M1004" s="136"/>
      <c r="N1004" s="125"/>
    </row>
    <row r="1005" spans="1:38" ht="15" customHeight="1">
      <c r="B1005" s="125"/>
      <c r="D1005" s="125"/>
      <c r="E1005" s="125"/>
      <c r="F1005" s="125"/>
      <c r="G1005" s="125"/>
      <c r="H1005" s="125"/>
      <c r="I1005" s="125"/>
      <c r="J1005" s="126"/>
      <c r="K1005" s="125"/>
      <c r="L1005" s="125"/>
      <c r="M1005" s="136"/>
      <c r="N1005" s="125"/>
    </row>
    <row r="1006" spans="1:38" ht="15" customHeight="1">
      <c r="B1006" s="125"/>
      <c r="D1006" s="125"/>
      <c r="E1006" s="125"/>
      <c r="F1006" s="125"/>
      <c r="G1006" s="125"/>
      <c r="H1006" s="125"/>
      <c r="I1006" s="125"/>
      <c r="J1006" s="126"/>
      <c r="K1006" s="125"/>
      <c r="L1006" s="125"/>
      <c r="M1006" s="136"/>
      <c r="N1006" s="125"/>
    </row>
    <row r="1007" spans="1:38" ht="15" customHeight="1">
      <c r="B1007" s="125"/>
      <c r="D1007" s="125"/>
      <c r="E1007" s="125"/>
      <c r="F1007" s="125"/>
      <c r="G1007" s="125"/>
      <c r="H1007" s="125"/>
      <c r="I1007" s="125"/>
      <c r="J1007" s="126"/>
      <c r="K1007" s="125"/>
      <c r="L1007" s="125"/>
      <c r="M1007" s="136"/>
      <c r="N1007" s="125"/>
    </row>
    <row r="1008" spans="1:38" ht="15" customHeight="1">
      <c r="B1008" s="125"/>
      <c r="D1008" s="125"/>
      <c r="E1008" s="125"/>
      <c r="F1008" s="125"/>
      <c r="G1008" s="125"/>
      <c r="H1008" s="125"/>
      <c r="I1008" s="125"/>
      <c r="J1008" s="126"/>
      <c r="K1008" s="125"/>
      <c r="L1008" s="125"/>
      <c r="M1008" s="136"/>
      <c r="N1008" s="125"/>
    </row>
    <row r="1009" spans="2:14" ht="15" customHeight="1">
      <c r="B1009" s="125"/>
      <c r="D1009" s="125"/>
      <c r="E1009" s="125"/>
      <c r="F1009" s="125"/>
      <c r="G1009" s="125"/>
      <c r="H1009" s="125"/>
      <c r="I1009" s="125"/>
      <c r="J1009" s="126"/>
      <c r="K1009" s="125"/>
      <c r="L1009" s="125"/>
      <c r="M1009" s="136"/>
      <c r="N1009" s="125"/>
    </row>
    <row r="1010" spans="2:14" ht="15" customHeight="1">
      <c r="B1010" s="125"/>
      <c r="D1010" s="125"/>
      <c r="E1010" s="125"/>
      <c r="F1010" s="125"/>
      <c r="G1010" s="125"/>
      <c r="H1010" s="125"/>
      <c r="I1010" s="125"/>
      <c r="J1010" s="126"/>
      <c r="K1010" s="125"/>
      <c r="L1010" s="125"/>
      <c r="M1010" s="136"/>
      <c r="N1010" s="125"/>
    </row>
    <row r="1011" spans="2:14" ht="15" customHeight="1">
      <c r="B1011" s="125"/>
      <c r="D1011" s="125"/>
      <c r="E1011" s="125"/>
      <c r="F1011" s="125"/>
      <c r="G1011" s="125"/>
      <c r="H1011" s="125"/>
      <c r="I1011" s="125"/>
      <c r="J1011" s="126"/>
      <c r="K1011" s="125"/>
      <c r="L1011" s="125"/>
      <c r="M1011" s="136"/>
      <c r="N1011" s="125"/>
    </row>
    <row r="1012" spans="2:14" ht="15" customHeight="1">
      <c r="B1012" s="125"/>
      <c r="D1012" s="125"/>
      <c r="E1012" s="125"/>
      <c r="F1012" s="125"/>
      <c r="G1012" s="125"/>
      <c r="H1012" s="125"/>
      <c r="I1012" s="125"/>
      <c r="J1012" s="126"/>
      <c r="K1012" s="125"/>
      <c r="L1012" s="125"/>
      <c r="M1012" s="136"/>
      <c r="N1012" s="125"/>
    </row>
    <row r="1013" spans="2:14" ht="15" customHeight="1">
      <c r="B1013" s="125"/>
      <c r="D1013" s="125"/>
      <c r="E1013" s="125"/>
      <c r="F1013" s="125"/>
      <c r="G1013" s="125"/>
      <c r="H1013" s="125"/>
      <c r="I1013" s="125"/>
      <c r="J1013" s="126"/>
      <c r="K1013" s="125"/>
      <c r="L1013" s="125"/>
      <c r="M1013" s="136"/>
      <c r="N1013" s="125"/>
    </row>
    <row r="1014" spans="2:14" ht="15" customHeight="1">
      <c r="B1014" s="125"/>
      <c r="D1014" s="125"/>
      <c r="E1014" s="125"/>
      <c r="F1014" s="125"/>
      <c r="G1014" s="125"/>
      <c r="H1014" s="125"/>
      <c r="I1014" s="125"/>
      <c r="J1014" s="126"/>
      <c r="K1014" s="125"/>
      <c r="L1014" s="125"/>
      <c r="M1014" s="136"/>
      <c r="N1014" s="125"/>
    </row>
    <row r="1015" spans="2:14" ht="15" customHeight="1">
      <c r="B1015" s="125"/>
      <c r="D1015" s="125"/>
      <c r="E1015" s="125"/>
      <c r="F1015" s="125"/>
      <c r="G1015" s="125"/>
      <c r="H1015" s="125"/>
      <c r="I1015" s="125"/>
      <c r="J1015" s="126"/>
      <c r="K1015" s="125"/>
      <c r="L1015" s="125"/>
      <c r="M1015" s="136"/>
      <c r="N1015" s="125"/>
    </row>
    <row r="1016" spans="2:14" ht="15" customHeight="1">
      <c r="B1016" s="125"/>
      <c r="D1016" s="125"/>
      <c r="E1016" s="125"/>
      <c r="F1016" s="125"/>
      <c r="G1016" s="125"/>
      <c r="H1016" s="125"/>
      <c r="I1016" s="125"/>
      <c r="J1016" s="126"/>
      <c r="K1016" s="125"/>
      <c r="L1016" s="125"/>
      <c r="M1016" s="136"/>
      <c r="N1016" s="125"/>
    </row>
    <row r="1017" spans="2:14" ht="15" customHeight="1">
      <c r="B1017" s="125"/>
      <c r="D1017" s="125"/>
      <c r="E1017" s="125"/>
      <c r="F1017" s="125"/>
      <c r="G1017" s="125"/>
      <c r="H1017" s="125"/>
      <c r="I1017" s="125"/>
      <c r="J1017" s="126"/>
      <c r="K1017" s="125"/>
      <c r="L1017" s="125"/>
      <c r="M1017" s="136"/>
      <c r="N1017" s="125"/>
    </row>
    <row r="1018" spans="2:14" ht="15" customHeight="1">
      <c r="B1018" s="125"/>
      <c r="D1018" s="125"/>
      <c r="E1018" s="125"/>
      <c r="F1018" s="125"/>
      <c r="G1018" s="125"/>
      <c r="H1018" s="125"/>
      <c r="I1018" s="125"/>
      <c r="J1018" s="126"/>
      <c r="K1018" s="125"/>
      <c r="L1018" s="125"/>
      <c r="M1018" s="136"/>
      <c r="N1018" s="125"/>
    </row>
    <row r="1019" spans="2:14" ht="15" customHeight="1">
      <c r="B1019" s="125"/>
      <c r="D1019" s="125"/>
      <c r="E1019" s="125"/>
      <c r="F1019" s="125"/>
      <c r="G1019" s="125"/>
      <c r="H1019" s="125"/>
      <c r="I1019" s="125"/>
      <c r="J1019" s="126"/>
      <c r="K1019" s="125"/>
      <c r="L1019" s="125"/>
      <c r="M1019" s="136"/>
      <c r="N1019" s="125"/>
    </row>
    <row r="1020" spans="2:14" ht="15" customHeight="1">
      <c r="B1020" s="125"/>
      <c r="D1020" s="125"/>
      <c r="E1020" s="125"/>
      <c r="F1020" s="125"/>
      <c r="G1020" s="125"/>
      <c r="H1020" s="125"/>
      <c r="I1020" s="125"/>
      <c r="J1020" s="126"/>
      <c r="K1020" s="125"/>
      <c r="L1020" s="125"/>
      <c r="M1020" s="136"/>
      <c r="N1020" s="125"/>
    </row>
    <row r="1021" spans="2:14" ht="15" customHeight="1">
      <c r="B1021" s="125"/>
      <c r="D1021" s="125"/>
      <c r="E1021" s="125"/>
      <c r="F1021" s="125"/>
      <c r="G1021" s="125"/>
      <c r="H1021" s="125"/>
      <c r="I1021" s="125"/>
      <c r="J1021" s="126"/>
      <c r="K1021" s="125"/>
      <c r="L1021" s="125"/>
      <c r="M1021" s="136"/>
      <c r="N1021" s="125"/>
    </row>
    <row r="1022" spans="2:14" ht="15" customHeight="1">
      <c r="B1022" s="125"/>
      <c r="D1022" s="125"/>
      <c r="E1022" s="125"/>
      <c r="F1022" s="125"/>
      <c r="G1022" s="125"/>
      <c r="H1022" s="125"/>
      <c r="I1022" s="125"/>
      <c r="J1022" s="126"/>
      <c r="K1022" s="125"/>
      <c r="L1022" s="125"/>
      <c r="M1022" s="136"/>
      <c r="N1022" s="125"/>
    </row>
    <row r="1023" spans="2:14" ht="15" customHeight="1">
      <c r="B1023" s="125"/>
      <c r="D1023" s="125"/>
      <c r="E1023" s="125"/>
      <c r="F1023" s="125"/>
      <c r="G1023" s="125"/>
      <c r="H1023" s="125"/>
      <c r="I1023" s="125"/>
      <c r="J1023" s="126"/>
      <c r="K1023" s="125"/>
      <c r="L1023" s="125"/>
      <c r="M1023" s="136"/>
      <c r="N1023" s="125"/>
    </row>
    <row r="1024" spans="2:14" ht="15" customHeight="1">
      <c r="B1024" s="125"/>
      <c r="D1024" s="125"/>
      <c r="E1024" s="125"/>
      <c r="F1024" s="125"/>
      <c r="G1024" s="125"/>
      <c r="H1024" s="125"/>
      <c r="I1024" s="125"/>
      <c r="J1024" s="126"/>
      <c r="K1024" s="125"/>
      <c r="L1024" s="125"/>
      <c r="M1024" s="136"/>
      <c r="N1024" s="125"/>
    </row>
    <row r="1025" spans="2:14" ht="15" customHeight="1">
      <c r="B1025" s="125"/>
      <c r="D1025" s="125"/>
      <c r="E1025" s="125"/>
      <c r="F1025" s="125"/>
      <c r="G1025" s="125"/>
      <c r="H1025" s="125"/>
      <c r="I1025" s="125"/>
      <c r="J1025" s="126"/>
      <c r="K1025" s="125"/>
      <c r="L1025" s="125"/>
      <c r="M1025" s="136"/>
      <c r="N1025" s="125"/>
    </row>
    <row r="1026" spans="2:14" ht="15" customHeight="1">
      <c r="B1026" s="125"/>
      <c r="D1026" s="125"/>
      <c r="E1026" s="125"/>
      <c r="F1026" s="125"/>
      <c r="G1026" s="125"/>
      <c r="H1026" s="125"/>
      <c r="I1026" s="125"/>
      <c r="J1026" s="126"/>
      <c r="K1026" s="125"/>
      <c r="L1026" s="125"/>
      <c r="M1026" s="136"/>
      <c r="N1026" s="125"/>
    </row>
    <row r="1027" spans="2:14" ht="15" customHeight="1">
      <c r="B1027" s="125"/>
      <c r="D1027" s="125"/>
      <c r="E1027" s="125"/>
      <c r="F1027" s="125"/>
      <c r="G1027" s="125"/>
      <c r="H1027" s="125"/>
      <c r="I1027" s="125"/>
      <c r="J1027" s="126"/>
      <c r="K1027" s="125"/>
      <c r="L1027" s="125"/>
      <c r="M1027" s="136"/>
      <c r="N1027" s="125"/>
    </row>
    <row r="1028" spans="2:14" ht="15" customHeight="1">
      <c r="B1028" s="125"/>
      <c r="D1028" s="125"/>
      <c r="E1028" s="125"/>
      <c r="F1028" s="125"/>
      <c r="G1028" s="125"/>
      <c r="H1028" s="125"/>
      <c r="I1028" s="125"/>
      <c r="J1028" s="126"/>
      <c r="K1028" s="125"/>
      <c r="L1028" s="125"/>
      <c r="M1028" s="136"/>
      <c r="N1028" s="125"/>
    </row>
    <row r="1029" spans="2:14" ht="15" customHeight="1">
      <c r="B1029" s="125"/>
      <c r="D1029" s="125"/>
      <c r="E1029" s="125"/>
      <c r="F1029" s="125"/>
      <c r="G1029" s="125"/>
      <c r="H1029" s="125"/>
      <c r="I1029" s="125"/>
      <c r="J1029" s="126"/>
      <c r="K1029" s="125"/>
      <c r="L1029" s="125"/>
      <c r="M1029" s="136"/>
      <c r="N1029" s="125"/>
    </row>
  </sheetData>
  <conditionalFormatting sqref="D5:D23 W5">
    <cfRule type="colorScale" priority="11">
      <colorScale>
        <cfvo type="min"/>
        <cfvo type="max"/>
        <color rgb="FFFFFFFF"/>
        <color rgb="FF57BB8A"/>
      </colorScale>
    </cfRule>
  </conditionalFormatting>
  <conditionalFormatting sqref="D5:D60 W5">
    <cfRule type="colorScale" priority="40">
      <colorScale>
        <cfvo type="percent" val="20"/>
        <cfvo type="percentile" val="50"/>
        <cfvo type="percentile" val="100"/>
        <color rgb="FFE67C73"/>
        <color rgb="FFFFD666"/>
        <color rgb="FF57BB8A"/>
      </colorScale>
    </cfRule>
  </conditionalFormatting>
  <conditionalFormatting sqref="G5:G60 Z5">
    <cfRule type="colorScale" priority="4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 count="2">
    <dataValidation type="custom" allowBlank="1" showDropDown="1" sqref="H5:J60" xr:uid="{00000000-0002-0000-0100-000000000000}">
      <formula1>OR(NOT(ISERROR(DATEVALUE(H5))), AND(ISNUMBER(H5), LEFT(CELL("format", H5))="D"))</formula1>
    </dataValidation>
    <dataValidation type="custom" allowBlank="1" showDropDown="1" sqref="D5:E60 G5:G60 M5:M60" xr:uid="{00000000-0002-0000-0100-000001000000}">
      <formula1>AND(ISNUMBER(D5),(NOT(OR(NOT(ISERROR(DATEVALUE(D5))), AND(ISNUMBER(D5), LEFT(CELL("format", D5))="D")))))</formula1>
    </dataValidation>
  </dataValidations>
  <hyperlinks>
    <hyperlink ref="V5" location="GN40D!A1" display="GN40D" xr:uid="{00000000-0004-0000-0100-000000000000}"/>
    <hyperlink ref="C52" location="YMCQD!A1" display="YMCQD" xr:uid="{00000000-0004-0000-0100-00000D000000}"/>
    <hyperlink ref="C49" location="CP34D!A1" display="CP34D" xr:uid="{00000000-0004-0000-0100-00000F000000}"/>
    <hyperlink ref="C51" location="CS38D!A1" display="CS38D" xr:uid="{00000000-0004-0000-0100-000011000000}"/>
    <hyperlink ref="C50" location="LOC3D!A1" display="LOC3D" xr:uid="{00000000-0004-0000-0100-000013000000}"/>
    <hyperlink ref="C5" location="NPCAD!A1" display="NPCAD" xr:uid="{00000000-0004-0000-0100-000015000000}"/>
    <hyperlink ref="C6" location="TTC7D!A1" display="TTC7D" xr:uid="{00000000-0004-0000-0100-000017000000}"/>
    <hyperlink ref="C47" location="YMCVO!A1" display="YMCVD" xr:uid="{00000000-0004-0000-0100-000019000000}"/>
    <hyperlink ref="C41" location="NBS1D!A1" display="NBS1D" xr:uid="{00000000-0004-0000-0100-00001B000000}"/>
    <hyperlink ref="C9" location="DNC5D!A1" display="DNC5D" xr:uid="{00000000-0004-0000-0100-00001D000000}"/>
    <hyperlink ref="C48" location="YMCVD!A1" display="YMCVD" xr:uid="{59127E79-7CAB-4142-9927-FBDD8B5FE2AF}"/>
    <hyperlink ref="C45" location="'RC2CD'!A1" display="RC2CD" xr:uid="{AE804575-C65B-44FB-8694-9D3C766DEBC1}"/>
    <hyperlink ref="C15" location="DNC3D!A1" display="DNC3D" xr:uid="{84AF5A66-1F3F-4C37-9326-62928D0A5176}"/>
    <hyperlink ref="C36" location="YM41D!A1" display="YM41D" xr:uid="{A9D9BD45-4D87-4307-BBF5-599428B83C15}"/>
    <hyperlink ref="C38" location="ZZC1D!A1" display="ZZC1D" xr:uid="{772E44B8-C170-4F57-924B-7302E867D9EB}"/>
    <hyperlink ref="C43" location="IRCJDD!A1" display="IRCJD" xr:uid="{4F9176B6-923E-4CE9-BC37-2F8E1A7A35E3}"/>
    <hyperlink ref="C46" location="LMS8D!A1" display="LMS8D" xr:uid="{D44C54E0-69C9-4D9F-9543-66CB4F508A3D}"/>
    <hyperlink ref="C40" location="VSCWD!A1" display="VSCWD" xr:uid="{048D8927-52DE-4823-AC04-F0E50B4E2080}"/>
    <hyperlink ref="C42" location="PN42D!A1" display="PN42D" xr:uid="{E21A5C38-9144-4042-ADCE-179F4D187B5A}"/>
    <hyperlink ref="C31" location="OTS2D!A1" display="OTS2D" xr:uid="{A8B455AC-0EE7-4031-BA04-2A257C8165C6}"/>
    <hyperlink ref="C37" location="YM37D!A1" display="YM37D" xr:uid="{3B2569AB-3326-4ADA-B6D8-EBFBE61AF9E8}"/>
    <hyperlink ref="C32" location="RCCRD!A1" display="RCCRD" xr:uid="{C4B12654-79E1-4D19-AC8E-45525C50203B}"/>
    <hyperlink ref="C13" location="CIC9D!A1" display="CIC9D" xr:uid="{0E4572EE-033C-4EA0-A047-CFD84B8F1F3B}"/>
    <hyperlink ref="C17" location="HJCID!A1" display="HJCID" xr:uid="{4525FA80-E1EC-4600-9B06-2D829494BC25}"/>
    <hyperlink ref="C19" location="PN36D!A1" display="PN36D" xr:uid="{9716C9B1-1913-4BEF-A4A9-87074CC2788A}"/>
    <hyperlink ref="C24" location="VSCRD!A1" display="VSCRD" xr:uid="{B832C653-62BA-45C2-8E98-3F7A64FDD358}"/>
    <hyperlink ref="C16" location="PLC2D!A1" display="PLC2D" xr:uid="{663D9F62-B256-4F6D-9255-8316767855B5}"/>
    <hyperlink ref="C10" location="OT42D!A1" display="OT42D" xr:uid="{278C10A4-B86C-47D3-BD76-1ABD45F6B557}"/>
    <hyperlink ref="C23" location="TTC9D!A1" display="TTC9D" xr:uid="{D8A473DA-1BE4-4B2F-9D02-EC6CE4FEB4FE}"/>
    <hyperlink ref="C18" location="IRCORD!A1" display="IRCORD!A1" xr:uid="{0BCE219C-1585-424E-A1F1-6F11406B4882}"/>
    <hyperlink ref="C21" location="PN35D!A1" display="PN35D" xr:uid="{4F2DEF7C-34DF-4CEB-A6C2-FA710FD2399C}"/>
    <hyperlink ref="C30" location="PN41D!A1" display="PN41D" xr:uid="{CA559C41-23CF-4004-9B51-C8333D67B2F9}"/>
    <hyperlink ref="C22" location="NPCCD!A1" display="NPCCD" xr:uid="{71B2AD2D-A6C3-4BB1-9170-9EDBC48A289E}"/>
    <hyperlink ref="C14" location="OLC6D!A1" display="OLC6D" xr:uid="{2A375480-96C0-4945-9B2C-EDEF8DA885A9}"/>
    <hyperlink ref="C29" location="VSCPD!A1" display="VSCPD" xr:uid="{DCBDA3D7-AFF0-4B92-971B-7E563CE625B0}"/>
    <hyperlink ref="C35" location="LMS7D!A1" display="LMS7D" xr:uid="{BCC95B0A-5479-4714-A09B-5B64FE4FC638}"/>
    <hyperlink ref="C25" location="YM40D!A1" display="YM40D" xr:uid="{A14DDAC8-0B08-4619-9533-DC9DF7A875AA}"/>
    <hyperlink ref="C8" location="CICAD!A1" display="CICAD" xr:uid="{89F25481-BC00-49EA-A64A-ED850EB34FCE}"/>
    <hyperlink ref="C20" location="OLC5D!A1" display="OLC5D" xr:uid="{C1233983-98B8-4B01-80FB-0D808E511967}"/>
    <hyperlink ref="C12" location="YM39D!A1" display="YM39D" xr:uid="{8ECD09D8-4923-4CDB-9088-891B3BE86663}"/>
    <hyperlink ref="C26" location="PLC3D!A1" display="PLC3D" xr:uid="{A5ECE254-0CCC-49F5-AAA5-14C977617212}"/>
    <hyperlink ref="C28" location="TLCOD!A1" display="TLCOD" xr:uid="{ED501A18-7D75-442B-AD38-8FA6698BF826}"/>
    <hyperlink ref="C39" location="TTCBD!A1" display="TTCBD" xr:uid="{9E62B080-12B0-4B3A-8122-CF1AFBE7DA3C}"/>
    <hyperlink ref="C33" location="SBC1D!A1" display="SBC1D" xr:uid="{088F59D1-C8CE-4C92-AE46-02DBC97CBE73}"/>
    <hyperlink ref="C44" location="PN38D!A1" display="PN38D" xr:uid="{86573895-7842-4205-8439-272A8792E8AF}"/>
    <hyperlink ref="C34" location="YM38D!A1" display="YM38D" xr:uid="{071533DB-3954-4947-BFA9-A8BB48EF0675}"/>
    <hyperlink ref="C27" location="PFC2D!A1" display="PFC2D" xr:uid="{90A64549-E3A3-4F07-A36A-1FDA443D2A36}"/>
    <hyperlink ref="C11" location="MCC2D!A1" display="MCC2D" xr:uid="{AB68F475-E03E-486C-AD2F-5D0E0751EF83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BB53-9780-4646-860C-99A88C889C46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5221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-116.8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46174</v>
      </c>
      <c r="C3" s="57">
        <v>14.83</v>
      </c>
      <c r="D3" s="57">
        <v>0</v>
      </c>
      <c r="E3" s="51">
        <f t="shared" ref="E3:E11" ca="1" si="0">IF(B3&lt;=$B$2,0,(C3+D3))</f>
        <v>14.83</v>
      </c>
      <c r="F3" s="12">
        <f t="shared" ref="F3:F11" ca="1" si="1">(E3*(B3-$B$2)/365)/(1+$K$4)^((B3-$B$2)/365)/-$E$2/(1+$K$4)^$K$2</f>
        <v>3.0472713184211558E-2</v>
      </c>
      <c r="J3" s="13" t="s">
        <v>85</v>
      </c>
      <c r="K3" s="202">
        <f ca="1">SUM(F3:F102)</f>
        <v>2.3260325937423136</v>
      </c>
    </row>
    <row r="4" spans="1:11" ht="15" customHeight="1" thickBot="1">
      <c r="A4" s="57">
        <v>3</v>
      </c>
      <c r="B4" s="58">
        <v>46356</v>
      </c>
      <c r="C4" s="57">
        <v>15.08</v>
      </c>
      <c r="D4" s="57">
        <v>0</v>
      </c>
      <c r="E4" s="51">
        <f t="shared" ca="1" si="0"/>
        <v>15.08</v>
      </c>
      <c r="F4" s="12">
        <f t="shared" ca="1" si="1"/>
        <v>7.464891587399361E-2</v>
      </c>
      <c r="J4" s="1" t="s">
        <v>4</v>
      </c>
      <c r="K4" s="2">
        <f ca="1">XIRR(E2:E33,B2:B33)</f>
        <v>0.27278739809989938</v>
      </c>
    </row>
    <row r="5" spans="1:11" ht="15" customHeight="1" thickBot="1">
      <c r="A5" s="57">
        <v>4</v>
      </c>
      <c r="B5" s="58">
        <v>46538</v>
      </c>
      <c r="C5" s="57">
        <v>14.83</v>
      </c>
      <c r="D5" s="57">
        <v>0</v>
      </c>
      <c r="E5" s="51">
        <f t="shared" ca="1" si="0"/>
        <v>14.83</v>
      </c>
      <c r="F5" s="12">
        <f t="shared" ca="1" si="1"/>
        <v>0.10622683753764882</v>
      </c>
      <c r="J5" s="15"/>
    </row>
    <row r="6" spans="1:11" ht="15" customHeight="1" thickBot="1">
      <c r="A6" s="57">
        <v>5</v>
      </c>
      <c r="B6" s="58">
        <v>46721</v>
      </c>
      <c r="C6" s="57">
        <v>15.08</v>
      </c>
      <c r="D6" s="57">
        <v>0</v>
      </c>
      <c r="E6" s="51">
        <f t="shared" ca="1" si="0"/>
        <v>15.08</v>
      </c>
      <c r="F6" s="12">
        <f t="shared" ca="1" si="1"/>
        <v>0.13298061333100447</v>
      </c>
    </row>
    <row r="7" spans="1:11" ht="15" customHeight="1" thickBot="1">
      <c r="A7" s="57">
        <v>6</v>
      </c>
      <c r="B7" s="58">
        <v>46904</v>
      </c>
      <c r="C7" s="57">
        <v>14.91</v>
      </c>
      <c r="D7" s="57">
        <v>0</v>
      </c>
      <c r="E7" s="51">
        <f t="shared" ca="1" si="0"/>
        <v>14.91</v>
      </c>
      <c r="F7" s="12">
        <f t="shared" ca="1" si="1"/>
        <v>0.14915447754806899</v>
      </c>
    </row>
    <row r="8" spans="1:11" ht="15" customHeight="1" thickBot="1">
      <c r="A8" s="57">
        <v>7</v>
      </c>
      <c r="B8" s="58">
        <v>47087</v>
      </c>
      <c r="C8" s="57">
        <v>15.08</v>
      </c>
      <c r="D8" s="57">
        <v>0</v>
      </c>
      <c r="E8" s="51">
        <f t="shared" ca="1" si="0"/>
        <v>15.08</v>
      </c>
      <c r="F8" s="12">
        <f t="shared" ca="1" si="1"/>
        <v>0.16293202880811208</v>
      </c>
    </row>
    <row r="9" spans="1:11" ht="15" customHeight="1" thickBot="1">
      <c r="A9" s="57">
        <v>8</v>
      </c>
      <c r="B9" s="58">
        <v>47269</v>
      </c>
      <c r="C9" s="57">
        <v>14.83</v>
      </c>
      <c r="D9" s="57">
        <v>0</v>
      </c>
      <c r="E9" s="51">
        <f t="shared" ca="1" si="0"/>
        <v>14.83</v>
      </c>
      <c r="F9" s="12">
        <f t="shared" ca="1" si="1"/>
        <v>0.16744827041946048</v>
      </c>
    </row>
    <row r="10" spans="1:11" ht="15" customHeight="1" thickBot="1">
      <c r="A10" s="57">
        <v>9</v>
      </c>
      <c r="B10" s="58">
        <v>47452</v>
      </c>
      <c r="C10" s="57">
        <v>15.08</v>
      </c>
      <c r="D10" s="57">
        <v>0</v>
      </c>
      <c r="E10" s="51">
        <f t="shared" ca="1" si="0"/>
        <v>15.08</v>
      </c>
      <c r="F10" s="12">
        <f t="shared" ca="1" si="1"/>
        <v>0.1738651360565758</v>
      </c>
    </row>
    <row r="11" spans="1:11" ht="15" customHeight="1" thickBot="1">
      <c r="A11" s="57">
        <v>10</v>
      </c>
      <c r="B11" s="58">
        <v>47633</v>
      </c>
      <c r="C11" s="57">
        <v>14.83</v>
      </c>
      <c r="D11" s="57">
        <v>100</v>
      </c>
      <c r="E11" s="51">
        <f t="shared" ca="1" si="0"/>
        <v>114.83</v>
      </c>
      <c r="F11" s="12">
        <f t="shared" ca="1" si="1"/>
        <v>1.3283036009832379</v>
      </c>
    </row>
    <row r="12" spans="1:11" ht="15" customHeight="1" thickBot="1">
      <c r="A12" s="57"/>
      <c r="B12" s="58"/>
      <c r="C12" s="57"/>
      <c r="D12" s="57"/>
      <c r="E12" s="51">
        <f t="shared" ref="E12:E33" ca="1" si="2">IF(B12&lt;=$B$2,0,(C12+D12))</f>
        <v>0</v>
      </c>
      <c r="F12" s="12">
        <f t="shared" ref="F12:F33" ca="1" si="3">(E12*(B12-$B$2)/365)/(1+$K$4)^((B12-$B$2)/365)/-$E$2/(1+$K$4)^$K$2</f>
        <v>0</v>
      </c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>
        <f t="shared" ca="1" si="3"/>
        <v>0</v>
      </c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>
        <f t="shared" ca="1" si="3"/>
        <v>0</v>
      </c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>
        <f t="shared" ca="1" si="3"/>
        <v>0</v>
      </c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>
        <f t="shared" ca="1" si="3"/>
        <v>0</v>
      </c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>
        <f t="shared" ca="1" si="3"/>
        <v>0</v>
      </c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>
        <f t="shared" ca="1" si="3"/>
        <v>0</v>
      </c>
    </row>
    <row r="19" spans="1:6" ht="16.2" thickBot="1">
      <c r="A19" s="57"/>
      <c r="B19" s="58"/>
      <c r="C19" s="57"/>
      <c r="D19" s="57"/>
      <c r="E19" s="51">
        <f t="shared" ca="1" si="2"/>
        <v>0</v>
      </c>
      <c r="F19" s="12">
        <f t="shared" ca="1" si="3"/>
        <v>0</v>
      </c>
    </row>
    <row r="20" spans="1:6" ht="15" customHeight="1" thickBot="1">
      <c r="A20" s="57"/>
      <c r="B20" s="58"/>
      <c r="C20" s="57"/>
      <c r="D20" s="57"/>
      <c r="E20" s="51">
        <f t="shared" ca="1" si="2"/>
        <v>0</v>
      </c>
      <c r="F20" s="12">
        <f t="shared" ca="1" si="3"/>
        <v>0</v>
      </c>
    </row>
    <row r="21" spans="1:6" ht="15" customHeight="1" thickBot="1">
      <c r="A21" s="57"/>
      <c r="B21" s="58"/>
      <c r="C21" s="57"/>
      <c r="D21" s="57"/>
      <c r="E21" s="51">
        <f t="shared" ca="1" si="2"/>
        <v>0</v>
      </c>
      <c r="F21" s="12">
        <f t="shared" ca="1" si="3"/>
        <v>0</v>
      </c>
    </row>
    <row r="22" spans="1:6" ht="15" customHeight="1" thickBot="1">
      <c r="A22" s="57"/>
      <c r="B22" s="58"/>
      <c r="C22" s="57"/>
      <c r="D22" s="57"/>
      <c r="E22" s="51">
        <f t="shared" ca="1" si="2"/>
        <v>0</v>
      </c>
      <c r="F22" s="12">
        <f t="shared" ca="1" si="3"/>
        <v>0</v>
      </c>
    </row>
    <row r="23" spans="1:6" ht="15" customHeight="1" thickBot="1">
      <c r="A23" s="57"/>
      <c r="B23" s="58"/>
      <c r="C23" s="57"/>
      <c r="D23" s="57"/>
      <c r="E23" s="51">
        <f t="shared" ca="1" si="2"/>
        <v>0</v>
      </c>
      <c r="F23" s="12">
        <f t="shared" ca="1" si="3"/>
        <v>0</v>
      </c>
    </row>
    <row r="24" spans="1:6" ht="15" customHeight="1" thickBot="1">
      <c r="A24" s="57"/>
      <c r="B24" s="58"/>
      <c r="C24" s="57"/>
      <c r="D24" s="57"/>
      <c r="E24" s="51">
        <f t="shared" ca="1" si="2"/>
        <v>0</v>
      </c>
      <c r="F24" s="12">
        <f t="shared" ca="1" si="3"/>
        <v>0</v>
      </c>
    </row>
    <row r="25" spans="1:6" ht="15" customHeight="1" thickBot="1">
      <c r="A25" s="57"/>
      <c r="B25" s="58"/>
      <c r="C25" s="57"/>
      <c r="D25" s="57"/>
      <c r="E25" s="51">
        <f t="shared" ca="1" si="2"/>
        <v>0</v>
      </c>
      <c r="F25" s="12">
        <f t="shared" ca="1" si="3"/>
        <v>0</v>
      </c>
    </row>
    <row r="26" spans="1:6" ht="15" customHeight="1" thickBot="1">
      <c r="A26" s="57"/>
      <c r="B26" s="58"/>
      <c r="C26" s="57"/>
      <c r="D26" s="57"/>
      <c r="E26" s="51">
        <f t="shared" ca="1" si="2"/>
        <v>0</v>
      </c>
      <c r="F26" s="12">
        <f t="shared" ca="1" si="3"/>
        <v>0</v>
      </c>
    </row>
    <row r="27" spans="1:6" ht="15" customHeight="1" thickBot="1">
      <c r="A27" s="57"/>
      <c r="B27" s="58"/>
      <c r="C27" s="57"/>
      <c r="D27" s="57"/>
      <c r="E27" s="51">
        <f t="shared" ca="1" si="2"/>
        <v>0</v>
      </c>
      <c r="F27" s="12">
        <f t="shared" ca="1" si="3"/>
        <v>0</v>
      </c>
    </row>
    <row r="28" spans="1:6" ht="15" customHeight="1" thickBot="1">
      <c r="A28" s="57"/>
      <c r="B28" s="58"/>
      <c r="C28" s="57"/>
      <c r="D28" s="57"/>
      <c r="E28" s="51">
        <f t="shared" ca="1" si="2"/>
        <v>0</v>
      </c>
      <c r="F28" s="12">
        <f t="shared" ca="1" si="3"/>
        <v>0</v>
      </c>
    </row>
    <row r="29" spans="1:6" ht="15" customHeight="1" thickBot="1">
      <c r="A29" s="57"/>
      <c r="B29" s="58"/>
      <c r="C29" s="57"/>
      <c r="D29" s="57"/>
      <c r="E29" s="51">
        <f t="shared" ca="1" si="2"/>
        <v>0</v>
      </c>
      <c r="F29" s="12">
        <f t="shared" ca="1" si="3"/>
        <v>0</v>
      </c>
    </row>
    <row r="30" spans="1:6" ht="15" customHeight="1" thickBot="1">
      <c r="A30" s="57"/>
      <c r="B30" s="58"/>
      <c r="C30" s="57"/>
      <c r="D30" s="57"/>
      <c r="E30" s="51">
        <f t="shared" ca="1" si="2"/>
        <v>0</v>
      </c>
      <c r="F30" s="12">
        <f t="shared" ca="1" si="3"/>
        <v>0</v>
      </c>
    </row>
    <row r="31" spans="1:6" ht="15" customHeight="1" thickBot="1">
      <c r="A31" s="57"/>
      <c r="B31" s="58"/>
      <c r="C31" s="57"/>
      <c r="D31" s="57"/>
      <c r="E31" s="51">
        <f t="shared" ca="1" si="2"/>
        <v>0</v>
      </c>
      <c r="F31" s="12">
        <f t="shared" ca="1" si="3"/>
        <v>0</v>
      </c>
    </row>
    <row r="32" spans="1:6" ht="15" customHeight="1" thickBot="1">
      <c r="A32" s="57"/>
      <c r="B32" s="58"/>
      <c r="C32" s="57"/>
      <c r="D32" s="57"/>
      <c r="E32" s="51">
        <f t="shared" ca="1" si="2"/>
        <v>0</v>
      </c>
      <c r="F32" s="12">
        <f t="shared" ca="1" si="3"/>
        <v>0</v>
      </c>
    </row>
    <row r="33" spans="1:6" ht="15" customHeight="1" thickBot="1">
      <c r="A33" s="57"/>
      <c r="B33" s="58"/>
      <c r="C33" s="57"/>
      <c r="D33" s="57"/>
      <c r="E33" s="51">
        <f t="shared" ca="1" si="2"/>
        <v>0</v>
      </c>
      <c r="F33" s="12">
        <f t="shared" ca="1" si="3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B086-D8A2-42B6-BB05-689244BC4175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30" t="s">
        <v>5220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104.45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46568</v>
      </c>
      <c r="C3" s="228">
        <v>45.25</v>
      </c>
      <c r="D3" s="57">
        <v>100</v>
      </c>
      <c r="E3" s="51">
        <f ca="1">IF(B3&lt;=$B$2,0,(C3+D3))</f>
        <v>145.25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0.27215965584445789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0.28515078985160358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2.0262211530109653E-2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0FBF-FD70-4621-A51C-2F7CE2381E8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30" t="s">
        <v>5219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103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46538</v>
      </c>
      <c r="C3" s="228">
        <v>51.75</v>
      </c>
      <c r="D3" s="57">
        <v>100</v>
      </c>
      <c r="E3" s="51">
        <f ca="1">IF(B3&lt;=$B$2,0,(C3+D3))</f>
        <v>151.75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0.35112161991968649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0.36756351993389785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2.5395019359156334E-2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D043-B576-4AD2-8029-207ECE801191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30" t="s">
        <v>5218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108.7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46507</v>
      </c>
      <c r="C3" s="228">
        <v>59.92</v>
      </c>
      <c r="D3" s="57">
        <v>100</v>
      </c>
      <c r="E3" s="51">
        <f ca="1">IF(B3&lt;=$B$2,0,(C3+D3))</f>
        <v>159.92000000000002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0.37850838206929671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0.39177649294939382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2.711116684257453E-2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A437-3B9B-4DCC-AC58-9F38F889B265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30" t="s">
        <v>5217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120.15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46402</v>
      </c>
      <c r="C3" s="228">
        <v>61.1</v>
      </c>
      <c r="D3" s="57">
        <v>100</v>
      </c>
      <c r="E3" s="51">
        <f ca="1">IF(B3&lt;=$B$2,0,(C3+D3))</f>
        <v>161.1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0.37782384210737563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0.37245733252595931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2.7068653577046575E-2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40BB-CD3A-4213-A005-6B46AE67A553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30" t="s">
        <v>5216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101.31399999999999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46356</v>
      </c>
      <c r="C3" s="228">
        <v>30.06</v>
      </c>
      <c r="D3" s="57">
        <v>100</v>
      </c>
      <c r="E3" s="51">
        <f ca="1">IF(B3&lt;=$B$2,0,(C3+D3))</f>
        <v>130.06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0.3723854136898912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0.35959060445742963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2.673021107055118E-2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B294-E6CD-432E-8881-83E35A03BAED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108.824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46325</v>
      </c>
      <c r="C3" s="228">
        <v>35.28</v>
      </c>
      <c r="D3" s="57">
        <v>100</v>
      </c>
      <c r="E3" s="51">
        <f ca="1">IF(B3&lt;=$B$2,0,(C3+D3))</f>
        <v>135.28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0.36214931358470404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0.34527031259698654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2.6089853226785475E-2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9A7F-BCA3-4D9A-B77C-5AE30FB5CF51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107.25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46265</v>
      </c>
      <c r="C3" s="228">
        <v>28.52</v>
      </c>
      <c r="D3" s="57">
        <v>100</v>
      </c>
      <c r="E3" s="51">
        <f ca="1">IF(B3&lt;=$B$2,0,(C3+D3))</f>
        <v>128.52000000000001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0.39823505811541793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0.36744879485996246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2.8328049792451848E-2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A2E8-B571-4A11-92B6-239624B6490C}">
  <sheetPr>
    <outlinePr summaryBelow="0" summaryRight="0"/>
  </sheetPr>
  <dimension ref="A1:K33"/>
  <sheetViews>
    <sheetView workbookViewId="0">
      <selection activeCell="C21" sqref="C21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101.45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46234</v>
      </c>
      <c r="C3" s="228">
        <v>17.676829999999999</v>
      </c>
      <c r="D3" s="57">
        <v>100</v>
      </c>
      <c r="E3" s="51">
        <f ca="1">IF(B3&lt;=$B$2,0,(C3+D3))</f>
        <v>117.67683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0.38575981554096006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0.35169517597249506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2.7560331761726564E-2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CFEA-E11D-4580-8542-F6D85E930E1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128.44999999999999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46203</v>
      </c>
      <c r="C3" s="228">
        <v>44.89</v>
      </c>
      <c r="D3" s="57">
        <v>100</v>
      </c>
      <c r="E3" s="51">
        <f ca="1">IF(B3&lt;=$B$2,0,(C3+D3))</f>
        <v>144.88999999999999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0.38489019334267183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0.34604039617663584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2.7506579878658233E-2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D37-21F2-4F5F-BE3A-AE14328B7859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120.6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46171</v>
      </c>
      <c r="C3" s="228">
        <v>32.25</v>
      </c>
      <c r="D3" s="57">
        <v>100</v>
      </c>
      <c r="E3" s="51">
        <f ca="1">IF(B3&lt;=$B$2,0,(C3+D3))</f>
        <v>132.25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0.386497182405384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0.34232156370252331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2.7605884642329714E-2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FE54-B325-4078-B7B3-55FCB11D0768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5210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119.298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46142</v>
      </c>
      <c r="C3" s="228">
        <v>27.49</v>
      </c>
      <c r="D3" s="57">
        <v>100</v>
      </c>
      <c r="E3" s="51">
        <f ca="1">IF(B3&lt;=$B$2,0,(C3+D3))</f>
        <v>127.49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0.38760527642289366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0.33870212817051804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2.7674298475551584E-2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27E8-6CCC-4DE0-B073-CC3471DBE77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5209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103.9</v>
      </c>
      <c r="J2" s="1" t="s">
        <v>84</v>
      </c>
      <c r="K2" s="1">
        <v>0.5</v>
      </c>
    </row>
    <row r="3" spans="1:11" ht="15" customHeight="1" thickBot="1">
      <c r="A3" s="57">
        <v>1</v>
      </c>
      <c r="B3" s="229">
        <v>46129</v>
      </c>
      <c r="C3" s="228">
        <v>10.130000000000001</v>
      </c>
      <c r="D3" s="57">
        <v>100</v>
      </c>
      <c r="E3" s="51">
        <f ca="1">IF(B3&lt;=$B$2,0,(C3+D3))</f>
        <v>110.13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0.41685679831586442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0.35878603322867181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2.9462417588290934E-2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915D-31D6-409D-9D96-17985AAA5D9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5208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101.74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46097</v>
      </c>
      <c r="C3" s="228">
        <v>4.6210500000000003</v>
      </c>
      <c r="D3" s="57">
        <v>100</v>
      </c>
      <c r="E3" s="333">
        <f ca="1">IF(B3&lt;=$B$2,0,(C3+D3))</f>
        <v>104.62105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0.42114118016562396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0.35641332199046843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2.9721471588170845E-2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35EC-6E1F-4C31-8AF8-2021EE7B5B7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227" t="s">
        <v>5207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124.32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46080</v>
      </c>
      <c r="C3" s="228">
        <v>25.84</v>
      </c>
      <c r="D3" s="57">
        <v>100</v>
      </c>
      <c r="E3" s="51">
        <f ca="1">IF(B3&lt;=$B$2,0,(C3+D3))</f>
        <v>125.84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>
        <f ca="1">+(1+(E3/E2-1))^(365/(B3-B2))-1</f>
        <v>0.44720578477299666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>
        <f ca="1">+(E3/E2-1)/(B3-B2)*365</f>
        <v>0.37188974688975174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>
        <f ca="1">+(1+J4)^(1/12)-1</f>
        <v>3.1282205435527954E-2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B562-C647-424C-90A6-49EA43BEFB2A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cols>
    <col min="5" max="5" width="21.09765625" bestFit="1" customWidth="1"/>
  </cols>
  <sheetData>
    <row r="1" spans="1:11" ht="15" customHeight="1">
      <c r="A1" s="67" t="s">
        <v>5206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_xll.PrecioBD(A1,"24","ASK","N")</f>
        <v>0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46066</v>
      </c>
      <c r="C3" s="57">
        <v>44.97</v>
      </c>
      <c r="D3" s="57">
        <v>100</v>
      </c>
      <c r="E3" s="51">
        <f ca="1">IF(B3&lt;=$B$2,0,(C3+D3))</f>
        <v>0</v>
      </c>
      <c r="F3" s="12" t="e">
        <f ca="1">(E3*(B3-$B$2)/365)/(1+#REF!)^((B3-$B$2)/365)/-$E$2/(1+#REF!)^$K$2</f>
        <v>#REF!</v>
      </c>
      <c r="J3" s="13" t="s">
        <v>85</v>
      </c>
      <c r="K3" s="202" t="e">
        <f ca="1">SUM(F3:F102)</f>
        <v>#REF!</v>
      </c>
    </row>
    <row r="4" spans="1:11" ht="15" customHeight="1" thickBot="1">
      <c r="A4" s="57"/>
      <c r="B4" s="58"/>
      <c r="C4" s="57"/>
      <c r="D4" s="57"/>
      <c r="E4" s="51"/>
      <c r="F4" s="12"/>
      <c r="J4" s="217" t="e">
        <f ca="1">+(1+(E3/E2-1))^(365/(B3-B2))-1</f>
        <v>#DIV/0!</v>
      </c>
      <c r="K4" t="s">
        <v>4</v>
      </c>
    </row>
    <row r="5" spans="1:11" ht="15" customHeight="1" thickBot="1">
      <c r="A5" s="57"/>
      <c r="B5" s="58"/>
      <c r="C5" s="57"/>
      <c r="D5" s="57"/>
      <c r="E5" s="51"/>
      <c r="F5" s="12"/>
      <c r="J5" s="217" t="e">
        <f ca="1">+(E3/E2-1)/(B3-B2)*365</f>
        <v>#DIV/0!</v>
      </c>
      <c r="K5" t="s">
        <v>566</v>
      </c>
    </row>
    <row r="6" spans="1:11" ht="15" customHeight="1" thickBot="1">
      <c r="A6" s="57"/>
      <c r="B6" s="58"/>
      <c r="C6" s="57"/>
      <c r="D6" s="57"/>
      <c r="E6" s="51"/>
      <c r="F6" s="12"/>
      <c r="J6" s="218" t="e">
        <f ca="1">+(1+J4)^(1/12)-1</f>
        <v>#DIV/0!</v>
      </c>
      <c r="K6" t="s">
        <v>482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6.2" thickBot="1">
      <c r="A19" s="57"/>
      <c r="B19" s="58"/>
      <c r="C19" s="57"/>
      <c r="D19" s="57"/>
      <c r="E19" s="51"/>
      <c r="F19" s="12"/>
    </row>
    <row r="20" spans="1:6" ht="15" customHeight="1" thickBot="1">
      <c r="A20" s="57"/>
      <c r="B20" s="58"/>
      <c r="C20" s="57"/>
      <c r="D20" s="57"/>
      <c r="E20" s="51"/>
      <c r="F20" s="12"/>
    </row>
    <row r="21" spans="1:6" ht="15" customHeight="1" thickBot="1">
      <c r="A21" s="57"/>
      <c r="B21" s="58"/>
      <c r="C21" s="57"/>
      <c r="D21" s="57"/>
      <c r="E21" s="51"/>
      <c r="F21" s="12"/>
    </row>
    <row r="22" spans="1:6" ht="15" customHeight="1" thickBot="1">
      <c r="A22" s="57"/>
      <c r="B22" s="58"/>
      <c r="C22" s="57"/>
      <c r="D22" s="57"/>
      <c r="E22" s="51"/>
      <c r="F22" s="12"/>
    </row>
    <row r="23" spans="1:6" ht="15" customHeight="1" thickBot="1">
      <c r="A23" s="57"/>
      <c r="B23" s="58"/>
      <c r="C23" s="57"/>
      <c r="D23" s="57"/>
      <c r="E23" s="51"/>
      <c r="F23" s="12"/>
    </row>
    <row r="24" spans="1:6" ht="15" customHeight="1" thickBot="1">
      <c r="A24" s="57"/>
      <c r="B24" s="58"/>
      <c r="C24" s="57"/>
      <c r="D24" s="57"/>
      <c r="E24" s="51"/>
      <c r="F24" s="12"/>
    </row>
    <row r="25" spans="1:6" ht="15" customHeight="1" thickBot="1">
      <c r="A25" s="57"/>
      <c r="B25" s="58"/>
      <c r="C25" s="57"/>
      <c r="D25" s="57"/>
      <c r="E25" s="51"/>
      <c r="F25" s="12"/>
    </row>
    <row r="26" spans="1:6" ht="15" customHeight="1" thickBot="1">
      <c r="A26" s="57"/>
      <c r="B26" s="58"/>
      <c r="C26" s="57"/>
      <c r="D26" s="57"/>
      <c r="E26" s="51"/>
      <c r="F26" s="12"/>
    </row>
    <row r="27" spans="1:6" ht="15" customHeight="1" thickBot="1">
      <c r="A27" s="57"/>
      <c r="B27" s="58"/>
      <c r="C27" s="57"/>
      <c r="D27" s="57"/>
      <c r="E27" s="51"/>
      <c r="F27" s="12"/>
    </row>
    <row r="28" spans="1:6" ht="15" customHeight="1" thickBot="1">
      <c r="A28" s="57"/>
      <c r="B28" s="58"/>
      <c r="C28" s="57"/>
      <c r="D28" s="57"/>
      <c r="E28" s="51"/>
      <c r="F28" s="12"/>
    </row>
    <row r="29" spans="1:6" ht="15" customHeight="1" thickBot="1">
      <c r="A29" s="57"/>
      <c r="B29" s="58"/>
      <c r="C29" s="57"/>
      <c r="D29" s="57"/>
      <c r="E29" s="51"/>
      <c r="F29" s="12"/>
    </row>
    <row r="30" spans="1:6" ht="15" customHeight="1" thickBot="1">
      <c r="A30" s="57"/>
      <c r="B30" s="58"/>
      <c r="C30" s="57"/>
      <c r="D30" s="57"/>
      <c r="E30" s="51"/>
      <c r="F30" s="12"/>
    </row>
    <row r="31" spans="1:6" ht="15" customHeight="1" thickBot="1">
      <c r="A31" s="57"/>
      <c r="B31" s="58"/>
      <c r="C31" s="57"/>
      <c r="D31" s="57"/>
      <c r="E31" s="51"/>
      <c r="F31" s="12"/>
    </row>
    <row r="32" spans="1:6" ht="15" customHeight="1" thickBot="1">
      <c r="A32" s="57"/>
      <c r="B32" s="58"/>
      <c r="C32" s="57"/>
      <c r="D32" s="57"/>
      <c r="E32" s="51"/>
      <c r="F32" s="12"/>
    </row>
    <row r="33" spans="1:6" ht="15" customHeight="1" thickBot="1">
      <c r="A33" s="57"/>
      <c r="B33" s="58"/>
      <c r="C33" s="57"/>
      <c r="D33" s="57"/>
      <c r="E33" s="51"/>
      <c r="F33" s="12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2FF4-4675-4F7F-B3E6-92796B0D2E6F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311"/>
      <c r="D2" s="311"/>
      <c r="E2" s="310" cm="1">
        <f t="array" ref="E2">-_xll.PrecioBD(A1,"24","ASK","N")</f>
        <v>-75.150000000000006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312">
        <v>1.76</v>
      </c>
      <c r="D3" s="312">
        <v>0</v>
      </c>
      <c r="E3" s="313">
        <f ca="1">IF(B3&lt;=$B$2,0,(C3+D3))</f>
        <v>1.76</v>
      </c>
      <c r="F3" s="12">
        <f ca="1">(E3*(B3-$B$2)/365)/(1+$K$4)^((B3-$B$2)/365)/-$E$2/(1+$K$4)^$K$2</f>
        <v>8.6246391711050242E-3</v>
      </c>
      <c r="J3" s="13" t="s">
        <v>85</v>
      </c>
      <c r="K3" s="202">
        <f ca="1">SUM(F3:F102)</f>
        <v>6.2475791191036461</v>
      </c>
    </row>
    <row r="4" spans="1:11" ht="15" customHeight="1" thickBot="1">
      <c r="A4" s="57">
        <v>12</v>
      </c>
      <c r="B4" s="58">
        <v>46398</v>
      </c>
      <c r="C4" s="312">
        <v>1.76</v>
      </c>
      <c r="D4" s="312">
        <v>0</v>
      </c>
      <c r="E4" s="313">
        <f ca="1">IF(B4&lt;=$B$2,0,(C4+D4))</f>
        <v>1.76</v>
      </c>
      <c r="F4" s="12">
        <f ca="1">(E4*(B4-$B$2)/365)/(1+$K$4)^((B4-$B$2)/365)/-$E$2/(1+$K$4)^$K$2</f>
        <v>1.8805809643218974E-2</v>
      </c>
      <c r="J4" s="1" t="s">
        <v>4</v>
      </c>
      <c r="K4" s="2">
        <f ca="1">XIRR(E2:E33,B2:B33)</f>
        <v>8.8145849108695981E-2</v>
      </c>
    </row>
    <row r="5" spans="1:11" ht="15" customHeight="1" thickBot="1">
      <c r="A5" s="57">
        <v>13</v>
      </c>
      <c r="B5" s="58">
        <v>46580</v>
      </c>
      <c r="C5" s="312">
        <v>1.76</v>
      </c>
      <c r="D5" s="312">
        <v>0</v>
      </c>
      <c r="E5" s="313">
        <f ca="1">IF(B5&lt;=$B$2,0,(C5+D5))</f>
        <v>1.76</v>
      </c>
      <c r="F5" s="12">
        <f ca="1">(E5*(B5-$B$2)/365)/(1+$K$4)^((B5-$B$2)/365)/-$E$2/(1+$K$4)^$K$2</f>
        <v>2.7974012095030022E-2</v>
      </c>
      <c r="J5" s="15"/>
    </row>
    <row r="6" spans="1:11" ht="15" customHeight="1" thickBot="1">
      <c r="A6" s="57">
        <v>14</v>
      </c>
      <c r="B6" s="58">
        <v>46762</v>
      </c>
      <c r="C6" s="312">
        <v>1.73</v>
      </c>
      <c r="D6" s="312">
        <v>3.57</v>
      </c>
      <c r="E6" s="313">
        <f t="shared" ref="E6:E33" ca="1" si="0">IF(B6&lt;=$B$2,0,(C6+D6))</f>
        <v>5.3</v>
      </c>
      <c r="F6" s="12">
        <f t="shared" ref="F6:F33" ca="1" si="1">(E6*(B6-$B$2)/365)/(1+$K$4)^((B6-$B$2)/365)/-$E$2/(1+$K$4)^$K$2</f>
        <v>0.10947480266964661</v>
      </c>
    </row>
    <row r="7" spans="1:11" ht="15" customHeight="1" thickBot="1">
      <c r="A7" s="57">
        <v>15</v>
      </c>
      <c r="B7" s="58">
        <v>46944</v>
      </c>
      <c r="C7" s="312">
        <v>1.69</v>
      </c>
      <c r="D7" s="312">
        <v>3.57</v>
      </c>
      <c r="E7" s="313">
        <f t="shared" ca="1" si="0"/>
        <v>5.26</v>
      </c>
      <c r="F7" s="12">
        <f t="shared" ca="1" si="1"/>
        <v>0.13148474933628068</v>
      </c>
    </row>
    <row r="8" spans="1:11" ht="15" customHeight="1" thickBot="1">
      <c r="A8" s="57">
        <v>16</v>
      </c>
      <c r="B8" s="58">
        <v>47127</v>
      </c>
      <c r="C8" s="312">
        <v>1.62</v>
      </c>
      <c r="D8" s="312">
        <v>3.57</v>
      </c>
      <c r="E8" s="313">
        <f t="shared" ca="1" si="0"/>
        <v>5.1899999999999995</v>
      </c>
      <c r="F8" s="12">
        <f t="shared" ca="1" si="1"/>
        <v>0.15033324750974844</v>
      </c>
    </row>
    <row r="9" spans="1:11" ht="15" customHeight="1" thickBot="1">
      <c r="A9" s="57">
        <v>17</v>
      </c>
      <c r="B9" s="58">
        <v>47309</v>
      </c>
      <c r="C9" s="312">
        <v>1.57</v>
      </c>
      <c r="D9" s="312">
        <v>3.57</v>
      </c>
      <c r="E9" s="313">
        <f t="shared" ca="1" si="0"/>
        <v>5.14</v>
      </c>
      <c r="F9" s="12">
        <f t="shared" ca="1" si="1"/>
        <v>0.16727587997601431</v>
      </c>
    </row>
    <row r="10" spans="1:11" ht="15" customHeight="1" thickBot="1">
      <c r="A10" s="57">
        <v>18</v>
      </c>
      <c r="B10" s="58">
        <v>47492</v>
      </c>
      <c r="C10" s="312">
        <v>2.08</v>
      </c>
      <c r="D10" s="312">
        <v>3.57</v>
      </c>
      <c r="E10" s="313">
        <f t="shared" ca="1" si="0"/>
        <v>5.65</v>
      </c>
      <c r="F10" s="12">
        <f t="shared" ca="1" si="1"/>
        <v>0.20223813361639842</v>
      </c>
    </row>
    <row r="11" spans="1:11" ht="15" customHeight="1" thickBot="1">
      <c r="A11" s="57">
        <v>19</v>
      </c>
      <c r="B11" s="58">
        <v>47674</v>
      </c>
      <c r="C11" s="312">
        <v>2.0099999999999998</v>
      </c>
      <c r="D11" s="312">
        <v>3.57</v>
      </c>
      <c r="E11" s="313">
        <f t="shared" ca="1" si="0"/>
        <v>5.58</v>
      </c>
      <c r="F11" s="12">
        <f t="shared" ca="1" si="1"/>
        <v>0.21596881874441654</v>
      </c>
    </row>
    <row r="12" spans="1:11" ht="15" customHeight="1" thickBot="1">
      <c r="A12" s="57">
        <v>20</v>
      </c>
      <c r="B12" s="58">
        <v>47857</v>
      </c>
      <c r="C12" s="312">
        <v>1.9</v>
      </c>
      <c r="D12" s="312">
        <v>3.57</v>
      </c>
      <c r="E12" s="313">
        <f t="shared" ca="1" si="0"/>
        <v>5.47</v>
      </c>
      <c r="F12" s="12">
        <f t="shared" ca="1" si="1"/>
        <v>0.2260555472198558</v>
      </c>
    </row>
    <row r="13" spans="1:11" ht="15" customHeight="1" thickBot="1">
      <c r="A13" s="57">
        <v>21</v>
      </c>
      <c r="B13" s="58">
        <v>48039</v>
      </c>
      <c r="C13" s="312">
        <v>1.84</v>
      </c>
      <c r="D13" s="312">
        <v>3.57</v>
      </c>
      <c r="E13" s="313">
        <f t="shared" ca="1" si="0"/>
        <v>5.41</v>
      </c>
      <c r="F13" s="12">
        <f t="shared" ca="1" si="1"/>
        <v>0.23616095299225784</v>
      </c>
    </row>
    <row r="14" spans="1:11" ht="15" customHeight="1" thickBot="1">
      <c r="A14" s="57">
        <v>22</v>
      </c>
      <c r="B14" s="58">
        <v>48222</v>
      </c>
      <c r="C14" s="312">
        <v>1.73</v>
      </c>
      <c r="D14" s="312">
        <v>3.57</v>
      </c>
      <c r="E14" s="313">
        <f t="shared" ca="1" si="0"/>
        <v>5.3</v>
      </c>
      <c r="F14" s="12">
        <f t="shared" ca="1" si="1"/>
        <v>0.2423549869677796</v>
      </c>
    </row>
    <row r="15" spans="1:11" ht="15" customHeight="1" thickBot="1">
      <c r="A15" s="57">
        <v>23</v>
      </c>
      <c r="B15" s="58">
        <v>48407</v>
      </c>
      <c r="C15" s="312">
        <v>1.68</v>
      </c>
      <c r="D15" s="312">
        <v>3.57</v>
      </c>
      <c r="E15" s="313">
        <f t="shared" ca="1" si="0"/>
        <v>5.25</v>
      </c>
      <c r="F15" s="12">
        <f t="shared" ca="1" si="1"/>
        <v>0.24976126243888425</v>
      </c>
    </row>
    <row r="16" spans="1:11" ht="15" customHeight="1" thickBot="1">
      <c r="A16" s="57">
        <v>24</v>
      </c>
      <c r="B16" s="58">
        <v>48589</v>
      </c>
      <c r="C16" s="312">
        <v>1.55</v>
      </c>
      <c r="D16" s="312">
        <v>3.57</v>
      </c>
      <c r="E16" s="313">
        <f t="shared" ca="1" si="0"/>
        <v>5.12</v>
      </c>
      <c r="F16" s="12">
        <f t="shared" ca="1" si="1"/>
        <v>0.251701071173072</v>
      </c>
    </row>
    <row r="17" spans="1:6" ht="15" customHeight="1" thickBot="1">
      <c r="A17" s="57">
        <v>25</v>
      </c>
      <c r="B17" s="58">
        <v>48771</v>
      </c>
      <c r="C17" s="312">
        <v>1.49</v>
      </c>
      <c r="D17" s="312">
        <v>3.57</v>
      </c>
      <c r="E17" s="313">
        <f t="shared" ca="1" si="0"/>
        <v>5.0599999999999996</v>
      </c>
      <c r="F17" s="12">
        <f t="shared" ca="1" si="1"/>
        <v>0.25570870990304079</v>
      </c>
    </row>
    <row r="18" spans="1:6" ht="15" customHeight="1" thickBot="1">
      <c r="A18" s="57">
        <v>26</v>
      </c>
      <c r="B18" s="58">
        <v>48953</v>
      </c>
      <c r="C18" s="312">
        <v>1.38</v>
      </c>
      <c r="D18" s="312">
        <v>3.57</v>
      </c>
      <c r="E18" s="313">
        <f t="shared" ca="1" si="0"/>
        <v>4.9499999999999993</v>
      </c>
      <c r="F18" s="12">
        <f t="shared" ca="1" si="1"/>
        <v>0.25598037825785375</v>
      </c>
    </row>
    <row r="19" spans="1:6" ht="16.2" thickBot="1">
      <c r="A19" s="57">
        <v>27</v>
      </c>
      <c r="B19" s="58">
        <v>49135</v>
      </c>
      <c r="C19" s="312">
        <v>1.31</v>
      </c>
      <c r="D19" s="312">
        <v>3.57</v>
      </c>
      <c r="E19" s="313">
        <f t="shared" ca="1" si="0"/>
        <v>4.88</v>
      </c>
      <c r="F19" s="12">
        <f t="shared" ca="1" si="1"/>
        <v>0.25721480323151286</v>
      </c>
    </row>
    <row r="20" spans="1:6" ht="15" customHeight="1" thickBot="1">
      <c r="A20" s="57">
        <v>28</v>
      </c>
      <c r="B20" s="58">
        <v>49318</v>
      </c>
      <c r="C20" s="312">
        <v>1.21</v>
      </c>
      <c r="D20" s="312">
        <v>3.57</v>
      </c>
      <c r="E20" s="313">
        <f t="shared" ca="1" si="0"/>
        <v>4.7799999999999994</v>
      </c>
      <c r="F20" s="12">
        <f t="shared" ca="1" si="1"/>
        <v>0.2559056107486487</v>
      </c>
    </row>
    <row r="21" spans="1:6" ht="15" customHeight="1" thickBot="1">
      <c r="A21" s="57">
        <v>29</v>
      </c>
      <c r="B21" s="58">
        <v>49500</v>
      </c>
      <c r="C21" s="312">
        <v>1.1399999999999999</v>
      </c>
      <c r="D21" s="312">
        <v>3.57</v>
      </c>
      <c r="E21" s="313">
        <f t="shared" ca="1" si="0"/>
        <v>4.71</v>
      </c>
      <c r="F21" s="12">
        <f t="shared" ca="1" si="1"/>
        <v>0.25529566364123091</v>
      </c>
    </row>
    <row r="22" spans="1:6" ht="15" customHeight="1" thickBot="1">
      <c r="A22" s="57">
        <v>30</v>
      </c>
      <c r="B22" s="58">
        <v>49683</v>
      </c>
      <c r="C22" s="312">
        <v>1.04</v>
      </c>
      <c r="D22" s="312">
        <v>3.57</v>
      </c>
      <c r="E22" s="313">
        <f t="shared" ca="1" si="0"/>
        <v>4.6099999999999994</v>
      </c>
      <c r="F22" s="12">
        <f t="shared" ca="1" si="1"/>
        <v>0.25228455735742461</v>
      </c>
    </row>
    <row r="23" spans="1:6" ht="15" customHeight="1" thickBot="1">
      <c r="A23" s="57">
        <v>31</v>
      </c>
      <c r="B23" s="58">
        <v>49866</v>
      </c>
      <c r="C23" s="312">
        <v>0.96</v>
      </c>
      <c r="D23" s="312">
        <v>3.57</v>
      </c>
      <c r="E23" s="313">
        <f t="shared" ca="1" si="0"/>
        <v>4.5299999999999994</v>
      </c>
      <c r="F23" s="12">
        <f t="shared" ca="1" si="1"/>
        <v>0.24965530092981569</v>
      </c>
    </row>
    <row r="24" spans="1:6" ht="15" customHeight="1" thickBot="1">
      <c r="A24" s="57">
        <v>32</v>
      </c>
      <c r="B24" s="58">
        <v>50049</v>
      </c>
      <c r="C24" s="312">
        <v>0.87</v>
      </c>
      <c r="D24" s="312">
        <v>3.57</v>
      </c>
      <c r="E24" s="313">
        <f t="shared" ca="1" si="0"/>
        <v>4.4399999999999995</v>
      </c>
      <c r="F24" s="12">
        <f t="shared" ca="1" si="1"/>
        <v>0.24584929428269503</v>
      </c>
    </row>
    <row r="25" spans="1:6" ht="15" customHeight="1" thickBot="1">
      <c r="A25" s="57">
        <v>33</v>
      </c>
      <c r="B25" s="58">
        <v>50231</v>
      </c>
      <c r="C25" s="312">
        <v>0.79</v>
      </c>
      <c r="D25" s="312">
        <v>3.57</v>
      </c>
      <c r="E25" s="313">
        <f t="shared" ca="1" si="0"/>
        <v>4.3599999999999994</v>
      </c>
      <c r="F25" s="12">
        <f t="shared" ca="1" si="1"/>
        <v>0.2420434975426678</v>
      </c>
    </row>
    <row r="26" spans="1:6" ht="15" customHeight="1" thickBot="1">
      <c r="A26" s="57">
        <v>34</v>
      </c>
      <c r="B26" s="58">
        <v>50416</v>
      </c>
      <c r="C26" s="312">
        <v>0.7</v>
      </c>
      <c r="D26" s="312">
        <v>3.57</v>
      </c>
      <c r="E26" s="313">
        <f t="shared" ca="1" si="0"/>
        <v>4.2699999999999996</v>
      </c>
      <c r="F26" s="12">
        <f t="shared" ca="1" si="1"/>
        <v>0.23720459283999903</v>
      </c>
    </row>
    <row r="27" spans="1:6" ht="15" customHeight="1" thickBot="1">
      <c r="A27" s="57">
        <v>35</v>
      </c>
      <c r="B27" s="58">
        <v>50598</v>
      </c>
      <c r="C27" s="312">
        <v>0.61</v>
      </c>
      <c r="D27" s="312">
        <v>3.57</v>
      </c>
      <c r="E27" s="313">
        <f t="shared" ca="1" si="0"/>
        <v>4.18</v>
      </c>
      <c r="F27" s="12">
        <f t="shared" ca="1" si="1"/>
        <v>0.23194598996100937</v>
      </c>
    </row>
    <row r="28" spans="1:6" ht="15" customHeight="1" thickBot="1">
      <c r="A28" s="57">
        <v>36</v>
      </c>
      <c r="B28" s="58">
        <v>50780</v>
      </c>
      <c r="C28" s="312">
        <v>0.52</v>
      </c>
      <c r="D28" s="312">
        <v>3.57</v>
      </c>
      <c r="E28" s="313">
        <f t="shared" ca="1" si="0"/>
        <v>4.09</v>
      </c>
      <c r="F28" s="12">
        <f t="shared" ca="1" si="1"/>
        <v>0.22633289370950493</v>
      </c>
    </row>
    <row r="29" spans="1:6" ht="15" customHeight="1" thickBot="1">
      <c r="A29" s="57">
        <v>37</v>
      </c>
      <c r="B29" s="58">
        <v>50962</v>
      </c>
      <c r="C29" s="312">
        <v>0.44</v>
      </c>
      <c r="D29" s="312">
        <v>3.57</v>
      </c>
      <c r="E29" s="313">
        <f t="shared" ca="1" si="0"/>
        <v>4.01</v>
      </c>
      <c r="F29" s="12">
        <f t="shared" ca="1" si="1"/>
        <v>0.22097041193813244</v>
      </c>
    </row>
    <row r="30" spans="1:6" ht="15" customHeight="1" thickBot="1">
      <c r="A30" s="57">
        <v>38</v>
      </c>
      <c r="B30" s="58">
        <v>51144</v>
      </c>
      <c r="C30" s="312">
        <v>0.35</v>
      </c>
      <c r="D30" s="312">
        <v>3.57</v>
      </c>
      <c r="E30" s="313">
        <f t="shared" ca="1" si="0"/>
        <v>3.92</v>
      </c>
      <c r="F30" s="12">
        <f t="shared" ca="1" si="1"/>
        <v>0.21480291444208427</v>
      </c>
    </row>
    <row r="31" spans="1:6" ht="15" customHeight="1" thickBot="1">
      <c r="A31" s="57">
        <v>39</v>
      </c>
      <c r="B31" s="58">
        <v>51327</v>
      </c>
      <c r="C31" s="312">
        <v>0.26</v>
      </c>
      <c r="D31" s="312">
        <v>3.57</v>
      </c>
      <c r="E31" s="313">
        <f t="shared" ca="1" si="0"/>
        <v>3.83</v>
      </c>
      <c r="F31" s="12">
        <f t="shared" ca="1" si="1"/>
        <v>0.20842059084635661</v>
      </c>
    </row>
    <row r="32" spans="1:6" ht="15" customHeight="1" thickBot="1">
      <c r="A32" s="57">
        <v>40</v>
      </c>
      <c r="B32" s="58">
        <v>51510</v>
      </c>
      <c r="C32" s="312">
        <v>0.17</v>
      </c>
      <c r="D32" s="312">
        <v>3.57</v>
      </c>
      <c r="E32" s="313">
        <f t="shared" ca="1" si="0"/>
        <v>3.7399999999999998</v>
      </c>
      <c r="F32" s="12">
        <f t="shared" ca="1" si="1"/>
        <v>0.20187149831544177</v>
      </c>
    </row>
    <row r="33" spans="1:6" ht="15" customHeight="1" thickBot="1">
      <c r="A33" s="57">
        <v>41</v>
      </c>
      <c r="B33" s="58">
        <v>51692</v>
      </c>
      <c r="C33" s="312">
        <v>0.09</v>
      </c>
      <c r="D33" s="312">
        <v>3.61</v>
      </c>
      <c r="E33" s="313">
        <f t="shared" ca="1" si="0"/>
        <v>3.6999999999999997</v>
      </c>
      <c r="F33" s="12">
        <f t="shared" ca="1" si="1"/>
        <v>0.19787849760251727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9E61-DF82-4FB8-9E7B-4ED03DBE063C}">
  <sheetPr>
    <outlinePr summaryBelow="0" summaryRight="0"/>
  </sheetPr>
  <dimension ref="A1:K33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-74.150000000000006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1.76</v>
      </c>
      <c r="D3" s="57">
        <v>0</v>
      </c>
      <c r="E3" s="51">
        <f t="shared" ref="E3:E10" ca="1" si="0">IF(B3&lt;=$B$2,0,(C3+D3))</f>
        <v>1.76</v>
      </c>
      <c r="F3" s="12">
        <f t="shared" ref="F3:F10" ca="1" si="1">(E3*(B3-$B$2)/365)/(1+$K$4)^((B3-$B$2)/365)/-$E$2/(1+$K$4)^$K$2</f>
        <v>8.7248071453741773E-3</v>
      </c>
      <c r="J3" s="13" t="s">
        <v>85</v>
      </c>
      <c r="K3" s="202">
        <f ca="1">SUM(F3:F102)</f>
        <v>6.2109541777277935</v>
      </c>
    </row>
    <row r="4" spans="1:11" ht="15" customHeight="1" thickBot="1">
      <c r="A4" s="57">
        <v>12</v>
      </c>
      <c r="B4" s="58">
        <v>46398</v>
      </c>
      <c r="C4" s="57">
        <v>1.76</v>
      </c>
      <c r="D4" s="57">
        <v>0</v>
      </c>
      <c r="E4" s="51">
        <f t="shared" ca="1" si="0"/>
        <v>1.76</v>
      </c>
      <c r="F4" s="12">
        <f t="shared" ca="1" si="1"/>
        <v>1.9004365518871934E-2</v>
      </c>
      <c r="J4" s="1" t="s">
        <v>4</v>
      </c>
      <c r="K4" s="2">
        <f ca="1">XIRR(E2:E33,B2:B33)</f>
        <v>9.0390291810035717E-2</v>
      </c>
    </row>
    <row r="5" spans="1:11" ht="15" customHeight="1" thickBot="1">
      <c r="A5" s="57">
        <v>13</v>
      </c>
      <c r="B5" s="58">
        <v>46580</v>
      </c>
      <c r="C5" s="57">
        <v>1.76</v>
      </c>
      <c r="D5" s="57">
        <v>0</v>
      </c>
      <c r="E5" s="51">
        <f t="shared" ca="1" si="0"/>
        <v>1.76</v>
      </c>
      <c r="F5" s="12">
        <f t="shared" ca="1" si="1"/>
        <v>2.8240337975973896E-2</v>
      </c>
      <c r="J5" s="15"/>
    </row>
    <row r="6" spans="1:11" ht="15" customHeight="1" thickBot="1">
      <c r="A6" s="57">
        <v>14</v>
      </c>
      <c r="B6" s="58">
        <v>46762</v>
      </c>
      <c r="C6" s="57">
        <v>1.73</v>
      </c>
      <c r="D6" s="57">
        <v>3.57</v>
      </c>
      <c r="E6" s="51">
        <f t="shared" ca="1" si="0"/>
        <v>5.3</v>
      </c>
      <c r="F6" s="12">
        <f t="shared" ca="1" si="1"/>
        <v>0.11040356451030696</v>
      </c>
    </row>
    <row r="7" spans="1:11" ht="15" customHeight="1" thickBot="1">
      <c r="A7" s="57">
        <v>15</v>
      </c>
      <c r="B7" s="58">
        <v>46944</v>
      </c>
      <c r="C7" s="57">
        <v>1.69</v>
      </c>
      <c r="D7" s="57">
        <v>3.57</v>
      </c>
      <c r="E7" s="51">
        <f t="shared" ca="1" si="0"/>
        <v>5.26</v>
      </c>
      <c r="F7" s="12">
        <f t="shared" ca="1" si="1"/>
        <v>0.1324640715059181</v>
      </c>
    </row>
    <row r="8" spans="1:11" ht="15" customHeight="1" thickBot="1">
      <c r="A8" s="57">
        <v>16</v>
      </c>
      <c r="B8" s="58">
        <v>47127</v>
      </c>
      <c r="C8" s="57">
        <v>1.62</v>
      </c>
      <c r="D8" s="57">
        <v>3.57</v>
      </c>
      <c r="E8" s="51">
        <f t="shared" ca="1" si="0"/>
        <v>5.1899999999999995</v>
      </c>
      <c r="F8" s="12">
        <f t="shared" ca="1" si="1"/>
        <v>0.15129657512743214</v>
      </c>
    </row>
    <row r="9" spans="1:11" ht="15" customHeight="1" thickBot="1">
      <c r="A9" s="57">
        <v>17</v>
      </c>
      <c r="B9" s="58">
        <v>47309</v>
      </c>
      <c r="C9" s="57">
        <v>1.57</v>
      </c>
      <c r="D9" s="57">
        <v>3.57</v>
      </c>
      <c r="E9" s="51">
        <f t="shared" ca="1" si="0"/>
        <v>5.14</v>
      </c>
      <c r="F9" s="12">
        <f t="shared" ca="1" si="1"/>
        <v>0.16817489829666171</v>
      </c>
    </row>
    <row r="10" spans="1:11" ht="15" customHeight="1" thickBot="1">
      <c r="A10" s="57">
        <v>18</v>
      </c>
      <c r="B10" s="58">
        <v>47492</v>
      </c>
      <c r="C10" s="57">
        <v>2.08</v>
      </c>
      <c r="D10" s="57">
        <v>3.57</v>
      </c>
      <c r="E10" s="51">
        <f t="shared" ca="1" si="0"/>
        <v>5.65</v>
      </c>
      <c r="F10" s="12">
        <f t="shared" ca="1" si="1"/>
        <v>0.20311511363317511</v>
      </c>
    </row>
    <row r="11" spans="1:11" ht="15" customHeight="1" thickBot="1">
      <c r="A11" s="57">
        <v>19</v>
      </c>
      <c r="B11" s="58">
        <v>47674</v>
      </c>
      <c r="C11" s="57">
        <v>2.0099999999999998</v>
      </c>
      <c r="D11" s="57">
        <v>3.57</v>
      </c>
      <c r="E11" s="51">
        <f t="shared" ref="E11:E33" ca="1" si="2">IF(B11&lt;=$B$2,0,(C11+D11))</f>
        <v>5.58</v>
      </c>
      <c r="F11" s="12">
        <f t="shared" ref="F11:F33" ca="1" si="3">(E11*(B11-$B$2)/365)/(1+$K$4)^((B11-$B$2)/365)/-$E$2/(1+$K$4)^$K$2</f>
        <v>0.21668259943269075</v>
      </c>
    </row>
    <row r="12" spans="1:11" ht="15" customHeight="1" thickBot="1">
      <c r="A12" s="57">
        <v>20</v>
      </c>
      <c r="B12" s="58">
        <v>47857</v>
      </c>
      <c r="C12" s="57">
        <v>1.9</v>
      </c>
      <c r="D12" s="57">
        <v>3.57</v>
      </c>
      <c r="E12" s="51">
        <f t="shared" ca="1" si="2"/>
        <v>5.47</v>
      </c>
      <c r="F12" s="12">
        <f t="shared" ca="1" si="3"/>
        <v>0.2265684813939691</v>
      </c>
    </row>
    <row r="13" spans="1:11" ht="15" customHeight="1" thickBot="1">
      <c r="A13" s="57">
        <v>21</v>
      </c>
      <c r="B13" s="58">
        <v>48039</v>
      </c>
      <c r="C13" s="57">
        <v>1.84</v>
      </c>
      <c r="D13" s="57">
        <v>3.57</v>
      </c>
      <c r="E13" s="51">
        <f t="shared" ca="1" si="2"/>
        <v>5.41</v>
      </c>
      <c r="F13" s="12">
        <f t="shared" ca="1" si="3"/>
        <v>0.23645375233779442</v>
      </c>
    </row>
    <row r="14" spans="1:11" ht="15" customHeight="1" thickBot="1">
      <c r="A14" s="57">
        <v>22</v>
      </c>
      <c r="B14" s="58">
        <v>48222</v>
      </c>
      <c r="C14" s="57">
        <v>1.73</v>
      </c>
      <c r="D14" s="57">
        <v>3.57</v>
      </c>
      <c r="E14" s="51">
        <f t="shared" ca="1" si="2"/>
        <v>5.3</v>
      </c>
      <c r="F14" s="12">
        <f t="shared" ca="1" si="3"/>
        <v>0.24240491384711926</v>
      </c>
    </row>
    <row r="15" spans="1:11" ht="15" customHeight="1" thickBot="1">
      <c r="A15" s="57">
        <v>23</v>
      </c>
      <c r="B15" s="58">
        <v>48407</v>
      </c>
      <c r="C15" s="57">
        <v>1.68</v>
      </c>
      <c r="D15" s="57">
        <v>3.57</v>
      </c>
      <c r="E15" s="51">
        <f t="shared" ca="1" si="2"/>
        <v>5.25</v>
      </c>
      <c r="F15" s="12">
        <f t="shared" ca="1" si="3"/>
        <v>0.24955195532116237</v>
      </c>
    </row>
    <row r="16" spans="1:11" ht="15" customHeight="1" thickBot="1">
      <c r="A16" s="57">
        <v>24</v>
      </c>
      <c r="B16" s="58">
        <v>48589</v>
      </c>
      <c r="C16" s="57">
        <v>1.55</v>
      </c>
      <c r="D16" s="57">
        <v>3.57</v>
      </c>
      <c r="E16" s="51">
        <f t="shared" ca="1" si="2"/>
        <v>5.12</v>
      </c>
      <c r="F16" s="12">
        <f t="shared" ca="1" si="3"/>
        <v>0.25123188251022277</v>
      </c>
    </row>
    <row r="17" spans="1:6" ht="15" customHeight="1" thickBot="1">
      <c r="A17" s="57">
        <v>25</v>
      </c>
      <c r="B17" s="58">
        <v>48771</v>
      </c>
      <c r="C17" s="57">
        <v>1.49</v>
      </c>
      <c r="D17" s="57">
        <v>3.57</v>
      </c>
      <c r="E17" s="51">
        <f t="shared" ca="1" si="2"/>
        <v>5.0599999999999996</v>
      </c>
      <c r="F17" s="12">
        <f t="shared" ca="1" si="3"/>
        <v>0.25496995220725532</v>
      </c>
    </row>
    <row r="18" spans="1:6" ht="15" customHeight="1" thickBot="1">
      <c r="A18" s="57">
        <v>26</v>
      </c>
      <c r="B18" s="58">
        <v>48953</v>
      </c>
      <c r="C18" s="57">
        <v>1.38</v>
      </c>
      <c r="D18" s="57">
        <v>3.57</v>
      </c>
      <c r="E18" s="51">
        <f t="shared" ca="1" si="2"/>
        <v>4.9499999999999993</v>
      </c>
      <c r="F18" s="12">
        <f t="shared" ca="1" si="3"/>
        <v>0.25497872816481382</v>
      </c>
    </row>
    <row r="19" spans="1:6" ht="16.2" thickBot="1">
      <c r="A19" s="57">
        <v>27</v>
      </c>
      <c r="B19" s="58">
        <v>49135</v>
      </c>
      <c r="C19" s="57">
        <v>1.31</v>
      </c>
      <c r="D19" s="57">
        <v>3.57</v>
      </c>
      <c r="E19" s="51">
        <f t="shared" ca="1" si="2"/>
        <v>4.88</v>
      </c>
      <c r="F19" s="12">
        <f t="shared" ca="1" si="3"/>
        <v>0.25594522179252738</v>
      </c>
    </row>
    <row r="20" spans="1:6" ht="15" customHeight="1" thickBot="1">
      <c r="A20" s="57">
        <v>28</v>
      </c>
      <c r="B20" s="58">
        <v>49318</v>
      </c>
      <c r="C20" s="57">
        <v>1.21</v>
      </c>
      <c r="D20" s="57">
        <v>3.57</v>
      </c>
      <c r="E20" s="51">
        <f t="shared" ca="1" si="2"/>
        <v>4.7799999999999994</v>
      </c>
      <c r="F20" s="12">
        <f t="shared" ca="1" si="3"/>
        <v>0.25437956220396074</v>
      </c>
    </row>
    <row r="21" spans="1:6" ht="15" customHeight="1" thickBot="1">
      <c r="A21" s="57">
        <v>29</v>
      </c>
      <c r="B21" s="58">
        <v>49500</v>
      </c>
      <c r="C21" s="57">
        <v>1.1399999999999999</v>
      </c>
      <c r="D21" s="57">
        <v>3.57</v>
      </c>
      <c r="E21" s="51">
        <f t="shared" ca="1" si="2"/>
        <v>4.71</v>
      </c>
      <c r="F21" s="12">
        <f t="shared" ca="1" si="3"/>
        <v>0.25351265194410327</v>
      </c>
    </row>
    <row r="22" spans="1:6" ht="15" customHeight="1" thickBot="1">
      <c r="A22" s="57">
        <v>30</v>
      </c>
      <c r="B22" s="58">
        <v>49683</v>
      </c>
      <c r="C22" s="57">
        <v>1.04</v>
      </c>
      <c r="D22" s="57">
        <v>3.57</v>
      </c>
      <c r="E22" s="51">
        <f t="shared" ca="1" si="2"/>
        <v>4.6099999999999994</v>
      </c>
      <c r="F22" s="12">
        <f t="shared" ca="1" si="3"/>
        <v>0.25026390040657409</v>
      </c>
    </row>
    <row r="23" spans="1:6" ht="15" customHeight="1" thickBot="1">
      <c r="A23" s="57">
        <v>31</v>
      </c>
      <c r="B23" s="58">
        <v>49866</v>
      </c>
      <c r="C23" s="57">
        <v>0.96</v>
      </c>
      <c r="D23" s="57">
        <v>3.57</v>
      </c>
      <c r="E23" s="51">
        <f t="shared" ca="1" si="2"/>
        <v>4.5299999999999994</v>
      </c>
      <c r="F23" s="12">
        <f t="shared" ca="1" si="3"/>
        <v>0.24739998787057724</v>
      </c>
    </row>
    <row r="24" spans="1:6" ht="15" customHeight="1" thickBot="1">
      <c r="A24" s="57">
        <v>32</v>
      </c>
      <c r="B24" s="58">
        <v>50049</v>
      </c>
      <c r="C24" s="57">
        <v>0.87</v>
      </c>
      <c r="D24" s="57">
        <v>3.57</v>
      </c>
      <c r="E24" s="51">
        <f t="shared" ca="1" si="2"/>
        <v>4.4399999999999995</v>
      </c>
      <c r="F24" s="12">
        <f t="shared" ca="1" si="3"/>
        <v>0.24337680700471828</v>
      </c>
    </row>
    <row r="25" spans="1:6" ht="15" customHeight="1" thickBot="1">
      <c r="A25" s="57">
        <v>33</v>
      </c>
      <c r="B25" s="58">
        <v>50231</v>
      </c>
      <c r="C25" s="57">
        <v>0.79</v>
      </c>
      <c r="D25" s="57">
        <v>3.57</v>
      </c>
      <c r="E25" s="51">
        <f t="shared" ca="1" si="2"/>
        <v>4.3599999999999994</v>
      </c>
      <c r="F25" s="12">
        <f t="shared" ca="1" si="3"/>
        <v>0.23936322941949054</v>
      </c>
    </row>
    <row r="26" spans="1:6" ht="15" customHeight="1" thickBot="1">
      <c r="A26" s="57">
        <v>34</v>
      </c>
      <c r="B26" s="58">
        <v>50416</v>
      </c>
      <c r="C26" s="57">
        <v>0.7</v>
      </c>
      <c r="D26" s="57">
        <v>3.57</v>
      </c>
      <c r="E26" s="51">
        <f t="shared" ca="1" si="2"/>
        <v>4.2699999999999996</v>
      </c>
      <c r="F26" s="12">
        <f t="shared" ca="1" si="3"/>
        <v>0.23433305098408147</v>
      </c>
    </row>
    <row r="27" spans="1:6" ht="15" customHeight="1" thickBot="1">
      <c r="A27" s="57">
        <v>35</v>
      </c>
      <c r="B27" s="58">
        <v>50598</v>
      </c>
      <c r="C27" s="57">
        <v>0.61</v>
      </c>
      <c r="D27" s="57">
        <v>3.57</v>
      </c>
      <c r="E27" s="51">
        <f t="shared" ca="1" si="2"/>
        <v>4.18</v>
      </c>
      <c r="F27" s="12">
        <f t="shared" ca="1" si="3"/>
        <v>0.22890280492285675</v>
      </c>
    </row>
    <row r="28" spans="1:6" ht="15" customHeight="1" thickBot="1">
      <c r="A28" s="57">
        <v>36</v>
      </c>
      <c r="B28" s="58">
        <v>50780</v>
      </c>
      <c r="C28" s="57">
        <v>0.52</v>
      </c>
      <c r="D28" s="57">
        <v>3.57</v>
      </c>
      <c r="E28" s="51">
        <f t="shared" ca="1" si="2"/>
        <v>4.09</v>
      </c>
      <c r="F28" s="12">
        <f t="shared" ca="1" si="3"/>
        <v>0.22313398133702197</v>
      </c>
    </row>
    <row r="29" spans="1:6" ht="15" customHeight="1" thickBot="1">
      <c r="A29" s="57">
        <v>37</v>
      </c>
      <c r="B29" s="58">
        <v>50962</v>
      </c>
      <c r="C29" s="57">
        <v>0.44</v>
      </c>
      <c r="D29" s="57">
        <v>3.57</v>
      </c>
      <c r="E29" s="51">
        <f t="shared" ca="1" si="2"/>
        <v>4.01</v>
      </c>
      <c r="F29" s="12">
        <f t="shared" ca="1" si="3"/>
        <v>0.2176235830694758</v>
      </c>
    </row>
    <row r="30" spans="1:6" ht="15" customHeight="1" thickBot="1">
      <c r="A30" s="57">
        <v>38</v>
      </c>
      <c r="B30" s="58">
        <v>51144</v>
      </c>
      <c r="C30" s="57">
        <v>0.35</v>
      </c>
      <c r="D30" s="57">
        <v>3.57</v>
      </c>
      <c r="E30" s="51">
        <f t="shared" ca="1" si="2"/>
        <v>3.92</v>
      </c>
      <c r="F30" s="12">
        <f t="shared" ca="1" si="3"/>
        <v>0.21133225802319075</v>
      </c>
    </row>
    <row r="31" spans="1:6" ht="15" customHeight="1" thickBot="1">
      <c r="A31" s="57">
        <v>39</v>
      </c>
      <c r="B31" s="58">
        <v>51327</v>
      </c>
      <c r="C31" s="57">
        <v>0.26</v>
      </c>
      <c r="D31" s="57">
        <v>3.57</v>
      </c>
      <c r="E31" s="51">
        <f t="shared" ca="1" si="2"/>
        <v>3.83</v>
      </c>
      <c r="F31" s="12">
        <f t="shared" ca="1" si="3"/>
        <v>0.20484133023955384</v>
      </c>
    </row>
    <row r="32" spans="1:6" ht="15" customHeight="1" thickBot="1">
      <c r="A32" s="57">
        <v>40</v>
      </c>
      <c r="B32" s="58">
        <v>51510</v>
      </c>
      <c r="C32" s="57">
        <v>0.17</v>
      </c>
      <c r="D32" s="57">
        <v>3.57</v>
      </c>
      <c r="E32" s="51">
        <f t="shared" ca="1" si="2"/>
        <v>3.7399999999999998</v>
      </c>
      <c r="F32" s="12">
        <f t="shared" ca="1" si="3"/>
        <v>0.19819984572894944</v>
      </c>
    </row>
    <row r="33" spans="1:6" ht="15" customHeight="1" thickBot="1">
      <c r="A33" s="57">
        <v>41</v>
      </c>
      <c r="B33" s="58">
        <v>51692</v>
      </c>
      <c r="C33" s="57">
        <v>0.09</v>
      </c>
      <c r="D33" s="57">
        <v>3.61</v>
      </c>
      <c r="E33" s="51">
        <f t="shared" ca="1" si="2"/>
        <v>3.6999999999999997</v>
      </c>
      <c r="F33" s="12">
        <f t="shared" ca="1" si="3"/>
        <v>0.19407996385196835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D3C-61B0-4B7C-867C-CA70A9DCD58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-83.95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2.5099999999999998</v>
      </c>
      <c r="D3" s="57">
        <v>0</v>
      </c>
      <c r="E3" s="51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1.102619130943577E-2</v>
      </c>
      <c r="J3" s="13" t="s">
        <v>85</v>
      </c>
      <c r="K3" s="202">
        <f ca="1">SUM(F3:F102)</f>
        <v>4.9862372512982578</v>
      </c>
    </row>
    <row r="4" spans="1:11" ht="15" customHeight="1" thickBot="1">
      <c r="A4" s="57">
        <v>12</v>
      </c>
      <c r="B4" s="58">
        <v>46398</v>
      </c>
      <c r="C4" s="57">
        <v>2.5099999999999998</v>
      </c>
      <c r="D4" s="57">
        <v>0</v>
      </c>
      <c r="E4" s="51">
        <f t="shared" ca="1" si="0"/>
        <v>2.5099999999999998</v>
      </c>
      <c r="F4" s="12">
        <f t="shared" ca="1" si="1"/>
        <v>2.4061581608259084E-2</v>
      </c>
      <c r="J4" s="1" t="s">
        <v>4</v>
      </c>
      <c r="K4" s="2">
        <f ca="1">XIRR(E2:E26,B2:B26)</f>
        <v>8.6429151892662051E-2</v>
      </c>
    </row>
    <row r="5" spans="1:11" ht="15" customHeight="1" thickBot="1">
      <c r="A5" s="57">
        <v>13</v>
      </c>
      <c r="B5" s="58">
        <v>46580</v>
      </c>
      <c r="C5" s="57">
        <v>2.5099999999999998</v>
      </c>
      <c r="D5" s="57">
        <v>4.54</v>
      </c>
      <c r="E5" s="51">
        <f t="shared" ca="1" si="0"/>
        <v>7.05</v>
      </c>
      <c r="F5" s="12">
        <f t="shared" ca="1" si="1"/>
        <v>0.10061070663327876</v>
      </c>
      <c r="J5" s="15"/>
    </row>
    <row r="6" spans="1:11" ht="15" customHeight="1" thickBot="1">
      <c r="A6" s="57">
        <v>14</v>
      </c>
      <c r="B6" s="58">
        <v>46762</v>
      </c>
      <c r="C6" s="57">
        <v>2.36</v>
      </c>
      <c r="D6" s="57">
        <v>4.54</v>
      </c>
      <c r="E6" s="51">
        <f t="shared" ca="1" si="0"/>
        <v>6.9</v>
      </c>
      <c r="F6" s="12">
        <f t="shared" ca="1" si="1"/>
        <v>0.12806849156153419</v>
      </c>
    </row>
    <row r="7" spans="1:11" ht="15" customHeight="1" thickBot="1">
      <c r="A7" s="57">
        <v>15</v>
      </c>
      <c r="B7" s="58">
        <v>46944</v>
      </c>
      <c r="C7" s="57">
        <v>2.27</v>
      </c>
      <c r="D7" s="57">
        <v>4.54</v>
      </c>
      <c r="E7" s="51">
        <f t="shared" ca="1" si="0"/>
        <v>6.8100000000000005</v>
      </c>
      <c r="F7" s="12">
        <f t="shared" ca="1" si="1"/>
        <v>0.15308532585052237</v>
      </c>
    </row>
    <row r="8" spans="1:11" ht="15" customHeight="1" thickBot="1">
      <c r="A8" s="57">
        <v>16</v>
      </c>
      <c r="B8" s="58">
        <v>47127</v>
      </c>
      <c r="C8" s="57">
        <v>2.15</v>
      </c>
      <c r="D8" s="57">
        <v>4.54</v>
      </c>
      <c r="E8" s="51">
        <f t="shared" ca="1" si="0"/>
        <v>6.6899999999999995</v>
      </c>
      <c r="F8" s="12">
        <f t="shared" ca="1" si="1"/>
        <v>0.17440318044821235</v>
      </c>
    </row>
    <row r="9" spans="1:11" ht="15" customHeight="1" thickBot="1">
      <c r="A9" s="57">
        <v>17</v>
      </c>
      <c r="B9" s="58">
        <v>47309</v>
      </c>
      <c r="C9" s="57">
        <v>2.06</v>
      </c>
      <c r="D9" s="57">
        <v>4.54</v>
      </c>
      <c r="E9" s="51">
        <f t="shared" ca="1" si="0"/>
        <v>6.6</v>
      </c>
      <c r="F9" s="12">
        <f t="shared" ca="1" si="1"/>
        <v>0.19346243580902461</v>
      </c>
    </row>
    <row r="10" spans="1:11" ht="15" customHeight="1" thickBot="1">
      <c r="A10" s="57">
        <v>18</v>
      </c>
      <c r="B10" s="58">
        <v>47492</v>
      </c>
      <c r="C10" s="57">
        <v>1.92</v>
      </c>
      <c r="D10" s="57">
        <v>4.54</v>
      </c>
      <c r="E10" s="51">
        <f t="shared" ca="1" si="0"/>
        <v>6.46</v>
      </c>
      <c r="F10" s="12">
        <f t="shared" ca="1" si="1"/>
        <v>0.20843633083487165</v>
      </c>
    </row>
    <row r="11" spans="1:11" ht="15" customHeight="1" thickBot="1">
      <c r="A11" s="57">
        <v>19</v>
      </c>
      <c r="B11" s="58">
        <v>47674</v>
      </c>
      <c r="C11" s="57">
        <v>1.83</v>
      </c>
      <c r="D11" s="57">
        <v>4.54</v>
      </c>
      <c r="E11" s="51">
        <f t="shared" ca="1" si="0"/>
        <v>6.37</v>
      </c>
      <c r="F11" s="12">
        <f t="shared" ca="1" si="1"/>
        <v>0.22241521712263446</v>
      </c>
    </row>
    <row r="12" spans="1:11" ht="15" customHeight="1" thickBot="1">
      <c r="A12" s="57">
        <v>20</v>
      </c>
      <c r="B12" s="58">
        <v>47857</v>
      </c>
      <c r="C12" s="57">
        <v>1.7</v>
      </c>
      <c r="D12" s="57">
        <v>4.54</v>
      </c>
      <c r="E12" s="51">
        <f t="shared" ref="E12:E21" ca="1" si="2">IF(B12&lt;=$B$2,0,(C12+D12))</f>
        <v>6.24</v>
      </c>
      <c r="F12" s="12">
        <f t="shared" ref="F12:F21" ca="1" si="3">(E12*(B12-$B$2)/365)/(1+$K$4)^((B12-$B$2)/365)/-$E$2/(1+$K$4)^$K$2</f>
        <v>0.23282222327106161</v>
      </c>
    </row>
    <row r="13" spans="1:11" ht="15" customHeight="1" thickBot="1">
      <c r="A13" s="57">
        <v>21</v>
      </c>
      <c r="B13" s="58">
        <v>48039</v>
      </c>
      <c r="C13" s="57">
        <v>1.6</v>
      </c>
      <c r="D13" s="57">
        <v>4.54</v>
      </c>
      <c r="E13" s="51">
        <f t="shared" ca="1" si="2"/>
        <v>6.1400000000000006</v>
      </c>
      <c r="F13" s="12">
        <f t="shared" ca="1" si="3"/>
        <v>0.24217711935922615</v>
      </c>
    </row>
    <row r="14" spans="1:11" ht="15" customHeight="1" thickBot="1">
      <c r="A14" s="57">
        <v>22</v>
      </c>
      <c r="B14" s="58">
        <v>48222</v>
      </c>
      <c r="C14" s="57">
        <v>1.47</v>
      </c>
      <c r="D14" s="57">
        <v>4.54</v>
      </c>
      <c r="E14" s="51">
        <f t="shared" ca="1" si="2"/>
        <v>6.01</v>
      </c>
      <c r="F14" s="12">
        <f t="shared" ca="1" si="3"/>
        <v>0.24851251377659014</v>
      </c>
    </row>
    <row r="15" spans="1:11" ht="15" customHeight="1" thickBot="1">
      <c r="A15" s="57">
        <v>23</v>
      </c>
      <c r="B15" s="58">
        <v>48407</v>
      </c>
      <c r="C15" s="57">
        <v>1.39</v>
      </c>
      <c r="D15" s="57">
        <v>4.54</v>
      </c>
      <c r="E15" s="51">
        <f t="shared" ca="1" si="2"/>
        <v>5.93</v>
      </c>
      <c r="F15" s="12">
        <f t="shared" ca="1" si="3"/>
        <v>0.25530876004953185</v>
      </c>
    </row>
    <row r="16" spans="1:11" ht="15" customHeight="1" thickBot="1">
      <c r="A16" s="57">
        <v>24</v>
      </c>
      <c r="B16" s="58">
        <v>48589</v>
      </c>
      <c r="C16" s="57">
        <v>1.24</v>
      </c>
      <c r="D16" s="57">
        <v>4.54</v>
      </c>
      <c r="E16" s="51">
        <f t="shared" ca="1" si="2"/>
        <v>5.78</v>
      </c>
      <c r="F16" s="12">
        <f t="shared" ca="1" si="3"/>
        <v>0.25735351072188772</v>
      </c>
    </row>
    <row r="17" spans="1:6" ht="15" customHeight="1" thickBot="1">
      <c r="A17" s="57">
        <v>25</v>
      </c>
      <c r="B17" s="58">
        <v>48771</v>
      </c>
      <c r="C17" s="57">
        <v>1.1399999999999999</v>
      </c>
      <c r="D17" s="57">
        <v>4.54</v>
      </c>
      <c r="E17" s="51">
        <f t="shared" ca="1" si="2"/>
        <v>5.68</v>
      </c>
      <c r="F17" s="12">
        <f t="shared" ca="1" si="3"/>
        <v>0.26017909949435492</v>
      </c>
    </row>
    <row r="18" spans="1:6" ht="15" customHeight="1" thickBot="1">
      <c r="A18" s="57">
        <v>26</v>
      </c>
      <c r="B18" s="58">
        <v>48953</v>
      </c>
      <c r="C18" s="57">
        <v>1.01</v>
      </c>
      <c r="D18" s="57">
        <v>4.54</v>
      </c>
      <c r="E18" s="51">
        <f t="shared" ca="1" si="2"/>
        <v>5.55</v>
      </c>
      <c r="F18" s="12">
        <f t="shared" ca="1" si="3"/>
        <v>0.26035470906635994</v>
      </c>
    </row>
    <row r="19" spans="1:6" ht="16.2" thickBot="1">
      <c r="A19" s="57">
        <v>27</v>
      </c>
      <c r="B19" s="58">
        <v>49135</v>
      </c>
      <c r="C19" s="57">
        <v>0.92</v>
      </c>
      <c r="D19" s="57">
        <v>4.54</v>
      </c>
      <c r="E19" s="51">
        <f t="shared" ca="1" si="2"/>
        <v>5.46</v>
      </c>
      <c r="F19" s="12">
        <f t="shared" ca="1" si="3"/>
        <v>0.26126526055489274</v>
      </c>
    </row>
    <row r="20" spans="1:6" ht="15" customHeight="1" thickBot="1">
      <c r="A20" s="57">
        <v>28</v>
      </c>
      <c r="B20" s="58">
        <v>49318</v>
      </c>
      <c r="C20" s="57">
        <v>0.79</v>
      </c>
      <c r="D20" s="57">
        <v>4.54</v>
      </c>
      <c r="E20" s="51">
        <f t="shared" ca="1" si="2"/>
        <v>5.33</v>
      </c>
      <c r="F20" s="12">
        <f t="shared" ca="1" si="3"/>
        <v>0.25926016685392084</v>
      </c>
    </row>
    <row r="21" spans="1:6" ht="15" customHeight="1" thickBot="1">
      <c r="A21" s="57">
        <v>29</v>
      </c>
      <c r="B21" s="58">
        <v>49500</v>
      </c>
      <c r="C21" s="57">
        <v>0.69</v>
      </c>
      <c r="D21" s="57">
        <v>4.54</v>
      </c>
      <c r="E21" s="51">
        <f t="shared" ca="1" si="2"/>
        <v>5.23</v>
      </c>
      <c r="F21" s="12">
        <f t="shared" ca="1" si="3"/>
        <v>0.25776432257425247</v>
      </c>
    </row>
    <row r="22" spans="1:6" ht="15" customHeight="1" thickBot="1">
      <c r="A22" s="57">
        <v>30</v>
      </c>
      <c r="B22" s="58">
        <v>49683</v>
      </c>
      <c r="C22" s="57">
        <v>0.56999999999999995</v>
      </c>
      <c r="D22" s="57">
        <v>4.54</v>
      </c>
      <c r="E22" s="51">
        <f ca="1">IF(B22&lt;=$B$2,0,(C22+D22))</f>
        <v>5.1100000000000003</v>
      </c>
      <c r="F22" s="12">
        <f ca="1">(E22*(B22-$B$2)/365)/(1+$K$4)^((B22-$B$2)/365)/-$E$2/(1+$K$4)^$K$2</f>
        <v>0.25447962583146999</v>
      </c>
    </row>
    <row r="23" spans="1:6" ht="15" customHeight="1" thickBot="1">
      <c r="A23" s="57">
        <v>31</v>
      </c>
      <c r="B23" s="58">
        <v>49866</v>
      </c>
      <c r="C23" s="57">
        <v>0.46</v>
      </c>
      <c r="D23" s="57">
        <v>4.54</v>
      </c>
      <c r="E23" s="51">
        <f ca="1">IF(B23&lt;=$B$2,0,(C23+D23))</f>
        <v>5</v>
      </c>
      <c r="F23" s="12">
        <f ca="1">(E23*(B23-$B$2)/365)/(1+$K$4)^((B23-$B$2)/365)/-$E$2/(1+$K$4)^$K$2</f>
        <v>0.25095667885946915</v>
      </c>
    </row>
    <row r="24" spans="1:6" ht="15" customHeight="1" thickBot="1">
      <c r="A24" s="57">
        <v>32</v>
      </c>
      <c r="B24" s="58">
        <v>50049</v>
      </c>
      <c r="C24" s="57">
        <v>0.34</v>
      </c>
      <c r="D24" s="57">
        <v>4.54</v>
      </c>
      <c r="E24" s="51">
        <f ca="1">IF(B24&lt;=$B$2,0,(C24+D24))</f>
        <v>4.88</v>
      </c>
      <c r="F24" s="12">
        <f ca="1">(E24*(B24-$B$2)/365)/(1+$K$4)^((B24-$B$2)/365)/-$E$2/(1+$K$4)^$K$2</f>
        <v>0.24628375752382475</v>
      </c>
    </row>
    <row r="25" spans="1:6" ht="15" customHeight="1" thickBot="1">
      <c r="A25" s="57">
        <v>33</v>
      </c>
      <c r="B25" s="58">
        <v>50231</v>
      </c>
      <c r="C25" s="57">
        <v>0.23</v>
      </c>
      <c r="D25" s="57">
        <v>4.54</v>
      </c>
      <c r="E25" s="51">
        <f ca="1">IF(B25&lt;=$B$2,0,(C25+D25))</f>
        <v>4.7700000000000005</v>
      </c>
      <c r="F25" s="12">
        <f ca="1">(E25*(B25-$B$2)/365)/(1+$K$4)^((B25-$B$2)/365)/-$E$2/(1+$K$4)^$K$2</f>
        <v>0.24154451117594156</v>
      </c>
    </row>
    <row r="26" spans="1:6" ht="15" customHeight="1" thickBot="1">
      <c r="A26" s="57">
        <v>34</v>
      </c>
      <c r="B26" s="58">
        <v>50416</v>
      </c>
      <c r="C26" s="57">
        <v>0.12</v>
      </c>
      <c r="D26" s="57">
        <v>4.66</v>
      </c>
      <c r="E26" s="51">
        <f ca="1">IF(B26&lt;=$B$2,0,(C26+D26))</f>
        <v>4.78</v>
      </c>
      <c r="F26" s="12">
        <f ca="1">(E26*(B26-$B$2)/365)/(1+$K$4)^((B26-$B$2)/365)/-$E$2/(1+$K$4)^$K$2</f>
        <v>0.24240553100770076</v>
      </c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C056-6DD1-41FA-A369-1E252AF0D65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-81.48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2.5099999999999998</v>
      </c>
      <c r="D3" s="57">
        <v>0</v>
      </c>
      <c r="E3" s="51">
        <f t="shared" ref="E3:E11" ca="1" si="0">IF(B3&lt;=$B$2,0,(C3+D3))</f>
        <v>2.5099999999999998</v>
      </c>
      <c r="F3" s="12">
        <f t="shared" ref="F3:F11" ca="1" si="1">(E3*(B3-$B$2)/365)/(1+$K$4)^((B3-$B$2)/365)/-$E$2/(1+$K$4)^$K$2</f>
        <v>1.1301698421444947E-2</v>
      </c>
      <c r="J3" s="13" t="s">
        <v>85</v>
      </c>
      <c r="K3" s="202">
        <f ca="1">SUM(F3:F102)</f>
        <v>4.9172260790585076</v>
      </c>
    </row>
    <row r="4" spans="1:11" ht="15" customHeight="1" thickBot="1">
      <c r="A4" s="57">
        <v>12</v>
      </c>
      <c r="B4" s="58">
        <v>46398</v>
      </c>
      <c r="C4" s="57">
        <v>2.5099999999999998</v>
      </c>
      <c r="D4" s="57">
        <v>0</v>
      </c>
      <c r="E4" s="51">
        <f t="shared" ca="1" si="0"/>
        <v>2.5099999999999998</v>
      </c>
      <c r="F4" s="12">
        <f t="shared" ca="1" si="1"/>
        <v>2.4590679415681195E-2</v>
      </c>
      <c r="J4" s="1" t="s">
        <v>4</v>
      </c>
      <c r="K4" s="2">
        <f ca="1">XIRR(E2:E26,B2:B26)</f>
        <v>9.2724558711051938E-2</v>
      </c>
    </row>
    <row r="5" spans="1:11" ht="15" customHeight="1" thickBot="1">
      <c r="A5" s="57">
        <v>13</v>
      </c>
      <c r="B5" s="58">
        <v>46580</v>
      </c>
      <c r="C5" s="57">
        <v>2.5099999999999998</v>
      </c>
      <c r="D5" s="57">
        <v>4.54</v>
      </c>
      <c r="E5" s="51">
        <f t="shared" ca="1" si="0"/>
        <v>7.05</v>
      </c>
      <c r="F5" s="12">
        <f t="shared" ca="1" si="1"/>
        <v>0.10252725903549943</v>
      </c>
      <c r="J5" s="15"/>
    </row>
    <row r="6" spans="1:11" ht="15" customHeight="1" thickBot="1">
      <c r="A6" s="57">
        <v>14</v>
      </c>
      <c r="B6" s="58">
        <v>46762</v>
      </c>
      <c r="C6" s="57">
        <v>2.36</v>
      </c>
      <c r="D6" s="57">
        <v>4.54</v>
      </c>
      <c r="E6" s="51">
        <f t="shared" ca="1" si="0"/>
        <v>6.9</v>
      </c>
      <c r="F6" s="12">
        <f t="shared" ca="1" si="1"/>
        <v>0.13013263771765066</v>
      </c>
    </row>
    <row r="7" spans="1:11" ht="15" customHeight="1" thickBot="1">
      <c r="A7" s="57">
        <v>15</v>
      </c>
      <c r="B7" s="58">
        <v>46944</v>
      </c>
      <c r="C7" s="57">
        <v>2.27</v>
      </c>
      <c r="D7" s="57">
        <v>4.54</v>
      </c>
      <c r="E7" s="51">
        <f t="shared" ca="1" si="0"/>
        <v>6.8100000000000005</v>
      </c>
      <c r="F7" s="12">
        <f t="shared" ca="1" si="1"/>
        <v>0.15510517645974359</v>
      </c>
    </row>
    <row r="8" spans="1:11" ht="15" customHeight="1" thickBot="1">
      <c r="A8" s="57">
        <v>16</v>
      </c>
      <c r="B8" s="58">
        <v>47127</v>
      </c>
      <c r="C8" s="57">
        <v>2.15</v>
      </c>
      <c r="D8" s="57">
        <v>4.54</v>
      </c>
      <c r="E8" s="51">
        <f t="shared" ca="1" si="0"/>
        <v>6.6899999999999995</v>
      </c>
      <c r="F8" s="12">
        <f t="shared" ca="1" si="1"/>
        <v>0.17619316039792113</v>
      </c>
    </row>
    <row r="9" spans="1:11" ht="15" customHeight="1" thickBot="1">
      <c r="A9" s="57">
        <v>17</v>
      </c>
      <c r="B9" s="58">
        <v>47309</v>
      </c>
      <c r="C9" s="57">
        <v>2.06</v>
      </c>
      <c r="D9" s="57">
        <v>4.54</v>
      </c>
      <c r="E9" s="51">
        <f t="shared" ca="1" si="0"/>
        <v>6.6</v>
      </c>
      <c r="F9" s="12">
        <f t="shared" ca="1" si="1"/>
        <v>0.19488575111614367</v>
      </c>
    </row>
    <row r="10" spans="1:11" ht="15" customHeight="1" thickBot="1">
      <c r="A10" s="57">
        <v>18</v>
      </c>
      <c r="B10" s="58">
        <v>47492</v>
      </c>
      <c r="C10" s="57">
        <v>1.92</v>
      </c>
      <c r="D10" s="57">
        <v>4.54</v>
      </c>
      <c r="E10" s="51">
        <f t="shared" ca="1" si="0"/>
        <v>6.46</v>
      </c>
      <c r="F10" s="12">
        <f t="shared" ca="1" si="1"/>
        <v>0.20936244004008145</v>
      </c>
    </row>
    <row r="11" spans="1:11" ht="15" customHeight="1" thickBot="1">
      <c r="A11" s="57">
        <v>19</v>
      </c>
      <c r="B11" s="58">
        <v>47674</v>
      </c>
      <c r="C11" s="57">
        <v>1.83</v>
      </c>
      <c r="D11" s="57">
        <v>4.54</v>
      </c>
      <c r="E11" s="51">
        <f t="shared" ca="1" si="0"/>
        <v>6.37</v>
      </c>
      <c r="F11" s="12">
        <f t="shared" ca="1" si="1"/>
        <v>0.22276073370257923</v>
      </c>
    </row>
    <row r="12" spans="1:11" ht="15" customHeight="1" thickBot="1">
      <c r="A12" s="57">
        <v>20</v>
      </c>
      <c r="B12" s="58">
        <v>47857</v>
      </c>
      <c r="C12" s="57">
        <v>1.7</v>
      </c>
      <c r="D12" s="57">
        <v>4.54</v>
      </c>
      <c r="E12" s="51">
        <f t="shared" ref="E12:E21" ca="1" si="2">IF(B12&lt;=$B$2,0,(C12+D12))</f>
        <v>6.24</v>
      </c>
      <c r="F12" s="12">
        <f t="shared" ref="F12:F21" ca="1" si="3">(E12*(B12-$B$2)/365)/(1+$K$4)^((B12-$B$2)/365)/-$E$2/(1+$K$4)^$K$2</f>
        <v>0.23250938654253336</v>
      </c>
    </row>
    <row r="13" spans="1:11" ht="15" customHeight="1" thickBot="1">
      <c r="A13" s="57">
        <v>21</v>
      </c>
      <c r="B13" s="58">
        <v>48039</v>
      </c>
      <c r="C13" s="57">
        <v>1.6</v>
      </c>
      <c r="D13" s="57">
        <v>4.54</v>
      </c>
      <c r="E13" s="51">
        <f t="shared" ca="1" si="2"/>
        <v>6.1400000000000006</v>
      </c>
      <c r="F13" s="12">
        <f t="shared" ca="1" si="3"/>
        <v>0.24115593682821371</v>
      </c>
    </row>
    <row r="14" spans="1:11" ht="15" customHeight="1" thickBot="1">
      <c r="A14" s="57">
        <v>22</v>
      </c>
      <c r="B14" s="58">
        <v>48222</v>
      </c>
      <c r="C14" s="57">
        <v>1.47</v>
      </c>
      <c r="D14" s="57">
        <v>4.54</v>
      </c>
      <c r="E14" s="51">
        <f t="shared" ca="1" si="2"/>
        <v>6.01</v>
      </c>
      <c r="F14" s="12">
        <f t="shared" ca="1" si="3"/>
        <v>0.24674878744912743</v>
      </c>
    </row>
    <row r="15" spans="1:11" ht="15" customHeight="1" thickBot="1">
      <c r="A15" s="57">
        <v>23</v>
      </c>
      <c r="B15" s="58">
        <v>48407</v>
      </c>
      <c r="C15" s="57">
        <v>1.39</v>
      </c>
      <c r="D15" s="57">
        <v>4.54</v>
      </c>
      <c r="E15" s="51">
        <f t="shared" ca="1" si="2"/>
        <v>5.93</v>
      </c>
      <c r="F15" s="12">
        <f t="shared" ca="1" si="3"/>
        <v>0.25275551910917377</v>
      </c>
    </row>
    <row r="16" spans="1:11" ht="15" customHeight="1" thickBot="1">
      <c r="A16" s="57">
        <v>24</v>
      </c>
      <c r="B16" s="58">
        <v>48589</v>
      </c>
      <c r="C16" s="57">
        <v>1.24</v>
      </c>
      <c r="D16" s="57">
        <v>4.54</v>
      </c>
      <c r="E16" s="51">
        <f t="shared" ca="1" si="2"/>
        <v>5.78</v>
      </c>
      <c r="F16" s="12">
        <f t="shared" ca="1" si="3"/>
        <v>0.25404685267273858</v>
      </c>
    </row>
    <row r="17" spans="1:6" ht="15" customHeight="1" thickBot="1">
      <c r="A17" s="57">
        <v>25</v>
      </c>
      <c r="B17" s="58">
        <v>48771</v>
      </c>
      <c r="C17" s="57">
        <v>1.1399999999999999</v>
      </c>
      <c r="D17" s="57">
        <v>4.54</v>
      </c>
      <c r="E17" s="51">
        <f t="shared" ca="1" si="2"/>
        <v>5.68</v>
      </c>
      <c r="F17" s="12">
        <f t="shared" ca="1" si="3"/>
        <v>0.2560972521775417</v>
      </c>
    </row>
    <row r="18" spans="1:6" ht="15" customHeight="1" thickBot="1">
      <c r="A18" s="57">
        <v>26</v>
      </c>
      <c r="B18" s="58">
        <v>48953</v>
      </c>
      <c r="C18" s="57">
        <v>1.01</v>
      </c>
      <c r="D18" s="57">
        <v>4.54</v>
      </c>
      <c r="E18" s="51">
        <f t="shared" ca="1" si="2"/>
        <v>5.55</v>
      </c>
      <c r="F18" s="12">
        <f t="shared" ca="1" si="3"/>
        <v>0.25553285094848727</v>
      </c>
    </row>
    <row r="19" spans="1:6" ht="16.2" thickBot="1">
      <c r="A19" s="57">
        <v>27</v>
      </c>
      <c r="B19" s="58">
        <v>49135</v>
      </c>
      <c r="C19" s="57">
        <v>0.92</v>
      </c>
      <c r="D19" s="57">
        <v>4.54</v>
      </c>
      <c r="E19" s="51">
        <f t="shared" ca="1" si="2"/>
        <v>5.46</v>
      </c>
      <c r="F19" s="12">
        <f t="shared" ca="1" si="3"/>
        <v>0.25568883294620887</v>
      </c>
    </row>
    <row r="20" spans="1:6" ht="15" customHeight="1" thickBot="1">
      <c r="A20" s="57">
        <v>28</v>
      </c>
      <c r="B20" s="58">
        <v>49318</v>
      </c>
      <c r="C20" s="57">
        <v>0.79</v>
      </c>
      <c r="D20" s="57">
        <v>4.54</v>
      </c>
      <c r="E20" s="51">
        <f t="shared" ca="1" si="2"/>
        <v>5.33</v>
      </c>
      <c r="F20" s="12">
        <f t="shared" ca="1" si="3"/>
        <v>0.25299259277344549</v>
      </c>
    </row>
    <row r="21" spans="1:6" ht="15" customHeight="1" thickBot="1">
      <c r="A21" s="57">
        <v>29</v>
      </c>
      <c r="B21" s="58">
        <v>49500</v>
      </c>
      <c r="C21" s="57">
        <v>0.69</v>
      </c>
      <c r="D21" s="57">
        <v>4.54</v>
      </c>
      <c r="E21" s="51">
        <f t="shared" ca="1" si="2"/>
        <v>5.23</v>
      </c>
      <c r="F21" s="12">
        <f t="shared" ca="1" si="3"/>
        <v>0.25080928286135495</v>
      </c>
    </row>
    <row r="22" spans="1:6" ht="15" customHeight="1" thickBot="1">
      <c r="A22" s="57">
        <v>30</v>
      </c>
      <c r="B22" s="58">
        <v>49683</v>
      </c>
      <c r="C22" s="57">
        <v>0.56999999999999995</v>
      </c>
      <c r="D22" s="57">
        <v>4.54</v>
      </c>
      <c r="E22" s="51">
        <f ca="1">IF(B22&lt;=$B$2,0,(C22+D22))</f>
        <v>5.1100000000000003</v>
      </c>
      <c r="F22" s="12">
        <f ca="1">(E22*(B22-$B$2)/365)/(1+$K$4)^((B22-$B$2)/365)/-$E$2/(1+$K$4)^$K$2</f>
        <v>0.24689695502144574</v>
      </c>
    </row>
    <row r="23" spans="1:6" ht="15" customHeight="1" thickBot="1">
      <c r="A23" s="57">
        <v>31</v>
      </c>
      <c r="B23" s="58">
        <v>49866</v>
      </c>
      <c r="C23" s="57">
        <v>0.46</v>
      </c>
      <c r="D23" s="57">
        <v>4.54</v>
      </c>
      <c r="E23" s="51">
        <f ca="1">IF(B23&lt;=$B$2,0,(C23+D23))</f>
        <v>5</v>
      </c>
      <c r="F23" s="12">
        <f ca="1">(E23*(B23-$B$2)/365)/(1+$K$4)^((B23-$B$2)/365)/-$E$2/(1+$K$4)^$K$2</f>
        <v>0.24277468006726094</v>
      </c>
    </row>
    <row r="24" spans="1:6" ht="15" customHeight="1" thickBot="1">
      <c r="A24" s="57">
        <v>32</v>
      </c>
      <c r="B24" s="58">
        <v>50049</v>
      </c>
      <c r="C24" s="57">
        <v>0.34</v>
      </c>
      <c r="D24" s="57">
        <v>4.54</v>
      </c>
      <c r="E24" s="51">
        <f ca="1">IF(B24&lt;=$B$2,0,(C24+D24))</f>
        <v>4.88</v>
      </c>
      <c r="F24" s="12">
        <f ca="1">(E24*(B24-$B$2)/365)/(1+$K$4)^((B24-$B$2)/365)/-$E$2/(1+$K$4)^$K$2</f>
        <v>0.23756492438650686</v>
      </c>
    </row>
    <row r="25" spans="1:6" ht="15" customHeight="1" thickBot="1">
      <c r="A25" s="57">
        <v>33</v>
      </c>
      <c r="B25" s="58">
        <v>50231</v>
      </c>
      <c r="C25" s="57">
        <v>0.23</v>
      </c>
      <c r="D25" s="57">
        <v>4.54</v>
      </c>
      <c r="E25" s="51">
        <f ca="1">IF(B25&lt;=$B$2,0,(C25+D25))</f>
        <v>4.7700000000000005</v>
      </c>
      <c r="F25" s="12">
        <f ca="1">(E25*(B25-$B$2)/365)/(1+$K$4)^((B25-$B$2)/365)/-$E$2/(1+$K$4)^$K$2</f>
        <v>0.23232316299310996</v>
      </c>
    </row>
    <row r="26" spans="1:6" ht="15" customHeight="1" thickBot="1">
      <c r="A26" s="57">
        <v>34</v>
      </c>
      <c r="B26" s="58">
        <v>50416</v>
      </c>
      <c r="C26" s="57">
        <v>0.12</v>
      </c>
      <c r="D26" s="57">
        <v>4.66</v>
      </c>
      <c r="E26" s="51">
        <f ca="1">IF(B26&lt;=$B$2,0,(C26+D26))</f>
        <v>4.78</v>
      </c>
      <c r="F26" s="12">
        <f ca="1">(E26*(B26-$B$2)/365)/(1+$K$4)^((B26-$B$2)/365)/-$E$2/(1+$K$4)^$K$2</f>
        <v>0.23246952597461382</v>
      </c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4788-44CA-44DA-A6CB-9C5F18D464D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-80.37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2.0699999999999998</v>
      </c>
      <c r="D3" s="57">
        <v>0</v>
      </c>
      <c r="E3" s="51">
        <f t="shared" ref="E3:E11" ca="1" si="0">IF(B3&lt;=$B$2,0,(C3+D3))</f>
        <v>2.0699999999999998</v>
      </c>
      <c r="F3" s="12">
        <f t="shared" ref="F3:F11" ca="1" si="1">(E3*(B3-$B$2)/365)/(1+$K$4)^((B3-$B$2)/365)/-$E$2/(1+$K$4)^$K$2</f>
        <v>9.4886600467759784E-3</v>
      </c>
      <c r="J3" s="13" t="s">
        <v>85</v>
      </c>
      <c r="K3" s="202">
        <f ca="1">SUM(F3:F102)</f>
        <v>5.6843480909970916</v>
      </c>
    </row>
    <row r="4" spans="1:11" ht="15" customHeight="1" thickBot="1">
      <c r="A4" s="57">
        <v>12</v>
      </c>
      <c r="B4" s="58">
        <v>46398</v>
      </c>
      <c r="C4" s="57">
        <v>2.0499999999999998</v>
      </c>
      <c r="D4" s="57">
        <v>0</v>
      </c>
      <c r="E4" s="51">
        <f t="shared" ca="1" si="0"/>
        <v>2.0499999999999998</v>
      </c>
      <c r="F4" s="12">
        <f t="shared" ca="1" si="1"/>
        <v>2.0494448948605172E-2</v>
      </c>
      <c r="J4" s="1" t="s">
        <v>4</v>
      </c>
      <c r="K4" s="2">
        <f ca="1">XIRR(E2:E26,B2:B26)</f>
        <v>8.766772449016573E-2</v>
      </c>
    </row>
    <row r="5" spans="1:11" ht="15" customHeight="1" thickBot="1">
      <c r="A5" s="57">
        <v>13</v>
      </c>
      <c r="B5" s="58">
        <v>46580</v>
      </c>
      <c r="C5" s="57">
        <v>2.1</v>
      </c>
      <c r="D5" s="57">
        <v>0</v>
      </c>
      <c r="E5" s="51">
        <f t="shared" ca="1" si="0"/>
        <v>2.1</v>
      </c>
      <c r="F5" s="12">
        <f t="shared" ca="1" si="1"/>
        <v>3.1236299226248144E-2</v>
      </c>
      <c r="J5" s="15"/>
    </row>
    <row r="6" spans="1:11" ht="15" customHeight="1" thickBot="1">
      <c r="A6" s="57">
        <v>14</v>
      </c>
      <c r="B6" s="58">
        <v>46762</v>
      </c>
      <c r="C6" s="57">
        <v>2.35</v>
      </c>
      <c r="D6" s="57">
        <v>0</v>
      </c>
      <c r="E6" s="51">
        <f t="shared" ca="1" si="0"/>
        <v>2.35</v>
      </c>
      <c r="F6" s="12">
        <f t="shared" ca="1" si="1"/>
        <v>4.5435940863169037E-2</v>
      </c>
    </row>
    <row r="7" spans="1:11" ht="15" customHeight="1" thickBot="1">
      <c r="A7" s="57">
        <v>15</v>
      </c>
      <c r="B7" s="58">
        <v>46944</v>
      </c>
      <c r="C7" s="57">
        <v>2.38</v>
      </c>
      <c r="D7" s="57">
        <v>0</v>
      </c>
      <c r="E7" s="51">
        <f t="shared" ca="1" si="0"/>
        <v>2.38</v>
      </c>
      <c r="F7" s="12">
        <f t="shared" ca="1" si="1"/>
        <v>5.5699991672716817E-2</v>
      </c>
    </row>
    <row r="8" spans="1:11" ht="15" customHeight="1" thickBot="1">
      <c r="A8" s="57">
        <v>16</v>
      </c>
      <c r="B8" s="58">
        <v>47127</v>
      </c>
      <c r="C8" s="57">
        <v>2.4900000000000002</v>
      </c>
      <c r="D8" s="57">
        <v>0</v>
      </c>
      <c r="E8" s="51">
        <f t="shared" ca="1" si="0"/>
        <v>2.4900000000000002</v>
      </c>
      <c r="F8" s="12">
        <f t="shared" ca="1" si="1"/>
        <v>6.7541586653453334E-2</v>
      </c>
    </row>
    <row r="9" spans="1:11" ht="15" customHeight="1" thickBot="1">
      <c r="A9" s="57">
        <v>17</v>
      </c>
      <c r="B9" s="58">
        <v>47309</v>
      </c>
      <c r="C9" s="57">
        <v>2.5099999999999998</v>
      </c>
      <c r="D9" s="57">
        <v>0</v>
      </c>
      <c r="E9" s="51">
        <f t="shared" ca="1" si="0"/>
        <v>2.5099999999999998</v>
      </c>
      <c r="F9" s="12">
        <f t="shared" ca="1" si="1"/>
        <v>7.651090316079999E-2</v>
      </c>
    </row>
    <row r="10" spans="1:11" ht="15" customHeight="1" thickBot="1">
      <c r="A10" s="57">
        <v>18</v>
      </c>
      <c r="B10" s="58">
        <v>47492</v>
      </c>
      <c r="C10" s="57">
        <v>2.4900000000000002</v>
      </c>
      <c r="D10" s="57">
        <v>0</v>
      </c>
      <c r="E10" s="51">
        <f t="shared" ca="1" si="0"/>
        <v>2.4900000000000002</v>
      </c>
      <c r="F10" s="12">
        <f t="shared" ca="1" si="1"/>
        <v>8.3500494300274772E-2</v>
      </c>
    </row>
    <row r="11" spans="1:11" ht="15" customHeight="1" thickBot="1">
      <c r="A11" s="57">
        <v>19</v>
      </c>
      <c r="B11" s="58">
        <v>47674</v>
      </c>
      <c r="C11" s="57">
        <v>2.5099999999999998</v>
      </c>
      <c r="D11" s="57">
        <v>0</v>
      </c>
      <c r="E11" s="51">
        <f t="shared" ca="1" si="0"/>
        <v>2.5099999999999998</v>
      </c>
      <c r="F11" s="12">
        <f t="shared" ca="1" si="1"/>
        <v>9.1033417415426143E-2</v>
      </c>
    </row>
    <row r="12" spans="1:11" ht="15" customHeight="1" thickBot="1">
      <c r="A12" s="57">
        <v>20</v>
      </c>
      <c r="B12" s="58">
        <v>47857</v>
      </c>
      <c r="C12" s="57">
        <v>2.4900000000000002</v>
      </c>
      <c r="D12" s="57">
        <v>10</v>
      </c>
      <c r="E12" s="51">
        <f t="shared" ref="E12:E21" ca="1" si="2">IF(B12&lt;=$B$2,0,(C12+D12))</f>
        <v>12.49</v>
      </c>
      <c r="F12" s="12">
        <f t="shared" ref="F12:F21" ca="1" si="3">(E12*(B12-$B$2)/365)/(1+$K$4)^((B12-$B$2)/365)/-$E$2/(1+$K$4)^$K$2</f>
        <v>0.48378928739325378</v>
      </c>
    </row>
    <row r="13" spans="1:11" ht="15" customHeight="1" thickBot="1">
      <c r="A13" s="57">
        <v>21</v>
      </c>
      <c r="B13" s="58">
        <v>48039</v>
      </c>
      <c r="C13" s="57">
        <v>2.2599999999999998</v>
      </c>
      <c r="D13" s="57">
        <v>10</v>
      </c>
      <c r="E13" s="51">
        <f t="shared" ca="1" si="2"/>
        <v>12.26</v>
      </c>
      <c r="F13" s="12">
        <f t="shared" ca="1" si="3"/>
        <v>0.50172118245555808</v>
      </c>
    </row>
    <row r="14" spans="1:11" ht="15" customHeight="1" thickBot="1">
      <c r="A14" s="57">
        <v>22</v>
      </c>
      <c r="B14" s="58">
        <v>48222</v>
      </c>
      <c r="C14" s="57">
        <v>1.99</v>
      </c>
      <c r="D14" s="57">
        <v>10</v>
      </c>
      <c r="E14" s="51">
        <f t="shared" ca="1" si="2"/>
        <v>11.99</v>
      </c>
      <c r="F14" s="12">
        <f t="shared" ca="1" si="3"/>
        <v>0.51410533321839169</v>
      </c>
    </row>
    <row r="15" spans="1:11" ht="15" customHeight="1" thickBot="1">
      <c r="A15" s="57">
        <v>23</v>
      </c>
      <c r="B15" s="58">
        <v>48407</v>
      </c>
      <c r="C15" s="57">
        <v>1.78</v>
      </c>
      <c r="D15" s="57">
        <v>10</v>
      </c>
      <c r="E15" s="51">
        <f t="shared" ca="1" si="2"/>
        <v>11.78</v>
      </c>
      <c r="F15" s="12">
        <f t="shared" ca="1" si="3"/>
        <v>0.5256112406191924</v>
      </c>
    </row>
    <row r="16" spans="1:11" ht="15" customHeight="1" thickBot="1">
      <c r="A16" s="57">
        <v>24</v>
      </c>
      <c r="B16" s="58">
        <v>48589</v>
      </c>
      <c r="C16" s="57">
        <v>1.48</v>
      </c>
      <c r="D16" s="57">
        <v>10</v>
      </c>
      <c r="E16" s="51">
        <f t="shared" ca="1" si="2"/>
        <v>11.48</v>
      </c>
      <c r="F16" s="12">
        <f t="shared" ca="1" si="3"/>
        <v>0.52942657830959794</v>
      </c>
    </row>
    <row r="17" spans="1:6" ht="15" customHeight="1" thickBot="1">
      <c r="A17" s="57">
        <v>25</v>
      </c>
      <c r="B17" s="58">
        <v>48771</v>
      </c>
      <c r="C17" s="57">
        <v>1.26</v>
      </c>
      <c r="D17" s="57">
        <v>10</v>
      </c>
      <c r="E17" s="51">
        <f t="shared" ca="1" si="2"/>
        <v>11.26</v>
      </c>
      <c r="F17" s="12">
        <f t="shared" ca="1" si="3"/>
        <v>0.53392138588440163</v>
      </c>
    </row>
    <row r="18" spans="1:6" ht="15" customHeight="1" thickBot="1">
      <c r="A18" s="57">
        <v>26</v>
      </c>
      <c r="B18" s="58">
        <v>48953</v>
      </c>
      <c r="C18" s="57">
        <v>0.99</v>
      </c>
      <c r="D18" s="57">
        <v>10</v>
      </c>
      <c r="E18" s="51">
        <f t="shared" ca="1" si="2"/>
        <v>10.99</v>
      </c>
      <c r="F18" s="12">
        <f t="shared" ca="1" si="3"/>
        <v>0.53338188814853726</v>
      </c>
    </row>
    <row r="19" spans="1:6" ht="16.2" thickBot="1">
      <c r="A19" s="57">
        <v>27</v>
      </c>
      <c r="B19" s="58">
        <v>49135</v>
      </c>
      <c r="C19" s="57">
        <v>0.75</v>
      </c>
      <c r="D19" s="57">
        <v>10</v>
      </c>
      <c r="E19" s="51">
        <f t="shared" ca="1" si="2"/>
        <v>10.75</v>
      </c>
      <c r="F19" s="12">
        <f t="shared" ca="1" si="3"/>
        <v>0.53188637923834747</v>
      </c>
    </row>
    <row r="20" spans="1:6" ht="15" customHeight="1" thickBot="1">
      <c r="A20" s="57">
        <v>28</v>
      </c>
      <c r="B20" s="58">
        <v>49318</v>
      </c>
      <c r="C20" s="57">
        <v>0.5</v>
      </c>
      <c r="D20" s="57">
        <v>10</v>
      </c>
      <c r="E20" s="51">
        <f t="shared" ca="1" si="2"/>
        <v>10.5</v>
      </c>
      <c r="F20" s="12">
        <f t="shared" ca="1" si="3"/>
        <v>0.52780217203334023</v>
      </c>
    </row>
    <row r="21" spans="1:6" ht="15" customHeight="1" thickBot="1">
      <c r="A21" s="57">
        <v>29</v>
      </c>
      <c r="B21" s="58">
        <v>49500</v>
      </c>
      <c r="C21" s="57">
        <v>0.25</v>
      </c>
      <c r="D21" s="57">
        <v>10</v>
      </c>
      <c r="E21" s="51">
        <f t="shared" ca="1" si="2"/>
        <v>10.25</v>
      </c>
      <c r="F21" s="12">
        <f t="shared" ca="1" si="3"/>
        <v>0.52176090140900178</v>
      </c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D07-832D-48EE-9433-E9A8D6CA773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-78.83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2.0699999999999998</v>
      </c>
      <c r="D3" s="57">
        <v>0</v>
      </c>
      <c r="E3" s="51">
        <f t="shared" ref="E3:E11" ca="1" si="0">IF(B3&lt;=$B$2,0,(C3+D3))</f>
        <v>2.0699999999999998</v>
      </c>
      <c r="F3" s="12">
        <f ca="1">(E3*(B3-$B$2)/365)/(1+$K$4)^((B3-$B$2)/365)/-$E$2/(1+$K$4)^$K$2</f>
        <v>9.645699091342665E-3</v>
      </c>
      <c r="J3" s="13" t="s">
        <v>85</v>
      </c>
      <c r="K3" s="202">
        <f ca="1">SUM(F3:F102)</f>
        <v>5.658208896790164</v>
      </c>
    </row>
    <row r="4" spans="1:11" ht="15" customHeight="1" thickBot="1">
      <c r="A4" s="57">
        <v>12</v>
      </c>
      <c r="B4" s="58">
        <v>46398</v>
      </c>
      <c r="C4" s="57">
        <v>2.0499999999999998</v>
      </c>
      <c r="D4" s="57">
        <v>0</v>
      </c>
      <c r="E4" s="51">
        <f t="shared" ca="1" si="0"/>
        <v>2.0499999999999998</v>
      </c>
      <c r="F4" s="12">
        <f t="shared" ref="F4:F11" ca="1" si="1">(E4*(B4-$B$2)/365)/(1+$K$4)^((B4-$B$2)/365)/-$E$2/(1+$K$4)^$K$2</f>
        <v>2.0799151509573989E-2</v>
      </c>
      <c r="J4" s="1" t="s">
        <v>4</v>
      </c>
      <c r="K4" s="2">
        <f ca="1">XIRR(E2:E26,B2:B26)</f>
        <v>9.122848808765413E-2</v>
      </c>
    </row>
    <row r="5" spans="1:11" ht="15" customHeight="1" thickBot="1">
      <c r="A5" s="57">
        <v>13</v>
      </c>
      <c r="B5" s="58">
        <v>46580</v>
      </c>
      <c r="C5" s="57">
        <v>2.1</v>
      </c>
      <c r="D5" s="57">
        <v>0</v>
      </c>
      <c r="E5" s="51">
        <f t="shared" ca="1" si="0"/>
        <v>2.1</v>
      </c>
      <c r="F5" s="12">
        <f t="shared" ca="1" si="1"/>
        <v>3.1649085450689486E-2</v>
      </c>
      <c r="J5" s="15"/>
    </row>
    <row r="6" spans="1:11" ht="15" customHeight="1" thickBot="1">
      <c r="A6" s="57">
        <v>14</v>
      </c>
      <c r="B6" s="58">
        <v>46762</v>
      </c>
      <c r="C6" s="57">
        <v>2.35</v>
      </c>
      <c r="D6" s="57">
        <v>0</v>
      </c>
      <c r="E6" s="51">
        <f t="shared" ca="1" si="0"/>
        <v>2.35</v>
      </c>
      <c r="F6" s="12">
        <f t="shared" ca="1" si="1"/>
        <v>4.5961408953380016E-2</v>
      </c>
    </row>
    <row r="7" spans="1:11" ht="15" customHeight="1" thickBot="1">
      <c r="A7" s="57">
        <v>15</v>
      </c>
      <c r="B7" s="58">
        <v>46944</v>
      </c>
      <c r="C7" s="57">
        <v>2.38</v>
      </c>
      <c r="D7" s="57">
        <v>0</v>
      </c>
      <c r="E7" s="51">
        <f t="shared" ca="1" si="0"/>
        <v>2.38</v>
      </c>
      <c r="F7" s="12">
        <f t="shared" ca="1" si="1"/>
        <v>5.6252412878476286E-2</v>
      </c>
    </row>
    <row r="8" spans="1:11" ht="15" customHeight="1" thickBot="1">
      <c r="A8" s="57">
        <v>16</v>
      </c>
      <c r="B8" s="58">
        <v>47127</v>
      </c>
      <c r="C8" s="57">
        <v>2.4900000000000002</v>
      </c>
      <c r="D8" s="57">
        <v>0</v>
      </c>
      <c r="E8" s="51">
        <f t="shared" ca="1" si="0"/>
        <v>2.4900000000000002</v>
      </c>
      <c r="F8" s="12">
        <f t="shared" ca="1" si="1"/>
        <v>6.8099764916780617E-2</v>
      </c>
    </row>
    <row r="9" spans="1:11" ht="15" customHeight="1" thickBot="1">
      <c r="A9" s="57">
        <v>17</v>
      </c>
      <c r="B9" s="58">
        <v>47309</v>
      </c>
      <c r="C9" s="57">
        <v>2.5099999999999998</v>
      </c>
      <c r="D9" s="57">
        <v>0</v>
      </c>
      <c r="E9" s="51">
        <f t="shared" ca="1" si="0"/>
        <v>2.5099999999999998</v>
      </c>
      <c r="F9" s="12">
        <f t="shared" ca="1" si="1"/>
        <v>7.7017585633285049E-2</v>
      </c>
    </row>
    <row r="10" spans="1:11" ht="15" customHeight="1" thickBot="1">
      <c r="A10" s="57">
        <v>18</v>
      </c>
      <c r="B10" s="58">
        <v>47492</v>
      </c>
      <c r="C10" s="57">
        <v>2.4900000000000002</v>
      </c>
      <c r="D10" s="57">
        <v>0</v>
      </c>
      <c r="E10" s="51">
        <f t="shared" ca="1" si="0"/>
        <v>2.4900000000000002</v>
      </c>
      <c r="F10" s="12">
        <f t="shared" ca="1" si="1"/>
        <v>8.3915840064304997E-2</v>
      </c>
    </row>
    <row r="11" spans="1:11" ht="15" customHeight="1" thickBot="1">
      <c r="A11" s="57">
        <v>19</v>
      </c>
      <c r="B11" s="58">
        <v>47674</v>
      </c>
      <c r="C11" s="57">
        <v>2.5099999999999998</v>
      </c>
      <c r="D11" s="57">
        <v>0</v>
      </c>
      <c r="E11" s="51">
        <f t="shared" ca="1" si="0"/>
        <v>2.5099999999999998</v>
      </c>
      <c r="F11" s="12">
        <f t="shared" ca="1" si="1"/>
        <v>9.1337256853114904E-2</v>
      </c>
    </row>
    <row r="12" spans="1:11" ht="15" customHeight="1" thickBot="1">
      <c r="A12" s="57">
        <v>20</v>
      </c>
      <c r="B12" s="58">
        <v>47857</v>
      </c>
      <c r="C12" s="57">
        <v>2.4900000000000002</v>
      </c>
      <c r="D12" s="57">
        <v>10</v>
      </c>
      <c r="E12" s="51">
        <f t="shared" ref="E12:E21" ca="1" si="2">IF(B12&lt;=$B$2,0,(C12+D12))</f>
        <v>12.49</v>
      </c>
      <c r="F12" s="12">
        <f t="shared" ref="F12:F21" ca="1" si="3">(E12*(B12-$B$2)/365)/(1+$K$4)^((B12-$B$2)/365)/-$E$2/(1+$K$4)^$K$2</f>
        <v>0.4846092436083807</v>
      </c>
    </row>
    <row r="13" spans="1:11" ht="15" customHeight="1" thickBot="1">
      <c r="A13" s="57">
        <v>21</v>
      </c>
      <c r="B13" s="58">
        <v>48039</v>
      </c>
      <c r="C13" s="57">
        <v>2.2599999999999998</v>
      </c>
      <c r="D13" s="57">
        <v>10</v>
      </c>
      <c r="E13" s="51">
        <f t="shared" ca="1" si="2"/>
        <v>12.26</v>
      </c>
      <c r="F13" s="12">
        <f t="shared" ca="1" si="3"/>
        <v>0.50175314221533873</v>
      </c>
    </row>
    <row r="14" spans="1:11" ht="15" customHeight="1" thickBot="1">
      <c r="A14" s="57">
        <v>22</v>
      </c>
      <c r="B14" s="58">
        <v>48222</v>
      </c>
      <c r="C14" s="57">
        <v>1.99</v>
      </c>
      <c r="D14" s="57">
        <v>10</v>
      </c>
      <c r="E14" s="51">
        <f t="shared" ca="1" si="2"/>
        <v>11.99</v>
      </c>
      <c r="F14" s="12">
        <f t="shared" ca="1" si="3"/>
        <v>0.51329626194596223</v>
      </c>
    </row>
    <row r="15" spans="1:11" ht="15" customHeight="1" thickBot="1">
      <c r="A15" s="57">
        <v>23</v>
      </c>
      <c r="B15" s="58">
        <v>48407</v>
      </c>
      <c r="C15" s="57">
        <v>1.78</v>
      </c>
      <c r="D15" s="57">
        <v>10</v>
      </c>
      <c r="E15" s="51">
        <f t="shared" ca="1" si="2"/>
        <v>11.78</v>
      </c>
      <c r="F15" s="12">
        <f t="shared" ca="1" si="3"/>
        <v>0.52391542800769997</v>
      </c>
    </row>
    <row r="16" spans="1:11" ht="15" customHeight="1" thickBot="1">
      <c r="A16" s="57">
        <v>24</v>
      </c>
      <c r="B16" s="58">
        <v>48589</v>
      </c>
      <c r="C16" s="57">
        <v>1.48</v>
      </c>
      <c r="D16" s="57">
        <v>10</v>
      </c>
      <c r="E16" s="51">
        <f t="shared" ca="1" si="2"/>
        <v>11.48</v>
      </c>
      <c r="F16" s="12">
        <f t="shared" ca="1" si="3"/>
        <v>0.52685911817967024</v>
      </c>
    </row>
    <row r="17" spans="1:6" ht="15" customHeight="1" thickBot="1">
      <c r="A17" s="57">
        <v>25</v>
      </c>
      <c r="B17" s="58">
        <v>48771</v>
      </c>
      <c r="C17" s="57">
        <v>1.26</v>
      </c>
      <c r="D17" s="57">
        <v>10</v>
      </c>
      <c r="E17" s="51">
        <f t="shared" ca="1" si="2"/>
        <v>11.26</v>
      </c>
      <c r="F17" s="12">
        <f t="shared" ca="1" si="3"/>
        <v>0.53046690576897648</v>
      </c>
    </row>
    <row r="18" spans="1:6" ht="15" customHeight="1" thickBot="1">
      <c r="A18" s="57">
        <v>26</v>
      </c>
      <c r="B18" s="58">
        <v>48953</v>
      </c>
      <c r="C18" s="57">
        <v>0.99</v>
      </c>
      <c r="D18" s="57">
        <v>10</v>
      </c>
      <c r="E18" s="51">
        <f t="shared" ca="1" si="2"/>
        <v>10.99</v>
      </c>
      <c r="F18" s="12">
        <f t="shared" ca="1" si="3"/>
        <v>0.52906795799171924</v>
      </c>
    </row>
    <row r="19" spans="1:6" ht="16.2" thickBot="1">
      <c r="A19" s="57">
        <v>27</v>
      </c>
      <c r="B19" s="58">
        <v>49135</v>
      </c>
      <c r="C19" s="57">
        <v>0.75</v>
      </c>
      <c r="D19" s="57">
        <v>10</v>
      </c>
      <c r="E19" s="51">
        <f t="shared" ca="1" si="2"/>
        <v>10.75</v>
      </c>
      <c r="F19" s="12">
        <f t="shared" ca="1" si="3"/>
        <v>0.52672542478947171</v>
      </c>
    </row>
    <row r="20" spans="1:6" ht="15" customHeight="1" thickBot="1">
      <c r="A20" s="57">
        <v>28</v>
      </c>
      <c r="B20" s="58">
        <v>49318</v>
      </c>
      <c r="C20" s="57">
        <v>0.5</v>
      </c>
      <c r="D20" s="57">
        <v>10</v>
      </c>
      <c r="E20" s="51">
        <f t="shared" ca="1" si="2"/>
        <v>10.5</v>
      </c>
      <c r="F20" s="12">
        <f t="shared" ca="1" si="3"/>
        <v>0.52182503978024075</v>
      </c>
    </row>
    <row r="21" spans="1:6" ht="15" customHeight="1" thickBot="1">
      <c r="A21" s="57">
        <v>29</v>
      </c>
      <c r="B21" s="58">
        <v>49500</v>
      </c>
      <c r="C21" s="57">
        <v>0.25</v>
      </c>
      <c r="D21" s="57">
        <v>10</v>
      </c>
      <c r="E21" s="51">
        <f t="shared" ca="1" si="2"/>
        <v>10.25</v>
      </c>
      <c r="F21" s="12">
        <f t="shared" ca="1" si="3"/>
        <v>0.51501216915175629</v>
      </c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E779-B464-44BD-B04F-B69CEC8AFF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-63.73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0.27</v>
      </c>
      <c r="D3" s="57">
        <v>8</v>
      </c>
      <c r="E3" s="51">
        <f t="shared" ref="E3:E11" ca="1" si="0">IF(B3&lt;=$B$2,0,(C3+D3))</f>
        <v>8.27</v>
      </c>
      <c r="F3" s="12">
        <f t="shared" ref="F3:F11" ca="1" si="1">(E3*(B3-$B$2)/365)/(1+$K$4)^((B3-$B$2)/365)/-$E$2/(1+$K$4)^$K$2</f>
        <v>4.8631336623838763E-2</v>
      </c>
      <c r="J3" s="13" t="s">
        <v>85</v>
      </c>
      <c r="K3" s="202">
        <f ca="1">SUM(F3:F102)</f>
        <v>2.2121439127803373</v>
      </c>
    </row>
    <row r="4" spans="1:11" ht="15" customHeight="1" thickBot="1">
      <c r="A4" s="57">
        <v>12</v>
      </c>
      <c r="B4" s="58">
        <v>46398</v>
      </c>
      <c r="C4" s="57">
        <v>0.24</v>
      </c>
      <c r="D4" s="57">
        <v>8</v>
      </c>
      <c r="E4" s="51">
        <f t="shared" ca="1" si="0"/>
        <v>8.24</v>
      </c>
      <c r="F4" s="12">
        <f t="shared" ca="1" si="1"/>
        <v>0.10670398770911034</v>
      </c>
      <c r="J4" s="1" t="s">
        <v>4</v>
      </c>
      <c r="K4" s="2">
        <f ca="1">XIRR(E2:E26,B2:B26)</f>
        <v>6.7136117815971383E-2</v>
      </c>
    </row>
    <row r="5" spans="1:11" ht="15" customHeight="1" thickBot="1">
      <c r="A5" s="57">
        <v>13</v>
      </c>
      <c r="B5" s="58">
        <v>46580</v>
      </c>
      <c r="C5" s="57">
        <v>0.21</v>
      </c>
      <c r="D5" s="57">
        <v>8</v>
      </c>
      <c r="E5" s="51">
        <f t="shared" ca="1" si="0"/>
        <v>8.2100000000000009</v>
      </c>
      <c r="F5" s="12">
        <f t="shared" ca="1" si="1"/>
        <v>0.15969133968956287</v>
      </c>
      <c r="J5" s="15"/>
    </row>
    <row r="6" spans="1:11" ht="15" customHeight="1" thickBot="1">
      <c r="A6" s="57">
        <v>14</v>
      </c>
      <c r="B6" s="58">
        <v>46762</v>
      </c>
      <c r="C6" s="57">
        <v>0.42</v>
      </c>
      <c r="D6" s="57">
        <v>8</v>
      </c>
      <c r="E6" s="51">
        <f t="shared" ca="1" si="0"/>
        <v>8.42</v>
      </c>
      <c r="F6" s="12">
        <f t="shared" ca="1" si="1"/>
        <v>0.21491590448799056</v>
      </c>
    </row>
    <row r="7" spans="1:11" ht="15" customHeight="1" thickBot="1">
      <c r="A7" s="57">
        <v>15</v>
      </c>
      <c r="B7" s="58">
        <v>46944</v>
      </c>
      <c r="C7" s="57">
        <v>0.35</v>
      </c>
      <c r="D7" s="57">
        <v>8</v>
      </c>
      <c r="E7" s="51">
        <f t="shared" ca="1" si="0"/>
        <v>8.35</v>
      </c>
      <c r="F7" s="12">
        <f t="shared" ca="1" si="1"/>
        <v>0.2604451793361951</v>
      </c>
    </row>
    <row r="8" spans="1:11" ht="15" customHeight="1" thickBot="1">
      <c r="A8" s="57">
        <v>16</v>
      </c>
      <c r="B8" s="58">
        <v>47127</v>
      </c>
      <c r="C8" s="57">
        <v>0.28000000000000003</v>
      </c>
      <c r="D8" s="57">
        <v>8</v>
      </c>
      <c r="E8" s="51">
        <f t="shared" ca="1" si="0"/>
        <v>8.2799999999999994</v>
      </c>
      <c r="F8" s="12">
        <f t="shared" ca="1" si="1"/>
        <v>0.30220627081310542</v>
      </c>
    </row>
    <row r="9" spans="1:11" ht="15" customHeight="1" thickBot="1">
      <c r="A9" s="57">
        <v>17</v>
      </c>
      <c r="B9" s="58">
        <v>47309</v>
      </c>
      <c r="C9" s="57">
        <v>0.21</v>
      </c>
      <c r="D9" s="57">
        <v>8</v>
      </c>
      <c r="E9" s="51">
        <f t="shared" ca="1" si="0"/>
        <v>8.2100000000000009</v>
      </c>
      <c r="F9" s="12">
        <f t="shared" ca="1" si="1"/>
        <v>0.33995455235787903</v>
      </c>
    </row>
    <row r="10" spans="1:11" ht="15" customHeight="1" thickBot="1">
      <c r="A10" s="57">
        <v>18</v>
      </c>
      <c r="B10" s="58">
        <v>47492</v>
      </c>
      <c r="C10" s="57">
        <v>0.14000000000000001</v>
      </c>
      <c r="D10" s="57">
        <v>8</v>
      </c>
      <c r="E10" s="51">
        <f t="shared" ca="1" si="0"/>
        <v>8.14</v>
      </c>
      <c r="F10" s="12">
        <f t="shared" ca="1" si="1"/>
        <v>0.37436199238365186</v>
      </c>
    </row>
    <row r="11" spans="1:11" ht="15" customHeight="1" thickBot="1">
      <c r="A11" s="57">
        <v>19</v>
      </c>
      <c r="B11" s="58">
        <v>47674</v>
      </c>
      <c r="C11" s="57">
        <v>7.0000000000000007E-2</v>
      </c>
      <c r="D11" s="57">
        <v>8</v>
      </c>
      <c r="E11" s="51">
        <f t="shared" ca="1" si="0"/>
        <v>8.07</v>
      </c>
      <c r="F11" s="12">
        <f t="shared" ca="1" si="1"/>
        <v>0.40523334937900324</v>
      </c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2929-00A5-4C64-8D28-F473CA97246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5188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-62.17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0.27</v>
      </c>
      <c r="D3" s="57">
        <v>8</v>
      </c>
      <c r="E3" s="51">
        <f t="shared" ref="E3:E11" ca="1" si="0">IF(B3&lt;=$B$2,0,(C3+D3))</f>
        <v>8.27</v>
      </c>
      <c r="F3" s="12">
        <f t="shared" ref="F3:F11" ca="1" si="1">(E3*(B3-$B$2)/365)/(1+$K$4)^((B3-$B$2)/365)/-$E$2/(1+$K$4)^$K$2</f>
        <v>4.9366985326816305E-2</v>
      </c>
      <c r="J3" s="13" t="s">
        <v>85</v>
      </c>
      <c r="K3" s="202">
        <f ca="1">SUM(F3:F102)</f>
        <v>2.1828813032065137</v>
      </c>
    </row>
    <row r="4" spans="1:11" ht="15" customHeight="1" thickBot="1">
      <c r="A4" s="57">
        <v>12</v>
      </c>
      <c r="B4" s="58">
        <v>46398</v>
      </c>
      <c r="C4" s="57">
        <v>0.24</v>
      </c>
      <c r="D4" s="57">
        <v>8</v>
      </c>
      <c r="E4" s="51">
        <f t="shared" ca="1" si="0"/>
        <v>8.24</v>
      </c>
      <c r="F4" s="12">
        <f t="shared" ca="1" si="1"/>
        <v>0.10772200777154953</v>
      </c>
      <c r="J4" s="1" t="s">
        <v>4</v>
      </c>
      <c r="K4" s="2">
        <f ca="1">XIRR(E2:E26,B2:B26)</f>
        <v>7.8818210959434531E-2</v>
      </c>
    </row>
    <row r="5" spans="1:11" ht="15" customHeight="1" thickBot="1">
      <c r="A5" s="57">
        <v>13</v>
      </c>
      <c r="B5" s="58">
        <v>46580</v>
      </c>
      <c r="C5" s="57">
        <v>0.21</v>
      </c>
      <c r="D5" s="57">
        <v>8</v>
      </c>
      <c r="E5" s="51">
        <f t="shared" ca="1" si="0"/>
        <v>8.2100000000000009</v>
      </c>
      <c r="F5" s="12">
        <f t="shared" ca="1" si="1"/>
        <v>0.16034204048702519</v>
      </c>
      <c r="J5" s="15"/>
    </row>
    <row r="6" spans="1:11" ht="15" customHeight="1" thickBot="1">
      <c r="A6" s="57">
        <v>14</v>
      </c>
      <c r="B6" s="58">
        <v>46762</v>
      </c>
      <c r="C6" s="57">
        <v>0.42</v>
      </c>
      <c r="D6" s="57">
        <v>8</v>
      </c>
      <c r="E6" s="51">
        <f t="shared" ca="1" si="0"/>
        <v>8.42</v>
      </c>
      <c r="F6" s="12">
        <f t="shared" ca="1" si="1"/>
        <v>0.2146232910375917</v>
      </c>
    </row>
    <row r="7" spans="1:11" ht="15" customHeight="1" thickBot="1">
      <c r="A7" s="57">
        <v>15</v>
      </c>
      <c r="B7" s="58">
        <v>46944</v>
      </c>
      <c r="C7" s="57">
        <v>0.35</v>
      </c>
      <c r="D7" s="57">
        <v>8</v>
      </c>
      <c r="E7" s="51">
        <f t="shared" ca="1" si="0"/>
        <v>8.35</v>
      </c>
      <c r="F7" s="12">
        <f t="shared" ca="1" si="1"/>
        <v>0.25868239304380186</v>
      </c>
    </row>
    <row r="8" spans="1:11" ht="15" customHeight="1" thickBot="1">
      <c r="A8" s="57">
        <v>16</v>
      </c>
      <c r="B8" s="58">
        <v>47127</v>
      </c>
      <c r="C8" s="57">
        <v>0.28000000000000003</v>
      </c>
      <c r="D8" s="57">
        <v>8</v>
      </c>
      <c r="E8" s="51">
        <f t="shared" ca="1" si="0"/>
        <v>8.2799999999999994</v>
      </c>
      <c r="F8" s="12">
        <f t="shared" ca="1" si="1"/>
        <v>0.29852679341123889</v>
      </c>
    </row>
    <row r="9" spans="1:11" ht="15" customHeight="1" thickBot="1">
      <c r="A9" s="57">
        <v>17</v>
      </c>
      <c r="B9" s="58">
        <v>47309</v>
      </c>
      <c r="C9" s="57">
        <v>0.21</v>
      </c>
      <c r="D9" s="57">
        <v>8</v>
      </c>
      <c r="E9" s="51">
        <f t="shared" ca="1" si="0"/>
        <v>8.2100000000000009</v>
      </c>
      <c r="F9" s="12">
        <f t="shared" ca="1" si="1"/>
        <v>0.33399730146224382</v>
      </c>
    </row>
    <row r="10" spans="1:11" ht="15" customHeight="1" thickBot="1">
      <c r="A10" s="57">
        <v>18</v>
      </c>
      <c r="B10" s="58">
        <v>47492</v>
      </c>
      <c r="C10" s="57">
        <v>0.14000000000000001</v>
      </c>
      <c r="D10" s="57">
        <v>8</v>
      </c>
      <c r="E10" s="51">
        <f t="shared" ca="1" si="0"/>
        <v>8.14</v>
      </c>
      <c r="F10" s="12">
        <f t="shared" ca="1" si="1"/>
        <v>0.36579953108505098</v>
      </c>
    </row>
    <row r="11" spans="1:11" ht="15" customHeight="1" thickBot="1">
      <c r="A11" s="57">
        <v>19</v>
      </c>
      <c r="B11" s="58">
        <v>47674</v>
      </c>
      <c r="C11" s="57">
        <v>7.0000000000000007E-2</v>
      </c>
      <c r="D11" s="57">
        <v>8</v>
      </c>
      <c r="E11" s="51">
        <f t="shared" ca="1" si="0"/>
        <v>8.07</v>
      </c>
      <c r="F11" s="12">
        <f t="shared" ca="1" si="1"/>
        <v>0.39382095958119573</v>
      </c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75E-664B-49B0-93A6-5A45946A7C2D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5193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-64.63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0.35</v>
      </c>
      <c r="D3" s="57">
        <v>10</v>
      </c>
      <c r="E3" s="51">
        <f t="shared" ref="E3:E9" ca="1" si="0">IF(B3&lt;=$B$2,0,(C3+D3))</f>
        <v>10.35</v>
      </c>
      <c r="F3" s="12">
        <f t="shared" ref="F3:F9" ca="1" si="1">(E3*(B3-$B$2)/365)/(1+$K$4)^((B3-$B$2)/365)/-$E$2/(1+$K$4)^$K$2</f>
        <v>6.0640240536945292E-2</v>
      </c>
      <c r="J3" s="13" t="s">
        <v>85</v>
      </c>
      <c r="K3" s="202">
        <f ca="1">SUM(F3:F102)</f>
        <v>1.7893463317759943</v>
      </c>
    </row>
    <row r="4" spans="1:11" ht="15" customHeight="1" thickBot="1">
      <c r="A4" s="57">
        <v>12</v>
      </c>
      <c r="B4" s="58">
        <v>46398</v>
      </c>
      <c r="C4" s="57">
        <v>0.3</v>
      </c>
      <c r="D4" s="57">
        <v>10</v>
      </c>
      <c r="E4" s="51">
        <f t="shared" ca="1" si="0"/>
        <v>10.3</v>
      </c>
      <c r="F4" s="12">
        <f t="shared" ca="1" si="1"/>
        <v>0.13367265579297111</v>
      </c>
      <c r="J4" s="1" t="s">
        <v>4</v>
      </c>
      <c r="K4" s="2">
        <f ca="1">XIRR(E2:E26,B2:B26)</f>
        <v>5.4883340001106271E-2</v>
      </c>
    </row>
    <row r="5" spans="1:11" ht="15" customHeight="1" thickBot="1">
      <c r="A5" s="57">
        <v>13</v>
      </c>
      <c r="B5" s="58">
        <v>46580</v>
      </c>
      <c r="C5" s="57">
        <v>0.25</v>
      </c>
      <c r="D5" s="57">
        <v>10</v>
      </c>
      <c r="E5" s="51">
        <f t="shared" ca="1" si="0"/>
        <v>10.25</v>
      </c>
      <c r="F5" s="12">
        <f t="shared" ca="1" si="1"/>
        <v>0.20096239996645796</v>
      </c>
      <c r="J5" s="15"/>
    </row>
    <row r="6" spans="1:11" ht="15" customHeight="1" thickBot="1">
      <c r="A6" s="57">
        <v>14</v>
      </c>
      <c r="B6" s="58">
        <v>46762</v>
      </c>
      <c r="C6" s="57">
        <v>0.2</v>
      </c>
      <c r="D6" s="57">
        <v>10</v>
      </c>
      <c r="E6" s="51">
        <f t="shared" ca="1" si="0"/>
        <v>10.199999999999999</v>
      </c>
      <c r="F6" s="12">
        <f t="shared" ca="1" si="1"/>
        <v>0.26394302794345459</v>
      </c>
    </row>
    <row r="7" spans="1:11" ht="15" customHeight="1" thickBot="1">
      <c r="A7" s="57">
        <v>15</v>
      </c>
      <c r="B7" s="58">
        <v>46944</v>
      </c>
      <c r="C7" s="57">
        <v>0.15</v>
      </c>
      <c r="D7" s="57">
        <v>10</v>
      </c>
      <c r="E7" s="51">
        <f t="shared" ca="1" si="0"/>
        <v>10.15</v>
      </c>
      <c r="F7" s="12">
        <f t="shared" ca="1" si="1"/>
        <v>0.32281244629989742</v>
      </c>
    </row>
    <row r="8" spans="1:11" ht="15" customHeight="1" thickBot="1">
      <c r="A8" s="57">
        <v>16</v>
      </c>
      <c r="B8" s="58">
        <v>47127</v>
      </c>
      <c r="C8" s="57">
        <v>0.1</v>
      </c>
      <c r="D8" s="57">
        <v>10</v>
      </c>
      <c r="E8" s="51">
        <f t="shared" ca="1" si="0"/>
        <v>10.1</v>
      </c>
      <c r="F8" s="12">
        <f t="shared" ca="1" si="1"/>
        <v>0.37806237024201822</v>
      </c>
    </row>
    <row r="9" spans="1:11" ht="15" customHeight="1" thickBot="1">
      <c r="A9" s="57">
        <v>17</v>
      </c>
      <c r="B9" s="58">
        <v>47309</v>
      </c>
      <c r="C9" s="57">
        <v>0.05</v>
      </c>
      <c r="D9" s="57">
        <v>10</v>
      </c>
      <c r="E9" s="51">
        <f t="shared" ca="1" si="0"/>
        <v>10.050000000000001</v>
      </c>
      <c r="F9" s="12">
        <f t="shared" ca="1" si="1"/>
        <v>0.42925319099424963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31AB-839A-4B4C-8DB8-A7E74B3202D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5189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-62.99</v>
      </c>
      <c r="J2" s="1" t="s">
        <v>84</v>
      </c>
      <c r="K2" s="1">
        <v>0.5</v>
      </c>
    </row>
    <row r="3" spans="1:11" ht="15" customHeight="1" thickBot="1">
      <c r="A3" s="57">
        <v>11</v>
      </c>
      <c r="B3" s="58">
        <v>46213</v>
      </c>
      <c r="C3" s="57">
        <v>0.35</v>
      </c>
      <c r="D3" s="57">
        <v>10</v>
      </c>
      <c r="E3" s="51">
        <f t="shared" ref="E3:E9" ca="1" si="0">IF(B3&lt;=$B$2,0,(C3+D3))</f>
        <v>10.35</v>
      </c>
      <c r="F3" s="12">
        <f t="shared" ref="F3:F9" ca="1" si="1">(E3*(B3-$B$2)/365)/(1+$K$4)^((B3-$B$2)/365)/-$E$2/(1+$K$4)^$K$2</f>
        <v>6.1440220658598679E-2</v>
      </c>
      <c r="J3" s="13" t="s">
        <v>85</v>
      </c>
      <c r="K3" s="202">
        <f ca="1">SUM(F3:F102)</f>
        <v>1.7632960372574462</v>
      </c>
    </row>
    <row r="4" spans="1:11" ht="15" customHeight="1" thickBot="1">
      <c r="A4" s="57">
        <v>12</v>
      </c>
      <c r="B4" s="58">
        <v>46398</v>
      </c>
      <c r="C4" s="57">
        <v>0.3</v>
      </c>
      <c r="D4" s="57">
        <v>10</v>
      </c>
      <c r="E4" s="51">
        <f t="shared" ca="1" si="0"/>
        <v>10.3</v>
      </c>
      <c r="F4" s="12">
        <f t="shared" ca="1" si="1"/>
        <v>0.13447579214355243</v>
      </c>
      <c r="J4" s="1" t="s">
        <v>4</v>
      </c>
      <c r="K4" s="2">
        <f ca="1">XIRR(E2:E26,B2:B26)</f>
        <v>6.9797417521476737E-2</v>
      </c>
    </row>
    <row r="5" spans="1:11" ht="15" customHeight="1" thickBot="1">
      <c r="A5" s="57">
        <v>13</v>
      </c>
      <c r="B5" s="58">
        <v>46580</v>
      </c>
      <c r="C5" s="57">
        <v>0.25</v>
      </c>
      <c r="D5" s="57">
        <v>10</v>
      </c>
      <c r="E5" s="51">
        <f t="shared" ca="1" si="0"/>
        <v>10.25</v>
      </c>
      <c r="F5" s="12">
        <f t="shared" ca="1" si="1"/>
        <v>0.2007595157788041</v>
      </c>
      <c r="J5" s="15"/>
    </row>
    <row r="6" spans="1:11" ht="15" customHeight="1" thickBot="1">
      <c r="A6" s="57">
        <v>14</v>
      </c>
      <c r="B6" s="58">
        <v>46762</v>
      </c>
      <c r="C6" s="57">
        <v>0.2</v>
      </c>
      <c r="D6" s="57">
        <v>10</v>
      </c>
      <c r="E6" s="51">
        <f t="shared" ca="1" si="0"/>
        <v>10.199999999999999</v>
      </c>
      <c r="F6" s="12">
        <f t="shared" ca="1" si="1"/>
        <v>0.26183718417699237</v>
      </c>
    </row>
    <row r="7" spans="1:11" ht="15" customHeight="1" thickBot="1">
      <c r="A7" s="57">
        <v>15</v>
      </c>
      <c r="B7" s="58">
        <v>46944</v>
      </c>
      <c r="C7" s="57">
        <v>0.15</v>
      </c>
      <c r="D7" s="57">
        <v>10</v>
      </c>
      <c r="E7" s="51">
        <f t="shared" ca="1" si="0"/>
        <v>10.15</v>
      </c>
      <c r="F7" s="12">
        <f t="shared" ca="1" si="1"/>
        <v>0.31800298353264062</v>
      </c>
    </row>
    <row r="8" spans="1:11" ht="15" customHeight="1" thickBot="1">
      <c r="A8" s="57">
        <v>16</v>
      </c>
      <c r="B8" s="58">
        <v>47127</v>
      </c>
      <c r="C8" s="57">
        <v>0.1</v>
      </c>
      <c r="D8" s="57">
        <v>10</v>
      </c>
      <c r="E8" s="51">
        <f t="shared" ca="1" si="0"/>
        <v>10.1</v>
      </c>
      <c r="F8" s="12">
        <f t="shared" ca="1" si="1"/>
        <v>0.36981750849219053</v>
      </c>
    </row>
    <row r="9" spans="1:11" ht="15" customHeight="1" thickBot="1">
      <c r="A9" s="57">
        <v>17</v>
      </c>
      <c r="B9" s="58">
        <v>47309</v>
      </c>
      <c r="C9" s="57">
        <v>0.05</v>
      </c>
      <c r="D9" s="57">
        <v>10</v>
      </c>
      <c r="E9" s="51">
        <f t="shared" ca="1" si="0"/>
        <v>10.050000000000001</v>
      </c>
      <c r="F9" s="12">
        <f t="shared" ca="1" si="1"/>
        <v>0.41696283247466753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D506-9F1A-4886-AC01-1952567F58D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>
        <f>-VLOOKUP(A1,'ONs Argentina'!$C$5:$N$68,3,0)</f>
        <v>-102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46175</v>
      </c>
      <c r="C3" s="57">
        <v>3.74</v>
      </c>
      <c r="D3" s="57">
        <v>0</v>
      </c>
      <c r="E3" s="51">
        <f ca="1">IF(B3&lt;=$B$2,0,(C3+D3))</f>
        <v>3.74</v>
      </c>
      <c r="F3" s="12">
        <f ca="1">(E3*(B3-$B$2)/365)/(1+$K$4)^((B3-$B$2)/365)/-$E$2/(1+$K$4)^$K$2</f>
        <v>1.016945616483563E-2</v>
      </c>
      <c r="J3" s="13" t="s">
        <v>85</v>
      </c>
      <c r="K3" s="14">
        <f ca="1">SUM(F3:F102)</f>
        <v>1.1972779665448783</v>
      </c>
    </row>
    <row r="4" spans="1:11" ht="15" customHeight="1" thickBot="1">
      <c r="A4" s="57">
        <v>3</v>
      </c>
      <c r="B4" s="58">
        <v>46358</v>
      </c>
      <c r="C4" s="57">
        <v>3.76</v>
      </c>
      <c r="D4" s="57">
        <v>0</v>
      </c>
      <c r="E4" s="51">
        <f ca="1">IF(B4&lt;=$B$2,0,(C4+D4))</f>
        <v>3.76</v>
      </c>
      <c r="F4" s="12">
        <f ca="1">(E4*(B4-$B$2)/365)/(1+$K$4)^((B4-$B$2)/365)/-$E$2/(1+$K$4)^$K$2</f>
        <v>2.6755702750408204E-2</v>
      </c>
      <c r="J4" s="1" t="s">
        <v>4</v>
      </c>
      <c r="K4" s="2">
        <f ca="1">XIRR(E2:E26,B2:B26)</f>
        <v>7.235982120037078E-2</v>
      </c>
    </row>
    <row r="5" spans="1:11" ht="15" customHeight="1" thickBot="1">
      <c r="A5" s="57">
        <v>4</v>
      </c>
      <c r="B5" s="58">
        <v>46540</v>
      </c>
      <c r="C5" s="57">
        <v>3.74</v>
      </c>
      <c r="D5" s="57">
        <v>100</v>
      </c>
      <c r="E5" s="51">
        <f ca="1">IF(B5&lt;=$B$2,0,(C5+D5))</f>
        <v>103.74</v>
      </c>
      <c r="F5" s="12">
        <f ca="1">(E5*(B5-$B$2)/365)/(1+$K$4)^((B5-$B$2)/365)/-$E$2/(1+$K$4)^$K$2</f>
        <v>1.1603528076296346</v>
      </c>
      <c r="J5" s="15"/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AD32-7E99-42E8-99D1-8BA885C6C5C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>
        <f>-VLOOKUP(A1,'ONs Argentina'!$C$5:$N$68,3,0)</f>
        <v>-102.55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46217</v>
      </c>
      <c r="C3" s="57">
        <v>3.65</v>
      </c>
      <c r="D3" s="57">
        <v>0</v>
      </c>
      <c r="E3" s="51">
        <f ca="1">IF(B3&lt;=$B$2,0,(C3+D3))</f>
        <v>3.65</v>
      </c>
      <c r="F3" s="12">
        <f ca="1">(E3*(B3-$B$2)/365)/(1+$K$4)^((B3-$B$2)/365)/-$E$2/(1+$K$4)^$K$2</f>
        <v>1.37790743570243E-2</v>
      </c>
      <c r="J3" s="13" t="s">
        <v>85</v>
      </c>
      <c r="K3" s="14">
        <f ca="1">SUM(F3:F102)</f>
        <v>1.317427277596787</v>
      </c>
    </row>
    <row r="4" spans="1:11" ht="15" customHeight="1" thickBot="1">
      <c r="A4" s="57">
        <v>3</v>
      </c>
      <c r="B4" s="58">
        <v>46401</v>
      </c>
      <c r="C4" s="57">
        <v>3.71</v>
      </c>
      <c r="D4" s="57">
        <v>0</v>
      </c>
      <c r="E4" s="51">
        <f ca="1">IF(B4&lt;=$B$2,0,(C4+D4))</f>
        <v>3.71</v>
      </c>
      <c r="F4" s="12">
        <f ca="1">(E4*(B4-$B$2)/365)/(1+$K$4)^((B4-$B$2)/365)/-$E$2/(1+$K$4)^$K$2</f>
        <v>3.0393161476147731E-2</v>
      </c>
      <c r="J4" s="1" t="s">
        <v>4</v>
      </c>
      <c r="K4" s="2">
        <f ca="1">XIRR(E2:E26,B2:B26)</f>
        <v>6.0127088427543635E-2</v>
      </c>
    </row>
    <row r="5" spans="1:11" ht="15" customHeight="1" thickBot="1">
      <c r="A5" s="57">
        <v>4</v>
      </c>
      <c r="B5" s="58">
        <v>46582</v>
      </c>
      <c r="C5" s="57">
        <v>3.65</v>
      </c>
      <c r="D5" s="57">
        <v>100</v>
      </c>
      <c r="E5" s="51">
        <f ca="1">IF(B5&lt;=$B$2,0,(C5+D5))</f>
        <v>103.65</v>
      </c>
      <c r="F5" s="12">
        <f ca="1">(E5*(B5-$B$2)/365)/(1+$K$4)^((B5-$B$2)/365)/-$E$2/(1+$K$4)^$K$2</f>
        <v>1.273255041763615</v>
      </c>
      <c r="J5" s="15"/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>
        <f ca="1">IF(B9&lt;=$B$2,0,(C9+D9))</f>
        <v>0</v>
      </c>
      <c r="F9" s="12">
        <f ca="1">(E9*(B9-$B$2)/365)/(1+$K$4)^((B9-$B$2)/365)/-$E$2/(1+$K$4)^$K$2</f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B325-F395-4C80-9795-1EDF4F18C3B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-103.6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46134</v>
      </c>
      <c r="C3" s="57">
        <v>1.85</v>
      </c>
      <c r="D3" s="57">
        <v>0</v>
      </c>
      <c r="E3" s="51">
        <f t="shared" ref="E3:E9" ca="1" si="0">IF(B3&lt;=$B$2,0,(C3+D3))</f>
        <v>1.85</v>
      </c>
      <c r="F3" s="12">
        <f t="shared" ref="F3:F9" ca="1" si="1">(E3*(B3-$B$2)/365)/(1+$K$4)^((B3-$B$2)/365)/-$E$2/(1+$K$4)^$K$2</f>
        <v>3.1167279021212017E-3</v>
      </c>
      <c r="J3" s="13" t="s">
        <v>85</v>
      </c>
      <c r="K3" s="14">
        <f ca="1">SUM(F3:F102)</f>
        <v>1.329417807175763</v>
      </c>
    </row>
    <row r="4" spans="1:11" ht="15" customHeight="1" thickBot="1">
      <c r="A4" s="57">
        <v>4</v>
      </c>
      <c r="B4" s="58">
        <v>46225</v>
      </c>
      <c r="C4" s="57">
        <v>1.87</v>
      </c>
      <c r="D4" s="57">
        <v>0</v>
      </c>
      <c r="E4" s="51">
        <f t="shared" ca="1" si="0"/>
        <v>1.87</v>
      </c>
      <c r="F4" s="12">
        <f t="shared" ca="1" si="1"/>
        <v>7.3977248409073061E-3</v>
      </c>
      <c r="J4" s="1" t="s">
        <v>4</v>
      </c>
      <c r="K4" s="2">
        <f ca="1">XIRR(E2:E26,B2:B26)</f>
        <v>5.3336343169212347E-2</v>
      </c>
    </row>
    <row r="5" spans="1:11" ht="15" customHeight="1" thickBot="1">
      <c r="A5" s="57">
        <v>5</v>
      </c>
      <c r="B5" s="58">
        <v>46317</v>
      </c>
      <c r="C5" s="57">
        <v>1.89</v>
      </c>
      <c r="D5" s="57">
        <v>0</v>
      </c>
      <c r="E5" s="51">
        <f t="shared" ca="1" si="0"/>
        <v>1.89</v>
      </c>
      <c r="F5" s="12">
        <f t="shared" ca="1" si="1"/>
        <v>1.1703881825998392E-2</v>
      </c>
      <c r="J5" s="15" t="s">
        <v>86</v>
      </c>
    </row>
    <row r="6" spans="1:11" ht="15" customHeight="1" thickBot="1">
      <c r="A6" s="57">
        <v>6</v>
      </c>
      <c r="B6" s="58">
        <v>46409</v>
      </c>
      <c r="C6" s="57">
        <v>1.89</v>
      </c>
      <c r="D6" s="57">
        <v>0</v>
      </c>
      <c r="E6" s="51">
        <f t="shared" ca="1" si="0"/>
        <v>1.89</v>
      </c>
      <c r="F6" s="12">
        <f t="shared" ca="1" si="1"/>
        <v>1.5819648225745338E-2</v>
      </c>
    </row>
    <row r="7" spans="1:11" ht="15" customHeight="1" thickBot="1">
      <c r="A7" s="57">
        <v>7</v>
      </c>
      <c r="B7" s="58">
        <v>46499</v>
      </c>
      <c r="C7" s="57">
        <v>1.85</v>
      </c>
      <c r="D7" s="57">
        <v>0</v>
      </c>
      <c r="E7" s="51">
        <f t="shared" ca="1" si="0"/>
        <v>1.85</v>
      </c>
      <c r="F7" s="12">
        <f t="shared" ca="1" si="1"/>
        <v>1.9322581809543118E-2</v>
      </c>
    </row>
    <row r="8" spans="1:11" ht="15" customHeight="1" thickBot="1">
      <c r="A8" s="57">
        <v>8</v>
      </c>
      <c r="B8" s="58">
        <v>46590</v>
      </c>
      <c r="C8" s="57">
        <v>1.87</v>
      </c>
      <c r="D8" s="57">
        <v>100</v>
      </c>
      <c r="E8" s="51">
        <f t="shared" ca="1" si="0"/>
        <v>101.87</v>
      </c>
      <c r="F8" s="12">
        <f t="shared" ca="1" si="1"/>
        <v>1.2720572425714476</v>
      </c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>
        <f t="shared" ca="1" si="1"/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1AF045D-CAC8-4A22-BD08-B64A472E4DC3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20DB-917A-47F7-8956-94E84651411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-103.9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46064</v>
      </c>
      <c r="C3" s="57">
        <v>3.28</v>
      </c>
      <c r="D3" s="57">
        <v>0</v>
      </c>
      <c r="E3" s="51">
        <f t="shared" ref="E3:E9" ca="1" si="0">IF(B3&lt;=$B$2,0,(C3+D3))</f>
        <v>0</v>
      </c>
      <c r="F3" s="12">
        <f t="shared" ref="F3:F9" ca="1" si="1">(E3*(B3-$B$2)/365)/(1+$K$4)^((B3-$B$2)/365)/-$E$2/(1+$K$4)^$K$2</f>
        <v>0</v>
      </c>
      <c r="J3" s="13" t="s">
        <v>85</v>
      </c>
      <c r="K3" s="14">
        <f ca="1">SUM(F3:F102)</f>
        <v>1.4124416731811629</v>
      </c>
    </row>
    <row r="4" spans="1:11" ht="15" customHeight="1" thickBot="1">
      <c r="A4" s="57">
        <v>3</v>
      </c>
      <c r="B4" s="58">
        <v>46245</v>
      </c>
      <c r="C4" s="57">
        <v>3.22</v>
      </c>
      <c r="D4" s="57">
        <v>0</v>
      </c>
      <c r="E4" s="51">
        <f t="shared" ca="1" si="0"/>
        <v>3.22</v>
      </c>
      <c r="F4" s="12">
        <f t="shared" ca="1" si="1"/>
        <v>1.4478774904399425E-2</v>
      </c>
      <c r="J4" s="1" t="s">
        <v>4</v>
      </c>
      <c r="K4" s="2">
        <f ca="1">XIRR(E2:E26,B2:B26)</f>
        <v>3.8571938872337341E-2</v>
      </c>
    </row>
    <row r="5" spans="1:11" ht="15" customHeight="1" thickBot="1">
      <c r="A5" s="57">
        <v>4</v>
      </c>
      <c r="B5" s="58">
        <v>46429</v>
      </c>
      <c r="C5" s="57">
        <v>3.28</v>
      </c>
      <c r="D5" s="57">
        <v>0</v>
      </c>
      <c r="E5" s="51">
        <f t="shared" ca="1" si="0"/>
        <v>3.28</v>
      </c>
      <c r="F5" s="12">
        <f t="shared" ca="1" si="1"/>
        <v>2.9511948489853911E-2</v>
      </c>
      <c r="J5" s="15" t="s">
        <v>86</v>
      </c>
    </row>
    <row r="6" spans="1:11" ht="15" customHeight="1" thickBot="1">
      <c r="A6" s="57">
        <v>5</v>
      </c>
      <c r="B6" s="58">
        <v>46610</v>
      </c>
      <c r="C6" s="57">
        <v>3.22</v>
      </c>
      <c r="D6" s="57">
        <v>100</v>
      </c>
      <c r="E6" s="51">
        <f t="shared" ca="1" si="0"/>
        <v>103.22</v>
      </c>
      <c r="F6" s="12">
        <f t="shared" ca="1" si="1"/>
        <v>1.3684509497869095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>
        <f t="shared" ca="1" si="1"/>
        <v>0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76DB3192-6552-4B5D-9089-C26115E083E6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5EE-62C7-4D5C-83EA-171D47FBB65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-106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46086</v>
      </c>
      <c r="C3" s="57">
        <v>3.62</v>
      </c>
      <c r="D3" s="57">
        <v>14</v>
      </c>
      <c r="E3" s="51">
        <f t="shared" ref="E3:E9" ca="1" si="0">IF(B3&lt;=$B$2,0,(C3+D3))</f>
        <v>17.62</v>
      </c>
      <c r="F3" s="12">
        <f t="shared" ref="F3:F9" ca="1" si="1">(E3*(B3-$B$2)/365)/(1+$K$4)^((B3-$B$2)/365)/-$E$2/(1+$K$4)^$K$2</f>
        <v>7.9654845362861163E-3</v>
      </c>
      <c r="J3" s="13" t="s">
        <v>85</v>
      </c>
      <c r="K3" s="14">
        <f ca="1">SUM(F3:F102)</f>
        <v>0.75490111093244661</v>
      </c>
    </row>
    <row r="4" spans="1:11" ht="15" customHeight="1" thickBot="1">
      <c r="A4" s="57">
        <v>2</v>
      </c>
      <c r="B4" s="58">
        <v>46178</v>
      </c>
      <c r="C4" s="57">
        <v>1.92</v>
      </c>
      <c r="D4" s="57">
        <v>14</v>
      </c>
      <c r="E4" s="51">
        <f t="shared" ca="1" si="0"/>
        <v>15.92</v>
      </c>
      <c r="F4" s="12">
        <f t="shared" ca="1" si="1"/>
        <v>4.3405903344536173E-2</v>
      </c>
      <c r="J4" s="1" t="s">
        <v>4</v>
      </c>
      <c r="K4" s="2">
        <f ca="1">XIRR(E2:E26,B2:B26)</f>
        <v>5.365009605884552E-2</v>
      </c>
    </row>
    <row r="5" spans="1:11" ht="15" customHeight="1" thickBot="1">
      <c r="A5" s="57">
        <v>3</v>
      </c>
      <c r="B5" s="58">
        <v>46272</v>
      </c>
      <c r="C5" s="57">
        <v>1.61</v>
      </c>
      <c r="D5" s="57">
        <v>14</v>
      </c>
      <c r="E5" s="51">
        <f t="shared" ca="1" si="0"/>
        <v>15.61</v>
      </c>
      <c r="F5" s="12">
        <f t="shared" ca="1" si="1"/>
        <v>7.7875530435203649E-2</v>
      </c>
      <c r="J5" s="15" t="s">
        <v>86</v>
      </c>
    </row>
    <row r="6" spans="1:11" ht="15" customHeight="1" thickBot="1">
      <c r="A6" s="57">
        <v>4</v>
      </c>
      <c r="B6" s="58">
        <v>46363</v>
      </c>
      <c r="C6" s="57">
        <v>1.28</v>
      </c>
      <c r="D6" s="57">
        <v>14</v>
      </c>
      <c r="E6" s="51">
        <f t="shared" ca="1" si="0"/>
        <v>15.28</v>
      </c>
      <c r="F6" s="12">
        <f t="shared" ca="1" si="1"/>
        <v>0.10880647989508442</v>
      </c>
    </row>
    <row r="7" spans="1:11" ht="15" customHeight="1" thickBot="1">
      <c r="A7" s="57">
        <v>5</v>
      </c>
      <c r="B7" s="58">
        <v>46451</v>
      </c>
      <c r="C7" s="57">
        <v>0.96</v>
      </c>
      <c r="D7" s="57">
        <v>14</v>
      </c>
      <c r="E7" s="51">
        <f t="shared" ca="1" si="0"/>
        <v>14.96</v>
      </c>
      <c r="F7" s="12">
        <f t="shared" ca="1" si="1"/>
        <v>0.13657391094230367</v>
      </c>
    </row>
    <row r="8" spans="1:11" ht="15" customHeight="1" thickBot="1">
      <c r="A8" s="57">
        <v>6</v>
      </c>
      <c r="B8" s="58">
        <v>46545</v>
      </c>
      <c r="C8" s="57">
        <v>0.67</v>
      </c>
      <c r="D8" s="57">
        <v>14</v>
      </c>
      <c r="E8" s="51">
        <f t="shared" ca="1" si="0"/>
        <v>14.67</v>
      </c>
      <c r="F8" s="12">
        <f t="shared" ca="1" si="1"/>
        <v>0.16456624826878766</v>
      </c>
    </row>
    <row r="9" spans="1:11" ht="15" customHeight="1" thickBot="1">
      <c r="A9" s="57">
        <v>7</v>
      </c>
      <c r="B9" s="58">
        <v>46636</v>
      </c>
      <c r="C9" s="57">
        <v>0.36</v>
      </c>
      <c r="D9" s="57">
        <v>16</v>
      </c>
      <c r="E9" s="51">
        <f t="shared" ca="1" si="0"/>
        <v>16.36</v>
      </c>
      <c r="F9" s="12">
        <f t="shared" ca="1" si="1"/>
        <v>0.21570755351024498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420DE280-0A43-44B3-A927-113115C1468D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5282-727D-4D83-A53C-1B2CD680BB09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-104.65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46128</v>
      </c>
      <c r="C3" s="57">
        <v>3.24</v>
      </c>
      <c r="D3" s="57">
        <v>0</v>
      </c>
      <c r="E3" s="51">
        <f ca="1">IF(B3&lt;=$B$2,0,(C3+D3))</f>
        <v>3.24</v>
      </c>
      <c r="F3" s="12">
        <f ca="1">(E3*(B3-$B$2)/365)/(1+$K$4)^((B3-$B$2)/365)/-$E$2/(1+$K$4)^$K$2</f>
        <v>4.9279275932935422E-3</v>
      </c>
      <c r="J3" s="13" t="s">
        <v>85</v>
      </c>
      <c r="K3" s="14">
        <f ca="1">SUM(F3:F102)</f>
        <v>1.5419295275080533</v>
      </c>
    </row>
    <row r="4" spans="1:11" ht="15" customHeight="1" thickBot="1">
      <c r="A4" s="57">
        <v>2</v>
      </c>
      <c r="B4" s="58">
        <v>46311</v>
      </c>
      <c r="C4" s="57">
        <v>3.26</v>
      </c>
      <c r="D4" s="57">
        <v>0</v>
      </c>
      <c r="E4" s="51">
        <f ca="1">IF(B4&lt;=$B$2,0,(C4+D4))</f>
        <v>3.26</v>
      </c>
      <c r="F4" s="12">
        <f ca="1">(E4*(B4-$B$2)/365)/(1+$K$4)^((B4-$B$2)/365)/-$E$2/(1+$K$4)^$K$2</f>
        <v>1.9598692517284761E-2</v>
      </c>
      <c r="J4" s="1" t="s">
        <v>4</v>
      </c>
      <c r="K4" s="2">
        <f ca="1">XIRR(E2:E26,B2:B26)</f>
        <v>4.9716278910636916E-2</v>
      </c>
    </row>
    <row r="5" spans="1:11" ht="15" customHeight="1" thickBot="1">
      <c r="A5" s="57">
        <v>3</v>
      </c>
      <c r="B5" s="58">
        <v>46493</v>
      </c>
      <c r="C5" s="57">
        <v>3.24</v>
      </c>
      <c r="D5" s="57">
        <v>0</v>
      </c>
      <c r="E5" s="51">
        <f ca="1">IF(B5&lt;=$B$2,0,(C5+D5))</f>
        <v>3.24</v>
      </c>
      <c r="F5" s="12">
        <f ca="1">(E5*(B5-$B$2)/365)/(1+$K$4)^((B5-$B$2)/365)/-$E$2/(1+$K$4)^$K$2</f>
        <v>3.3252941282432801E-2</v>
      </c>
      <c r="J5" s="15" t="s">
        <v>86</v>
      </c>
    </row>
    <row r="6" spans="1:11" ht="15" customHeight="1" thickBot="1">
      <c r="A6" s="57">
        <v>4</v>
      </c>
      <c r="B6" s="58">
        <v>46678</v>
      </c>
      <c r="C6" s="57">
        <v>3.26</v>
      </c>
      <c r="D6" s="57">
        <v>100</v>
      </c>
      <c r="E6" s="51">
        <f ca="1">IF(B6&lt;=$B$2,0,(C6+D6))</f>
        <v>103.26</v>
      </c>
      <c r="F6" s="12">
        <f ca="1">(E6*(B6-$B$2)/365)/(1+$K$4)^((B6-$B$2)/365)/-$E$2/(1+$K$4)^$K$2</f>
        <v>1.4841499661150424</v>
      </c>
    </row>
    <row r="7" spans="1:11" ht="15" customHeight="1" thickBot="1">
      <c r="A7" s="57"/>
      <c r="B7" s="58"/>
      <c r="C7" s="57"/>
      <c r="D7" s="57"/>
      <c r="E7" s="51"/>
      <c r="F7" s="12"/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D01954E-C250-42E1-A934-9A67D582CAAA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3260-3DC7-4C6F-B259-4B6D8EB5E2A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-103.4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46170</v>
      </c>
      <c r="C3" s="57">
        <v>3.47</v>
      </c>
      <c r="D3" s="57">
        <v>0</v>
      </c>
      <c r="E3" s="51">
        <f t="shared" ref="E3:E8" ca="1" si="0">IF(B3&lt;=$B$2,0,(C3+D3))</f>
        <v>3.47</v>
      </c>
      <c r="F3" s="12">
        <f t="shared" ref="F3:F8" ca="1" si="1">(E3*(B3-$B$2)/365)/(1+$K$4)^((B3-$B$2)/365)/-$E$2/(1+$K$4)^$K$2</f>
        <v>8.9391174469127359E-3</v>
      </c>
      <c r="J3" s="13" t="s">
        <v>85</v>
      </c>
      <c r="K3" s="14">
        <f ca="1">SUM(F3:F102)</f>
        <v>2.4694927850113126</v>
      </c>
    </row>
    <row r="4" spans="1:11" ht="15" customHeight="1" thickBot="1">
      <c r="A4" s="57">
        <v>4</v>
      </c>
      <c r="B4" s="58">
        <v>46356</v>
      </c>
      <c r="C4" s="57">
        <v>3.53</v>
      </c>
      <c r="D4" s="57">
        <v>0</v>
      </c>
      <c r="E4" s="51">
        <f t="shared" ca="1" si="0"/>
        <v>3.53</v>
      </c>
      <c r="F4" s="12">
        <f t="shared" ca="1" si="1"/>
        <v>2.4883958835850609E-2</v>
      </c>
      <c r="J4" s="1" t="s">
        <v>4</v>
      </c>
      <c r="K4" s="2">
        <f ca="1">XIRR(E2:E26,B2:B26)</f>
        <v>6.3440325856208804E-2</v>
      </c>
    </row>
    <row r="5" spans="1:11" ht="15" customHeight="1" thickBot="1">
      <c r="A5" s="57">
        <v>5</v>
      </c>
      <c r="B5" s="58">
        <v>46535</v>
      </c>
      <c r="C5" s="57">
        <v>3.47</v>
      </c>
      <c r="D5" s="57">
        <v>0</v>
      </c>
      <c r="E5" s="51">
        <f t="shared" ca="1" si="0"/>
        <v>3.47</v>
      </c>
      <c r="F5" s="12">
        <f t="shared" ca="1" si="1"/>
        <v>3.8485596950533024E-2</v>
      </c>
      <c r="J5" s="15" t="s">
        <v>86</v>
      </c>
    </row>
    <row r="6" spans="1:11" ht="15" customHeight="1" thickBot="1">
      <c r="A6" s="57">
        <v>6</v>
      </c>
      <c r="B6" s="58">
        <v>46720</v>
      </c>
      <c r="C6" s="57">
        <v>3.53</v>
      </c>
      <c r="D6" s="57">
        <v>0</v>
      </c>
      <c r="E6" s="51">
        <f t="shared" ca="1" si="0"/>
        <v>3.53</v>
      </c>
      <c r="F6" s="12">
        <f t="shared" ca="1" si="1"/>
        <v>5.2982768056712086E-2</v>
      </c>
    </row>
    <row r="7" spans="1:11" ht="15" customHeight="1" thickBot="1">
      <c r="A7" s="57">
        <v>7</v>
      </c>
      <c r="B7" s="58">
        <v>46902</v>
      </c>
      <c r="C7" s="57">
        <v>3.49</v>
      </c>
      <c r="D7" s="57">
        <v>0</v>
      </c>
      <c r="E7" s="51">
        <f t="shared" ca="1" si="0"/>
        <v>3.49</v>
      </c>
      <c r="F7" s="12">
        <f t="shared" ca="1" si="1"/>
        <v>6.4980620099318043E-2</v>
      </c>
    </row>
    <row r="8" spans="1:11" ht="15" customHeight="1" thickBot="1">
      <c r="A8" s="57">
        <v>8</v>
      </c>
      <c r="B8" s="58">
        <v>47085</v>
      </c>
      <c r="C8" s="57">
        <v>3.53</v>
      </c>
      <c r="D8" s="57">
        <v>100</v>
      </c>
      <c r="E8" s="51">
        <f t="shared" ca="1" si="0"/>
        <v>103.53</v>
      </c>
      <c r="F8" s="12">
        <f t="shared" ca="1" si="1"/>
        <v>2.2792207236219864</v>
      </c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E2F479D-D4C5-417E-823C-746C959F88C4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25F-CB8F-4FB8-9E1D-561F661FCFA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-104.75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46233</v>
      </c>
      <c r="C3" s="57">
        <v>3.6</v>
      </c>
      <c r="D3" s="57">
        <v>0</v>
      </c>
      <c r="E3" s="51">
        <f ca="1">IF(B3&lt;=$B$2,0,(C3+D3))</f>
        <v>3.6</v>
      </c>
      <c r="F3" s="12">
        <f ca="1">(E3*(B3-$B$2)/365)/(1+$K$4)^((B3-$B$2)/365)/-$E$2/(1+$K$4)^$K$2</f>
        <v>1.4809867063345531E-2</v>
      </c>
      <c r="J3" s="13" t="s">
        <v>85</v>
      </c>
      <c r="K3" s="14">
        <f ca="1">SUM(F3:F102)</f>
        <v>2.0265942034124453</v>
      </c>
    </row>
    <row r="4" spans="1:11" ht="15" customHeight="1" thickBot="1">
      <c r="A4" s="57">
        <v>3</v>
      </c>
      <c r="B4" s="58">
        <v>46419</v>
      </c>
      <c r="C4" s="57">
        <v>3.65</v>
      </c>
      <c r="D4" s="57">
        <v>0</v>
      </c>
      <c r="E4" s="51">
        <f ca="1">IF(B4&lt;=$B$2,0,(C4+D4))</f>
        <v>3.65</v>
      </c>
      <c r="F4" s="12">
        <f ca="1">(E4*(B4-$B$2)/365)/(1+$K$4)^((B4-$B$2)/365)/-$E$2/(1+$K$4)^$K$2</f>
        <v>3.1134197334627238E-2</v>
      </c>
      <c r="J4" s="1" t="s">
        <v>4</v>
      </c>
      <c r="K4" s="2">
        <f ca="1">XIRR(E2:E26,B2:B26)</f>
        <v>5.1562973856925973E-2</v>
      </c>
    </row>
    <row r="5" spans="1:11" ht="15" customHeight="1" thickBot="1">
      <c r="A5" s="57">
        <v>4</v>
      </c>
      <c r="B5" s="58">
        <v>46598</v>
      </c>
      <c r="C5" s="57">
        <v>3.6</v>
      </c>
      <c r="D5" s="57">
        <v>0</v>
      </c>
      <c r="E5" s="51">
        <f ca="1">IF(B5&lt;=$B$2,0,(C5+D5))</f>
        <v>3.6</v>
      </c>
      <c r="F5" s="12">
        <f ca="1">(E5*(B5-$B$2)/365)/(1+$K$4)^((B5-$B$2)/365)/-$E$2/(1+$K$4)^$K$2</f>
        <v>4.5238458680592453E-2</v>
      </c>
      <c r="J5" s="15" t="s">
        <v>86</v>
      </c>
    </row>
    <row r="6" spans="1:11" ht="15" customHeight="1" thickBot="1">
      <c r="A6" s="57">
        <v>5</v>
      </c>
      <c r="B6" s="58">
        <v>46783</v>
      </c>
      <c r="C6" s="57">
        <v>3.65</v>
      </c>
      <c r="D6" s="57">
        <v>0</v>
      </c>
      <c r="E6" s="51">
        <f ca="1">IF(B6&lt;=$B$2,0,(C6+D6))</f>
        <v>3.65</v>
      </c>
      <c r="F6" s="12">
        <f ca="1">(E6*(B6-$B$2)/365)/(1+$K$4)^((B6-$B$2)/365)/-$E$2/(1+$K$4)^$K$2</f>
        <v>6.0319972633123685E-2</v>
      </c>
    </row>
    <row r="7" spans="1:11" ht="15" customHeight="1" thickBot="1">
      <c r="A7" s="57">
        <v>6</v>
      </c>
      <c r="B7" s="58">
        <v>46875</v>
      </c>
      <c r="C7" s="57">
        <v>1.81</v>
      </c>
      <c r="D7" s="57">
        <v>100</v>
      </c>
      <c r="E7" s="51">
        <f ca="1">IF(B7&lt;=$B$2,0,(C7+D7))</f>
        <v>101.81</v>
      </c>
      <c r="F7" s="12">
        <f ca="1">(E7*(B7-$B$2)/365)/(1+$K$4)^((B7-$B$2)/365)/-$E$2/(1+$K$4)^$K$2</f>
        <v>1.8750917077007565</v>
      </c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2E90CDD-01AD-4D0A-9A17-EBA1F2FAEC18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C423-F7E1-4AF4-9CE6-AE476EDDC0A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46185</v>
      </c>
      <c r="C3" s="57">
        <v>3.93</v>
      </c>
      <c r="D3" s="57">
        <v>0</v>
      </c>
      <c r="E3" s="51">
        <f ca="1">IF(B3&lt;=$B$2,0,(C3+D3))</f>
        <v>3.93</v>
      </c>
      <c r="F3" s="12">
        <f ca="1">(E3*(B3-$B$2)/365)/(1+$K$4)^((B3-$B$2)/365)/-$E$2/(1+$K$4)^$K$2</f>
        <v>1.1411509695368617E-2</v>
      </c>
      <c r="J3" s="13" t="s">
        <v>85</v>
      </c>
      <c r="K3" s="14">
        <f ca="1">SUM(F3:F102)</f>
        <v>2.0804194502494182</v>
      </c>
    </row>
    <row r="4" spans="1:11" ht="15" customHeight="1" thickBot="1">
      <c r="A4" s="57">
        <v>3</v>
      </c>
      <c r="B4" s="58">
        <v>46370</v>
      </c>
      <c r="C4" s="57">
        <v>3.96</v>
      </c>
      <c r="D4" s="57">
        <v>0</v>
      </c>
      <c r="E4" s="51">
        <f ca="1">IF(B4&lt;=$B$2,0,(C4+D4))</f>
        <v>3.96</v>
      </c>
      <c r="F4" s="12">
        <f ca="1">(E4*(B4-$B$2)/365)/(1+$K$4)^((B4-$B$2)/365)/-$E$2/(1+$K$4)^$K$2</f>
        <v>2.8775970937100839E-2</v>
      </c>
      <c r="J4" s="1" t="s">
        <v>4</v>
      </c>
      <c r="K4" s="2">
        <f ca="1">XIRR(E2:E26,B2:B26)</f>
        <v>6.2944307923316956E-2</v>
      </c>
    </row>
    <row r="5" spans="1:11" ht="15" customHeight="1" thickBot="1">
      <c r="A5" s="57">
        <v>4</v>
      </c>
      <c r="B5" s="58">
        <v>46552</v>
      </c>
      <c r="C5" s="57">
        <v>3.93</v>
      </c>
      <c r="D5" s="57">
        <v>0</v>
      </c>
      <c r="E5" s="51">
        <f ca="1">IF(B5&lt;=$B$2,0,(C5+D5))</f>
        <v>3.93</v>
      </c>
      <c r="F5" s="12">
        <f ca="1">(E5*(B5-$B$2)/365)/(1+$K$4)^((B5-$B$2)/365)/-$E$2/(1+$K$4)^$K$2</f>
        <v>4.4396305354542781E-2</v>
      </c>
      <c r="J5" s="15" t="s">
        <v>86</v>
      </c>
    </row>
    <row r="6" spans="1:11" ht="15" customHeight="1" thickBot="1">
      <c r="A6" s="57">
        <v>5</v>
      </c>
      <c r="B6" s="58">
        <v>46734</v>
      </c>
      <c r="C6" s="57">
        <v>3.96</v>
      </c>
      <c r="D6" s="57">
        <v>0</v>
      </c>
      <c r="E6" s="51">
        <f ca="1">IF(B6&lt;=$B$2,0,(C6+D6))</f>
        <v>3.96</v>
      </c>
      <c r="F6" s="12">
        <f ca="1">(E6*(B6-$B$2)/365)/(1+$K$4)^((B6-$B$2)/365)/-$E$2/(1+$K$4)^$K$2</f>
        <v>5.9711694161018423E-2</v>
      </c>
    </row>
    <row r="7" spans="1:11" ht="15" customHeight="1" thickBot="1">
      <c r="A7" s="57">
        <v>6</v>
      </c>
      <c r="B7" s="58">
        <v>46916</v>
      </c>
      <c r="C7" s="57">
        <v>3.96</v>
      </c>
      <c r="D7" s="57">
        <v>100</v>
      </c>
      <c r="E7" s="51">
        <f ca="1">IF(B7&lt;=$B$2,0,(C7+D7))</f>
        <v>103.96</v>
      </c>
      <c r="F7" s="12">
        <f ca="1">(E7*(B7-$B$2)/365)/(1+$K$4)^((B7-$B$2)/365)/-$E$2/(1+$K$4)^$K$2</f>
        <v>1.9361239701013877</v>
      </c>
    </row>
    <row r="8" spans="1:11" ht="15" customHeight="1" thickBot="1">
      <c r="A8" s="57"/>
      <c r="B8" s="58"/>
      <c r="C8" s="57"/>
      <c r="D8" s="57"/>
      <c r="E8" s="51"/>
      <c r="F8" s="12"/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B75E802-6F64-4C53-AF50-DEB31F5F1E70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E805-D062-4C0D-A9E5-C10E08C218E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-102.95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46176</v>
      </c>
      <c r="C3" s="57">
        <v>3.99</v>
      </c>
      <c r="D3" s="57">
        <v>0</v>
      </c>
      <c r="E3" s="51">
        <f t="shared" ref="E3:E8" ca="1" si="0">IF(B3&lt;=$B$2,0,(C3+D3))</f>
        <v>3.99</v>
      </c>
      <c r="F3" s="12">
        <f t="shared" ref="F3:F8" ca="1" si="1">(E3*(B3-$B$2)/365)/(1+$K$4)^((B3-$B$2)/365)/-$E$2/(1+$K$4)^$K$2</f>
        <v>1.0828642051228059E-2</v>
      </c>
      <c r="J3" s="13" t="s">
        <v>85</v>
      </c>
      <c r="K3" s="14">
        <f ca="1">SUM(F3:F102)</f>
        <v>2.0445697858554923</v>
      </c>
    </row>
    <row r="4" spans="1:11" ht="15" customHeight="1" thickBot="1">
      <c r="A4" s="57">
        <v>2</v>
      </c>
      <c r="B4" s="58">
        <v>46359</v>
      </c>
      <c r="C4" s="57">
        <v>4.01</v>
      </c>
      <c r="D4" s="57">
        <v>0</v>
      </c>
      <c r="E4" s="51">
        <f t="shared" ca="1" si="0"/>
        <v>4.01</v>
      </c>
      <c r="F4" s="12">
        <f t="shared" ca="1" si="1"/>
        <v>2.8283088246465655E-2</v>
      </c>
      <c r="J4" s="1" t="s">
        <v>4</v>
      </c>
      <c r="K4" s="2">
        <f ca="1">XIRR(E2:E26,B2:B26)</f>
        <v>7.4706891179084786E-2</v>
      </c>
    </row>
    <row r="5" spans="1:11" ht="15" customHeight="1" thickBot="1">
      <c r="A5" s="57">
        <v>3</v>
      </c>
      <c r="B5" s="58">
        <v>46541</v>
      </c>
      <c r="C5" s="57">
        <v>3.99</v>
      </c>
      <c r="D5" s="57">
        <v>0</v>
      </c>
      <c r="E5" s="51">
        <f t="shared" ca="1" si="0"/>
        <v>3.99</v>
      </c>
      <c r="F5" s="12">
        <f t="shared" ca="1" si="1"/>
        <v>4.4128721947786415E-2</v>
      </c>
      <c r="J5" s="15" t="s">
        <v>86</v>
      </c>
    </row>
    <row r="6" spans="1:11" ht="15" customHeight="1" thickBot="1">
      <c r="A6" s="57">
        <v>4</v>
      </c>
      <c r="B6" s="58">
        <v>46724</v>
      </c>
      <c r="C6" s="57">
        <v>4.01</v>
      </c>
      <c r="D6" s="57">
        <v>0</v>
      </c>
      <c r="E6" s="51">
        <f t="shared" ca="1" si="0"/>
        <v>4.01</v>
      </c>
      <c r="F6" s="12">
        <f t="shared" ca="1" si="1"/>
        <v>5.9326352149366685E-2</v>
      </c>
    </row>
    <row r="7" spans="1:11" ht="15" customHeight="1" thickBot="1">
      <c r="A7" s="57">
        <v>5</v>
      </c>
      <c r="B7" s="58">
        <v>46909</v>
      </c>
      <c r="C7" s="57">
        <v>4.01</v>
      </c>
      <c r="D7" s="57">
        <v>100</v>
      </c>
      <c r="E7" s="51">
        <f t="shared" ca="1" si="0"/>
        <v>104.01</v>
      </c>
      <c r="F7" s="12">
        <f t="shared" ca="1" si="1"/>
        <v>1.9020029814606454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/>
      <c r="F9" s="12"/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79CB36F-9D2C-4296-AB26-03E7B1C2C072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CA8E7-EE1C-45B7-BCFD-E8CE7C26D30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-105.45</v>
      </c>
      <c r="J2" s="1" t="s">
        <v>84</v>
      </c>
      <c r="K2" s="1">
        <v>0.33300000000000002</v>
      </c>
    </row>
    <row r="3" spans="1:11" ht="15" customHeight="1" thickBot="1">
      <c r="A3" s="57">
        <v>2</v>
      </c>
      <c r="B3" s="58">
        <v>46083</v>
      </c>
      <c r="C3" s="57">
        <v>1.89</v>
      </c>
      <c r="D3" s="57">
        <v>0</v>
      </c>
      <c r="E3" s="51">
        <f t="shared" ref="E3:E13" ca="1" si="0">IF(B3&lt;=$B$2,0,(C3+D3))</f>
        <v>1.89</v>
      </c>
      <c r="F3" s="12">
        <f t="shared" ref="F3:F13" ca="1" si="1">(E3*(B3-$B$2)/365)/(1+$K$4)^((B3-$B$2)/365)/-$E$2/(1+$K$4)^$K$2</f>
        <v>7.2070664472129642E-4</v>
      </c>
      <c r="J3" s="13" t="s">
        <v>85</v>
      </c>
      <c r="K3" s="14">
        <f ca="1">SUM(F3:F102)</f>
        <v>2.2566843849897253</v>
      </c>
    </row>
    <row r="4" spans="1:11" ht="15" customHeight="1" thickBot="1">
      <c r="A4" s="57">
        <v>3</v>
      </c>
      <c r="B4" s="58">
        <v>46170</v>
      </c>
      <c r="C4" s="57">
        <v>1.83</v>
      </c>
      <c r="D4" s="57">
        <v>0</v>
      </c>
      <c r="E4" s="51">
        <f t="shared" ca="1" si="0"/>
        <v>1.83</v>
      </c>
      <c r="F4" s="12">
        <f t="shared" ca="1" si="1"/>
        <v>4.6798549260173034E-3</v>
      </c>
      <c r="J4" s="1" t="s">
        <v>4</v>
      </c>
      <c r="K4" s="2">
        <f ca="1">XIRR(E2:E26,B2:B26)</f>
        <v>5.9923461079597465E-2</v>
      </c>
    </row>
    <row r="5" spans="1:11" ht="15" customHeight="1" thickBot="1">
      <c r="A5" s="57">
        <v>4</v>
      </c>
      <c r="B5" s="58">
        <v>46262</v>
      </c>
      <c r="C5" s="57">
        <v>1.89</v>
      </c>
      <c r="D5" s="57">
        <v>0</v>
      </c>
      <c r="E5" s="51">
        <f t="shared" ca="1" si="0"/>
        <v>1.89</v>
      </c>
      <c r="F5" s="12">
        <f t="shared" ca="1" si="1"/>
        <v>9.0588715718269795E-3</v>
      </c>
      <c r="J5" s="15" t="s">
        <v>86</v>
      </c>
    </row>
    <row r="6" spans="1:11" ht="15" customHeight="1" thickBot="1">
      <c r="A6" s="57">
        <v>5</v>
      </c>
      <c r="B6" s="58">
        <v>46356</v>
      </c>
      <c r="C6" s="57">
        <v>1.89</v>
      </c>
      <c r="D6" s="57">
        <v>0</v>
      </c>
      <c r="E6" s="51">
        <f t="shared" ca="1" si="0"/>
        <v>1.89</v>
      </c>
      <c r="F6" s="12">
        <f t="shared" ca="1" si="1"/>
        <v>1.3248167483989548E-2</v>
      </c>
    </row>
    <row r="7" spans="1:11" ht="15" customHeight="1" thickBot="1">
      <c r="A7" s="57">
        <v>6</v>
      </c>
      <c r="B7" s="58">
        <v>46447</v>
      </c>
      <c r="C7" s="57">
        <v>1.89</v>
      </c>
      <c r="D7" s="57">
        <v>0</v>
      </c>
      <c r="E7" s="51">
        <f t="shared" ca="1" si="0"/>
        <v>1.89</v>
      </c>
      <c r="F7" s="12">
        <f t="shared" ca="1" si="1"/>
        <v>1.7183088110523961E-2</v>
      </c>
    </row>
    <row r="8" spans="1:11" ht="15" customHeight="1" thickBot="1">
      <c r="A8" s="57">
        <v>7</v>
      </c>
      <c r="B8" s="58">
        <v>46535</v>
      </c>
      <c r="C8" s="57">
        <v>1.83</v>
      </c>
      <c r="D8" s="57">
        <v>0</v>
      </c>
      <c r="E8" s="51">
        <f t="shared" ca="1" si="0"/>
        <v>1.83</v>
      </c>
      <c r="F8" s="12">
        <f t="shared" ca="1" si="1"/>
        <v>2.0215039480710791E-2</v>
      </c>
    </row>
    <row r="9" spans="1:11" ht="15" customHeight="1" thickBot="1">
      <c r="A9" s="57">
        <v>8</v>
      </c>
      <c r="B9" s="58">
        <v>46629</v>
      </c>
      <c r="C9" s="57">
        <v>1.89</v>
      </c>
      <c r="D9" s="57">
        <v>0</v>
      </c>
      <c r="E9" s="51">
        <f t="shared" ca="1" si="0"/>
        <v>1.89</v>
      </c>
      <c r="F9" s="12">
        <f t="shared" ca="1" si="1"/>
        <v>2.4707126472562544E-2</v>
      </c>
    </row>
    <row r="10" spans="1:11" ht="15" customHeight="1" thickBot="1">
      <c r="A10" s="57">
        <v>9</v>
      </c>
      <c r="B10" s="58">
        <v>46720</v>
      </c>
      <c r="C10" s="57">
        <v>1.89</v>
      </c>
      <c r="D10" s="57">
        <v>0</v>
      </c>
      <c r="E10" s="51">
        <f t="shared" ca="1" si="0"/>
        <v>1.89</v>
      </c>
      <c r="F10" s="12">
        <f t="shared" ca="1" si="1"/>
        <v>2.8301252612223989E-2</v>
      </c>
    </row>
    <row r="11" spans="1:11" ht="15" customHeight="1" thickBot="1">
      <c r="A11" s="57">
        <v>10</v>
      </c>
      <c r="B11" s="58">
        <v>46811</v>
      </c>
      <c r="C11" s="57">
        <v>1.89</v>
      </c>
      <c r="D11" s="57">
        <v>0</v>
      </c>
      <c r="E11" s="51">
        <f t="shared" ca="1" si="0"/>
        <v>1.89</v>
      </c>
      <c r="F11" s="12">
        <f t="shared" ca="1" si="1"/>
        <v>3.1786708616624561E-2</v>
      </c>
    </row>
    <row r="12" spans="1:11" ht="15" customHeight="1" thickBot="1">
      <c r="A12" s="57">
        <v>11</v>
      </c>
      <c r="B12" s="58">
        <v>46902</v>
      </c>
      <c r="C12" s="57">
        <v>1.85</v>
      </c>
      <c r="D12" s="57">
        <v>0</v>
      </c>
      <c r="E12" s="51">
        <f t="shared" ca="1" si="0"/>
        <v>1.85</v>
      </c>
      <c r="F12" s="12">
        <f t="shared" ca="1" si="1"/>
        <v>3.4421628010340967E-2</v>
      </c>
    </row>
    <row r="13" spans="1:11" ht="15" customHeight="1" thickBot="1">
      <c r="A13" s="57">
        <v>12</v>
      </c>
      <c r="B13" s="58">
        <v>46993</v>
      </c>
      <c r="C13" s="57">
        <v>1.89</v>
      </c>
      <c r="D13" s="57">
        <v>100</v>
      </c>
      <c r="E13" s="51">
        <f t="shared" ca="1" si="0"/>
        <v>101.89</v>
      </c>
      <c r="F13" s="12">
        <f t="shared" ca="1" si="1"/>
        <v>2.0723619410601835</v>
      </c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5683AFC-D18B-468A-B422-47CFF10A1132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067F-4669-4AAB-90B4-C07956577C3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-94.85</v>
      </c>
      <c r="J2" s="1" t="s">
        <v>84</v>
      </c>
      <c r="K2" s="1">
        <v>0.33300000000000002</v>
      </c>
    </row>
    <row r="3" spans="1:11" ht="15" customHeight="1" thickBot="1">
      <c r="A3" s="57">
        <v>9</v>
      </c>
      <c r="B3" s="58">
        <v>46125</v>
      </c>
      <c r="C3" s="57">
        <v>1.6</v>
      </c>
      <c r="D3" s="57">
        <v>8.33</v>
      </c>
      <c r="E3" s="51">
        <f t="shared" ref="E3:E13" ca="1" si="0">IF(B3&lt;=$B$2,0,(C3+D3))</f>
        <v>9.93</v>
      </c>
      <c r="F3" s="12">
        <f t="shared" ref="F3:F13" ca="1" si="1">(E3*(B3-$B$2)/365)/(1+$K$4)^((B3-$B$2)/365)/-$E$2/(1+$K$4)^$K$2</f>
        <v>1.5957451781904615E-2</v>
      </c>
      <c r="J3" s="13" t="s">
        <v>85</v>
      </c>
      <c r="K3" s="14">
        <f ca="1">SUM(F3:F102)</f>
        <v>1.3138462158648541</v>
      </c>
    </row>
    <row r="4" spans="1:11" ht="15" customHeight="1" thickBot="1">
      <c r="A4" s="57">
        <v>10</v>
      </c>
      <c r="B4" s="58">
        <v>46216</v>
      </c>
      <c r="C4" s="57">
        <v>1.47</v>
      </c>
      <c r="D4" s="57">
        <v>8.33</v>
      </c>
      <c r="E4" s="51">
        <f t="shared" ca="1" si="0"/>
        <v>9.8000000000000007</v>
      </c>
      <c r="F4" s="12">
        <f t="shared" ca="1" si="1"/>
        <v>4.038872654291905E-2</v>
      </c>
      <c r="J4" s="1" t="s">
        <v>4</v>
      </c>
      <c r="K4" s="2">
        <f ca="1">XIRR(E2:E26,B2:B26)</f>
        <v>5.0817385315895081E-2</v>
      </c>
    </row>
    <row r="5" spans="1:11" ht="15" customHeight="1" thickBot="1">
      <c r="A5" s="57">
        <v>11</v>
      </c>
      <c r="B5" s="58">
        <v>46308</v>
      </c>
      <c r="C5" s="57">
        <v>1.34</v>
      </c>
      <c r="D5" s="57">
        <v>8.33</v>
      </c>
      <c r="E5" s="51">
        <f t="shared" ca="1" si="0"/>
        <v>9.67</v>
      </c>
      <c r="F5" s="12">
        <f t="shared" ca="1" si="1"/>
        <v>6.3824002850410372E-2</v>
      </c>
      <c r="J5" s="15" t="s">
        <v>86</v>
      </c>
    </row>
    <row r="6" spans="1:11" ht="15" customHeight="1" thickBot="1">
      <c r="A6" s="57">
        <v>12</v>
      </c>
      <c r="B6" s="58">
        <v>46399</v>
      </c>
      <c r="C6" s="57">
        <v>1.19</v>
      </c>
      <c r="D6" s="57">
        <v>8.33</v>
      </c>
      <c r="E6" s="51">
        <f t="shared" ca="1" si="0"/>
        <v>9.52</v>
      </c>
      <c r="F6" s="12">
        <f t="shared" ca="1" si="1"/>
        <v>8.5594172385418082E-2</v>
      </c>
    </row>
    <row r="7" spans="1:11" ht="15" customHeight="1" thickBot="1">
      <c r="A7" s="57">
        <v>13</v>
      </c>
      <c r="B7" s="58">
        <v>46489</v>
      </c>
      <c r="C7" s="57">
        <v>1.02</v>
      </c>
      <c r="D7" s="57">
        <v>8.33</v>
      </c>
      <c r="E7" s="51">
        <f t="shared" ca="1" si="0"/>
        <v>9.35</v>
      </c>
      <c r="F7" s="12">
        <f t="shared" ca="1" si="1"/>
        <v>0.10562455024927321</v>
      </c>
    </row>
    <row r="8" spans="1:11" ht="15" customHeight="1" thickBot="1">
      <c r="A8" s="57">
        <v>14</v>
      </c>
      <c r="B8" s="58">
        <v>46580</v>
      </c>
      <c r="C8" s="57">
        <v>0.89</v>
      </c>
      <c r="D8" s="57">
        <v>8.33</v>
      </c>
      <c r="E8" s="51">
        <f t="shared" ca="1" si="0"/>
        <v>9.2200000000000006</v>
      </c>
      <c r="F8" s="12">
        <f t="shared" ca="1" si="1"/>
        <v>0.12511373246141083</v>
      </c>
    </row>
    <row r="9" spans="1:11" ht="15" customHeight="1" thickBot="1">
      <c r="A9" s="57">
        <v>15</v>
      </c>
      <c r="B9" s="58">
        <v>46672</v>
      </c>
      <c r="C9" s="57">
        <v>0.75</v>
      </c>
      <c r="D9" s="57">
        <v>8.33</v>
      </c>
      <c r="E9" s="51">
        <f t="shared" ca="1" si="0"/>
        <v>9.08</v>
      </c>
      <c r="F9" s="12">
        <f t="shared" ca="1" si="1"/>
        <v>0.14354922068249928</v>
      </c>
    </row>
    <row r="10" spans="1:11" ht="15" customHeight="1" thickBot="1">
      <c r="A10" s="57">
        <v>16</v>
      </c>
      <c r="B10" s="58">
        <v>46764</v>
      </c>
      <c r="C10" s="57">
        <v>0.6</v>
      </c>
      <c r="D10" s="57">
        <v>8.33</v>
      </c>
      <c r="E10" s="51">
        <f t="shared" ca="1" si="0"/>
        <v>8.93</v>
      </c>
      <c r="F10" s="12">
        <f t="shared" ca="1" si="1"/>
        <v>0.16066182799777393</v>
      </c>
    </row>
    <row r="11" spans="1:11" ht="15" customHeight="1" thickBot="1">
      <c r="A11" s="57">
        <v>17</v>
      </c>
      <c r="B11" s="58">
        <v>46855</v>
      </c>
      <c r="C11" s="57">
        <v>0.44</v>
      </c>
      <c r="D11" s="57">
        <v>8.33</v>
      </c>
      <c r="E11" s="51">
        <f t="shared" ca="1" si="0"/>
        <v>8.77</v>
      </c>
      <c r="F11" s="12">
        <f t="shared" ca="1" si="1"/>
        <v>0.1762216501135753</v>
      </c>
    </row>
    <row r="12" spans="1:11" ht="15" customHeight="1" thickBot="1">
      <c r="A12" s="57">
        <v>18</v>
      </c>
      <c r="B12" s="58">
        <v>46946</v>
      </c>
      <c r="C12" s="57">
        <v>0.3</v>
      </c>
      <c r="D12" s="57">
        <v>8.33</v>
      </c>
      <c r="E12" s="51">
        <f t="shared" ca="1" si="0"/>
        <v>8.6300000000000008</v>
      </c>
      <c r="F12" s="12">
        <f t="shared" ca="1" si="1"/>
        <v>0.19108349751566009</v>
      </c>
    </row>
    <row r="13" spans="1:11" ht="15" customHeight="1" thickBot="1">
      <c r="A13" s="57">
        <v>19</v>
      </c>
      <c r="B13" s="58">
        <v>47038</v>
      </c>
      <c r="C13" s="57">
        <v>0.15</v>
      </c>
      <c r="D13" s="57">
        <v>8.3699999999999992</v>
      </c>
      <c r="E13" s="51">
        <f t="shared" ca="1" si="0"/>
        <v>8.52</v>
      </c>
      <c r="F13" s="12">
        <f t="shared" ca="1" si="1"/>
        <v>0.20582738328400946</v>
      </c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FECCD94-CC60-4C39-8BE0-9E2BC70D7644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C033-4A29-4C49-97A9-934B49B54AD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-106.85</v>
      </c>
      <c r="J2" s="1" t="s">
        <v>84</v>
      </c>
      <c r="K2" s="1">
        <v>0.5</v>
      </c>
    </row>
    <row r="3" spans="1:11" ht="15" customHeight="1" thickBot="1">
      <c r="A3" s="57">
        <v>4</v>
      </c>
      <c r="B3" s="58">
        <v>46146</v>
      </c>
      <c r="C3" s="57">
        <v>3.97</v>
      </c>
      <c r="D3" s="57">
        <v>0</v>
      </c>
      <c r="E3" s="51">
        <f t="shared" ref="E3:E9" ca="1" si="0">IF(B3&lt;=$B$2,0,(C3+D3))</f>
        <v>3.97</v>
      </c>
      <c r="F3" s="12">
        <f t="shared" ref="F3:F9" ca="1" si="1">(E3*(B3-$B$2)/365)/(1+$K$4)^((B3-$B$2)/365)/-$E$2/(1+$K$4)^$K$2</f>
        <v>7.6137544693652987E-3</v>
      </c>
      <c r="J3" s="13" t="s">
        <v>85</v>
      </c>
      <c r="K3" s="14">
        <f ca="1">SUM(F3:F102)</f>
        <v>2.1741238307932895</v>
      </c>
    </row>
    <row r="4" spans="1:11" ht="15" customHeight="1" thickBot="1">
      <c r="A4" s="57">
        <v>5</v>
      </c>
      <c r="B4" s="58">
        <v>46329</v>
      </c>
      <c r="C4" s="57">
        <v>4.03</v>
      </c>
      <c r="D4" s="57">
        <v>0</v>
      </c>
      <c r="E4" s="51">
        <f t="shared" ca="1" si="0"/>
        <v>4.03</v>
      </c>
      <c r="F4" s="12">
        <f t="shared" ca="1" si="1"/>
        <v>2.5110806186435498E-2</v>
      </c>
      <c r="J4" s="1" t="s">
        <v>4</v>
      </c>
      <c r="K4" s="2">
        <f ca="1">XIRR(E2:E26,B2:B26)</f>
        <v>6.0540780425071716E-2</v>
      </c>
    </row>
    <row r="5" spans="1:11" ht="15" customHeight="1" thickBot="1">
      <c r="A5" s="57">
        <v>6</v>
      </c>
      <c r="B5" s="58">
        <v>46510</v>
      </c>
      <c r="C5" s="57">
        <v>3.97</v>
      </c>
      <c r="D5" s="57">
        <v>0</v>
      </c>
      <c r="E5" s="51">
        <f t="shared" ca="1" si="0"/>
        <v>3.97</v>
      </c>
      <c r="F5" s="12">
        <f t="shared" ca="1" si="1"/>
        <v>4.0688258241847679E-2</v>
      </c>
      <c r="J5" s="15" t="s">
        <v>86</v>
      </c>
    </row>
    <row r="6" spans="1:11" ht="15" customHeight="1" thickBot="1">
      <c r="A6" s="57">
        <v>7</v>
      </c>
      <c r="B6" s="58">
        <v>46694</v>
      </c>
      <c r="C6" s="57">
        <v>4.03</v>
      </c>
      <c r="D6" s="57">
        <v>25</v>
      </c>
      <c r="E6" s="51">
        <f t="shared" ca="1" si="0"/>
        <v>29.03</v>
      </c>
      <c r="F6" s="12">
        <f t="shared" ca="1" si="1"/>
        <v>0.40908080200952834</v>
      </c>
    </row>
    <row r="7" spans="1:11" ht="15" customHeight="1" thickBot="1">
      <c r="A7" s="57">
        <v>8</v>
      </c>
      <c r="B7" s="58">
        <v>46876</v>
      </c>
      <c r="C7" s="57">
        <v>2.99</v>
      </c>
      <c r="D7" s="57">
        <v>25</v>
      </c>
      <c r="E7" s="51">
        <f t="shared" ca="1" si="0"/>
        <v>27.990000000000002</v>
      </c>
      <c r="F7" s="12">
        <f t="shared" ca="1" si="1"/>
        <v>0.49439409107012006</v>
      </c>
    </row>
    <row r="8" spans="1:11" ht="15" customHeight="1" thickBot="1">
      <c r="A8" s="57">
        <v>9</v>
      </c>
      <c r="B8" s="58">
        <v>47060</v>
      </c>
      <c r="C8" s="57">
        <v>2.02</v>
      </c>
      <c r="D8" s="57">
        <v>25</v>
      </c>
      <c r="E8" s="51">
        <f t="shared" ca="1" si="0"/>
        <v>27.02</v>
      </c>
      <c r="F8" s="12">
        <f t="shared" ca="1" si="1"/>
        <v>0.56883647387052194</v>
      </c>
    </row>
    <row r="9" spans="1:11" ht="15" customHeight="1" thickBot="1">
      <c r="A9" s="57">
        <v>10</v>
      </c>
      <c r="B9" s="58">
        <v>47241</v>
      </c>
      <c r="C9" s="57">
        <v>0.99</v>
      </c>
      <c r="D9" s="57">
        <v>25</v>
      </c>
      <c r="E9" s="51">
        <f t="shared" ca="1" si="0"/>
        <v>25.99</v>
      </c>
      <c r="F9" s="12">
        <f t="shared" ca="1" si="1"/>
        <v>0.62839964494547063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47880AA8-61D1-4D19-A246-1249D9813109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869E-A460-4E8A-B210-FCC8DC880C7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127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46178</v>
      </c>
      <c r="C3" s="57">
        <v>3.75</v>
      </c>
      <c r="D3" s="57">
        <v>0</v>
      </c>
      <c r="E3" s="51">
        <f t="shared" ref="E3:E9" ca="1" si="0">IF(B3&lt;=$B$2,0,(C3+D3))</f>
        <v>3.75</v>
      </c>
      <c r="F3" s="12">
        <f t="shared" ref="F3:F9" ca="1" si="1">(E3*(B3-$B$2)/365)/(1+$K$4)^((B3-$B$2)/365)/-$E$2/(1+$K$4)^$K$2</f>
        <v>1.0356938523516707E-2</v>
      </c>
      <c r="J3" s="13" t="s">
        <v>85</v>
      </c>
      <c r="K3" s="14">
        <f ca="1">SUM(F3:F102)</f>
        <v>2.853647966754393</v>
      </c>
    </row>
    <row r="4" spans="1:11" ht="15" customHeight="1" thickBot="1">
      <c r="A4" s="57">
        <v>2</v>
      </c>
      <c r="B4" s="58">
        <v>46363</v>
      </c>
      <c r="C4" s="57">
        <v>3.75</v>
      </c>
      <c r="D4" s="57">
        <v>0</v>
      </c>
      <c r="E4" s="51">
        <f t="shared" ca="1" si="0"/>
        <v>3.75</v>
      </c>
      <c r="F4" s="12">
        <f t="shared" ca="1" si="1"/>
        <v>2.6845649492129538E-2</v>
      </c>
      <c r="J4" s="1" t="s">
        <v>4</v>
      </c>
      <c r="K4" s="2">
        <f ca="1">XIRR(E2:E26,B2:B26)</f>
        <v>6.9483241438865667E-2</v>
      </c>
    </row>
    <row r="5" spans="1:11" ht="15" customHeight="1" thickBot="1">
      <c r="A5" s="57">
        <v>3</v>
      </c>
      <c r="B5" s="58">
        <v>46545</v>
      </c>
      <c r="C5" s="57">
        <v>3.75</v>
      </c>
      <c r="D5" s="57">
        <v>0</v>
      </c>
      <c r="E5" s="51">
        <f t="shared" ca="1" si="0"/>
        <v>3.75</v>
      </c>
      <c r="F5" s="12">
        <f t="shared" ca="1" si="1"/>
        <v>4.1978145754642905E-2</v>
      </c>
      <c r="J5" s="15" t="s">
        <v>86</v>
      </c>
    </row>
    <row r="6" spans="1:11" ht="15" customHeight="1" thickBot="1">
      <c r="A6" s="57">
        <v>4</v>
      </c>
      <c r="B6" s="58">
        <v>46727</v>
      </c>
      <c r="C6" s="57">
        <v>3.75</v>
      </c>
      <c r="D6" s="57">
        <v>0</v>
      </c>
      <c r="E6" s="51">
        <f t="shared" ca="1" si="0"/>
        <v>3.75</v>
      </c>
      <c r="F6" s="12">
        <f t="shared" ca="1" si="1"/>
        <v>5.6084552533206739E-2</v>
      </c>
    </row>
    <row r="7" spans="1:11" ht="15" customHeight="1" thickBot="1">
      <c r="A7" s="57">
        <v>5</v>
      </c>
      <c r="B7" s="58">
        <v>46909</v>
      </c>
      <c r="C7" s="57">
        <v>3.75</v>
      </c>
      <c r="D7" s="57">
        <v>0</v>
      </c>
      <c r="E7" s="51">
        <f t="shared" ca="1" si="0"/>
        <v>3.75</v>
      </c>
      <c r="F7" s="12">
        <f t="shared" ca="1" si="1"/>
        <v>6.921605023662411E-2</v>
      </c>
    </row>
    <row r="8" spans="1:11" ht="15" customHeight="1" thickBot="1">
      <c r="A8" s="57">
        <v>6</v>
      </c>
      <c r="B8" s="58">
        <v>47092</v>
      </c>
      <c r="C8" s="57">
        <v>3.75</v>
      </c>
      <c r="D8" s="57">
        <v>0</v>
      </c>
      <c r="E8" s="51">
        <f t="shared" ca="1" si="0"/>
        <v>3.75</v>
      </c>
      <c r="F8" s="12">
        <f t="shared" ca="1" si="1"/>
        <v>8.1486153483524684E-2</v>
      </c>
    </row>
    <row r="9" spans="1:11" ht="15" customHeight="1" thickBot="1">
      <c r="A9" s="57">
        <v>7</v>
      </c>
      <c r="B9" s="58">
        <v>47274</v>
      </c>
      <c r="C9" s="57">
        <v>3.75</v>
      </c>
      <c r="D9" s="57">
        <v>100</v>
      </c>
      <c r="E9" s="51">
        <f t="shared" ca="1" si="0"/>
        <v>103.75</v>
      </c>
      <c r="F9" s="12">
        <f t="shared" ca="1" si="1"/>
        <v>2.5676804767307484</v>
      </c>
    </row>
    <row r="10" spans="1:11" ht="15" customHeight="1" thickBot="1">
      <c r="A10" s="57"/>
      <c r="B10" s="58"/>
      <c r="C10" s="57"/>
      <c r="D10" s="57"/>
      <c r="E10" s="51"/>
      <c r="F10" s="12"/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A0FD93D9-DB2F-4802-9095-5C05F8D5F8B5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50CD-29B2-47AC-A720-F5A73BF04F7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128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-108.95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46078</v>
      </c>
      <c r="C3" s="57">
        <v>4.03</v>
      </c>
      <c r="D3" s="57">
        <v>0</v>
      </c>
      <c r="E3" s="51">
        <f t="shared" ref="E3:E10" ca="1" si="0">IF(B3&lt;=$B$2,0,(C3+D3))</f>
        <v>4.03</v>
      </c>
      <c r="F3" s="12">
        <f t="shared" ref="F3:F10" ca="1" si="1">(E3*(B3-$B$2)/365)/(1+$K$4)^((B3-$B$2)/365)/-$E$2/(1+$K$4)^$K$2</f>
        <v>9.805903583085993E-4</v>
      </c>
      <c r="J3" s="13" t="s">
        <v>85</v>
      </c>
      <c r="K3" s="14">
        <f ca="1">SUM(F3:F102)</f>
        <v>2.9532458119519327</v>
      </c>
    </row>
    <row r="4" spans="1:11" ht="15" customHeight="1" thickBot="1">
      <c r="A4" s="57">
        <v>2</v>
      </c>
      <c r="B4" s="58">
        <v>46259</v>
      </c>
      <c r="C4" s="57">
        <v>3.97</v>
      </c>
      <c r="D4" s="57">
        <v>0</v>
      </c>
      <c r="E4" s="51">
        <f t="shared" ca="1" si="0"/>
        <v>3.97</v>
      </c>
      <c r="F4" s="12">
        <f t="shared" ca="1" si="1"/>
        <v>1.7888060057315136E-2</v>
      </c>
      <c r="J4" s="1" t="s">
        <v>4</v>
      </c>
      <c r="K4" s="2">
        <f ca="1">XIRR(E2:E26,B2:B26)</f>
        <v>6.4410671591758728E-2</v>
      </c>
    </row>
    <row r="5" spans="1:11" ht="15" customHeight="1" thickBot="1">
      <c r="A5" s="57">
        <v>3</v>
      </c>
      <c r="B5" s="58">
        <v>46443</v>
      </c>
      <c r="C5" s="57">
        <v>4.03</v>
      </c>
      <c r="D5" s="57">
        <v>0</v>
      </c>
      <c r="E5" s="51">
        <f t="shared" ca="1" si="0"/>
        <v>4.03</v>
      </c>
      <c r="F5" s="12">
        <f t="shared" ca="1" si="1"/>
        <v>3.4546946416444756E-2</v>
      </c>
      <c r="J5" s="15" t="s">
        <v>86</v>
      </c>
    </row>
    <row r="6" spans="1:11" ht="15" customHeight="1" thickBot="1">
      <c r="A6" s="57">
        <v>4</v>
      </c>
      <c r="B6" s="58">
        <v>46624</v>
      </c>
      <c r="C6" s="57">
        <v>3.97</v>
      </c>
      <c r="D6" s="57">
        <v>0</v>
      </c>
      <c r="E6" s="51">
        <f t="shared" ca="1" si="0"/>
        <v>3.97</v>
      </c>
      <c r="F6" s="12">
        <f t="shared" ca="1" si="1"/>
        <v>4.8921013817166265E-2</v>
      </c>
    </row>
    <row r="7" spans="1:11" ht="15" customHeight="1" thickBot="1">
      <c r="A7" s="57">
        <v>5</v>
      </c>
      <c r="B7" s="58">
        <v>46808</v>
      </c>
      <c r="C7" s="57">
        <v>4.03</v>
      </c>
      <c r="D7" s="57">
        <v>0</v>
      </c>
      <c r="E7" s="51">
        <f t="shared" ca="1" si="0"/>
        <v>4.03</v>
      </c>
      <c r="F7" s="12">
        <f t="shared" ca="1" si="1"/>
        <v>6.4047310636695443E-2</v>
      </c>
    </row>
    <row r="8" spans="1:11" ht="15" customHeight="1" thickBot="1">
      <c r="A8" s="57">
        <v>6</v>
      </c>
      <c r="B8" s="58">
        <v>46990</v>
      </c>
      <c r="C8" s="57">
        <v>3.99</v>
      </c>
      <c r="D8" s="57">
        <v>0</v>
      </c>
      <c r="E8" s="51">
        <f t="shared" ca="1" si="0"/>
        <v>3.99</v>
      </c>
      <c r="F8" s="12">
        <f t="shared" ca="1" si="1"/>
        <v>7.6586191806840981E-2</v>
      </c>
    </row>
    <row r="9" spans="1:11" ht="15" customHeight="1" thickBot="1">
      <c r="A9" s="57">
        <v>7</v>
      </c>
      <c r="B9" s="58">
        <v>47175</v>
      </c>
      <c r="C9" s="57">
        <v>4.03</v>
      </c>
      <c r="D9" s="57">
        <v>0</v>
      </c>
      <c r="E9" s="51">
        <f t="shared" ca="1" si="0"/>
        <v>4.03</v>
      </c>
      <c r="F9" s="12">
        <f t="shared" ca="1" si="1"/>
        <v>8.9982703185857646E-2</v>
      </c>
    </row>
    <row r="10" spans="1:11" ht="15" customHeight="1" thickBot="1">
      <c r="A10" s="57">
        <v>8</v>
      </c>
      <c r="B10" s="58">
        <v>47357</v>
      </c>
      <c r="C10" s="57">
        <v>3.97</v>
      </c>
      <c r="D10" s="57">
        <v>100</v>
      </c>
      <c r="E10" s="51">
        <f t="shared" ca="1" si="0"/>
        <v>103.97</v>
      </c>
      <c r="F10" s="12">
        <f t="shared" ca="1" si="1"/>
        <v>2.6202929956733039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93951B4-FB5C-4F4A-B0E3-465D63016FD7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6E1B-B10E-429F-A469-40D7ECF97BB5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129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-107.45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46080</v>
      </c>
      <c r="C3" s="57">
        <v>3.78</v>
      </c>
      <c r="D3" s="57">
        <v>0</v>
      </c>
      <c r="E3" s="51">
        <f t="shared" ref="E3:E10" ca="1" si="0">IF(B3&lt;=$B$2,0,(C3+D3))</f>
        <v>3.78</v>
      </c>
      <c r="F3" s="12">
        <f t="shared" ref="F3:F10" ca="1" si="1">(E3*(B3-$B$2)/365)/(1+$K$4)^((B3-$B$2)/365)/-$E$2/(1+$K$4)^$K$2</f>
        <v>1.1192877338238156E-3</v>
      </c>
      <c r="J3" s="13" t="s">
        <v>85</v>
      </c>
      <c r="K3" s="14">
        <f ca="1">SUM(F3:F102)</f>
        <v>2.9790173542995468</v>
      </c>
    </row>
    <row r="4" spans="1:11" ht="15" customHeight="1" thickBot="1">
      <c r="A4" s="57">
        <v>2</v>
      </c>
      <c r="B4" s="58">
        <v>46261</v>
      </c>
      <c r="C4" s="57">
        <v>3.72</v>
      </c>
      <c r="D4" s="57">
        <v>0</v>
      </c>
      <c r="E4" s="51">
        <f t="shared" ca="1" si="0"/>
        <v>3.72</v>
      </c>
      <c r="F4" s="12">
        <f t="shared" ca="1" si="1"/>
        <v>1.7184019489223216E-2</v>
      </c>
      <c r="J4" s="1" t="s">
        <v>4</v>
      </c>
      <c r="K4" s="2">
        <f ca="1">XIRR(E2:E26,B2:B26)</f>
        <v>6.342752873897553E-2</v>
      </c>
    </row>
    <row r="5" spans="1:11" ht="15" customHeight="1" thickBot="1">
      <c r="A5" s="57">
        <v>3</v>
      </c>
      <c r="B5" s="58">
        <v>46447</v>
      </c>
      <c r="C5" s="57">
        <v>3.78</v>
      </c>
      <c r="D5" s="57">
        <v>0</v>
      </c>
      <c r="E5" s="51">
        <f t="shared" ca="1" si="0"/>
        <v>3.78</v>
      </c>
      <c r="F5" s="12">
        <f t="shared" ca="1" si="1"/>
        <v>3.3231157213462384E-2</v>
      </c>
      <c r="J5" s="15" t="s">
        <v>86</v>
      </c>
    </row>
    <row r="6" spans="1:11" ht="15" customHeight="1" thickBot="1">
      <c r="A6" s="57">
        <v>4</v>
      </c>
      <c r="B6" s="58">
        <v>46626</v>
      </c>
      <c r="C6" s="57">
        <v>3.72</v>
      </c>
      <c r="D6" s="57">
        <v>0</v>
      </c>
      <c r="E6" s="51">
        <f t="shared" ca="1" si="0"/>
        <v>3.72</v>
      </c>
      <c r="F6" s="12">
        <f t="shared" ca="1" si="1"/>
        <v>4.6719022543984093E-2</v>
      </c>
    </row>
    <row r="7" spans="1:11" ht="15" customHeight="1" thickBot="1">
      <c r="A7" s="57">
        <v>5</v>
      </c>
      <c r="B7" s="58">
        <v>46811</v>
      </c>
      <c r="C7" s="57">
        <v>3.78</v>
      </c>
      <c r="D7" s="57">
        <v>0</v>
      </c>
      <c r="E7" s="51">
        <f t="shared" ca="1" si="0"/>
        <v>3.78</v>
      </c>
      <c r="F7" s="12">
        <f t="shared" ca="1" si="1"/>
        <v>6.1271758186001279E-2</v>
      </c>
    </row>
    <row r="8" spans="1:11" ht="15" customHeight="1" thickBot="1">
      <c r="A8" s="57">
        <v>6</v>
      </c>
      <c r="B8" s="58">
        <v>46993</v>
      </c>
      <c r="C8" s="57">
        <v>3.74</v>
      </c>
      <c r="D8" s="57">
        <v>0</v>
      </c>
      <c r="E8" s="51">
        <f t="shared" ca="1" si="0"/>
        <v>3.74</v>
      </c>
      <c r="F8" s="12">
        <f t="shared" ca="1" si="1"/>
        <v>7.3194036916692337E-2</v>
      </c>
    </row>
    <row r="9" spans="1:11" ht="15" customHeight="1" thickBot="1">
      <c r="A9" s="57">
        <v>7</v>
      </c>
      <c r="B9" s="58">
        <v>47176</v>
      </c>
      <c r="C9" s="57">
        <v>3.78</v>
      </c>
      <c r="D9" s="57">
        <v>0</v>
      </c>
      <c r="E9" s="51">
        <f t="shared" ca="1" si="0"/>
        <v>3.78</v>
      </c>
      <c r="F9" s="12">
        <f t="shared" ca="1" si="1"/>
        <v>8.5921804737288193E-2</v>
      </c>
    </row>
    <row r="10" spans="1:11" ht="15" customHeight="1" thickBot="1">
      <c r="A10" s="57">
        <v>8</v>
      </c>
      <c r="B10" s="58">
        <v>47357</v>
      </c>
      <c r="C10" s="57">
        <v>3.72</v>
      </c>
      <c r="D10" s="57">
        <v>100</v>
      </c>
      <c r="E10" s="51">
        <f t="shared" ca="1" si="0"/>
        <v>103.72</v>
      </c>
      <c r="F10" s="12">
        <f t="shared" ca="1" si="1"/>
        <v>2.6603762674790716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24B37FE-DF37-4F37-A878-40B3B34BB96C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3BB7-0904-4C85-9CA3-406CC9A96D1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-105.4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46108</v>
      </c>
      <c r="C3" s="57">
        <v>3.47</v>
      </c>
      <c r="D3" s="57">
        <v>0</v>
      </c>
      <c r="E3" s="51">
        <f t="shared" ref="E3:E10" ca="1" si="0">IF(B3&lt;=$B$2,0,(C3+D3))</f>
        <v>3.47</v>
      </c>
      <c r="F3" s="12">
        <f t="shared" ref="F3:F10" ca="1" si="1">(E3*(B3-$B$2)/365)/(1+$K$4)^((B3-$B$2)/365)/-$E$2/(1+$K$4)^$K$2</f>
        <v>3.4770415175215089E-3</v>
      </c>
      <c r="J3" s="13" t="s">
        <v>85</v>
      </c>
      <c r="K3" s="14">
        <f ca="1">SUM(F3:F102)</f>
        <v>3.0860681715141456</v>
      </c>
    </row>
    <row r="4" spans="1:11" ht="15" customHeight="1" thickBot="1">
      <c r="A4" s="57">
        <v>4</v>
      </c>
      <c r="B4" s="58">
        <v>46293</v>
      </c>
      <c r="C4" s="57">
        <v>3.53</v>
      </c>
      <c r="D4" s="57">
        <v>0</v>
      </c>
      <c r="E4" s="51">
        <f t="shared" ca="1" si="0"/>
        <v>3.53</v>
      </c>
      <c r="F4" s="12">
        <f t="shared" ca="1" si="1"/>
        <v>1.9294606269970305E-2</v>
      </c>
      <c r="J4" s="1" t="s">
        <v>4</v>
      </c>
      <c r="K4" s="2">
        <f ca="1">XIRR(E2:E26,B2:B26)</f>
        <v>6.2485077977180489E-2</v>
      </c>
    </row>
    <row r="5" spans="1:11" ht="15" customHeight="1" thickBot="1">
      <c r="A5" s="57">
        <v>5</v>
      </c>
      <c r="B5" s="58">
        <v>46475</v>
      </c>
      <c r="C5" s="57">
        <v>3.47</v>
      </c>
      <c r="D5" s="57">
        <v>0</v>
      </c>
      <c r="E5" s="51">
        <f t="shared" ca="1" si="0"/>
        <v>3.47</v>
      </c>
      <c r="F5" s="12">
        <f t="shared" ca="1" si="1"/>
        <v>3.3287196537377384E-2</v>
      </c>
      <c r="J5" s="15" t="s">
        <v>86</v>
      </c>
    </row>
    <row r="6" spans="1:11" ht="15" customHeight="1" thickBot="1">
      <c r="A6" s="57">
        <v>6</v>
      </c>
      <c r="B6" s="58">
        <v>46657</v>
      </c>
      <c r="C6" s="57">
        <v>3.53</v>
      </c>
      <c r="D6" s="57">
        <v>0</v>
      </c>
      <c r="E6" s="51">
        <f t="shared" ca="1" si="0"/>
        <v>3.53</v>
      </c>
      <c r="F6" s="12">
        <f t="shared" ca="1" si="1"/>
        <v>4.7546436752994851E-2</v>
      </c>
    </row>
    <row r="7" spans="1:11" ht="15" customHeight="1" thickBot="1">
      <c r="A7" s="57">
        <v>7</v>
      </c>
      <c r="B7" s="58">
        <v>46839</v>
      </c>
      <c r="C7" s="57">
        <v>3.49</v>
      </c>
      <c r="D7" s="57">
        <v>0</v>
      </c>
      <c r="E7" s="51">
        <f t="shared" ca="1" si="0"/>
        <v>3.49</v>
      </c>
      <c r="F7" s="12">
        <f t="shared" ca="1" si="1"/>
        <v>5.9701111837963235E-2</v>
      </c>
    </row>
    <row r="8" spans="1:11" ht="15" customHeight="1" thickBot="1">
      <c r="A8" s="57">
        <v>8</v>
      </c>
      <c r="B8" s="58">
        <v>47023</v>
      </c>
      <c r="C8" s="57">
        <v>3.53</v>
      </c>
      <c r="D8" s="57">
        <v>0</v>
      </c>
      <c r="E8" s="51">
        <f t="shared" ca="1" si="0"/>
        <v>3.53</v>
      </c>
      <c r="F8" s="12">
        <f t="shared" ca="1" si="1"/>
        <v>7.2545603095339153E-2</v>
      </c>
    </row>
    <row r="9" spans="1:11" ht="15" customHeight="1" thickBot="1">
      <c r="A9" s="57">
        <v>9</v>
      </c>
      <c r="B9" s="58">
        <v>47204</v>
      </c>
      <c r="C9" s="57">
        <v>3.47</v>
      </c>
      <c r="D9" s="57">
        <v>0</v>
      </c>
      <c r="E9" s="51">
        <f t="shared" ca="1" si="0"/>
        <v>3.47</v>
      </c>
      <c r="F9" s="12">
        <f t="shared" ca="1" si="1"/>
        <v>8.2316629760758667E-2</v>
      </c>
    </row>
    <row r="10" spans="1:11" ht="15" customHeight="1" thickBot="1">
      <c r="A10" s="57">
        <v>10</v>
      </c>
      <c r="B10" s="58">
        <v>47388</v>
      </c>
      <c r="C10" s="57">
        <v>3.53</v>
      </c>
      <c r="D10" s="57">
        <v>100</v>
      </c>
      <c r="E10" s="51">
        <f t="shared" ca="1" si="0"/>
        <v>103.53</v>
      </c>
      <c r="F10" s="12">
        <f t="shared" ca="1" si="1"/>
        <v>2.7678995457422206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D05651F-DFE2-4CEC-83B1-10E6B1D13098}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EE72-8ADB-4FDF-BB08-D57EADA5CAD7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-103.3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46226</v>
      </c>
      <c r="C3" s="57">
        <v>3.6</v>
      </c>
      <c r="D3" s="57">
        <v>0</v>
      </c>
      <c r="E3" s="51">
        <f t="shared" ref="E3:E10" ca="1" si="0">IF(B3&lt;=$B$2,0,(C3+D3))</f>
        <v>3.6</v>
      </c>
      <c r="F3" s="12">
        <f t="shared" ref="F3:F10" ca="1" si="1">(E3*(B3-$B$2)/365)/(1+$K$4)^((B3-$B$2)/365)/-$E$2/(1+$K$4)^$K$2</f>
        <v>1.4227855978521045E-2</v>
      </c>
      <c r="J3" s="13" t="s">
        <v>85</v>
      </c>
      <c r="K3" s="14">
        <f ca="1">SUM(F3:F102)</f>
        <v>3.1910040024531057</v>
      </c>
    </row>
    <row r="4" spans="1:11" ht="15" customHeight="1" thickBot="1">
      <c r="A4" s="57">
        <v>4</v>
      </c>
      <c r="B4" s="58">
        <v>46412</v>
      </c>
      <c r="C4" s="57">
        <v>3.65</v>
      </c>
      <c r="D4" s="57">
        <v>0</v>
      </c>
      <c r="E4" s="51">
        <f t="shared" ca="1" si="0"/>
        <v>3.65</v>
      </c>
      <c r="F4" s="12">
        <f t="shared" ca="1" si="1"/>
        <v>3.0418764665126267E-2</v>
      </c>
      <c r="J4" s="1" t="s">
        <v>4</v>
      </c>
      <c r="K4" s="2">
        <f ca="1">XIRR(E2:E26,B2:B26)</f>
        <v>6.4771667122840909E-2</v>
      </c>
    </row>
    <row r="5" spans="1:11" ht="15" customHeight="1" thickBot="1">
      <c r="A5" s="57">
        <v>5</v>
      </c>
      <c r="B5" s="58">
        <v>46591</v>
      </c>
      <c r="C5" s="57">
        <v>3.6</v>
      </c>
      <c r="D5" s="57">
        <v>0</v>
      </c>
      <c r="E5" s="51">
        <f t="shared" ca="1" si="0"/>
        <v>3.6</v>
      </c>
      <c r="F5" s="12">
        <f t="shared" ca="1" si="1"/>
        <v>4.4231083280598722E-2</v>
      </c>
      <c r="J5" s="15" t="s">
        <v>86</v>
      </c>
    </row>
    <row r="6" spans="1:11" ht="15" customHeight="1" thickBot="1">
      <c r="A6" s="57">
        <v>6</v>
      </c>
      <c r="B6" s="58">
        <v>46776</v>
      </c>
      <c r="C6" s="57">
        <v>3.65</v>
      </c>
      <c r="D6" s="57">
        <v>0</v>
      </c>
      <c r="E6" s="51">
        <f t="shared" ca="1" si="0"/>
        <v>3.65</v>
      </c>
      <c r="F6" s="12">
        <f t="shared" ca="1" si="1"/>
        <v>5.8807751836232484E-2</v>
      </c>
    </row>
    <row r="7" spans="1:11" ht="15" customHeight="1" thickBot="1">
      <c r="A7" s="57">
        <v>7</v>
      </c>
      <c r="B7" s="58">
        <v>46958</v>
      </c>
      <c r="C7" s="57">
        <v>3.62</v>
      </c>
      <c r="D7" s="57">
        <v>0</v>
      </c>
      <c r="E7" s="51">
        <f t="shared" ca="1" si="0"/>
        <v>3.62</v>
      </c>
      <c r="F7" s="12">
        <f t="shared" ca="1" si="1"/>
        <v>7.1058514891084557E-2</v>
      </c>
    </row>
    <row r="8" spans="1:11" ht="15" customHeight="1" thickBot="1">
      <c r="A8" s="57">
        <v>8</v>
      </c>
      <c r="B8" s="58">
        <v>47141</v>
      </c>
      <c r="C8" s="57">
        <v>3.65</v>
      </c>
      <c r="D8" s="57">
        <v>0</v>
      </c>
      <c r="E8" s="51">
        <f t="shared" ca="1" si="0"/>
        <v>3.65</v>
      </c>
      <c r="F8" s="12">
        <f t="shared" ca="1" si="1"/>
        <v>8.3703680579090722E-2</v>
      </c>
    </row>
    <row r="9" spans="1:11" ht="15" customHeight="1" thickBot="1">
      <c r="A9" s="57">
        <v>9</v>
      </c>
      <c r="B9" s="58">
        <v>47322</v>
      </c>
      <c r="C9" s="57">
        <v>3.6</v>
      </c>
      <c r="D9" s="57">
        <v>0</v>
      </c>
      <c r="E9" s="51">
        <f t="shared" ca="1" si="0"/>
        <v>3.6</v>
      </c>
      <c r="F9" s="12">
        <f t="shared" ca="1" si="1"/>
        <v>9.3526735466247776E-2</v>
      </c>
    </row>
    <row r="10" spans="1:11" ht="15" customHeight="1" thickBot="1">
      <c r="A10" s="57">
        <v>10</v>
      </c>
      <c r="B10" s="58">
        <v>47414</v>
      </c>
      <c r="C10" s="57">
        <v>1.83</v>
      </c>
      <c r="D10" s="57">
        <v>100</v>
      </c>
      <c r="E10" s="51">
        <f t="shared" ca="1" si="0"/>
        <v>101.83</v>
      </c>
      <c r="F10" s="12">
        <f t="shared" ca="1" si="1"/>
        <v>2.7950296157562042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3406D0A-807C-4738-975E-33BCD9B76DA1}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4C96-1611-46D3-AFF2-E9E6B371D5B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-105.15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46136</v>
      </c>
      <c r="C3" s="57">
        <v>3.39</v>
      </c>
      <c r="D3" s="57">
        <v>0</v>
      </c>
      <c r="E3" s="51">
        <f t="shared" ref="E3:E10" ca="1" si="0">IF(B3&lt;=$B$2,0,(C3+D3))</f>
        <v>3.39</v>
      </c>
      <c r="F3" s="12">
        <f t="shared" ref="F3:F10" ca="1" si="1">(E3*(B3-$B$2)/365)/(1+$K$4)^((B3-$B$2)/365)/-$E$2/(1+$K$4)^$K$2</f>
        <v>5.7724027613544398E-3</v>
      </c>
      <c r="J3" s="13" t="s">
        <v>85</v>
      </c>
      <c r="K3" s="14">
        <f ca="1">SUM(F3:F102)</f>
        <v>3.1739941379676493</v>
      </c>
    </row>
    <row r="4" spans="1:11" ht="15" customHeight="1" thickBot="1">
      <c r="A4" s="57">
        <v>4</v>
      </c>
      <c r="B4" s="58">
        <v>46321</v>
      </c>
      <c r="C4" s="57">
        <v>3.41</v>
      </c>
      <c r="D4" s="57">
        <v>0</v>
      </c>
      <c r="E4" s="51">
        <f t="shared" ca="1" si="0"/>
        <v>3.41</v>
      </c>
      <c r="F4" s="12">
        <f t="shared" ca="1" si="1"/>
        <v>2.0978938485981341E-2</v>
      </c>
      <c r="J4" s="1" t="s">
        <v>4</v>
      </c>
      <c r="K4" s="2">
        <f ca="1">XIRR(E2:E26,B2:B26)</f>
        <v>5.9581831097602844E-2</v>
      </c>
    </row>
    <row r="5" spans="1:11" ht="15" customHeight="1" thickBot="1">
      <c r="A5" s="57">
        <v>5</v>
      </c>
      <c r="B5" s="58">
        <v>46503</v>
      </c>
      <c r="C5" s="57">
        <v>3.39</v>
      </c>
      <c r="D5" s="57">
        <v>0</v>
      </c>
      <c r="E5" s="51">
        <f t="shared" ca="1" si="0"/>
        <v>3.39</v>
      </c>
      <c r="F5" s="12">
        <f t="shared" ca="1" si="1"/>
        <v>3.4838924851819615E-2</v>
      </c>
      <c r="J5" s="15" t="s">
        <v>86</v>
      </c>
    </row>
    <row r="6" spans="1:11" ht="15" customHeight="1" thickBot="1">
      <c r="A6" s="57">
        <v>6</v>
      </c>
      <c r="B6" s="58">
        <v>46685</v>
      </c>
      <c r="C6" s="57">
        <v>3.41</v>
      </c>
      <c r="D6" s="57">
        <v>0</v>
      </c>
      <c r="E6" s="51">
        <f t="shared" ca="1" si="0"/>
        <v>3.41</v>
      </c>
      <c r="F6" s="12">
        <f t="shared" ca="1" si="1"/>
        <v>4.8292813891719515E-2</v>
      </c>
    </row>
    <row r="7" spans="1:11" ht="15" customHeight="1" thickBot="1">
      <c r="A7" s="57">
        <v>7</v>
      </c>
      <c r="B7" s="58">
        <v>46867</v>
      </c>
      <c r="C7" s="57">
        <v>3.41</v>
      </c>
      <c r="D7" s="57">
        <v>0</v>
      </c>
      <c r="E7" s="51">
        <f t="shared" ca="1" si="0"/>
        <v>3.41</v>
      </c>
      <c r="F7" s="12">
        <f t="shared" ca="1" si="1"/>
        <v>6.0759096338851994E-2</v>
      </c>
    </row>
    <row r="8" spans="1:11" ht="15" customHeight="1" thickBot="1">
      <c r="A8" s="57">
        <v>8</v>
      </c>
      <c r="B8" s="58">
        <v>47050</v>
      </c>
      <c r="C8" s="57">
        <v>3.41</v>
      </c>
      <c r="D8" s="57">
        <v>0</v>
      </c>
      <c r="E8" s="51">
        <f t="shared" ca="1" si="0"/>
        <v>3.41</v>
      </c>
      <c r="F8" s="12">
        <f t="shared" ca="1" si="1"/>
        <v>7.2539462346386085E-2</v>
      </c>
    </row>
    <row r="9" spans="1:11" ht="15" customHeight="1" thickBot="1">
      <c r="A9" s="57">
        <v>9</v>
      </c>
      <c r="B9" s="58">
        <v>47232</v>
      </c>
      <c r="C9" s="57">
        <v>3.39</v>
      </c>
      <c r="D9" s="57">
        <v>0</v>
      </c>
      <c r="E9" s="51">
        <f t="shared" ca="1" si="0"/>
        <v>3.39</v>
      </c>
      <c r="F9" s="12">
        <f t="shared" ca="1" si="1"/>
        <v>8.304783659419783E-2</v>
      </c>
    </row>
    <row r="10" spans="1:11" ht="15" customHeight="1" thickBot="1">
      <c r="A10" s="57">
        <v>10</v>
      </c>
      <c r="B10" s="58">
        <v>47415</v>
      </c>
      <c r="C10" s="57">
        <v>3.41</v>
      </c>
      <c r="D10" s="57">
        <v>100</v>
      </c>
      <c r="E10" s="51">
        <f t="shared" ca="1" si="0"/>
        <v>103.41</v>
      </c>
      <c r="F10" s="12">
        <f t="shared" ca="1" si="1"/>
        <v>2.8477646626973385</v>
      </c>
    </row>
    <row r="11" spans="1:11" ht="15" customHeight="1" thickBot="1">
      <c r="A11" s="57"/>
      <c r="B11" s="58"/>
      <c r="C11" s="57"/>
      <c r="D11" s="57"/>
      <c r="E11" s="51"/>
      <c r="F11" s="12"/>
    </row>
    <row r="12" spans="1:11" ht="15" customHeight="1" thickBot="1">
      <c r="A12" s="57"/>
      <c r="B12" s="58"/>
      <c r="C12" s="57"/>
      <c r="D12" s="57"/>
      <c r="E12" s="51"/>
      <c r="F12" s="12"/>
    </row>
    <row r="13" spans="1:11" ht="15" customHeight="1" thickBot="1">
      <c r="A13" s="57"/>
      <c r="B13" s="58"/>
      <c r="C13" s="57"/>
      <c r="D13" s="57"/>
      <c r="E13" s="51"/>
      <c r="F13" s="12"/>
    </row>
    <row r="14" spans="1:11" ht="15" customHeight="1" thickBot="1">
      <c r="A14" s="57"/>
      <c r="B14" s="58"/>
      <c r="C14" s="57"/>
      <c r="D14" s="57"/>
      <c r="E14" s="51"/>
      <c r="F14" s="12"/>
    </row>
    <row r="15" spans="1:11" ht="15" customHeight="1" thickBot="1">
      <c r="A15" s="57"/>
      <c r="B15" s="58"/>
      <c r="C15" s="57"/>
      <c r="D15" s="57"/>
      <c r="E15" s="51"/>
      <c r="F15" s="12"/>
    </row>
    <row r="16" spans="1:11" ht="15" customHeight="1" thickBot="1">
      <c r="A16" s="57"/>
      <c r="B16" s="58"/>
      <c r="C16" s="57"/>
      <c r="D16" s="57"/>
      <c r="E16" s="51"/>
      <c r="F16" s="12"/>
    </row>
    <row r="17" spans="1:6" ht="15" customHeight="1" thickBot="1">
      <c r="A17" s="57"/>
      <c r="B17" s="58"/>
      <c r="C17" s="57"/>
      <c r="D17" s="57"/>
      <c r="E17" s="51"/>
      <c r="F17" s="12"/>
    </row>
    <row r="18" spans="1:6" ht="15" customHeight="1" thickBot="1">
      <c r="A18" s="57"/>
      <c r="B18" s="58"/>
      <c r="C18" s="57"/>
      <c r="D18" s="57"/>
      <c r="E18" s="51"/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F65C454E-8A98-4A28-9195-7C9AB64A1E15}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B54B-6FFC-44A5-8CB7-C3279649297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-104.9</v>
      </c>
      <c r="J2" s="1" t="s">
        <v>84</v>
      </c>
      <c r="K2" s="1">
        <v>0.33300000000000002</v>
      </c>
    </row>
    <row r="3" spans="1:11" ht="15" customHeight="1" thickBot="1">
      <c r="A3" s="57">
        <v>3</v>
      </c>
      <c r="B3" s="58">
        <v>46129</v>
      </c>
      <c r="C3" s="57">
        <v>1.97</v>
      </c>
      <c r="D3" s="57">
        <v>0</v>
      </c>
      <c r="E3" s="51">
        <f ca="1">IF(B3&lt;=$B$2,0,(C3+D3))</f>
        <v>1.97</v>
      </c>
      <c r="F3" s="12">
        <f ca="1">(E3*(B3-$B$2)/365)/(1+$K$4)^((B3-$B$2)/365)/-$E$2/(1+$K$4)^$K$2</f>
        <v>3.0351957929904238E-3</v>
      </c>
      <c r="J3" s="13" t="s">
        <v>85</v>
      </c>
      <c r="K3" s="14">
        <f ca="1">SUM(F3:F102)</f>
        <v>3.3243120051675916</v>
      </c>
    </row>
    <row r="4" spans="1:11" ht="15" customHeight="1" thickBot="1">
      <c r="A4" s="57">
        <v>4</v>
      </c>
      <c r="B4" s="58">
        <v>46220</v>
      </c>
      <c r="C4" s="57">
        <v>1.99</v>
      </c>
      <c r="D4" s="57">
        <v>0</v>
      </c>
      <c r="E4" s="51">
        <f ca="1">IF(B4&lt;=$B$2,0,(C4+D4))</f>
        <v>1.99</v>
      </c>
      <c r="F4" s="12">
        <f ca="1">(E4*(B4-$B$2)/365)/(1+$K$4)^((B4-$B$2)/365)/-$E$2/(1+$K$4)^$K$2</f>
        <v>7.5134348137143427E-3</v>
      </c>
      <c r="J4" s="1" t="s">
        <v>4</v>
      </c>
      <c r="K4" s="2">
        <f ca="1">XIRR(E2:E26,B2:B26)</f>
        <v>6.9239082932472246E-2</v>
      </c>
    </row>
    <row r="5" spans="1:11" ht="15" customHeight="1" thickBot="1">
      <c r="A5" s="57">
        <v>5</v>
      </c>
      <c r="B5" s="58">
        <v>46314</v>
      </c>
      <c r="C5" s="57">
        <v>2.02</v>
      </c>
      <c r="D5" s="57">
        <v>0</v>
      </c>
      <c r="E5" s="51">
        <f t="shared" ref="E5:E18" ca="1" si="0">IF(B5&lt;=$B$2,0,(C5+D5))</f>
        <v>2.02</v>
      </c>
      <c r="F5" s="12">
        <f t="shared" ref="F5:F18" ca="1" si="1">(E5*(B5-$B$2)/365)/(1+$K$4)^((B5-$B$2)/365)/-$E$2/(1+$K$4)^$K$2</f>
        <v>1.2132228239428274E-2</v>
      </c>
      <c r="J5" s="15" t="s">
        <v>86</v>
      </c>
    </row>
    <row r="6" spans="1:11" ht="15" customHeight="1" thickBot="1">
      <c r="A6" s="57">
        <v>6</v>
      </c>
      <c r="B6" s="58">
        <v>46405</v>
      </c>
      <c r="C6" s="57">
        <v>2.02</v>
      </c>
      <c r="D6" s="57">
        <v>0</v>
      </c>
      <c r="E6" s="51">
        <f t="shared" ca="1" si="0"/>
        <v>2.02</v>
      </c>
      <c r="F6" s="12">
        <f t="shared" ca="1" si="1"/>
        <v>1.6345062056794361E-2</v>
      </c>
    </row>
    <row r="7" spans="1:11" ht="15" customHeight="1" thickBot="1">
      <c r="A7" s="57">
        <v>7</v>
      </c>
      <c r="B7" s="58">
        <v>46496</v>
      </c>
      <c r="C7" s="57">
        <v>1.97</v>
      </c>
      <c r="D7" s="57">
        <v>0</v>
      </c>
      <c r="E7" s="51">
        <f t="shared" ca="1" si="0"/>
        <v>1.97</v>
      </c>
      <c r="F7" s="12">
        <f t="shared" ca="1" si="1"/>
        <v>1.9909782088566686E-2</v>
      </c>
    </row>
    <row r="8" spans="1:11" ht="15" customHeight="1" thickBot="1">
      <c r="A8" s="57">
        <v>8</v>
      </c>
      <c r="B8" s="58">
        <v>46587</v>
      </c>
      <c r="C8" s="57">
        <v>1.99</v>
      </c>
      <c r="D8" s="57">
        <v>0</v>
      </c>
      <c r="E8" s="51">
        <f t="shared" ca="1" si="0"/>
        <v>1.99</v>
      </c>
      <c r="F8" s="12">
        <f t="shared" ca="1" si="1"/>
        <v>2.3984361086087827E-2</v>
      </c>
    </row>
    <row r="9" spans="1:11" ht="15" customHeight="1" thickBot="1">
      <c r="A9" s="57">
        <v>9</v>
      </c>
      <c r="B9" s="58">
        <v>46678</v>
      </c>
      <c r="C9" s="57">
        <v>2.02</v>
      </c>
      <c r="D9" s="57">
        <v>0</v>
      </c>
      <c r="E9" s="51">
        <f t="shared" ca="1" si="0"/>
        <v>2.02</v>
      </c>
      <c r="F9" s="12">
        <f t="shared" ca="1" si="1"/>
        <v>2.8141039266067355E-2</v>
      </c>
    </row>
    <row r="10" spans="1:11" ht="15" customHeight="1" thickBot="1">
      <c r="A10" s="57">
        <v>10</v>
      </c>
      <c r="B10" s="58">
        <v>46769</v>
      </c>
      <c r="C10" s="57">
        <v>2.02</v>
      </c>
      <c r="D10" s="57">
        <v>0</v>
      </c>
      <c r="E10" s="51">
        <f t="shared" ca="1" si="0"/>
        <v>2.02</v>
      </c>
      <c r="F10" s="12">
        <f t="shared" ca="1" si="1"/>
        <v>3.1803837309967463E-2</v>
      </c>
    </row>
    <row r="11" spans="1:11" ht="15" customHeight="1" thickBot="1">
      <c r="A11" s="57">
        <v>11</v>
      </c>
      <c r="B11" s="58">
        <v>46860</v>
      </c>
      <c r="C11" s="57">
        <v>1.99</v>
      </c>
      <c r="D11" s="57">
        <v>0</v>
      </c>
      <c r="E11" s="51">
        <f t="shared" ca="1" si="0"/>
        <v>1.99</v>
      </c>
      <c r="F11" s="12">
        <f t="shared" ca="1" si="1"/>
        <v>3.4812851845465224E-2</v>
      </c>
    </row>
    <row r="12" spans="1:11" ht="15" customHeight="1" thickBot="1">
      <c r="A12" s="57">
        <v>12</v>
      </c>
      <c r="B12" s="58">
        <v>46951</v>
      </c>
      <c r="C12" s="57">
        <v>1.99</v>
      </c>
      <c r="D12" s="57">
        <v>0</v>
      </c>
      <c r="E12" s="51">
        <f t="shared" ca="1" si="0"/>
        <v>1.99</v>
      </c>
      <c r="F12" s="12">
        <f t="shared" ca="1" si="1"/>
        <v>3.8170366674780097E-2</v>
      </c>
    </row>
    <row r="13" spans="1:11" ht="15" customHeight="1" thickBot="1">
      <c r="A13" s="57">
        <v>13</v>
      </c>
      <c r="B13" s="58">
        <v>47043</v>
      </c>
      <c r="C13" s="57">
        <v>2.02</v>
      </c>
      <c r="D13" s="57">
        <v>0</v>
      </c>
      <c r="E13" s="51">
        <f t="shared" ca="1" si="0"/>
        <v>2.02</v>
      </c>
      <c r="F13" s="12">
        <f t="shared" ca="1" si="1"/>
        <v>4.2066859220196116E-2</v>
      </c>
    </row>
    <row r="14" spans="1:11" ht="15" customHeight="1" thickBot="1">
      <c r="A14" s="57">
        <v>14</v>
      </c>
      <c r="B14" s="58">
        <v>47135</v>
      </c>
      <c r="C14" s="57">
        <v>2.02</v>
      </c>
      <c r="D14" s="57">
        <v>0</v>
      </c>
      <c r="E14" s="51">
        <f t="shared" ca="1" si="0"/>
        <v>2.02</v>
      </c>
      <c r="F14" s="12">
        <f t="shared" ca="1" si="1"/>
        <v>4.5265929516175134E-2</v>
      </c>
    </row>
    <row r="15" spans="1:11" ht="15" customHeight="1" thickBot="1">
      <c r="A15" s="57">
        <v>15</v>
      </c>
      <c r="B15" s="58">
        <v>47225</v>
      </c>
      <c r="C15" s="57">
        <v>1.97</v>
      </c>
      <c r="D15" s="57">
        <v>0</v>
      </c>
      <c r="E15" s="51">
        <f t="shared" ca="1" si="0"/>
        <v>1.97</v>
      </c>
      <c r="F15" s="12">
        <f t="shared" ca="1" si="1"/>
        <v>4.7085382656138999E-2</v>
      </c>
    </row>
    <row r="16" spans="1:11" ht="15" customHeight="1" thickBot="1">
      <c r="A16" s="57">
        <v>16</v>
      </c>
      <c r="B16" s="58">
        <v>47316</v>
      </c>
      <c r="C16" s="57">
        <v>1.99</v>
      </c>
      <c r="D16" s="57">
        <v>0</v>
      </c>
      <c r="E16" s="51">
        <f t="shared" ca="1" si="0"/>
        <v>1.99</v>
      </c>
      <c r="F16" s="12">
        <f t="shared" ca="1" si="1"/>
        <v>5.0455136906349972E-2</v>
      </c>
    </row>
    <row r="17" spans="1:6" ht="15" customHeight="1" thickBot="1">
      <c r="A17" s="57">
        <v>17</v>
      </c>
      <c r="B17" s="58">
        <v>47408</v>
      </c>
      <c r="C17" s="57">
        <v>2.02</v>
      </c>
      <c r="D17" s="57">
        <v>0</v>
      </c>
      <c r="E17" s="51">
        <f t="shared" ca="1" si="0"/>
        <v>2.02</v>
      </c>
      <c r="F17" s="12">
        <f t="shared" ca="1" si="1"/>
        <v>5.4071130035585696E-2</v>
      </c>
    </row>
    <row r="18" spans="1:6" ht="15" customHeight="1" thickBot="1">
      <c r="A18" s="57">
        <v>18</v>
      </c>
      <c r="B18" s="58">
        <v>47500</v>
      </c>
      <c r="C18" s="57">
        <v>2.02</v>
      </c>
      <c r="D18" s="57">
        <v>100</v>
      </c>
      <c r="E18" s="51">
        <f t="shared" ca="1" si="0"/>
        <v>102.02</v>
      </c>
      <c r="F18" s="12">
        <f t="shared" ca="1" si="1"/>
        <v>2.8695194076592836</v>
      </c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23A5B65-05B9-41BC-B796-E38762A0A788}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66AB-759C-4A68-BD08-70F23EA13A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-106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46139</v>
      </c>
      <c r="C3" s="57">
        <v>3.74</v>
      </c>
      <c r="D3" s="57">
        <v>0</v>
      </c>
      <c r="E3" s="51">
        <f t="shared" ref="E3:E11" ca="1" si="0">IF(B3&lt;=$B$2,0,(C3+D3))</f>
        <v>3.74</v>
      </c>
      <c r="F3" s="12">
        <f t="shared" ref="F3:F14" ca="1" si="1">(E3*(B3-$B$2)/365)/(1+$K$4)^((B3-$B$2)/365)/-$E$2/(1+$K$4)^$K$2</f>
        <v>6.5688387898060379E-3</v>
      </c>
      <c r="J3" s="13" t="s">
        <v>85</v>
      </c>
      <c r="K3" s="14">
        <f ca="1">SUM(F3:F102)</f>
        <v>3.3224971291897116</v>
      </c>
    </row>
    <row r="4" spans="1:11" ht="15" customHeight="1" thickBot="1">
      <c r="A4" s="57">
        <v>3</v>
      </c>
      <c r="B4" s="58">
        <v>46322</v>
      </c>
      <c r="C4" s="57">
        <v>3.76</v>
      </c>
      <c r="D4" s="57">
        <v>0</v>
      </c>
      <c r="E4" s="51">
        <f t="shared" ca="1" si="0"/>
        <v>3.76</v>
      </c>
      <c r="F4" s="12">
        <f t="shared" ca="1" si="1"/>
        <v>2.2889350669881937E-2</v>
      </c>
      <c r="J4" s="1" t="s">
        <v>4</v>
      </c>
      <c r="K4" s="2">
        <f ca="1">XIRR(E2:E26,B2:B26)</f>
        <v>6.5168622136116058E-2</v>
      </c>
    </row>
    <row r="5" spans="1:11" ht="15" customHeight="1" thickBot="1">
      <c r="A5" s="57">
        <v>4</v>
      </c>
      <c r="B5" s="58">
        <v>46504</v>
      </c>
      <c r="C5" s="57">
        <v>3.74</v>
      </c>
      <c r="D5" s="57">
        <v>0</v>
      </c>
      <c r="E5" s="51">
        <f t="shared" ca="1" si="0"/>
        <v>3.74</v>
      </c>
      <c r="F5" s="12">
        <f t="shared" ca="1" si="1"/>
        <v>3.7870268108241352E-2</v>
      </c>
      <c r="J5" s="15" t="s">
        <v>86</v>
      </c>
    </row>
    <row r="6" spans="1:11" ht="15" customHeight="1" thickBot="1">
      <c r="A6" s="57">
        <v>5</v>
      </c>
      <c r="B6" s="58">
        <v>46687</v>
      </c>
      <c r="C6" s="57">
        <v>3.76</v>
      </c>
      <c r="D6" s="57">
        <v>0</v>
      </c>
      <c r="E6" s="51">
        <f t="shared" ca="1" si="0"/>
        <v>3.76</v>
      </c>
      <c r="F6" s="12">
        <f t="shared" ca="1" si="1"/>
        <v>5.2368729846495328E-2</v>
      </c>
    </row>
    <row r="7" spans="1:11" ht="15" customHeight="1" thickBot="1">
      <c r="A7" s="57">
        <v>6</v>
      </c>
      <c r="B7" s="58">
        <v>46870</v>
      </c>
      <c r="C7" s="57">
        <v>3.76</v>
      </c>
      <c r="D7" s="57">
        <v>0</v>
      </c>
      <c r="E7" s="51">
        <f t="shared" ca="1" si="0"/>
        <v>3.76</v>
      </c>
      <c r="F7" s="12">
        <f t="shared" ca="1" si="1"/>
        <v>6.573686947842991E-2</v>
      </c>
    </row>
    <row r="8" spans="1:11" ht="15" customHeight="1" thickBot="1">
      <c r="A8" s="57">
        <v>7</v>
      </c>
      <c r="B8" s="58">
        <v>47053</v>
      </c>
      <c r="C8" s="57">
        <v>3.76</v>
      </c>
      <c r="D8" s="57">
        <v>0</v>
      </c>
      <c r="E8" s="51">
        <f t="shared" ca="1" si="0"/>
        <v>3.76</v>
      </c>
      <c r="F8" s="12">
        <f t="shared" ca="1" si="1"/>
        <v>7.822113959422175E-2</v>
      </c>
    </row>
    <row r="9" spans="1:11" ht="15" customHeight="1" thickBot="1">
      <c r="A9" s="57">
        <v>8</v>
      </c>
      <c r="B9" s="58">
        <v>47235</v>
      </c>
      <c r="C9" s="57">
        <v>3.74</v>
      </c>
      <c r="D9" s="57">
        <v>0</v>
      </c>
      <c r="E9" s="51">
        <f t="shared" ca="1" si="0"/>
        <v>3.74</v>
      </c>
      <c r="F9" s="12">
        <f t="shared" ca="1" si="1"/>
        <v>8.932456272186455E-2</v>
      </c>
    </row>
    <row r="10" spans="1:11" ht="15" customHeight="1" thickBot="1">
      <c r="A10" s="57">
        <v>9</v>
      </c>
      <c r="B10" s="58">
        <v>47420</v>
      </c>
      <c r="C10" s="57">
        <v>3.76</v>
      </c>
      <c r="D10" s="57">
        <v>0</v>
      </c>
      <c r="E10" s="51">
        <f t="shared" ca="1" si="0"/>
        <v>3.76</v>
      </c>
      <c r="F10" s="12">
        <f t="shared" ca="1" si="1"/>
        <v>0.10076181874407258</v>
      </c>
    </row>
    <row r="11" spans="1:11" ht="15" customHeight="1" thickBot="1">
      <c r="A11" s="57">
        <v>10</v>
      </c>
      <c r="B11" s="58">
        <v>47511</v>
      </c>
      <c r="C11" s="57">
        <v>1.89</v>
      </c>
      <c r="D11" s="57">
        <v>100</v>
      </c>
      <c r="E11" s="51">
        <f t="shared" ca="1" si="0"/>
        <v>101.89</v>
      </c>
      <c r="F11" s="12">
        <f t="shared" ca="1" si="1"/>
        <v>2.8687555512366982</v>
      </c>
    </row>
    <row r="12" spans="1:11" ht="15" customHeight="1" thickBot="1">
      <c r="A12" s="57"/>
      <c r="B12" s="58"/>
      <c r="C12" s="57"/>
      <c r="D12" s="57"/>
      <c r="E12" s="51"/>
      <c r="F12" s="12">
        <f t="shared" ca="1" si="1"/>
        <v>0</v>
      </c>
    </row>
    <row r="13" spans="1:11" ht="15" customHeight="1" thickBot="1">
      <c r="A13" s="57"/>
      <c r="B13" s="58"/>
      <c r="C13" s="57"/>
      <c r="D13" s="57"/>
      <c r="E13" s="51"/>
      <c r="F13" s="12">
        <f t="shared" ca="1" si="1"/>
        <v>0</v>
      </c>
    </row>
    <row r="14" spans="1:11" ht="15" customHeight="1" thickBot="1">
      <c r="A14" s="57"/>
      <c r="B14" s="58"/>
      <c r="C14" s="57"/>
      <c r="D14" s="57"/>
      <c r="E14" s="51"/>
      <c r="F14" s="12">
        <f t="shared" ca="1" si="1"/>
        <v>0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618AB52-52C2-4255-95EA-B8B0F60C6467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111-9241-4582-985C-8FF3FE9CDC6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46070</v>
      </c>
      <c r="C3" s="57">
        <v>4.03</v>
      </c>
      <c r="D3" s="57">
        <v>0</v>
      </c>
      <c r="E3" s="51">
        <f ca="1">IF(B3&lt;=$B$2,0,(C3+D3))</f>
        <v>4.03</v>
      </c>
      <c r="F3" s="12">
        <f ca="1">(E3*(B3-$B$2)/365)/(1+$K$4)^((B3-$B$2)/365)/-$E$2/(1+$K$4)^$K$2</f>
        <v>2.0322435051738644E-4</v>
      </c>
      <c r="J3" s="13" t="s">
        <v>85</v>
      </c>
      <c r="K3" s="14">
        <f ca="1">SUM(F3:F102)</f>
        <v>3.9113120552362339</v>
      </c>
    </row>
    <row r="4" spans="1:11" ht="15" customHeight="1" thickBot="1">
      <c r="A4" s="57">
        <v>3</v>
      </c>
      <c r="B4" s="58">
        <v>46252</v>
      </c>
      <c r="C4" s="57">
        <v>3.97</v>
      </c>
      <c r="D4" s="57">
        <v>0</v>
      </c>
      <c r="E4" s="51">
        <f ca="1">IF(B4&lt;=$B$2,0,(C4+D4))</f>
        <v>3.97</v>
      </c>
      <c r="F4" s="12">
        <f ca="1">(E4*(B4-$B$2)/365)/(1+$K$4)^((B4-$B$2)/365)/-$E$2/(1+$K$4)^$K$2</f>
        <v>1.7722646145199528E-2</v>
      </c>
      <c r="J4" s="1" t="s">
        <v>4</v>
      </c>
      <c r="K4" s="2">
        <f ca="1">XIRR(E2:E26,B2:B26)</f>
        <v>8.0271211266517664E-2</v>
      </c>
    </row>
    <row r="5" spans="1:11" ht="15" customHeight="1" thickBot="1">
      <c r="A5" s="57">
        <v>4</v>
      </c>
      <c r="B5" s="58">
        <v>46435</v>
      </c>
      <c r="C5" s="57">
        <v>4.03</v>
      </c>
      <c r="D5" s="57">
        <v>0</v>
      </c>
      <c r="E5" s="51">
        <f t="shared" ref="E5:E13" ca="1" si="0">IF(B5&lt;=$B$2,0,(C5+D5))</f>
        <v>4.03</v>
      </c>
      <c r="F5" s="12">
        <f t="shared" ref="F5:F13" ca="1" si="1">(E5*(B5-$B$2)/365)/(1+$K$4)^((B5-$B$2)/365)/-$E$2/(1+$K$4)^$K$2</f>
        <v>3.4520653638653753E-2</v>
      </c>
      <c r="J5" s="15" t="s">
        <v>86</v>
      </c>
    </row>
    <row r="6" spans="1:11" ht="15" customHeight="1" thickBot="1">
      <c r="A6" s="57">
        <v>5</v>
      </c>
      <c r="B6" s="58">
        <v>46616</v>
      </c>
      <c r="C6" s="57">
        <v>3.97</v>
      </c>
      <c r="D6" s="57">
        <v>0</v>
      </c>
      <c r="E6" s="51">
        <f t="shared" ca="1" si="0"/>
        <v>3.97</v>
      </c>
      <c r="F6" s="12">
        <f t="shared" ca="1" si="1"/>
        <v>4.887090371289559E-2</v>
      </c>
    </row>
    <row r="7" spans="1:11" ht="15" customHeight="1" thickBot="1">
      <c r="A7" s="57">
        <v>6</v>
      </c>
      <c r="B7" s="58">
        <v>46800</v>
      </c>
      <c r="C7" s="57">
        <v>4.03</v>
      </c>
      <c r="D7" s="57">
        <v>0</v>
      </c>
      <c r="E7" s="51">
        <f t="shared" ca="1" si="0"/>
        <v>4.03</v>
      </c>
      <c r="F7" s="12">
        <f t="shared" ca="1" si="1"/>
        <v>6.3736942266110985E-2</v>
      </c>
    </row>
    <row r="8" spans="1:11" ht="15" customHeight="1" thickBot="1">
      <c r="A8" s="57">
        <v>7</v>
      </c>
      <c r="B8" s="58">
        <v>46982</v>
      </c>
      <c r="C8" s="57">
        <v>3.99</v>
      </c>
      <c r="D8" s="57">
        <v>0</v>
      </c>
      <c r="E8" s="51">
        <f t="shared" ca="1" si="0"/>
        <v>3.99</v>
      </c>
      <c r="F8" s="12">
        <f t="shared" ca="1" si="1"/>
        <v>7.5818244231879453E-2</v>
      </c>
    </row>
    <row r="9" spans="1:11" ht="15" customHeight="1" thickBot="1">
      <c r="A9" s="57">
        <v>8</v>
      </c>
      <c r="B9" s="58">
        <v>47168</v>
      </c>
      <c r="C9" s="57">
        <v>4.03</v>
      </c>
      <c r="D9" s="57">
        <v>0</v>
      </c>
      <c r="E9" s="51">
        <f t="shared" ca="1" si="0"/>
        <v>4.03</v>
      </c>
      <c r="F9" s="12">
        <f t="shared" ca="1" si="1"/>
        <v>8.8606261730772518E-2</v>
      </c>
    </row>
    <row r="10" spans="1:11" ht="15" customHeight="1" thickBot="1">
      <c r="A10" s="57">
        <v>9</v>
      </c>
      <c r="B10" s="58">
        <v>47347</v>
      </c>
      <c r="C10" s="57">
        <v>3.97</v>
      </c>
      <c r="D10" s="57">
        <v>0</v>
      </c>
      <c r="E10" s="51">
        <f t="shared" ca="1" si="0"/>
        <v>3.97</v>
      </c>
      <c r="F10" s="12">
        <f t="shared" ca="1" si="1"/>
        <v>9.771986994857447E-2</v>
      </c>
    </row>
    <row r="11" spans="1:11" ht="15" customHeight="1" thickBot="1">
      <c r="A11" s="57">
        <v>10</v>
      </c>
      <c r="B11" s="58">
        <v>47532</v>
      </c>
      <c r="C11" s="57">
        <v>4.03</v>
      </c>
      <c r="D11" s="57">
        <v>0</v>
      </c>
      <c r="E11" s="51">
        <f t="shared" ca="1" si="0"/>
        <v>4.03</v>
      </c>
      <c r="F11" s="12">
        <f t="shared" ca="1" si="1"/>
        <v>0.10918723642697351</v>
      </c>
    </row>
    <row r="12" spans="1:11" ht="15" customHeight="1" thickBot="1">
      <c r="A12" s="57">
        <v>11</v>
      </c>
      <c r="B12" s="58">
        <v>47715</v>
      </c>
      <c r="C12" s="57">
        <v>3.97</v>
      </c>
      <c r="D12" s="57">
        <v>0</v>
      </c>
      <c r="E12" s="51">
        <f t="shared" ca="1" si="0"/>
        <v>3.97</v>
      </c>
      <c r="F12" s="12">
        <f t="shared" ca="1" si="1"/>
        <v>0.11641193829618181</v>
      </c>
    </row>
    <row r="13" spans="1:11" ht="15" customHeight="1" thickBot="1">
      <c r="A13" s="57">
        <v>12</v>
      </c>
      <c r="B13" s="58">
        <v>47896</v>
      </c>
      <c r="C13" s="57">
        <v>4.03</v>
      </c>
      <c r="D13" s="57">
        <v>100</v>
      </c>
      <c r="E13" s="51">
        <f t="shared" ca="1" si="0"/>
        <v>104.03</v>
      </c>
      <c r="F13" s="12">
        <f t="shared" ca="1" si="1"/>
        <v>3.2585141344884749</v>
      </c>
    </row>
    <row r="14" spans="1:11" ht="15" customHeight="1" thickBot="1">
      <c r="A14" s="57"/>
      <c r="B14" s="58"/>
      <c r="C14" s="57"/>
      <c r="D14" s="57"/>
      <c r="E14" s="51"/>
      <c r="F14" s="12">
        <f ca="1">(E14*(B14-$B$2)/365)/(1+$K$4)^((B14-$B$2)/365)/-$E$2/(1+$K$4)^$K$2</f>
        <v>0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F944B4E3-CCB1-4106-9A81-3D041A00C42D}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699D-739A-4133-AA69-58D75E224D5B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-107.05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46122</v>
      </c>
      <c r="C3" s="57">
        <v>3.81</v>
      </c>
      <c r="D3" s="57">
        <v>0</v>
      </c>
      <c r="E3" s="51">
        <f t="shared" ref="E3:E14" ca="1" si="0">IF(B3&lt;=$B$2,0,(C3+D3))</f>
        <v>3.81</v>
      </c>
      <c r="F3" s="12">
        <f t="shared" ref="F3:F14" ca="1" si="1">(E3*(B3-$B$2)/365)/(1+$K$4)^((B3-$B$2)/365)/-$E$2/(1+$K$4)^$K$2</f>
        <v>5.0503963416757246E-3</v>
      </c>
      <c r="J3" s="13" t="s">
        <v>85</v>
      </c>
      <c r="K3" s="14">
        <f ca="1">SUM(F3:F102)</f>
        <v>3.7897722228734683</v>
      </c>
    </row>
    <row r="4" spans="1:11" ht="15" customHeight="1" thickBot="1">
      <c r="A4" s="57">
        <v>4</v>
      </c>
      <c r="B4" s="58">
        <v>46308</v>
      </c>
      <c r="C4" s="57">
        <v>3.84</v>
      </c>
      <c r="D4" s="57">
        <v>0</v>
      </c>
      <c r="E4" s="51">
        <f t="shared" ca="1" si="0"/>
        <v>3.84</v>
      </c>
      <c r="F4" s="12">
        <f t="shared" ca="1" si="1"/>
        <v>2.1892899978201732E-2</v>
      </c>
      <c r="J4" s="1" t="s">
        <v>4</v>
      </c>
      <c r="K4" s="2">
        <f ca="1">XIRR(E2:E26,B2:B26)</f>
        <v>6.6487237811088548E-2</v>
      </c>
    </row>
    <row r="5" spans="1:11" ht="15" customHeight="1" thickBot="1">
      <c r="A5" s="57">
        <v>5</v>
      </c>
      <c r="B5" s="58">
        <v>46489</v>
      </c>
      <c r="C5" s="57">
        <v>3.81</v>
      </c>
      <c r="D5" s="57">
        <v>0</v>
      </c>
      <c r="E5" s="51">
        <f t="shared" ca="1" si="0"/>
        <v>3.81</v>
      </c>
      <c r="F5" s="12">
        <f t="shared" ca="1" si="1"/>
        <v>3.6906677785083379E-2</v>
      </c>
      <c r="J5" s="15" t="s">
        <v>86</v>
      </c>
    </row>
    <row r="6" spans="1:11" ht="15" customHeight="1" thickBot="1">
      <c r="A6" s="57">
        <v>6</v>
      </c>
      <c r="B6" s="58">
        <v>46672</v>
      </c>
      <c r="C6" s="57">
        <v>3.84</v>
      </c>
      <c r="D6" s="57">
        <v>0</v>
      </c>
      <c r="E6" s="51">
        <f t="shared" ca="1" si="0"/>
        <v>3.84</v>
      </c>
      <c r="F6" s="12">
        <f t="shared" ca="1" si="1"/>
        <v>5.1671363029823593E-2</v>
      </c>
    </row>
    <row r="7" spans="1:11" ht="15" customHeight="1" thickBot="1">
      <c r="A7" s="57">
        <v>7</v>
      </c>
      <c r="B7" s="58">
        <v>46853</v>
      </c>
      <c r="C7" s="57">
        <v>3.84</v>
      </c>
      <c r="D7" s="57">
        <v>0</v>
      </c>
      <c r="E7" s="51">
        <f t="shared" ca="1" si="0"/>
        <v>3.84</v>
      </c>
      <c r="F7" s="12">
        <f t="shared" ca="1" si="1"/>
        <v>6.5045864616160382E-2</v>
      </c>
    </row>
    <row r="8" spans="1:11" ht="15" customHeight="1" thickBot="1">
      <c r="A8" s="57">
        <v>8</v>
      </c>
      <c r="B8" s="58">
        <v>47036</v>
      </c>
      <c r="C8" s="57">
        <v>3.84</v>
      </c>
      <c r="D8" s="57">
        <v>0</v>
      </c>
      <c r="E8" s="51">
        <f t="shared" ca="1" si="0"/>
        <v>3.84</v>
      </c>
      <c r="F8" s="12">
        <f t="shared" ca="1" si="1"/>
        <v>7.7662124110787684E-2</v>
      </c>
    </row>
    <row r="9" spans="1:11" ht="15" customHeight="1" thickBot="1">
      <c r="A9" s="57">
        <v>9</v>
      </c>
      <c r="B9" s="58">
        <v>47218</v>
      </c>
      <c r="C9" s="57">
        <v>3.81</v>
      </c>
      <c r="D9" s="57">
        <v>0</v>
      </c>
      <c r="E9" s="51">
        <f t="shared" ca="1" si="0"/>
        <v>3.81</v>
      </c>
      <c r="F9" s="12">
        <f t="shared" ca="1" si="1"/>
        <v>8.8651474413133827E-2</v>
      </c>
    </row>
    <row r="10" spans="1:11" ht="15" customHeight="1" thickBot="1">
      <c r="A10" s="57">
        <v>10</v>
      </c>
      <c r="B10" s="58">
        <v>47401</v>
      </c>
      <c r="C10" s="57">
        <v>3.84</v>
      </c>
      <c r="D10" s="57">
        <v>33</v>
      </c>
      <c r="E10" s="51">
        <f t="shared" ca="1" si="0"/>
        <v>36.840000000000003</v>
      </c>
      <c r="F10" s="12">
        <f t="shared" ca="1" si="1"/>
        <v>0.96204811075686847</v>
      </c>
    </row>
    <row r="11" spans="1:11" ht="15" customHeight="1" thickBot="1">
      <c r="A11" s="57">
        <v>11</v>
      </c>
      <c r="B11" s="58">
        <v>47583</v>
      </c>
      <c r="C11" s="57">
        <v>2.56</v>
      </c>
      <c r="D11" s="57">
        <v>0</v>
      </c>
      <c r="E11" s="51">
        <f t="shared" ca="1" si="0"/>
        <v>2.56</v>
      </c>
      <c r="F11" s="12">
        <f t="shared" ca="1" si="1"/>
        <v>7.3580050627056151E-2</v>
      </c>
    </row>
    <row r="12" spans="1:11" ht="15" customHeight="1" thickBot="1">
      <c r="A12" s="57">
        <v>12</v>
      </c>
      <c r="B12" s="58">
        <v>47766</v>
      </c>
      <c r="C12" s="57">
        <v>2.57</v>
      </c>
      <c r="D12" s="57">
        <v>33</v>
      </c>
      <c r="E12" s="51">
        <f t="shared" ca="1" si="0"/>
        <v>35.57</v>
      </c>
      <c r="F12" s="12">
        <f t="shared" ca="1" si="1"/>
        <v>1.1094632174165258</v>
      </c>
    </row>
    <row r="13" spans="1:11" ht="15" customHeight="1" thickBot="1">
      <c r="A13" s="57">
        <v>13</v>
      </c>
      <c r="B13" s="58">
        <v>47948</v>
      </c>
      <c r="C13" s="57">
        <v>1.3</v>
      </c>
      <c r="D13" s="57">
        <v>0</v>
      </c>
      <c r="E13" s="51">
        <f t="shared" ca="1" si="0"/>
        <v>1.3</v>
      </c>
      <c r="F13" s="12">
        <f t="shared" ca="1" si="1"/>
        <v>4.3476344655215632E-2</v>
      </c>
    </row>
    <row r="14" spans="1:11" ht="15" customHeight="1" thickBot="1">
      <c r="A14" s="57">
        <v>14</v>
      </c>
      <c r="B14" s="58">
        <v>48131</v>
      </c>
      <c r="C14" s="57">
        <v>1.3</v>
      </c>
      <c r="D14" s="57">
        <v>34</v>
      </c>
      <c r="E14" s="51">
        <f t="shared" ca="1" si="0"/>
        <v>35.299999999999997</v>
      </c>
      <c r="F14" s="12">
        <f t="shared" ca="1" si="1"/>
        <v>1.2543236991429361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72E42D08-A78B-41D3-9E5D-97BA2DEA2D78}"/>
    <hyperlink ref="A1" r:id="rId1" display="https://app.powerbi.com/links/IE6ye0vHLu?ctid=1123ebae-a006-42c7-9ea3-c84a2feb0e65&amp;pbi_source=linkShare&amp;bookmarkGuid=29b15526-f144-4140-a148-bdfde3f8fa32" xr:uid="{C0735D73-F2A0-4BD6-8B19-75A530A273EF}"/>
  </hyperlinks>
  <pageMargins left="0.7" right="0.7" top="0.75" bottom="0.75" header="0.3" footer="0.3"/>
  <pageSetup paperSize="9" orientation="portrait"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5473-A2CB-4F2A-9DF5-4A1ECDCECBF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5" t="s">
        <v>137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-105.05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46155</v>
      </c>
      <c r="C3" s="57">
        <v>3.6</v>
      </c>
      <c r="D3" s="57">
        <v>0</v>
      </c>
      <c r="E3" s="51">
        <f ca="1">IF(B3&lt;=$B$2,0,(C3+D3))</f>
        <v>3.6</v>
      </c>
      <c r="F3" s="12">
        <f ca="1">(E3*(B3-$B$2)/365)/(1+$K$4)^((B3-$B$2)/365)/-$E$2/(1+$K$4)^$K$2</f>
        <v>7.787473847594947E-3</v>
      </c>
      <c r="J3" s="13" t="s">
        <v>85</v>
      </c>
      <c r="K3" s="14">
        <f ca="1">SUM(F3:F102)</f>
        <v>4.5838272363702126</v>
      </c>
    </row>
    <row r="4" spans="1:11" ht="15" customHeight="1" thickBot="1">
      <c r="A4" s="57">
        <v>4</v>
      </c>
      <c r="B4" s="58">
        <v>46339</v>
      </c>
      <c r="C4" s="57">
        <v>3.65</v>
      </c>
      <c r="D4" s="57">
        <v>0</v>
      </c>
      <c r="E4" s="51">
        <f ca="1">IF(B4&lt;=$B$2,0,(C4+D4))</f>
        <v>3.65</v>
      </c>
      <c r="F4" s="12">
        <f ca="1">(E4*(B4-$B$2)/365)/(1+$K$4)^((B4-$B$2)/365)/-$E$2/(1+$K$4)^$K$2</f>
        <v>2.3805616225910101E-2</v>
      </c>
      <c r="J4" s="1" t="s">
        <v>4</v>
      </c>
      <c r="K4" s="2">
        <f ca="1">XIRR(E2:E26,B2:B26)</f>
        <v>6.6803225874900812E-2</v>
      </c>
    </row>
    <row r="5" spans="1:11" ht="15" customHeight="1" thickBot="1">
      <c r="A5" s="57">
        <v>5</v>
      </c>
      <c r="B5" s="58">
        <v>46520</v>
      </c>
      <c r="C5" s="57">
        <v>3.6</v>
      </c>
      <c r="D5" s="57">
        <v>0</v>
      </c>
      <c r="E5" s="51">
        <f ca="1">IF(B5&lt;=$B$2,0,(C5+D5))</f>
        <v>3.6</v>
      </c>
      <c r="F5" s="12">
        <f ca="1">(E5*(B5-$B$2)/365)/(1+$K$4)^((B5-$B$2)/365)/-$E$2/(1+$K$4)^$K$2</f>
        <v>3.7925512923765739E-2</v>
      </c>
      <c r="J5" s="15" t="s">
        <v>86</v>
      </c>
    </row>
    <row r="6" spans="1:11" ht="15" customHeight="1" thickBot="1">
      <c r="A6" s="57">
        <v>6</v>
      </c>
      <c r="B6" s="58">
        <v>46706</v>
      </c>
      <c r="C6" s="57">
        <v>3.65</v>
      </c>
      <c r="D6" s="57">
        <v>0</v>
      </c>
      <c r="E6" s="51">
        <f t="shared" ref="E6:E14" ca="1" si="0">IF(B6&lt;=$B$2,0,(C6+D6))</f>
        <v>3.65</v>
      </c>
      <c r="F6" s="12">
        <f t="shared" ref="F6:F14" ca="1" si="1">(E6*(B6-$B$2)/365)/(1+$K$4)^((B6-$B$2)/365)/-$E$2/(1+$K$4)^$K$2</f>
        <v>5.2516117201152734E-2</v>
      </c>
    </row>
    <row r="7" spans="1:11" ht="15" customHeight="1" thickBot="1">
      <c r="A7" s="57">
        <v>7</v>
      </c>
      <c r="B7" s="58">
        <v>46888</v>
      </c>
      <c r="C7" s="57">
        <v>3.62</v>
      </c>
      <c r="D7" s="57">
        <v>0</v>
      </c>
      <c r="E7" s="51">
        <f t="shared" ca="1" si="0"/>
        <v>3.62</v>
      </c>
      <c r="F7" s="12">
        <f t="shared" ca="1" si="1"/>
        <v>6.4818324420289397E-2</v>
      </c>
    </row>
    <row r="8" spans="1:11" ht="15" customHeight="1" thickBot="1">
      <c r="A8" s="57">
        <v>8</v>
      </c>
      <c r="B8" s="58">
        <v>47070</v>
      </c>
      <c r="C8" s="57">
        <v>3.65</v>
      </c>
      <c r="D8" s="57">
        <v>0</v>
      </c>
      <c r="E8" s="51">
        <f t="shared" ca="1" si="0"/>
        <v>3.65</v>
      </c>
      <c r="F8" s="12">
        <f t="shared" ca="1" si="1"/>
        <v>7.732719821978902E-2</v>
      </c>
    </row>
    <row r="9" spans="1:11" ht="15" customHeight="1" thickBot="1">
      <c r="A9" s="57">
        <v>9</v>
      </c>
      <c r="B9" s="58">
        <v>47252</v>
      </c>
      <c r="C9" s="57">
        <v>3.6</v>
      </c>
      <c r="D9" s="57">
        <v>0</v>
      </c>
      <c r="E9" s="51">
        <f t="shared" ca="1" si="0"/>
        <v>3.6</v>
      </c>
      <c r="F9" s="12">
        <f t="shared" ca="1" si="1"/>
        <v>8.7261405434384154E-2</v>
      </c>
    </row>
    <row r="10" spans="1:11" ht="15" customHeight="1" thickBot="1">
      <c r="A10" s="57">
        <v>10</v>
      </c>
      <c r="B10" s="58">
        <v>47435</v>
      </c>
      <c r="C10" s="57">
        <v>3.65</v>
      </c>
      <c r="D10" s="57">
        <v>0</v>
      </c>
      <c r="E10" s="51">
        <f t="shared" ca="1" si="0"/>
        <v>3.65</v>
      </c>
      <c r="F10" s="12">
        <f t="shared" ca="1" si="1"/>
        <v>9.8889173587901391E-2</v>
      </c>
    </row>
    <row r="11" spans="1:11" ht="15" customHeight="1" thickBot="1">
      <c r="A11" s="57">
        <v>11</v>
      </c>
      <c r="B11" s="58">
        <v>47616</v>
      </c>
      <c r="C11" s="57">
        <v>3.6</v>
      </c>
      <c r="D11" s="57">
        <v>0</v>
      </c>
      <c r="E11" s="51">
        <f t="shared" ca="1" si="0"/>
        <v>3.6</v>
      </c>
      <c r="F11" s="12">
        <f t="shared" ca="1" si="1"/>
        <v>0.10696312447092982</v>
      </c>
    </row>
    <row r="12" spans="1:11" ht="15" customHeight="1" thickBot="1">
      <c r="A12" s="57">
        <v>12</v>
      </c>
      <c r="B12" s="58">
        <v>47800</v>
      </c>
      <c r="C12" s="57">
        <v>3.65</v>
      </c>
      <c r="D12" s="57">
        <v>0</v>
      </c>
      <c r="E12" s="51">
        <f t="shared" ca="1" si="0"/>
        <v>3.65</v>
      </c>
      <c r="F12" s="12">
        <f t="shared" ca="1" si="1"/>
        <v>0.11744750638177279</v>
      </c>
    </row>
    <row r="13" spans="1:11" ht="15" customHeight="1" thickBot="1">
      <c r="A13" s="57">
        <v>13</v>
      </c>
      <c r="B13" s="58">
        <v>47981</v>
      </c>
      <c r="C13" s="57">
        <v>3.6</v>
      </c>
      <c r="D13" s="57">
        <v>0</v>
      </c>
      <c r="E13" s="51">
        <f t="shared" ca="1" si="0"/>
        <v>3.6</v>
      </c>
      <c r="F13" s="12">
        <f t="shared" ca="1" si="1"/>
        <v>0.12390640993465095</v>
      </c>
    </row>
    <row r="14" spans="1:11" ht="15" customHeight="1" thickBot="1">
      <c r="A14" s="57">
        <v>14</v>
      </c>
      <c r="B14" s="58">
        <v>48165</v>
      </c>
      <c r="C14" s="57">
        <v>3.65</v>
      </c>
      <c r="D14" s="57">
        <v>100</v>
      </c>
      <c r="E14" s="51">
        <f t="shared" ca="1" si="0"/>
        <v>103.65</v>
      </c>
      <c r="F14" s="12">
        <f t="shared" ca="1" si="1"/>
        <v>3.7851793737220714</v>
      </c>
    </row>
    <row r="15" spans="1:11" ht="15" customHeight="1" thickBot="1">
      <c r="A15" s="57"/>
      <c r="B15" s="58"/>
      <c r="C15" s="57"/>
      <c r="D15" s="57"/>
      <c r="E15" s="51">
        <f ca="1">IF(B15&lt;=$B$2,0,(C15+D15))</f>
        <v>0</v>
      </c>
      <c r="F15" s="12"/>
    </row>
    <row r="16" spans="1:11" ht="15" customHeight="1" thickBot="1">
      <c r="A16" s="57"/>
      <c r="B16" s="58"/>
      <c r="C16" s="57"/>
      <c r="D16" s="57"/>
      <c r="E16" s="51">
        <f ca="1">IF(B16&lt;=$B$2,0,(C16+D16))</f>
        <v>0</v>
      </c>
      <c r="F16" s="12"/>
    </row>
    <row r="17" spans="1:6" ht="15" customHeight="1" thickBot="1">
      <c r="A17" s="57"/>
      <c r="B17" s="58"/>
      <c r="C17" s="57"/>
      <c r="D17" s="57"/>
      <c r="E17" s="51">
        <f ca="1">IF(B17&lt;=$B$2,0,(C17+D17))</f>
        <v>0</v>
      </c>
      <c r="F17" s="12"/>
    </row>
    <row r="18" spans="1:6" ht="15" customHeight="1" thickBot="1">
      <c r="A18" s="57"/>
      <c r="B18" s="58"/>
      <c r="C18" s="57"/>
      <c r="D18" s="57"/>
      <c r="E18" s="51">
        <f ca="1">IF(B18&lt;=$B$2,0,(C18+D18))</f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0C0D05D8-969B-48A1-9470-DA75531E6DB6}"/>
    <hyperlink ref="A1" r:id="rId1" display="https://app.powerbi.com/links/IE6ye0vHLu?ctid=1123ebae-a006-42c7-9ea3-c84a2feb0e65&amp;pbi_source=linkShare&amp;bookmarkGuid=b6b4914a-bb65-4140-ad87-5fa3f40adcbd" xr:uid="{5033CEB0-D1BE-499A-AC00-F68994BCBABF}"/>
  </hyperlinks>
  <pageMargins left="0.7" right="0.7" top="0.75" bottom="0.75" header="0.3" footer="0.3"/>
  <pageSetup paperSize="9" orientation="portrait"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AC1-522C-4A34-8131-07D5D6D4833B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6" t="s">
        <v>112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-103.25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46169</v>
      </c>
      <c r="C3" s="57">
        <v>3.75</v>
      </c>
      <c r="D3" s="57">
        <v>0</v>
      </c>
      <c r="E3" s="51">
        <f t="shared" ref="E3:E8" ca="1" si="0">IF(B3&lt;=$B$2,0,(C3+D3))</f>
        <v>3.75</v>
      </c>
      <c r="F3" s="12">
        <f t="shared" ref="F3:F8" ca="1" si="1">(E3*(B3-$B$2)/365)/(1+$K$4)^((B3-$B$2)/365)/-$E$2/(1+$K$4)^$K$2</f>
        <v>9.5856437797973669E-3</v>
      </c>
      <c r="J3" s="13" t="s">
        <v>85</v>
      </c>
      <c r="K3" s="14">
        <f ca="1">SUM(F3:F102)</f>
        <v>1.1871122933575771</v>
      </c>
    </row>
    <row r="4" spans="1:11" ht="15" customHeight="1" thickBot="1">
      <c r="A4" s="57">
        <v>3</v>
      </c>
      <c r="B4" s="58">
        <v>46353</v>
      </c>
      <c r="C4" s="57">
        <v>3.75</v>
      </c>
      <c r="D4" s="57">
        <v>0</v>
      </c>
      <c r="E4" s="51">
        <f t="shared" ca="1" si="0"/>
        <v>3.75</v>
      </c>
      <c r="F4" s="12">
        <f t="shared" ca="1" si="1"/>
        <v>2.6230599966255121E-2</v>
      </c>
      <c r="J4" s="1" t="s">
        <v>4</v>
      </c>
      <c r="K4" s="2">
        <f ca="1">XIRR(E2:E26,B2:B26)</f>
        <v>6.2810048460960388E-2</v>
      </c>
    </row>
    <row r="5" spans="1:11" ht="15" customHeight="1" thickBot="1">
      <c r="A5" s="57">
        <v>4</v>
      </c>
      <c r="B5" s="58">
        <v>46534</v>
      </c>
      <c r="C5" s="57">
        <v>3.75</v>
      </c>
      <c r="D5" s="57">
        <v>100</v>
      </c>
      <c r="E5" s="51">
        <f t="shared" ca="1" si="0"/>
        <v>103.75</v>
      </c>
      <c r="F5" s="12">
        <f t="shared" ca="1" si="1"/>
        <v>1.1512960496115245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56B01145-D137-4F10-B423-61179161493D}"/>
  </hyperlink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1" t="s">
        <v>18</v>
      </c>
      <c r="C1" s="31" t="s">
        <v>81</v>
      </c>
      <c r="D1" s="31" t="s">
        <v>82</v>
      </c>
      <c r="E1" s="41" t="s">
        <v>83</v>
      </c>
    </row>
    <row r="2" spans="1:11" ht="15" customHeight="1">
      <c r="A2" s="7"/>
      <c r="B2" s="22">
        <f ca="1">Main!D1</f>
        <v>46068</v>
      </c>
      <c r="C2" s="7"/>
      <c r="E2" s="8" cm="1">
        <f t="array" ref="E2">-_xll.PrecioBD(A1,"24","ASK","N")</f>
        <v>-65.37</v>
      </c>
      <c r="J2" s="1" t="s">
        <v>84</v>
      </c>
      <c r="K2" s="1">
        <v>0.5</v>
      </c>
    </row>
    <row r="3" spans="1:11" ht="15" customHeight="1" thickBot="1">
      <c r="A3" s="57">
        <v>10</v>
      </c>
      <c r="B3" s="58">
        <v>46142</v>
      </c>
      <c r="C3" s="57">
        <v>2.74</v>
      </c>
      <c r="D3" s="57">
        <v>20</v>
      </c>
      <c r="E3" s="51">
        <f ca="1">IF(B3&lt;=$B$2,0,(C3+D3))</f>
        <v>22.740000000000002</v>
      </c>
      <c r="F3" s="12">
        <f ca="1">(E3*(B3-$B$2)/365)/(1+$K$4)^((B3-$B$2)/365)/-$E$2/(1+$K$4)^$K$2</f>
        <v>7.0405421717238362E-2</v>
      </c>
      <c r="J3" s="13" t="s">
        <v>85</v>
      </c>
      <c r="K3" s="14">
        <f ca="1">SUM(F3:F19)</f>
        <v>0.68797657709823068</v>
      </c>
    </row>
    <row r="4" spans="1:11" ht="15" customHeight="1" thickBot="1">
      <c r="A4" s="57">
        <v>11</v>
      </c>
      <c r="B4" s="58">
        <v>46325</v>
      </c>
      <c r="C4" s="57">
        <v>1.83</v>
      </c>
      <c r="D4" s="57">
        <v>20</v>
      </c>
      <c r="E4" s="51">
        <f ca="1">IF(B4&lt;=$B$2,0,(C4+D4))</f>
        <v>21.83</v>
      </c>
      <c r="F4" s="12">
        <f ca="1">(E4*(B4-$B$2)/365)/(1+$K$4)^((B4-$B$2)/365)/-$E$2/(1+$K$4)^$K$2</f>
        <v>0.23444418099089381</v>
      </c>
      <c r="J4" s="1" t="s">
        <v>4</v>
      </c>
      <c r="K4" s="2">
        <f ca="1">XIRR(E2:E22,B2:B22)</f>
        <v>2.4431377649307253E-3</v>
      </c>
    </row>
    <row r="5" spans="1:11" ht="15" customHeight="1" thickBot="1">
      <c r="A5" s="57">
        <v>12</v>
      </c>
      <c r="B5" s="58">
        <v>46507</v>
      </c>
      <c r="C5" s="57">
        <v>0.91</v>
      </c>
      <c r="D5" s="57">
        <v>20</v>
      </c>
      <c r="E5" s="51">
        <f ca="1">IF(B5&lt;=$B$2,0,(C5+D5))</f>
        <v>20.91</v>
      </c>
      <c r="F5" s="12">
        <f ca="1">(E5*(B5-$B$2)/365)/(1+$K$4)^((B5-$B$2)/365)/-$E$2/(1+$K$4)^$K$2</f>
        <v>0.38312697439009852</v>
      </c>
    </row>
    <row r="6" spans="1:11" ht="15" customHeight="1">
      <c r="A6" s="7"/>
      <c r="B6" s="32"/>
      <c r="C6" s="7"/>
      <c r="D6" s="7"/>
      <c r="E6" s="51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>
      <c r="A7" s="7"/>
      <c r="B7" s="28"/>
      <c r="C7" s="7"/>
      <c r="D7" s="7"/>
      <c r="E7" s="51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>
      <c r="E8" s="51">
        <f t="shared" ref="E8:E24" ca="1" si="0">IF(B8&lt;=$B$2,0,(C8+D8))</f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.6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62F5-9254-433B-AFE3-AE4145DE2448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138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-107.45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46223</v>
      </c>
      <c r="C3" s="57">
        <v>4.22</v>
      </c>
      <c r="D3" s="57">
        <v>0</v>
      </c>
      <c r="E3" s="51">
        <f ca="1">IF(B3&lt;=$B$2,0,(C3+D3))</f>
        <v>4.22</v>
      </c>
      <c r="F3" s="12">
        <f ca="1">(E3*(B3-$B$2)/365)/(1+$K$4)^((B3-$B$2)/365)/-$E$2/(1+$K$4)^$K$2</f>
        <v>1.5584485583305116E-2</v>
      </c>
      <c r="J3" s="13" t="s">
        <v>85</v>
      </c>
      <c r="K3" s="14">
        <f ca="1">SUM(F3:F102)</f>
        <v>6.4927935032483592</v>
      </c>
    </row>
    <row r="4" spans="1:11" ht="15" customHeight="1" thickBot="1">
      <c r="A4" s="57">
        <v>2</v>
      </c>
      <c r="B4" s="58">
        <v>46407</v>
      </c>
      <c r="C4" s="57">
        <v>4.28</v>
      </c>
      <c r="D4" s="57">
        <v>0</v>
      </c>
      <c r="E4" s="51">
        <f ca="1">IF(B4&lt;=$B$2,0,(C4+D4))</f>
        <v>4.28</v>
      </c>
      <c r="F4" s="12">
        <f ca="1">(E4*(B4-$B$2)/365)/(1+$K$4)^((B4-$B$2)/365)/-$E$2/(1+$K$4)^$K$2</f>
        <v>3.3314613651446758E-2</v>
      </c>
      <c r="J4" s="1" t="s">
        <v>4</v>
      </c>
      <c r="K4" s="2">
        <f ca="1">XIRR(E2:E22,B2:B22)</f>
        <v>7.6098975539207456E-2</v>
      </c>
    </row>
    <row r="5" spans="1:11" ht="15" customHeight="1" thickBot="1">
      <c r="A5" s="57">
        <v>3</v>
      </c>
      <c r="B5" s="58">
        <v>46588</v>
      </c>
      <c r="C5" s="57">
        <v>4.22</v>
      </c>
      <c r="D5" s="57">
        <v>0</v>
      </c>
      <c r="E5" s="51">
        <f ca="1">IF(B5&lt;=$B$2,0,(C5+D5))</f>
        <v>4.22</v>
      </c>
      <c r="F5" s="12">
        <f ca="1">(E5*(B5-$B$2)/365)/(1+$K$4)^((B5-$B$2)/365)/-$E$2/(1+$K$4)^$K$2</f>
        <v>4.8586084267094209E-2</v>
      </c>
      <c r="J5" s="15" t="s">
        <v>86</v>
      </c>
    </row>
    <row r="6" spans="1:11" ht="15" customHeight="1" thickBot="1">
      <c r="A6" s="57">
        <v>4</v>
      </c>
      <c r="B6" s="58">
        <v>46772</v>
      </c>
      <c r="C6" s="57">
        <v>4.28</v>
      </c>
      <c r="D6" s="57">
        <v>0</v>
      </c>
      <c r="E6" s="51">
        <f t="shared" ref="E6:E22" ca="1" si="0">IF(B6&lt;=$B$2,0,(C6+D6))</f>
        <v>4.28</v>
      </c>
      <c r="F6" s="12">
        <f t="shared" ref="F6:F22" ca="1" si="1">(E6*(B6-$B$2)/365)/(1+$K$4)^((B6-$B$2)/365)/-$E$2/(1+$K$4)^$K$2</f>
        <v>6.4291790985245845E-2</v>
      </c>
    </row>
    <row r="7" spans="1:11" ht="15" customHeight="1" thickBot="1">
      <c r="A7" s="57">
        <v>5</v>
      </c>
      <c r="B7" s="58">
        <v>46954</v>
      </c>
      <c r="C7" s="57">
        <v>4.24</v>
      </c>
      <c r="D7" s="57">
        <v>0</v>
      </c>
      <c r="E7" s="51">
        <f t="shared" ca="1" si="0"/>
        <v>4.24</v>
      </c>
      <c r="F7" s="12">
        <f t="shared" ca="1" si="1"/>
        <v>7.7278057813025422E-2</v>
      </c>
    </row>
    <row r="8" spans="1:11" ht="15" customHeight="1" thickBot="1">
      <c r="A8" s="57">
        <v>6</v>
      </c>
      <c r="B8" s="58">
        <v>47140</v>
      </c>
      <c r="C8" s="57">
        <v>4.28</v>
      </c>
      <c r="D8" s="57">
        <v>0</v>
      </c>
      <c r="E8" s="51">
        <f t="shared" ca="1" si="0"/>
        <v>4.28</v>
      </c>
      <c r="F8" s="12">
        <f t="shared" ca="1" si="1"/>
        <v>9.0920880597431003E-2</v>
      </c>
    </row>
    <row r="9" spans="1:11" ht="15" customHeight="1" thickBot="1">
      <c r="A9" s="57">
        <v>7</v>
      </c>
      <c r="B9" s="58">
        <v>47319</v>
      </c>
      <c r="C9" s="57">
        <v>4.22</v>
      </c>
      <c r="D9" s="57">
        <v>0</v>
      </c>
      <c r="E9" s="51">
        <f t="shared" ca="1" si="0"/>
        <v>4.22</v>
      </c>
      <c r="F9" s="12">
        <f t="shared" ca="1" si="1"/>
        <v>0.10091928452528399</v>
      </c>
    </row>
    <row r="10" spans="1:11" ht="15" customHeight="1" thickBot="1">
      <c r="A10" s="57">
        <v>8</v>
      </c>
      <c r="B10" s="58">
        <v>47504</v>
      </c>
      <c r="C10" s="57">
        <v>4.28</v>
      </c>
      <c r="D10" s="57">
        <v>0</v>
      </c>
      <c r="E10" s="51">
        <f t="shared" ca="1" si="0"/>
        <v>4.28</v>
      </c>
      <c r="F10" s="12">
        <f t="shared" ca="1" si="1"/>
        <v>0.113203104274316</v>
      </c>
    </row>
    <row r="11" spans="1:11" ht="15" customHeight="1" thickBot="1">
      <c r="A11" s="57">
        <v>9</v>
      </c>
      <c r="B11" s="58">
        <v>47686</v>
      </c>
      <c r="C11" s="57">
        <v>4.22</v>
      </c>
      <c r="D11" s="57">
        <v>0</v>
      </c>
      <c r="E11" s="51">
        <f t="shared" ca="1" si="0"/>
        <v>4.22</v>
      </c>
      <c r="F11" s="12">
        <f t="shared" ca="1" si="1"/>
        <v>0.12124633502573777</v>
      </c>
    </row>
    <row r="12" spans="1:11" ht="15" customHeight="1" thickBot="1">
      <c r="A12" s="57">
        <v>10</v>
      </c>
      <c r="B12" s="58">
        <v>47868</v>
      </c>
      <c r="C12" s="57">
        <v>4.28</v>
      </c>
      <c r="D12" s="57">
        <v>0</v>
      </c>
      <c r="E12" s="51">
        <f t="shared" ca="1" si="0"/>
        <v>4.28</v>
      </c>
      <c r="F12" s="12">
        <f t="shared" ca="1" si="1"/>
        <v>0.13188987295518195</v>
      </c>
    </row>
    <row r="13" spans="1:11" ht="15" customHeight="1" thickBot="1">
      <c r="A13" s="57">
        <v>11</v>
      </c>
      <c r="B13" s="58">
        <v>48050</v>
      </c>
      <c r="C13" s="57">
        <v>4.22</v>
      </c>
      <c r="D13" s="57">
        <v>0</v>
      </c>
      <c r="E13" s="51">
        <f t="shared" ca="1" si="0"/>
        <v>4.22</v>
      </c>
      <c r="F13" s="12">
        <f t="shared" ca="1" si="1"/>
        <v>0.13804758106090687</v>
      </c>
    </row>
    <row r="14" spans="1:11" ht="15" customHeight="1" thickBot="1">
      <c r="A14" s="57">
        <v>12</v>
      </c>
      <c r="B14" s="58">
        <v>48233</v>
      </c>
      <c r="C14" s="57">
        <v>4.28</v>
      </c>
      <c r="D14" s="57">
        <v>0</v>
      </c>
      <c r="E14" s="51">
        <f t="shared" ca="1" si="0"/>
        <v>4.28</v>
      </c>
      <c r="F14" s="12">
        <f t="shared" ca="1" si="1"/>
        <v>0.14741600160425711</v>
      </c>
    </row>
    <row r="15" spans="1:11" ht="15" customHeight="1" thickBot="1">
      <c r="A15" s="57">
        <v>13</v>
      </c>
      <c r="B15" s="58">
        <v>48415</v>
      </c>
      <c r="C15" s="57">
        <v>4.24</v>
      </c>
      <c r="D15" s="57">
        <v>0</v>
      </c>
      <c r="E15" s="51">
        <f t="shared" ca="1" si="0"/>
        <v>4.24</v>
      </c>
      <c r="F15" s="12">
        <f t="shared" ca="1" si="1"/>
        <v>0.15262983272463218</v>
      </c>
    </row>
    <row r="16" spans="1:11" ht="15" customHeight="1" thickBot="1">
      <c r="A16" s="57">
        <v>14</v>
      </c>
      <c r="B16" s="58">
        <v>48599</v>
      </c>
      <c r="C16" s="57">
        <v>4.28</v>
      </c>
      <c r="D16" s="57">
        <v>0</v>
      </c>
      <c r="E16" s="51">
        <f t="shared" ca="1" si="0"/>
        <v>4.28</v>
      </c>
      <c r="F16" s="12">
        <f t="shared" ca="1" si="1"/>
        <v>0.16011771646334602</v>
      </c>
    </row>
    <row r="17" spans="1:6" ht="15" customHeight="1" thickBot="1">
      <c r="A17" s="57">
        <v>15</v>
      </c>
      <c r="B17" s="58">
        <v>48780</v>
      </c>
      <c r="C17" s="57">
        <v>4.22</v>
      </c>
      <c r="D17" s="57">
        <v>0</v>
      </c>
      <c r="E17" s="51">
        <f t="shared" ca="1" si="0"/>
        <v>4.22</v>
      </c>
      <c r="F17" s="12">
        <f t="shared" ca="1" si="1"/>
        <v>0.16312119722510482</v>
      </c>
    </row>
    <row r="18" spans="1:6" ht="15" customHeight="1" thickBot="1">
      <c r="A18" s="57">
        <v>16</v>
      </c>
      <c r="B18" s="58">
        <v>48964</v>
      </c>
      <c r="C18" s="57">
        <v>4.28</v>
      </c>
      <c r="D18" s="57">
        <v>0</v>
      </c>
      <c r="E18" s="51">
        <f t="shared" ca="1" si="0"/>
        <v>4.28</v>
      </c>
      <c r="F18" s="12">
        <f t="shared" ca="1" si="1"/>
        <v>0.17025253305527244</v>
      </c>
    </row>
    <row r="19" spans="1:6" ht="15" customHeight="1" thickBot="1">
      <c r="A19" s="57">
        <v>17</v>
      </c>
      <c r="B19" s="58">
        <v>49145</v>
      </c>
      <c r="C19" s="57">
        <v>4.22</v>
      </c>
      <c r="D19" s="57">
        <v>0</v>
      </c>
      <c r="E19" s="51">
        <f t="shared" ca="1" si="0"/>
        <v>4.22</v>
      </c>
      <c r="F19" s="12">
        <f t="shared" ca="1" si="1"/>
        <v>0.1719871474383548</v>
      </c>
    </row>
    <row r="20" spans="1:6" ht="15" customHeight="1" thickBot="1">
      <c r="A20" s="57">
        <v>18</v>
      </c>
      <c r="B20" s="58">
        <v>49331</v>
      </c>
      <c r="C20" s="57">
        <v>4.28</v>
      </c>
      <c r="D20" s="57">
        <v>50</v>
      </c>
      <c r="E20" s="51">
        <f t="shared" ca="1" si="0"/>
        <v>54.28</v>
      </c>
      <c r="F20" s="12">
        <f t="shared" ca="1" si="1"/>
        <v>2.2598593893248737</v>
      </c>
    </row>
    <row r="21" spans="1:6" ht="15" customHeight="1" thickBot="1">
      <c r="A21" s="57">
        <v>19</v>
      </c>
      <c r="B21" s="58">
        <v>49510</v>
      </c>
      <c r="C21" s="57">
        <v>2.11</v>
      </c>
      <c r="D21" s="57">
        <v>0</v>
      </c>
      <c r="E21" s="51">
        <f t="shared" ca="1" si="0"/>
        <v>2.11</v>
      </c>
      <c r="F21" s="12">
        <f t="shared" ca="1" si="1"/>
        <v>8.9391690327646281E-2</v>
      </c>
    </row>
    <row r="22" spans="1:6" ht="15" customHeight="1" thickBot="1">
      <c r="A22" s="57">
        <v>20</v>
      </c>
      <c r="B22" s="58">
        <v>49695</v>
      </c>
      <c r="C22" s="57">
        <v>2.14</v>
      </c>
      <c r="D22" s="57">
        <v>50</v>
      </c>
      <c r="E22" s="51">
        <f t="shared" ca="1" si="0"/>
        <v>52.14</v>
      </c>
      <c r="F22" s="12">
        <f t="shared" ca="1" si="1"/>
        <v>2.2427359043458965</v>
      </c>
    </row>
    <row r="24" spans="1:6" ht="15" customHeight="1">
      <c r="E24" s="51">
        <f ca="1">IF(B24&lt;=$B$2,0,(C24+D24))</f>
        <v>0</v>
      </c>
    </row>
  </sheetData>
  <hyperlinks>
    <hyperlink ref="J5" location="'ONS NY'!A1" display="ONS" xr:uid="{BE5A5A3E-F928-47EF-AD15-0551C095721A}"/>
  </hyperlink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1020-0726-4CB8-BB12-B37B42E9511F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7" t="s">
        <v>111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-102.6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46163</v>
      </c>
      <c r="C3" s="57">
        <v>4.09</v>
      </c>
      <c r="D3" s="57">
        <v>0</v>
      </c>
      <c r="E3" s="51">
        <f t="shared" ref="E3:E8" ca="1" si="0">IF(B3&lt;=$B$2,0,(C3+D3))</f>
        <v>4.09</v>
      </c>
      <c r="F3" s="12">
        <f t="shared" ref="F3:F8" ca="1" si="1">(E3*(B3-$B$2)/365)/(1+$K$4)^((B3-$B$2)/365)/-$E$2/(1+$K$4)^$K$2</f>
        <v>9.7978977745826722E-3</v>
      </c>
      <c r="J3" s="13" t="s">
        <v>85</v>
      </c>
      <c r="K3" s="14">
        <f ca="1">SUM(F3:F102)</f>
        <v>1.1577742484780442</v>
      </c>
    </row>
    <row r="4" spans="1:11" ht="15" customHeight="1" thickBot="1">
      <c r="A4" s="57">
        <v>3</v>
      </c>
      <c r="B4" s="58">
        <v>46350</v>
      </c>
      <c r="C4" s="57">
        <v>4.2300000000000004</v>
      </c>
      <c r="D4" s="57">
        <v>0</v>
      </c>
      <c r="E4" s="51">
        <f t="shared" ca="1" si="0"/>
        <v>4.2300000000000004</v>
      </c>
      <c r="F4" s="12">
        <f t="shared" ca="1" si="1"/>
        <v>2.8941009321921923E-2</v>
      </c>
      <c r="J4" s="1" t="s">
        <v>4</v>
      </c>
      <c r="K4" s="2">
        <f ca="1">XIRR(E2:E26,B2:B26)</f>
        <v>7.8243550658226024E-2</v>
      </c>
    </row>
    <row r="5" spans="1:11" ht="15" customHeight="1" thickBot="1">
      <c r="A5" s="57">
        <v>4</v>
      </c>
      <c r="B5" s="58">
        <v>46528</v>
      </c>
      <c r="C5" s="57">
        <v>4.0199999999999996</v>
      </c>
      <c r="D5" s="57">
        <v>100</v>
      </c>
      <c r="E5" s="51">
        <f t="shared" ca="1" si="0"/>
        <v>104.02</v>
      </c>
      <c r="F5" s="12">
        <f t="shared" ca="1" si="1"/>
        <v>1.1190353413815397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B0877EF-68DC-4113-B010-CB21F894C4C3}"/>
  </hyperlink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E3E2-C096-456B-BE90-D3C65DE649E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6" t="s">
        <v>110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-104.4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46153</v>
      </c>
      <c r="C3" s="57">
        <v>3.35</v>
      </c>
      <c r="D3" s="57">
        <v>0</v>
      </c>
      <c r="E3" s="51">
        <f t="shared" ref="E3:E8" ca="1" si="0">IF(B3&lt;=$B$2,0,(C3+D3))</f>
        <v>3.35</v>
      </c>
      <c r="F3" s="12">
        <f t="shared" ref="F3:F8" ca="1" si="1">(E3*(B3-$B$2)/365)/(1+$K$4)^((B3-$B$2)/365)/-$E$2/(1+$K$4)^$K$2</f>
        <v>7.230609998113367E-3</v>
      </c>
      <c r="J3" s="13" t="s">
        <v>85</v>
      </c>
      <c r="K3" s="14">
        <f ca="1">SUM(F3:F102)</f>
        <v>1.1564905370890624</v>
      </c>
    </row>
    <row r="4" spans="1:11" ht="15" customHeight="1" thickBot="1">
      <c r="A4" s="57">
        <v>3</v>
      </c>
      <c r="B4" s="58">
        <v>46335</v>
      </c>
      <c r="C4" s="57">
        <v>3.4</v>
      </c>
      <c r="D4" s="57">
        <v>0</v>
      </c>
      <c r="E4" s="51">
        <f t="shared" ca="1" si="0"/>
        <v>3.4</v>
      </c>
      <c r="F4" s="12">
        <f t="shared" ca="1" si="1"/>
        <v>2.2541102039260449E-2</v>
      </c>
      <c r="J4" s="1" t="s">
        <v>4</v>
      </c>
      <c r="K4" s="2">
        <f ca="1">XIRR(E2:E26,B2:B26)</f>
        <v>4.593794047832489E-2</v>
      </c>
    </row>
    <row r="5" spans="1:11" ht="15" customHeight="1" thickBot="1">
      <c r="A5" s="57">
        <v>4</v>
      </c>
      <c r="B5" s="58">
        <v>46517</v>
      </c>
      <c r="C5" s="57">
        <v>3.35</v>
      </c>
      <c r="D5" s="57">
        <v>100</v>
      </c>
      <c r="E5" s="51">
        <f t="shared" ca="1" si="0"/>
        <v>103.35</v>
      </c>
      <c r="F5" s="12">
        <f t="shared" ca="1" si="1"/>
        <v>1.1267188250516886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t="shared" ca="1" si="0"/>
        <v>0</v>
      </c>
      <c r="F6" s="12">
        <f t="shared" ca="1" si="1"/>
        <v>0</v>
      </c>
    </row>
    <row r="7" spans="1:11" ht="15" customHeight="1" thickBot="1">
      <c r="A7" s="57"/>
      <c r="B7" s="58"/>
      <c r="C7" s="57"/>
      <c r="D7" s="57"/>
      <c r="E7" s="51">
        <f t="shared" ca="1" si="0"/>
        <v>0</v>
      </c>
      <c r="F7" s="12">
        <f t="shared" ca="1" si="1"/>
        <v>0</v>
      </c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>
        <f t="shared" ca="1" si="1"/>
        <v>0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D457384B-899D-4496-A87E-B361CD6405D8}"/>
  </hyperlink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A0CE-5502-4522-8C92-BE8F15177C7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6" t="s">
        <v>109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-102.65</v>
      </c>
      <c r="J2" s="1" t="s">
        <v>84</v>
      </c>
      <c r="K2" s="1">
        <v>0.5</v>
      </c>
    </row>
    <row r="3" spans="1:11" ht="15" customHeight="1" thickBot="1">
      <c r="A3" s="57">
        <v>3</v>
      </c>
      <c r="B3" s="58">
        <v>46062</v>
      </c>
      <c r="C3" s="57">
        <v>1.76</v>
      </c>
      <c r="D3" s="57">
        <v>0</v>
      </c>
      <c r="E3" s="51">
        <f t="shared" ref="E3:E8" ca="1" si="0">IF(B3&lt;=$B$2,0,(C3+D3))</f>
        <v>0</v>
      </c>
      <c r="F3" s="12">
        <f t="shared" ref="F3:F8" ca="1" si="1">(E3*(B3-$B$2)/365)/(1+$K$4)^((B3-$B$2)/365)/-$E$2/(1+$K$4)^$K$2</f>
        <v>0</v>
      </c>
      <c r="J3" s="13" t="s">
        <v>85</v>
      </c>
      <c r="K3" s="14">
        <f ca="1">SUM(F3:F102)</f>
        <v>1.1525748819108161</v>
      </c>
    </row>
    <row r="4" spans="1:11" ht="15" customHeight="1" thickBot="1">
      <c r="A4" s="57">
        <v>4</v>
      </c>
      <c r="B4" s="58">
        <v>46149</v>
      </c>
      <c r="C4" s="57">
        <v>1.71</v>
      </c>
      <c r="D4" s="57">
        <v>0</v>
      </c>
      <c r="E4" s="51">
        <f t="shared" ca="1" si="0"/>
        <v>1.71</v>
      </c>
      <c r="F4" s="12">
        <f t="shared" ca="1" si="1"/>
        <v>3.5697146151520247E-3</v>
      </c>
      <c r="J4" s="1" t="s">
        <v>4</v>
      </c>
      <c r="K4" s="2">
        <f ca="1">XIRR(E2:E26,B2:B26)</f>
        <v>4.9661406874656672E-2</v>
      </c>
    </row>
    <row r="5" spans="1:11" ht="15" customHeight="1" thickBot="1">
      <c r="A5" s="57">
        <v>5</v>
      </c>
      <c r="B5" s="58">
        <v>46241</v>
      </c>
      <c r="C5" s="57">
        <v>1.76</v>
      </c>
      <c r="D5" s="57">
        <v>0</v>
      </c>
      <c r="E5" s="51">
        <f t="shared" ca="1" si="0"/>
        <v>1.76</v>
      </c>
      <c r="F5" s="12">
        <f t="shared" ca="1" si="1"/>
        <v>7.7518539146149987E-3</v>
      </c>
      <c r="J5" s="15" t="s">
        <v>86</v>
      </c>
    </row>
    <row r="6" spans="1:11" ht="15" customHeight="1" thickBot="1">
      <c r="A6" s="57">
        <v>6</v>
      </c>
      <c r="B6" s="58">
        <v>46335</v>
      </c>
      <c r="C6" s="57">
        <v>1.76</v>
      </c>
      <c r="D6" s="57">
        <v>0</v>
      </c>
      <c r="E6" s="51">
        <f t="shared" ca="1" si="0"/>
        <v>1.76</v>
      </c>
      <c r="F6" s="12">
        <f t="shared" ca="1" si="1"/>
        <v>1.1815438403832191E-2</v>
      </c>
    </row>
    <row r="7" spans="1:11" ht="15" customHeight="1" thickBot="1">
      <c r="A7" s="57">
        <v>7</v>
      </c>
      <c r="B7" s="58">
        <v>46426</v>
      </c>
      <c r="C7" s="57">
        <v>1.76</v>
      </c>
      <c r="D7" s="57">
        <v>0</v>
      </c>
      <c r="E7" s="51">
        <f t="shared" ca="1" si="0"/>
        <v>1.76</v>
      </c>
      <c r="F7" s="12">
        <f t="shared" ca="1" si="1"/>
        <v>1.5652139705470504E-2</v>
      </c>
    </row>
    <row r="8" spans="1:11" ht="15" customHeight="1" thickBot="1">
      <c r="A8" s="57">
        <v>8</v>
      </c>
      <c r="B8" s="58">
        <v>46514</v>
      </c>
      <c r="C8" s="57">
        <v>1.71</v>
      </c>
      <c r="D8" s="57">
        <v>100</v>
      </c>
      <c r="E8" s="51">
        <f t="shared" ca="1" si="0"/>
        <v>101.71</v>
      </c>
      <c r="F8" s="12">
        <f t="shared" ca="1" si="1"/>
        <v>1.1137857352717464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DDAC4C02-79F9-474D-932B-7B9B8DC29957}"/>
  </hyperlink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8520-58DF-4F62-B5EA-35CD4FC5BA58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6" t="s">
        <v>108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-101.85</v>
      </c>
      <c r="J2" s="1" t="s">
        <v>84</v>
      </c>
      <c r="K2" s="1">
        <v>0.5</v>
      </c>
    </row>
    <row r="3" spans="1:11" ht="15" customHeight="1" thickBot="1">
      <c r="A3" s="57">
        <v>5</v>
      </c>
      <c r="B3" s="58">
        <v>46048</v>
      </c>
      <c r="C3" s="57">
        <v>1.76</v>
      </c>
      <c r="D3" s="57">
        <v>0</v>
      </c>
      <c r="E3" s="51">
        <f t="shared" ref="E3:E8" ca="1" si="0">IF(B3&lt;=$B$2,0,(C3+D3))</f>
        <v>0</v>
      </c>
      <c r="F3" s="12">
        <f t="shared" ref="F3:F8" ca="1" si="1">(E3*(B3-$B$2)/365)/(1+$K$4)^((B3-$B$2)/365)/-$E$2/(1+$K$4)^$K$2</f>
        <v>0</v>
      </c>
      <c r="J3" s="13" t="s">
        <v>85</v>
      </c>
      <c r="K3" s="14">
        <f ca="1">SUM(F3:F102)</f>
        <v>1.1125311292405933</v>
      </c>
    </row>
    <row r="4" spans="1:11" ht="15" customHeight="1" thickBot="1">
      <c r="A4" s="57">
        <v>6</v>
      </c>
      <c r="B4" s="58">
        <v>46136</v>
      </c>
      <c r="C4" s="57">
        <v>1.73</v>
      </c>
      <c r="D4" s="57">
        <v>0</v>
      </c>
      <c r="E4" s="51">
        <f t="shared" ca="1" si="0"/>
        <v>1.73</v>
      </c>
      <c r="F4" s="12">
        <f t="shared" ca="1" si="1"/>
        <v>3.0429424755631061E-3</v>
      </c>
      <c r="J4" s="1" t="s">
        <v>4</v>
      </c>
      <c r="K4" s="2">
        <f ca="1">XIRR(E2:E26,B2:B26)</f>
        <v>5.8720216155052185E-2</v>
      </c>
    </row>
    <row r="5" spans="1:11" ht="15" customHeight="1" thickBot="1">
      <c r="A5" s="57">
        <v>7</v>
      </c>
      <c r="B5" s="58">
        <v>46227</v>
      </c>
      <c r="C5" s="57">
        <v>1.75</v>
      </c>
      <c r="D5" s="57">
        <v>0</v>
      </c>
      <c r="E5" s="51">
        <f t="shared" ca="1" si="0"/>
        <v>1.75</v>
      </c>
      <c r="F5" s="12">
        <f t="shared" ca="1" si="1"/>
        <v>7.0957053251601322E-3</v>
      </c>
      <c r="J5" s="15" t="s">
        <v>86</v>
      </c>
    </row>
    <row r="6" spans="1:11" ht="15" customHeight="1" thickBot="1">
      <c r="A6" s="57">
        <v>8</v>
      </c>
      <c r="B6" s="58">
        <v>46321</v>
      </c>
      <c r="C6" s="57">
        <v>1.76</v>
      </c>
      <c r="D6" s="57">
        <v>0</v>
      </c>
      <c r="E6" s="51">
        <f t="shared" ca="1" si="0"/>
        <v>1.76</v>
      </c>
      <c r="F6" s="12">
        <f t="shared" ca="1" si="1"/>
        <v>1.1189523129098641E-2</v>
      </c>
    </row>
    <row r="7" spans="1:11" ht="15" customHeight="1" thickBot="1">
      <c r="A7" s="57">
        <v>9</v>
      </c>
      <c r="B7" s="58">
        <v>46412</v>
      </c>
      <c r="C7" s="57">
        <v>1.76</v>
      </c>
      <c r="D7" s="57">
        <v>0</v>
      </c>
      <c r="E7" s="51">
        <f t="shared" ca="1" si="0"/>
        <v>1.76</v>
      </c>
      <c r="F7" s="12">
        <f t="shared" ca="1" si="1"/>
        <v>1.4999306221833025E-2</v>
      </c>
    </row>
    <row r="8" spans="1:11" ht="15" customHeight="1" thickBot="1">
      <c r="A8" s="57">
        <v>10</v>
      </c>
      <c r="B8" s="58">
        <v>46501</v>
      </c>
      <c r="C8" s="57">
        <v>1.73</v>
      </c>
      <c r="D8" s="57">
        <v>100</v>
      </c>
      <c r="E8" s="51">
        <f t="shared" ca="1" si="0"/>
        <v>101.73</v>
      </c>
      <c r="F8" s="12">
        <f t="shared" ca="1" si="1"/>
        <v>1.0762036520889384</v>
      </c>
    </row>
    <row r="9" spans="1:11" ht="15" customHeight="1" thickBot="1">
      <c r="A9" s="57"/>
      <c r="B9" s="58"/>
      <c r="C9" s="57"/>
      <c r="D9" s="57"/>
      <c r="E9" s="51">
        <f t="shared" ref="E9:E18" ca="1" si="2">IF(B9&lt;=$B$2,0,(C9+D9))</f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2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2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2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2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2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2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2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2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2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104ECF06-ACC0-47C6-A92E-547F226D49C8}"/>
  </hyperlink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749D-F78E-4D3C-BC3D-544717E14DCC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4" t="s">
        <v>107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-102.8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46129</v>
      </c>
      <c r="C3" s="57">
        <v>2.99</v>
      </c>
      <c r="D3" s="57">
        <v>0</v>
      </c>
      <c r="E3" s="51">
        <f ca="1">IF(B3&lt;=$B$2,0,(C3+D3))</f>
        <v>2.99</v>
      </c>
      <c r="F3" s="12">
        <f ca="1">(E3*(B3-$B$2)/365)/(1+$K$4)^((B3-$B$2)/365)/-$E$2/(1+$K$4)^$K$2</f>
        <v>4.6960039138754725E-3</v>
      </c>
      <c r="J3" s="13" t="s">
        <v>85</v>
      </c>
      <c r="K3" s="14">
        <f ca="1">SUM(F3:F102)</f>
        <v>1.1006715106076945</v>
      </c>
    </row>
    <row r="4" spans="1:11" ht="15" customHeight="1" thickBot="1">
      <c r="A4" s="57">
        <v>2</v>
      </c>
      <c r="B4" s="58">
        <v>46314</v>
      </c>
      <c r="C4" s="57">
        <v>3.01</v>
      </c>
      <c r="D4" s="57">
        <v>0</v>
      </c>
      <c r="E4" s="51">
        <f ca="1">IF(B4&lt;=$B$2,0,(C4+D4))</f>
        <v>3.01</v>
      </c>
      <c r="F4" s="12">
        <f ca="1">(E4*(B4-$B$2)/365)/(1+$K$4)^((B4-$B$2)/365)/-$E$2/(1+$K$4)^$K$2</f>
        <v>1.8571325882882728E-2</v>
      </c>
      <c r="J4" s="1" t="s">
        <v>4</v>
      </c>
      <c r="K4" s="2">
        <f ca="1">XIRR(E2:E26,B2:B26)</f>
        <v>5.3087612986564642E-2</v>
      </c>
    </row>
    <row r="5" spans="1:11" ht="15" customHeight="1" thickBot="1">
      <c r="A5" s="57">
        <v>3</v>
      </c>
      <c r="B5" s="58">
        <v>46496</v>
      </c>
      <c r="C5" s="57">
        <v>2.99</v>
      </c>
      <c r="D5" s="57">
        <v>100</v>
      </c>
      <c r="E5" s="51">
        <f ca="1">IF(B5&lt;=$B$2,0,(C5+D5))</f>
        <v>102.99</v>
      </c>
      <c r="F5" s="12">
        <f ca="1">(E5*(B5-$B$2)/365)/(1+$K$4)^((B5-$B$2)/365)/-$E$2/(1+$K$4)^$K$2</f>
        <v>1.0774041808109363</v>
      </c>
      <c r="J5" s="15" t="s">
        <v>86</v>
      </c>
    </row>
    <row r="6" spans="1:11" ht="15" customHeight="1" thickBot="1">
      <c r="A6" s="57"/>
      <c r="B6" s="58"/>
      <c r="C6" s="57"/>
      <c r="D6" s="57"/>
      <c r="E6" s="51">
        <f ca="1">IF(B6&lt;=$B$2,0,(C6+D6))</f>
        <v>0</v>
      </c>
      <c r="F6" s="12">
        <f ca="1">(E6*(B6-$B$2)/365)/(1+$K$4)^((B6-$B$2)/365)/-$E$2/(1+$K$4)^$K$2</f>
        <v>0</v>
      </c>
    </row>
    <row r="7" spans="1:11" ht="15" customHeight="1" thickBot="1">
      <c r="A7" s="57"/>
      <c r="B7" s="58"/>
      <c r="C7" s="57"/>
      <c r="D7" s="57"/>
      <c r="E7" s="51">
        <f ca="1">IF(B7&lt;=$B$2,0,(C7+D7))</f>
        <v>0</v>
      </c>
      <c r="F7" s="12">
        <f ca="1">(E7*(B7-$B$2)/365)/(1+$K$4)^((B7-$B$2)/365)/-$E$2/(1+$K$4)^$K$2</f>
        <v>0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497BFEA-59A1-4CEB-B96F-D7E0805545E1}"/>
  </hyperlink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1C9E-8482-4F86-8F32-007F67EDAA52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4" t="s">
        <v>106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-102.65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46127</v>
      </c>
      <c r="C3" s="57">
        <v>1.48</v>
      </c>
      <c r="D3" s="57">
        <v>0</v>
      </c>
      <c r="E3" s="51">
        <f ca="1">IF(B3&lt;=$B$2,0,(C3+D3))</f>
        <v>1.48</v>
      </c>
      <c r="F3" s="12">
        <f ca="1">(E3*(B3-$B$2)/365)/(1+$K$4)^((B3-$B$2)/365)/-$E$2/(1+$K$4)^$K$2</f>
        <v>2.2684673240945491E-3</v>
      </c>
      <c r="J3" s="13" t="s">
        <v>85</v>
      </c>
      <c r="K3" s="14">
        <f ca="1">SUM(F3:F102)</f>
        <v>1.1031539840624602</v>
      </c>
    </row>
    <row r="4" spans="1:11" ht="15" customHeight="1" thickBot="1">
      <c r="A4" s="57">
        <v>3</v>
      </c>
      <c r="B4" s="58">
        <v>46218</v>
      </c>
      <c r="C4" s="57">
        <v>1.5</v>
      </c>
      <c r="D4" s="57">
        <v>0</v>
      </c>
      <c r="E4" s="51">
        <f ca="1">IF(B4&lt;=$B$2,0,(C4+D4))</f>
        <v>1.5</v>
      </c>
      <c r="F4" s="12">
        <f ca="1">(E4*(B4-$B$2)/365)/(1+$K$4)^((B4-$B$2)/365)/-$E$2/(1+$K$4)^$K$2</f>
        <v>5.7860416059733284E-3</v>
      </c>
      <c r="J4" s="1" t="s">
        <v>4</v>
      </c>
      <c r="K4" s="2">
        <f ca="1">XIRR(E2:E26,B2:B26)</f>
        <v>4.1663953661918648E-2</v>
      </c>
    </row>
    <row r="5" spans="1:11" ht="15" customHeight="1" thickBot="1">
      <c r="A5" s="57">
        <v>4</v>
      </c>
      <c r="B5" s="58">
        <v>46310</v>
      </c>
      <c r="C5" s="57">
        <v>1.51</v>
      </c>
      <c r="D5" s="57">
        <v>0</v>
      </c>
      <c r="E5" s="51">
        <f ca="1">IF(B5&lt;=$B$2,0,(C5+D5))</f>
        <v>1.51</v>
      </c>
      <c r="F5" s="12">
        <f ca="1">(E5*(B5-$B$2)/365)/(1+$K$4)^((B5-$B$2)/365)/-$E$2/(1+$K$4)^$K$2</f>
        <v>9.3008579551020765E-3</v>
      </c>
      <c r="J5" s="15" t="s">
        <v>86</v>
      </c>
    </row>
    <row r="6" spans="1:11" ht="15" customHeight="1" thickBot="1">
      <c r="A6" s="57">
        <v>5</v>
      </c>
      <c r="B6" s="58">
        <v>46402</v>
      </c>
      <c r="C6" s="57">
        <v>1.51</v>
      </c>
      <c r="D6" s="57">
        <v>0</v>
      </c>
      <c r="E6" s="51">
        <f ca="1">IF(B6&lt;=$B$2,0,(C6+D6))</f>
        <v>1.51</v>
      </c>
      <c r="F6" s="12">
        <f ca="1">(E6*(B6-$B$2)/365)/(1+$K$4)^((B6-$B$2)/365)/-$E$2/(1+$K$4)^$K$2</f>
        <v>1.2705324950052995E-2</v>
      </c>
    </row>
    <row r="7" spans="1:11" ht="15" customHeight="1" thickBot="1">
      <c r="A7" s="57">
        <v>6</v>
      </c>
      <c r="B7" s="58">
        <v>46492</v>
      </c>
      <c r="C7" s="57">
        <v>1.48</v>
      </c>
      <c r="D7" s="57">
        <v>100</v>
      </c>
      <c r="E7" s="51">
        <f ca="1">IF(B7&lt;=$B$2,0,(C7+D7))</f>
        <v>101.48</v>
      </c>
      <c r="F7" s="12">
        <f ca="1">(E7*(B7-$B$2)/365)/(1+$K$4)^((B7-$B$2)/365)/-$E$2/(1+$K$4)^$K$2</f>
        <v>1.0730932922272374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0C5A3FC-133F-45C7-8EF8-93A5CD25BBF1}"/>
  </hyperlink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D76D-0AE6-4CF6-BE29-5321D1149899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3" t="s">
        <v>105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-103.7</v>
      </c>
      <c r="J2" s="1" t="s">
        <v>84</v>
      </c>
      <c r="K2" s="1">
        <v>0.5</v>
      </c>
    </row>
    <row r="3" spans="1:11" ht="15" customHeight="1" thickBot="1">
      <c r="A3" s="57">
        <v>7</v>
      </c>
      <c r="B3" s="58">
        <v>46104</v>
      </c>
      <c r="C3" s="57">
        <v>1.56</v>
      </c>
      <c r="D3" s="57">
        <v>0</v>
      </c>
      <c r="E3" s="51">
        <f ca="1">IF(B3&lt;=$B$2,0,(C3+D3))</f>
        <v>1.56</v>
      </c>
      <c r="F3" s="12">
        <f ca="1">(E3*(B3-$B$2)/365)/(1+$K$4)^((B3-$B$2)/365)/-$E$2/(1+$K$4)^$K$2</f>
        <v>1.4617771346431656E-3</v>
      </c>
      <c r="J3" s="13" t="s">
        <v>85</v>
      </c>
      <c r="K3" s="14">
        <f ca="1">SUM(F3:F102)</f>
        <v>0.69651517068712143</v>
      </c>
    </row>
    <row r="4" spans="1:11" ht="15" customHeight="1" thickBot="1">
      <c r="A4" s="57">
        <v>8</v>
      </c>
      <c r="B4" s="58">
        <v>46195</v>
      </c>
      <c r="C4" s="57">
        <v>1.6</v>
      </c>
      <c r="D4" s="57">
        <v>25</v>
      </c>
      <c r="E4" s="51">
        <f ca="1">IF(B4&lt;=$B$2,0,(C4+D4))</f>
        <v>26.6</v>
      </c>
      <c r="F4" s="12">
        <f ca="1">(E4*(B4-$B$2)/365)/(1+$K$4)^((B4-$B$2)/365)/-$E$2/(1+$K$4)^$K$2</f>
        <v>8.7386234637479299E-2</v>
      </c>
      <c r="J4" s="1" t="s">
        <v>4</v>
      </c>
      <c r="K4" s="2">
        <f ca="1">XIRR(E2:E26,B2:B26)</f>
        <v>2.5215622782707215E-2</v>
      </c>
    </row>
    <row r="5" spans="1:11" ht="15" customHeight="1" thickBot="1">
      <c r="A5" s="57">
        <v>9</v>
      </c>
      <c r="B5" s="58">
        <v>46286</v>
      </c>
      <c r="C5" s="57">
        <v>1.2</v>
      </c>
      <c r="D5" s="57">
        <v>25</v>
      </c>
      <c r="E5" s="51">
        <f ca="1">IF(B5&lt;=$B$2,0,(C5+D5))</f>
        <v>26.2</v>
      </c>
      <c r="F5" s="12">
        <f ca="1">(E5*(B5-$B$2)/365)/(1+$K$4)^((B5-$B$2)/365)/-$E$2/(1+$K$4)^$K$2</f>
        <v>0.14683143988721722</v>
      </c>
      <c r="J5" s="15" t="s">
        <v>86</v>
      </c>
    </row>
    <row r="6" spans="1:11" ht="15" customHeight="1" thickBot="1">
      <c r="A6" s="57">
        <v>10</v>
      </c>
      <c r="B6" s="58">
        <v>46377</v>
      </c>
      <c r="C6" s="57">
        <v>0.79</v>
      </c>
      <c r="D6" s="57">
        <v>25</v>
      </c>
      <c r="E6" s="51">
        <f ca="1">IF(B6&lt;=$B$2,0,(C6+D6))</f>
        <v>25.79</v>
      </c>
      <c r="F6" s="12">
        <f ca="1">(E6*(B6-$B$2)/365)/(1+$K$4)^((B6-$B$2)/365)/-$E$2/(1+$K$4)^$K$2</f>
        <v>0.20359855816198191</v>
      </c>
    </row>
    <row r="7" spans="1:11" ht="15" customHeight="1" thickBot="1">
      <c r="A7" s="57">
        <v>11</v>
      </c>
      <c r="B7" s="58">
        <v>46467</v>
      </c>
      <c r="C7" s="57">
        <v>0.39</v>
      </c>
      <c r="D7" s="57">
        <v>25</v>
      </c>
      <c r="E7" s="51">
        <f ca="1">IF(B7&lt;=$B$2,0,(C7+D7))</f>
        <v>25.39</v>
      </c>
      <c r="F7" s="12">
        <f ca="1">(E7*(B7-$B$2)/365)/(1+$K$4)^((B7-$B$2)/365)/-$E$2/(1+$K$4)^$K$2</f>
        <v>0.25723716086579984</v>
      </c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6FB921C-6AAD-451C-9FA9-B42C117ECEB7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DEE8-75AD-4B5C-B40E-FFCABD197753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3" t="s">
        <v>104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-105.75</v>
      </c>
      <c r="J2" s="1" t="s">
        <v>84</v>
      </c>
      <c r="K2" s="1">
        <v>0.5</v>
      </c>
    </row>
    <row r="3" spans="1:11" ht="15" customHeight="1" thickBot="1">
      <c r="A3" s="57">
        <v>4</v>
      </c>
      <c r="B3" s="58">
        <v>46083</v>
      </c>
      <c r="C3" s="57">
        <v>3.53</v>
      </c>
      <c r="D3" s="57">
        <v>0</v>
      </c>
      <c r="E3" s="51">
        <f ca="1">IF(B3&lt;=$B$2,0,(C3+D3))</f>
        <v>3.53</v>
      </c>
      <c r="F3" s="12">
        <f ca="1">(E3*(B3-$B$2)/365)/(1+$K$4)^((B3-$B$2)/365)/-$E$2/(1+$K$4)^$K$2</f>
        <v>1.338964028056806E-3</v>
      </c>
      <c r="J3" s="13" t="s">
        <v>85</v>
      </c>
      <c r="K3" s="14">
        <f ca="1">SUM(F3:F102)</f>
        <v>0.96448738795474198</v>
      </c>
    </row>
    <row r="4" spans="1:11" ht="15" customHeight="1" thickBot="1">
      <c r="A4" s="57">
        <v>5</v>
      </c>
      <c r="B4" s="58">
        <v>46262</v>
      </c>
      <c r="C4" s="57">
        <v>3.47</v>
      </c>
      <c r="D4" s="57">
        <v>0</v>
      </c>
      <c r="E4" s="51">
        <f ca="1">IF(B4&lt;=$B$2,0,(C4+D4))</f>
        <v>3.47</v>
      </c>
      <c r="F4" s="12">
        <f ca="1">(E4*(B4-$B$2)/365)/(1+$K$4)^((B4-$B$2)/365)/-$E$2/(1+$K$4)^$K$2</f>
        <v>1.6653139137336289E-2</v>
      </c>
      <c r="J4" s="1" t="s">
        <v>4</v>
      </c>
      <c r="K4" s="2">
        <f ca="1">XIRR(E2:E26,B2:B26)</f>
        <v>4.5801052451133736E-2</v>
      </c>
    </row>
    <row r="5" spans="1:11" ht="15" customHeight="1" thickBot="1">
      <c r="A5" s="57">
        <v>6</v>
      </c>
      <c r="B5" s="58">
        <v>46446</v>
      </c>
      <c r="C5" s="57">
        <v>3.53</v>
      </c>
      <c r="D5" s="57">
        <v>100</v>
      </c>
      <c r="E5" s="51">
        <f ca="1">IF(B5&lt;=$B$2,0,(C5+D5))</f>
        <v>103.53</v>
      </c>
      <c r="F5" s="12">
        <f ca="1">(E5*(B5-$B$2)/365)/(1+$K$4)^((B5-$B$2)/365)/-$E$2/(1+$K$4)^$K$2</f>
        <v>0.94649528478934886</v>
      </c>
      <c r="J5" s="15" t="s">
        <v>86</v>
      </c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C1233892-CEF1-4B7E-ABF1-A976D195B260}"/>
  </hyperlink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FDFF-4A90-493E-9089-8F5AF354609E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3" t="s">
        <v>103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-104.9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46076</v>
      </c>
      <c r="C3" s="57">
        <v>4.01</v>
      </c>
      <c r="D3" s="57">
        <v>0</v>
      </c>
      <c r="E3" s="51">
        <f ca="1">IF(B3&lt;=$B$2,0,(C3+D3))</f>
        <v>4.01</v>
      </c>
      <c r="F3" s="12">
        <f ca="1">(E3*(B3-$B$2)/365)/(1+$K$4)^((B3-$B$2)/365)/-$E$2/(1+$K$4)^$K$2</f>
        <v>8.0882380028630182E-4</v>
      </c>
      <c r="J3" s="13" t="s">
        <v>85</v>
      </c>
      <c r="K3" s="14">
        <f ca="1">SUM(F3:F102)</f>
        <v>0.9307482680398963</v>
      </c>
    </row>
    <row r="4" spans="1:11" ht="15" customHeight="1" thickBot="1">
      <c r="A4" s="57">
        <v>3</v>
      </c>
      <c r="B4" s="58">
        <v>46255</v>
      </c>
      <c r="C4" s="57">
        <v>3.94</v>
      </c>
      <c r="D4" s="57">
        <v>0</v>
      </c>
      <c r="E4" s="51">
        <f ca="1">IF(B4&lt;=$B$2,0,(C4+D4))</f>
        <v>3.94</v>
      </c>
      <c r="F4" s="12">
        <f ca="1">(E4*(B4-$B$2)/365)/(1+$K$4)^((B4-$B$2)/365)/-$E$2/(1+$K$4)^$K$2</f>
        <v>1.7970892977287919E-2</v>
      </c>
      <c r="J4" s="1" t="s">
        <v>4</v>
      </c>
      <c r="K4" s="2">
        <f ca="1">XIRR(E2:E26,B2:B26)</f>
        <v>6.9887503981590257E-2</v>
      </c>
    </row>
    <row r="5" spans="1:11" ht="15" customHeight="1" thickBot="1">
      <c r="A5" s="57">
        <v>4</v>
      </c>
      <c r="B5" s="58">
        <v>46440</v>
      </c>
      <c r="C5" s="57">
        <v>4.01</v>
      </c>
      <c r="D5" s="57">
        <v>100</v>
      </c>
      <c r="E5" s="51">
        <f ca="1">IF(B5&lt;=$B$2,0,(C5+D5))</f>
        <v>104.01</v>
      </c>
      <c r="F5" s="12">
        <f ca="1">(E5*(B5-$B$2)/365)/(1+$K$4)^((B5-$B$2)/365)/-$E$2/(1+$K$4)^$K$2</f>
        <v>0.91196855126232212</v>
      </c>
      <c r="J5" s="15" t="s">
        <v>86</v>
      </c>
    </row>
    <row r="6" spans="1:11" ht="15" customHeight="1" thickBot="1">
      <c r="A6" s="57"/>
      <c r="B6" s="58"/>
      <c r="C6" s="57"/>
      <c r="D6" s="57"/>
      <c r="E6" s="51"/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8306C617-DF64-44FA-B8C9-325EAD07B5AC}"/>
  </hyperlink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C166-C1F6-442F-B020-0C1CE241010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2" t="s">
        <v>102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-103.75</v>
      </c>
      <c r="J2" s="1" t="s">
        <v>84</v>
      </c>
      <c r="K2" s="1">
        <v>0.5</v>
      </c>
    </row>
    <row r="3" spans="1:11" ht="15" customHeight="1" thickBot="1">
      <c r="A3" s="57">
        <v>2</v>
      </c>
      <c r="B3" s="58">
        <v>46120</v>
      </c>
      <c r="C3" s="57">
        <v>1.48</v>
      </c>
      <c r="D3" s="57">
        <v>0</v>
      </c>
      <c r="E3" s="51">
        <f ca="1">IF(B3&lt;=$B$2,0,(C3+D3))</f>
        <v>1.48</v>
      </c>
      <c r="F3" s="12">
        <f ca="1">(E3*(B3-$B$2)/365)/(1+$K$4)^((B3-$B$2)/365)/-$E$2/(1+$K$4)^$K$2</f>
        <v>2.0005003716678299E-3</v>
      </c>
      <c r="J3" s="13" t="s">
        <v>85</v>
      </c>
      <c r="K3" s="14">
        <f ca="1">SUM(F3:F102)</f>
        <v>0.86369055045877985</v>
      </c>
    </row>
    <row r="4" spans="1:11" ht="15" customHeight="1" thickBot="1">
      <c r="A4" s="57">
        <v>3</v>
      </c>
      <c r="B4" s="58">
        <v>46211</v>
      </c>
      <c r="C4" s="57">
        <v>1.5</v>
      </c>
      <c r="D4" s="57">
        <v>0</v>
      </c>
      <c r="E4" s="51">
        <f ca="1">IF(B4&lt;=$B$2,0,(C4+D4))</f>
        <v>1.5</v>
      </c>
      <c r="F4" s="12">
        <f ca="1">(E4*(B4-$B$2)/365)/(1+$K$4)^((B4-$B$2)/365)/-$E$2/(1+$K$4)^$K$2</f>
        <v>5.5417180938122377E-3</v>
      </c>
      <c r="J4" s="1" t="s">
        <v>4</v>
      </c>
      <c r="K4" s="2">
        <f ca="1">XIRR(E2:E26,B2:B26)</f>
        <v>2.4837407469749453E-2</v>
      </c>
    </row>
    <row r="5" spans="1:11" ht="15" customHeight="1" thickBot="1">
      <c r="A5" s="57">
        <v>4</v>
      </c>
      <c r="B5" s="58">
        <v>46303</v>
      </c>
      <c r="C5" s="57">
        <v>1.51</v>
      </c>
      <c r="D5" s="57">
        <v>0</v>
      </c>
      <c r="E5" s="51">
        <f ca="1">IF(B5&lt;=$B$2,0,(C5+D5))</f>
        <v>1.51</v>
      </c>
      <c r="F5" s="12">
        <f ca="1">(E5*(B5-$B$2)/365)/(1+$K$4)^((B5-$B$2)/365)/-$E$2/(1+$K$4)^$K$2</f>
        <v>9.1112152428793735E-3</v>
      </c>
      <c r="J5" s="15" t="s">
        <v>86</v>
      </c>
    </row>
    <row r="6" spans="1:11" ht="15" customHeight="1" thickBot="1">
      <c r="A6" s="57">
        <v>5</v>
      </c>
      <c r="B6" s="58">
        <v>46395</v>
      </c>
      <c r="C6" s="57">
        <v>1.51</v>
      </c>
      <c r="D6" s="57">
        <v>100</v>
      </c>
      <c r="E6" s="51">
        <f ca="1">IF(B6&lt;=$B$2,0,(C6+D6))</f>
        <v>101.51</v>
      </c>
      <c r="F6" s="12">
        <f ca="1">(E6*(B6-$B$2)/365)/(1+$K$4)^((B6-$B$2)/365)/-$E$2/(1+$K$4)^$K$2</f>
        <v>0.84703711675042037</v>
      </c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95CFD4B6-C7C0-4EE6-9815-61122FDBB9DB}"/>
  </hyperlink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0A2D-3734-49E9-A91C-4E252DF567C6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2" t="s">
        <v>101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-104.8</v>
      </c>
      <c r="J2" s="1" t="s">
        <v>84</v>
      </c>
      <c r="K2" s="1">
        <v>0.5</v>
      </c>
    </row>
    <row r="3" spans="1:11" ht="15" customHeight="1" thickBot="1">
      <c r="A3" s="57">
        <v>5</v>
      </c>
      <c r="B3" s="58">
        <v>46164</v>
      </c>
      <c r="C3" s="57">
        <v>4.83</v>
      </c>
      <c r="D3" s="57">
        <v>0</v>
      </c>
      <c r="E3" s="51">
        <f ca="1">IF(B3&lt;=$B$2,0,(C3+D3))</f>
        <v>4.83</v>
      </c>
      <c r="F3" s="12">
        <f ca="1">(E3*(B3-$B$2)/365)/(1+$K$4)^((B3-$B$2)/365)/-$E$2/(1+$K$4)^$K$2</f>
        <v>1.1561798632944828E-2</v>
      </c>
      <c r="J3" s="13" t="s">
        <v>85</v>
      </c>
      <c r="K3" s="14">
        <f ca="1">SUM(F3:F102)</f>
        <v>0.72155423195874968</v>
      </c>
    </row>
    <row r="4" spans="1:11" ht="15" customHeight="1" thickBot="1">
      <c r="A4" s="57">
        <v>6</v>
      </c>
      <c r="B4" s="58">
        <v>46348</v>
      </c>
      <c r="C4" s="57">
        <v>4.92</v>
      </c>
      <c r="D4" s="57">
        <v>100</v>
      </c>
      <c r="E4" s="51">
        <f ca="1">IF(B4&lt;=$B$2,0,(C4+D4))</f>
        <v>104.92</v>
      </c>
      <c r="F4" s="12">
        <f ca="1">(E4*(B4-$B$2)/365)/(1+$K$4)^((B4-$B$2)/365)/-$E$2/(1+$K$4)^$K$2</f>
        <v>0.70999243332580486</v>
      </c>
      <c r="J4" s="1" t="s">
        <v>4</v>
      </c>
      <c r="K4" s="2">
        <f ca="1">XIRR(E2:E26,B2:B26)</f>
        <v>6.3942155241966239E-2</v>
      </c>
    </row>
    <row r="5" spans="1:11" ht="15" customHeight="1">
      <c r="F5" s="12"/>
      <c r="J5" s="15" t="s">
        <v>86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19BB4FC1-F953-41A1-821A-9A72CA8D8326}"/>
  </hyperlink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AA9-59BB-4C0A-85AD-C4E14BBCC41A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60" t="s">
        <v>100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-103.4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46118</v>
      </c>
      <c r="C3" s="57">
        <v>2.98</v>
      </c>
      <c r="D3" s="57">
        <v>0</v>
      </c>
      <c r="E3" s="51">
        <f ca="1">IF(B3&lt;=$B$2,0,(C3+D3))</f>
        <v>2.98</v>
      </c>
      <c r="F3" s="12">
        <f ca="1">(E3*(B3-$B$2)/365)/(1+$K$4)^((B3-$B$2)/365)/-$E$2/(1+$K$4)^$K$2</f>
        <v>3.8498948707650321E-3</v>
      </c>
      <c r="J3" s="13" t="s">
        <v>85</v>
      </c>
      <c r="K3" s="14">
        <f ca="1">SUM(F3:F102)</f>
        <v>0.61178539785890873</v>
      </c>
    </row>
    <row r="4" spans="1:11" ht="15" customHeight="1" thickBot="1">
      <c r="A4" s="57">
        <v>2</v>
      </c>
      <c r="B4" s="58">
        <v>46301</v>
      </c>
      <c r="C4" s="57">
        <v>3</v>
      </c>
      <c r="D4" s="57">
        <v>100</v>
      </c>
      <c r="E4" s="51">
        <f ca="1">IF(B4&lt;=$B$2,0,(C4+D4))</f>
        <v>103</v>
      </c>
      <c r="F4" s="12">
        <f ca="1">(E4*(B4-$B$2)/365)/(1+$K$4)^((B4-$B$2)/365)/-$E$2/(1+$K$4)^$K$2</f>
        <v>0.60793550298814369</v>
      </c>
      <c r="J4" s="1" t="s">
        <v>4</v>
      </c>
      <c r="K4" s="2">
        <f ca="1">XIRR(E2:E26,B2:B26)</f>
        <v>4.0278199315071123E-2</v>
      </c>
    </row>
    <row r="5" spans="1:11" ht="15" customHeight="1" thickBot="1">
      <c r="A5" s="61"/>
      <c r="B5" s="61"/>
      <c r="C5" s="61"/>
      <c r="D5" s="61"/>
      <c r="E5" s="61"/>
      <c r="F5" s="12"/>
      <c r="J5" s="15" t="s">
        <v>86</v>
      </c>
    </row>
    <row r="6" spans="1:11" ht="15" customHeight="1">
      <c r="F6" s="12"/>
    </row>
    <row r="7" spans="1:11" ht="15" customHeight="1">
      <c r="F7" s="12"/>
    </row>
    <row r="8" spans="1:11" ht="15" customHeight="1" thickBot="1">
      <c r="A8" s="57"/>
      <c r="B8" s="58"/>
      <c r="C8" s="57"/>
      <c r="D8" s="57"/>
      <c r="E8" s="51">
        <f t="shared" ref="E8:E18" ca="1" si="0">IF(B8&lt;=$B$2,0,(C8+D8))</f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B50970DC-A060-41F8-89E0-7B3396100C37}"/>
  </hyperlink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1731-65E6-4165-881E-A93B97E9E17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9" t="s">
        <v>75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-101.95</v>
      </c>
      <c r="J2" s="1" t="s">
        <v>84</v>
      </c>
      <c r="K2" s="1">
        <v>0.5</v>
      </c>
    </row>
    <row r="3" spans="1:11" ht="15" customHeight="1" thickBot="1">
      <c r="A3" s="57">
        <v>6</v>
      </c>
      <c r="B3" s="58">
        <v>46083</v>
      </c>
      <c r="C3" s="57">
        <v>1.51</v>
      </c>
      <c r="D3" s="57">
        <v>0</v>
      </c>
      <c r="E3" s="51">
        <f ca="1">IF(B3&lt;=$B$2,0,(C3+D3))</f>
        <v>1.51</v>
      </c>
      <c r="F3" s="12">
        <f ca="1">(E3*(B3-$B$2)/365)/(1+$K$4)^((B3-$B$2)/365)/-$E$2/(1+$K$4)^$K$2</f>
        <v>5.9691180922430127E-4</v>
      </c>
      <c r="J3" s="13" t="s">
        <v>85</v>
      </c>
      <c r="K3" s="14">
        <f ca="1">SUM(F3:F102)</f>
        <v>0.27099424735918332</v>
      </c>
    </row>
    <row r="4" spans="1:11" ht="15" customHeight="1" thickBot="1">
      <c r="A4" s="57">
        <v>7</v>
      </c>
      <c r="B4" s="58">
        <v>46170</v>
      </c>
      <c r="C4" s="57">
        <v>1.46</v>
      </c>
      <c r="D4" s="57">
        <v>100</v>
      </c>
      <c r="E4" s="51">
        <f t="shared" ref="E4:E18" ca="1" si="0">IF(B4&lt;=$B$2,0,(C4+D4))</f>
        <v>101.46</v>
      </c>
      <c r="F4" s="12">
        <f ca="1">(E4*(B4-$B$2)/365)/(1+$K$4)^((B4-$B$2)/365)/-$E$2/(1+$K$4)^$K$2</f>
        <v>0.27039733554995904</v>
      </c>
      <c r="J4" s="1" t="s">
        <v>4</v>
      </c>
      <c r="K4" s="2">
        <f ca="1">XIRR(E2:E26,B2:B26)</f>
        <v>3.6735793948173529E-2</v>
      </c>
    </row>
    <row r="5" spans="1:11" ht="15" customHeight="1">
      <c r="E5" s="51">
        <f t="shared" ca="1" si="0"/>
        <v>0</v>
      </c>
      <c r="F5" s="12"/>
      <c r="J5" s="15" t="s">
        <v>86</v>
      </c>
    </row>
    <row r="6" spans="1:11" ht="15" customHeight="1">
      <c r="E6" s="51">
        <f t="shared" ca="1" si="0"/>
        <v>0</v>
      </c>
      <c r="F6" s="12"/>
    </row>
    <row r="7" spans="1:11" ht="15" customHeight="1" thickBot="1">
      <c r="A7" s="57"/>
      <c r="B7" s="57"/>
      <c r="C7" s="57"/>
      <c r="D7" s="57"/>
      <c r="E7" s="51">
        <f t="shared" ca="1" si="0"/>
        <v>0</v>
      </c>
      <c r="F7" s="12"/>
    </row>
    <row r="8" spans="1:11" ht="15" customHeight="1" thickBot="1">
      <c r="A8" s="57"/>
      <c r="B8" s="58"/>
      <c r="C8" s="57"/>
      <c r="D8" s="57"/>
      <c r="E8" s="51">
        <f t="shared" ca="1" si="0"/>
        <v>0</v>
      </c>
      <c r="F8" s="12"/>
    </row>
    <row r="9" spans="1:11" ht="15" customHeight="1" thickBot="1">
      <c r="A9" s="57"/>
      <c r="B9" s="58"/>
      <c r="C9" s="57"/>
      <c r="D9" s="57"/>
      <c r="E9" s="51">
        <f t="shared" ca="1" si="0"/>
        <v>0</v>
      </c>
      <c r="F9" s="12"/>
    </row>
    <row r="10" spans="1:11" ht="15" customHeight="1" thickBot="1">
      <c r="A10" s="57"/>
      <c r="B10" s="58"/>
      <c r="C10" s="57"/>
      <c r="D10" s="57"/>
      <c r="E10" s="51">
        <f t="shared" ca="1" si="0"/>
        <v>0</v>
      </c>
      <c r="F10" s="12"/>
    </row>
    <row r="11" spans="1:11" ht="15" customHeight="1" thickBot="1">
      <c r="A11" s="57"/>
      <c r="B11" s="58"/>
      <c r="C11" s="57"/>
      <c r="D11" s="57"/>
      <c r="E11" s="51">
        <f t="shared" ca="1" si="0"/>
        <v>0</v>
      </c>
      <c r="F11" s="12"/>
    </row>
    <row r="12" spans="1:11" ht="15" customHeight="1" thickBot="1">
      <c r="A12" s="57"/>
      <c r="B12" s="58"/>
      <c r="C12" s="57"/>
      <c r="D12" s="57"/>
      <c r="E12" s="51">
        <f t="shared" ca="1" si="0"/>
        <v>0</v>
      </c>
      <c r="F12" s="12"/>
    </row>
    <row r="13" spans="1:11" ht="15" customHeight="1" thickBot="1">
      <c r="A13" s="57"/>
      <c r="B13" s="58"/>
      <c r="C13" s="57"/>
      <c r="D13" s="57"/>
      <c r="E13" s="51">
        <f t="shared" ca="1" si="0"/>
        <v>0</v>
      </c>
      <c r="F13" s="12"/>
    </row>
    <row r="14" spans="1:11" ht="15" customHeight="1" thickBot="1">
      <c r="A14" s="57"/>
      <c r="B14" s="58"/>
      <c r="C14" s="57"/>
      <c r="D14" s="57"/>
      <c r="E14" s="51">
        <f t="shared" ca="1" si="0"/>
        <v>0</v>
      </c>
      <c r="F14" s="12"/>
    </row>
    <row r="15" spans="1:11" ht="15" customHeight="1" thickBot="1">
      <c r="A15" s="57"/>
      <c r="B15" s="58"/>
      <c r="C15" s="57"/>
      <c r="D15" s="57"/>
      <c r="E15" s="51">
        <f t="shared" ca="1" si="0"/>
        <v>0</v>
      </c>
      <c r="F15" s="12"/>
    </row>
    <row r="16" spans="1:11" ht="15" customHeight="1" thickBot="1">
      <c r="A16" s="57"/>
      <c r="B16" s="58"/>
      <c r="C16" s="57"/>
      <c r="D16" s="57"/>
      <c r="E16" s="51">
        <f t="shared" ca="1" si="0"/>
        <v>0</v>
      </c>
      <c r="F16" s="12"/>
    </row>
    <row r="17" spans="1:6" ht="15" customHeight="1" thickBot="1">
      <c r="A17" s="57"/>
      <c r="B17" s="58"/>
      <c r="C17" s="57"/>
      <c r="D17" s="57"/>
      <c r="E17" s="51">
        <f t="shared" ca="1" si="0"/>
        <v>0</v>
      </c>
      <c r="F17" s="12"/>
    </row>
    <row r="18" spans="1:6" ht="15" customHeight="1" thickBot="1">
      <c r="A18" s="57"/>
      <c r="B18" s="58"/>
      <c r="C18" s="57"/>
      <c r="D18" s="57"/>
      <c r="E18" s="51">
        <f t="shared" ca="1" si="0"/>
        <v>0</v>
      </c>
      <c r="F18" s="12"/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AD388DE-B0A5-42FB-B670-622E1B3B971A}"/>
  </hyperlink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B090-3F2E-4320-BEC5-C36ADA848900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9" t="s">
        <v>56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-105.9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46175</v>
      </c>
      <c r="C3" s="57">
        <v>3.88</v>
      </c>
      <c r="D3" s="57">
        <v>0</v>
      </c>
      <c r="E3" s="51">
        <f ca="1">IF(B3&lt;=$B$2,0,(C3+D3))</f>
        <v>3.88</v>
      </c>
      <c r="F3" s="12">
        <f t="shared" ref="F3:F13" ca="1" si="0">(E3*(B3-$B$2)/365)/(1+$K$4)^((B3-$B$2)/365)/-$E$2/(1+$K$4)^$K$2</f>
        <v>1.0174396490897859E-2</v>
      </c>
      <c r="J3" s="13" t="s">
        <v>85</v>
      </c>
      <c r="K3" s="14">
        <f ca="1">SUM(F3:F102)</f>
        <v>5.1788798713227875</v>
      </c>
    </row>
    <row r="4" spans="1:11" ht="15" customHeight="1" thickBot="1">
      <c r="A4" s="57">
        <v>2</v>
      </c>
      <c r="B4" s="58">
        <v>46358</v>
      </c>
      <c r="C4" s="57">
        <v>3.88</v>
      </c>
      <c r="D4" s="57">
        <v>0</v>
      </c>
      <c r="E4" s="51">
        <f t="shared" ref="E4:E11" ca="1" si="1">IF(B4&lt;=$B$2,0,(C4+D4))</f>
        <v>3.88</v>
      </c>
      <c r="F4" s="12">
        <f t="shared" ca="1" si="0"/>
        <v>2.6647505735795367E-2</v>
      </c>
      <c r="J4" s="1" t="s">
        <v>4</v>
      </c>
      <c r="K4" s="2">
        <f ca="1">XIRR(E2:E26,B2:B26)</f>
        <v>7.0659539103508015E-2</v>
      </c>
    </row>
    <row r="5" spans="1:11" ht="15" customHeight="1" thickBot="1">
      <c r="A5" s="57">
        <v>3</v>
      </c>
      <c r="B5" s="58">
        <v>46540</v>
      </c>
      <c r="C5" s="57">
        <v>3.88</v>
      </c>
      <c r="D5" s="57">
        <v>0</v>
      </c>
      <c r="E5" s="51">
        <f t="shared" ca="1" si="1"/>
        <v>3.88</v>
      </c>
      <c r="F5" s="12">
        <f t="shared" ca="1" si="0"/>
        <v>4.1919441523621363E-2</v>
      </c>
      <c r="J5" s="15" t="s">
        <v>86</v>
      </c>
    </row>
    <row r="6" spans="1:11" ht="15" customHeight="1" thickBot="1">
      <c r="A6" s="57">
        <v>4</v>
      </c>
      <c r="B6" s="58">
        <v>46723</v>
      </c>
      <c r="C6" s="57">
        <v>3.88</v>
      </c>
      <c r="D6" s="57">
        <v>0</v>
      </c>
      <c r="E6" s="51">
        <f t="shared" ca="1" si="1"/>
        <v>3.88</v>
      </c>
      <c r="F6" s="12">
        <f t="shared" ca="1" si="0"/>
        <v>5.621451599167384E-2</v>
      </c>
    </row>
    <row r="7" spans="1:11" ht="15" customHeight="1" thickBot="1">
      <c r="A7" s="57">
        <v>5</v>
      </c>
      <c r="B7" s="58">
        <v>46906</v>
      </c>
      <c r="C7" s="57">
        <v>3.88</v>
      </c>
      <c r="D7" s="57">
        <v>0</v>
      </c>
      <c r="E7" s="51">
        <f t="shared" ca="1" si="1"/>
        <v>3.88</v>
      </c>
      <c r="F7" s="12">
        <f t="shared" ca="1" si="0"/>
        <v>6.950001217395621E-2</v>
      </c>
    </row>
    <row r="8" spans="1:11" ht="15" customHeight="1" thickBot="1">
      <c r="A8" s="57">
        <v>6</v>
      </c>
      <c r="B8" s="58">
        <v>47091</v>
      </c>
      <c r="C8" s="57">
        <v>3.88</v>
      </c>
      <c r="D8" s="57">
        <v>0</v>
      </c>
      <c r="E8" s="51">
        <f t="shared" ca="1" si="1"/>
        <v>3.88</v>
      </c>
      <c r="F8" s="12">
        <f t="shared" ca="1" si="0"/>
        <v>8.1957312472367191E-2</v>
      </c>
    </row>
    <row r="9" spans="1:11" ht="15" customHeight="1" thickBot="1">
      <c r="A9" s="57">
        <v>7</v>
      </c>
      <c r="B9" s="58">
        <v>47273</v>
      </c>
      <c r="C9" s="57">
        <v>3.88</v>
      </c>
      <c r="D9" s="57">
        <v>0</v>
      </c>
      <c r="E9" s="51">
        <f t="shared" ca="1" si="1"/>
        <v>3.88</v>
      </c>
      <c r="F9" s="12">
        <f t="shared" ca="1" si="0"/>
        <v>9.3306961026367236E-2</v>
      </c>
    </row>
    <row r="10" spans="1:11" ht="15" customHeight="1" thickBot="1">
      <c r="A10" s="57">
        <v>8</v>
      </c>
      <c r="B10" s="58">
        <v>47455</v>
      </c>
      <c r="C10" s="57">
        <v>3.88</v>
      </c>
      <c r="D10" s="57">
        <v>0</v>
      </c>
      <c r="E10" s="51">
        <f t="shared" ca="1" si="1"/>
        <v>3.88</v>
      </c>
      <c r="F10" s="12">
        <f t="shared" ca="1" si="0"/>
        <v>0.10380502610294841</v>
      </c>
    </row>
    <row r="11" spans="1:11" ht="15" customHeight="1" thickBot="1">
      <c r="A11" s="57">
        <v>9</v>
      </c>
      <c r="B11" s="58">
        <v>47637</v>
      </c>
      <c r="C11" s="57">
        <v>3.88</v>
      </c>
      <c r="D11" s="57">
        <v>0</v>
      </c>
      <c r="E11" s="51">
        <f t="shared" ca="1" si="1"/>
        <v>3.88</v>
      </c>
      <c r="F11" s="12">
        <f t="shared" ca="1" si="0"/>
        <v>0.11349579923216835</v>
      </c>
    </row>
    <row r="12" spans="1:11" ht="15" customHeight="1" thickBot="1">
      <c r="A12" s="57">
        <v>10</v>
      </c>
      <c r="B12" s="58">
        <v>47819</v>
      </c>
      <c r="C12" s="57">
        <v>3.88</v>
      </c>
      <c r="D12" s="57">
        <v>0</v>
      </c>
      <c r="E12" s="51">
        <f t="shared" ref="E12:E18" ca="1" si="2">IF(B12&lt;=$B$2,0,(C12+D12))</f>
        <v>3.88</v>
      </c>
      <c r="F12" s="12">
        <f t="shared" ca="1" si="0"/>
        <v>0.1224215610184969</v>
      </c>
    </row>
    <row r="13" spans="1:11" ht="15" customHeight="1" thickBot="1">
      <c r="A13" s="57">
        <v>11</v>
      </c>
      <c r="B13" s="58">
        <v>48001</v>
      </c>
      <c r="C13" s="57">
        <v>3.88</v>
      </c>
      <c r="D13" s="57">
        <v>0</v>
      </c>
      <c r="E13" s="51">
        <f t="shared" ca="1" si="2"/>
        <v>3.88</v>
      </c>
      <c r="F13" s="12">
        <f t="shared" ca="1" si="0"/>
        <v>0.13062266613596923</v>
      </c>
    </row>
    <row r="14" spans="1:11" ht="15" customHeight="1" thickBot="1">
      <c r="A14" s="57">
        <v>12</v>
      </c>
      <c r="B14" s="58">
        <v>48184</v>
      </c>
      <c r="C14" s="57">
        <v>3.88</v>
      </c>
      <c r="D14" s="57">
        <v>33</v>
      </c>
      <c r="E14" s="51">
        <f t="shared" ca="1" si="2"/>
        <v>36.880000000000003</v>
      </c>
      <c r="F14" s="12">
        <f ca="1">(E14*(B14-$B$2)/365)/(1+$K$4)^((B14-$B$2)/365)/-$E$2/(1+$K$4)^$K$2</f>
        <v>1.3133945998328178</v>
      </c>
    </row>
    <row r="15" spans="1:11" ht="15" customHeight="1" thickBot="1">
      <c r="A15" s="57">
        <v>13</v>
      </c>
      <c r="B15" s="58">
        <v>48367</v>
      </c>
      <c r="C15" s="57">
        <v>2.6</v>
      </c>
      <c r="D15" s="57">
        <v>0</v>
      </c>
      <c r="E15" s="51">
        <f t="shared" ca="1" si="2"/>
        <v>2.6</v>
      </c>
      <c r="F15" s="12">
        <f ca="1">(E15*(B15-$B$2)/365)/(1+$K$4)^((B15-$B$2)/365)/-$E$2/(1+$K$4)^$K$2</f>
        <v>9.7215307919745336E-2</v>
      </c>
    </row>
    <row r="16" spans="1:11" ht="15" customHeight="1" thickBot="1">
      <c r="A16" s="57">
        <v>14</v>
      </c>
      <c r="B16" s="58">
        <v>48550</v>
      </c>
      <c r="C16" s="57">
        <v>2.6</v>
      </c>
      <c r="D16" s="57">
        <v>33</v>
      </c>
      <c r="E16" s="51">
        <f t="shared" ca="1" si="2"/>
        <v>35.6</v>
      </c>
      <c r="F16" s="12">
        <f ca="1">(E16*(B16-$B$2)/365)/(1+$K$4)^((B16-$B$2)/365)/-$E$2/(1+$K$4)^$K$2</f>
        <v>1.3886979624356162</v>
      </c>
    </row>
    <row r="17" spans="1:6" ht="15" customHeight="1" thickBot="1">
      <c r="A17" s="57">
        <v>15</v>
      </c>
      <c r="B17" s="58">
        <v>48732</v>
      </c>
      <c r="C17" s="57">
        <v>1.32</v>
      </c>
      <c r="D17" s="57">
        <v>0</v>
      </c>
      <c r="E17" s="51">
        <f t="shared" ca="1" si="2"/>
        <v>1.32</v>
      </c>
      <c r="F17" s="12">
        <f ca="1">(E17*(B17-$B$2)/365)/(1+$K$4)^((B17-$B$2)/365)/-$E$2/(1+$K$4)^$K$2</f>
        <v>5.3416951325902233E-2</v>
      </c>
    </row>
    <row r="18" spans="1:6" ht="15" customHeight="1" thickBot="1">
      <c r="A18" s="57">
        <v>16</v>
      </c>
      <c r="B18" s="58">
        <v>48915</v>
      </c>
      <c r="C18" s="57">
        <v>1.32</v>
      </c>
      <c r="D18" s="57">
        <v>34</v>
      </c>
      <c r="E18" s="51">
        <f t="shared" ca="1" si="2"/>
        <v>35.32</v>
      </c>
      <c r="F18" s="12">
        <f ca="1">(E18*(B18-$B$2)/365)/(1+$K$4)^((B18-$B$2)/365)/-$E$2/(1+$K$4)^$K$2</f>
        <v>1.4760898519044436</v>
      </c>
    </row>
    <row r="19" spans="1:6" ht="13.8"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85532F45-A717-4C29-B81A-1B3EA92AD71A}"/>
  </hyperlink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0560-E643-4BF4-8A49-9CF710889451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4" t="s">
        <v>55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-107.35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46160</v>
      </c>
      <c r="C3" s="57">
        <v>4.0599999999999996</v>
      </c>
      <c r="D3" s="57">
        <v>0</v>
      </c>
      <c r="E3" s="51">
        <f ca="1">IF(B3&lt;=$B$2,0,(C3+D3))</f>
        <v>4.0599999999999996</v>
      </c>
      <c r="F3" s="12">
        <f t="shared" ref="F3:F13" ca="1" si="0">(E3*(B3-$B$2)/365)/(1+$K$4)^((B3-$B$2)/365)/-$E$2/(1+$K$4)^$K$2</f>
        <v>9.0600189794481714E-3</v>
      </c>
      <c r="J3" s="13" t="s">
        <v>85</v>
      </c>
      <c r="K3" s="14">
        <f ca="1">SUM(F3:F102)</f>
        <v>4.1868490013193158</v>
      </c>
    </row>
    <row r="4" spans="1:11" ht="15" customHeight="1" thickBot="1">
      <c r="A4" s="57">
        <v>2</v>
      </c>
      <c r="B4" s="58">
        <v>46344</v>
      </c>
      <c r="C4" s="57">
        <v>4.0599999999999996</v>
      </c>
      <c r="D4" s="57">
        <v>0</v>
      </c>
      <c r="E4" s="51">
        <f t="shared" ref="E4:E11" ca="1" si="1">IF(B4&lt;=$B$2,0,(C4+D4))</f>
        <v>4.0599999999999996</v>
      </c>
      <c r="F4" s="12">
        <f t="shared" ca="1" si="0"/>
        <v>2.6268987207479551E-2</v>
      </c>
      <c r="J4" s="1" t="s">
        <v>4</v>
      </c>
      <c r="K4" s="2">
        <f ca="1">XIRR(E2:E26,B2:B26)</f>
        <v>6.9972577691078161E-2</v>
      </c>
    </row>
    <row r="5" spans="1:11" ht="15" customHeight="1" thickBot="1">
      <c r="A5" s="57">
        <v>3</v>
      </c>
      <c r="B5" s="58">
        <v>46525</v>
      </c>
      <c r="C5" s="57">
        <v>4.0599999999999996</v>
      </c>
      <c r="D5" s="57">
        <v>0</v>
      </c>
      <c r="E5" s="51">
        <f t="shared" ca="1" si="1"/>
        <v>4.0599999999999996</v>
      </c>
      <c r="F5" s="12">
        <f t="shared" ca="1" si="0"/>
        <v>4.2061507401296071E-2</v>
      </c>
      <c r="J5" s="15" t="s">
        <v>86</v>
      </c>
    </row>
    <row r="6" spans="1:11" ht="15" customHeight="1" thickBot="1">
      <c r="A6" s="57">
        <v>4</v>
      </c>
      <c r="B6" s="58">
        <v>46709</v>
      </c>
      <c r="C6" s="57">
        <v>4.0599999999999996</v>
      </c>
      <c r="D6" s="57">
        <v>0</v>
      </c>
      <c r="E6" s="51">
        <f t="shared" ca="1" si="1"/>
        <v>4.0599999999999996</v>
      </c>
      <c r="F6" s="12">
        <f t="shared" ca="1" si="0"/>
        <v>5.7019004305815801E-2</v>
      </c>
    </row>
    <row r="7" spans="1:11" ht="15" customHeight="1" thickBot="1">
      <c r="A7" s="57">
        <v>5</v>
      </c>
      <c r="B7" s="58">
        <v>46891</v>
      </c>
      <c r="C7" s="57">
        <v>4.0599999999999996</v>
      </c>
      <c r="D7" s="57">
        <v>0</v>
      </c>
      <c r="E7" s="51">
        <f t="shared" ca="1" si="1"/>
        <v>4.0599999999999996</v>
      </c>
      <c r="F7" s="12">
        <f t="shared" ca="1" si="0"/>
        <v>7.0780780569110274E-2</v>
      </c>
    </row>
    <row r="8" spans="1:11" ht="15" customHeight="1" thickBot="1">
      <c r="A8" s="57">
        <v>6</v>
      </c>
      <c r="B8" s="58">
        <v>47078</v>
      </c>
      <c r="C8" s="57">
        <v>4.0599999999999996</v>
      </c>
      <c r="D8" s="57">
        <v>0</v>
      </c>
      <c r="E8" s="51">
        <f t="shared" ca="1" si="1"/>
        <v>4.0599999999999996</v>
      </c>
      <c r="F8" s="12">
        <f t="shared" ca="1" si="0"/>
        <v>8.3905114446790358E-2</v>
      </c>
    </row>
    <row r="9" spans="1:11" ht="15" customHeight="1" thickBot="1">
      <c r="A9" s="57">
        <v>7</v>
      </c>
      <c r="B9" s="58">
        <v>47256</v>
      </c>
      <c r="C9" s="57">
        <v>4.0599999999999996</v>
      </c>
      <c r="D9" s="57">
        <v>0</v>
      </c>
      <c r="E9" s="51">
        <f t="shared" ca="1" si="1"/>
        <v>4.0599999999999996</v>
      </c>
      <c r="F9" s="12">
        <f t="shared" ca="1" si="0"/>
        <v>9.5490310574408432E-2</v>
      </c>
    </row>
    <row r="10" spans="1:11" ht="15" customHeight="1" thickBot="1">
      <c r="A10" s="57">
        <v>8</v>
      </c>
      <c r="B10" s="58">
        <v>47442</v>
      </c>
      <c r="C10" s="57">
        <v>4.0599999999999996</v>
      </c>
      <c r="D10" s="57">
        <v>0</v>
      </c>
      <c r="E10" s="51">
        <f t="shared" ca="1" si="1"/>
        <v>4.0599999999999996</v>
      </c>
      <c r="F10" s="12">
        <f t="shared" ca="1" si="0"/>
        <v>0.10669931191753057</v>
      </c>
    </row>
    <row r="11" spans="1:11" ht="15" customHeight="1" thickBot="1">
      <c r="A11" s="57">
        <v>9</v>
      </c>
      <c r="B11" s="58">
        <v>47623</v>
      </c>
      <c r="C11" s="57">
        <v>4.0599999999999996</v>
      </c>
      <c r="D11" s="57">
        <v>0</v>
      </c>
      <c r="E11" s="51">
        <f t="shared" ca="1" si="1"/>
        <v>4.0599999999999996</v>
      </c>
      <c r="F11" s="12">
        <f t="shared" ca="1" si="0"/>
        <v>0.11677225453282988</v>
      </c>
    </row>
    <row r="12" spans="1:11" ht="15" customHeight="1" thickBot="1">
      <c r="A12" s="57">
        <v>10</v>
      </c>
      <c r="B12" s="58">
        <v>47806</v>
      </c>
      <c r="C12" s="57">
        <v>4.0599999999999996</v>
      </c>
      <c r="D12" s="57">
        <v>0</v>
      </c>
      <c r="E12" s="51">
        <f ca="1">IF(B12&lt;=$B$2,0,(C12+D12))</f>
        <v>4.0599999999999996</v>
      </c>
      <c r="F12" s="12">
        <f t="shared" ca="1" si="0"/>
        <v>0.12616313840057758</v>
      </c>
    </row>
    <row r="13" spans="1:11" ht="15" customHeight="1" thickBot="1">
      <c r="A13" s="57">
        <v>11</v>
      </c>
      <c r="B13" s="58">
        <v>47987</v>
      </c>
      <c r="C13" s="57">
        <v>4.0599999999999996</v>
      </c>
      <c r="D13" s="57">
        <v>100</v>
      </c>
      <c r="E13" s="51">
        <f ca="1">IF(B13&lt;=$B$2,0,(C13+D13))</f>
        <v>104.06</v>
      </c>
      <c r="F13" s="12">
        <f t="shared" ca="1" si="0"/>
        <v>3.4526285729840289</v>
      </c>
    </row>
    <row r="14" spans="1:11" ht="15" customHeight="1">
      <c r="F14" s="12"/>
    </row>
    <row r="15" spans="1:11" ht="15" customHeight="1" thickBot="1">
      <c r="A15" s="55"/>
      <c r="B15" s="56"/>
      <c r="C15" s="55"/>
      <c r="D15" s="55"/>
      <c r="E15" s="51"/>
      <c r="F15" s="12"/>
    </row>
    <row r="16" spans="1:11" ht="15" customHeight="1" thickBot="1">
      <c r="A16" s="55"/>
      <c r="B16" s="56"/>
      <c r="C16" s="55"/>
      <c r="D16" s="55"/>
      <c r="E16" s="51"/>
      <c r="F16" s="12"/>
    </row>
    <row r="17" spans="1:6" ht="15" customHeight="1" thickBot="1">
      <c r="A17" s="55"/>
      <c r="B17" s="56"/>
      <c r="C17" s="55"/>
      <c r="D17" s="55"/>
      <c r="E17" s="51"/>
      <c r="F17" s="12"/>
    </row>
    <row r="18" spans="1:6" ht="15" customHeight="1" thickBot="1">
      <c r="A18" s="55"/>
      <c r="B18" s="56"/>
      <c r="C18" s="55"/>
      <c r="D18" s="55"/>
      <c r="E18" s="51"/>
      <c r="F18" s="12"/>
    </row>
    <row r="19" spans="1:6" ht="16.2" thickBot="1">
      <c r="A19" s="55"/>
      <c r="B19" s="56"/>
      <c r="C19" s="55"/>
      <c r="D19" s="55"/>
      <c r="E19" s="51"/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E8478E83-2C76-4ACC-ACEC-3E6D9830B024}"/>
  </hyperlink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4E2-7FFF-4599-9E7A-5A8944450614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3" t="s">
        <v>54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-106.45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46146</v>
      </c>
      <c r="C3" s="57">
        <v>3.81</v>
      </c>
      <c r="D3" s="57">
        <v>0</v>
      </c>
      <c r="E3" s="51">
        <f ca="1">IF(B3&lt;=$B$2,0,(C3+D3))</f>
        <v>3.81</v>
      </c>
      <c r="F3" s="12">
        <f t="shared" ref="F3:F12" ca="1" si="0">(E3*(B3-$B$2)/365)/(1+$K$4)^((B3-$B$2)/365)/-$E$2/(1+$K$4)^$K$2</f>
        <v>7.3052250432020229E-3</v>
      </c>
      <c r="J3" s="13" t="s">
        <v>85</v>
      </c>
      <c r="K3" s="14">
        <f ca="1">SUM(F3:F102)</f>
        <v>3.861949953999996</v>
      </c>
    </row>
    <row r="4" spans="1:11" ht="15" customHeight="1" thickBot="1">
      <c r="A4" s="57">
        <v>2</v>
      </c>
      <c r="B4" s="58">
        <v>46329</v>
      </c>
      <c r="C4" s="57">
        <v>3.81</v>
      </c>
      <c r="D4" s="57">
        <v>0</v>
      </c>
      <c r="E4" s="51">
        <f t="shared" ref="E4:E11" ca="1" si="1">IF(B4&lt;=$B$2,0,(C4+D4))</f>
        <v>3.81</v>
      </c>
      <c r="F4" s="12">
        <f t="shared" ca="1" si="0"/>
        <v>2.3668270101599217E-2</v>
      </c>
      <c r="J4" s="1" t="s">
        <v>4</v>
      </c>
      <c r="K4" s="2">
        <f ca="1">XIRR(E2:E26,B2:B26)</f>
        <v>6.6471859812736497E-2</v>
      </c>
    </row>
    <row r="5" spans="1:11" ht="15" customHeight="1" thickBot="1">
      <c r="A5" s="57">
        <v>3</v>
      </c>
      <c r="B5" s="58">
        <v>46510</v>
      </c>
      <c r="C5" s="57">
        <v>3.81</v>
      </c>
      <c r="D5" s="57">
        <v>0</v>
      </c>
      <c r="E5" s="51">
        <f t="shared" ca="1" si="1"/>
        <v>3.81</v>
      </c>
      <c r="F5" s="12">
        <f t="shared" ca="1" si="0"/>
        <v>3.8822941640203827E-2</v>
      </c>
      <c r="J5" s="15" t="s">
        <v>86</v>
      </c>
    </row>
    <row r="6" spans="1:11" ht="15" customHeight="1" thickBot="1">
      <c r="A6" s="57">
        <v>4</v>
      </c>
      <c r="B6" s="58">
        <v>46694</v>
      </c>
      <c r="C6" s="57">
        <v>3.81</v>
      </c>
      <c r="D6" s="57">
        <v>0</v>
      </c>
      <c r="E6" s="51">
        <f t="shared" ca="1" si="1"/>
        <v>3.81</v>
      </c>
      <c r="F6" s="12">
        <f t="shared" ca="1" si="0"/>
        <v>5.322932294052498E-2</v>
      </c>
    </row>
    <row r="7" spans="1:11" ht="15" customHeight="1" thickBot="1">
      <c r="A7" s="57">
        <v>5</v>
      </c>
      <c r="B7" s="58">
        <v>46876</v>
      </c>
      <c r="C7" s="57">
        <v>3.81</v>
      </c>
      <c r="D7" s="57">
        <v>0</v>
      </c>
      <c r="E7" s="51">
        <f t="shared" ca="1" si="1"/>
        <v>3.81</v>
      </c>
      <c r="F7" s="12">
        <f t="shared" ca="1" si="0"/>
        <v>6.6535213726306414E-2</v>
      </c>
    </row>
    <row r="8" spans="1:11" ht="15" customHeight="1" thickBot="1">
      <c r="A8" s="57">
        <v>6</v>
      </c>
      <c r="B8" s="58">
        <v>47060</v>
      </c>
      <c r="C8" s="57">
        <v>3.81</v>
      </c>
      <c r="D8" s="57">
        <v>0</v>
      </c>
      <c r="E8" s="51">
        <f t="shared" ca="1" si="1"/>
        <v>3.81</v>
      </c>
      <c r="F8" s="12">
        <f t="shared" ca="1" si="0"/>
        <v>7.9079207225684692E-2</v>
      </c>
    </row>
    <row r="9" spans="1:11" ht="15" customHeight="1" thickBot="1">
      <c r="A9" s="57">
        <v>7</v>
      </c>
      <c r="B9" s="58">
        <v>47241</v>
      </c>
      <c r="C9" s="57">
        <v>3.81</v>
      </c>
      <c r="D9" s="57">
        <v>0</v>
      </c>
      <c r="E9" s="51">
        <f t="shared" ca="1" si="1"/>
        <v>3.81</v>
      </c>
      <c r="F9" s="12">
        <f t="shared" ca="1" si="0"/>
        <v>9.0570925806016486E-2</v>
      </c>
    </row>
    <row r="10" spans="1:11" ht="15" customHeight="1" thickBot="1">
      <c r="A10" s="57">
        <v>8</v>
      </c>
      <c r="B10" s="58">
        <v>47427</v>
      </c>
      <c r="C10" s="57">
        <v>3.81</v>
      </c>
      <c r="D10" s="57">
        <v>0</v>
      </c>
      <c r="E10" s="51">
        <f t="shared" ca="1" si="1"/>
        <v>3.81</v>
      </c>
      <c r="F10" s="12">
        <f t="shared" ca="1" si="0"/>
        <v>0.10154710425899485</v>
      </c>
    </row>
    <row r="11" spans="1:11" ht="15" customHeight="1" thickBot="1">
      <c r="A11" s="57">
        <v>9</v>
      </c>
      <c r="B11" s="58">
        <v>47606</v>
      </c>
      <c r="C11" s="57">
        <v>3.81</v>
      </c>
      <c r="D11" s="57">
        <v>0</v>
      </c>
      <c r="E11" s="51">
        <f t="shared" ca="1" si="1"/>
        <v>3.81</v>
      </c>
      <c r="F11" s="12">
        <f t="shared" ca="1" si="0"/>
        <v>0.11135192514731609</v>
      </c>
    </row>
    <row r="12" spans="1:11" ht="15" customHeight="1" thickBot="1">
      <c r="A12" s="57">
        <v>10</v>
      </c>
      <c r="B12" s="58">
        <v>47791</v>
      </c>
      <c r="C12" s="57">
        <v>3.81</v>
      </c>
      <c r="D12" s="57">
        <v>100</v>
      </c>
      <c r="E12" s="51">
        <f ca="1">IF(B12&lt;=$B$2,0,(C12+D12))</f>
        <v>103.81</v>
      </c>
      <c r="F12" s="12">
        <f t="shared" ca="1" si="0"/>
        <v>3.2898398181101474</v>
      </c>
    </row>
    <row r="13" spans="1:11" ht="15" customHeight="1" thickBot="1">
      <c r="A13" s="57"/>
      <c r="B13" s="58"/>
      <c r="C13" s="57"/>
      <c r="D13" s="57"/>
      <c r="E13" s="57"/>
      <c r="F13" s="12"/>
    </row>
    <row r="14" spans="1:11" ht="15" customHeight="1" thickBot="1">
      <c r="A14" s="57"/>
      <c r="B14" s="58"/>
      <c r="C14" s="57"/>
      <c r="D14" s="57"/>
      <c r="E14" s="57"/>
      <c r="F14" s="12"/>
    </row>
    <row r="15" spans="1:11" ht="15" customHeight="1" thickBot="1">
      <c r="A15" s="55"/>
      <c r="B15" s="56"/>
      <c r="C15" s="55"/>
      <c r="D15" s="55"/>
      <c r="E15" s="51"/>
      <c r="F15" s="12"/>
    </row>
    <row r="16" spans="1:11" ht="15" customHeight="1" thickBot="1">
      <c r="A16" s="55"/>
      <c r="B16" s="56"/>
      <c r="C16" s="55"/>
      <c r="D16" s="55"/>
      <c r="E16" s="51"/>
      <c r="F16" s="12"/>
    </row>
    <row r="17" spans="1:6" ht="15" customHeight="1" thickBot="1">
      <c r="A17" s="55"/>
      <c r="B17" s="56"/>
      <c r="C17" s="55"/>
      <c r="D17" s="55"/>
      <c r="E17" s="51"/>
      <c r="F17" s="12"/>
    </row>
    <row r="18" spans="1:6" ht="15" customHeight="1" thickBot="1">
      <c r="A18" s="55"/>
      <c r="B18" s="56"/>
      <c r="C18" s="55"/>
      <c r="D18" s="55"/>
      <c r="E18" s="51"/>
      <c r="F18" s="12"/>
    </row>
    <row r="19" spans="1:6" ht="16.2" thickBot="1">
      <c r="A19" s="55"/>
      <c r="B19" s="56"/>
      <c r="C19" s="55"/>
      <c r="D19" s="55"/>
      <c r="E19" s="51"/>
      <c r="F19" s="12"/>
    </row>
    <row r="20" spans="1:6" ht="15" customHeight="1" thickBot="1">
      <c r="A20" s="55"/>
      <c r="B20" s="56"/>
      <c r="C20" s="55"/>
      <c r="D20" s="55"/>
      <c r="E20" s="51"/>
      <c r="F20" s="12"/>
    </row>
    <row r="21" spans="1:6" ht="15" customHeight="1" thickBot="1">
      <c r="A21" s="55"/>
      <c r="B21" s="56"/>
      <c r="C21" s="55"/>
      <c r="D21" s="55"/>
      <c r="E21" s="51"/>
      <c r="F21" s="12"/>
    </row>
    <row r="22" spans="1:6" ht="15" customHeight="1" thickBot="1">
      <c r="A22" s="55"/>
      <c r="B22" s="56"/>
      <c r="C22" s="55"/>
      <c r="D22" s="55"/>
      <c r="E22" s="51"/>
      <c r="F22" s="12"/>
    </row>
    <row r="23" spans="1:6" ht="15" customHeight="1" thickBot="1">
      <c r="A23" s="55"/>
      <c r="B23" s="56"/>
      <c r="C23" s="55"/>
      <c r="D23" s="55"/>
      <c r="E23" s="51"/>
      <c r="F23" s="12"/>
    </row>
    <row r="24" spans="1:6" ht="15" customHeight="1" thickBot="1">
      <c r="A24" s="55"/>
      <c r="B24" s="56"/>
      <c r="C24" s="55"/>
      <c r="D24" s="55"/>
      <c r="E24" s="51"/>
      <c r="F24" s="12"/>
    </row>
    <row r="25" spans="1:6" ht="15" customHeight="1" thickBot="1">
      <c r="A25" s="55"/>
      <c r="B25" s="56"/>
      <c r="C25" s="55"/>
      <c r="D25" s="55"/>
      <c r="E25" s="51"/>
      <c r="F25" s="12"/>
    </row>
    <row r="26" spans="1:6" ht="15" customHeight="1" thickBot="1">
      <c r="A26" s="55"/>
      <c r="B26" s="56"/>
      <c r="C26" s="55"/>
      <c r="D26" s="55"/>
      <c r="E26" s="51"/>
      <c r="F26" s="12"/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22F66D7F-6D98-4D0F-91F3-56D4CA056962}"/>
  </hyperlink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F1DF-FE23-4555-BD48-AC09F1699E74}">
  <sheetPr>
    <outlinePr summaryBelow="0" summaryRight="0"/>
  </sheetPr>
  <dimension ref="A1:K29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3" t="s">
        <v>53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-105.9</v>
      </c>
      <c r="J2" s="1" t="s">
        <v>84</v>
      </c>
      <c r="K2" s="1">
        <v>0.5</v>
      </c>
    </row>
    <row r="3" spans="1:11" ht="15" customHeight="1" thickBot="1">
      <c r="A3" s="55">
        <v>1</v>
      </c>
      <c r="B3" s="56">
        <v>46156</v>
      </c>
      <c r="C3" s="55">
        <v>3.88</v>
      </c>
      <c r="D3" s="55">
        <v>0</v>
      </c>
      <c r="E3" s="51">
        <f ca="1">IF(B3&lt;=$B$2,0,(C3+D3))</f>
        <v>3.88</v>
      </c>
      <c r="F3" s="12">
        <f t="shared" ref="F3:F18" ca="1" si="0">(E3*(B3-$B$2)/365)/(1+$K$4)^((B3-$B$2)/365)/-$E$2/(1+$K$4)^$K$2</f>
        <v>8.3792825973860834E-3</v>
      </c>
      <c r="J3" s="13" t="s">
        <v>85</v>
      </c>
      <c r="K3" s="14">
        <f ca="1">SUM(F3:F102)</f>
        <v>7.5792451006754193</v>
      </c>
    </row>
    <row r="4" spans="1:11" ht="15" customHeight="1" thickBot="1">
      <c r="A4" s="55">
        <v>2</v>
      </c>
      <c r="B4" s="56">
        <v>46342</v>
      </c>
      <c r="C4" s="55">
        <v>3.88</v>
      </c>
      <c r="D4" s="55">
        <v>0</v>
      </c>
      <c r="E4" s="51">
        <f t="shared" ref="E4:E18" ca="1" si="1">IF(B4&lt;=$B$2,0,(C4+D4))</f>
        <v>3.88</v>
      </c>
      <c r="F4" s="12">
        <f t="shared" ca="1" si="0"/>
        <v>2.5160278833087125E-2</v>
      </c>
      <c r="J4" s="1" t="s">
        <v>4</v>
      </c>
      <c r="K4" s="2">
        <f ca="1">XIRR(E2:E26,B2:B26)</f>
        <v>7.3805108666420011E-2</v>
      </c>
    </row>
    <row r="5" spans="1:11" ht="15" customHeight="1" thickBot="1">
      <c r="A5" s="55">
        <v>3</v>
      </c>
      <c r="B5" s="56">
        <v>46521</v>
      </c>
      <c r="C5" s="55">
        <v>3.88</v>
      </c>
      <c r="D5" s="55">
        <v>0</v>
      </c>
      <c r="E5" s="51">
        <f t="shared" ca="1" si="1"/>
        <v>3.88</v>
      </c>
      <c r="F5" s="12">
        <f t="shared" ca="1" si="0"/>
        <v>4.0169543992971561E-2</v>
      </c>
      <c r="J5" s="15" t="s">
        <v>86</v>
      </c>
    </row>
    <row r="6" spans="1:11" ht="15" customHeight="1" thickBot="1">
      <c r="A6" s="55">
        <v>4</v>
      </c>
      <c r="B6" s="56">
        <v>46706</v>
      </c>
      <c r="C6" s="55">
        <v>3.88</v>
      </c>
      <c r="D6" s="55">
        <v>0</v>
      </c>
      <c r="E6" s="51">
        <f t="shared" ca="1" si="1"/>
        <v>3.88</v>
      </c>
      <c r="F6" s="12">
        <f t="shared" ca="1" si="0"/>
        <v>5.456885323431114E-2</v>
      </c>
    </row>
    <row r="7" spans="1:11" ht="15" customHeight="1" thickBot="1">
      <c r="A7" s="55">
        <v>5</v>
      </c>
      <c r="B7" s="56">
        <v>46888</v>
      </c>
      <c r="C7" s="55">
        <v>3.88</v>
      </c>
      <c r="D7" s="55">
        <v>0</v>
      </c>
      <c r="E7" s="51">
        <f t="shared" ca="1" si="1"/>
        <v>3.88</v>
      </c>
      <c r="F7" s="12">
        <f t="shared" ca="1" si="0"/>
        <v>6.7688927286184655E-2</v>
      </c>
    </row>
    <row r="8" spans="1:11" ht="15" customHeight="1" thickBot="1">
      <c r="A8" s="55">
        <v>6</v>
      </c>
      <c r="B8" s="56">
        <v>47071</v>
      </c>
      <c r="C8" s="55">
        <v>3.88</v>
      </c>
      <c r="D8" s="55">
        <v>0</v>
      </c>
      <c r="E8" s="51">
        <f t="shared" ca="1" si="1"/>
        <v>3.88</v>
      </c>
      <c r="F8" s="12">
        <f t="shared" ca="1" si="0"/>
        <v>7.9891323465973801E-2</v>
      </c>
    </row>
    <row r="9" spans="1:11" ht="15" customHeight="1" thickBot="1">
      <c r="A9" s="55">
        <v>7</v>
      </c>
      <c r="B9" s="56">
        <v>47252</v>
      </c>
      <c r="C9" s="55">
        <v>3.88</v>
      </c>
      <c r="D9" s="55">
        <v>0</v>
      </c>
      <c r="E9" s="51">
        <f t="shared" ca="1" si="1"/>
        <v>3.88</v>
      </c>
      <c r="F9" s="12">
        <f t="shared" ca="1" si="0"/>
        <v>9.1036330344990257E-2</v>
      </c>
    </row>
    <row r="10" spans="1:11" ht="15" customHeight="1" thickBot="1">
      <c r="A10" s="55">
        <v>8</v>
      </c>
      <c r="B10" s="56">
        <v>47436</v>
      </c>
      <c r="C10" s="55">
        <v>3.88</v>
      </c>
      <c r="D10" s="55">
        <v>0</v>
      </c>
      <c r="E10" s="51">
        <f t="shared" ca="1" si="1"/>
        <v>3.88</v>
      </c>
      <c r="F10" s="12">
        <f t="shared" ca="1" si="0"/>
        <v>0.10147505940366371</v>
      </c>
    </row>
    <row r="11" spans="1:11" ht="15" customHeight="1" thickBot="1">
      <c r="A11" s="55">
        <v>9</v>
      </c>
      <c r="B11" s="56">
        <v>47617</v>
      </c>
      <c r="C11" s="55">
        <v>3.88</v>
      </c>
      <c r="D11" s="55">
        <v>0</v>
      </c>
      <c r="E11" s="51">
        <f t="shared" ca="1" si="1"/>
        <v>3.88</v>
      </c>
      <c r="F11" s="12">
        <f t="shared" ca="1" si="0"/>
        <v>0.110914670319559</v>
      </c>
    </row>
    <row r="12" spans="1:11" ht="15" customHeight="1" thickBot="1">
      <c r="A12" s="55">
        <v>10</v>
      </c>
      <c r="B12" s="56">
        <v>47801</v>
      </c>
      <c r="C12" s="55">
        <v>3.88</v>
      </c>
      <c r="D12" s="55">
        <v>0</v>
      </c>
      <c r="E12" s="51">
        <f t="shared" ca="1" si="1"/>
        <v>3.88</v>
      </c>
      <c r="F12" s="12">
        <f t="shared" ca="1" si="0"/>
        <v>0.1197143780953789</v>
      </c>
    </row>
    <row r="13" spans="1:11" ht="15" customHeight="1" thickBot="1">
      <c r="A13" s="55">
        <v>11</v>
      </c>
      <c r="B13" s="56">
        <v>47982</v>
      </c>
      <c r="C13" s="55">
        <v>3.88</v>
      </c>
      <c r="D13" s="55">
        <v>0</v>
      </c>
      <c r="E13" s="51">
        <f t="shared" ca="1" si="1"/>
        <v>3.88</v>
      </c>
      <c r="F13" s="12">
        <f t="shared" ca="1" si="0"/>
        <v>0.12763037419529513</v>
      </c>
    </row>
    <row r="14" spans="1:11" ht="15" customHeight="1" thickBot="1">
      <c r="A14" s="55">
        <v>12</v>
      </c>
      <c r="B14" s="56">
        <v>48166</v>
      </c>
      <c r="C14" s="55">
        <v>3.88</v>
      </c>
      <c r="D14" s="55">
        <v>0</v>
      </c>
      <c r="E14" s="51">
        <f t="shared" ca="1" si="1"/>
        <v>3.88</v>
      </c>
      <c r="F14" s="12">
        <f t="shared" ca="1" si="0"/>
        <v>0.13496705421365016</v>
      </c>
    </row>
    <row r="15" spans="1:11" ht="15" customHeight="1" thickBot="1">
      <c r="A15" s="55">
        <v>13</v>
      </c>
      <c r="B15" s="56">
        <v>48348</v>
      </c>
      <c r="C15" s="55">
        <v>3.88</v>
      </c>
      <c r="D15" s="55">
        <v>0</v>
      </c>
      <c r="E15" s="51">
        <f t="shared" ca="1" si="1"/>
        <v>3.88</v>
      </c>
      <c r="F15" s="12">
        <f t="shared" ca="1" si="0"/>
        <v>0.14155876432030184</v>
      </c>
    </row>
    <row r="16" spans="1:11" ht="15" customHeight="1" thickBot="1">
      <c r="A16" s="55">
        <v>14</v>
      </c>
      <c r="B16" s="56">
        <v>48533</v>
      </c>
      <c r="C16" s="55">
        <v>3.88</v>
      </c>
      <c r="D16" s="55">
        <v>0</v>
      </c>
      <c r="E16" s="51">
        <f t="shared" ca="1" si="1"/>
        <v>3.88</v>
      </c>
      <c r="F16" s="12">
        <f t="shared" ca="1" si="0"/>
        <v>0.14761968981615639</v>
      </c>
    </row>
    <row r="17" spans="1:6" ht="15" customHeight="1" thickBot="1">
      <c r="A17" s="55">
        <v>15</v>
      </c>
      <c r="B17" s="56">
        <v>48715</v>
      </c>
      <c r="C17" s="55">
        <v>3.88</v>
      </c>
      <c r="D17" s="55">
        <v>0</v>
      </c>
      <c r="E17" s="51">
        <f t="shared" ca="1" si="1"/>
        <v>3.88</v>
      </c>
      <c r="F17" s="12">
        <f t="shared" ca="1" si="0"/>
        <v>0.15298925749775533</v>
      </c>
    </row>
    <row r="18" spans="1:6" ht="15" customHeight="1" thickBot="1">
      <c r="A18" s="55">
        <v>16</v>
      </c>
      <c r="B18" s="56">
        <v>48897</v>
      </c>
      <c r="C18" s="55">
        <v>3.88</v>
      </c>
      <c r="D18" s="55">
        <v>0</v>
      </c>
      <c r="E18" s="51">
        <f t="shared" ca="1" si="1"/>
        <v>3.88</v>
      </c>
      <c r="F18" s="12">
        <f t="shared" ca="1" si="0"/>
        <v>0.15780456913255203</v>
      </c>
    </row>
    <row r="19" spans="1:6" ht="16.2" thickBot="1">
      <c r="A19" s="55">
        <v>17</v>
      </c>
      <c r="B19" s="56">
        <v>49079</v>
      </c>
      <c r="C19" s="55">
        <v>3.88</v>
      </c>
      <c r="D19" s="55">
        <v>0</v>
      </c>
      <c r="E19" s="51">
        <f ca="1">IF(B19&lt;=$B$2,0,(C19+D19))</f>
        <v>3.88</v>
      </c>
      <c r="F19" s="12">
        <f t="shared" ref="F19:F26" ca="1" si="2">(E19*(B19-$B$2)/365)/(1+$K$4)^((B19-$B$2)/365)/-$E$2/(1+$K$4)^$K$2</f>
        <v>0.16209775967677295</v>
      </c>
    </row>
    <row r="20" spans="1:6" ht="15" customHeight="1" thickBot="1">
      <c r="A20" s="55">
        <v>18</v>
      </c>
      <c r="B20" s="56">
        <v>49262</v>
      </c>
      <c r="C20" s="55">
        <v>3.88</v>
      </c>
      <c r="D20" s="55">
        <v>0</v>
      </c>
      <c r="E20" s="51">
        <f t="shared" ref="E20:E26" ca="1" si="3">IF(B20&lt;=$B$2,0,(C20+D20))</f>
        <v>3.88</v>
      </c>
      <c r="F20" s="12">
        <f t="shared" ca="1" si="2"/>
        <v>0.16591898119522158</v>
      </c>
    </row>
    <row r="21" spans="1:6" ht="15" customHeight="1" thickBot="1">
      <c r="A21" s="55">
        <v>19</v>
      </c>
      <c r="B21" s="56">
        <v>49443</v>
      </c>
      <c r="C21" s="55">
        <v>3.88</v>
      </c>
      <c r="D21" s="55">
        <v>0</v>
      </c>
      <c r="E21" s="51">
        <f t="shared" ca="1" si="3"/>
        <v>3.88</v>
      </c>
      <c r="F21" s="12">
        <f t="shared" ca="1" si="2"/>
        <v>0.16923855000312021</v>
      </c>
    </row>
    <row r="22" spans="1:6" ht="15" customHeight="1" thickBot="1">
      <c r="A22" s="55">
        <v>20</v>
      </c>
      <c r="B22" s="56">
        <v>49627</v>
      </c>
      <c r="C22" s="55">
        <v>3.88</v>
      </c>
      <c r="D22" s="55">
        <v>0</v>
      </c>
      <c r="E22" s="51">
        <f t="shared" ca="1" si="3"/>
        <v>3.88</v>
      </c>
      <c r="F22" s="12">
        <f t="shared" ca="1" si="2"/>
        <v>0.17217245921089619</v>
      </c>
    </row>
    <row r="23" spans="1:6" ht="15" customHeight="1" thickBot="1">
      <c r="A23" s="55">
        <v>21</v>
      </c>
      <c r="B23" s="56">
        <v>49809</v>
      </c>
      <c r="C23" s="55">
        <v>3.88</v>
      </c>
      <c r="D23" s="55">
        <v>0</v>
      </c>
      <c r="E23" s="51">
        <f t="shared" ca="1" si="3"/>
        <v>3.88</v>
      </c>
      <c r="F23" s="12">
        <f t="shared" ca="1" si="2"/>
        <v>0.17466385195835446</v>
      </c>
    </row>
    <row r="24" spans="1:6" ht="15" customHeight="1" thickBot="1">
      <c r="A24" s="55">
        <v>22</v>
      </c>
      <c r="B24" s="56">
        <v>49993</v>
      </c>
      <c r="C24" s="55">
        <v>3.88</v>
      </c>
      <c r="D24" s="55">
        <v>0</v>
      </c>
      <c r="E24" s="51">
        <f t="shared" ca="1" si="3"/>
        <v>3.88</v>
      </c>
      <c r="F24" s="12">
        <f t="shared" ca="1" si="2"/>
        <v>0.17679303959696752</v>
      </c>
    </row>
    <row r="25" spans="1:6" ht="15" customHeight="1" thickBot="1">
      <c r="A25" s="55">
        <v>23</v>
      </c>
      <c r="B25" s="56">
        <v>50174</v>
      </c>
      <c r="C25" s="55">
        <v>3.88</v>
      </c>
      <c r="D25" s="55">
        <v>0</v>
      </c>
      <c r="E25" s="51">
        <f t="shared" ca="1" si="3"/>
        <v>3.88</v>
      </c>
      <c r="F25" s="12">
        <f t="shared" ca="1" si="2"/>
        <v>0.17852901329117812</v>
      </c>
    </row>
    <row r="26" spans="1:6" ht="15" customHeight="1" thickBot="1">
      <c r="A26" s="55">
        <v>24</v>
      </c>
      <c r="B26" s="56">
        <v>50360</v>
      </c>
      <c r="C26" s="55">
        <v>3.88</v>
      </c>
      <c r="D26" s="55">
        <v>100</v>
      </c>
      <c r="E26" s="51">
        <f t="shared" ca="1" si="3"/>
        <v>103.88</v>
      </c>
      <c r="F26" s="12">
        <f t="shared" ca="1" si="2"/>
        <v>4.8182630889936915</v>
      </c>
    </row>
    <row r="29" spans="1:6" ht="15" customHeight="1" thickBot="1">
      <c r="A29" s="55"/>
      <c r="B29" s="55"/>
      <c r="C29" s="55"/>
      <c r="D29" s="55"/>
      <c r="E29" s="55"/>
    </row>
  </sheetData>
  <hyperlinks>
    <hyperlink ref="J5" location="'ONS NY'!A1" display="ONS" xr:uid="{335C493E-DAF5-42A4-958A-CEF6FBE3B875}"/>
  </hyperlink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ED4B-FD27-437B-8B9C-A21D0328C0B9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3" t="s">
        <v>52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29"/>
      <c r="D2" s="29"/>
      <c r="E2" s="8" cm="1">
        <f t="array" ref="E2">-_xll.PrecioBD(A1,"24","ASK","N")</f>
        <v>-106.4</v>
      </c>
      <c r="J2" s="1" t="s">
        <v>84</v>
      </c>
      <c r="K2" s="1">
        <v>0.5</v>
      </c>
    </row>
    <row r="3" spans="1:11" ht="15" customHeight="1" thickBot="1">
      <c r="A3" s="57">
        <v>1</v>
      </c>
      <c r="B3" s="58">
        <v>46162</v>
      </c>
      <c r="C3" s="57">
        <v>3.88</v>
      </c>
      <c r="D3" s="57">
        <v>0</v>
      </c>
      <c r="E3" s="51">
        <f ca="1">IF(B3&lt;=$B$2,0,(C3+D3))</f>
        <v>3.88</v>
      </c>
      <c r="F3" s="12">
        <f t="shared" ref="F3:F18" ca="1" si="0">(E2*(B2-$B$2)/365)/(1+$K$4)^((B2-$B$2)/365)/-$E$2/(1+$K$4)^$K$2</f>
        <v>0</v>
      </c>
      <c r="J3" s="13" t="s">
        <v>85</v>
      </c>
      <c r="K3" s="14">
        <f ca="1">SUM(F3:F102)</f>
        <v>2.0743718719705715</v>
      </c>
    </row>
    <row r="4" spans="1:11" ht="15" customHeight="1" thickBot="1">
      <c r="A4" s="57">
        <v>2</v>
      </c>
      <c r="B4" s="58">
        <v>46346</v>
      </c>
      <c r="C4" s="57">
        <v>3.88</v>
      </c>
      <c r="D4" s="57">
        <v>0</v>
      </c>
      <c r="E4" s="51">
        <f t="shared" ref="E4:E22" ca="1" si="1">IF(B4&lt;=$B$2,0,(C4+D4))</f>
        <v>3.88</v>
      </c>
      <c r="F4" s="12">
        <f t="shared" ca="1" si="0"/>
        <v>8.9078851777553581E-3</v>
      </c>
      <c r="J4" s="1" t="s">
        <v>4</v>
      </c>
      <c r="K4" s="2">
        <f ca="1">XIRR(E2:E22,B2:B22)</f>
        <v>7.2250577807426455E-2</v>
      </c>
    </row>
    <row r="5" spans="1:11" ht="15" customHeight="1" thickBot="1">
      <c r="A5" s="57">
        <v>3</v>
      </c>
      <c r="B5" s="58">
        <v>46527</v>
      </c>
      <c r="C5" s="57">
        <v>3.88</v>
      </c>
      <c r="D5" s="57">
        <v>0</v>
      </c>
      <c r="E5" s="51">
        <f t="shared" ca="1" si="1"/>
        <v>3.88</v>
      </c>
      <c r="F5" s="12">
        <f t="shared" ca="1" si="0"/>
        <v>2.5434248075785228E-2</v>
      </c>
      <c r="J5" s="15" t="s">
        <v>86</v>
      </c>
    </row>
    <row r="6" spans="1:11" ht="15" customHeight="1" thickBot="1">
      <c r="A6" s="57">
        <v>4</v>
      </c>
      <c r="B6" s="58">
        <v>46714</v>
      </c>
      <c r="C6" s="57">
        <v>3.88</v>
      </c>
      <c r="D6" s="57">
        <v>0</v>
      </c>
      <c r="E6" s="51">
        <f t="shared" ca="1" si="1"/>
        <v>3.88</v>
      </c>
      <c r="F6" s="12">
        <f t="shared" ca="1" si="0"/>
        <v>4.0566090327926602E-2</v>
      </c>
    </row>
    <row r="7" spans="1:11" ht="15" customHeight="1" thickBot="1">
      <c r="A7" s="57">
        <v>5</v>
      </c>
      <c r="B7" s="58">
        <v>46895</v>
      </c>
      <c r="C7" s="57">
        <v>3.88</v>
      </c>
      <c r="D7" s="57">
        <v>0</v>
      </c>
      <c r="E7" s="51">
        <f t="shared" ca="1" si="1"/>
        <v>3.88</v>
      </c>
      <c r="F7" s="12">
        <f t="shared" ca="1" si="0"/>
        <v>5.5088547984188524E-2</v>
      </c>
    </row>
    <row r="8" spans="1:11" ht="15" customHeight="1" thickBot="1">
      <c r="A8" s="57">
        <v>6</v>
      </c>
      <c r="B8" s="58">
        <v>47078</v>
      </c>
      <c r="C8" s="57">
        <v>3.88</v>
      </c>
      <c r="D8" s="57">
        <v>0</v>
      </c>
      <c r="E8" s="51">
        <f t="shared" ca="1" si="1"/>
        <v>3.88</v>
      </c>
      <c r="F8" s="12">
        <f t="shared" ca="1" si="0"/>
        <v>6.8125652956322016E-2</v>
      </c>
    </row>
    <row r="9" spans="1:11" ht="15" customHeight="1" thickBot="1">
      <c r="A9" s="57">
        <v>7</v>
      </c>
      <c r="B9" s="58">
        <v>47259</v>
      </c>
      <c r="C9" s="57">
        <v>3.88</v>
      </c>
      <c r="D9" s="57">
        <v>0</v>
      </c>
      <c r="E9" s="51">
        <f t="shared" ca="1" si="1"/>
        <v>3.88</v>
      </c>
      <c r="F9" s="12">
        <f t="shared" ca="1" si="0"/>
        <v>8.0340937613978494E-2</v>
      </c>
    </row>
    <row r="10" spans="1:11" ht="15" customHeight="1" thickBot="1">
      <c r="A10" s="57">
        <v>8</v>
      </c>
      <c r="B10" s="58">
        <v>47442</v>
      </c>
      <c r="C10" s="57">
        <v>3.88</v>
      </c>
      <c r="D10" s="57">
        <v>0</v>
      </c>
      <c r="E10" s="51">
        <f t="shared" ca="1" si="1"/>
        <v>3.88</v>
      </c>
      <c r="F10" s="12">
        <f t="shared" ca="1" si="0"/>
        <v>9.1517393888234544E-2</v>
      </c>
    </row>
    <row r="11" spans="1:11" ht="15" customHeight="1" thickBot="1">
      <c r="A11" s="57">
        <v>9</v>
      </c>
      <c r="B11" s="58">
        <v>47623</v>
      </c>
      <c r="C11" s="57">
        <v>3.88</v>
      </c>
      <c r="D11" s="57">
        <v>0</v>
      </c>
      <c r="E11" s="51">
        <f t="shared" ca="1" si="1"/>
        <v>3.88</v>
      </c>
      <c r="F11" s="12">
        <f t="shared" ca="1" si="0"/>
        <v>0.10195040828709742</v>
      </c>
    </row>
    <row r="12" spans="1:11" ht="15" customHeight="1" thickBot="1">
      <c r="A12" s="57">
        <v>10</v>
      </c>
      <c r="B12" s="58">
        <v>47807</v>
      </c>
      <c r="C12" s="57">
        <v>3.88</v>
      </c>
      <c r="D12" s="57">
        <v>0</v>
      </c>
      <c r="E12" s="51">
        <f t="shared" ca="1" si="1"/>
        <v>3.88</v>
      </c>
      <c r="F12" s="12">
        <f t="shared" ca="1" si="0"/>
        <v>0.11145742127751254</v>
      </c>
    </row>
    <row r="13" spans="1:11" ht="15" customHeight="1" thickBot="1">
      <c r="A13" s="57">
        <v>11</v>
      </c>
      <c r="B13" s="58">
        <v>47988</v>
      </c>
      <c r="C13" s="57">
        <v>3.88</v>
      </c>
      <c r="D13" s="57">
        <v>0</v>
      </c>
      <c r="E13" s="51">
        <f t="shared" ca="1" si="1"/>
        <v>3.88</v>
      </c>
      <c r="F13" s="12">
        <f t="shared" ca="1" si="0"/>
        <v>0.12033875933487505</v>
      </c>
    </row>
    <row r="14" spans="1:11" ht="15" customHeight="1" thickBot="1">
      <c r="A14" s="57">
        <v>12</v>
      </c>
      <c r="B14" s="58">
        <v>48172</v>
      </c>
      <c r="C14" s="57">
        <v>3.88</v>
      </c>
      <c r="D14" s="57">
        <v>0</v>
      </c>
      <c r="E14" s="51">
        <f t="shared" ca="1" si="1"/>
        <v>3.88</v>
      </c>
      <c r="F14" s="12">
        <f t="shared" ca="1" si="0"/>
        <v>0.12834635437537456</v>
      </c>
    </row>
    <row r="15" spans="1:11" ht="15" customHeight="1" thickBot="1">
      <c r="A15" s="57">
        <v>13</v>
      </c>
      <c r="B15" s="58">
        <v>48354</v>
      </c>
      <c r="C15" s="57">
        <v>3.88</v>
      </c>
      <c r="D15" s="57">
        <v>0</v>
      </c>
      <c r="E15" s="51">
        <f t="shared" ca="1" si="1"/>
        <v>3.88</v>
      </c>
      <c r="F15" s="12">
        <f t="shared" ca="1" si="0"/>
        <v>0.13578612482295219</v>
      </c>
    </row>
    <row r="16" spans="1:11" ht="15" customHeight="1" thickBot="1">
      <c r="A16" s="57">
        <v>14</v>
      </c>
      <c r="B16" s="58">
        <v>48541</v>
      </c>
      <c r="C16" s="57">
        <v>3.88</v>
      </c>
      <c r="D16" s="57">
        <v>0</v>
      </c>
      <c r="E16" s="51">
        <f t="shared" ca="1" si="1"/>
        <v>3.88</v>
      </c>
      <c r="F16" s="12">
        <f t="shared" ca="1" si="0"/>
        <v>0.14248831217045374</v>
      </c>
    </row>
    <row r="17" spans="1:6" ht="15" customHeight="1" thickBot="1">
      <c r="A17" s="57">
        <v>15</v>
      </c>
      <c r="B17" s="58">
        <v>48719</v>
      </c>
      <c r="C17" s="57">
        <v>3.88</v>
      </c>
      <c r="D17" s="57">
        <v>0</v>
      </c>
      <c r="E17" s="51">
        <f t="shared" ca="1" si="1"/>
        <v>3.88</v>
      </c>
      <c r="F17" s="12">
        <f t="shared" ca="1" si="0"/>
        <v>0.1487323610009387</v>
      </c>
    </row>
    <row r="18" spans="1:6" ht="15" customHeight="1" thickBot="1">
      <c r="A18" s="57">
        <v>16</v>
      </c>
      <c r="B18" s="58">
        <v>48905</v>
      </c>
      <c r="C18" s="57">
        <v>3.88</v>
      </c>
      <c r="D18" s="57">
        <v>0</v>
      </c>
      <c r="E18" s="51">
        <f t="shared" ca="1" si="1"/>
        <v>3.88</v>
      </c>
      <c r="F18" s="12">
        <f t="shared" ca="1" si="0"/>
        <v>0.15410490243171165</v>
      </c>
    </row>
    <row r="19" spans="1:6" ht="16.2" thickBot="1">
      <c r="A19" s="57">
        <v>17</v>
      </c>
      <c r="B19" s="58">
        <v>49086</v>
      </c>
      <c r="C19" s="57">
        <v>3.88</v>
      </c>
      <c r="D19" s="57">
        <v>0</v>
      </c>
      <c r="E19" s="51">
        <f t="shared" ca="1" si="1"/>
        <v>3.88</v>
      </c>
      <c r="F19" s="12">
        <f ca="1">(E18*(B18-$B$2)/365)/(1+$K$4)^((B18-$B$2)/365)/-$E$2/(1+$K$4)^$K$2</f>
        <v>0.15915760896082126</v>
      </c>
    </row>
    <row r="20" spans="1:6" ht="15" customHeight="1" thickBot="1">
      <c r="A20" s="57">
        <v>18</v>
      </c>
      <c r="B20" s="58">
        <v>49269</v>
      </c>
      <c r="C20" s="57">
        <v>3.88</v>
      </c>
      <c r="D20" s="57">
        <v>0</v>
      </c>
      <c r="E20" s="51">
        <f t="shared" ca="1" si="1"/>
        <v>3.88</v>
      </c>
      <c r="F20" s="12">
        <f ca="1">(E19*(B19-$B$2)/365)/(1+$K$4)^((B19-$B$2)/365)/-$E$2/(1+$K$4)^$K$2</f>
        <v>0.16355494018612809</v>
      </c>
    </row>
    <row r="21" spans="1:6" ht="15" customHeight="1" thickBot="1">
      <c r="A21" s="57">
        <v>19</v>
      </c>
      <c r="B21" s="58">
        <v>49450</v>
      </c>
      <c r="C21" s="57">
        <v>3.88</v>
      </c>
      <c r="D21" s="57">
        <v>0</v>
      </c>
      <c r="E21" s="51">
        <f t="shared" ca="1" si="1"/>
        <v>3.88</v>
      </c>
      <c r="F21" s="12">
        <f ca="1">(E20*(B20-$B$2)/365)/(1+$K$4)^((B20-$B$2)/365)/-$E$2/(1+$K$4)^$K$2</f>
        <v>0.16750989215237805</v>
      </c>
    </row>
    <row r="22" spans="1:6" ht="15" customHeight="1" thickBot="1">
      <c r="A22" s="57">
        <v>20</v>
      </c>
      <c r="B22" s="58">
        <v>49633</v>
      </c>
      <c r="C22" s="57">
        <v>3.88</v>
      </c>
      <c r="D22" s="57">
        <v>100</v>
      </c>
      <c r="E22" s="51">
        <f t="shared" ca="1" si="1"/>
        <v>103.88</v>
      </c>
      <c r="F22" s="12">
        <f ca="1">(E21*(B21-$B$2)/365)/(1+$K$4)^((B21-$B$2)/365)/-$E$2/(1+$K$4)^$K$2</f>
        <v>0.17096403094613735</v>
      </c>
    </row>
    <row r="24" spans="1:6" ht="15" customHeight="1">
      <c r="E24" s="51">
        <f ca="1">IF(B24&lt;=$B$2,0,(C24+D24))</f>
        <v>0</v>
      </c>
    </row>
  </sheetData>
  <hyperlinks>
    <hyperlink ref="J5" location="'ONS NY'!A1" display="ONS" xr:uid="{978AEE53-172D-4547-B9BC-5A7C70F93349}"/>
  </hyperlink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45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-109.1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46001</v>
      </c>
      <c r="C3" s="9">
        <v>4.25</v>
      </c>
      <c r="D3" s="9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SUM(F3:F102)</f>
        <v>4.8284438701775505</v>
      </c>
    </row>
    <row r="4" spans="1:11" ht="15" customHeight="1">
      <c r="A4" s="9">
        <v>2</v>
      </c>
      <c r="B4" s="10">
        <v>46183</v>
      </c>
      <c r="C4" s="9">
        <v>4.25</v>
      </c>
      <c r="D4" s="9">
        <v>0</v>
      </c>
      <c r="E4" s="51">
        <f t="shared" ref="E4:E24" ca="1" si="1">IF(B4&lt;=$B$2,0,(C4+D4))</f>
        <v>4.25</v>
      </c>
      <c r="F4" s="12">
        <f t="shared" ca="1" si="0"/>
        <v>1.1604649799042533E-2</v>
      </c>
      <c r="J4" s="1" t="s">
        <v>4</v>
      </c>
      <c r="K4" s="2">
        <f ca="1">XIRR(E2:E18,B2:B18)</f>
        <v>7.1171435713767994E-2</v>
      </c>
    </row>
    <row r="5" spans="1:11" ht="15" customHeight="1">
      <c r="A5" s="9">
        <v>3</v>
      </c>
      <c r="B5" s="10">
        <v>46366</v>
      </c>
      <c r="C5" s="9">
        <v>4.25</v>
      </c>
      <c r="D5" s="9">
        <v>0</v>
      </c>
      <c r="E5" s="51">
        <f t="shared" ca="1" si="1"/>
        <v>4.25</v>
      </c>
      <c r="F5" s="12">
        <f t="shared" ca="1" si="0"/>
        <v>2.9052269786210713E-2</v>
      </c>
      <c r="J5" s="15" t="s">
        <v>86</v>
      </c>
    </row>
    <row r="6" spans="1:11" ht="15" customHeight="1">
      <c r="A6" s="9">
        <v>4</v>
      </c>
      <c r="B6" s="10">
        <v>46548</v>
      </c>
      <c r="C6" s="9">
        <v>4.25</v>
      </c>
      <c r="D6" s="9">
        <v>0</v>
      </c>
      <c r="E6" s="51">
        <f t="shared" ca="1" si="1"/>
        <v>4.25</v>
      </c>
      <c r="F6" s="12">
        <f t="shared" ca="1" si="0"/>
        <v>4.5218531363231756E-2</v>
      </c>
    </row>
    <row r="7" spans="1:11" ht="15" customHeight="1">
      <c r="A7" s="9">
        <v>5</v>
      </c>
      <c r="B7" s="10">
        <v>46731</v>
      </c>
      <c r="C7" s="9">
        <v>4.25</v>
      </c>
      <c r="D7" s="9">
        <v>0</v>
      </c>
      <c r="E7" s="51">
        <f t="shared" ca="1" si="1"/>
        <v>4.25</v>
      </c>
      <c r="F7" s="12">
        <f t="shared" ca="1" si="0"/>
        <v>6.0341812316287505E-2</v>
      </c>
    </row>
    <row r="8" spans="1:11" ht="15" customHeight="1">
      <c r="A8" s="9">
        <v>6</v>
      </c>
      <c r="B8" s="10">
        <v>46916</v>
      </c>
      <c r="C8" s="9">
        <v>4.25</v>
      </c>
      <c r="D8" s="9">
        <v>0</v>
      </c>
      <c r="E8" s="51">
        <f t="shared" ca="1" si="1"/>
        <v>4.25</v>
      </c>
      <c r="F8" s="12">
        <f t="shared" ca="1" si="0"/>
        <v>7.4536100564663824E-2</v>
      </c>
    </row>
    <row r="9" spans="1:11" ht="15" customHeight="1">
      <c r="A9" s="9">
        <v>7</v>
      </c>
      <c r="B9" s="10">
        <v>47098</v>
      </c>
      <c r="C9" s="9">
        <v>4.25</v>
      </c>
      <c r="D9" s="9">
        <v>0</v>
      </c>
      <c r="E9" s="51">
        <f t="shared" ca="1" si="1"/>
        <v>4.25</v>
      </c>
      <c r="F9" s="12">
        <f t="shared" ca="1" si="0"/>
        <v>8.7482150835095321E-2</v>
      </c>
    </row>
    <row r="10" spans="1:11" ht="15" customHeight="1">
      <c r="A10" s="9">
        <v>8</v>
      </c>
      <c r="B10" s="10">
        <v>47280</v>
      </c>
      <c r="C10" s="9">
        <v>4.25</v>
      </c>
      <c r="D10" s="9">
        <v>0</v>
      </c>
      <c r="E10" s="51">
        <f t="shared" ca="1" si="1"/>
        <v>4.25</v>
      </c>
      <c r="F10" s="12">
        <f t="shared" ca="1" si="0"/>
        <v>9.947094831670944E-2</v>
      </c>
    </row>
    <row r="11" spans="1:11" ht="15" customHeight="1">
      <c r="A11" s="9">
        <v>9</v>
      </c>
      <c r="B11" s="10">
        <v>47462</v>
      </c>
      <c r="C11" s="9">
        <v>4.25</v>
      </c>
      <c r="D11" s="9">
        <v>0</v>
      </c>
      <c r="E11" s="51">
        <f t="shared" ca="1" si="1"/>
        <v>4.25</v>
      </c>
      <c r="F11" s="12">
        <f t="shared" ca="1" si="0"/>
        <v>0.11055231046526835</v>
      </c>
    </row>
    <row r="12" spans="1:11" ht="15" customHeight="1">
      <c r="A12" s="9">
        <v>10</v>
      </c>
      <c r="B12" s="10">
        <v>47644</v>
      </c>
      <c r="C12" s="9">
        <v>4.25</v>
      </c>
      <c r="D12" s="9">
        <v>0</v>
      </c>
      <c r="E12" s="51">
        <f t="shared" ca="1" si="1"/>
        <v>4.25</v>
      </c>
      <c r="F12" s="12">
        <f t="shared" ca="1" si="0"/>
        <v>0.12077378413802912</v>
      </c>
    </row>
    <row r="13" spans="1:11" ht="15" customHeight="1">
      <c r="A13" s="9">
        <v>11</v>
      </c>
      <c r="B13" s="10">
        <v>47827</v>
      </c>
      <c r="C13" s="9">
        <v>4.25</v>
      </c>
      <c r="D13" s="9">
        <v>0</v>
      </c>
      <c r="E13" s="51">
        <f t="shared" ca="1" si="1"/>
        <v>4.25</v>
      </c>
      <c r="F13" s="12">
        <f t="shared" ca="1" si="0"/>
        <v>0.13023025953607709</v>
      </c>
    </row>
    <row r="14" spans="1:11" ht="15" customHeight="1">
      <c r="A14" s="9">
        <v>12</v>
      </c>
      <c r="B14" s="10">
        <v>48009</v>
      </c>
      <c r="C14" s="9">
        <v>4.25</v>
      </c>
      <c r="D14" s="9">
        <v>33</v>
      </c>
      <c r="E14" s="51">
        <f t="shared" ca="1" si="1"/>
        <v>37.25</v>
      </c>
      <c r="F14" s="12">
        <f t="shared" ca="1" si="0"/>
        <v>1.2170834592774649</v>
      </c>
    </row>
    <row r="15" spans="1:11" ht="15" customHeight="1">
      <c r="A15" s="9">
        <v>13</v>
      </c>
      <c r="B15" s="10">
        <v>48192</v>
      </c>
      <c r="C15" s="9">
        <v>2.85</v>
      </c>
      <c r="D15" s="9">
        <v>0</v>
      </c>
      <c r="E15" s="51">
        <f t="shared" ca="1" si="1"/>
        <v>2.85</v>
      </c>
      <c r="F15" s="12">
        <f t="shared" ca="1" si="0"/>
        <v>9.8445875564633328E-2</v>
      </c>
    </row>
    <row r="16" spans="1:11" ht="15" customHeight="1">
      <c r="A16" s="9">
        <v>14</v>
      </c>
      <c r="B16" s="10">
        <v>48375</v>
      </c>
      <c r="C16" s="9">
        <v>2.85</v>
      </c>
      <c r="D16" s="9">
        <v>33</v>
      </c>
      <c r="E16" s="51">
        <f t="shared" ca="1" si="1"/>
        <v>35.85</v>
      </c>
      <c r="F16" s="12">
        <f t="shared" ca="1" si="0"/>
        <v>1.2994647818654308</v>
      </c>
    </row>
    <row r="17" spans="1:6" ht="15" customHeight="1">
      <c r="A17" s="9">
        <v>15</v>
      </c>
      <c r="B17" s="10">
        <v>48558</v>
      </c>
      <c r="C17" s="9">
        <v>1.45</v>
      </c>
      <c r="D17" s="9">
        <v>0</v>
      </c>
      <c r="E17" s="51">
        <f t="shared" ca="1" si="1"/>
        <v>1.45</v>
      </c>
      <c r="F17" s="12">
        <f t="shared" ca="1" si="0"/>
        <v>5.4805571934902583E-2</v>
      </c>
    </row>
    <row r="18" spans="1:6" ht="15" customHeight="1">
      <c r="A18" s="9">
        <v>16</v>
      </c>
      <c r="B18" s="10">
        <v>48740</v>
      </c>
      <c r="C18" s="9">
        <v>1.45</v>
      </c>
      <c r="D18" s="9">
        <v>34</v>
      </c>
      <c r="E18" s="51">
        <f t="shared" ca="1" si="1"/>
        <v>35.450000000000003</v>
      </c>
      <c r="F18" s="12">
        <f t="shared" ca="1" si="0"/>
        <v>1.3893813644145037</v>
      </c>
    </row>
    <row r="19" spans="1:6" ht="15.6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4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79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-108.25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46044</v>
      </c>
      <c r="C3" s="9">
        <v>4.47</v>
      </c>
      <c r="D3" s="9">
        <v>0</v>
      </c>
      <c r="E3" s="51">
        <f ca="1">IF(B3&lt;=$B$2,0,(C3+D3))</f>
        <v>0</v>
      </c>
      <c r="F3" s="12">
        <f t="shared" ref="F3:F12" ca="1" si="0">(E3*(B3-$B$2)/365)/(1+$K$4)^((B3-$B$2)/365)/-$E$2/(1+$K$4)^$K$2</f>
        <v>0</v>
      </c>
      <c r="J3" s="13" t="s">
        <v>85</v>
      </c>
      <c r="K3" s="14">
        <f ca="1">SUM(F3:F102)</f>
        <v>3.6456074909456353</v>
      </c>
    </row>
    <row r="4" spans="1:11" ht="15" customHeight="1">
      <c r="A4" s="9">
        <v>2</v>
      </c>
      <c r="B4" s="10">
        <v>46225</v>
      </c>
      <c r="C4" s="9">
        <v>4.4000000000000004</v>
      </c>
      <c r="D4" s="9">
        <v>0</v>
      </c>
      <c r="E4" s="51">
        <f t="shared" ref="E4:E24" ca="1" si="1">IF(B4&lt;=$B$2,0,(C4+D4))</f>
        <v>4.4000000000000004</v>
      </c>
      <c r="F4" s="12">
        <f t="shared" ca="1" si="0"/>
        <v>1.642451918808514E-2</v>
      </c>
      <c r="J4" s="1" t="s">
        <v>4</v>
      </c>
      <c r="K4" s="2">
        <f ca="1">XIRR(E2:E18,B2:B18)</f>
        <v>6.9491431117057814E-2</v>
      </c>
    </row>
    <row r="5" spans="1:11" ht="15" customHeight="1">
      <c r="A5" s="9">
        <v>3</v>
      </c>
      <c r="B5" s="10">
        <v>46409</v>
      </c>
      <c r="C5" s="9">
        <v>4.47</v>
      </c>
      <c r="D5" s="9">
        <v>0</v>
      </c>
      <c r="E5" s="51">
        <f t="shared" ca="1" si="1"/>
        <v>4.47</v>
      </c>
      <c r="F5" s="12">
        <f t="shared" ca="1" si="0"/>
        <v>3.503431872836666E-2</v>
      </c>
      <c r="J5" s="15" t="s">
        <v>86</v>
      </c>
    </row>
    <row r="6" spans="1:11" ht="15" customHeight="1">
      <c r="A6" s="9">
        <v>4</v>
      </c>
      <c r="B6" s="10">
        <v>46590</v>
      </c>
      <c r="C6" s="9">
        <v>4.4000000000000004</v>
      </c>
      <c r="D6" s="9">
        <v>0</v>
      </c>
      <c r="E6" s="51">
        <f t="shared" ca="1" si="1"/>
        <v>4.4000000000000004</v>
      </c>
      <c r="F6" s="12">
        <f t="shared" ca="1" si="0"/>
        <v>5.1060634374646592E-2</v>
      </c>
    </row>
    <row r="7" spans="1:11" ht="15" customHeight="1">
      <c r="A7" s="9">
        <v>5</v>
      </c>
      <c r="B7" s="10">
        <v>46776</v>
      </c>
      <c r="C7" s="9">
        <v>4.47</v>
      </c>
      <c r="D7" s="9">
        <v>0</v>
      </c>
      <c r="E7" s="51">
        <f t="shared" ca="1" si="1"/>
        <v>4.47</v>
      </c>
      <c r="F7" s="12">
        <f t="shared" ca="1" si="0"/>
        <v>6.7988486032934267E-2</v>
      </c>
    </row>
    <row r="8" spans="1:11" ht="15" customHeight="1">
      <c r="A8" s="9">
        <v>6</v>
      </c>
      <c r="B8" s="10">
        <v>46958</v>
      </c>
      <c r="C8" s="9">
        <v>4.42</v>
      </c>
      <c r="D8" s="9">
        <v>0</v>
      </c>
      <c r="E8" s="51">
        <f t="shared" ca="1" si="1"/>
        <v>4.42</v>
      </c>
      <c r="F8" s="12">
        <f t="shared" ca="1" si="0"/>
        <v>8.1725611696056133E-2</v>
      </c>
    </row>
    <row r="9" spans="1:11" ht="15" customHeight="1">
      <c r="A9" s="9">
        <v>7</v>
      </c>
      <c r="B9" s="10">
        <v>47140</v>
      </c>
      <c r="C9" s="9">
        <v>4.47</v>
      </c>
      <c r="D9" s="9">
        <v>0</v>
      </c>
      <c r="E9" s="51">
        <f t="shared" ca="1" si="1"/>
        <v>4.47</v>
      </c>
      <c r="F9" s="12">
        <f t="shared" ca="1" si="0"/>
        <v>9.6271896358925635E-2</v>
      </c>
    </row>
    <row r="10" spans="1:11" ht="15" customHeight="1">
      <c r="A10" s="9">
        <v>8</v>
      </c>
      <c r="B10" s="10">
        <v>47322</v>
      </c>
      <c r="C10" s="9">
        <v>4.4000000000000004</v>
      </c>
      <c r="D10" s="9">
        <v>0</v>
      </c>
      <c r="E10" s="51">
        <f t="shared" ca="1" si="1"/>
        <v>4.4000000000000004</v>
      </c>
      <c r="F10" s="12">
        <f t="shared" ca="1" si="0"/>
        <v>0.1072009774817316</v>
      </c>
    </row>
    <row r="11" spans="1:11" ht="15" customHeight="1">
      <c r="A11" s="9">
        <v>9</v>
      </c>
      <c r="B11" s="10">
        <v>47505</v>
      </c>
      <c r="C11" s="9">
        <v>4.47</v>
      </c>
      <c r="D11" s="9">
        <v>0</v>
      </c>
      <c r="E11" s="51">
        <f t="shared" ca="1" si="1"/>
        <v>4.47</v>
      </c>
      <c r="F11" s="12">
        <f t="shared" ca="1" si="0"/>
        <v>0.12066580097829638</v>
      </c>
    </row>
    <row r="12" spans="1:11" ht="15" customHeight="1">
      <c r="A12" s="9">
        <v>10</v>
      </c>
      <c r="B12" s="10">
        <v>47686</v>
      </c>
      <c r="C12" s="9">
        <v>4.4000000000000004</v>
      </c>
      <c r="D12" s="9">
        <v>100</v>
      </c>
      <c r="E12" s="51">
        <f t="shared" ca="1" si="1"/>
        <v>104.4</v>
      </c>
      <c r="F12" s="12">
        <f t="shared" ca="1" si="0"/>
        <v>3.0692352461065928</v>
      </c>
    </row>
    <row r="13" spans="1:11" ht="15.6">
      <c r="E13" s="51">
        <f t="shared" ca="1" si="1"/>
        <v>0</v>
      </c>
      <c r="F13" s="12"/>
    </row>
    <row r="14" spans="1:11" ht="15" customHeight="1">
      <c r="A14" s="9"/>
      <c r="B14" s="10"/>
      <c r="C14" s="9"/>
      <c r="D14" s="9"/>
      <c r="E14" s="51">
        <f t="shared" ca="1" si="1"/>
        <v>0</v>
      </c>
      <c r="F14" s="12"/>
    </row>
    <row r="15" spans="1:11" ht="15" customHeight="1">
      <c r="A15" s="9"/>
      <c r="B15" s="10"/>
      <c r="C15" s="9"/>
      <c r="D15" s="9"/>
      <c r="E15" s="51">
        <f t="shared" ca="1" si="1"/>
        <v>0</v>
      </c>
      <c r="F15" s="12"/>
    </row>
    <row r="16" spans="1:11" ht="15" customHeight="1">
      <c r="A16" s="9"/>
      <c r="B16" s="10"/>
      <c r="C16" s="9"/>
      <c r="D16" s="9"/>
      <c r="E16" s="51">
        <f t="shared" ca="1" si="1"/>
        <v>0</v>
      </c>
      <c r="F16" s="12"/>
    </row>
    <row r="17" spans="1:6" ht="15" customHeight="1">
      <c r="A17" s="9"/>
      <c r="E17" s="51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1">
        <f t="shared" ca="1" si="1"/>
        <v>0</v>
      </c>
      <c r="F18" s="12"/>
    </row>
    <row r="19" spans="1:6" ht="15.6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200-000000000000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39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-108.35</v>
      </c>
      <c r="J2" s="1" t="s">
        <v>84</v>
      </c>
      <c r="K2" s="1">
        <v>0.5</v>
      </c>
    </row>
    <row r="3" spans="1:11" ht="15" customHeight="1">
      <c r="A3" s="4" t="s">
        <v>87</v>
      </c>
      <c r="B3" s="10">
        <v>45992</v>
      </c>
      <c r="C3" s="9">
        <v>4.25</v>
      </c>
      <c r="D3" s="9">
        <v>0</v>
      </c>
      <c r="E3" s="51">
        <f ca="1">IF(B3&lt;=$B$2,0,(C3+D3))</f>
        <v>0</v>
      </c>
      <c r="F3" s="12">
        <f t="shared" ref="F3:F16" ca="1" si="0">(E3*(B3-$B$2)/365)/(1+$K$4)^((B3-$B$2)/365)/-$E$2/(1+$K$4)^$K$2</f>
        <v>0</v>
      </c>
      <c r="J3" s="13" t="s">
        <v>85</v>
      </c>
      <c r="K3" s="14">
        <f ca="1">SUM(F3:F102)</f>
        <v>4.7958835204595118</v>
      </c>
    </row>
    <row r="4" spans="1:11" ht="15" customHeight="1">
      <c r="A4" s="9">
        <v>1</v>
      </c>
      <c r="B4" s="10">
        <v>46174</v>
      </c>
      <c r="C4" s="9">
        <v>4.25</v>
      </c>
      <c r="D4" s="9">
        <v>0</v>
      </c>
      <c r="E4" s="51">
        <f t="shared" ref="E4:E24" ca="1" si="1">IF(B4&lt;=$B$2,0,(C4+D4))</f>
        <v>4.25</v>
      </c>
      <c r="F4" s="12">
        <f t="shared" ca="1" si="0"/>
        <v>1.0773697930133708E-2</v>
      </c>
      <c r="J4" s="1" t="s">
        <v>4</v>
      </c>
      <c r="K4" s="2">
        <f ca="1">XIRR(E2:E18,B2:B18)</f>
        <v>7.3068347573280346E-2</v>
      </c>
    </row>
    <row r="5" spans="1:11" ht="15" customHeight="1">
      <c r="A5" s="9">
        <v>2</v>
      </c>
      <c r="B5" s="10">
        <v>46356</v>
      </c>
      <c r="C5" s="9">
        <v>4.25</v>
      </c>
      <c r="D5" s="9">
        <v>0</v>
      </c>
      <c r="E5" s="51">
        <f t="shared" ca="1" si="1"/>
        <v>4.25</v>
      </c>
      <c r="F5" s="12">
        <f t="shared" ca="1" si="0"/>
        <v>2.8260489517445156E-2</v>
      </c>
      <c r="J5" s="15" t="s">
        <v>86</v>
      </c>
    </row>
    <row r="6" spans="1:11" ht="15" customHeight="1">
      <c r="A6" s="9">
        <v>3</v>
      </c>
      <c r="B6" s="10">
        <v>46538</v>
      </c>
      <c r="C6" s="9">
        <v>4.25</v>
      </c>
      <c r="D6" s="9">
        <v>0</v>
      </c>
      <c r="E6" s="51">
        <f t="shared" ca="1" si="1"/>
        <v>4.25</v>
      </c>
      <c r="F6" s="12">
        <f t="shared" ca="1" si="0"/>
        <v>4.4525962217168154E-2</v>
      </c>
    </row>
    <row r="7" spans="1:11" ht="15" customHeight="1">
      <c r="A7" s="9">
        <v>4</v>
      </c>
      <c r="B7" s="10">
        <v>46721</v>
      </c>
      <c r="C7" s="9">
        <v>4.25</v>
      </c>
      <c r="D7" s="9">
        <v>0</v>
      </c>
      <c r="E7" s="51">
        <f t="shared" ca="1" si="1"/>
        <v>4.25</v>
      </c>
      <c r="F7" s="12">
        <f t="shared" ca="1" si="0"/>
        <v>5.9713563500150238E-2</v>
      </c>
    </row>
    <row r="8" spans="1:11" ht="15" customHeight="1">
      <c r="A8" s="9">
        <v>5</v>
      </c>
      <c r="B8" s="10">
        <v>46903</v>
      </c>
      <c r="C8" s="9">
        <v>4.25</v>
      </c>
      <c r="D8" s="9">
        <v>0</v>
      </c>
      <c r="E8" s="51">
        <f t="shared" ca="1" si="1"/>
        <v>4.25</v>
      </c>
      <c r="F8" s="12">
        <f t="shared" ca="1" si="0"/>
        <v>7.3718170125635182E-2</v>
      </c>
    </row>
    <row r="9" spans="1:11" ht="15" customHeight="1">
      <c r="A9" s="9">
        <v>6</v>
      </c>
      <c r="B9" s="10">
        <v>47087</v>
      </c>
      <c r="C9" s="9">
        <v>4.25</v>
      </c>
      <c r="D9" s="9">
        <v>0</v>
      </c>
      <c r="E9" s="51">
        <f t="shared" ca="1" si="1"/>
        <v>4.25</v>
      </c>
      <c r="F9" s="12">
        <f t="shared" ca="1" si="0"/>
        <v>8.6820582765202936E-2</v>
      </c>
    </row>
    <row r="10" spans="1:11" ht="15" customHeight="1">
      <c r="A10" s="9">
        <v>7</v>
      </c>
      <c r="B10" s="10">
        <v>47268</v>
      </c>
      <c r="C10" s="9">
        <v>4.25</v>
      </c>
      <c r="D10" s="9">
        <v>0</v>
      </c>
      <c r="E10" s="51">
        <f t="shared" ca="1" si="1"/>
        <v>4.25</v>
      </c>
      <c r="F10" s="12">
        <f t="shared" ca="1" si="0"/>
        <v>9.8728362139895914E-2</v>
      </c>
    </row>
    <row r="11" spans="1:11" ht="15" customHeight="1">
      <c r="A11" s="9">
        <v>8</v>
      </c>
      <c r="B11" s="10">
        <v>47452</v>
      </c>
      <c r="C11" s="9">
        <v>4.25</v>
      </c>
      <c r="D11" s="9">
        <v>0</v>
      </c>
      <c r="E11" s="51">
        <f t="shared" ca="1" si="1"/>
        <v>4.25</v>
      </c>
      <c r="F11" s="12">
        <f t="shared" ca="1" si="0"/>
        <v>0.10988975828820506</v>
      </c>
    </row>
    <row r="12" spans="1:11" ht="15" customHeight="1">
      <c r="A12" s="9">
        <v>9</v>
      </c>
      <c r="B12" s="10">
        <v>47633</v>
      </c>
      <c r="C12" s="9">
        <v>4.25</v>
      </c>
      <c r="D12" s="9">
        <v>0</v>
      </c>
      <c r="E12" s="51">
        <f t="shared" ca="1" si="1"/>
        <v>4.25</v>
      </c>
      <c r="F12" s="12">
        <f t="shared" ca="1" si="0"/>
        <v>0.11999071564139546</v>
      </c>
    </row>
    <row r="13" spans="1:11" ht="15" customHeight="1">
      <c r="A13" s="9">
        <v>10</v>
      </c>
      <c r="B13" s="10">
        <v>47819</v>
      </c>
      <c r="C13" s="9">
        <v>4.25</v>
      </c>
      <c r="D13" s="9">
        <v>0</v>
      </c>
      <c r="E13" s="51">
        <f t="shared" ca="1" si="1"/>
        <v>4.25</v>
      </c>
      <c r="F13" s="12">
        <f t="shared" ca="1" si="0"/>
        <v>0.12951261375756395</v>
      </c>
    </row>
    <row r="14" spans="1:11" ht="15" customHeight="1">
      <c r="A14" s="9">
        <v>11</v>
      </c>
      <c r="B14" s="10">
        <v>47998</v>
      </c>
      <c r="C14" s="9">
        <v>4.25</v>
      </c>
      <c r="D14" s="9">
        <v>0</v>
      </c>
      <c r="E14" s="51">
        <f t="shared" ca="1" si="1"/>
        <v>4.25</v>
      </c>
      <c r="F14" s="12">
        <f t="shared" ca="1" si="0"/>
        <v>0.13789966972908316</v>
      </c>
    </row>
    <row r="15" spans="1:11" ht="15" customHeight="1">
      <c r="A15" s="9">
        <v>12</v>
      </c>
      <c r="B15" s="10">
        <v>48183</v>
      </c>
      <c r="C15" s="9">
        <v>4.25</v>
      </c>
      <c r="D15" s="9">
        <v>0</v>
      </c>
      <c r="E15" s="51">
        <f t="shared" ca="1" si="1"/>
        <v>4.25</v>
      </c>
      <c r="F15" s="12">
        <f t="shared" ca="1" si="0"/>
        <v>0.14581184989240509</v>
      </c>
    </row>
    <row r="16" spans="1:11" ht="15" customHeight="1">
      <c r="A16" s="9">
        <v>13</v>
      </c>
      <c r="B16" s="10">
        <v>48365</v>
      </c>
      <c r="C16" s="9">
        <v>4.25</v>
      </c>
      <c r="D16" s="9">
        <v>100</v>
      </c>
      <c r="E16" s="51">
        <f t="shared" ca="1" si="1"/>
        <v>104.25</v>
      </c>
      <c r="F16" s="12">
        <f t="shared" ca="1" si="0"/>
        <v>3.7502380849552277</v>
      </c>
    </row>
    <row r="17" spans="1:6" ht="15" customHeight="1">
      <c r="A17" s="9"/>
      <c r="E17" s="51">
        <f t="shared" ca="1" si="1"/>
        <v>0</v>
      </c>
      <c r="F17" s="12"/>
    </row>
    <row r="18" spans="1:6" ht="15" customHeight="1">
      <c r="A18" s="9"/>
      <c r="B18" s="10"/>
      <c r="C18" s="9"/>
      <c r="D18" s="9"/>
      <c r="E18" s="51">
        <f t="shared" ca="1" si="1"/>
        <v>0</v>
      </c>
      <c r="F18" s="12"/>
    </row>
    <row r="19" spans="1:6" ht="15.6"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3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26</v>
      </c>
      <c r="B1" s="4" t="s">
        <v>80</v>
      </c>
      <c r="C1" s="4" t="s">
        <v>81</v>
      </c>
      <c r="D1" s="4" t="s">
        <v>82</v>
      </c>
      <c r="E1" s="4" t="s">
        <v>83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-108</v>
      </c>
      <c r="J2" s="1" t="s">
        <v>84</v>
      </c>
      <c r="K2" s="1">
        <v>0.5</v>
      </c>
    </row>
    <row r="3" spans="1:11" ht="15" customHeight="1">
      <c r="A3" s="9">
        <v>1</v>
      </c>
      <c r="B3" s="10">
        <v>46014</v>
      </c>
      <c r="C3" s="9">
        <v>4</v>
      </c>
      <c r="D3" s="9">
        <v>0</v>
      </c>
      <c r="E3" s="51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85</v>
      </c>
      <c r="K3" s="14">
        <f ca="1">SUM(F3:F102)</f>
        <v>2.9104946996140848</v>
      </c>
    </row>
    <row r="4" spans="1:11" ht="15" customHeight="1">
      <c r="A4" s="9">
        <v>2</v>
      </c>
      <c r="B4" s="10">
        <v>46196</v>
      </c>
      <c r="C4" s="9">
        <v>4</v>
      </c>
      <c r="D4" s="9">
        <v>0</v>
      </c>
      <c r="E4" s="51">
        <f t="shared" ref="E4:E24" ca="1" si="1">IF(B4&lt;=$B$2,0,(C4+D4))</f>
        <v>4</v>
      </c>
      <c r="F4" s="12">
        <f t="shared" ca="1" si="0"/>
        <v>1.2379818565940542E-2</v>
      </c>
      <c r="J4" s="1" t="s">
        <v>4</v>
      </c>
      <c r="K4" s="2">
        <f ca="1">XIRR(E2:E18,B2:B18)</f>
        <v>5.8027127385139474E-2</v>
      </c>
    </row>
    <row r="5" spans="1:11" ht="15" customHeight="1">
      <c r="A5" s="9">
        <v>3</v>
      </c>
      <c r="B5" s="10">
        <v>46379</v>
      </c>
      <c r="C5" s="9">
        <v>4</v>
      </c>
      <c r="D5" s="9">
        <v>0</v>
      </c>
      <c r="E5" s="51">
        <f t="shared" ca="1" si="1"/>
        <v>4</v>
      </c>
      <c r="F5" s="12">
        <f t="shared" ca="1" si="0"/>
        <v>2.9240361700296813E-2</v>
      </c>
      <c r="J5" s="15" t="s">
        <v>86</v>
      </c>
    </row>
    <row r="6" spans="1:11" ht="15" customHeight="1">
      <c r="A6" s="9">
        <v>4</v>
      </c>
      <c r="B6" s="10">
        <v>46561</v>
      </c>
      <c r="C6" s="9">
        <v>4</v>
      </c>
      <c r="D6" s="9">
        <v>0</v>
      </c>
      <c r="E6" s="51">
        <f t="shared" ca="1" si="1"/>
        <v>4</v>
      </c>
      <c r="F6" s="12">
        <f t="shared" ca="1" si="0"/>
        <v>4.5066561821740007E-2</v>
      </c>
    </row>
    <row r="7" spans="1:11" ht="15" customHeight="1">
      <c r="A7" s="9">
        <v>5</v>
      </c>
      <c r="B7" s="10">
        <v>46744</v>
      </c>
      <c r="C7" s="9">
        <v>4</v>
      </c>
      <c r="D7" s="9">
        <v>0</v>
      </c>
      <c r="E7" s="51">
        <f t="shared" ca="1" si="1"/>
        <v>4</v>
      </c>
      <c r="F7" s="12">
        <f t="shared" ca="1" si="0"/>
        <v>6.0072021179252408E-2</v>
      </c>
    </row>
    <row r="8" spans="1:11" ht="15" customHeight="1">
      <c r="A8" s="9">
        <v>6</v>
      </c>
      <c r="B8" s="10">
        <v>46927</v>
      </c>
      <c r="C8" s="9">
        <v>4</v>
      </c>
      <c r="D8" s="9">
        <v>0</v>
      </c>
      <c r="E8" s="51">
        <f t="shared" ca="1" si="1"/>
        <v>4</v>
      </c>
      <c r="F8" s="12">
        <f t="shared" ca="1" si="0"/>
        <v>7.4205612403022897E-2</v>
      </c>
    </row>
    <row r="9" spans="1:11" ht="15" customHeight="1">
      <c r="A9" s="9">
        <v>7</v>
      </c>
      <c r="B9" s="10">
        <v>47113</v>
      </c>
      <c r="C9" s="9">
        <v>4</v>
      </c>
      <c r="D9" s="9">
        <v>0</v>
      </c>
      <c r="E9" s="51">
        <f t="shared" ca="1" si="1"/>
        <v>4</v>
      </c>
      <c r="F9" s="12">
        <f t="shared" ca="1" si="0"/>
        <v>8.7715547371862435E-2</v>
      </c>
    </row>
    <row r="10" spans="1:11" ht="15" customHeight="1">
      <c r="A10" s="9">
        <v>8</v>
      </c>
      <c r="B10" s="10">
        <v>47294</v>
      </c>
      <c r="C10" s="9">
        <v>4</v>
      </c>
      <c r="D10" s="9">
        <v>100</v>
      </c>
      <c r="E10" s="51">
        <f t="shared" ca="1" si="1"/>
        <v>104</v>
      </c>
      <c r="F10" s="12">
        <f t="shared" ca="1" si="0"/>
        <v>2.6018147765719699</v>
      </c>
    </row>
    <row r="11" spans="1:11" ht="15.6">
      <c r="E11" s="51">
        <f t="shared" ca="1" si="1"/>
        <v>0</v>
      </c>
      <c r="F11" s="12"/>
    </row>
    <row r="12" spans="1:11" ht="15" customHeight="1">
      <c r="A12" s="11"/>
      <c r="B12" s="17"/>
      <c r="C12" s="11"/>
      <c r="D12" s="11"/>
      <c r="E12" s="51">
        <f t="shared" ca="1" si="1"/>
        <v>0</v>
      </c>
      <c r="F12" s="12"/>
    </row>
    <row r="13" spans="1:11" ht="15" customHeight="1">
      <c r="A13" s="11"/>
      <c r="B13" s="17"/>
      <c r="C13" s="11"/>
      <c r="D13" s="11"/>
      <c r="E13" s="51">
        <f t="shared" ca="1" si="1"/>
        <v>0</v>
      </c>
      <c r="F13" s="12"/>
    </row>
    <row r="14" spans="1:11" ht="15" customHeight="1">
      <c r="A14" s="11"/>
      <c r="B14" s="17"/>
      <c r="C14" s="11"/>
      <c r="D14" s="11"/>
      <c r="E14" s="51">
        <f t="shared" ca="1" si="1"/>
        <v>0</v>
      </c>
      <c r="F14" s="12"/>
    </row>
    <row r="15" spans="1:11" ht="15" customHeight="1">
      <c r="A15" s="11"/>
      <c r="B15" s="17"/>
      <c r="C15" s="11"/>
      <c r="D15" s="11"/>
      <c r="E15" s="51">
        <f t="shared" ca="1" si="1"/>
        <v>0</v>
      </c>
      <c r="F15" s="12"/>
    </row>
    <row r="16" spans="1:11" ht="15" customHeight="1">
      <c r="A16" s="11"/>
      <c r="B16" s="17"/>
      <c r="C16" s="11"/>
      <c r="D16" s="11"/>
      <c r="E16" s="51">
        <f t="shared" ca="1" si="1"/>
        <v>0</v>
      </c>
      <c r="F16" s="12"/>
    </row>
    <row r="17" spans="1:6" ht="15" customHeight="1">
      <c r="A17" s="11"/>
      <c r="B17" s="17"/>
      <c r="C17" s="11"/>
      <c r="D17" s="11"/>
      <c r="E17" s="51">
        <f t="shared" ca="1" si="1"/>
        <v>0</v>
      </c>
      <c r="F17" s="12"/>
    </row>
    <row r="18" spans="1:6" ht="15" customHeight="1">
      <c r="A18" s="11"/>
      <c r="B18" s="17"/>
      <c r="C18" s="11"/>
      <c r="D18" s="11"/>
      <c r="E18" s="51">
        <f t="shared" ca="1" si="1"/>
        <v>0</v>
      </c>
      <c r="F18" s="12"/>
    </row>
    <row r="19" spans="1:6" ht="15" customHeight="1">
      <c r="A19" s="11"/>
      <c r="B19" s="16"/>
      <c r="C19" s="11"/>
      <c r="D19" s="11"/>
      <c r="E19" s="51">
        <f t="shared" ca="1" si="1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1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1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1"/>
        <v>0</v>
      </c>
      <c r="F22" s="12"/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5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43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-111.3</v>
      </c>
      <c r="J2" s="1" t="s">
        <v>84</v>
      </c>
      <c r="K2" s="1">
        <v>0.5</v>
      </c>
    </row>
    <row r="3" spans="1:11" ht="15" customHeight="1">
      <c r="A3" s="11"/>
      <c r="B3" s="18">
        <v>45988</v>
      </c>
      <c r="C3" s="19">
        <f t="shared" ref="C3:C16" si="0">9.5/365*360/2</f>
        <v>4.6849315068493151</v>
      </c>
      <c r="D3" s="11">
        <v>0</v>
      </c>
      <c r="E3" s="51">
        <f ca="1">IF(B3&lt;=$B$2,0,(C3+D3))</f>
        <v>0</v>
      </c>
      <c r="F3" s="12">
        <f t="shared" ref="F3:F18" ca="1" si="1">(E3*(B3-$B$2)/365)/(1+$K$4)^((B3-$B$2)/365)/-$E$2/(1+$K$4)^$K$2</f>
        <v>0</v>
      </c>
      <c r="J3" s="13" t="s">
        <v>85</v>
      </c>
      <c r="K3" s="14">
        <f ca="1">SUM(F3:F102)</f>
        <v>4.9623155354422321</v>
      </c>
    </row>
    <row r="4" spans="1:11" ht="15" customHeight="1">
      <c r="A4" s="11"/>
      <c r="B4" s="17">
        <v>46169</v>
      </c>
      <c r="C4" s="19">
        <f t="shared" si="0"/>
        <v>4.6849315068493151</v>
      </c>
      <c r="D4" s="11">
        <v>0</v>
      </c>
      <c r="E4" s="51">
        <f t="shared" ref="E4:E24" ca="1" si="2">IF(B4&lt;=$B$2,0,(C4+D4))</f>
        <v>4.6849315068493151</v>
      </c>
      <c r="F4" s="12">
        <f t="shared" ca="1" si="1"/>
        <v>1.0991967050982465E-2</v>
      </c>
      <c r="J4" s="1" t="s">
        <v>4</v>
      </c>
      <c r="K4" s="2">
        <f ca="1">XIRR(E2:E18,B2:B18)</f>
        <v>7.7443376183509841E-2</v>
      </c>
    </row>
    <row r="5" spans="1:11" ht="15" customHeight="1">
      <c r="A5" s="11"/>
      <c r="B5" s="17">
        <v>46353</v>
      </c>
      <c r="C5" s="19">
        <f t="shared" si="0"/>
        <v>4.6849315068493151</v>
      </c>
      <c r="D5" s="11">
        <v>0</v>
      </c>
      <c r="E5" s="51">
        <f t="shared" ca="1" si="2"/>
        <v>4.6849315068493151</v>
      </c>
      <c r="F5" s="12">
        <f t="shared" ca="1" si="1"/>
        <v>2.9872292179058894E-2</v>
      </c>
      <c r="J5" s="15" t="s">
        <v>86</v>
      </c>
    </row>
    <row r="6" spans="1:11" ht="15" customHeight="1">
      <c r="A6" s="11"/>
      <c r="B6" s="17">
        <v>46534</v>
      </c>
      <c r="C6" s="19">
        <f t="shared" si="0"/>
        <v>4.6849315068493151</v>
      </c>
      <c r="D6" s="11">
        <v>0</v>
      </c>
      <c r="E6" s="51">
        <f t="shared" ca="1" si="2"/>
        <v>4.6849315068493151</v>
      </c>
      <c r="F6" s="12">
        <f t="shared" ca="1" si="1"/>
        <v>4.7070141647609046E-2</v>
      </c>
    </row>
    <row r="7" spans="1:11" ht="15" customHeight="1">
      <c r="A7" s="11"/>
      <c r="B7" s="17">
        <v>46718</v>
      </c>
      <c r="C7" s="19">
        <f t="shared" si="0"/>
        <v>4.6849315068493151</v>
      </c>
      <c r="D7" s="11">
        <v>0</v>
      </c>
      <c r="E7" s="51">
        <f t="shared" ca="1" si="2"/>
        <v>4.6849315068493151</v>
      </c>
      <c r="F7" s="12">
        <f t="shared" ca="1" si="1"/>
        <v>6.3232825674456525E-2</v>
      </c>
    </row>
    <row r="8" spans="1:11" ht="15" customHeight="1">
      <c r="A8" s="11"/>
      <c r="B8" s="17">
        <v>46900</v>
      </c>
      <c r="C8" s="19">
        <f t="shared" si="0"/>
        <v>4.6849315068493151</v>
      </c>
      <c r="D8" s="11">
        <v>0</v>
      </c>
      <c r="E8" s="51">
        <f t="shared" ca="1" si="2"/>
        <v>4.6849315068493151</v>
      </c>
      <c r="F8" s="12">
        <f t="shared" ca="1" si="1"/>
        <v>7.798295849718366E-2</v>
      </c>
    </row>
    <row r="9" spans="1:11" ht="15" customHeight="1">
      <c r="A9" s="11"/>
      <c r="B9" s="17">
        <v>47084</v>
      </c>
      <c r="C9" s="19">
        <f t="shared" si="0"/>
        <v>4.6849315068493151</v>
      </c>
      <c r="D9" s="11">
        <v>0</v>
      </c>
      <c r="E9" s="51">
        <f t="shared" ca="1" si="2"/>
        <v>4.6849315068493151</v>
      </c>
      <c r="F9" s="12">
        <f t="shared" ca="1" si="1"/>
        <v>9.1714865453554548E-2</v>
      </c>
    </row>
    <row r="10" spans="1:11" ht="15" customHeight="1">
      <c r="A10" s="11"/>
      <c r="B10" s="17">
        <v>47265</v>
      </c>
      <c r="C10" s="19">
        <f t="shared" si="0"/>
        <v>4.6849315068493151</v>
      </c>
      <c r="D10" s="11">
        <v>0</v>
      </c>
      <c r="E10" s="51">
        <f t="shared" ca="1" si="2"/>
        <v>4.6849315068493151</v>
      </c>
      <c r="F10" s="12">
        <f t="shared" ca="1" si="1"/>
        <v>0.10413004974288052</v>
      </c>
    </row>
    <row r="11" spans="1:11" ht="15" customHeight="1">
      <c r="A11" s="11"/>
      <c r="B11" s="17">
        <v>47449</v>
      </c>
      <c r="C11" s="19">
        <f t="shared" si="0"/>
        <v>4.6849315068493151</v>
      </c>
      <c r="D11" s="11">
        <v>0</v>
      </c>
      <c r="E11" s="51">
        <f t="shared" ca="1" si="2"/>
        <v>4.6849315068493151</v>
      </c>
      <c r="F11" s="12">
        <f t="shared" ca="1" si="1"/>
        <v>0.11570316748375006</v>
      </c>
    </row>
    <row r="12" spans="1:11" ht="15" customHeight="1">
      <c r="A12" s="11"/>
      <c r="B12" s="17">
        <v>47630</v>
      </c>
      <c r="C12" s="19">
        <f t="shared" si="0"/>
        <v>4.6849315068493151</v>
      </c>
      <c r="D12" s="11">
        <v>0</v>
      </c>
      <c r="E12" s="51">
        <f t="shared" ca="1" si="2"/>
        <v>4.6849315068493151</v>
      </c>
      <c r="F12" s="12">
        <f t="shared" ca="1" si="1"/>
        <v>0.1261155096904889</v>
      </c>
    </row>
    <row r="13" spans="1:11" ht="15" customHeight="1">
      <c r="A13" s="11"/>
      <c r="B13" s="17">
        <v>47814</v>
      </c>
      <c r="C13" s="19">
        <f t="shared" si="0"/>
        <v>4.6849315068493151</v>
      </c>
      <c r="D13" s="11">
        <v>0</v>
      </c>
      <c r="E13" s="51">
        <f t="shared" ca="1" si="2"/>
        <v>4.6849315068493151</v>
      </c>
      <c r="F13" s="12">
        <f t="shared" ca="1" si="1"/>
        <v>0.13576922956039206</v>
      </c>
    </row>
    <row r="14" spans="1:11" ht="15" customHeight="1">
      <c r="A14" s="11"/>
      <c r="B14" s="17">
        <v>47995</v>
      </c>
      <c r="C14" s="19">
        <f t="shared" si="0"/>
        <v>4.6849315068493151</v>
      </c>
      <c r="D14" s="11">
        <v>0</v>
      </c>
      <c r="E14" s="51">
        <f t="shared" ca="1" si="2"/>
        <v>4.6849315068493151</v>
      </c>
      <c r="F14" s="12">
        <f t="shared" ca="1" si="1"/>
        <v>0.14440250559579998</v>
      </c>
    </row>
    <row r="15" spans="1:11" ht="15" customHeight="1">
      <c r="A15" s="11"/>
      <c r="B15" s="17">
        <v>48179</v>
      </c>
      <c r="C15" s="19">
        <f t="shared" si="0"/>
        <v>4.6849315068493151</v>
      </c>
      <c r="D15" s="11">
        <v>0</v>
      </c>
      <c r="E15" s="51">
        <f t="shared" ca="1" si="2"/>
        <v>4.6849315068493151</v>
      </c>
      <c r="F15" s="12">
        <f t="shared" ca="1" si="1"/>
        <v>0.15235295843874863</v>
      </c>
    </row>
    <row r="16" spans="1:11" ht="15" customHeight="1">
      <c r="A16" s="11"/>
      <c r="B16" s="17">
        <v>48361</v>
      </c>
      <c r="C16" s="19">
        <f t="shared" si="0"/>
        <v>4.6849315068493151</v>
      </c>
      <c r="D16" s="11">
        <v>50</v>
      </c>
      <c r="E16" s="51">
        <f t="shared" ca="1" si="2"/>
        <v>54.684931506849317</v>
      </c>
      <c r="F16" s="12">
        <f t="shared" ca="1" si="1"/>
        <v>1.86113676407617</v>
      </c>
    </row>
    <row r="17" spans="1:6" ht="15" customHeight="1">
      <c r="A17" s="11"/>
      <c r="B17" s="17">
        <v>48545</v>
      </c>
      <c r="C17" s="11">
        <v>2.375</v>
      </c>
      <c r="D17" s="11">
        <v>0</v>
      </c>
      <c r="E17" s="51">
        <f t="shared" ca="1" si="2"/>
        <v>2.375</v>
      </c>
      <c r="F17" s="12">
        <f t="shared" ca="1" si="1"/>
        <v>8.4094157842298428E-2</v>
      </c>
    </row>
    <row r="18" spans="1:6" ht="15" customHeight="1">
      <c r="A18" s="11"/>
      <c r="B18" s="17">
        <v>48726</v>
      </c>
      <c r="C18" s="11">
        <v>2.375</v>
      </c>
      <c r="D18" s="11">
        <v>50</v>
      </c>
      <c r="E18" s="51">
        <f t="shared" ca="1" si="2"/>
        <v>52.375</v>
      </c>
      <c r="F18" s="12">
        <f t="shared" ca="1" si="1"/>
        <v>1.9177461425088584</v>
      </c>
    </row>
    <row r="19" spans="1:6" ht="15" customHeight="1">
      <c r="A19" s="11"/>
      <c r="B19" s="16"/>
      <c r="C19" s="11"/>
      <c r="D19" s="11"/>
      <c r="E19" s="51">
        <f t="shared" ca="1" si="2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2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2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2"/>
        <v>0</v>
      </c>
      <c r="F22" s="12"/>
    </row>
    <row r="23" spans="1:6" ht="15" customHeight="1">
      <c r="E23" s="51">
        <f t="shared" ca="1" si="2"/>
        <v>0</v>
      </c>
    </row>
    <row r="24" spans="1:6" ht="15" customHeight="1">
      <c r="E24" s="51">
        <f t="shared" ca="1" si="2"/>
        <v>0</v>
      </c>
    </row>
  </sheetData>
  <hyperlinks>
    <hyperlink ref="J5" location="'ONS NY'!A1" display="ONS" xr:uid="{00000000-0004-0000-06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19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-105.3</v>
      </c>
      <c r="J2" s="1" t="s">
        <v>84</v>
      </c>
      <c r="K2" s="1">
        <v>0.5</v>
      </c>
    </row>
    <row r="3" spans="1:11" ht="15" customHeight="1">
      <c r="A3" s="11">
        <v>16</v>
      </c>
      <c r="B3" s="16">
        <v>45859</v>
      </c>
      <c r="C3" s="11">
        <v>3.48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SUM(F3:F102)</f>
        <v>1.3553500531615879</v>
      </c>
    </row>
    <row r="4" spans="1:11" ht="15" customHeight="1">
      <c r="A4" s="11">
        <v>17</v>
      </c>
      <c r="B4" s="16">
        <v>46043</v>
      </c>
      <c r="C4" s="11">
        <v>3.48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XIRR(E2:E7,B2:B7)</f>
        <v>3.5148718953132624E-2</v>
      </c>
    </row>
    <row r="5" spans="1:11" ht="15" customHeight="1">
      <c r="A5" s="11">
        <v>18</v>
      </c>
      <c r="B5" s="16">
        <v>46224</v>
      </c>
      <c r="C5" s="11">
        <v>3.48</v>
      </c>
      <c r="D5" s="11">
        <v>0</v>
      </c>
      <c r="E5" s="51">
        <f t="shared" ca="1" si="0"/>
        <v>3.48</v>
      </c>
      <c r="F5" s="12">
        <f ca="1">(E5*(B5-$B$2)/365)/(1+$K$4)^((B5-$B$2)/365)/-$E$2/(1+$K$4)^$K$2</f>
        <v>1.367946455135419E-2</v>
      </c>
      <c r="J5" s="15" t="s">
        <v>86</v>
      </c>
    </row>
    <row r="6" spans="1:11" ht="15" customHeight="1">
      <c r="A6" s="11">
        <v>19</v>
      </c>
      <c r="B6" s="16">
        <v>46408</v>
      </c>
      <c r="C6" s="11">
        <v>3.48</v>
      </c>
      <c r="D6" s="11">
        <v>0</v>
      </c>
      <c r="E6" s="51">
        <f t="shared" ca="1" si="0"/>
        <v>3.48</v>
      </c>
      <c r="F6" s="12">
        <f ca="1">(E6*(B6-$B$2)/365)/(1+$K$4)^((B6-$B$2)/365)/-$E$2/(1+$K$4)^$K$2</f>
        <v>2.9299512026946747E-2</v>
      </c>
    </row>
    <row r="7" spans="1:11" ht="15" customHeight="1">
      <c r="A7" s="11">
        <v>20</v>
      </c>
      <c r="B7" s="16">
        <v>46589</v>
      </c>
      <c r="C7" s="11">
        <v>3.48</v>
      </c>
      <c r="D7" s="11">
        <v>100</v>
      </c>
      <c r="E7" s="51">
        <f t="shared" ca="1" si="0"/>
        <v>103.48</v>
      </c>
      <c r="F7" s="12">
        <f ca="1">(E7*(B7-$B$2)/365)/(1+$K$4)^((B7-$B$2)/365)/-$E$2/(1+$K$4)^$K$2</f>
        <v>1.312371076583287</v>
      </c>
    </row>
    <row r="8" spans="1:11" ht="15" customHeight="1">
      <c r="A8" s="11"/>
      <c r="B8" s="16"/>
      <c r="C8" s="11"/>
      <c r="D8" s="11"/>
      <c r="E8" s="51">
        <f t="shared" ca="1" si="0"/>
        <v>0</v>
      </c>
      <c r="F8" s="12"/>
    </row>
    <row r="9" spans="1:11" ht="15" customHeight="1">
      <c r="A9" s="11"/>
      <c r="B9" s="16"/>
      <c r="C9" s="11"/>
      <c r="D9" s="11"/>
      <c r="E9" s="51">
        <f t="shared" ca="1" si="0"/>
        <v>0</v>
      </c>
      <c r="F9" s="12"/>
    </row>
    <row r="10" spans="1:11" ht="15" customHeight="1">
      <c r="A10" s="11"/>
      <c r="B10" s="16"/>
      <c r="C10" s="11"/>
      <c r="D10" s="11"/>
      <c r="E10" s="51">
        <f t="shared" ca="1" si="0"/>
        <v>0</v>
      </c>
      <c r="F10" s="12"/>
    </row>
    <row r="11" spans="1:11" ht="15" customHeight="1">
      <c r="A11" s="11"/>
      <c r="B11" s="16"/>
      <c r="C11" s="11"/>
      <c r="D11" s="11"/>
      <c r="E11" s="51">
        <f t="shared" ca="1" si="0"/>
        <v>0</v>
      </c>
      <c r="F11" s="12"/>
    </row>
    <row r="12" spans="1:11" ht="15" customHeight="1">
      <c r="A12" s="11"/>
      <c r="B12" s="16"/>
      <c r="C12" s="11"/>
      <c r="D12" s="11"/>
      <c r="E12" s="51">
        <f t="shared" ca="1" si="0"/>
        <v>0</v>
      </c>
      <c r="F12" s="12"/>
    </row>
    <row r="13" spans="1:11" ht="15" customHeight="1">
      <c r="A13" s="11"/>
      <c r="B13" s="16"/>
      <c r="C13" s="11"/>
      <c r="D13" s="11"/>
      <c r="E13" s="51">
        <f t="shared" ca="1" si="0"/>
        <v>0</v>
      </c>
      <c r="F13" s="12"/>
    </row>
    <row r="14" spans="1:11" ht="15" customHeight="1">
      <c r="A14" s="11"/>
      <c r="B14" s="16"/>
      <c r="C14" s="11"/>
      <c r="D14" s="11"/>
      <c r="E14" s="51">
        <f t="shared" ca="1" si="0"/>
        <v>0</v>
      </c>
      <c r="F14" s="12"/>
    </row>
    <row r="15" spans="1:11" ht="15" customHeight="1">
      <c r="A15" s="11"/>
      <c r="B15" s="16"/>
      <c r="C15" s="11"/>
      <c r="D15" s="11"/>
      <c r="E15" s="51">
        <f t="shared" ca="1" si="0"/>
        <v>0</v>
      </c>
      <c r="F15" s="12"/>
    </row>
    <row r="16" spans="1:11" ht="15" customHeight="1">
      <c r="A16" s="11"/>
      <c r="B16" s="16"/>
      <c r="C16" s="11"/>
      <c r="D16" s="11"/>
      <c r="E16" s="51">
        <f t="shared" ca="1" si="0"/>
        <v>0</v>
      </c>
      <c r="F16" s="12"/>
    </row>
    <row r="17" spans="1:6" ht="15" customHeight="1">
      <c r="A17" s="11"/>
      <c r="B17" s="16"/>
      <c r="C17" s="11"/>
      <c r="D17" s="11"/>
      <c r="E17" s="51">
        <f t="shared" ca="1" si="0"/>
        <v>0</v>
      </c>
      <c r="F17" s="12"/>
    </row>
    <row r="18" spans="1:6" ht="15" customHeight="1">
      <c r="A18" s="11"/>
      <c r="B18" s="16"/>
      <c r="C18" s="11"/>
      <c r="D18" s="11"/>
      <c r="E18" s="51">
        <f t="shared" ca="1" si="0"/>
        <v>0</v>
      </c>
      <c r="F18" s="12"/>
    </row>
    <row r="19" spans="1:6" ht="15" customHeight="1">
      <c r="A19" s="11"/>
      <c r="B19" s="16"/>
      <c r="C19" s="11"/>
      <c r="D19" s="11"/>
      <c r="E19" s="51">
        <f t="shared" ca="1" si="0"/>
        <v>0</v>
      </c>
      <c r="F19" s="12"/>
    </row>
    <row r="20" spans="1:6" ht="15" customHeight="1">
      <c r="A20" s="11"/>
      <c r="B20" s="16"/>
      <c r="C20" s="11"/>
      <c r="D20" s="11"/>
      <c r="E20" s="51">
        <f t="shared" ca="1" si="0"/>
        <v>0</v>
      </c>
      <c r="F20" s="12"/>
    </row>
    <row r="21" spans="1:6" ht="15" customHeight="1">
      <c r="A21" s="11"/>
      <c r="B21" s="16"/>
      <c r="C21" s="11"/>
      <c r="D21" s="11"/>
      <c r="E21" s="51">
        <f t="shared" ca="1" si="0"/>
        <v>0</v>
      </c>
      <c r="F21" s="12"/>
    </row>
    <row r="22" spans="1:6" ht="15" customHeight="1">
      <c r="A22" s="11"/>
      <c r="B22" s="16"/>
      <c r="C22" s="11"/>
      <c r="D22" s="11"/>
      <c r="E22" s="51">
        <f t="shared" ca="1" si="0"/>
        <v>0</v>
      </c>
      <c r="F22" s="12"/>
    </row>
    <row r="23" spans="1:6" ht="15" customHeight="1">
      <c r="E23" s="51">
        <f t="shared" ca="1" si="0"/>
        <v>0</v>
      </c>
    </row>
    <row r="24" spans="1:6" ht="15" customHeight="1">
      <c r="E24" s="51">
        <f t="shared" ca="1" si="0"/>
        <v>0</v>
      </c>
    </row>
  </sheetData>
  <hyperlinks>
    <hyperlink ref="J5" location="'ONS NY'!A1" display="ONS" xr:uid="{00000000-0004-0000-07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4"/>
  <sheetViews>
    <sheetView topLeftCell="A4"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50</v>
      </c>
      <c r="C1" s="3" t="s">
        <v>81</v>
      </c>
      <c r="D1" s="3" t="s">
        <v>82</v>
      </c>
    </row>
    <row r="2" spans="1:11" ht="15" customHeight="1">
      <c r="A2" s="5"/>
      <c r="B2" s="22">
        <f ca="1">Main!D1</f>
        <v>46068</v>
      </c>
      <c r="C2" s="7"/>
      <c r="D2" s="7"/>
      <c r="E2" s="8" cm="1">
        <f t="array" ref="E2">-_xll.PrecioBD(A1,"24","ASK","N")</f>
        <v>-108.2</v>
      </c>
      <c r="J2" s="1" t="s">
        <v>84</v>
      </c>
      <c r="K2" s="1">
        <v>0.5</v>
      </c>
    </row>
    <row r="3" spans="1:11" ht="15" customHeight="1">
      <c r="A3" s="11">
        <v>1</v>
      </c>
      <c r="B3" s="16">
        <v>45930</v>
      </c>
      <c r="C3" s="11">
        <v>4</v>
      </c>
      <c r="D3" s="11">
        <v>0</v>
      </c>
      <c r="E3" s="51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85</v>
      </c>
      <c r="K3" s="14">
        <f ca="1">SUM(F3:F102)</f>
        <v>5.8033839209697744</v>
      </c>
    </row>
    <row r="4" spans="1:11" ht="15" customHeight="1">
      <c r="A4" s="11">
        <v>2</v>
      </c>
      <c r="B4" s="16">
        <v>46112</v>
      </c>
      <c r="C4" s="11">
        <v>4</v>
      </c>
      <c r="D4" s="11">
        <v>0</v>
      </c>
      <c r="E4" s="51">
        <f t="shared" ref="E4:E24" ca="1" si="1">IF(B4&lt;=$B$2,0,(C4+D4))</f>
        <v>4</v>
      </c>
      <c r="F4" s="12">
        <f t="shared" ca="1" si="0"/>
        <v>4.2666257511248997E-3</v>
      </c>
      <c r="J4" s="1" t="s">
        <v>4</v>
      </c>
      <c r="K4" s="2">
        <f ca="1">XIRR(E2:E22,B2:B22)</f>
        <v>7.2679135203361514E-2</v>
      </c>
    </row>
    <row r="5" spans="1:11" ht="15" customHeight="1">
      <c r="A5" s="11">
        <v>3</v>
      </c>
      <c r="B5" s="16">
        <v>46295</v>
      </c>
      <c r="C5" s="11">
        <v>4</v>
      </c>
      <c r="D5" s="11">
        <v>0</v>
      </c>
      <c r="E5" s="51">
        <f t="shared" ca="1" si="1"/>
        <v>4</v>
      </c>
      <c r="F5" s="12">
        <f t="shared" ca="1" si="0"/>
        <v>2.1251083357450944E-2</v>
      </c>
      <c r="J5" s="15" t="s">
        <v>86</v>
      </c>
      <c r="K5" s="20" t="s">
        <v>88</v>
      </c>
    </row>
    <row r="6" spans="1:11" ht="15" customHeight="1">
      <c r="A6" s="11">
        <v>4</v>
      </c>
      <c r="B6" s="16">
        <v>46477</v>
      </c>
      <c r="C6" s="11">
        <v>4</v>
      </c>
      <c r="D6" s="11">
        <v>0</v>
      </c>
      <c r="E6" s="51">
        <f t="shared" ca="1" si="1"/>
        <v>4</v>
      </c>
      <c r="F6" s="12">
        <f t="shared" ca="1" si="0"/>
        <v>3.6973055996403312E-2</v>
      </c>
    </row>
    <row r="7" spans="1:11" ht="15" customHeight="1">
      <c r="A7" s="11">
        <v>5</v>
      </c>
      <c r="B7" s="16">
        <v>46660</v>
      </c>
      <c r="C7" s="11">
        <v>4</v>
      </c>
      <c r="D7" s="11">
        <v>0</v>
      </c>
      <c r="E7" s="51">
        <f t="shared" ca="1" si="1"/>
        <v>4</v>
      </c>
      <c r="F7" s="12">
        <f t="shared" ca="1" si="0"/>
        <v>5.1666267855586E-2</v>
      </c>
    </row>
    <row r="8" spans="1:11" ht="15" customHeight="1">
      <c r="A8" s="11">
        <v>6</v>
      </c>
      <c r="B8" s="16">
        <v>46843</v>
      </c>
      <c r="C8" s="11">
        <v>4</v>
      </c>
      <c r="D8" s="11">
        <v>0</v>
      </c>
      <c r="E8" s="51">
        <f t="shared" ca="1" si="1"/>
        <v>4</v>
      </c>
      <c r="F8" s="12">
        <f t="shared" ca="1" si="0"/>
        <v>6.5299586449073327E-2</v>
      </c>
    </row>
    <row r="9" spans="1:11" ht="15" customHeight="1">
      <c r="A9" s="11">
        <v>7</v>
      </c>
      <c r="B9" s="16">
        <v>47028</v>
      </c>
      <c r="C9" s="11">
        <v>4</v>
      </c>
      <c r="D9" s="11">
        <v>0</v>
      </c>
      <c r="E9" s="51">
        <f t="shared" ca="1" si="1"/>
        <v>4</v>
      </c>
      <c r="F9" s="12">
        <f t="shared" ca="1" si="0"/>
        <v>7.8061402044379377E-2</v>
      </c>
    </row>
    <row r="10" spans="1:11" ht="15" customHeight="1">
      <c r="A10" s="11">
        <v>8</v>
      </c>
      <c r="B10" s="16">
        <v>47210</v>
      </c>
      <c r="C10" s="11">
        <v>4</v>
      </c>
      <c r="D10" s="11">
        <v>0</v>
      </c>
      <c r="E10" s="51">
        <f t="shared" ca="1" si="1"/>
        <v>4</v>
      </c>
      <c r="F10" s="12">
        <f t="shared" ca="1" si="0"/>
        <v>8.9668115191028866E-2</v>
      </c>
    </row>
    <row r="11" spans="1:11" ht="15" customHeight="1">
      <c r="A11" s="11">
        <v>9</v>
      </c>
      <c r="B11" s="16">
        <v>47392</v>
      </c>
      <c r="C11" s="11">
        <v>4</v>
      </c>
      <c r="D11" s="11">
        <v>0</v>
      </c>
      <c r="E11" s="51">
        <f t="shared" ca="1" si="1"/>
        <v>4</v>
      </c>
      <c r="F11" s="12">
        <f t="shared" ca="1" si="0"/>
        <v>0.10038451964071297</v>
      </c>
    </row>
    <row r="12" spans="1:11" ht="15" customHeight="1">
      <c r="A12" s="11">
        <v>10</v>
      </c>
      <c r="B12" s="16">
        <v>47574</v>
      </c>
      <c r="C12" s="11">
        <v>4</v>
      </c>
      <c r="D12" s="11">
        <v>0</v>
      </c>
      <c r="E12" s="51">
        <f t="shared" ca="1" si="1"/>
        <v>4</v>
      </c>
      <c r="F12" s="12">
        <f t="shared" ca="1" si="0"/>
        <v>0.11025811281906361</v>
      </c>
    </row>
    <row r="13" spans="1:11" ht="15" customHeight="1">
      <c r="A13" s="11">
        <v>11</v>
      </c>
      <c r="B13" s="16">
        <v>47756</v>
      </c>
      <c r="C13" s="11">
        <v>4</v>
      </c>
      <c r="D13" s="11">
        <v>0</v>
      </c>
      <c r="E13" s="51">
        <f t="shared" ca="1" si="1"/>
        <v>4</v>
      </c>
      <c r="F13" s="12">
        <f t="shared" ca="1" si="0"/>
        <v>0.11933417860256949</v>
      </c>
    </row>
    <row r="14" spans="1:11" ht="15" customHeight="1">
      <c r="A14" s="11">
        <v>12</v>
      </c>
      <c r="B14" s="16">
        <v>47938</v>
      </c>
      <c r="C14" s="11">
        <v>4</v>
      </c>
      <c r="D14" s="11">
        <v>0</v>
      </c>
      <c r="E14" s="51">
        <f t="shared" ca="1" si="1"/>
        <v>4</v>
      </c>
      <c r="F14" s="12">
        <f t="shared" ca="1" si="0"/>
        <v>0.12765588337952588</v>
      </c>
    </row>
    <row r="15" spans="1:11" ht="15" customHeight="1">
      <c r="A15" s="11">
        <v>13</v>
      </c>
      <c r="B15" s="16">
        <v>48121</v>
      </c>
      <c r="C15" s="11">
        <v>4</v>
      </c>
      <c r="D15" s="11">
        <v>0</v>
      </c>
      <c r="E15" s="51">
        <f t="shared" ca="1" si="1"/>
        <v>4</v>
      </c>
      <c r="F15" s="12">
        <f t="shared" ca="1" si="0"/>
        <v>0.13530427608229403</v>
      </c>
    </row>
    <row r="16" spans="1:11" ht="15" customHeight="1">
      <c r="A16" s="11">
        <v>14</v>
      </c>
      <c r="B16" s="16">
        <v>48304</v>
      </c>
      <c r="C16" s="11">
        <v>4</v>
      </c>
      <c r="D16" s="11">
        <v>0</v>
      </c>
      <c r="E16" s="51">
        <f t="shared" ca="1" si="1"/>
        <v>4</v>
      </c>
      <c r="F16" s="12">
        <f t="shared" ca="1" si="0"/>
        <v>0.14227143624073324</v>
      </c>
    </row>
    <row r="17" spans="1:6" ht="15" customHeight="1">
      <c r="A17" s="11">
        <v>15</v>
      </c>
      <c r="B17" s="16">
        <v>48487</v>
      </c>
      <c r="C17" s="11">
        <v>4</v>
      </c>
      <c r="D17" s="11">
        <v>0</v>
      </c>
      <c r="E17" s="51">
        <f t="shared" ca="1" si="1"/>
        <v>4</v>
      </c>
      <c r="F17" s="12">
        <f t="shared" ca="1" si="0"/>
        <v>0.14859531906128123</v>
      </c>
    </row>
    <row r="18" spans="1:6" ht="15" customHeight="1">
      <c r="A18" s="11">
        <v>16</v>
      </c>
      <c r="B18" s="16">
        <v>48669</v>
      </c>
      <c r="C18" s="11">
        <v>4</v>
      </c>
      <c r="D18" s="11">
        <v>33</v>
      </c>
      <c r="E18" s="51">
        <f t="shared" ca="1" si="1"/>
        <v>37</v>
      </c>
      <c r="F18" s="12">
        <f t="shared" ca="1" si="0"/>
        <v>1.4271123625594122</v>
      </c>
    </row>
    <row r="19" spans="1:6" ht="15" customHeight="1">
      <c r="A19" s="11">
        <v>17</v>
      </c>
      <c r="B19" s="16">
        <v>48852</v>
      </c>
      <c r="C19" s="11">
        <v>2.68</v>
      </c>
      <c r="D19" s="11">
        <v>0</v>
      </c>
      <c r="E19" s="51">
        <f t="shared" ca="1" si="1"/>
        <v>2.68</v>
      </c>
      <c r="F19" s="12">
        <f t="shared" ca="1" si="0"/>
        <v>0.10681775863644787</v>
      </c>
    </row>
    <row r="20" spans="1:6" ht="15" customHeight="1">
      <c r="A20" s="11">
        <v>18</v>
      </c>
      <c r="B20" s="16">
        <v>49034</v>
      </c>
      <c r="C20" s="11">
        <v>2.68</v>
      </c>
      <c r="D20" s="11">
        <v>33</v>
      </c>
      <c r="E20" s="51">
        <f t="shared" ca="1" si="1"/>
        <v>35.68</v>
      </c>
      <c r="F20" s="12">
        <f t="shared" ca="1" si="0"/>
        <v>1.462993010353195</v>
      </c>
    </row>
    <row r="21" spans="1:6" ht="15" customHeight="1">
      <c r="A21" s="11">
        <v>19</v>
      </c>
      <c r="B21" s="16">
        <v>49219</v>
      </c>
      <c r="C21" s="11">
        <v>1.36</v>
      </c>
      <c r="D21" s="11">
        <v>0</v>
      </c>
      <c r="E21" s="51">
        <f t="shared" ca="1" si="1"/>
        <v>1.36</v>
      </c>
      <c r="F21" s="12">
        <f t="shared" ca="1" si="0"/>
        <v>5.71728650686089E-2</v>
      </c>
    </row>
    <row r="22" spans="1:6" ht="15" customHeight="1">
      <c r="A22" s="11">
        <v>20</v>
      </c>
      <c r="B22" s="16">
        <v>49401</v>
      </c>
      <c r="C22" s="11">
        <v>1.36</v>
      </c>
      <c r="D22" s="11">
        <v>34</v>
      </c>
      <c r="E22" s="51">
        <f t="shared" ca="1" si="1"/>
        <v>35.36</v>
      </c>
      <c r="F22" s="12">
        <f t="shared" ca="1" si="0"/>
        <v>1.5182980618808835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hyperlinks>
    <hyperlink ref="J5" location="'ONS NY'!A1" display="ONS" xr:uid="{00000000-0004-0000-08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78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-104.35</v>
      </c>
      <c r="J2" s="1" t="s">
        <v>84</v>
      </c>
      <c r="K2" s="1">
        <v>0.33</v>
      </c>
    </row>
    <row r="3" spans="1:11" ht="15" customHeight="1">
      <c r="A3" s="11">
        <v>2</v>
      </c>
      <c r="B3" s="16">
        <v>45874</v>
      </c>
      <c r="C3" s="11">
        <v>4.71</v>
      </c>
      <c r="D3" s="11">
        <v>0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SUM(F4:F102)</f>
        <v>2.2046588400800688</v>
      </c>
    </row>
    <row r="4" spans="1:11" ht="15" customHeight="1">
      <c r="A4" s="11">
        <v>3</v>
      </c>
      <c r="B4" s="16">
        <v>46058</v>
      </c>
      <c r="C4" s="11">
        <v>4.79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XIRR(E2:E9,B2:B9)</f>
        <v>7.7970263361930844E-2</v>
      </c>
    </row>
    <row r="5" spans="1:11" ht="15" customHeight="1">
      <c r="A5" s="11">
        <v>4</v>
      </c>
      <c r="B5" s="16">
        <v>46239</v>
      </c>
      <c r="C5" s="11">
        <v>4.71</v>
      </c>
      <c r="D5" s="11">
        <v>0</v>
      </c>
      <c r="E5" s="51">
        <f t="shared" ca="1" si="1"/>
        <v>4.71</v>
      </c>
      <c r="F5" s="12">
        <f t="shared" ca="1" si="0"/>
        <v>1.9915692340503451E-2</v>
      </c>
      <c r="J5" s="24" t="s">
        <v>89</v>
      </c>
    </row>
    <row r="6" spans="1:11" ht="15" customHeight="1">
      <c r="A6" s="11">
        <v>5</v>
      </c>
      <c r="B6" s="16">
        <v>46423</v>
      </c>
      <c r="C6" s="11">
        <v>4.79</v>
      </c>
      <c r="D6" s="11">
        <v>0</v>
      </c>
      <c r="E6" s="51">
        <f t="shared" ca="1" si="1"/>
        <v>4.79</v>
      </c>
      <c r="F6" s="12">
        <f t="shared" ca="1" si="0"/>
        <v>4.0485999627610236E-2</v>
      </c>
    </row>
    <row r="7" spans="1:11" ht="15" customHeight="1">
      <c r="A7" s="11">
        <v>6</v>
      </c>
      <c r="B7" s="16">
        <v>46604</v>
      </c>
      <c r="C7" s="11">
        <v>4.71</v>
      </c>
      <c r="D7" s="11">
        <v>0</v>
      </c>
      <c r="E7" s="51">
        <f t="shared" ca="1" si="1"/>
        <v>4.71</v>
      </c>
      <c r="F7" s="12">
        <f t="shared" ca="1" si="0"/>
        <v>5.791049901472746E-2</v>
      </c>
    </row>
    <row r="8" spans="1:11" ht="15" customHeight="1">
      <c r="A8" s="11">
        <v>7</v>
      </c>
      <c r="B8" s="16">
        <v>46790</v>
      </c>
      <c r="C8" s="11">
        <v>4.79</v>
      </c>
      <c r="D8" s="11">
        <v>0</v>
      </c>
      <c r="E8" s="51">
        <f t="shared" ca="1" si="1"/>
        <v>4.79</v>
      </c>
      <c r="F8" s="12">
        <f t="shared" ca="1" si="0"/>
        <v>7.6353379337518054E-2</v>
      </c>
    </row>
    <row r="9" spans="1:11" ht="15" customHeight="1">
      <c r="A9" s="11">
        <v>8</v>
      </c>
      <c r="B9" s="16">
        <v>46970</v>
      </c>
      <c r="C9" s="11">
        <v>4.74</v>
      </c>
      <c r="D9" s="11">
        <v>100</v>
      </c>
      <c r="E9" s="51">
        <f t="shared" ca="1" si="1"/>
        <v>104.74</v>
      </c>
      <c r="F9" s="12">
        <f t="shared" ca="1" si="0"/>
        <v>2.0099932697597098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Argentina'!A1" display="ONs Argentina" xr:uid="{00000000-0004-0000-09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77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-100.7</v>
      </c>
      <c r="J2" s="1" t="s">
        <v>84</v>
      </c>
      <c r="K2" s="1">
        <v>0.33</v>
      </c>
    </row>
    <row r="3" spans="1:11" ht="15" customHeight="1">
      <c r="A3" s="11">
        <v>3</v>
      </c>
      <c r="B3" s="16">
        <v>45814</v>
      </c>
      <c r="C3" s="11">
        <v>1.64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0.30653802576258232</v>
      </c>
    </row>
    <row r="4" spans="1:11" ht="15" customHeight="1">
      <c r="A4" s="11">
        <v>4</v>
      </c>
      <c r="B4" s="16">
        <v>45936</v>
      </c>
      <c r="C4" s="11">
        <v>1.67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XIRR(E2:E6,B2:B6)</f>
        <v>3.0466809868812558E-2</v>
      </c>
    </row>
    <row r="5" spans="1:11" ht="15" customHeight="1">
      <c r="A5" s="11">
        <v>5</v>
      </c>
      <c r="B5" s="16">
        <v>46059</v>
      </c>
      <c r="C5" s="11">
        <v>1.68</v>
      </c>
      <c r="D5" s="11">
        <v>0</v>
      </c>
      <c r="E5" s="51">
        <f t="shared" ca="1" si="0"/>
        <v>0</v>
      </c>
      <c r="F5" s="12">
        <f ca="1">(E5*(B5-$B$2)/365)/(1+$K$4)^((B5-$B$2)/365)/-$E$2/(1+$K$4)^$K$2</f>
        <v>0</v>
      </c>
      <c r="J5" s="24" t="s">
        <v>89</v>
      </c>
    </row>
    <row r="6" spans="1:11" ht="15" customHeight="1">
      <c r="A6" s="11">
        <v>6</v>
      </c>
      <c r="B6" s="16">
        <v>46181</v>
      </c>
      <c r="C6" s="11">
        <v>1.64</v>
      </c>
      <c r="D6" s="11">
        <v>100</v>
      </c>
      <c r="E6" s="51">
        <f t="shared" ca="1" si="0"/>
        <v>101.64</v>
      </c>
      <c r="F6" s="12">
        <f ca="1">(E6*(B6-$B$2)/365)/(1+$K$4)^((B6-$B$2)/365)/-$E$2/(1+$K$4)^$K$2</f>
        <v>0.30653802576258232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A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74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11">
        <v>2</v>
      </c>
      <c r="B3" s="16">
        <v>45769</v>
      </c>
      <c r="C3" s="11">
        <v>2.98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25" t="e">
        <f ca="1">SUM(F3:F5)</f>
        <v>#NUM!</v>
      </c>
    </row>
    <row r="4" spans="1:11" ht="15" customHeight="1">
      <c r="A4" s="11">
        <v>3</v>
      </c>
      <c r="B4" s="26">
        <v>45952</v>
      </c>
      <c r="C4" s="11">
        <v>3</v>
      </c>
      <c r="D4" s="11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XIRR(E2:E5,B2:B5)</f>
        <v>#NUM!</v>
      </c>
    </row>
    <row r="5" spans="1:11" ht="15" customHeight="1">
      <c r="A5" s="11">
        <v>4</v>
      </c>
      <c r="B5" s="16">
        <v>46134</v>
      </c>
      <c r="C5" s="11">
        <v>2.98</v>
      </c>
      <c r="D5" s="11">
        <v>100</v>
      </c>
      <c r="E5" s="51">
        <f t="shared" ca="1" si="0"/>
        <v>102.98</v>
      </c>
      <c r="F5" s="12" t="e">
        <f ca="1">(E5*(B5-$B$2)/365)/(1+$K$4)^((B5-$B$2)/365)/-$E$2/(1+$K$4)^$K$2</f>
        <v>#NUM!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B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68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-104.25</v>
      </c>
      <c r="J2" s="1" t="s">
        <v>84</v>
      </c>
      <c r="K2" s="1">
        <v>0.5</v>
      </c>
    </row>
    <row r="3" spans="1:11" ht="15" customHeight="1">
      <c r="A3" s="11">
        <v>3</v>
      </c>
      <c r="B3" s="16">
        <v>45894</v>
      </c>
      <c r="C3" s="11">
        <v>3.47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2.5671977250962388E-2</v>
      </c>
    </row>
    <row r="4" spans="1:11" ht="15" customHeight="1">
      <c r="A4" s="11">
        <v>4</v>
      </c>
      <c r="B4" s="16">
        <v>46076</v>
      </c>
      <c r="C4" s="11">
        <v>3.53</v>
      </c>
      <c r="D4" s="11">
        <v>100</v>
      </c>
      <c r="E4" s="51">
        <f t="shared" ref="E4:E24" ca="1" si="0">IF(B4&lt;=$B$2,0,(C4+D4))</f>
        <v>103.53</v>
      </c>
      <c r="F4" s="12">
        <f ca="1">(E4*(B4-$B$2)/365)/(1+$K$4)^((B4-$B$2)/365)/-$E$2/(1+$K$4)^$K$2</f>
        <v>2.5671977250962388E-2</v>
      </c>
      <c r="J4" s="1" t="s">
        <v>4</v>
      </c>
      <c r="K4" s="2">
        <f ca="1">XIRR(E2:E5,B2:B5)</f>
        <v>-0.27108714953064916</v>
      </c>
    </row>
    <row r="5" spans="1:11" ht="15.6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C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57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0.25</v>
      </c>
    </row>
    <row r="3" spans="1:11" ht="15" customHeight="1">
      <c r="A3" s="11">
        <v>4</v>
      </c>
      <c r="B3" s="16">
        <v>45761</v>
      </c>
      <c r="C3" s="11">
        <v>1.36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SUM(F4:F102)</f>
        <v>#VALUE!</v>
      </c>
    </row>
    <row r="4" spans="1:11" ht="15" customHeight="1">
      <c r="A4" s="11">
        <v>5</v>
      </c>
      <c r="B4" s="16">
        <v>45852</v>
      </c>
      <c r="C4" s="11">
        <v>1.37</v>
      </c>
      <c r="D4" s="11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XIRR(E2:E5,B2:B5)</f>
        <v>#VALUE!</v>
      </c>
    </row>
    <row r="5" spans="1:11" ht="15" customHeight="1">
      <c r="A5" s="11"/>
      <c r="B5" s="27"/>
      <c r="C5" s="11"/>
      <c r="D5" s="11"/>
      <c r="E5" s="51">
        <f t="shared" ca="1" si="0"/>
        <v>0</v>
      </c>
      <c r="F5" s="12"/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ca="1">IF(B16&lt;=$B$2,0,(C16+D16))</f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D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1" t="s">
        <v>70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cm="1">
        <f t="array" ref="E2">-_xll.PrecioBD(A1,"24","ASK","N")</f>
        <v>-105.45</v>
      </c>
      <c r="J2" s="1" t="s">
        <v>84</v>
      </c>
      <c r="K2" s="1">
        <v>0.5</v>
      </c>
    </row>
    <row r="3" spans="1:11" ht="15" customHeight="1">
      <c r="A3" s="7">
        <v>6</v>
      </c>
      <c r="B3" s="28">
        <v>45841</v>
      </c>
      <c r="C3" s="7">
        <v>3.97</v>
      </c>
      <c r="D3" s="7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SUM(F4:F102)</f>
        <v>6.937588177037958E-2</v>
      </c>
    </row>
    <row r="4" spans="1:11" ht="15" customHeight="1">
      <c r="A4" s="7">
        <v>7</v>
      </c>
      <c r="B4" s="28">
        <v>46027</v>
      </c>
      <c r="C4" s="7">
        <v>4.03</v>
      </c>
      <c r="D4" s="7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" t="s">
        <v>4</v>
      </c>
      <c r="K4" s="2">
        <f ca="1">XIRR(E2:E5,B2:B5)</f>
        <v>-0.60075709745287909</v>
      </c>
    </row>
    <row r="5" spans="1:11" ht="15" customHeight="1">
      <c r="A5" s="7">
        <v>8</v>
      </c>
      <c r="B5" s="28">
        <v>46084</v>
      </c>
      <c r="C5" s="7">
        <v>1.29</v>
      </c>
      <c r="D5" s="7">
        <v>100</v>
      </c>
      <c r="E5" s="51">
        <f t="shared" ca="1" si="0"/>
        <v>101.29</v>
      </c>
      <c r="F5" s="12">
        <f ca="1">(E5*(B5-$B$2)/365)/(1+$K$4)^((B5-$B$2)/365)/-$E$2/(1+$K$4)^$K$2</f>
        <v>6.937588177037958E-2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0E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5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59</v>
      </c>
      <c r="C1" s="3" t="s">
        <v>81</v>
      </c>
      <c r="D1" s="3" t="s">
        <v>82</v>
      </c>
    </row>
    <row r="2" spans="1:11" ht="15" customHeight="1">
      <c r="A2" s="11"/>
      <c r="B2" s="22">
        <f ca="1">Main!D1</f>
        <v>46068</v>
      </c>
      <c r="C2" s="11"/>
      <c r="D2" s="1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11">
        <v>5</v>
      </c>
      <c r="B3" s="16">
        <v>45865</v>
      </c>
      <c r="C3" s="11">
        <v>3.39</v>
      </c>
      <c r="D3" s="11">
        <v>100</v>
      </c>
      <c r="E3" s="23">
        <f ca="1">IF(B3&lt;=B2,0,(C3+D3))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SUM(F3:F6)</f>
        <v>#VALUE!</v>
      </c>
    </row>
    <row r="4" spans="1:11" ht="15" customHeight="1">
      <c r="A4" s="7"/>
      <c r="B4" s="29"/>
      <c r="C4" s="7"/>
      <c r="D4" s="7"/>
      <c r="J4" s="1" t="s">
        <v>4</v>
      </c>
      <c r="K4" s="30" t="e">
        <f ca="1">XIRR(E2:E3,B2:B3)</f>
        <v>#VALUE!</v>
      </c>
    </row>
    <row r="5" spans="1:11" ht="13.8">
      <c r="J5" s="24" t="s">
        <v>89</v>
      </c>
    </row>
  </sheetData>
  <hyperlinks>
    <hyperlink ref="J5" location="'ONs Argentina'!A1" display="ONs Argentina" xr:uid="{00000000-0004-0000-0F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5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60</v>
      </c>
      <c r="C1" s="3" t="s">
        <v>81</v>
      </c>
      <c r="D1" s="3" t="s">
        <v>82</v>
      </c>
    </row>
    <row r="2" spans="1:11" ht="15" customHeight="1"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45908</v>
      </c>
      <c r="C3" s="7">
        <v>2.52</v>
      </c>
      <c r="D3" s="7">
        <v>100</v>
      </c>
      <c r="E3" s="23">
        <f ca="1">IF(B3&lt;=B2,0,(C3+D3))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3.8">
      <c r="J4" s="1" t="s">
        <v>4</v>
      </c>
      <c r="K4" s="2" t="e">
        <f ca="1">XIRR(E2:E3,B2:B3)</f>
        <v>#VALUE!</v>
      </c>
    </row>
    <row r="5" spans="1:11" ht="13.8">
      <c r="J5" s="24" t="s">
        <v>89</v>
      </c>
    </row>
  </sheetData>
  <hyperlinks>
    <hyperlink ref="J5" location="'ONs Argentina'!A1" display="ONs Argentina" xr:uid="{00000000-0004-0000-10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73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45915</v>
      </c>
      <c r="C3" s="11">
        <v>3.53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11">
        <v>5</v>
      </c>
      <c r="B4" s="16">
        <v>46095</v>
      </c>
      <c r="C4" s="11">
        <v>3.47</v>
      </c>
      <c r="D4" s="11">
        <v>100</v>
      </c>
      <c r="E4" s="51">
        <f t="shared" ref="E4:E24" ca="1" si="0">IF(B4&lt;=$B$2,0,(C4+D4))</f>
        <v>103.47</v>
      </c>
      <c r="F4" s="12" t="e">
        <f ca="1">(E4*(B4-$B$2)/365)/(1+$K$4)^((B4-$B$2)/365)/-$E$2/(1+$K$4)^$K$2</f>
        <v>#NUM!</v>
      </c>
      <c r="J4" s="1" t="s">
        <v>4</v>
      </c>
      <c r="K4" s="2" t="e">
        <f ca="1">XIRR(E2:E4,B2:B4)</f>
        <v>#NUM!</v>
      </c>
    </row>
    <row r="5" spans="1:11" ht="15.6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100-000000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71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-104.35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45911</v>
      </c>
      <c r="C3" s="11">
        <v>3.78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SUM(F3:F102)</f>
        <v>6.8902556520588687E-2</v>
      </c>
    </row>
    <row r="4" spans="1:11" ht="15" customHeight="1">
      <c r="A4" s="11">
        <v>5</v>
      </c>
      <c r="B4" s="16">
        <v>46092</v>
      </c>
      <c r="C4" s="11">
        <v>3.71</v>
      </c>
      <c r="D4" s="11">
        <v>100</v>
      </c>
      <c r="E4" s="51">
        <f t="shared" ref="E4:E24" ca="1" si="0">IF(B4&lt;=$B$2,0,(C4+D4))</f>
        <v>103.71</v>
      </c>
      <c r="F4" s="12">
        <f ca="1">(E4*(B4-$B$2)/365)/(1+$K$4)^((B4-$B$2)/365)/-$E$2/(1+$K$4)^$K$2</f>
        <v>6.8902556520588687E-2</v>
      </c>
      <c r="J4" s="1" t="s">
        <v>4</v>
      </c>
      <c r="K4" s="2">
        <f ca="1">XIRR(E2:E4,B2:B4)</f>
        <v>-8.9319404959678675E-2</v>
      </c>
    </row>
    <row r="5" spans="1:11" ht="15" customHeight="1">
      <c r="A5" s="11"/>
      <c r="B5" s="27"/>
      <c r="C5" s="11"/>
      <c r="D5" s="11"/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2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1" t="s">
        <v>65</v>
      </c>
      <c r="B1" s="3" t="s">
        <v>80</v>
      </c>
      <c r="C1" s="3" t="s">
        <v>81</v>
      </c>
      <c r="D1" s="3" t="s">
        <v>82</v>
      </c>
      <c r="E1" s="3" t="s">
        <v>83</v>
      </c>
    </row>
    <row r="2" spans="1:11" ht="15" customHeight="1">
      <c r="A2" s="31"/>
      <c r="B2" s="22">
        <f ca="1">Main!D1</f>
        <v>46068</v>
      </c>
      <c r="C2" s="31"/>
      <c r="D2" s="3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45831</v>
      </c>
      <c r="C3" s="7">
        <v>3.24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5</v>
      </c>
      <c r="B4" s="32">
        <v>46012</v>
      </c>
      <c r="C4" s="7">
        <v>3.26</v>
      </c>
      <c r="D4" s="7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" customHeight="1">
      <c r="A5" s="7" t="s">
        <v>83</v>
      </c>
      <c r="B5" s="29"/>
      <c r="C5" s="7"/>
      <c r="D5" s="7"/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3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62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45799</v>
      </c>
      <c r="C3" s="11">
        <v>1.74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11">
        <v>5</v>
      </c>
      <c r="B4" s="26">
        <v>45983</v>
      </c>
      <c r="C4" s="11">
        <v>1.76</v>
      </c>
      <c r="D4" s="11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.6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4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cols>
    <col min="11" max="11" width="13.8984375" customWidth="1"/>
  </cols>
  <sheetData>
    <row r="1" spans="1:11" ht="15" customHeight="1">
      <c r="A1" s="3" t="s">
        <v>61</v>
      </c>
      <c r="C1" s="3" t="s">
        <v>81</v>
      </c>
      <c r="D1" s="3" t="s">
        <v>82</v>
      </c>
    </row>
    <row r="2" spans="1:11" ht="15" customHeight="1">
      <c r="A2" s="7"/>
      <c r="B2" s="22">
        <f ca="1">Main!D1</f>
        <v>46068</v>
      </c>
      <c r="C2" s="7"/>
      <c r="D2" s="7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45782</v>
      </c>
      <c r="C3" s="7">
        <v>2.4700000000000002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5</v>
      </c>
      <c r="B4" s="28">
        <v>45965</v>
      </c>
      <c r="C4" s="7">
        <v>2.52</v>
      </c>
      <c r="D4" s="7">
        <v>100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XIRR(E2:E4,B2:B4)</f>
        <v>#VALUE!</v>
      </c>
    </row>
    <row r="5" spans="1:11" ht="15.6">
      <c r="E5" s="51">
        <f t="shared" ca="1" si="0"/>
        <v>0</v>
      </c>
      <c r="J5" s="24" t="s">
        <v>89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500-000000000000}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66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11">
        <v>4</v>
      </c>
      <c r="B3" s="16">
        <v>45821</v>
      </c>
      <c r="C3" s="11">
        <v>2.4900000000000002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11">
        <v>5</v>
      </c>
      <c r="B4" s="26">
        <v>46006</v>
      </c>
      <c r="C4" s="11">
        <v>2.5099999999999998</v>
      </c>
      <c r="D4" s="11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XIRR(E2:E5,B2:B5)</f>
        <v>#NUM!</v>
      </c>
    </row>
    <row r="5" spans="1:11" ht="15" customHeight="1">
      <c r="A5" s="11">
        <v>6</v>
      </c>
      <c r="B5" s="16">
        <v>46066</v>
      </c>
      <c r="C5" s="11">
        <v>0.85</v>
      </c>
      <c r="D5" s="11">
        <v>100</v>
      </c>
      <c r="E5" s="51">
        <f t="shared" ca="1" si="0"/>
        <v>0</v>
      </c>
      <c r="F5" s="12" t="e">
        <f ca="1">(E5*(B5-$B$2)/365)/(1+$K$4)^((B5-$B$2)/365)/-$E$2/(1+$K$4)^$K$2</f>
        <v>#NUM!</v>
      </c>
      <c r="J5" s="24" t="s">
        <v>89</v>
      </c>
    </row>
    <row r="6" spans="1:11" ht="15" customHeight="1">
      <c r="A6" s="11"/>
      <c r="B6" s="27"/>
      <c r="C6" s="11"/>
      <c r="D6" s="11"/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6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63</v>
      </c>
      <c r="B1" s="21"/>
      <c r="C1" s="21" t="s">
        <v>81</v>
      </c>
      <c r="D1" s="21" t="s">
        <v>82</v>
      </c>
      <c r="E1" s="21"/>
    </row>
    <row r="2" spans="1:11" ht="15" customHeight="1">
      <c r="A2" s="21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0.25</v>
      </c>
    </row>
    <row r="3" spans="1:11" ht="15" customHeight="1">
      <c r="A3" s="11"/>
      <c r="B3" s="16">
        <v>45807</v>
      </c>
      <c r="C3" s="11">
        <v>1.56</v>
      </c>
      <c r="D3" s="11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11"/>
      <c r="B4" s="16">
        <v>45898</v>
      </c>
      <c r="C4" s="11">
        <v>1.56</v>
      </c>
      <c r="D4" s="11">
        <v>50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XIRR(E2:E5,B2:B5)</f>
        <v>#VALUE!</v>
      </c>
    </row>
    <row r="5" spans="1:11" ht="15" customHeight="1">
      <c r="A5" s="11"/>
      <c r="B5" s="26">
        <v>45989</v>
      </c>
      <c r="C5" s="11">
        <v>0.78</v>
      </c>
      <c r="D5" s="11">
        <v>50</v>
      </c>
      <c r="E5" s="51">
        <f t="shared" ca="1" si="0"/>
        <v>0</v>
      </c>
      <c r="F5" s="12" t="e">
        <f ca="1">(E5*(B5-$B$2)/365)/(1+$K$4)^((B5-$B$2)/365)/-$E$2/(1+$K$4)^$K$2</f>
        <v>#VALUE!</v>
      </c>
      <c r="J5" s="24" t="s">
        <v>89</v>
      </c>
    </row>
    <row r="6" spans="1:11" ht="15" customHeight="1">
      <c r="A6" s="11"/>
      <c r="B6" s="27"/>
      <c r="C6" s="11"/>
      <c r="D6" s="11"/>
      <c r="E6" s="51">
        <f t="shared" ca="1" si="0"/>
        <v>0</v>
      </c>
    </row>
    <row r="7" spans="1:11" ht="15.6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Argentina'!A1" display="ONs Argentina" xr:uid="{00000000-0004-0000-17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25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90</v>
      </c>
      <c r="B1" s="3"/>
      <c r="C1" s="3" t="s">
        <v>81</v>
      </c>
      <c r="D1" s="3" t="s">
        <v>82</v>
      </c>
      <c r="E1" s="3"/>
    </row>
    <row r="2" spans="1:11" ht="15" customHeight="1">
      <c r="B2" s="22">
        <f ca="1">Main!D1</f>
        <v>46068</v>
      </c>
      <c r="E2" s="8" cm="1">
        <f t="array" ref="E2">-_xll.PrecioBD(A1,"24","ASK","N")</f>
        <v>-99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45777</v>
      </c>
      <c r="C3" s="7">
        <v>4.74</v>
      </c>
      <c r="D3" s="7">
        <v>0</v>
      </c>
      <c r="E3" s="23">
        <f ca="1">IF(B3&lt;=B2,0,(C3+D3))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SUM(F3:F102)</f>
        <v>1.3301892829302502</v>
      </c>
    </row>
    <row r="4" spans="1:11" ht="15" customHeight="1">
      <c r="A4" s="7">
        <v>2</v>
      </c>
      <c r="B4" s="32">
        <v>45961</v>
      </c>
      <c r="C4" s="7">
        <v>4.79</v>
      </c>
      <c r="D4" s="7">
        <v>0</v>
      </c>
      <c r="E4" s="51">
        <f ca="1">IF(B4&lt;=$B$2,0,(C4+D4))</f>
        <v>0</v>
      </c>
      <c r="F4" s="12">
        <f t="shared" ca="1" si="0"/>
        <v>0</v>
      </c>
      <c r="J4" s="1" t="s">
        <v>4</v>
      </c>
      <c r="K4" s="2">
        <f ca="1">XIRR(E1:E8,B1:B8)</f>
        <v>2.9802322387695314E-9</v>
      </c>
    </row>
    <row r="5" spans="1:11" ht="15" customHeight="1">
      <c r="A5" s="7">
        <v>3</v>
      </c>
      <c r="B5" s="28">
        <v>46142</v>
      </c>
      <c r="C5" s="7">
        <v>4.71</v>
      </c>
      <c r="D5" s="7">
        <v>0</v>
      </c>
      <c r="E5" s="51">
        <f t="shared" ref="E5:E25" ca="1" si="1">IF(B5&lt;=$B$2,0,(C5+D5))</f>
        <v>4.71</v>
      </c>
      <c r="F5" s="12">
        <f t="shared" ca="1" si="0"/>
        <v>9.6454960362541316E-3</v>
      </c>
      <c r="J5" s="24" t="s">
        <v>89</v>
      </c>
    </row>
    <row r="6" spans="1:11" ht="15" customHeight="1">
      <c r="A6" s="7">
        <v>4</v>
      </c>
      <c r="B6" s="28">
        <v>46328</v>
      </c>
      <c r="C6" s="7">
        <v>4.79</v>
      </c>
      <c r="D6" s="7">
        <v>33.33</v>
      </c>
      <c r="E6" s="51">
        <f t="shared" ca="1" si="1"/>
        <v>38.119999999999997</v>
      </c>
      <c r="F6" s="12">
        <f t="shared" ca="1" si="0"/>
        <v>0.27428255055183681</v>
      </c>
    </row>
    <row r="7" spans="1:11" ht="15" customHeight="1">
      <c r="A7" s="7">
        <v>5</v>
      </c>
      <c r="B7" s="28">
        <v>46507</v>
      </c>
      <c r="C7" s="7">
        <v>3.14</v>
      </c>
      <c r="D7" s="7">
        <v>33.33</v>
      </c>
      <c r="E7" s="51">
        <f t="shared" ca="1" si="1"/>
        <v>36.47</v>
      </c>
      <c r="F7" s="12">
        <f t="shared" ca="1" si="0"/>
        <v>0.44306987460231412</v>
      </c>
    </row>
    <row r="8" spans="1:11" ht="15" customHeight="1">
      <c r="A8" s="7">
        <v>6</v>
      </c>
      <c r="B8" s="28">
        <v>46692</v>
      </c>
      <c r="C8" s="7">
        <v>1.59</v>
      </c>
      <c r="D8" s="7">
        <v>33.340000000000003</v>
      </c>
      <c r="E8" s="51">
        <f t="shared" ca="1" si="1"/>
        <v>34.930000000000007</v>
      </c>
      <c r="F8" s="12">
        <f t="shared" ca="1" si="0"/>
        <v>0.60319136173984522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</sheetData>
  <hyperlinks>
    <hyperlink ref="J5" location="'ONs Argentina'!A1" display="ONs Argentina" xr:uid="{00000000-0004-0000-18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15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-104.4</v>
      </c>
      <c r="J2" s="13" t="s">
        <v>84</v>
      </c>
      <c r="K2" s="13">
        <v>0.25</v>
      </c>
    </row>
    <row r="3" spans="1:11" ht="15" customHeight="1">
      <c r="A3" s="11">
        <v>16</v>
      </c>
      <c r="B3" s="16">
        <v>45838</v>
      </c>
      <c r="C3" s="11">
        <v>2.74</v>
      </c>
      <c r="D3" s="11">
        <v>0</v>
      </c>
      <c r="E3" s="51">
        <f ca="1">IF(B3&lt;=$B$2,0,(C3+D3))</f>
        <v>0</v>
      </c>
      <c r="F3" s="12">
        <f ca="1">(E3*(B3-$B$2)/365)/(1+$K$4)^((B3-$B$2)/365)/-$E$2/(1+$K$4)^$K$2</f>
        <v>0</v>
      </c>
      <c r="J3" s="13" t="s">
        <v>85</v>
      </c>
      <c r="K3" s="14">
        <f ca="1">SUM(F3:F24)</f>
        <v>0.36070615267366052</v>
      </c>
    </row>
    <row r="4" spans="1:11" ht="15" customHeight="1">
      <c r="A4" s="11">
        <v>17</v>
      </c>
      <c r="B4" s="16">
        <v>45930</v>
      </c>
      <c r="C4" s="11">
        <v>2.74</v>
      </c>
      <c r="D4" s="11">
        <v>0</v>
      </c>
      <c r="E4" s="51">
        <f t="shared" ref="E4:E24" ca="1" si="0">IF(B4&lt;=$B$2,0,(C4+D4))</f>
        <v>0</v>
      </c>
      <c r="F4" s="12">
        <f ca="1">(E4*(B4-$B$2)/365)/(1+$K$4)^((B4-$B$2)/365)/-$E$2/(1+$K$4)^$K$2</f>
        <v>0</v>
      </c>
      <c r="J4" s="13" t="s">
        <v>4</v>
      </c>
      <c r="K4" s="33">
        <f ca="1">+XIRR(E2:E24,B2:B24)</f>
        <v>2.8733989596366891E-2</v>
      </c>
    </row>
    <row r="5" spans="1:11" ht="15" customHeight="1">
      <c r="A5" s="11">
        <v>18</v>
      </c>
      <c r="B5" s="26">
        <v>46021</v>
      </c>
      <c r="C5" s="11">
        <v>2.74</v>
      </c>
      <c r="D5" s="11">
        <v>0</v>
      </c>
      <c r="E5" s="51">
        <f t="shared" ca="1" si="0"/>
        <v>0</v>
      </c>
      <c r="F5" s="12">
        <f ca="1">(E5*(B5-$B$2)/365)/(1+$K$4)^((B5-$B$2)/365)/-$E$2/(1+$K$4)^$K$2</f>
        <v>0</v>
      </c>
    </row>
    <row r="6" spans="1:11" ht="15" customHeight="1">
      <c r="A6" s="11">
        <v>19</v>
      </c>
      <c r="B6" s="16">
        <v>46111</v>
      </c>
      <c r="C6" s="11">
        <v>2.74</v>
      </c>
      <c r="D6" s="11">
        <v>0</v>
      </c>
      <c r="E6" s="51">
        <f t="shared" ca="1" si="0"/>
        <v>2.74</v>
      </c>
      <c r="F6" s="12">
        <f ca="1">(E6*(B6-$B$2)/365)/(1+$K$4)^((B6-$B$2)/365)/-$E$2/(1+$K$4)^$K$2</f>
        <v>3.0598524019246434E-3</v>
      </c>
    </row>
    <row r="7" spans="1:11" ht="15" customHeight="1">
      <c r="A7" s="11">
        <v>20</v>
      </c>
      <c r="B7" s="16">
        <v>46203</v>
      </c>
      <c r="C7" s="11">
        <v>2.74</v>
      </c>
      <c r="D7" s="11">
        <v>100</v>
      </c>
      <c r="E7" s="51">
        <f t="shared" ca="1" si="0"/>
        <v>102.74</v>
      </c>
      <c r="F7" s="12">
        <f ca="1">(E7*(B7-$B$2)/365)/(1+$K$4)^((B7-$B$2)/365)/-$E$2/(1+$K$4)^$K$2</f>
        <v>0.35764630027173588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27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-108.15</v>
      </c>
      <c r="J2" s="13" t="s">
        <v>84</v>
      </c>
      <c r="K2" s="13">
        <v>0.5</v>
      </c>
    </row>
    <row r="3" spans="1:11" ht="15" customHeight="1">
      <c r="A3" s="11">
        <v>9</v>
      </c>
      <c r="B3" s="16">
        <v>45838</v>
      </c>
      <c r="C3" s="11">
        <v>4.5</v>
      </c>
      <c r="D3" s="11">
        <v>0</v>
      </c>
      <c r="E3" s="51">
        <f ca="1">IF(B3&lt;=$B$2,0,(C3+D3))</f>
        <v>0</v>
      </c>
      <c r="F3" s="12">
        <f t="shared" ref="F3:F11" ca="1" si="0">(E3*(B3-$B$2)/365)/(1+$K$4)^((B3-$B$2)/365)/-$E$2/(1+$K$4)^$K$2</f>
        <v>0</v>
      </c>
      <c r="J3" s="13" t="s">
        <v>85</v>
      </c>
      <c r="K3" s="14">
        <f ca="1">SUM(F3:F24)</f>
        <v>1.706041567520783</v>
      </c>
    </row>
    <row r="4" spans="1:11" ht="15" customHeight="1">
      <c r="A4" s="11">
        <v>10</v>
      </c>
      <c r="B4" s="26">
        <v>46021</v>
      </c>
      <c r="C4" s="11">
        <v>4.5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5.0438943505287173E-2</v>
      </c>
    </row>
    <row r="5" spans="1:11" ht="15" customHeight="1">
      <c r="A5" s="11">
        <v>11</v>
      </c>
      <c r="B5" s="16">
        <v>46203</v>
      </c>
      <c r="C5" s="11">
        <v>4.5</v>
      </c>
      <c r="D5" s="11">
        <v>14.28</v>
      </c>
      <c r="E5" s="51">
        <f t="shared" ca="1" si="1"/>
        <v>18.78</v>
      </c>
      <c r="F5" s="12">
        <f t="shared" ca="1" si="0"/>
        <v>6.1534728296322547E-2</v>
      </c>
    </row>
    <row r="6" spans="1:11" ht="15" customHeight="1">
      <c r="A6" s="11">
        <v>12</v>
      </c>
      <c r="B6" s="26">
        <v>46386</v>
      </c>
      <c r="C6" s="11">
        <v>3.86</v>
      </c>
      <c r="D6" s="11">
        <v>14.28</v>
      </c>
      <c r="E6" s="51">
        <f t="shared" ca="1" si="1"/>
        <v>18.14</v>
      </c>
      <c r="F6" s="12">
        <f t="shared" ca="1" si="0"/>
        <v>0.13659683963002273</v>
      </c>
    </row>
    <row r="7" spans="1:11" ht="15" customHeight="1">
      <c r="A7" s="11">
        <v>13</v>
      </c>
      <c r="B7" s="16">
        <v>46568</v>
      </c>
      <c r="C7" s="11">
        <v>3.21</v>
      </c>
      <c r="D7" s="11">
        <v>14.28</v>
      </c>
      <c r="E7" s="51">
        <f t="shared" ca="1" si="1"/>
        <v>17.489999999999998</v>
      </c>
      <c r="F7" s="12">
        <f t="shared" ca="1" si="0"/>
        <v>0.20205980545024599</v>
      </c>
    </row>
    <row r="8" spans="1:11" ht="15" customHeight="1">
      <c r="A8" s="11">
        <v>14</v>
      </c>
      <c r="B8" s="26">
        <v>46751</v>
      </c>
      <c r="C8" s="11">
        <v>2.57</v>
      </c>
      <c r="D8" s="11">
        <v>14.28</v>
      </c>
      <c r="E8" s="51">
        <f t="shared" ca="1" si="1"/>
        <v>16.849999999999998</v>
      </c>
      <c r="F8" s="12">
        <f t="shared" ca="1" si="0"/>
        <v>0.25943349321735942</v>
      </c>
    </row>
    <row r="9" spans="1:11" ht="15" customHeight="1">
      <c r="A9" s="11">
        <v>15</v>
      </c>
      <c r="B9" s="16">
        <v>46934</v>
      </c>
      <c r="C9" s="11">
        <v>1.93</v>
      </c>
      <c r="D9" s="11">
        <v>14.28</v>
      </c>
      <c r="E9" s="51">
        <f t="shared" ca="1" si="1"/>
        <v>16.21</v>
      </c>
      <c r="F9" s="12">
        <f t="shared" ca="1" si="0"/>
        <v>0.30873911801158488</v>
      </c>
    </row>
    <row r="10" spans="1:11" ht="15" customHeight="1">
      <c r="A10" s="11">
        <v>16</v>
      </c>
      <c r="B10" s="16">
        <v>47120</v>
      </c>
      <c r="C10" s="11">
        <v>1.29</v>
      </c>
      <c r="D10" s="11">
        <v>14.28</v>
      </c>
      <c r="E10" s="51">
        <f t="shared" ca="1" si="1"/>
        <v>15.57</v>
      </c>
      <c r="F10" s="12">
        <f t="shared" ca="1" si="0"/>
        <v>0.35132153527418242</v>
      </c>
    </row>
    <row r="11" spans="1:11" ht="15" customHeight="1">
      <c r="A11" s="11">
        <v>17</v>
      </c>
      <c r="B11" s="16">
        <v>47301</v>
      </c>
      <c r="C11" s="11">
        <v>0.65</v>
      </c>
      <c r="D11" s="11">
        <v>14.32</v>
      </c>
      <c r="E11" s="51">
        <f t="shared" ca="1" si="1"/>
        <v>14.97</v>
      </c>
      <c r="F11" s="12">
        <f t="shared" ca="1" si="0"/>
        <v>0.38635604764106474</v>
      </c>
    </row>
    <row r="12" spans="1:11" ht="15.6">
      <c r="C12" s="22">
        <f ca="1">WORKDAY(TODAY(), 1)</f>
        <v>46066</v>
      </c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37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-112.9</v>
      </c>
      <c r="J2" s="13" t="s">
        <v>84</v>
      </c>
      <c r="K2" s="13">
        <v>0.5</v>
      </c>
    </row>
    <row r="3" spans="1:11" ht="15" customHeight="1">
      <c r="A3" s="11">
        <v>2</v>
      </c>
      <c r="B3" s="16">
        <v>45777</v>
      </c>
      <c r="C3" s="11">
        <v>4.25</v>
      </c>
      <c r="D3" s="11">
        <v>0</v>
      </c>
      <c r="E3" s="51">
        <f ca="1">IF(B3&lt;=$B$2,0,(C3+D3))</f>
        <v>0</v>
      </c>
      <c r="F3" s="12">
        <f t="shared" ref="F3:F17" ca="1" si="0">(E3*(B3-$B$2)/365)/(1+$K$4)^((B3-$B$2)/365)/-$E$2/(1+$K$4)^$K$2</f>
        <v>0</v>
      </c>
      <c r="J3" s="13" t="s">
        <v>85</v>
      </c>
      <c r="K3" s="14">
        <f ca="1">SUM(F3:F24)</f>
        <v>4.134957040703739</v>
      </c>
    </row>
    <row r="4" spans="1:11" ht="15" customHeight="1">
      <c r="A4" s="11">
        <v>3</v>
      </c>
      <c r="B4" s="26">
        <v>45960</v>
      </c>
      <c r="C4" s="11">
        <v>4.25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6.218393743038178E-2</v>
      </c>
    </row>
    <row r="5" spans="1:11" ht="15" customHeight="1">
      <c r="A5" s="11">
        <v>4</v>
      </c>
      <c r="B5" s="16">
        <v>46142</v>
      </c>
      <c r="C5" s="11">
        <v>4.25</v>
      </c>
      <c r="D5" s="11">
        <v>0</v>
      </c>
      <c r="E5" s="51">
        <f t="shared" ca="1" si="1"/>
        <v>4.25</v>
      </c>
      <c r="F5" s="12">
        <f t="shared" ca="1" si="0"/>
        <v>7.3151334365520139E-3</v>
      </c>
    </row>
    <row r="6" spans="1:11" ht="15" customHeight="1">
      <c r="A6" s="11">
        <v>5</v>
      </c>
      <c r="B6" s="26">
        <v>46325</v>
      </c>
      <c r="C6" s="11">
        <v>4.25</v>
      </c>
      <c r="D6" s="11">
        <v>0</v>
      </c>
      <c r="E6" s="51">
        <f t="shared" ca="1" si="1"/>
        <v>4.25</v>
      </c>
      <c r="F6" s="12">
        <f t="shared" ca="1" si="0"/>
        <v>2.464835278620273E-2</v>
      </c>
    </row>
    <row r="7" spans="1:11" ht="15" customHeight="1">
      <c r="A7" s="11">
        <v>6</v>
      </c>
      <c r="B7" s="16">
        <v>46507</v>
      </c>
      <c r="C7" s="11">
        <v>4.25</v>
      </c>
      <c r="D7" s="11">
        <v>0</v>
      </c>
      <c r="E7" s="51">
        <f t="shared" ca="1" si="1"/>
        <v>4.25</v>
      </c>
      <c r="F7" s="12">
        <f t="shared" ca="1" si="0"/>
        <v>4.0855950949094812E-2</v>
      </c>
    </row>
    <row r="8" spans="1:11" ht="15" customHeight="1">
      <c r="A8" s="11">
        <v>7</v>
      </c>
      <c r="B8" s="16">
        <v>46692</v>
      </c>
      <c r="C8" s="11">
        <v>4.25</v>
      </c>
      <c r="D8" s="11">
        <v>0</v>
      </c>
      <c r="E8" s="51">
        <f t="shared" ca="1" si="1"/>
        <v>4.25</v>
      </c>
      <c r="F8" s="12">
        <f t="shared" ca="1" si="0"/>
        <v>5.6324335646217902E-2</v>
      </c>
    </row>
    <row r="9" spans="1:11" ht="15" customHeight="1">
      <c r="A9" s="11">
        <v>8</v>
      </c>
      <c r="B9" s="16">
        <v>46875</v>
      </c>
      <c r="C9" s="11">
        <v>4.25</v>
      </c>
      <c r="D9" s="11">
        <v>0</v>
      </c>
      <c r="E9" s="51">
        <f t="shared" ca="1" si="1"/>
        <v>4.25</v>
      </c>
      <c r="F9" s="12">
        <f t="shared" ca="1" si="0"/>
        <v>7.0672306926380685E-2</v>
      </c>
    </row>
    <row r="10" spans="1:11" ht="15" customHeight="1">
      <c r="A10" s="11">
        <v>9</v>
      </c>
      <c r="B10" s="26">
        <v>47056</v>
      </c>
      <c r="C10" s="11">
        <v>4.25</v>
      </c>
      <c r="D10" s="11">
        <v>0</v>
      </c>
      <c r="E10" s="51">
        <f t="shared" ca="1" si="1"/>
        <v>4.25</v>
      </c>
      <c r="F10" s="12">
        <f t="shared" ca="1" si="0"/>
        <v>8.3973157437158538E-2</v>
      </c>
    </row>
    <row r="11" spans="1:11" ht="15" customHeight="1">
      <c r="A11" s="11">
        <v>10</v>
      </c>
      <c r="B11" s="16">
        <v>47238</v>
      </c>
      <c r="C11" s="11">
        <v>4.25</v>
      </c>
      <c r="D11" s="11">
        <v>0</v>
      </c>
      <c r="E11" s="51">
        <f t="shared" ca="1" si="1"/>
        <v>4.25</v>
      </c>
      <c r="F11" s="12">
        <f t="shared" ca="1" si="0"/>
        <v>9.649513667426364E-2</v>
      </c>
    </row>
    <row r="12" spans="1:11" ht="15" customHeight="1">
      <c r="A12" s="11">
        <v>11</v>
      </c>
      <c r="B12" s="26">
        <v>47421</v>
      </c>
      <c r="C12" s="11">
        <v>4.25</v>
      </c>
      <c r="D12" s="11">
        <v>0</v>
      </c>
      <c r="E12" s="51">
        <f t="shared" ca="1" si="1"/>
        <v>4.25</v>
      </c>
      <c r="F12" s="12">
        <f t="shared" ca="1" si="0"/>
        <v>0.10826338594940388</v>
      </c>
    </row>
    <row r="13" spans="1:11" ht="15" customHeight="1">
      <c r="A13" s="11">
        <v>12</v>
      </c>
      <c r="B13" s="16">
        <v>47603</v>
      </c>
      <c r="C13" s="11">
        <v>4.25</v>
      </c>
      <c r="D13" s="11">
        <v>33.33</v>
      </c>
      <c r="E13" s="51">
        <f t="shared" ca="1" si="1"/>
        <v>37.58</v>
      </c>
      <c r="F13" s="12">
        <f t="shared" ca="1" si="0"/>
        <v>1.0538918832582782</v>
      </c>
    </row>
    <row r="14" spans="1:11" ht="15" customHeight="1">
      <c r="A14" s="11">
        <v>13</v>
      </c>
      <c r="B14" s="26">
        <v>47786</v>
      </c>
      <c r="C14" s="11">
        <v>2.83</v>
      </c>
      <c r="D14" s="11">
        <v>0</v>
      </c>
      <c r="E14" s="51">
        <f t="shared" ca="1" si="1"/>
        <v>2.83</v>
      </c>
      <c r="F14" s="12">
        <f t="shared" ca="1" si="0"/>
        <v>8.6179653640161655E-2</v>
      </c>
    </row>
    <row r="15" spans="1:11" ht="15" customHeight="1">
      <c r="A15" s="11">
        <v>14</v>
      </c>
      <c r="B15" s="16">
        <v>47968</v>
      </c>
      <c r="C15" s="11">
        <v>2.83</v>
      </c>
      <c r="D15" s="11">
        <v>33.33</v>
      </c>
      <c r="E15" s="51">
        <f t="shared" ca="1" si="1"/>
        <v>36.159999999999997</v>
      </c>
      <c r="F15" s="12">
        <f t="shared" ca="1" si="0"/>
        <v>1.1817162217840225</v>
      </c>
    </row>
    <row r="16" spans="1:11" ht="15" customHeight="1">
      <c r="A16" s="11">
        <v>15</v>
      </c>
      <c r="B16" s="26">
        <v>48151</v>
      </c>
      <c r="C16" s="11">
        <v>1.42</v>
      </c>
      <c r="D16" s="11">
        <v>0</v>
      </c>
      <c r="E16" s="51">
        <f t="shared" ca="1" si="1"/>
        <v>1.42</v>
      </c>
      <c r="F16" s="12">
        <f t="shared" ca="1" si="0"/>
        <v>4.9359759386367365E-2</v>
      </c>
    </row>
    <row r="17" spans="1:6" ht="15" customHeight="1">
      <c r="A17" s="11">
        <v>16</v>
      </c>
      <c r="B17" s="16">
        <v>48334</v>
      </c>
      <c r="C17" s="11">
        <v>1.42</v>
      </c>
      <c r="D17" s="11">
        <v>33.340000000000003</v>
      </c>
      <c r="E17" s="51">
        <f t="shared" ca="1" si="1"/>
        <v>34.760000000000005</v>
      </c>
      <c r="F17" s="12">
        <f t="shared" ca="1" si="0"/>
        <v>1.275261762829635</v>
      </c>
    </row>
    <row r="18" spans="1:6" ht="15" customHeight="1">
      <c r="A18" s="11"/>
      <c r="B18" s="27"/>
      <c r="C18" s="11"/>
      <c r="D18" s="11"/>
      <c r="E18" s="51">
        <f t="shared" ca="1" si="1"/>
        <v>0</v>
      </c>
    </row>
    <row r="19" spans="1:6" ht="15" customHeight="1"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40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-107.25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45763</v>
      </c>
      <c r="C3" s="11">
        <v>3.94</v>
      </c>
      <c r="D3" s="11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SUM(F3:F24)</f>
        <v>4.4359846521732527</v>
      </c>
    </row>
    <row r="4" spans="1:11" ht="15" customHeight="1">
      <c r="A4" s="11">
        <v>2</v>
      </c>
      <c r="B4" s="26">
        <v>45946</v>
      </c>
      <c r="C4" s="11">
        <v>3.94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6.9892355799674982E-2</v>
      </c>
    </row>
    <row r="5" spans="1:11" ht="15" customHeight="1">
      <c r="A5" s="11">
        <v>3</v>
      </c>
      <c r="B5" s="16">
        <v>46128</v>
      </c>
      <c r="C5" s="11">
        <v>3.94</v>
      </c>
      <c r="D5" s="11">
        <v>0</v>
      </c>
      <c r="E5" s="51">
        <f t="shared" ca="1" si="1"/>
        <v>3.94</v>
      </c>
      <c r="F5" s="12">
        <f t="shared" ca="1" si="0"/>
        <v>5.773833247835581E-3</v>
      </c>
    </row>
    <row r="6" spans="1:11" ht="15" customHeight="1">
      <c r="A6" s="11">
        <v>4</v>
      </c>
      <c r="B6" s="26">
        <v>46311</v>
      </c>
      <c r="C6" s="11">
        <v>3.94</v>
      </c>
      <c r="D6" s="11">
        <v>0</v>
      </c>
      <c r="E6" s="51">
        <f t="shared" ca="1" si="1"/>
        <v>3.94</v>
      </c>
      <c r="F6" s="12">
        <f t="shared" ca="1" si="0"/>
        <v>2.2605234989704105E-2</v>
      </c>
    </row>
    <row r="7" spans="1:11" ht="15" customHeight="1">
      <c r="A7" s="11">
        <v>5</v>
      </c>
      <c r="B7" s="16">
        <v>46493</v>
      </c>
      <c r="C7" s="11">
        <v>3.94</v>
      </c>
      <c r="D7" s="11">
        <v>0</v>
      </c>
      <c r="E7" s="51">
        <f t="shared" ca="1" si="1"/>
        <v>3.94</v>
      </c>
      <c r="F7" s="12">
        <f t="shared" ca="1" si="0"/>
        <v>3.8226262000847208E-2</v>
      </c>
    </row>
    <row r="8" spans="1:11" ht="15" customHeight="1">
      <c r="A8" s="11">
        <v>6</v>
      </c>
      <c r="B8" s="26">
        <v>46678</v>
      </c>
      <c r="C8" s="11">
        <v>3.94</v>
      </c>
      <c r="D8" s="11">
        <v>0</v>
      </c>
      <c r="E8" s="51">
        <f t="shared" ca="1" si="1"/>
        <v>3.94</v>
      </c>
      <c r="F8" s="12">
        <f t="shared" ca="1" si="0"/>
        <v>5.3019024797679719E-2</v>
      </c>
    </row>
    <row r="9" spans="1:11" ht="15" customHeight="1">
      <c r="A9" s="11">
        <v>7</v>
      </c>
      <c r="B9" s="16">
        <v>46860</v>
      </c>
      <c r="C9" s="11">
        <v>3.94</v>
      </c>
      <c r="D9" s="11">
        <v>0</v>
      </c>
      <c r="E9" s="51">
        <f t="shared" ca="1" si="1"/>
        <v>3.94</v>
      </c>
      <c r="F9" s="12">
        <f t="shared" ca="1" si="0"/>
        <v>6.6557535349242358E-2</v>
      </c>
    </row>
    <row r="10" spans="1:11" ht="15" customHeight="1">
      <c r="A10" s="11">
        <v>8</v>
      </c>
      <c r="B10" s="26">
        <v>47043</v>
      </c>
      <c r="C10" s="11">
        <v>3.94</v>
      </c>
      <c r="D10" s="11">
        <v>0</v>
      </c>
      <c r="E10" s="51">
        <f t="shared" ca="1" si="1"/>
        <v>3.94</v>
      </c>
      <c r="F10" s="12">
        <f t="shared" ca="1" si="0"/>
        <v>7.9207522871637612E-2</v>
      </c>
    </row>
    <row r="11" spans="1:11" ht="15" customHeight="1">
      <c r="A11" s="11">
        <v>9</v>
      </c>
      <c r="B11" s="16">
        <v>47224</v>
      </c>
      <c r="C11" s="11">
        <v>3.94</v>
      </c>
      <c r="D11" s="11">
        <v>0</v>
      </c>
      <c r="E11" s="51">
        <f t="shared" ca="1" si="1"/>
        <v>3.94</v>
      </c>
      <c r="F11" s="12">
        <f t="shared" ca="1" si="0"/>
        <v>9.0817633964134226E-2</v>
      </c>
    </row>
    <row r="12" spans="1:11" ht="15" customHeight="1">
      <c r="A12" s="11">
        <v>10</v>
      </c>
      <c r="B12" s="26">
        <v>47407</v>
      </c>
      <c r="C12" s="11">
        <v>3.94</v>
      </c>
      <c r="D12" s="11">
        <v>0</v>
      </c>
      <c r="E12" s="51">
        <f t="shared" ca="1" si="1"/>
        <v>3.94</v>
      </c>
      <c r="F12" s="12">
        <f t="shared" ca="1" si="0"/>
        <v>0.10169104071302412</v>
      </c>
    </row>
    <row r="13" spans="1:11" ht="15" customHeight="1">
      <c r="A13" s="11">
        <v>11</v>
      </c>
      <c r="B13" s="16">
        <v>47589</v>
      </c>
      <c r="C13" s="11">
        <v>3.94</v>
      </c>
      <c r="D13" s="11">
        <v>0</v>
      </c>
      <c r="E13" s="51">
        <f t="shared" ca="1" si="1"/>
        <v>3.94</v>
      </c>
      <c r="F13" s="12">
        <f t="shared" ca="1" si="0"/>
        <v>0.11168670502858848</v>
      </c>
    </row>
    <row r="14" spans="1:11" ht="15" customHeight="1">
      <c r="A14" s="11">
        <v>12</v>
      </c>
      <c r="B14" s="26">
        <v>47772</v>
      </c>
      <c r="C14" s="11">
        <v>3.94</v>
      </c>
      <c r="D14" s="11">
        <v>33</v>
      </c>
      <c r="E14" s="51">
        <f t="shared" ca="1" si="1"/>
        <v>36.94</v>
      </c>
      <c r="F14" s="12">
        <f t="shared" ca="1" si="0"/>
        <v>1.134050227603387</v>
      </c>
    </row>
    <row r="15" spans="1:11" ht="15" customHeight="1">
      <c r="A15" s="11">
        <v>13</v>
      </c>
      <c r="B15" s="16">
        <v>47954</v>
      </c>
      <c r="C15" s="11">
        <v>2.64</v>
      </c>
      <c r="D15" s="11">
        <v>0</v>
      </c>
      <c r="E15" s="51">
        <f t="shared" ca="1" si="1"/>
        <v>2.64</v>
      </c>
      <c r="F15" s="12">
        <f t="shared" ca="1" si="0"/>
        <v>8.6732441813855976E-2</v>
      </c>
    </row>
    <row r="16" spans="1:11" ht="15" customHeight="1">
      <c r="A16" s="11">
        <v>14</v>
      </c>
      <c r="B16" s="26">
        <v>48137</v>
      </c>
      <c r="C16" s="11">
        <v>2.64</v>
      </c>
      <c r="D16" s="11">
        <v>33</v>
      </c>
      <c r="E16" s="51">
        <f t="shared" ca="1" si="1"/>
        <v>35.64</v>
      </c>
      <c r="F16" s="12">
        <f t="shared" ca="1" si="0"/>
        <v>1.2417206684352993</v>
      </c>
    </row>
    <row r="17" spans="1:6" ht="15" customHeight="1">
      <c r="A17" s="11">
        <v>15</v>
      </c>
      <c r="B17" s="16">
        <v>48320</v>
      </c>
      <c r="C17" s="11">
        <v>1.34</v>
      </c>
      <c r="D17" s="11">
        <v>0</v>
      </c>
      <c r="E17" s="51">
        <f t="shared" ca="1" si="1"/>
        <v>1.34</v>
      </c>
      <c r="F17" s="12">
        <f t="shared" ca="1" si="0"/>
        <v>4.9123428973305301E-2</v>
      </c>
    </row>
    <row r="18" spans="1:6" ht="15" customHeight="1">
      <c r="A18" s="11">
        <v>16</v>
      </c>
      <c r="B18" s="26">
        <v>48505</v>
      </c>
      <c r="C18" s="11">
        <v>1.34</v>
      </c>
      <c r="D18" s="11">
        <v>34</v>
      </c>
      <c r="E18" s="51">
        <f t="shared" ca="1" si="1"/>
        <v>35.340000000000003</v>
      </c>
      <c r="F18" s="12">
        <f t="shared" ca="1" si="0"/>
        <v>1.3547730923847117</v>
      </c>
    </row>
    <row r="19" spans="1:6" ht="15" customHeight="1"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47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-106.85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45855</v>
      </c>
      <c r="C3" s="11">
        <v>4.13</v>
      </c>
      <c r="D3" s="11">
        <v>0</v>
      </c>
      <c r="E3" s="51">
        <f ca="1">IF(B3&lt;=$B$2,0,(C3+D3))</f>
        <v>0</v>
      </c>
      <c r="F3" s="12">
        <f t="shared" ref="F3:F20" ca="1" si="0">(E3*(B3-$B$2)/365)/(1+$K$4)^((B3-$B$2)/365)/-$E$2/(1+$K$4)^$K$2</f>
        <v>0</v>
      </c>
      <c r="J3" s="13" t="s">
        <v>85</v>
      </c>
      <c r="K3" s="14">
        <f ca="1">SUM(F3:F24)</f>
        <v>5.2896142995934259</v>
      </c>
    </row>
    <row r="4" spans="1:11" ht="15" customHeight="1">
      <c r="A4" s="11">
        <v>2</v>
      </c>
      <c r="B4" s="16">
        <v>46041</v>
      </c>
      <c r="C4" s="11">
        <v>4.13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7.2391566634178159E-2</v>
      </c>
    </row>
    <row r="5" spans="1:11" ht="15" customHeight="1">
      <c r="A5" s="11">
        <v>3</v>
      </c>
      <c r="B5" s="16">
        <v>46220</v>
      </c>
      <c r="C5" s="11">
        <v>4.13</v>
      </c>
      <c r="D5" s="11">
        <v>0</v>
      </c>
      <c r="E5" s="51">
        <f t="shared" ca="1" si="1"/>
        <v>4.13</v>
      </c>
      <c r="F5" s="12">
        <f t="shared" ca="1" si="0"/>
        <v>1.5097645990068314E-2</v>
      </c>
    </row>
    <row r="6" spans="1:11" ht="15" customHeight="1">
      <c r="A6" s="11">
        <v>4</v>
      </c>
      <c r="B6" s="16">
        <v>46405</v>
      </c>
      <c r="C6" s="11">
        <v>4.13</v>
      </c>
      <c r="D6" s="11">
        <v>0</v>
      </c>
      <c r="E6" s="51">
        <f t="shared" ca="1" si="1"/>
        <v>4.13</v>
      </c>
      <c r="F6" s="12">
        <f t="shared" ca="1" si="0"/>
        <v>3.2308065583523268E-2</v>
      </c>
    </row>
    <row r="7" spans="1:11" ht="15" customHeight="1">
      <c r="A7" s="11">
        <v>5</v>
      </c>
      <c r="B7" s="16">
        <v>46587</v>
      </c>
      <c r="C7" s="11">
        <v>4.13</v>
      </c>
      <c r="D7" s="11">
        <v>0</v>
      </c>
      <c r="E7" s="51">
        <f t="shared" ca="1" si="1"/>
        <v>4.13</v>
      </c>
      <c r="F7" s="12">
        <f t="shared" ca="1" si="0"/>
        <v>4.8052202408289932E-2</v>
      </c>
    </row>
    <row r="8" spans="1:11" ht="15" customHeight="1">
      <c r="A8" s="11">
        <v>6</v>
      </c>
      <c r="B8" s="16">
        <v>46769</v>
      </c>
      <c r="C8" s="11">
        <v>4.13</v>
      </c>
      <c r="D8" s="11">
        <v>0</v>
      </c>
      <c r="E8" s="51">
        <f t="shared" ca="1" si="1"/>
        <v>4.13</v>
      </c>
      <c r="F8" s="12">
        <f t="shared" ca="1" si="0"/>
        <v>6.2679979083384463E-2</v>
      </c>
    </row>
    <row r="9" spans="1:11" ht="15" customHeight="1">
      <c r="A9" s="11">
        <v>7</v>
      </c>
      <c r="B9" s="16">
        <v>46951</v>
      </c>
      <c r="C9" s="11">
        <v>4.13</v>
      </c>
      <c r="D9" s="11">
        <v>0</v>
      </c>
      <c r="E9" s="51">
        <f t="shared" ca="1" si="1"/>
        <v>4.13</v>
      </c>
      <c r="F9" s="12">
        <f t="shared" ca="1" si="0"/>
        <v>7.6249396990909366E-2</v>
      </c>
    </row>
    <row r="10" spans="1:11" ht="15" customHeight="1">
      <c r="A10" s="11">
        <v>8</v>
      </c>
      <c r="B10" s="16">
        <v>47135</v>
      </c>
      <c r="C10" s="11">
        <v>4.13</v>
      </c>
      <c r="D10" s="11">
        <v>0</v>
      </c>
      <c r="E10" s="51">
        <f t="shared" ca="1" si="1"/>
        <v>4.13</v>
      </c>
      <c r="F10" s="12">
        <f t="shared" ca="1" si="0"/>
        <v>8.8948513452243E-2</v>
      </c>
    </row>
    <row r="11" spans="1:11" ht="15" customHeight="1">
      <c r="A11" s="11">
        <v>9</v>
      </c>
      <c r="B11" s="16">
        <v>47316</v>
      </c>
      <c r="C11" s="11">
        <v>4.13</v>
      </c>
      <c r="D11" s="11">
        <v>0</v>
      </c>
      <c r="E11" s="51">
        <f t="shared" ca="1" si="1"/>
        <v>4.13</v>
      </c>
      <c r="F11" s="12">
        <f t="shared" ca="1" si="0"/>
        <v>0.10049325312171833</v>
      </c>
    </row>
    <row r="12" spans="1:11" ht="15" customHeight="1">
      <c r="A12" s="11">
        <v>10</v>
      </c>
      <c r="B12" s="16">
        <v>47500</v>
      </c>
      <c r="C12" s="11">
        <v>4.13</v>
      </c>
      <c r="D12" s="11">
        <v>0</v>
      </c>
      <c r="E12" s="51">
        <f t="shared" ca="1" si="1"/>
        <v>4.13</v>
      </c>
      <c r="F12" s="12">
        <f t="shared" ca="1" si="0"/>
        <v>0.1113176175574534</v>
      </c>
    </row>
    <row r="13" spans="1:11" ht="15" customHeight="1">
      <c r="A13" s="11">
        <v>11</v>
      </c>
      <c r="B13" s="16">
        <v>47681</v>
      </c>
      <c r="C13" s="11">
        <v>4.13</v>
      </c>
      <c r="D13" s="11">
        <v>0</v>
      </c>
      <c r="E13" s="51">
        <f t="shared" ca="1" si="1"/>
        <v>4.13</v>
      </c>
      <c r="F13" s="12">
        <f t="shared" ca="1" si="0"/>
        <v>0.12111649584291066</v>
      </c>
    </row>
    <row r="14" spans="1:11" ht="15" customHeight="1">
      <c r="A14" s="11">
        <v>12</v>
      </c>
      <c r="B14" s="16">
        <v>47865</v>
      </c>
      <c r="C14" s="11">
        <v>4.13</v>
      </c>
      <c r="D14" s="11">
        <v>0</v>
      </c>
      <c r="E14" s="51">
        <f t="shared" ca="1" si="1"/>
        <v>4.13</v>
      </c>
      <c r="F14" s="12">
        <f t="shared" ca="1" si="0"/>
        <v>0.13026134917342588</v>
      </c>
    </row>
    <row r="15" spans="1:11" ht="15" customHeight="1">
      <c r="A15" s="11">
        <v>13</v>
      </c>
      <c r="B15" s="16">
        <v>48046</v>
      </c>
      <c r="C15" s="11">
        <v>4.13</v>
      </c>
      <c r="D15" s="11">
        <v>0</v>
      </c>
      <c r="E15" s="51">
        <f t="shared" ca="1" si="1"/>
        <v>4.13</v>
      </c>
      <c r="F15" s="12">
        <f t="shared" ca="1" si="0"/>
        <v>0.13849746589970288</v>
      </c>
    </row>
    <row r="16" spans="1:11" ht="15" customHeight="1">
      <c r="A16" s="11">
        <v>14</v>
      </c>
      <c r="B16" s="16">
        <v>48232</v>
      </c>
      <c r="C16" s="11">
        <v>4.13</v>
      </c>
      <c r="D16" s="11">
        <v>30</v>
      </c>
      <c r="E16" s="51">
        <f t="shared" ca="1" si="1"/>
        <v>34.130000000000003</v>
      </c>
      <c r="F16" s="12">
        <f t="shared" ca="1" si="0"/>
        <v>1.2083459145058315</v>
      </c>
    </row>
    <row r="17" spans="1:6" ht="15" customHeight="1">
      <c r="A17" s="11">
        <v>15</v>
      </c>
      <c r="B17" s="16">
        <v>48414</v>
      </c>
      <c r="C17" s="11">
        <v>2.89</v>
      </c>
      <c r="D17" s="11">
        <v>0</v>
      </c>
      <c r="E17" s="51">
        <f t="shared" ca="1" si="1"/>
        <v>2.89</v>
      </c>
      <c r="F17" s="12">
        <f t="shared" ca="1" si="0"/>
        <v>0.10712441637324198</v>
      </c>
    </row>
    <row r="18" spans="1:6" ht="15" customHeight="1">
      <c r="A18" s="11">
        <v>16</v>
      </c>
      <c r="B18" s="16">
        <v>48596</v>
      </c>
      <c r="C18" s="11">
        <v>2.89</v>
      </c>
      <c r="D18" s="11">
        <v>30</v>
      </c>
      <c r="E18" s="51">
        <f t="shared" ca="1" si="1"/>
        <v>32.89</v>
      </c>
      <c r="F18" s="12">
        <f t="shared" ca="1" si="0"/>
        <v>1.2687277716183678</v>
      </c>
    </row>
    <row r="19" spans="1:6" ht="15" customHeight="1">
      <c r="A19" s="11">
        <v>17</v>
      </c>
      <c r="B19" s="16">
        <v>48778</v>
      </c>
      <c r="C19" s="11">
        <v>1.65</v>
      </c>
      <c r="D19" s="11">
        <v>0</v>
      </c>
      <c r="E19" s="51">
        <f t="shared" ca="1" si="1"/>
        <v>1.65</v>
      </c>
      <c r="F19" s="12">
        <f t="shared" ca="1" si="0"/>
        <v>6.5893962342507953E-2</v>
      </c>
    </row>
    <row r="20" spans="1:6" ht="15" customHeight="1">
      <c r="A20" s="11">
        <v>18</v>
      </c>
      <c r="B20" s="16">
        <v>48961</v>
      </c>
      <c r="C20" s="11">
        <v>1.65</v>
      </c>
      <c r="D20" s="11">
        <v>40</v>
      </c>
      <c r="E20" s="51">
        <f t="shared" ca="1" si="1"/>
        <v>41.65</v>
      </c>
      <c r="F20" s="12">
        <f t="shared" ca="1" si="0"/>
        <v>1.714500249649848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4" t="s">
        <v>48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-106.75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45825</v>
      </c>
      <c r="C3" s="11">
        <v>3.94</v>
      </c>
      <c r="D3" s="11">
        <v>0</v>
      </c>
      <c r="E3" s="51">
        <f ca="1">IF(B3&lt;=$B$2,0,(C3+D3))</f>
        <v>0</v>
      </c>
      <c r="F3" s="12">
        <f t="shared" ref="F3:F22" ca="1" si="0">(E3*(B3-$B$2)/365)/(1+$K$4)^((B3-$B$2)/365)/-$E$2/(1+$K$4)^$K$2</f>
        <v>0</v>
      </c>
      <c r="J3" s="13" t="s">
        <v>85</v>
      </c>
      <c r="K3" s="14">
        <f ca="1">SUM(F3:F24)</f>
        <v>6.3016378226815277</v>
      </c>
    </row>
    <row r="4" spans="1:11" ht="15" customHeight="1">
      <c r="A4" s="11">
        <v>2</v>
      </c>
      <c r="B4" s="26">
        <v>46007</v>
      </c>
      <c r="C4" s="11">
        <v>3.94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7.1567294001579296E-2</v>
      </c>
    </row>
    <row r="5" spans="1:11" ht="15" customHeight="1">
      <c r="A5" s="11">
        <v>3</v>
      </c>
      <c r="B5" s="16">
        <v>46189</v>
      </c>
      <c r="C5" s="11">
        <v>3.94</v>
      </c>
      <c r="D5" s="11">
        <v>0</v>
      </c>
      <c r="E5" s="51">
        <f t="shared" ca="1" si="1"/>
        <v>3.94</v>
      </c>
      <c r="F5" s="12">
        <f t="shared" ca="1" si="0"/>
        <v>1.1552060797977935E-2</v>
      </c>
    </row>
    <row r="6" spans="1:11" ht="15" customHeight="1">
      <c r="A6" s="11">
        <v>4</v>
      </c>
      <c r="B6" s="26">
        <v>46372</v>
      </c>
      <c r="C6" s="11">
        <v>3.94</v>
      </c>
      <c r="D6" s="11">
        <v>0</v>
      </c>
      <c r="E6" s="51">
        <f t="shared" ca="1" si="1"/>
        <v>3.94</v>
      </c>
      <c r="F6" s="12">
        <f t="shared" ca="1" si="0"/>
        <v>2.8034759305589779E-2</v>
      </c>
    </row>
    <row r="7" spans="1:11" ht="15" customHeight="1">
      <c r="A7" s="11">
        <v>5</v>
      </c>
      <c r="B7" s="16">
        <v>46554</v>
      </c>
      <c r="C7" s="11">
        <v>3.94</v>
      </c>
      <c r="D7" s="11">
        <v>0</v>
      </c>
      <c r="E7" s="51">
        <f t="shared" ca="1" si="1"/>
        <v>3.94</v>
      </c>
      <c r="F7" s="12">
        <f t="shared" ca="1" si="0"/>
        <v>4.3300300975338407E-2</v>
      </c>
    </row>
    <row r="8" spans="1:11" ht="15" customHeight="1">
      <c r="A8" s="11">
        <v>6</v>
      </c>
      <c r="B8" s="26">
        <v>46737</v>
      </c>
      <c r="C8" s="11">
        <v>3.94</v>
      </c>
      <c r="D8" s="11">
        <v>0</v>
      </c>
      <c r="E8" s="51">
        <f t="shared" ca="1" si="1"/>
        <v>3.94</v>
      </c>
      <c r="F8" s="12">
        <f t="shared" ca="1" si="0"/>
        <v>5.7574465680549559E-2</v>
      </c>
    </row>
    <row r="9" spans="1:11" ht="15" customHeight="1">
      <c r="A9" s="11">
        <v>7</v>
      </c>
      <c r="B9" s="16">
        <v>46920</v>
      </c>
      <c r="C9" s="11">
        <v>3.94</v>
      </c>
      <c r="D9" s="11">
        <v>0</v>
      </c>
      <c r="E9" s="51">
        <f t="shared" ca="1" si="1"/>
        <v>3.94</v>
      </c>
      <c r="F9" s="12">
        <f t="shared" ca="1" si="0"/>
        <v>7.0825972388147335E-2</v>
      </c>
    </row>
    <row r="10" spans="1:11" ht="15" customHeight="1">
      <c r="A10" s="11">
        <v>8</v>
      </c>
      <c r="B10" s="26">
        <v>47105</v>
      </c>
      <c r="C10" s="11">
        <v>3.94</v>
      </c>
      <c r="D10" s="11">
        <v>0</v>
      </c>
      <c r="E10" s="51">
        <f t="shared" ca="1" si="1"/>
        <v>3.94</v>
      </c>
      <c r="F10" s="12">
        <f t="shared" ca="1" si="0"/>
        <v>8.3236990555777227E-2</v>
      </c>
    </row>
    <row r="11" spans="1:11" ht="15" customHeight="1">
      <c r="A11" s="11">
        <v>9</v>
      </c>
      <c r="B11" s="16">
        <v>47288</v>
      </c>
      <c r="C11" s="11">
        <v>3.94</v>
      </c>
      <c r="D11" s="11">
        <v>0</v>
      </c>
      <c r="E11" s="51">
        <f t="shared" ca="1" si="1"/>
        <v>3.94</v>
      </c>
      <c r="F11" s="12">
        <f t="shared" ca="1" si="0"/>
        <v>9.4590298662188405E-2</v>
      </c>
    </row>
    <row r="12" spans="1:11" ht="15" customHeight="1">
      <c r="A12" s="11">
        <v>10</v>
      </c>
      <c r="B12" s="26">
        <v>47469</v>
      </c>
      <c r="C12" s="11">
        <v>3.94</v>
      </c>
      <c r="D12" s="11">
        <v>0</v>
      </c>
      <c r="E12" s="51">
        <f t="shared" ca="1" si="1"/>
        <v>3.94</v>
      </c>
      <c r="F12" s="12">
        <f t="shared" ca="1" si="0"/>
        <v>0.10496355807000185</v>
      </c>
    </row>
    <row r="13" spans="1:11" ht="15" customHeight="1">
      <c r="A13" s="11">
        <v>11</v>
      </c>
      <c r="B13" s="16">
        <v>47652</v>
      </c>
      <c r="C13" s="11">
        <v>3.94</v>
      </c>
      <c r="D13" s="11">
        <v>0</v>
      </c>
      <c r="E13" s="51">
        <f t="shared" ca="1" si="1"/>
        <v>3.94</v>
      </c>
      <c r="F13" s="12">
        <f t="shared" ca="1" si="0"/>
        <v>0.11463170145877107</v>
      </c>
    </row>
    <row r="14" spans="1:11" ht="15" customHeight="1">
      <c r="A14" s="11">
        <v>12</v>
      </c>
      <c r="B14" s="26">
        <v>47833</v>
      </c>
      <c r="C14" s="11">
        <v>3.94</v>
      </c>
      <c r="D14" s="11">
        <v>0</v>
      </c>
      <c r="E14" s="51">
        <f t="shared" ca="1" si="1"/>
        <v>3.94</v>
      </c>
      <c r="F14" s="12">
        <f t="shared" ca="1" si="0"/>
        <v>0.12342635787519333</v>
      </c>
    </row>
    <row r="15" spans="1:11" ht="15" customHeight="1">
      <c r="A15" s="11">
        <v>13</v>
      </c>
      <c r="B15" s="16">
        <v>48016</v>
      </c>
      <c r="C15" s="11">
        <v>3.94</v>
      </c>
      <c r="D15" s="11">
        <v>0</v>
      </c>
      <c r="E15" s="51">
        <f t="shared" ca="1" si="1"/>
        <v>3.94</v>
      </c>
      <c r="F15" s="12">
        <f t="shared" ca="1" si="0"/>
        <v>0.13158346217803235</v>
      </c>
    </row>
    <row r="16" spans="1:11" ht="15" customHeight="1">
      <c r="A16" s="11">
        <v>14</v>
      </c>
      <c r="B16" s="26">
        <v>48198</v>
      </c>
      <c r="C16" s="11">
        <v>3.94</v>
      </c>
      <c r="D16" s="11">
        <v>0</v>
      </c>
      <c r="E16" s="51">
        <f t="shared" ca="1" si="1"/>
        <v>3.94</v>
      </c>
      <c r="F16" s="12">
        <f t="shared" ca="1" si="0"/>
        <v>0.13900273893920118</v>
      </c>
    </row>
    <row r="17" spans="1:6" ht="15" customHeight="1">
      <c r="A17" s="11">
        <v>15</v>
      </c>
      <c r="B17" s="16">
        <v>48381</v>
      </c>
      <c r="C17" s="11">
        <v>3.94</v>
      </c>
      <c r="D17" s="11">
        <v>0</v>
      </c>
      <c r="E17" s="51">
        <f t="shared" ca="1" si="1"/>
        <v>3.94</v>
      </c>
      <c r="F17" s="12">
        <f t="shared" ca="1" si="0"/>
        <v>0.14580369820577077</v>
      </c>
    </row>
    <row r="18" spans="1:6" ht="15" customHeight="1">
      <c r="A18" s="11">
        <v>16</v>
      </c>
      <c r="B18" s="26">
        <v>48564</v>
      </c>
      <c r="C18" s="11">
        <v>3.94</v>
      </c>
      <c r="D18" s="11">
        <v>0</v>
      </c>
      <c r="E18" s="51">
        <f t="shared" ca="1" si="1"/>
        <v>3.94</v>
      </c>
      <c r="F18" s="12">
        <f t="shared" ca="1" si="0"/>
        <v>0.15198007010912803</v>
      </c>
    </row>
    <row r="19" spans="1:6" ht="15" customHeight="1">
      <c r="A19" s="11">
        <v>17</v>
      </c>
      <c r="B19" s="16">
        <v>48746</v>
      </c>
      <c r="C19" s="11">
        <v>3.94</v>
      </c>
      <c r="D19" s="11">
        <v>0</v>
      </c>
      <c r="E19" s="51">
        <f t="shared" ca="1" si="1"/>
        <v>3.94</v>
      </c>
      <c r="F19" s="12">
        <f t="shared" ca="1" si="0"/>
        <v>0.15753752922708211</v>
      </c>
    </row>
    <row r="20" spans="1:6" ht="15" customHeight="1">
      <c r="A20" s="11">
        <v>18</v>
      </c>
      <c r="B20" s="26">
        <v>48929</v>
      </c>
      <c r="C20" s="11">
        <v>3.94</v>
      </c>
      <c r="D20" s="11">
        <v>0</v>
      </c>
      <c r="E20" s="51">
        <f t="shared" ca="1" si="1"/>
        <v>3.94</v>
      </c>
      <c r="F20" s="12">
        <f t="shared" ca="1" si="0"/>
        <v>0.16257002314246127</v>
      </c>
    </row>
    <row r="21" spans="1:6" ht="15" customHeight="1">
      <c r="A21" s="11">
        <v>19</v>
      </c>
      <c r="B21" s="16">
        <v>49111</v>
      </c>
      <c r="C21" s="11">
        <v>3.94</v>
      </c>
      <c r="D21" s="11">
        <v>0</v>
      </c>
      <c r="E21" s="51">
        <f t="shared" ca="1" si="1"/>
        <v>3.94</v>
      </c>
      <c r="F21" s="12">
        <f t="shared" ca="1" si="0"/>
        <v>0.16705364641119677</v>
      </c>
    </row>
    <row r="22" spans="1:6" ht="15" customHeight="1">
      <c r="A22" s="11">
        <v>20</v>
      </c>
      <c r="B22" s="26">
        <v>49296</v>
      </c>
      <c r="C22" s="11">
        <v>3.94</v>
      </c>
      <c r="D22" s="11">
        <v>100</v>
      </c>
      <c r="E22" s="51">
        <f t="shared" ca="1" si="1"/>
        <v>103.94</v>
      </c>
      <c r="F22" s="12">
        <f t="shared" ca="1" si="0"/>
        <v>4.5139701886991199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91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-16.498999999999999</v>
      </c>
      <c r="J2" s="13" t="s">
        <v>84</v>
      </c>
      <c r="K2" s="13">
        <v>0.5</v>
      </c>
    </row>
    <row r="3" spans="1:11" ht="15" customHeight="1">
      <c r="A3" s="11">
        <v>8</v>
      </c>
      <c r="B3" s="16">
        <v>45810</v>
      </c>
      <c r="C3" s="11">
        <v>3.16</v>
      </c>
      <c r="D3" s="11">
        <v>10</v>
      </c>
      <c r="E3" s="51">
        <f ca="1">IF(B3&lt;=$B$2,0,(C3+D3))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SUM(F3:F24)</f>
        <v>0.37045244847603215</v>
      </c>
    </row>
    <row r="4" spans="1:11" ht="15" customHeight="1">
      <c r="A4" s="11">
        <v>9</v>
      </c>
      <c r="B4" s="16">
        <v>45992</v>
      </c>
      <c r="C4" s="11">
        <v>2.67</v>
      </c>
      <c r="D4" s="11">
        <v>10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2.5212826967239383</v>
      </c>
    </row>
    <row r="5" spans="1:11" ht="15" customHeight="1">
      <c r="A5" s="11">
        <v>10</v>
      </c>
      <c r="B5" s="16">
        <v>46174</v>
      </c>
      <c r="C5" s="11">
        <v>2.17</v>
      </c>
      <c r="D5" s="11">
        <v>10</v>
      </c>
      <c r="E5" s="51">
        <f t="shared" ca="1" si="1"/>
        <v>12.17</v>
      </c>
      <c r="F5" s="12">
        <f t="shared" ca="1" si="0"/>
        <v>7.9200437335235213E-2</v>
      </c>
    </row>
    <row r="6" spans="1:11" ht="15" customHeight="1">
      <c r="A6" s="11">
        <v>11</v>
      </c>
      <c r="B6" s="16">
        <v>46357</v>
      </c>
      <c r="C6" s="11">
        <v>1.68</v>
      </c>
      <c r="D6" s="11">
        <v>10</v>
      </c>
      <c r="E6" s="51">
        <f t="shared" ca="1" si="1"/>
        <v>11.68</v>
      </c>
      <c r="F6" s="12">
        <f t="shared" ca="1" si="0"/>
        <v>0.11024844434812463</v>
      </c>
    </row>
    <row r="7" spans="1:11" ht="15" customHeight="1">
      <c r="A7" s="11">
        <v>12</v>
      </c>
      <c r="B7" s="16">
        <v>46539</v>
      </c>
      <c r="C7" s="11">
        <v>1.19</v>
      </c>
      <c r="D7" s="11">
        <v>10</v>
      </c>
      <c r="E7" s="51">
        <f t="shared" ca="1" si="1"/>
        <v>11.19</v>
      </c>
      <c r="F7" s="12">
        <f t="shared" ca="1" si="0"/>
        <v>9.1892747618301518E-2</v>
      </c>
    </row>
    <row r="8" spans="1:11" ht="15" customHeight="1">
      <c r="A8" s="11">
        <v>13</v>
      </c>
      <c r="B8" s="16">
        <v>46722</v>
      </c>
      <c r="C8" s="11">
        <v>0.69</v>
      </c>
      <c r="D8" s="11">
        <v>14</v>
      </c>
      <c r="E8" s="51">
        <f t="shared" ca="1" si="1"/>
        <v>14.69</v>
      </c>
      <c r="F8" s="12">
        <f t="shared" ca="1" si="0"/>
        <v>8.9110819174370817E-2</v>
      </c>
    </row>
    <row r="9" spans="1:11" ht="15" customHeight="1">
      <c r="A9" s="11"/>
      <c r="B9" s="27"/>
      <c r="C9" s="11"/>
      <c r="D9" s="11"/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5" t="s">
        <v>92</v>
      </c>
      <c r="C1" s="3" t="s">
        <v>81</v>
      </c>
      <c r="D1" s="3" t="s">
        <v>82</v>
      </c>
      <c r="E1" s="1" t="s">
        <v>83</v>
      </c>
    </row>
    <row r="2" spans="1:11" ht="15" customHeight="1">
      <c r="A2" s="31"/>
      <c r="B2" s="22">
        <f ca="1">Main!D1</f>
        <v>46068</v>
      </c>
      <c r="C2" s="31"/>
      <c r="D2" s="31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10</v>
      </c>
      <c r="B3" s="28">
        <v>45875</v>
      </c>
      <c r="C3" s="7">
        <v>1.45</v>
      </c>
      <c r="D3" s="7">
        <v>34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SUM(F3)</f>
        <v>#VALUE!</v>
      </c>
    </row>
    <row r="4" spans="1:11" ht="15.6">
      <c r="E4" s="51">
        <f t="shared" ref="E4:E24" ca="1" si="0">IF(B4&lt;=$B$2,0,(C4+D4))</f>
        <v>0</v>
      </c>
      <c r="J4" s="1" t="s">
        <v>4</v>
      </c>
      <c r="K4" s="2" t="e">
        <f ca="1">XIRR(E2:E3,B2:B3)</f>
        <v>#VALUE!</v>
      </c>
    </row>
    <row r="5" spans="1:11" ht="15" customHeight="1">
      <c r="E5" s="51">
        <f t="shared" ca="1" si="0"/>
        <v>0</v>
      </c>
      <c r="J5" s="15" t="s">
        <v>86</v>
      </c>
    </row>
    <row r="6" spans="1:11" ht="15" customHeight="1">
      <c r="E6" s="51">
        <f t="shared" ca="1" si="0"/>
        <v>0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2000-000000000000}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21" t="s">
        <v>29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B2" s="22">
        <f ca="1">Main!D1</f>
        <v>46068</v>
      </c>
      <c r="E2" s="8" cm="1">
        <f t="array" ref="E2">-_xll.PrecioBD(A1,"24","ASK","N")</f>
        <v>-107.15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45771</v>
      </c>
      <c r="C3" s="11">
        <v>4.8600000000000003</v>
      </c>
      <c r="D3" s="11">
        <v>0</v>
      </c>
      <c r="E3" s="51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85</v>
      </c>
      <c r="K3" s="14">
        <f ca="1">SUM(F3:F24)</f>
        <v>2.9700446881628433</v>
      </c>
    </row>
    <row r="4" spans="1:11" ht="15" customHeight="1">
      <c r="A4" s="11">
        <v>2</v>
      </c>
      <c r="B4" s="26">
        <v>45954</v>
      </c>
      <c r="C4" s="11">
        <v>4.8899999999999997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8.5928508639335613E-2</v>
      </c>
    </row>
    <row r="5" spans="1:11" ht="15" customHeight="1">
      <c r="A5" s="11">
        <v>3</v>
      </c>
      <c r="B5" s="16">
        <v>46136</v>
      </c>
      <c r="C5" s="11">
        <v>4.8600000000000003</v>
      </c>
      <c r="D5" s="11">
        <v>0</v>
      </c>
      <c r="E5" s="51">
        <f t="shared" ca="1" si="1"/>
        <v>4.8600000000000003</v>
      </c>
      <c r="F5" s="12">
        <f t="shared" ca="1" si="0"/>
        <v>7.9852718480180208E-3</v>
      </c>
    </row>
    <row r="6" spans="1:11" ht="15" customHeight="1">
      <c r="A6" s="11">
        <v>4</v>
      </c>
      <c r="B6" s="26">
        <v>46321</v>
      </c>
      <c r="C6" s="11">
        <v>4.8899999999999997</v>
      </c>
      <c r="D6" s="11">
        <v>0</v>
      </c>
      <c r="E6" s="51">
        <f t="shared" ca="1" si="1"/>
        <v>4.8899999999999997</v>
      </c>
      <c r="F6" s="12">
        <f t="shared" ca="1" si="0"/>
        <v>2.8670025072454322E-2</v>
      </c>
    </row>
    <row r="7" spans="1:11" ht="15" customHeight="1">
      <c r="A7" s="11">
        <v>5</v>
      </c>
      <c r="B7" s="16">
        <v>46503</v>
      </c>
      <c r="C7" s="11">
        <v>4.8600000000000003</v>
      </c>
      <c r="D7" s="11">
        <v>0</v>
      </c>
      <c r="E7" s="51">
        <f t="shared" ca="1" si="1"/>
        <v>4.8600000000000003</v>
      </c>
      <c r="F7" s="12">
        <f t="shared" ca="1" si="0"/>
        <v>4.70189194269015E-2</v>
      </c>
    </row>
    <row r="8" spans="1:11" ht="15" customHeight="1">
      <c r="A8" s="11">
        <v>6</v>
      </c>
      <c r="B8" s="26">
        <v>46685</v>
      </c>
      <c r="C8" s="11">
        <v>4.8899999999999997</v>
      </c>
      <c r="D8" s="11">
        <v>0</v>
      </c>
      <c r="E8" s="51">
        <f t="shared" ca="1" si="1"/>
        <v>4.8899999999999997</v>
      </c>
      <c r="F8" s="12">
        <f t="shared" ca="1" si="0"/>
        <v>6.4400548529363263E-2</v>
      </c>
    </row>
    <row r="9" spans="1:11" ht="15" customHeight="1">
      <c r="A9" s="11">
        <v>7</v>
      </c>
      <c r="B9" s="16">
        <v>46867</v>
      </c>
      <c r="C9" s="11">
        <v>4.8899999999999997</v>
      </c>
      <c r="D9" s="11">
        <v>0</v>
      </c>
      <c r="E9" s="51">
        <f t="shared" ca="1" si="1"/>
        <v>4.8899999999999997</v>
      </c>
      <c r="F9" s="12">
        <f t="shared" ca="1" si="0"/>
        <v>8.0038622784832369E-2</v>
      </c>
    </row>
    <row r="10" spans="1:11" ht="15" customHeight="1">
      <c r="A10" s="11">
        <v>8</v>
      </c>
      <c r="B10" s="26">
        <v>47050</v>
      </c>
      <c r="C10" s="11">
        <v>4.8899999999999997</v>
      </c>
      <c r="D10" s="11">
        <v>33.33</v>
      </c>
      <c r="E10" s="51">
        <f t="shared" ca="1" si="1"/>
        <v>38.22</v>
      </c>
      <c r="F10" s="12">
        <f t="shared" ca="1" si="0"/>
        <v>0.73772836004377362</v>
      </c>
    </row>
    <row r="11" spans="1:11" ht="15" customHeight="1">
      <c r="A11" s="11">
        <v>9</v>
      </c>
      <c r="B11" s="16">
        <v>47232</v>
      </c>
      <c r="C11" s="11">
        <v>3.24</v>
      </c>
      <c r="D11" s="11">
        <v>0</v>
      </c>
      <c r="E11" s="51">
        <f t="shared" ca="1" si="1"/>
        <v>3.24</v>
      </c>
      <c r="F11" s="12">
        <f t="shared" ca="1" si="0"/>
        <v>7.1144400567727223E-2</v>
      </c>
    </row>
    <row r="12" spans="1:11" ht="15" customHeight="1">
      <c r="A12" s="11">
        <v>10</v>
      </c>
      <c r="B12" s="26">
        <v>47415</v>
      </c>
      <c r="C12" s="11">
        <v>3.26</v>
      </c>
      <c r="D12" s="11">
        <v>33.33</v>
      </c>
      <c r="E12" s="51">
        <f t="shared" ca="1" si="1"/>
        <v>36.589999999999996</v>
      </c>
      <c r="F12" s="12">
        <f t="shared" ca="1" si="0"/>
        <v>0.89211959609719116</v>
      </c>
    </row>
    <row r="13" spans="1:11" ht="15" customHeight="1">
      <c r="A13" s="11">
        <v>11</v>
      </c>
      <c r="B13" s="16">
        <v>47597</v>
      </c>
      <c r="C13" s="11">
        <v>1.62</v>
      </c>
      <c r="D13" s="11">
        <v>0</v>
      </c>
      <c r="E13" s="51">
        <f t="shared" ca="1" si="1"/>
        <v>1.62</v>
      </c>
      <c r="F13" s="12">
        <f t="shared" ca="1" si="0"/>
        <v>4.3029272081660463E-2</v>
      </c>
    </row>
    <row r="14" spans="1:11" ht="15" customHeight="1">
      <c r="A14" s="11">
        <v>12</v>
      </c>
      <c r="B14" s="26">
        <v>47780</v>
      </c>
      <c r="C14" s="11">
        <v>1.63</v>
      </c>
      <c r="D14" s="11">
        <v>33.340000000000003</v>
      </c>
      <c r="E14" s="51">
        <f t="shared" ca="1" si="1"/>
        <v>34.970000000000006</v>
      </c>
      <c r="F14" s="12">
        <f t="shared" ca="1" si="0"/>
        <v>0.99790967171092115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8.69921875" customWidth="1"/>
  </cols>
  <sheetData>
    <row r="1" spans="1:11" ht="15" customHeight="1">
      <c r="A1" s="5" t="s">
        <v>33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-109.95</v>
      </c>
      <c r="J2" s="13" t="s">
        <v>84</v>
      </c>
      <c r="K2" s="13">
        <v>0.5</v>
      </c>
    </row>
    <row r="3" spans="1:11" ht="15" customHeight="1">
      <c r="A3" s="11">
        <v>2</v>
      </c>
      <c r="B3" s="16">
        <v>45862</v>
      </c>
      <c r="C3" s="11">
        <v>4.25</v>
      </c>
      <c r="D3" s="11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SUM(F3:F24)</f>
        <v>4.3559698511727287</v>
      </c>
    </row>
    <row r="4" spans="1:11" ht="15" customHeight="1">
      <c r="A4" s="11">
        <v>3</v>
      </c>
      <c r="B4" s="16">
        <v>46048</v>
      </c>
      <c r="C4" s="11">
        <v>4.25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6.5198668837547311E-2</v>
      </c>
    </row>
    <row r="5" spans="1:11" ht="15" customHeight="1">
      <c r="A5" s="11">
        <v>4</v>
      </c>
      <c r="B5" s="16">
        <v>46227</v>
      </c>
      <c r="C5" s="11">
        <v>4.25</v>
      </c>
      <c r="D5" s="11">
        <v>0</v>
      </c>
      <c r="E5" s="51">
        <f t="shared" ca="1" si="1"/>
        <v>4.25</v>
      </c>
      <c r="F5" s="12">
        <f t="shared" ca="1" si="0"/>
        <v>1.5872064580417636E-2</v>
      </c>
    </row>
    <row r="6" spans="1:11" ht="15" customHeight="1">
      <c r="A6" s="11">
        <v>5</v>
      </c>
      <c r="B6" s="16">
        <v>46412</v>
      </c>
      <c r="C6" s="11">
        <v>4.25</v>
      </c>
      <c r="D6" s="11">
        <v>0</v>
      </c>
      <c r="E6" s="51">
        <f t="shared" ca="1" si="1"/>
        <v>4.25</v>
      </c>
      <c r="F6" s="12">
        <f t="shared" ca="1" si="0"/>
        <v>3.3257649475650249E-2</v>
      </c>
    </row>
    <row r="7" spans="1:11" ht="15" customHeight="1">
      <c r="A7" s="11">
        <v>6</v>
      </c>
      <c r="B7" s="16">
        <v>46594</v>
      </c>
      <c r="C7" s="11">
        <v>4.25</v>
      </c>
      <c r="D7" s="11">
        <v>0</v>
      </c>
      <c r="E7" s="51">
        <f t="shared" ca="1" si="1"/>
        <v>4.25</v>
      </c>
      <c r="F7" s="12">
        <f t="shared" ca="1" si="0"/>
        <v>4.9276643945508604E-2</v>
      </c>
    </row>
    <row r="8" spans="1:11" ht="15" customHeight="1">
      <c r="A8" s="11">
        <v>7</v>
      </c>
      <c r="B8" s="16">
        <v>46776</v>
      </c>
      <c r="C8" s="11">
        <v>4.25</v>
      </c>
      <c r="D8" s="11">
        <v>0</v>
      </c>
      <c r="E8" s="51">
        <f t="shared" ca="1" si="1"/>
        <v>4.25</v>
      </c>
      <c r="F8" s="12">
        <f t="shared" ca="1" si="0"/>
        <v>6.4270385393026846E-2</v>
      </c>
    </row>
    <row r="9" spans="1:11" ht="15" customHeight="1">
      <c r="A9" s="11">
        <v>8</v>
      </c>
      <c r="B9" s="16">
        <v>46958</v>
      </c>
      <c r="C9" s="11">
        <v>4.25</v>
      </c>
      <c r="D9" s="11">
        <v>0</v>
      </c>
      <c r="E9" s="51">
        <f t="shared" ca="1" si="1"/>
        <v>4.25</v>
      </c>
      <c r="F9" s="12">
        <f t="shared" ca="1" si="0"/>
        <v>7.8287048810169776E-2</v>
      </c>
    </row>
    <row r="10" spans="1:11" ht="15" customHeight="1">
      <c r="A10" s="11">
        <v>9</v>
      </c>
      <c r="B10" s="16">
        <v>47142</v>
      </c>
      <c r="C10" s="11">
        <v>4.25</v>
      </c>
      <c r="D10" s="11">
        <v>0</v>
      </c>
      <c r="E10" s="51">
        <f t="shared" ca="1" si="1"/>
        <v>4.25</v>
      </c>
      <c r="F10" s="12">
        <f t="shared" ca="1" si="0"/>
        <v>9.1511602471349429E-2</v>
      </c>
    </row>
    <row r="11" spans="1:11" ht="15" customHeight="1">
      <c r="A11" s="11">
        <v>10</v>
      </c>
      <c r="B11" s="16">
        <v>47323</v>
      </c>
      <c r="C11" s="11">
        <v>4.25</v>
      </c>
      <c r="D11" s="11">
        <v>0</v>
      </c>
      <c r="E11" s="51">
        <f t="shared" ca="1" si="1"/>
        <v>4.25</v>
      </c>
      <c r="F11" s="12">
        <f t="shared" ca="1" si="0"/>
        <v>0.10363656879183969</v>
      </c>
    </row>
    <row r="12" spans="1:11" ht="15" customHeight="1">
      <c r="A12" s="11">
        <v>11</v>
      </c>
      <c r="B12" s="16">
        <v>47507</v>
      </c>
      <c r="C12" s="11">
        <v>4.25</v>
      </c>
      <c r="D12" s="11">
        <v>0</v>
      </c>
      <c r="E12" s="51">
        <f t="shared" ca="1" si="1"/>
        <v>4.25</v>
      </c>
      <c r="F12" s="12">
        <f t="shared" ca="1" si="0"/>
        <v>0.11510708554678464</v>
      </c>
    </row>
    <row r="13" spans="1:11" ht="15" customHeight="1">
      <c r="A13" s="11">
        <v>12</v>
      </c>
      <c r="B13" s="16">
        <v>47688</v>
      </c>
      <c r="C13" s="11">
        <v>4.25</v>
      </c>
      <c r="D13" s="11">
        <v>0</v>
      </c>
      <c r="E13" s="51">
        <f t="shared" ca="1" si="1"/>
        <v>4.25</v>
      </c>
      <c r="F13" s="12">
        <f t="shared" ca="1" si="0"/>
        <v>0.12558960646628048</v>
      </c>
    </row>
    <row r="14" spans="1:11" ht="15" customHeight="1">
      <c r="A14" s="11">
        <v>13</v>
      </c>
      <c r="B14" s="16">
        <v>47872</v>
      </c>
      <c r="C14" s="11">
        <v>4.25</v>
      </c>
      <c r="D14" s="11">
        <v>0</v>
      </c>
      <c r="E14" s="51">
        <f t="shared" ca="1" si="1"/>
        <v>4.25</v>
      </c>
      <c r="F14" s="12">
        <f t="shared" ca="1" si="0"/>
        <v>0.13547126375429649</v>
      </c>
    </row>
    <row r="15" spans="1:11" ht="15" customHeight="1">
      <c r="A15" s="11">
        <v>14</v>
      </c>
      <c r="B15" s="16">
        <v>48053</v>
      </c>
      <c r="C15" s="11">
        <v>4.25</v>
      </c>
      <c r="D15" s="11">
        <v>100</v>
      </c>
      <c r="E15" s="51">
        <f t="shared" ca="1" si="1"/>
        <v>104.25</v>
      </c>
      <c r="F15" s="12">
        <f t="shared" ca="1" si="0"/>
        <v>3.5436899319374051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K25"/>
  <sheetViews>
    <sheetView workbookViewId="0">
      <selection activeCell="B2" sqref="B2"/>
    </sheetView>
  </sheetViews>
  <sheetFormatPr baseColWidth="10" defaultColWidth="12.59765625" defaultRowHeight="15" customHeight="1"/>
  <cols>
    <col min="10" max="10" width="19.59765625" bestFit="1" customWidth="1"/>
  </cols>
  <sheetData>
    <row r="1" spans="1:11" ht="15" customHeight="1">
      <c r="A1" s="5" t="s">
        <v>51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-106.05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45818</v>
      </c>
      <c r="C3" s="11">
        <v>3.81</v>
      </c>
      <c r="D3" s="11">
        <v>0</v>
      </c>
      <c r="E3" s="51">
        <f ca="1">IF(B3&lt;=$B$2,0,(C3+D3))</f>
        <v>0</v>
      </c>
      <c r="F3" s="12">
        <f t="shared" ref="F3:F24" ca="1" si="0">(E3*(B3-$B$2)/365)/(1+$K$4)^((B3-$B$2)/365)/-$E$2/(1+$K$4)^$K$2</f>
        <v>0</v>
      </c>
      <c r="J3" s="13" t="s">
        <v>85</v>
      </c>
      <c r="K3" s="14">
        <f ca="1">SUM(F3:F24)</f>
        <v>6.3325002677110005</v>
      </c>
    </row>
    <row r="4" spans="1:11" ht="15" customHeight="1">
      <c r="A4" s="11">
        <v>2</v>
      </c>
      <c r="B4" s="26">
        <v>46001</v>
      </c>
      <c r="C4" s="11">
        <v>3.81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7.0167872309684742E-2</v>
      </c>
    </row>
    <row r="5" spans="1:11" ht="15" customHeight="1">
      <c r="A5" s="11">
        <v>3</v>
      </c>
      <c r="B5" s="16">
        <v>46183</v>
      </c>
      <c r="C5" s="11">
        <v>3.81</v>
      </c>
      <c r="D5" s="11">
        <v>0</v>
      </c>
      <c r="E5" s="51">
        <f t="shared" ca="1" si="1"/>
        <v>3.81</v>
      </c>
      <c r="F5" s="12">
        <f t="shared" ca="1" si="0"/>
        <v>1.0710603832876186E-2</v>
      </c>
    </row>
    <row r="6" spans="1:11" ht="15" customHeight="1">
      <c r="A6" s="11">
        <v>4</v>
      </c>
      <c r="B6" s="26">
        <v>46366</v>
      </c>
      <c r="C6" s="11">
        <v>3.81</v>
      </c>
      <c r="D6" s="11">
        <v>0</v>
      </c>
      <c r="E6" s="51">
        <f t="shared" ca="1" si="1"/>
        <v>3.81</v>
      </c>
      <c r="F6" s="12">
        <f t="shared" ca="1" si="0"/>
        <v>2.6826627568086323E-2</v>
      </c>
    </row>
    <row r="7" spans="1:11" ht="15" customHeight="1">
      <c r="A7" s="11">
        <v>5</v>
      </c>
      <c r="B7" s="16">
        <v>46548</v>
      </c>
      <c r="C7" s="11">
        <v>3.81</v>
      </c>
      <c r="D7" s="11">
        <v>0</v>
      </c>
      <c r="E7" s="51">
        <f t="shared" ca="1" si="1"/>
        <v>3.81</v>
      </c>
      <c r="F7" s="12">
        <f t="shared" ca="1" si="0"/>
        <v>4.1773940517468099E-2</v>
      </c>
    </row>
    <row r="8" spans="1:11" ht="15" customHeight="1">
      <c r="A8" s="11">
        <v>6</v>
      </c>
      <c r="B8" s="26">
        <v>46731</v>
      </c>
      <c r="C8" s="11">
        <v>3.81</v>
      </c>
      <c r="D8" s="11">
        <v>0</v>
      </c>
      <c r="E8" s="51">
        <f t="shared" ca="1" si="1"/>
        <v>3.81</v>
      </c>
      <c r="F8" s="12">
        <f t="shared" ca="1" si="0"/>
        <v>5.5771385752937705E-2</v>
      </c>
    </row>
    <row r="9" spans="1:11" ht="15" customHeight="1">
      <c r="A9" s="11">
        <v>7</v>
      </c>
      <c r="B9" s="16">
        <v>46916</v>
      </c>
      <c r="C9" s="11">
        <v>3.81</v>
      </c>
      <c r="D9" s="11">
        <v>0</v>
      </c>
      <c r="E9" s="51">
        <f t="shared" ca="1" si="1"/>
        <v>3.81</v>
      </c>
      <c r="F9" s="12">
        <f t="shared" ca="1" si="0"/>
        <v>6.8923302634986874E-2</v>
      </c>
    </row>
    <row r="10" spans="1:11" ht="15" customHeight="1">
      <c r="A10" s="11">
        <v>8</v>
      </c>
      <c r="B10" s="26">
        <v>47098</v>
      </c>
      <c r="C10" s="11">
        <v>3.81</v>
      </c>
      <c r="D10" s="11">
        <v>0</v>
      </c>
      <c r="E10" s="51">
        <f t="shared" ca="1" si="1"/>
        <v>3.81</v>
      </c>
      <c r="F10" s="12">
        <f t="shared" ca="1" si="0"/>
        <v>8.0932292549754745E-2</v>
      </c>
    </row>
    <row r="11" spans="1:11" ht="15" customHeight="1">
      <c r="A11" s="11">
        <v>9</v>
      </c>
      <c r="B11" s="16">
        <v>47280</v>
      </c>
      <c r="C11" s="11">
        <v>3.81</v>
      </c>
      <c r="D11" s="11">
        <v>0</v>
      </c>
      <c r="E11" s="51">
        <f t="shared" ca="1" si="1"/>
        <v>3.81</v>
      </c>
      <c r="F11" s="12">
        <f t="shared" ca="1" si="0"/>
        <v>9.2066498982254621E-2</v>
      </c>
    </row>
    <row r="12" spans="1:11" ht="15" customHeight="1">
      <c r="A12" s="11">
        <v>10</v>
      </c>
      <c r="B12" s="26">
        <v>47462</v>
      </c>
      <c r="C12" s="11">
        <v>3.81</v>
      </c>
      <c r="D12" s="11">
        <v>0</v>
      </c>
      <c r="E12" s="51">
        <f t="shared" ca="1" si="1"/>
        <v>3.81</v>
      </c>
      <c r="F12" s="12">
        <f t="shared" ca="1" si="0"/>
        <v>0.1023708179007401</v>
      </c>
    </row>
    <row r="13" spans="1:11" ht="15" customHeight="1">
      <c r="A13" s="11">
        <v>11</v>
      </c>
      <c r="B13" s="16">
        <v>47644</v>
      </c>
      <c r="C13" s="11">
        <v>3.81</v>
      </c>
      <c r="D13" s="11">
        <v>0</v>
      </c>
      <c r="E13" s="51">
        <f t="shared" ca="1" si="1"/>
        <v>3.81</v>
      </c>
      <c r="F13" s="12">
        <f t="shared" ca="1" si="0"/>
        <v>0.11188812683416567</v>
      </c>
    </row>
    <row r="14" spans="1:11" ht="15" customHeight="1">
      <c r="A14" s="11">
        <v>12</v>
      </c>
      <c r="B14" s="26">
        <v>47827</v>
      </c>
      <c r="C14" s="11">
        <v>3.81</v>
      </c>
      <c r="D14" s="11">
        <v>0</v>
      </c>
      <c r="E14" s="51">
        <f t="shared" ca="1" si="1"/>
        <v>3.81</v>
      </c>
      <c r="F14" s="12">
        <f t="shared" ca="1" si="0"/>
        <v>0.12070557522423032</v>
      </c>
    </row>
    <row r="15" spans="1:11" ht="15" customHeight="1">
      <c r="A15" s="11">
        <v>13</v>
      </c>
      <c r="B15" s="16">
        <v>48009</v>
      </c>
      <c r="C15" s="11">
        <v>3.81</v>
      </c>
      <c r="D15" s="11">
        <v>0</v>
      </c>
      <c r="E15" s="51">
        <f t="shared" ca="1" si="1"/>
        <v>3.81</v>
      </c>
      <c r="F15" s="12">
        <f t="shared" ca="1" si="0"/>
        <v>0.12876606276690261</v>
      </c>
    </row>
    <row r="16" spans="1:11" ht="15" customHeight="1">
      <c r="A16" s="11">
        <v>14</v>
      </c>
      <c r="B16" s="26">
        <v>48192</v>
      </c>
      <c r="C16" s="11">
        <v>3.81</v>
      </c>
      <c r="D16" s="11">
        <v>0</v>
      </c>
      <c r="E16" s="51">
        <f t="shared" ca="1" si="1"/>
        <v>3.81</v>
      </c>
      <c r="F16" s="12">
        <f t="shared" ca="1" si="0"/>
        <v>0.13619591889958296</v>
      </c>
    </row>
    <row r="17" spans="1:6" ht="15" customHeight="1">
      <c r="A17" s="11">
        <v>15</v>
      </c>
      <c r="B17" s="16">
        <v>48375</v>
      </c>
      <c r="C17" s="11">
        <v>3.81</v>
      </c>
      <c r="D17" s="11">
        <v>0</v>
      </c>
      <c r="E17" s="51">
        <f t="shared" ca="1" si="1"/>
        <v>3.81</v>
      </c>
      <c r="F17" s="12">
        <f t="shared" ca="1" si="0"/>
        <v>0.14298513073541916</v>
      </c>
    </row>
    <row r="18" spans="1:6" ht="15" customHeight="1">
      <c r="A18" s="11">
        <v>16</v>
      </c>
      <c r="B18" s="26">
        <v>48558</v>
      </c>
      <c r="C18" s="11">
        <v>3.81</v>
      </c>
      <c r="D18" s="11">
        <v>0</v>
      </c>
      <c r="E18" s="51">
        <f t="shared" ca="1" si="1"/>
        <v>3.81</v>
      </c>
      <c r="F18" s="12">
        <f t="shared" ca="1" si="0"/>
        <v>0.14916822772652646</v>
      </c>
    </row>
    <row r="19" spans="1:6" ht="15" customHeight="1">
      <c r="A19" s="11">
        <v>17</v>
      </c>
      <c r="B19" s="16">
        <v>48740</v>
      </c>
      <c r="C19" s="11">
        <v>3.81</v>
      </c>
      <c r="D19" s="11">
        <v>0</v>
      </c>
      <c r="E19" s="51">
        <f t="shared" ca="1" si="1"/>
        <v>3.81</v>
      </c>
      <c r="F19" s="12">
        <f t="shared" ca="1" si="0"/>
        <v>0.15474899145474633</v>
      </c>
    </row>
    <row r="20" spans="1:6" ht="15" customHeight="1">
      <c r="A20" s="11">
        <v>18</v>
      </c>
      <c r="B20" s="26">
        <v>48925</v>
      </c>
      <c r="C20" s="11">
        <v>3.81</v>
      </c>
      <c r="D20" s="11">
        <v>33</v>
      </c>
      <c r="E20" s="51">
        <f t="shared" ca="1" si="1"/>
        <v>36.81</v>
      </c>
      <c r="F20" s="12">
        <f t="shared" ca="1" si="0"/>
        <v>1.5445955376351255</v>
      </c>
    </row>
    <row r="21" spans="1:6" ht="15" customHeight="1">
      <c r="A21" s="11">
        <v>19</v>
      </c>
      <c r="B21" s="16">
        <v>49107</v>
      </c>
      <c r="C21" s="11">
        <v>2.5499999999999998</v>
      </c>
      <c r="D21" s="11">
        <v>0</v>
      </c>
      <c r="E21" s="51">
        <f t="shared" ca="1" si="1"/>
        <v>2.5499999999999998</v>
      </c>
      <c r="F21" s="12">
        <f t="shared" ca="1" si="0"/>
        <v>0.11003326228350874</v>
      </c>
    </row>
    <row r="22" spans="1:6" ht="15" customHeight="1">
      <c r="A22" s="11">
        <v>20</v>
      </c>
      <c r="B22" s="26">
        <v>49289</v>
      </c>
      <c r="C22" s="11">
        <v>2.5499999999999998</v>
      </c>
      <c r="D22" s="11">
        <v>33</v>
      </c>
      <c r="E22" s="51">
        <f t="shared" ca="1" si="1"/>
        <v>35.549999999999997</v>
      </c>
      <c r="F22" s="12">
        <f t="shared" ca="1" si="0"/>
        <v>1.5718019717187997</v>
      </c>
    </row>
    <row r="23" spans="1:6" ht="15" customHeight="1">
      <c r="A23" s="11">
        <v>21</v>
      </c>
      <c r="B23" s="16">
        <v>49471</v>
      </c>
      <c r="C23" s="11">
        <v>1.3</v>
      </c>
      <c r="D23" s="11">
        <v>0</v>
      </c>
      <c r="E23" s="51">
        <f t="shared" ca="1" si="1"/>
        <v>1.3</v>
      </c>
      <c r="F23" s="12">
        <f t="shared" ca="1" si="0"/>
        <v>5.8706635489093099E-2</v>
      </c>
    </row>
    <row r="24" spans="1:6" ht="15" customHeight="1">
      <c r="A24" s="11">
        <v>22</v>
      </c>
      <c r="B24" s="26">
        <v>49653</v>
      </c>
      <c r="C24" s="11">
        <v>1.3</v>
      </c>
      <c r="D24" s="11">
        <v>34</v>
      </c>
      <c r="E24" s="51">
        <f t="shared" ca="1" si="1"/>
        <v>35.299999999999997</v>
      </c>
      <c r="F24" s="12">
        <f t="shared" ca="1" si="0"/>
        <v>1.6235293572037948</v>
      </c>
    </row>
    <row r="25" spans="1:6" ht="15" customHeight="1">
      <c r="A25" s="11"/>
      <c r="B25" s="27"/>
      <c r="C25" s="11"/>
      <c r="D25" s="11"/>
      <c r="E25" s="11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25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/>
      <c r="B2" s="22">
        <f ca="1">Main!D1</f>
        <v>46068</v>
      </c>
      <c r="E2" s="8" cm="1">
        <f t="array" ref="E2">-_xll.PrecioBD(A1,"24","ASK","N")</f>
        <v>-109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45757</v>
      </c>
      <c r="C3" s="11">
        <v>3.88</v>
      </c>
      <c r="D3" s="11">
        <v>0</v>
      </c>
      <c r="E3" s="51">
        <f ca="1">IF(B3&lt;=$B$2,0,(C3+D3))</f>
        <v>0</v>
      </c>
      <c r="F3" s="12">
        <f t="shared" ref="F3:F10" ca="1" si="0">(E3*(B3-$B$2)/365)/(1+$K$4)^((B3-$B$2)/365)/-$E$2/(1+$K$4)^$K$2</f>
        <v>0</v>
      </c>
      <c r="J3" s="13" t="s">
        <v>85</v>
      </c>
      <c r="K3" s="14">
        <f ca="1">SUM(F3:F24)</f>
        <v>2.335530527403848</v>
      </c>
    </row>
    <row r="4" spans="1:11" ht="15" customHeight="1">
      <c r="A4" s="11">
        <v>2</v>
      </c>
      <c r="B4" s="26">
        <v>45940</v>
      </c>
      <c r="C4" s="11">
        <v>3.88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5.2494630217552199E-2</v>
      </c>
    </row>
    <row r="5" spans="1:11" ht="15" customHeight="1">
      <c r="A5" s="11">
        <v>3</v>
      </c>
      <c r="B5" s="16">
        <v>46122</v>
      </c>
      <c r="C5" s="11">
        <v>3.88</v>
      </c>
      <c r="D5" s="11">
        <v>0</v>
      </c>
      <c r="E5" s="51">
        <f t="shared" ca="1" si="1"/>
        <v>3.88</v>
      </c>
      <c r="F5" s="12">
        <f t="shared" ca="1" si="0"/>
        <v>5.0945854699181274E-3</v>
      </c>
    </row>
    <row r="6" spans="1:11" ht="15" customHeight="1">
      <c r="A6" s="11">
        <v>4</v>
      </c>
      <c r="B6" s="26">
        <v>46308</v>
      </c>
      <c r="C6" s="11">
        <v>3.88</v>
      </c>
      <c r="D6" s="11">
        <v>0</v>
      </c>
      <c r="E6" s="51">
        <f t="shared" ca="1" si="1"/>
        <v>3.88</v>
      </c>
      <c r="F6" s="12">
        <f t="shared" ca="1" si="0"/>
        <v>2.2059888993231341E-2</v>
      </c>
    </row>
    <row r="7" spans="1:11" ht="15" customHeight="1">
      <c r="A7" s="11">
        <v>5</v>
      </c>
      <c r="B7" s="16">
        <v>46489</v>
      </c>
      <c r="C7" s="11">
        <v>3.88</v>
      </c>
      <c r="D7" s="11">
        <v>0</v>
      </c>
      <c r="E7" s="51">
        <f t="shared" ca="1" si="1"/>
        <v>3.88</v>
      </c>
      <c r="F7" s="12">
        <f t="shared" ca="1" si="0"/>
        <v>3.7727284499315207E-2</v>
      </c>
    </row>
    <row r="8" spans="1:11" ht="15" customHeight="1">
      <c r="A8" s="11">
        <v>6</v>
      </c>
      <c r="B8" s="26">
        <v>46672</v>
      </c>
      <c r="C8" s="11">
        <v>3.88</v>
      </c>
      <c r="D8" s="11">
        <v>0</v>
      </c>
      <c r="E8" s="51">
        <f t="shared" ca="1" si="1"/>
        <v>3.88</v>
      </c>
      <c r="F8" s="12">
        <f t="shared" ca="1" si="0"/>
        <v>5.2755774989897176E-2</v>
      </c>
    </row>
    <row r="9" spans="1:11" ht="15" customHeight="1">
      <c r="A9" s="11">
        <v>7</v>
      </c>
      <c r="B9" s="16">
        <v>46853</v>
      </c>
      <c r="C9" s="11">
        <v>3.88</v>
      </c>
      <c r="D9" s="11">
        <v>0</v>
      </c>
      <c r="E9" s="51">
        <f t="shared" ca="1" si="1"/>
        <v>3.88</v>
      </c>
      <c r="F9" s="12">
        <f t="shared" ca="1" si="0"/>
        <v>6.6847334642870154E-2</v>
      </c>
    </row>
    <row r="10" spans="1:11" ht="15" customHeight="1">
      <c r="A10" s="11">
        <v>8</v>
      </c>
      <c r="B10" s="26">
        <v>47036</v>
      </c>
      <c r="C10" s="11">
        <v>3.88</v>
      </c>
      <c r="D10" s="11">
        <v>100</v>
      </c>
      <c r="E10" s="51">
        <f t="shared" ca="1" si="1"/>
        <v>103.88</v>
      </c>
      <c r="F10" s="12">
        <f t="shared" ca="1" si="0"/>
        <v>2.151045658808616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baseColWidth="10" defaultColWidth="12.59765625" defaultRowHeight="15" customHeight="1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998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10.59765625" customWidth="1"/>
    <col min="2" max="2" width="16.69921875" customWidth="1"/>
    <col min="3" max="3" width="8.59765625" customWidth="1"/>
    <col min="4" max="9" width="10.59765625" customWidth="1"/>
    <col min="10" max="10" width="17.3984375" customWidth="1"/>
    <col min="11" max="11" width="14.3984375" customWidth="1"/>
    <col min="12" max="26" width="10.59765625" customWidth="1"/>
  </cols>
  <sheetData>
    <row r="1" spans="1:11" ht="15.6">
      <c r="A1" s="36" t="s">
        <v>46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6">
      <c r="A2" s="37"/>
      <c r="B2" s="22">
        <f ca="1">Main!D1</f>
        <v>46068</v>
      </c>
      <c r="C2" s="37"/>
      <c r="D2" s="37"/>
      <c r="E2" s="8" cm="1">
        <f t="array" ref="E2">-_xll.PrecioBD(A1,"24","ASK","N")</f>
        <v>-104.75</v>
      </c>
      <c r="J2" s="1" t="s">
        <v>84</v>
      </c>
      <c r="K2" s="1">
        <v>0.5</v>
      </c>
    </row>
    <row r="3" spans="1:11" ht="15.6">
      <c r="A3" s="38">
        <v>10</v>
      </c>
      <c r="B3" s="39">
        <v>45930</v>
      </c>
      <c r="C3" s="38">
        <v>3.5</v>
      </c>
      <c r="D3" s="38">
        <v>0</v>
      </c>
      <c r="E3" s="51">
        <f ca="1">IF(B3&lt;=$B$2,0,(C3+D3))</f>
        <v>0</v>
      </c>
      <c r="F3" s="12">
        <f t="shared" ref="F3:F19" ca="1" si="0">(E3*(B3-$B$2)/365)/(1+$K$4)^((B3-$B$2)/365)/-$E$2/(1+$K$4)^$K$2</f>
        <v>0</v>
      </c>
      <c r="J3" s="13" t="s">
        <v>85</v>
      </c>
      <c r="K3" s="14">
        <f ca="1">SUM(F3:F19)</f>
        <v>4.9308554219326108</v>
      </c>
    </row>
    <row r="4" spans="1:11" ht="15.6">
      <c r="A4" s="38">
        <v>11</v>
      </c>
      <c r="B4" s="39">
        <v>46111</v>
      </c>
      <c r="C4" s="38">
        <v>3.5</v>
      </c>
      <c r="D4" s="38">
        <v>0</v>
      </c>
      <c r="E4" s="51">
        <f t="shared" ref="E4:E24" ca="1" si="1">IF(B4&lt;=$B$2,0,(C4+D4))</f>
        <v>3.5</v>
      </c>
      <c r="F4" s="12">
        <f t="shared" ca="1" si="0"/>
        <v>3.7818933336781252E-3</v>
      </c>
      <c r="J4" s="1" t="s">
        <v>4</v>
      </c>
      <c r="K4" s="40">
        <f ca="1">+XIRR(E2:E19,B2:B19)</f>
        <v>6.6920939087867753E-2</v>
      </c>
    </row>
    <row r="5" spans="1:11" ht="15.6">
      <c r="A5" s="38">
        <v>12</v>
      </c>
      <c r="B5" s="39">
        <v>46295</v>
      </c>
      <c r="C5" s="38">
        <v>3.5</v>
      </c>
      <c r="D5" s="38">
        <v>0</v>
      </c>
      <c r="E5" s="51">
        <f t="shared" ca="1" si="1"/>
        <v>3.5</v>
      </c>
      <c r="F5" s="12">
        <f t="shared" ca="1" si="0"/>
        <v>1.9323462382166132E-2</v>
      </c>
    </row>
    <row r="6" spans="1:11" ht="15.6">
      <c r="A6" s="38">
        <v>13</v>
      </c>
      <c r="B6" s="39">
        <v>46476</v>
      </c>
      <c r="C6" s="38">
        <v>3.5</v>
      </c>
      <c r="D6" s="38">
        <v>0</v>
      </c>
      <c r="E6" s="51">
        <f t="shared" ca="1" si="1"/>
        <v>3.5</v>
      </c>
      <c r="F6" s="12">
        <f t="shared" ca="1" si="0"/>
        <v>3.3633242962444965E-2</v>
      </c>
    </row>
    <row r="7" spans="1:11" ht="15.6">
      <c r="A7" s="38">
        <v>14</v>
      </c>
      <c r="B7" s="39">
        <v>46660</v>
      </c>
      <c r="C7" s="38">
        <v>3.5</v>
      </c>
      <c r="D7" s="38">
        <v>0</v>
      </c>
      <c r="E7" s="51">
        <f t="shared" ca="1" si="1"/>
        <v>3.5</v>
      </c>
      <c r="F7" s="12">
        <f t="shared" ca="1" si="0"/>
        <v>4.7233329143969389E-2</v>
      </c>
    </row>
    <row r="8" spans="1:11" ht="15.6">
      <c r="A8" s="38">
        <v>15</v>
      </c>
      <c r="B8" s="39">
        <v>46842</v>
      </c>
      <c r="C8" s="38">
        <v>3.5</v>
      </c>
      <c r="D8" s="38">
        <v>0</v>
      </c>
      <c r="E8" s="51">
        <f t="shared" ca="1" si="1"/>
        <v>3.5</v>
      </c>
      <c r="F8" s="12">
        <f t="shared" ca="1" si="0"/>
        <v>5.9791607417570093E-2</v>
      </c>
    </row>
    <row r="9" spans="1:11" ht="15.6">
      <c r="A9" s="38">
        <v>16</v>
      </c>
      <c r="B9" s="39">
        <v>47028</v>
      </c>
      <c r="C9" s="38">
        <v>3.54</v>
      </c>
      <c r="D9" s="38">
        <v>0</v>
      </c>
      <c r="E9" s="51">
        <f t="shared" ca="1" si="1"/>
        <v>3.54</v>
      </c>
      <c r="F9" s="12">
        <f t="shared" ca="1" si="0"/>
        <v>7.2572124771227361E-2</v>
      </c>
    </row>
    <row r="10" spans="1:11" ht="15.6">
      <c r="A10" s="38">
        <v>17</v>
      </c>
      <c r="B10" s="39">
        <v>47211</v>
      </c>
      <c r="C10" s="38">
        <v>3.52</v>
      </c>
      <c r="D10" s="38">
        <v>0</v>
      </c>
      <c r="E10" s="51">
        <f t="shared" ca="1" si="1"/>
        <v>3.52</v>
      </c>
      <c r="F10" s="12">
        <f t="shared" ca="1" si="0"/>
        <v>8.3172466500585213E-2</v>
      </c>
    </row>
    <row r="11" spans="1:11" ht="15.6">
      <c r="A11" s="38">
        <v>18</v>
      </c>
      <c r="B11" s="39">
        <v>47392</v>
      </c>
      <c r="C11" s="38">
        <v>3.46</v>
      </c>
      <c r="D11" s="38">
        <v>0</v>
      </c>
      <c r="E11" s="51">
        <f t="shared" ca="1" si="1"/>
        <v>3.46</v>
      </c>
      <c r="F11" s="12">
        <f t="shared" ca="1" si="0"/>
        <v>9.1707375199283472E-2</v>
      </c>
    </row>
    <row r="12" spans="1:11" ht="15.6">
      <c r="A12" s="38">
        <v>19</v>
      </c>
      <c r="B12" s="39">
        <v>47574</v>
      </c>
      <c r="C12" s="38">
        <v>3.5</v>
      </c>
      <c r="D12" s="38">
        <v>0</v>
      </c>
      <c r="E12" s="51">
        <f t="shared" ca="1" si="1"/>
        <v>3.5</v>
      </c>
      <c r="F12" s="12">
        <f t="shared" ca="1" si="0"/>
        <v>0.10216581735484805</v>
      </c>
    </row>
    <row r="13" spans="1:11" ht="15.6">
      <c r="A13" s="38">
        <v>20</v>
      </c>
      <c r="B13" s="39">
        <v>47756</v>
      </c>
      <c r="C13" s="38">
        <v>3.48</v>
      </c>
      <c r="D13" s="38">
        <v>25</v>
      </c>
      <c r="E13" s="51">
        <f t="shared" ca="1" si="1"/>
        <v>28.48</v>
      </c>
      <c r="F13" s="12">
        <f t="shared" ca="1" si="0"/>
        <v>0.90218882399555456</v>
      </c>
    </row>
    <row r="14" spans="1:11" ht="15.6">
      <c r="A14" s="38">
        <v>21</v>
      </c>
      <c r="B14" s="39">
        <v>47938</v>
      </c>
      <c r="C14" s="38">
        <v>2.63</v>
      </c>
      <c r="D14" s="38">
        <v>0</v>
      </c>
      <c r="E14" s="51">
        <f t="shared" ca="1" si="1"/>
        <v>2.63</v>
      </c>
      <c r="F14" s="12">
        <f t="shared" ca="1" si="0"/>
        <v>8.936239272230706E-2</v>
      </c>
    </row>
    <row r="15" spans="1:11" ht="15.6">
      <c r="A15" s="38">
        <v>22</v>
      </c>
      <c r="B15" s="39">
        <v>48121</v>
      </c>
      <c r="C15" s="38">
        <v>2.63</v>
      </c>
      <c r="D15" s="38">
        <v>18.75</v>
      </c>
      <c r="E15" s="51">
        <f t="shared" ca="1" si="1"/>
        <v>21.38</v>
      </c>
      <c r="F15" s="12">
        <f t="shared" ca="1" si="0"/>
        <v>0.77205711093777085</v>
      </c>
    </row>
    <row r="16" spans="1:11" ht="15.6">
      <c r="A16" s="38">
        <v>23</v>
      </c>
      <c r="B16" s="39">
        <v>48303</v>
      </c>
      <c r="C16" s="38">
        <v>1.97</v>
      </c>
      <c r="D16" s="38">
        <v>0</v>
      </c>
      <c r="E16" s="51">
        <f t="shared" ca="1" si="1"/>
        <v>1.97</v>
      </c>
      <c r="F16" s="12">
        <f t="shared" ca="1" si="0"/>
        <v>7.498405952271428E-2</v>
      </c>
    </row>
    <row r="17" spans="1:6" ht="15.6">
      <c r="A17" s="38">
        <v>24</v>
      </c>
      <c r="B17" s="39">
        <v>48487</v>
      </c>
      <c r="C17" s="38">
        <v>1.97</v>
      </c>
      <c r="D17" s="38">
        <v>14.06</v>
      </c>
      <c r="E17" s="51">
        <f t="shared" ca="1" si="1"/>
        <v>16.03</v>
      </c>
      <c r="F17" s="12">
        <f t="shared" ca="1" si="0"/>
        <v>0.63916480747411575</v>
      </c>
    </row>
    <row r="18" spans="1:6" ht="15.6">
      <c r="A18" s="38">
        <v>25</v>
      </c>
      <c r="B18" s="39">
        <v>48668</v>
      </c>
      <c r="C18" s="38">
        <v>1.48</v>
      </c>
      <c r="D18" s="38">
        <v>0</v>
      </c>
      <c r="E18" s="51">
        <f t="shared" ca="1" si="1"/>
        <v>1.48</v>
      </c>
      <c r="F18" s="12">
        <f t="shared" ca="1" si="0"/>
        <v>6.1422575093646986E-2</v>
      </c>
    </row>
    <row r="19" spans="1:6" ht="15.75" customHeight="1">
      <c r="A19" s="38">
        <v>26</v>
      </c>
      <c r="B19" s="39">
        <v>48852</v>
      </c>
      <c r="C19" s="38">
        <v>1.48</v>
      </c>
      <c r="D19" s="38">
        <v>42.19</v>
      </c>
      <c r="E19" s="51">
        <f t="shared" ca="1" si="1"/>
        <v>43.669999999999995</v>
      </c>
      <c r="F19" s="12">
        <f t="shared" ca="1" si="0"/>
        <v>1.8782943331207289</v>
      </c>
    </row>
    <row r="20" spans="1:6" ht="15.75" customHeight="1">
      <c r="E20" s="51">
        <f t="shared" ca="1" si="1"/>
        <v>0</v>
      </c>
    </row>
    <row r="21" spans="1:6" ht="15.75" customHeight="1">
      <c r="E21" s="51">
        <f t="shared" ca="1" si="1"/>
        <v>0</v>
      </c>
    </row>
    <row r="22" spans="1:6" ht="15.75" customHeight="1">
      <c r="E22" s="51">
        <f t="shared" ca="1" si="1"/>
        <v>0</v>
      </c>
    </row>
    <row r="23" spans="1:6" ht="15.75" customHeight="1">
      <c r="E23" s="51">
        <f t="shared" ca="1" si="1"/>
        <v>0</v>
      </c>
    </row>
    <row r="24" spans="1:6" ht="15.75" customHeight="1">
      <c r="E24" s="51">
        <f t="shared" ca="1" si="1"/>
        <v>0</v>
      </c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14</v>
      </c>
      <c r="C1" s="3" t="s">
        <v>81</v>
      </c>
      <c r="D1" s="3" t="s">
        <v>82</v>
      </c>
      <c r="E1" s="1" t="s">
        <v>83</v>
      </c>
    </row>
    <row r="2" spans="1:11" ht="15" customHeight="1">
      <c r="A2" s="31"/>
      <c r="B2" s="22">
        <f ca="1">Main!D1</f>
        <v>46068</v>
      </c>
      <c r="C2" s="31"/>
      <c r="D2" s="31"/>
      <c r="E2" s="8" cm="1">
        <f t="array" ref="E2">-_xll.PrecioBD(A1,"24","ASK","N")</f>
        <v>0</v>
      </c>
      <c r="J2" s="1" t="s">
        <v>84</v>
      </c>
      <c r="K2" s="1">
        <v>0.25</v>
      </c>
    </row>
    <row r="3" spans="1:11" ht="15" customHeight="1">
      <c r="A3" s="7">
        <v>17</v>
      </c>
      <c r="B3" s="28">
        <v>45789</v>
      </c>
      <c r="C3" s="7">
        <v>0.69</v>
      </c>
      <c r="D3" s="7">
        <v>7.69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SUM(F4:F20)</f>
        <v>#NUM!</v>
      </c>
    </row>
    <row r="4" spans="1:11" ht="15" customHeight="1">
      <c r="A4" s="7">
        <v>18</v>
      </c>
      <c r="B4" s="28">
        <v>45881</v>
      </c>
      <c r="C4" s="7">
        <v>0.52</v>
      </c>
      <c r="D4" s="7">
        <v>7.69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30" t="e">
        <f ca="1">XIRR(E2:E6,B2:B6)</f>
        <v>#NUM!</v>
      </c>
    </row>
    <row r="5" spans="1:11" ht="15" customHeight="1">
      <c r="A5" s="7">
        <v>19</v>
      </c>
      <c r="B5" s="32">
        <v>45973</v>
      </c>
      <c r="C5" s="7">
        <v>0.35</v>
      </c>
      <c r="D5" s="7">
        <v>7.69</v>
      </c>
      <c r="E5" s="51">
        <f t="shared" ca="1" si="0"/>
        <v>0</v>
      </c>
      <c r="F5" s="12" t="e">
        <f ca="1">(E5*(B5-$B$2)/365)/(1+$K$4)^((B5-$B$2)/365)/-$E$2/(1+$K$4)^$K$2</f>
        <v>#NUM!</v>
      </c>
    </row>
    <row r="6" spans="1:11" ht="15" customHeight="1">
      <c r="A6" s="11">
        <v>20</v>
      </c>
      <c r="B6" s="16">
        <v>46065</v>
      </c>
      <c r="C6" s="11">
        <v>0.17</v>
      </c>
      <c r="D6" s="11">
        <v>7.72</v>
      </c>
      <c r="E6" s="51">
        <f t="shared" ca="1" si="0"/>
        <v>0</v>
      </c>
      <c r="F6" s="12" t="e">
        <f ca="1">(E6*(B6-$B$2)/365)/(1+$K$4)^((B6-$B$2)/365)/-$E$2/(1+$K$4)^$K$2</f>
        <v>#NUM!</v>
      </c>
    </row>
    <row r="7" spans="1:11" ht="15" customHeight="1">
      <c r="A7" s="7"/>
      <c r="B7" s="29"/>
      <c r="C7" s="7"/>
      <c r="D7" s="7"/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42</v>
      </c>
      <c r="B1" s="21" t="s">
        <v>80</v>
      </c>
      <c r="C1" s="21" t="s">
        <v>81</v>
      </c>
      <c r="D1" s="21" t="s">
        <v>82</v>
      </c>
      <c r="E1" s="21" t="s">
        <v>83</v>
      </c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-107.1</v>
      </c>
      <c r="J2" s="13" t="s">
        <v>84</v>
      </c>
      <c r="K2" s="13">
        <v>0.5</v>
      </c>
    </row>
    <row r="3" spans="1:11" ht="15" customHeight="1">
      <c r="A3" s="11">
        <v>1</v>
      </c>
      <c r="B3" s="16">
        <v>45860</v>
      </c>
      <c r="C3" s="11">
        <v>3.81</v>
      </c>
      <c r="D3" s="11">
        <v>0</v>
      </c>
      <c r="E3" s="51">
        <f ca="1">IF(B3&lt;=$B$2,0,(C3+D3))</f>
        <v>0</v>
      </c>
      <c r="F3" s="12">
        <f t="shared" ref="F3:F18" ca="1" si="0">(E3*(B3-$B$2)/365)/(1+$K$4)^((B3-$B$2)/365)/-$E$2/(1+$K$4)^$K$2</f>
        <v>0</v>
      </c>
      <c r="J3" s="13" t="s">
        <v>85</v>
      </c>
      <c r="K3" s="14">
        <f ca="1">SUM(F3:F24)</f>
        <v>4.7503804468937982</v>
      </c>
    </row>
    <row r="4" spans="1:11" ht="15" customHeight="1">
      <c r="A4" s="11">
        <v>2</v>
      </c>
      <c r="B4" s="16">
        <v>46044</v>
      </c>
      <c r="C4" s="11">
        <v>3.81</v>
      </c>
      <c r="D4" s="11">
        <v>0</v>
      </c>
      <c r="E4" s="51">
        <f t="shared" ref="E4:E24" ca="1" si="1">IF(B4&lt;=$B$2,0,(C4+D4))</f>
        <v>0</v>
      </c>
      <c r="F4" s="12">
        <f t="shared" ca="1" si="0"/>
        <v>0</v>
      </c>
      <c r="J4" s="13" t="s">
        <v>4</v>
      </c>
      <c r="K4" s="33">
        <f ca="1">+XIRR(E2:E24,B2:B24)</f>
        <v>6.3613894581794728E-2</v>
      </c>
    </row>
    <row r="5" spans="1:11" ht="15" customHeight="1">
      <c r="A5" s="11">
        <v>3</v>
      </c>
      <c r="B5" s="16">
        <v>46225</v>
      </c>
      <c r="C5" s="11">
        <v>3.81</v>
      </c>
      <c r="D5" s="11">
        <v>0</v>
      </c>
      <c r="E5" s="51">
        <f t="shared" ca="1" si="1"/>
        <v>3.81</v>
      </c>
      <c r="F5" s="12">
        <f t="shared" ca="1" si="0"/>
        <v>1.4448724217363854E-2</v>
      </c>
    </row>
    <row r="6" spans="1:11" ht="15" customHeight="1">
      <c r="A6" s="11">
        <v>4</v>
      </c>
      <c r="B6" s="16">
        <v>46409</v>
      </c>
      <c r="C6" s="11">
        <v>3.81</v>
      </c>
      <c r="D6" s="11">
        <v>0</v>
      </c>
      <c r="E6" s="51">
        <f t="shared" ca="1" si="1"/>
        <v>3.81</v>
      </c>
      <c r="F6" s="12">
        <f t="shared" ca="1" si="0"/>
        <v>3.0421607310351539E-2</v>
      </c>
    </row>
    <row r="7" spans="1:11" ht="15" customHeight="1">
      <c r="A7" s="11">
        <v>5</v>
      </c>
      <c r="B7" s="16">
        <v>46590</v>
      </c>
      <c r="C7" s="11">
        <v>3.81</v>
      </c>
      <c r="D7" s="11">
        <v>0</v>
      </c>
      <c r="E7" s="51">
        <f t="shared" ca="1" si="1"/>
        <v>3.81</v>
      </c>
      <c r="F7" s="12">
        <f t="shared" ca="1" si="0"/>
        <v>4.5166490880941122E-2</v>
      </c>
    </row>
    <row r="8" spans="1:11" ht="15" customHeight="1">
      <c r="A8" s="11">
        <v>6</v>
      </c>
      <c r="B8" s="16">
        <v>46776</v>
      </c>
      <c r="C8" s="11">
        <v>3.81</v>
      </c>
      <c r="D8" s="11">
        <v>0</v>
      </c>
      <c r="E8" s="51">
        <f t="shared" ca="1" si="1"/>
        <v>3.81</v>
      </c>
      <c r="F8" s="12">
        <f t="shared" ca="1" si="0"/>
        <v>5.9364972501378586E-2</v>
      </c>
    </row>
    <row r="9" spans="1:11" ht="15" customHeight="1">
      <c r="A9" s="11">
        <v>7</v>
      </c>
      <c r="B9" s="16">
        <v>46958</v>
      </c>
      <c r="C9" s="11">
        <v>3.81</v>
      </c>
      <c r="D9" s="11">
        <v>0</v>
      </c>
      <c r="E9" s="51">
        <f t="shared" ca="1" si="1"/>
        <v>3.81</v>
      </c>
      <c r="F9" s="12">
        <f t="shared" ca="1" si="0"/>
        <v>7.2365523680832544E-2</v>
      </c>
    </row>
    <row r="10" spans="1:11" ht="15" customHeight="1">
      <c r="A10" s="11">
        <v>8</v>
      </c>
      <c r="B10" s="16">
        <v>47140</v>
      </c>
      <c r="C10" s="11">
        <v>3.81</v>
      </c>
      <c r="D10" s="11">
        <v>0</v>
      </c>
      <c r="E10" s="51">
        <f t="shared" ca="1" si="1"/>
        <v>3.81</v>
      </c>
      <c r="F10" s="12">
        <f t="shared" ca="1" si="0"/>
        <v>8.4524221090336013E-2</v>
      </c>
    </row>
    <row r="11" spans="1:11" ht="15" customHeight="1">
      <c r="A11" s="11">
        <v>9</v>
      </c>
      <c r="B11" s="16">
        <v>47322</v>
      </c>
      <c r="C11" s="11">
        <v>3.81</v>
      </c>
      <c r="D11" s="11">
        <v>0</v>
      </c>
      <c r="E11" s="51">
        <f t="shared" ca="1" si="1"/>
        <v>3.81</v>
      </c>
      <c r="F11" s="12">
        <f t="shared" ca="1" si="0"/>
        <v>9.5880130798910945E-2</v>
      </c>
    </row>
    <row r="12" spans="1:11" ht="15" customHeight="1">
      <c r="A12" s="11">
        <v>10</v>
      </c>
      <c r="B12" s="16">
        <v>47505</v>
      </c>
      <c r="C12" s="11">
        <v>3.81</v>
      </c>
      <c r="D12" s="11">
        <v>0</v>
      </c>
      <c r="E12" s="51">
        <f t="shared" ca="1" si="1"/>
        <v>3.81</v>
      </c>
      <c r="F12" s="12">
        <f t="shared" ca="1" si="0"/>
        <v>0.10652686787305167</v>
      </c>
    </row>
    <row r="13" spans="1:11" ht="15" customHeight="1">
      <c r="A13" s="11">
        <v>11</v>
      </c>
      <c r="B13" s="16">
        <v>47686</v>
      </c>
      <c r="C13" s="11">
        <v>3.81</v>
      </c>
      <c r="D13" s="11">
        <v>0</v>
      </c>
      <c r="E13" s="51">
        <f t="shared" ca="1" si="1"/>
        <v>3.81</v>
      </c>
      <c r="F13" s="12">
        <f t="shared" ca="1" si="0"/>
        <v>0.11633194178796682</v>
      </c>
    </row>
    <row r="14" spans="1:11" ht="15" customHeight="1">
      <c r="A14" s="11">
        <v>12</v>
      </c>
      <c r="B14" s="16">
        <v>47870</v>
      </c>
      <c r="C14" s="11">
        <v>3.81</v>
      </c>
      <c r="D14" s="11">
        <v>33</v>
      </c>
      <c r="E14" s="51">
        <f t="shared" ca="1" si="1"/>
        <v>36.81</v>
      </c>
      <c r="F14" s="12">
        <f t="shared" ca="1" si="0"/>
        <v>1.2134280112176921</v>
      </c>
    </row>
    <row r="15" spans="1:11" ht="15" customHeight="1">
      <c r="A15" s="11">
        <v>13</v>
      </c>
      <c r="B15" s="16">
        <v>48051</v>
      </c>
      <c r="C15" s="11">
        <v>2.5499999999999998</v>
      </c>
      <c r="D15" s="11">
        <v>0</v>
      </c>
      <c r="E15" s="51">
        <f t="shared" ca="1" si="1"/>
        <v>2.5499999999999998</v>
      </c>
      <c r="F15" s="12">
        <f t="shared" ca="1" si="0"/>
        <v>8.9716924361916861E-2</v>
      </c>
    </row>
    <row r="16" spans="1:11" ht="15" customHeight="1">
      <c r="A16" s="11">
        <v>14</v>
      </c>
      <c r="B16" s="16">
        <v>48235</v>
      </c>
      <c r="C16" s="11">
        <v>2.5499999999999998</v>
      </c>
      <c r="D16" s="11">
        <v>33</v>
      </c>
      <c r="E16" s="51">
        <f t="shared" ca="1" si="1"/>
        <v>35.549999999999997</v>
      </c>
      <c r="F16" s="12">
        <f t="shared" ca="1" si="0"/>
        <v>1.3249757393631856</v>
      </c>
    </row>
    <row r="17" spans="1:6" ht="15" customHeight="1">
      <c r="A17" s="11">
        <v>15</v>
      </c>
      <c r="B17" s="16">
        <v>48417</v>
      </c>
      <c r="C17" s="11">
        <v>1.3</v>
      </c>
      <c r="D17" s="11">
        <v>0</v>
      </c>
      <c r="E17" s="51">
        <f t="shared" ca="1" si="1"/>
        <v>1.3</v>
      </c>
      <c r="F17" s="12">
        <f t="shared" ca="1" si="0"/>
        <v>5.0930796529397117E-2</v>
      </c>
    </row>
    <row r="18" spans="1:6" ht="15" customHeight="1">
      <c r="A18" s="11">
        <v>16</v>
      </c>
      <c r="B18" s="16">
        <v>48603</v>
      </c>
      <c r="C18" s="11">
        <v>1.3</v>
      </c>
      <c r="D18" s="11">
        <v>34</v>
      </c>
      <c r="E18" s="51">
        <f t="shared" ca="1" si="1"/>
        <v>35.299999999999997</v>
      </c>
      <c r="F18" s="12">
        <f t="shared" ca="1" si="0"/>
        <v>1.4462984952804727</v>
      </c>
    </row>
    <row r="19" spans="1:6" ht="15" customHeight="1">
      <c r="A19" s="11"/>
      <c r="B19" s="27"/>
      <c r="C19" s="11"/>
      <c r="D19" s="11"/>
      <c r="E19" s="51">
        <f t="shared" ca="1" si="1"/>
        <v>0</v>
      </c>
    </row>
    <row r="20" spans="1:6" ht="15" customHeight="1">
      <c r="E20" s="51">
        <f t="shared" ca="1" si="1"/>
        <v>0</v>
      </c>
    </row>
    <row r="21" spans="1:6" ht="15" customHeight="1">
      <c r="E21" s="51">
        <f t="shared" ca="1" si="1"/>
        <v>0</v>
      </c>
    </row>
    <row r="22" spans="1:6" ht="15" customHeight="1">
      <c r="E22" s="51">
        <f t="shared" ca="1" si="1"/>
        <v>0</v>
      </c>
    </row>
    <row r="23" spans="1:6" ht="15" customHeight="1">
      <c r="E23" s="51">
        <f t="shared" ca="1" si="1"/>
        <v>0</v>
      </c>
    </row>
    <row r="24" spans="1:6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999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10.59765625" customWidth="1"/>
    <col min="2" max="2" width="13.19921875" customWidth="1"/>
    <col min="3" max="9" width="10.59765625" customWidth="1"/>
    <col min="10" max="10" width="19" customWidth="1"/>
    <col min="11" max="11" width="13.19921875" customWidth="1"/>
    <col min="12" max="26" width="10.59765625" customWidth="1"/>
  </cols>
  <sheetData>
    <row r="1" spans="1:11" ht="15.6">
      <c r="A1" s="36" t="s">
        <v>36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6">
      <c r="A2" s="37"/>
      <c r="B2" s="22">
        <f ca="1">Main!D1</f>
        <v>46068</v>
      </c>
      <c r="C2" s="37"/>
      <c r="D2" s="37"/>
      <c r="E2" s="8" cm="1">
        <f t="array" ref="E2">-_xll.PrecioBD(A1,"24","ASK","N")</f>
        <v>-111.45</v>
      </c>
      <c r="J2" s="1" t="s">
        <v>84</v>
      </c>
      <c r="K2" s="1">
        <v>0.5</v>
      </c>
    </row>
    <row r="3" spans="1:11" ht="15.6">
      <c r="A3" s="38">
        <v>2</v>
      </c>
      <c r="B3" s="39">
        <v>45911</v>
      </c>
      <c r="C3" s="38">
        <v>4.38</v>
      </c>
      <c r="D3" s="38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SUM(F3:F19)</f>
        <v>3.8873353822190397</v>
      </c>
    </row>
    <row r="4" spans="1:11" ht="15.6">
      <c r="A4" s="38">
        <v>3</v>
      </c>
      <c r="B4" s="39">
        <v>46092</v>
      </c>
      <c r="C4" s="38">
        <v>4.38</v>
      </c>
      <c r="D4" s="38">
        <v>0</v>
      </c>
      <c r="E4" s="51">
        <f t="shared" ref="E4:E24" ca="1" si="1">IF(B4&lt;=$B$2,0,(C4+D4))</f>
        <v>4.38</v>
      </c>
      <c r="F4" s="12">
        <f t="shared" ca="1" si="0"/>
        <v>2.4868969215841039E-3</v>
      </c>
      <c r="J4" s="1" t="s">
        <v>4</v>
      </c>
      <c r="K4" s="2">
        <f ca="1">+XIRR(E2:E15,B2:B15)</f>
        <v>7.0133516192436199E-2</v>
      </c>
    </row>
    <row r="5" spans="1:11" ht="15.6">
      <c r="A5" s="38">
        <v>4</v>
      </c>
      <c r="B5" s="39">
        <v>46276</v>
      </c>
      <c r="C5" s="38">
        <v>4.38</v>
      </c>
      <c r="D5" s="38">
        <v>0</v>
      </c>
      <c r="E5" s="51">
        <f t="shared" ca="1" si="1"/>
        <v>4.38</v>
      </c>
      <c r="F5" s="12">
        <f t="shared" ca="1" si="0"/>
        <v>2.0829071795365472E-2</v>
      </c>
    </row>
    <row r="6" spans="1:11" ht="15.6">
      <c r="A6" s="38">
        <v>5</v>
      </c>
      <c r="B6" s="39">
        <v>46457</v>
      </c>
      <c r="C6" s="38">
        <v>4.38</v>
      </c>
      <c r="D6" s="38">
        <v>0</v>
      </c>
      <c r="E6" s="51">
        <f t="shared" ca="1" si="1"/>
        <v>4.38</v>
      </c>
      <c r="F6" s="12">
        <f t="shared" ca="1" si="0"/>
        <v>3.7666752475984722E-2</v>
      </c>
    </row>
    <row r="7" spans="1:11" ht="15.6">
      <c r="A7" s="38">
        <v>6</v>
      </c>
      <c r="B7" s="39">
        <v>46643</v>
      </c>
      <c r="C7" s="38">
        <v>4.38</v>
      </c>
      <c r="D7" s="38">
        <v>0</v>
      </c>
      <c r="E7" s="51">
        <f t="shared" ca="1" si="1"/>
        <v>4.38</v>
      </c>
      <c r="F7" s="12">
        <f t="shared" ca="1" si="0"/>
        <v>5.3786731816158222E-2</v>
      </c>
    </row>
    <row r="8" spans="1:11" ht="15.6">
      <c r="A8" s="38">
        <v>7</v>
      </c>
      <c r="B8" s="39">
        <v>46825</v>
      </c>
      <c r="C8" s="38">
        <v>4.38</v>
      </c>
      <c r="D8" s="38">
        <v>0</v>
      </c>
      <c r="E8" s="51">
        <f t="shared" ca="1" si="1"/>
        <v>4.38</v>
      </c>
      <c r="F8" s="12">
        <f t="shared" ca="1" si="0"/>
        <v>6.845805156621769E-2</v>
      </c>
    </row>
    <row r="9" spans="1:11" ht="15.6">
      <c r="A9" s="38">
        <v>8</v>
      </c>
      <c r="B9" s="39">
        <v>47007</v>
      </c>
      <c r="C9" s="38">
        <v>4.38</v>
      </c>
      <c r="D9" s="38">
        <v>0</v>
      </c>
      <c r="E9" s="51">
        <f t="shared" ca="1" si="1"/>
        <v>4.38</v>
      </c>
      <c r="F9" s="12">
        <f t="shared" ca="1" si="0"/>
        <v>8.2094788787057699E-2</v>
      </c>
    </row>
    <row r="10" spans="1:11" ht="15.6">
      <c r="A10" s="38">
        <v>9</v>
      </c>
      <c r="B10" s="39">
        <v>47189</v>
      </c>
      <c r="C10" s="38">
        <v>4.38</v>
      </c>
      <c r="D10" s="38">
        <v>0</v>
      </c>
      <c r="E10" s="51">
        <f t="shared" ca="1" si="1"/>
        <v>4.38</v>
      </c>
      <c r="F10" s="12">
        <f t="shared" ca="1" si="0"/>
        <v>9.4749505717955096E-2</v>
      </c>
    </row>
    <row r="11" spans="1:11" ht="15.6">
      <c r="A11" s="38">
        <v>10</v>
      </c>
      <c r="B11" s="39">
        <v>47372</v>
      </c>
      <c r="C11" s="38">
        <v>4.38</v>
      </c>
      <c r="D11" s="38">
        <v>20</v>
      </c>
      <c r="E11" s="51">
        <f t="shared" ca="1" si="1"/>
        <v>24.38</v>
      </c>
      <c r="F11" s="12">
        <f t="shared" ca="1" si="0"/>
        <v>0.59299251771649175</v>
      </c>
    </row>
    <row r="12" spans="1:11" ht="15.6">
      <c r="A12" s="38">
        <v>11</v>
      </c>
      <c r="B12" s="39">
        <v>47553</v>
      </c>
      <c r="C12" s="38">
        <v>3.5</v>
      </c>
      <c r="D12" s="38">
        <v>0</v>
      </c>
      <c r="E12" s="51">
        <f t="shared" ca="1" si="1"/>
        <v>3.5</v>
      </c>
      <c r="F12" s="12">
        <f t="shared" ca="1" si="0"/>
        <v>9.3742042884715882E-2</v>
      </c>
    </row>
    <row r="13" spans="1:11" ht="15.6">
      <c r="A13" s="38">
        <v>12</v>
      </c>
      <c r="B13" s="39">
        <v>47737</v>
      </c>
      <c r="C13" s="38">
        <v>3.5</v>
      </c>
      <c r="D13" s="38">
        <v>20</v>
      </c>
      <c r="E13" s="51">
        <f t="shared" ca="1" si="1"/>
        <v>23.5</v>
      </c>
      <c r="F13" s="12">
        <f t="shared" ca="1" si="0"/>
        <v>0.68363478661799459</v>
      </c>
    </row>
    <row r="14" spans="1:11" ht="15.6">
      <c r="A14" s="38">
        <v>13</v>
      </c>
      <c r="B14" s="39">
        <v>47918</v>
      </c>
      <c r="C14" s="38">
        <v>2.63</v>
      </c>
      <c r="D14" s="38">
        <v>0</v>
      </c>
      <c r="E14" s="51">
        <f t="shared" ca="1" si="1"/>
        <v>2.63</v>
      </c>
      <c r="F14" s="12">
        <f t="shared" ca="1" si="0"/>
        <v>8.2002940608814093E-2</v>
      </c>
    </row>
    <row r="15" spans="1:11" ht="15.6">
      <c r="A15" s="38">
        <v>14</v>
      </c>
      <c r="B15" s="39">
        <v>48102</v>
      </c>
      <c r="C15" s="38">
        <v>2.63</v>
      </c>
      <c r="D15" s="38">
        <v>60</v>
      </c>
      <c r="E15" s="51">
        <f t="shared" ca="1" si="1"/>
        <v>62.63</v>
      </c>
      <c r="F15" s="12">
        <f t="shared" ca="1" si="0"/>
        <v>2.0748912953107004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O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5" ht="15" customHeight="1">
      <c r="A1" s="3" t="s">
        <v>87</v>
      </c>
      <c r="C1" s="3" t="s">
        <v>81</v>
      </c>
      <c r="D1" s="3" t="s">
        <v>82</v>
      </c>
      <c r="E1" s="1" t="s">
        <v>83</v>
      </c>
      <c r="F1" s="1"/>
      <c r="I1" s="3"/>
      <c r="J1" s="3"/>
      <c r="K1" s="3"/>
      <c r="L1" s="3"/>
      <c r="M1" s="3"/>
      <c r="O1" s="1"/>
    </row>
    <row r="2" spans="1:15" ht="15" customHeight="1">
      <c r="A2" s="7"/>
      <c r="B2" s="22">
        <f ca="1">Main!D1</f>
        <v>46068</v>
      </c>
      <c r="C2" s="7"/>
      <c r="D2" s="7"/>
      <c r="E2" s="8" t="e" cm="1">
        <f t="array" ref="E2">-_xll.PrecioBD(A1,"24","ASK","N")</f>
        <v>#VALUE!</v>
      </c>
      <c r="I2" s="7"/>
      <c r="J2" s="1" t="s">
        <v>84</v>
      </c>
      <c r="K2" s="1">
        <v>0.5</v>
      </c>
      <c r="L2" s="7"/>
      <c r="M2" s="7"/>
      <c r="O2" s="1"/>
    </row>
    <row r="3" spans="1:15" ht="15" customHeight="1">
      <c r="A3" s="7">
        <v>1</v>
      </c>
      <c r="B3" s="28">
        <v>45888</v>
      </c>
      <c r="C3" s="7">
        <v>3.97</v>
      </c>
      <c r="D3" s="7">
        <v>0</v>
      </c>
      <c r="E3" s="51">
        <f ca="1">IF(B3&lt;=$B$2,0,(C3+D3))</f>
        <v>0</v>
      </c>
      <c r="F3" s="12" t="e">
        <f t="shared" ref="F3:F14" ca="1" si="0">(E3*(B3-$B$2)/365)/(1+$K$4)^((B3-$B$2)/365)/-$E$2/(1+$K$4)^$K$2</f>
        <v>#VALUE!</v>
      </c>
      <c r="I3" s="7"/>
      <c r="J3" s="13" t="s">
        <v>85</v>
      </c>
      <c r="K3" s="14" t="e">
        <f ca="1">SUM(F3:F19)</f>
        <v>#VALUE!</v>
      </c>
      <c r="L3" s="7"/>
      <c r="M3" s="7"/>
      <c r="O3" s="1"/>
    </row>
    <row r="4" spans="1:15" ht="15" customHeight="1">
      <c r="A4" s="7">
        <v>2</v>
      </c>
      <c r="B4" s="28">
        <v>46070</v>
      </c>
      <c r="C4" s="7">
        <v>4.03</v>
      </c>
      <c r="D4" s="7">
        <v>0</v>
      </c>
      <c r="E4" s="51">
        <f t="shared" ref="E4:E24" ca="1" si="1">IF(B4&lt;=$B$2,0,(C4+D4))</f>
        <v>4.03</v>
      </c>
      <c r="F4" s="12" t="e">
        <f t="shared" ca="1" si="0"/>
        <v>#VALUE!</v>
      </c>
      <c r="I4" s="7"/>
      <c r="J4" s="1" t="s">
        <v>4</v>
      </c>
      <c r="K4" s="30" t="e">
        <f ca="1">XIRR(E2:E14,B2:B14)</f>
        <v>#VALUE!</v>
      </c>
      <c r="L4" s="7"/>
      <c r="M4" s="7"/>
      <c r="O4" s="1"/>
    </row>
    <row r="5" spans="1:15" ht="15" customHeight="1">
      <c r="A5" s="7">
        <v>3</v>
      </c>
      <c r="B5" s="28">
        <v>46252</v>
      </c>
      <c r="C5" s="7">
        <v>3.97</v>
      </c>
      <c r="D5" s="7">
        <v>0</v>
      </c>
      <c r="E5" s="51">
        <f t="shared" ca="1" si="1"/>
        <v>3.97</v>
      </c>
      <c r="F5" s="12" t="e">
        <f t="shared" ca="1" si="0"/>
        <v>#VALUE!</v>
      </c>
      <c r="I5" s="7"/>
      <c r="J5" s="28"/>
      <c r="K5" s="7"/>
      <c r="L5" s="7"/>
      <c r="M5" s="7"/>
    </row>
    <row r="6" spans="1:15" ht="15" customHeight="1">
      <c r="A6" s="7">
        <v>4</v>
      </c>
      <c r="B6" s="28">
        <v>46435</v>
      </c>
      <c r="C6" s="7">
        <v>4.03</v>
      </c>
      <c r="D6" s="7">
        <v>0</v>
      </c>
      <c r="E6" s="51">
        <f t="shared" ca="1" si="1"/>
        <v>4.03</v>
      </c>
      <c r="F6" s="12" t="e">
        <f t="shared" ca="1" si="0"/>
        <v>#VALUE!</v>
      </c>
      <c r="I6" s="7"/>
      <c r="J6" s="28"/>
      <c r="K6" s="7"/>
      <c r="L6" s="7"/>
      <c r="M6" s="7"/>
    </row>
    <row r="7" spans="1:15" ht="15" customHeight="1">
      <c r="A7" s="7">
        <v>5</v>
      </c>
      <c r="B7" s="28">
        <v>46616</v>
      </c>
      <c r="C7" s="7">
        <v>3.97</v>
      </c>
      <c r="D7" s="7">
        <v>0</v>
      </c>
      <c r="E7" s="51">
        <f t="shared" ca="1" si="1"/>
        <v>3.97</v>
      </c>
      <c r="F7" s="12" t="e">
        <f t="shared" ca="1" si="0"/>
        <v>#VALUE!</v>
      </c>
      <c r="I7" s="7"/>
      <c r="J7" s="28"/>
      <c r="K7" s="7"/>
      <c r="L7" s="7"/>
      <c r="M7" s="7"/>
    </row>
    <row r="8" spans="1:15" ht="15" customHeight="1">
      <c r="A8" s="7">
        <v>6</v>
      </c>
      <c r="B8" s="28">
        <v>46800</v>
      </c>
      <c r="C8" s="7">
        <v>4.03</v>
      </c>
      <c r="D8" s="7">
        <v>0</v>
      </c>
      <c r="E8" s="51">
        <f t="shared" ca="1" si="1"/>
        <v>4.03</v>
      </c>
      <c r="F8" s="12" t="e">
        <f t="shared" ca="1" si="0"/>
        <v>#VALUE!</v>
      </c>
      <c r="I8" s="7"/>
      <c r="J8" s="28"/>
      <c r="K8" s="7"/>
      <c r="L8" s="7"/>
      <c r="M8" s="7"/>
    </row>
    <row r="9" spans="1:15" ht="15" customHeight="1">
      <c r="A9" s="7">
        <v>7</v>
      </c>
      <c r="B9" s="28">
        <v>46982</v>
      </c>
      <c r="C9" s="7">
        <v>3.99</v>
      </c>
      <c r="D9" s="7">
        <v>0</v>
      </c>
      <c r="E9" s="51">
        <f t="shared" ca="1" si="1"/>
        <v>3.99</v>
      </c>
      <c r="F9" s="12" t="e">
        <f t="shared" ca="1" si="0"/>
        <v>#VALUE!</v>
      </c>
      <c r="I9" s="7"/>
      <c r="J9" s="28"/>
      <c r="K9" s="7"/>
      <c r="L9" s="7"/>
      <c r="M9" s="7"/>
    </row>
    <row r="10" spans="1:15" ht="15" customHeight="1">
      <c r="A10" s="7">
        <v>8</v>
      </c>
      <c r="B10" s="28">
        <v>47168</v>
      </c>
      <c r="C10" s="7">
        <v>4.03</v>
      </c>
      <c r="D10" s="7">
        <v>0</v>
      </c>
      <c r="E10" s="51">
        <f t="shared" ca="1" si="1"/>
        <v>4.03</v>
      </c>
      <c r="F10" s="12" t="e">
        <f t="shared" ca="1" si="0"/>
        <v>#VALUE!</v>
      </c>
      <c r="I10" s="7"/>
      <c r="J10" s="28"/>
      <c r="K10" s="7"/>
      <c r="L10" s="7"/>
      <c r="M10" s="7"/>
    </row>
    <row r="11" spans="1:15" ht="15" customHeight="1">
      <c r="A11" s="7">
        <v>9</v>
      </c>
      <c r="B11" s="28">
        <v>47347</v>
      </c>
      <c r="C11" s="7">
        <v>3.97</v>
      </c>
      <c r="D11" s="7">
        <v>0</v>
      </c>
      <c r="E11" s="51">
        <f t="shared" ca="1" si="1"/>
        <v>3.97</v>
      </c>
      <c r="F11" s="12" t="e">
        <f t="shared" ca="1" si="0"/>
        <v>#VALUE!</v>
      </c>
      <c r="I11" s="7"/>
      <c r="J11" s="28"/>
      <c r="K11" s="7"/>
      <c r="L11" s="7"/>
      <c r="M11" s="7"/>
    </row>
    <row r="12" spans="1:15" ht="15" customHeight="1">
      <c r="A12" s="7">
        <v>10</v>
      </c>
      <c r="B12" s="28">
        <v>47532</v>
      </c>
      <c r="C12" s="7">
        <v>4.03</v>
      </c>
      <c r="D12" s="7">
        <v>0</v>
      </c>
      <c r="E12" s="51">
        <f t="shared" ca="1" si="1"/>
        <v>4.03</v>
      </c>
      <c r="F12" s="12" t="e">
        <f t="shared" ca="1" si="0"/>
        <v>#VALUE!</v>
      </c>
      <c r="I12" s="7"/>
      <c r="J12" s="28"/>
      <c r="K12" s="7"/>
      <c r="L12" s="7"/>
      <c r="M12" s="7"/>
    </row>
    <row r="13" spans="1:15" ht="15" customHeight="1">
      <c r="A13" s="7">
        <v>11</v>
      </c>
      <c r="B13" s="28">
        <v>47715</v>
      </c>
      <c r="C13" s="7">
        <v>3.97</v>
      </c>
      <c r="D13" s="7">
        <v>0</v>
      </c>
      <c r="E13" s="51">
        <f t="shared" ca="1" si="1"/>
        <v>3.97</v>
      </c>
      <c r="F13" s="12" t="e">
        <f t="shared" ca="1" si="0"/>
        <v>#VALUE!</v>
      </c>
      <c r="I13" s="7"/>
      <c r="J13" s="28"/>
      <c r="K13" s="7"/>
      <c r="L13" s="7"/>
      <c r="M13" s="7"/>
    </row>
    <row r="14" spans="1:15" ht="15" customHeight="1">
      <c r="A14" s="7">
        <v>12</v>
      </c>
      <c r="B14" s="28">
        <v>47896</v>
      </c>
      <c r="C14" s="7">
        <v>4.03</v>
      </c>
      <c r="D14" s="7">
        <v>100</v>
      </c>
      <c r="E14" s="51">
        <f t="shared" ca="1" si="1"/>
        <v>104.03</v>
      </c>
      <c r="F14" s="12" t="e">
        <f t="shared" ca="1" si="0"/>
        <v>#VALUE!</v>
      </c>
      <c r="I14" s="7"/>
      <c r="J14" s="28"/>
      <c r="K14" s="7"/>
      <c r="L14" s="7"/>
      <c r="M14" s="7"/>
    </row>
    <row r="15" spans="1:15" ht="15" customHeight="1">
      <c r="A15" s="7"/>
      <c r="B15" s="29"/>
      <c r="C15" s="7"/>
      <c r="D15" s="7"/>
      <c r="E15" s="51">
        <f t="shared" ca="1" si="1"/>
        <v>0</v>
      </c>
      <c r="I15" s="7"/>
      <c r="J15" s="29"/>
      <c r="K15" s="7"/>
      <c r="L15" s="7"/>
      <c r="M15" s="30"/>
    </row>
    <row r="16" spans="1:15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999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10.59765625" customWidth="1"/>
    <col min="2" max="2" width="16.69921875" customWidth="1"/>
    <col min="3" max="26" width="10.59765625" customWidth="1"/>
  </cols>
  <sheetData>
    <row r="1" spans="1:11" ht="15.6">
      <c r="A1" s="37" t="s">
        <v>87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6">
      <c r="A2" s="37"/>
      <c r="B2" s="22">
        <f ca="1">Main!D1</f>
        <v>46068</v>
      </c>
      <c r="C2" s="37"/>
      <c r="D2" s="37"/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.6">
      <c r="A3" s="38">
        <v>9</v>
      </c>
      <c r="B3" s="39">
        <v>45838</v>
      </c>
      <c r="C3" s="38">
        <v>4.5</v>
      </c>
      <c r="D3" s="38">
        <v>0</v>
      </c>
      <c r="E3" s="51">
        <f ca="1">IF(B3&lt;=$B$2,0,(C3+D3))</f>
        <v>0</v>
      </c>
      <c r="F3" s="12" t="e">
        <f t="shared" ref="F3:F11" ca="1" si="0">(E3*(B3-$B$2)/365)/(1+$K$4)^((B3-$B$2)/365)/-$E$2/(1+$K$4)^$K$2</f>
        <v>#VALUE!</v>
      </c>
      <c r="J3" s="13" t="s">
        <v>85</v>
      </c>
      <c r="K3" s="14" t="e">
        <f ca="1">SUM(F3:F19)</f>
        <v>#VALUE!</v>
      </c>
    </row>
    <row r="4" spans="1:11" ht="15.6">
      <c r="A4" s="38">
        <v>10</v>
      </c>
      <c r="B4" s="39">
        <v>46021</v>
      </c>
      <c r="C4" s="38">
        <v>4.5</v>
      </c>
      <c r="D4" s="38">
        <v>0</v>
      </c>
      <c r="E4" s="51">
        <f t="shared" ref="E4:E24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+XIRR(E2:E11,B2:B11)</f>
        <v>#VALUE!</v>
      </c>
    </row>
    <row r="5" spans="1:11" ht="15.6">
      <c r="A5" s="38">
        <v>11</v>
      </c>
      <c r="B5" s="39">
        <v>46203</v>
      </c>
      <c r="C5" s="38">
        <v>4.5</v>
      </c>
      <c r="D5" s="38">
        <v>14.28</v>
      </c>
      <c r="E5" s="51">
        <f t="shared" ca="1" si="1"/>
        <v>18.78</v>
      </c>
      <c r="F5" s="12" t="e">
        <f t="shared" ca="1" si="0"/>
        <v>#VALUE!</v>
      </c>
    </row>
    <row r="6" spans="1:11" ht="15.6">
      <c r="A6" s="38">
        <v>12</v>
      </c>
      <c r="B6" s="39">
        <v>46386</v>
      </c>
      <c r="C6" s="38">
        <v>3.86</v>
      </c>
      <c r="D6" s="38">
        <v>14.28</v>
      </c>
      <c r="E6" s="51">
        <f t="shared" ca="1" si="1"/>
        <v>18.14</v>
      </c>
      <c r="F6" s="12" t="e">
        <f t="shared" ca="1" si="0"/>
        <v>#VALUE!</v>
      </c>
    </row>
    <row r="7" spans="1:11" ht="15.6">
      <c r="A7" s="38">
        <v>13</v>
      </c>
      <c r="B7" s="39">
        <v>46568</v>
      </c>
      <c r="C7" s="38">
        <v>3.21</v>
      </c>
      <c r="D7" s="38">
        <v>14.28</v>
      </c>
      <c r="E7" s="51">
        <f t="shared" ca="1" si="1"/>
        <v>17.489999999999998</v>
      </c>
      <c r="F7" s="12" t="e">
        <f t="shared" ca="1" si="0"/>
        <v>#VALUE!</v>
      </c>
    </row>
    <row r="8" spans="1:11" ht="15.6">
      <c r="A8" s="38">
        <v>14</v>
      </c>
      <c r="B8" s="39">
        <v>46751</v>
      </c>
      <c r="C8" s="38">
        <v>2.57</v>
      </c>
      <c r="D8" s="38">
        <v>14.28</v>
      </c>
      <c r="E8" s="51">
        <f t="shared" ca="1" si="1"/>
        <v>16.849999999999998</v>
      </c>
      <c r="F8" s="12" t="e">
        <f t="shared" ca="1" si="0"/>
        <v>#VALUE!</v>
      </c>
    </row>
    <row r="9" spans="1:11" ht="15.6">
      <c r="A9" s="38">
        <v>15</v>
      </c>
      <c r="B9" s="39">
        <v>46934</v>
      </c>
      <c r="C9" s="38">
        <v>1.93</v>
      </c>
      <c r="D9" s="38">
        <v>14.28</v>
      </c>
      <c r="E9" s="51">
        <f t="shared" ca="1" si="1"/>
        <v>16.21</v>
      </c>
      <c r="F9" s="12" t="e">
        <f t="shared" ca="1" si="0"/>
        <v>#VALUE!</v>
      </c>
    </row>
    <row r="10" spans="1:11" ht="15.6">
      <c r="A10" s="38">
        <v>16</v>
      </c>
      <c r="B10" s="39">
        <v>47120</v>
      </c>
      <c r="C10" s="38">
        <v>1.29</v>
      </c>
      <c r="D10" s="38">
        <v>14.28</v>
      </c>
      <c r="E10" s="51">
        <f t="shared" ca="1" si="1"/>
        <v>15.57</v>
      </c>
      <c r="F10" s="12" t="e">
        <f t="shared" ca="1" si="0"/>
        <v>#VALUE!</v>
      </c>
    </row>
    <row r="11" spans="1:11" ht="15.6">
      <c r="A11" s="38">
        <v>17</v>
      </c>
      <c r="B11" s="39">
        <v>47301</v>
      </c>
      <c r="C11" s="38">
        <v>0.65</v>
      </c>
      <c r="D11" s="38">
        <v>14.32</v>
      </c>
      <c r="E11" s="51">
        <f t="shared" ca="1" si="1"/>
        <v>14.97</v>
      </c>
      <c r="F11" s="12" t="e">
        <f t="shared" ca="1" si="0"/>
        <v>#VALUE!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999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10.59765625" customWidth="1"/>
    <col min="2" max="2" width="13.19921875" customWidth="1"/>
    <col min="3" max="26" width="10.59765625" customWidth="1"/>
  </cols>
  <sheetData>
    <row r="1" spans="1:11" ht="15.6">
      <c r="A1" s="36" t="s">
        <v>32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5.6">
      <c r="A2" s="37"/>
      <c r="B2" s="22">
        <f ca="1">Main!D1</f>
        <v>46068</v>
      </c>
      <c r="C2" s="37"/>
      <c r="D2" s="37"/>
      <c r="E2" s="8" cm="1">
        <f t="array" ref="E2">-_xll.PrecioBD(A1,"24","ASK","N")</f>
        <v>-111.2</v>
      </c>
      <c r="J2" s="1" t="s">
        <v>84</v>
      </c>
      <c r="K2" s="1">
        <v>0.5</v>
      </c>
    </row>
    <row r="3" spans="1:11" ht="15.6">
      <c r="A3" s="38">
        <v>2</v>
      </c>
      <c r="B3" s="39">
        <v>45856</v>
      </c>
      <c r="C3" s="38">
        <v>4.71</v>
      </c>
      <c r="D3" s="38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SUM(F3:F18)</f>
        <v>3.6058106100532541</v>
      </c>
    </row>
    <row r="4" spans="1:11" ht="15.6">
      <c r="A4" s="38">
        <v>3</v>
      </c>
      <c r="B4" s="39">
        <v>46041</v>
      </c>
      <c r="C4" s="38">
        <v>4.79</v>
      </c>
      <c r="D4" s="38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2">
        <f ca="1">+XIRR(E2:E15,B2:B15)</f>
        <v>6.8281874060630812E-2</v>
      </c>
    </row>
    <row r="5" spans="1:11" ht="15.6">
      <c r="A5" s="38">
        <v>4</v>
      </c>
      <c r="B5" s="39">
        <v>46223</v>
      </c>
      <c r="C5" s="38">
        <v>4.71</v>
      </c>
      <c r="D5" s="38">
        <v>0</v>
      </c>
      <c r="E5" s="51">
        <f t="shared" ca="1" si="1"/>
        <v>4.71</v>
      </c>
      <c r="F5" s="12">
        <f t="shared" ca="1" si="0"/>
        <v>1.6921168780766556E-2</v>
      </c>
    </row>
    <row r="6" spans="1:11" ht="15.6">
      <c r="A6" s="38">
        <v>5</v>
      </c>
      <c r="B6" s="39">
        <v>46405</v>
      </c>
      <c r="C6" s="38">
        <v>4.79</v>
      </c>
      <c r="D6" s="38">
        <v>0</v>
      </c>
      <c r="E6" s="51">
        <f t="shared" ca="1" si="1"/>
        <v>4.79</v>
      </c>
      <c r="F6" s="12">
        <f t="shared" ca="1" si="0"/>
        <v>3.6202580861859721E-2</v>
      </c>
    </row>
    <row r="7" spans="1:11" ht="15.6">
      <c r="A7" s="38">
        <v>6</v>
      </c>
      <c r="B7" s="39">
        <v>46587</v>
      </c>
      <c r="C7" s="38">
        <v>4.71</v>
      </c>
      <c r="D7" s="38">
        <v>0</v>
      </c>
      <c r="E7" s="51">
        <f t="shared" ca="1" si="1"/>
        <v>4.71</v>
      </c>
      <c r="F7" s="12">
        <f t="shared" ca="1" si="0"/>
        <v>5.3046746039079912E-2</v>
      </c>
    </row>
    <row r="8" spans="1:11" ht="15.6">
      <c r="A8" s="38">
        <v>7</v>
      </c>
      <c r="B8" s="39">
        <v>46770</v>
      </c>
      <c r="C8" s="38">
        <v>4.79</v>
      </c>
      <c r="D8" s="38">
        <v>0</v>
      </c>
      <c r="E8" s="51">
        <f t="shared" ca="1" si="1"/>
        <v>4.79</v>
      </c>
      <c r="F8" s="12">
        <f t="shared" ca="1" si="0"/>
        <v>7.0592877331359494E-2</v>
      </c>
    </row>
    <row r="9" spans="1:11" ht="15.6">
      <c r="A9" s="38">
        <v>8</v>
      </c>
      <c r="B9" s="39">
        <v>46952</v>
      </c>
      <c r="C9" s="38">
        <v>4.74</v>
      </c>
      <c r="D9" s="38">
        <v>0</v>
      </c>
      <c r="E9" s="51">
        <f t="shared" ca="1" si="1"/>
        <v>4.74</v>
      </c>
      <c r="F9" s="12">
        <f t="shared" ca="1" si="0"/>
        <v>8.5116788855287409E-2</v>
      </c>
    </row>
    <row r="10" spans="1:11" ht="15.6">
      <c r="A10" s="38">
        <v>9</v>
      </c>
      <c r="B10" s="39">
        <v>47136</v>
      </c>
      <c r="C10" s="38">
        <v>4.79</v>
      </c>
      <c r="D10" s="38">
        <v>0</v>
      </c>
      <c r="E10" s="51">
        <f t="shared" ca="1" si="1"/>
        <v>4.79</v>
      </c>
      <c r="F10" s="12">
        <f t="shared" ca="1" si="0"/>
        <v>0.10051492974377473</v>
      </c>
    </row>
    <row r="11" spans="1:11" ht="15.6">
      <c r="A11" s="38">
        <v>10</v>
      </c>
      <c r="B11" s="39">
        <v>47317</v>
      </c>
      <c r="C11" s="38">
        <v>4.71</v>
      </c>
      <c r="D11" s="38">
        <v>33</v>
      </c>
      <c r="E11" s="51">
        <f t="shared" ca="1" si="1"/>
        <v>37.71</v>
      </c>
      <c r="F11" s="12">
        <f t="shared" ca="1" si="0"/>
        <v>0.89560752804714827</v>
      </c>
    </row>
    <row r="12" spans="1:11" ht="15.6">
      <c r="A12" s="38">
        <v>11</v>
      </c>
      <c r="B12" s="39">
        <v>47501</v>
      </c>
      <c r="C12" s="38">
        <v>3.21</v>
      </c>
      <c r="D12" s="38">
        <v>0</v>
      </c>
      <c r="E12" s="51">
        <f t="shared" ca="1" si="1"/>
        <v>3.21</v>
      </c>
      <c r="F12" s="12">
        <f t="shared" ca="1" si="0"/>
        <v>8.4603663750594277E-2</v>
      </c>
    </row>
    <row r="13" spans="1:11" ht="15.6">
      <c r="A13" s="38">
        <v>12</v>
      </c>
      <c r="B13" s="39">
        <v>47682</v>
      </c>
      <c r="C13" s="38">
        <v>3.16</v>
      </c>
      <c r="D13" s="38">
        <v>33</v>
      </c>
      <c r="E13" s="51">
        <f t="shared" ca="1" si="1"/>
        <v>36.159999999999997</v>
      </c>
      <c r="F13" s="12">
        <f t="shared" ca="1" si="0"/>
        <v>1.0388308951100902</v>
      </c>
    </row>
    <row r="14" spans="1:11" ht="15.6">
      <c r="A14" s="38">
        <v>13</v>
      </c>
      <c r="B14" s="39">
        <v>47868</v>
      </c>
      <c r="C14" s="38">
        <v>1.63</v>
      </c>
      <c r="D14" s="38">
        <v>0</v>
      </c>
      <c r="E14" s="51">
        <f t="shared" ca="1" si="1"/>
        <v>1.63</v>
      </c>
      <c r="F14" s="12">
        <f t="shared" ca="1" si="0"/>
        <v>5.049577183107317E-2</v>
      </c>
    </row>
    <row r="15" spans="1:11" ht="15.6">
      <c r="A15" s="38">
        <v>14</v>
      </c>
      <c r="B15" s="39">
        <v>48047</v>
      </c>
      <c r="C15" s="38">
        <v>1.6</v>
      </c>
      <c r="D15" s="38">
        <v>34</v>
      </c>
      <c r="E15" s="51">
        <f t="shared" ca="1" si="1"/>
        <v>35.6</v>
      </c>
      <c r="F15" s="12">
        <f t="shared" ca="1" si="0"/>
        <v>1.1738776597022202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42"/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3</v>
      </c>
      <c r="B3" s="28">
        <v>45897</v>
      </c>
      <c r="C3" s="7">
        <v>3.47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SUM(F3:F6)</f>
        <v>#VALUE!</v>
      </c>
    </row>
    <row r="4" spans="1:11" ht="15" customHeight="1">
      <c r="A4" s="7">
        <v>4</v>
      </c>
      <c r="B4" s="28">
        <v>46083</v>
      </c>
      <c r="C4" s="7">
        <v>3.53</v>
      </c>
      <c r="D4" s="7">
        <v>0</v>
      </c>
      <c r="E4" s="51">
        <f t="shared" ref="E4:E24" ca="1" si="0">IF(B4&lt;=$B$2,0,(C4+D4))</f>
        <v>3.53</v>
      </c>
      <c r="F4" s="12" t="e">
        <f ca="1">(E4*(B4-$B$2)/365)/(1+$K$4)^((B4-$B$2)/365)/-$E$2/(1+$K$4)^$K$2</f>
        <v>#VALUE!</v>
      </c>
      <c r="J4" s="1" t="s">
        <v>4</v>
      </c>
      <c r="K4" s="2" t="e">
        <f ca="1">XIRR(E2:E6,B2:B6)</f>
        <v>#VALUE!</v>
      </c>
    </row>
    <row r="5" spans="1:11" ht="15" customHeight="1">
      <c r="A5" s="7">
        <v>5</v>
      </c>
      <c r="B5" s="28">
        <v>46262</v>
      </c>
      <c r="C5" s="7">
        <v>3.47</v>
      </c>
      <c r="D5" s="7">
        <v>0</v>
      </c>
      <c r="E5" s="51">
        <f t="shared" ca="1" si="0"/>
        <v>3.47</v>
      </c>
      <c r="F5" s="12" t="e">
        <f ca="1">(E5*(B5-$B$2)/365)/(1+$K$4)^((B5-$B$2)/365)/-$E$2/(1+$K$4)^$K$2</f>
        <v>#VALUE!</v>
      </c>
      <c r="J5" s="15" t="s">
        <v>86</v>
      </c>
    </row>
    <row r="6" spans="1:11" ht="15" customHeight="1">
      <c r="A6" s="7">
        <v>6</v>
      </c>
      <c r="B6" s="28">
        <v>46446</v>
      </c>
      <c r="C6" s="7">
        <v>3.53</v>
      </c>
      <c r="D6" s="7">
        <v>100</v>
      </c>
      <c r="E6" s="51">
        <f t="shared" ca="1" si="0"/>
        <v>103.53</v>
      </c>
      <c r="F6" s="12" t="e">
        <f ca="1">(E6*(B6-$B$2)/365)/(1+$K$4)^((B6-$B$2)/365)/-$E$2/(1+$K$4)^$K$2</f>
        <v>#VALUE!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2E00-000000000000}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99"/>
  <sheetViews>
    <sheetView workbookViewId="0">
      <selection activeCell="B2" sqref="B2"/>
    </sheetView>
  </sheetViews>
  <sheetFormatPr baseColWidth="10" defaultColWidth="12.59765625" defaultRowHeight="15" customHeight="1"/>
  <cols>
    <col min="1" max="1" width="10.59765625" customWidth="1"/>
    <col min="2" max="2" width="16.69921875" customWidth="1"/>
    <col min="3" max="4" width="10.59765625" customWidth="1"/>
    <col min="5" max="5" width="14.59765625" customWidth="1"/>
    <col min="6" max="25" width="10.59765625" customWidth="1"/>
  </cols>
  <sheetData>
    <row r="1" spans="1:11" ht="16.2" thickBot="1">
      <c r="A1" s="36" t="s">
        <v>23</v>
      </c>
      <c r="B1" s="37" t="s">
        <v>80</v>
      </c>
      <c r="C1" s="37" t="s">
        <v>81</v>
      </c>
      <c r="D1" s="37" t="s">
        <v>82</v>
      </c>
      <c r="E1" s="37" t="s">
        <v>83</v>
      </c>
    </row>
    <row r="2" spans="1:11" ht="16.2" thickBot="1">
      <c r="A2" s="37"/>
      <c r="B2" s="22">
        <f ca="1">Main!D1</f>
        <v>46068</v>
      </c>
      <c r="C2" s="37"/>
      <c r="D2" s="37"/>
      <c r="E2" s="8" cm="1">
        <f t="array" ref="E2">-_xll.PrecioBD(A1,"24","ASK","N")</f>
        <v>-68.89</v>
      </c>
      <c r="J2" s="1" t="s">
        <v>84</v>
      </c>
      <c r="K2" s="1">
        <v>0.5</v>
      </c>
    </row>
    <row r="3" spans="1:11" ht="16.2" thickBot="1">
      <c r="A3" s="38">
        <v>6</v>
      </c>
      <c r="B3" s="39">
        <v>45831</v>
      </c>
      <c r="C3" s="38">
        <v>3.6</v>
      </c>
      <c r="D3" s="38">
        <v>17.5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SUM(F3:F101)</f>
        <v>1.4147671399811201</v>
      </c>
    </row>
    <row r="4" spans="1:11" ht="16.2" thickBot="1">
      <c r="A4" s="38">
        <v>7</v>
      </c>
      <c r="B4" s="39">
        <v>46013</v>
      </c>
      <c r="C4" s="38">
        <v>2.85</v>
      </c>
      <c r="D4" s="38">
        <v>0</v>
      </c>
      <c r="E4" s="51">
        <f t="shared" ref="E4:E24" ca="1" si="1">IF(B4&lt;=$B$2,0,(C4+D4))</f>
        <v>0</v>
      </c>
      <c r="F4" s="12">
        <f t="shared" ca="1" si="0"/>
        <v>0</v>
      </c>
      <c r="J4" s="1" t="s">
        <v>4</v>
      </c>
      <c r="K4" s="43">
        <f ca="1">+XIRR(E2:E9,B2:B9)</f>
        <v>5.5855002999305722E-2</v>
      </c>
    </row>
    <row r="5" spans="1:11" ht="15.6">
      <c r="A5" s="38">
        <v>8</v>
      </c>
      <c r="B5" s="39">
        <v>46195</v>
      </c>
      <c r="C5" s="38">
        <v>2.84</v>
      </c>
      <c r="D5" s="38">
        <v>17.5</v>
      </c>
      <c r="E5" s="51">
        <f t="shared" ca="1" si="1"/>
        <v>20.34</v>
      </c>
      <c r="F5" s="12">
        <f t="shared" ca="1" si="0"/>
        <v>9.8104850997291229E-2</v>
      </c>
      <c r="J5" s="15" t="s">
        <v>86</v>
      </c>
    </row>
    <row r="6" spans="1:11" ht="15.6">
      <c r="A6" s="38">
        <v>9</v>
      </c>
      <c r="B6" s="39">
        <v>46378</v>
      </c>
      <c r="C6" s="38">
        <v>2.08</v>
      </c>
      <c r="D6" s="38">
        <v>0</v>
      </c>
      <c r="E6" s="51">
        <f t="shared" ca="1" si="1"/>
        <v>2.08</v>
      </c>
      <c r="F6" s="12">
        <f t="shared" ca="1" si="0"/>
        <v>2.3830127504563904E-2</v>
      </c>
    </row>
    <row r="7" spans="1:11" ht="15.6">
      <c r="A7" s="38">
        <v>10</v>
      </c>
      <c r="B7" s="39">
        <v>46560</v>
      </c>
      <c r="C7" s="38">
        <v>2.0699999999999998</v>
      </c>
      <c r="D7" s="38">
        <v>17.5</v>
      </c>
      <c r="E7" s="51">
        <f t="shared" ca="1" si="1"/>
        <v>19.57</v>
      </c>
      <c r="F7" s="12">
        <f t="shared" ca="1" si="0"/>
        <v>0.34632788387727326</v>
      </c>
    </row>
    <row r="8" spans="1:11" ht="15.6">
      <c r="A8" s="38">
        <v>11</v>
      </c>
      <c r="B8" s="39">
        <v>46743</v>
      </c>
      <c r="C8" s="38">
        <v>1.32</v>
      </c>
      <c r="D8" s="38">
        <v>0</v>
      </c>
      <c r="E8" s="51">
        <f t="shared" ca="1" si="1"/>
        <v>1.32</v>
      </c>
      <c r="F8" s="12">
        <f t="shared" ca="1" si="0"/>
        <v>3.1187083224339662E-2</v>
      </c>
    </row>
    <row r="9" spans="1:11" ht="15.6">
      <c r="A9" s="38">
        <v>12</v>
      </c>
      <c r="B9" s="39">
        <v>46926</v>
      </c>
      <c r="C9" s="38">
        <v>1.32</v>
      </c>
      <c r="D9" s="38">
        <v>30</v>
      </c>
      <c r="E9" s="51">
        <f t="shared" ca="1" si="1"/>
        <v>31.32</v>
      </c>
      <c r="F9" s="12">
        <f t="shared" ca="1" si="0"/>
        <v>0.91531719437765202</v>
      </c>
    </row>
    <row r="10" spans="1:11" ht="15.6">
      <c r="A10" s="38"/>
      <c r="B10" s="38"/>
      <c r="C10" s="38"/>
      <c r="D10" s="38"/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NY'!A1" display="ONS" xr:uid="{00000000-0004-0000-2F00-000000000000}"/>
  </hyperlinks>
  <pageMargins left="0.7" right="0.7" top="0.75" bottom="0.75" header="0" footer="0"/>
  <pageSetup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3</v>
      </c>
      <c r="B3" s="28">
        <v>45855</v>
      </c>
      <c r="C3" s="7">
        <v>2.98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#VALUE!</v>
      </c>
      <c r="J3" s="13" t="s">
        <v>85</v>
      </c>
      <c r="K3" s="14" t="e">
        <f ca="1">SUM(F4:F102)</f>
        <v>#VALUE!</v>
      </c>
    </row>
    <row r="4" spans="1:11" ht="15" customHeight="1">
      <c r="A4" s="7">
        <v>4</v>
      </c>
      <c r="B4" s="28">
        <v>46041</v>
      </c>
      <c r="C4" s="7">
        <v>3.02</v>
      </c>
      <c r="D4" s="7">
        <v>0</v>
      </c>
      <c r="E4" s="51">
        <f t="shared" ref="E4:E24" ca="1" si="0">IF(B4&lt;=$B$2,0,(C4+D4))</f>
        <v>0</v>
      </c>
      <c r="F4" s="12" t="e">
        <f ca="1">(E4*(B4-$B$2)/365)/(1+$K$4)^((B4-$B$2)/365)/-$E$2/(1+$K$4)^$K$2</f>
        <v>#VALUE!</v>
      </c>
      <c r="J4" s="1" t="s">
        <v>4</v>
      </c>
      <c r="K4" s="2" t="e">
        <f ca="1">XIRR(E2:E6,B2:B6)</f>
        <v>#VALUE!</v>
      </c>
    </row>
    <row r="5" spans="1:11" ht="15" customHeight="1">
      <c r="A5" s="7">
        <v>5</v>
      </c>
      <c r="B5" s="28">
        <v>46220</v>
      </c>
      <c r="C5" s="7">
        <v>2.98</v>
      </c>
      <c r="D5" s="7">
        <v>0</v>
      </c>
      <c r="E5" s="51">
        <f t="shared" ca="1" si="0"/>
        <v>2.98</v>
      </c>
      <c r="F5" s="12" t="e">
        <f ca="1">(E5*(B5-$B$2)/365)/(1+$K$4)^((B5-$B$2)/365)/-$E$2/(1+$K$4)^$K$2</f>
        <v>#VALUE!</v>
      </c>
      <c r="J5" s="15" t="s">
        <v>86</v>
      </c>
    </row>
    <row r="6" spans="1:11" ht="15" customHeight="1">
      <c r="A6" s="7">
        <v>6</v>
      </c>
      <c r="B6" s="28">
        <v>46404</v>
      </c>
      <c r="C6" s="7">
        <v>3.02</v>
      </c>
      <c r="D6" s="7">
        <v>100</v>
      </c>
      <c r="E6" s="51">
        <f t="shared" ca="1" si="0"/>
        <v>103.02</v>
      </c>
      <c r="F6" s="12" t="e">
        <f ca="1">(E6*(B6-$B$2)/365)/(1+$K$4)^((B6-$B$2)/365)/-$E$2/(1+$K$4)^$K$2</f>
        <v>#VALUE!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3000-000000000000}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35</v>
      </c>
      <c r="C1" s="3" t="s">
        <v>81</v>
      </c>
      <c r="D1" s="3" t="s">
        <v>82</v>
      </c>
    </row>
    <row r="2" spans="1:11" ht="15" customHeight="1">
      <c r="A2" s="7">
        <v>1</v>
      </c>
      <c r="B2" s="22">
        <f ca="1">Main!D1</f>
        <v>46068</v>
      </c>
      <c r="C2" s="7"/>
      <c r="D2" s="7"/>
      <c r="E2" s="8" cm="1">
        <f t="array" ref="E2">-_xll.PrecioBD(A1,"24","ASK","N")</f>
        <v>-111</v>
      </c>
      <c r="J2" s="1" t="s">
        <v>84</v>
      </c>
      <c r="K2" s="1">
        <v>0.5</v>
      </c>
    </row>
    <row r="3" spans="1:11" ht="15" customHeight="1">
      <c r="A3" s="7">
        <v>2</v>
      </c>
      <c r="B3" s="28">
        <v>45910</v>
      </c>
      <c r="C3" s="7">
        <v>3.98</v>
      </c>
      <c r="D3" s="7">
        <v>0</v>
      </c>
      <c r="E3" s="51">
        <f ca="1">IF(B3&lt;=$B$2,0,(C3+D3))</f>
        <v>0</v>
      </c>
      <c r="F3" s="12">
        <f t="shared" ref="F3:F15" ca="1" si="0">(E3*(B3-$B$2)/365)/(1+$K$4)^((B3-$B$2)/365)/-$E$2/(1+$K$4)^$K$2</f>
        <v>0</v>
      </c>
      <c r="J3" s="13" t="s">
        <v>85</v>
      </c>
      <c r="K3" s="14">
        <f ca="1">SUM(F3:F102)</f>
        <v>4.3651620407883085</v>
      </c>
    </row>
    <row r="4" spans="1:11" ht="15" customHeight="1">
      <c r="A4" s="7">
        <v>3</v>
      </c>
      <c r="B4" s="28">
        <v>46091</v>
      </c>
      <c r="C4" s="7">
        <v>3.98</v>
      </c>
      <c r="D4" s="7">
        <v>0</v>
      </c>
      <c r="E4" s="51">
        <f t="shared" ref="E4:E24" ca="1" si="1">IF(B4&lt;=$B$2,0,(C4+D4))</f>
        <v>3.98</v>
      </c>
      <c r="F4" s="12">
        <f t="shared" ca="1" si="0"/>
        <v>2.1815743875594419E-3</v>
      </c>
      <c r="J4" s="1" t="s">
        <v>4</v>
      </c>
      <c r="K4" s="2">
        <f ca="1">XIRR(E2:E15,B2:B15)</f>
        <v>6.4246031641960133E-2</v>
      </c>
    </row>
    <row r="5" spans="1:11" ht="15" customHeight="1">
      <c r="A5" s="7">
        <v>4</v>
      </c>
      <c r="B5" s="28">
        <v>46275</v>
      </c>
      <c r="C5" s="7">
        <v>3.98</v>
      </c>
      <c r="D5" s="7">
        <v>0</v>
      </c>
      <c r="E5" s="51">
        <f t="shared" ca="1" si="1"/>
        <v>3.98</v>
      </c>
      <c r="F5" s="12">
        <f t="shared" ca="1" si="0"/>
        <v>1.9027441012096209E-2</v>
      </c>
      <c r="J5" s="15" t="s">
        <v>86</v>
      </c>
      <c r="K5" s="20" t="s">
        <v>88</v>
      </c>
    </row>
    <row r="6" spans="1:11" ht="15" customHeight="1">
      <c r="A6" s="7">
        <v>5</v>
      </c>
      <c r="B6" s="28">
        <v>46456</v>
      </c>
      <c r="C6" s="7">
        <v>3.98</v>
      </c>
      <c r="D6" s="7">
        <v>0</v>
      </c>
      <c r="E6" s="51">
        <f t="shared" ca="1" si="1"/>
        <v>3.98</v>
      </c>
      <c r="F6" s="12">
        <f t="shared" ca="1" si="0"/>
        <v>3.4580548400772154E-2</v>
      </c>
    </row>
    <row r="7" spans="1:11" ht="15" customHeight="1">
      <c r="A7" s="7">
        <v>6</v>
      </c>
      <c r="B7" s="28">
        <v>46640</v>
      </c>
      <c r="C7" s="7">
        <v>3.98</v>
      </c>
      <c r="D7" s="7">
        <v>0</v>
      </c>
      <c r="E7" s="51">
        <f t="shared" ca="1" si="1"/>
        <v>3.98</v>
      </c>
      <c r="F7" s="12">
        <f t="shared" ca="1" si="0"/>
        <v>4.9404217853263252E-2</v>
      </c>
    </row>
    <row r="8" spans="1:11" ht="15" customHeight="1">
      <c r="A8" s="7">
        <v>7</v>
      </c>
      <c r="B8" s="28">
        <v>46822</v>
      </c>
      <c r="C8" s="7">
        <v>3.98</v>
      </c>
      <c r="D8" s="7">
        <v>0</v>
      </c>
      <c r="E8" s="51">
        <f t="shared" ca="1" si="1"/>
        <v>3.98</v>
      </c>
      <c r="F8" s="12">
        <f t="shared" ca="1" si="0"/>
        <v>6.3132846260204295E-2</v>
      </c>
    </row>
    <row r="9" spans="1:11" ht="15" customHeight="1">
      <c r="A9" s="7">
        <v>8</v>
      </c>
      <c r="B9" s="28">
        <v>47007</v>
      </c>
      <c r="C9" s="7">
        <v>3.98</v>
      </c>
      <c r="D9" s="7">
        <v>0</v>
      </c>
      <c r="E9" s="51">
        <f t="shared" ca="1" si="1"/>
        <v>3.98</v>
      </c>
      <c r="F9" s="12">
        <f t="shared" ca="1" si="0"/>
        <v>7.6180422434817721E-2</v>
      </c>
    </row>
    <row r="10" spans="1:11" ht="15" customHeight="1">
      <c r="A10" s="7">
        <v>9</v>
      </c>
      <c r="B10" s="28">
        <v>47189</v>
      </c>
      <c r="C10" s="7">
        <v>3.98</v>
      </c>
      <c r="D10" s="7">
        <v>0</v>
      </c>
      <c r="E10" s="51">
        <f t="shared" ca="1" si="1"/>
        <v>3.98</v>
      </c>
      <c r="F10" s="12">
        <f t="shared" ca="1" si="0"/>
        <v>8.8165651497580461E-2</v>
      </c>
    </row>
    <row r="11" spans="1:11" ht="15" customHeight="1">
      <c r="A11" s="7">
        <v>10</v>
      </c>
      <c r="B11" s="28">
        <v>47371</v>
      </c>
      <c r="C11" s="7">
        <v>3.98</v>
      </c>
      <c r="D11" s="7">
        <v>0</v>
      </c>
      <c r="E11" s="51">
        <f t="shared" ca="1" si="1"/>
        <v>3.98</v>
      </c>
      <c r="F11" s="12">
        <f t="shared" ca="1" si="0"/>
        <v>9.9346883603709885E-2</v>
      </c>
    </row>
    <row r="12" spans="1:11" ht="15" customHeight="1">
      <c r="A12" s="7">
        <v>11</v>
      </c>
      <c r="B12" s="28">
        <v>47553</v>
      </c>
      <c r="C12" s="7">
        <v>3.98</v>
      </c>
      <c r="D12" s="7">
        <v>0</v>
      </c>
      <c r="E12" s="51">
        <f t="shared" ca="1" si="1"/>
        <v>3.98</v>
      </c>
      <c r="F12" s="12">
        <f t="shared" ca="1" si="0"/>
        <v>0.10976207547438881</v>
      </c>
    </row>
    <row r="13" spans="1:11" ht="15" customHeight="1">
      <c r="A13" s="7">
        <v>12</v>
      </c>
      <c r="B13" s="28">
        <v>47736</v>
      </c>
      <c r="C13" s="7">
        <v>3.98</v>
      </c>
      <c r="D13" s="7">
        <v>0</v>
      </c>
      <c r="E13" s="51">
        <f t="shared" ca="1" si="1"/>
        <v>3.98</v>
      </c>
      <c r="F13" s="12">
        <f t="shared" ca="1" si="0"/>
        <v>0.11949888126281011</v>
      </c>
    </row>
    <row r="14" spans="1:11" ht="15" customHeight="1">
      <c r="A14" s="7">
        <v>13</v>
      </c>
      <c r="B14" s="28">
        <v>47917</v>
      </c>
      <c r="C14" s="7">
        <v>3.98</v>
      </c>
      <c r="D14" s="7">
        <v>0</v>
      </c>
      <c r="E14" s="51">
        <f t="shared" ca="1" si="1"/>
        <v>3.98</v>
      </c>
      <c r="F14" s="12">
        <f t="shared" ca="1" si="0"/>
        <v>0.12843837915060452</v>
      </c>
    </row>
    <row r="15" spans="1:11" ht="15" customHeight="1">
      <c r="A15" s="7">
        <v>14</v>
      </c>
      <c r="B15" s="28">
        <v>48101</v>
      </c>
      <c r="C15" s="7">
        <v>3.98</v>
      </c>
      <c r="D15" s="7">
        <v>100</v>
      </c>
      <c r="E15" s="51">
        <f t="shared" ca="1" si="1"/>
        <v>103.98</v>
      </c>
      <c r="F15" s="12">
        <f t="shared" ca="1" si="0"/>
        <v>3.5754431194505019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NY'!A1" display="ONS" xr:uid="{00000000-0004-0000-3100-000000000000}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42" t="s">
        <v>16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cm="1">
        <f t="array" ref="E2">-_xll.PrecioBD(A1,"24","ASK","N")</f>
        <v>0</v>
      </c>
      <c r="J2" s="1" t="s">
        <v>84</v>
      </c>
      <c r="K2" s="1">
        <v>0.5</v>
      </c>
    </row>
    <row r="3" spans="1:11" ht="15" customHeight="1">
      <c r="A3" s="7">
        <v>6</v>
      </c>
      <c r="B3" s="28">
        <v>45817</v>
      </c>
      <c r="C3" s="7">
        <v>3.02</v>
      </c>
      <c r="D3" s="7">
        <v>0</v>
      </c>
      <c r="E3" s="51">
        <f ca="1">IF(B3&lt;=$B$2,0,(C3+D3))</f>
        <v>0</v>
      </c>
      <c r="F3" s="12" t="e">
        <f ca="1">(E3*(B3-$B$2)/365)/(1+$K$4)^((B3-$B$2)/365)/-$E$2/(1+$K$4)^$K$2</f>
        <v>#NUM!</v>
      </c>
      <c r="J3" s="13" t="s">
        <v>85</v>
      </c>
      <c r="K3" s="14" t="e">
        <f ca="1">SUM(F3:F102)</f>
        <v>#NUM!</v>
      </c>
    </row>
    <row r="4" spans="1:11" ht="15" customHeight="1">
      <c r="A4" s="7">
        <v>7</v>
      </c>
      <c r="B4" s="28">
        <v>46000</v>
      </c>
      <c r="C4" s="7">
        <v>3.02</v>
      </c>
      <c r="D4" s="7">
        <v>33</v>
      </c>
      <c r="E4" s="51">
        <f t="shared" ref="E4:E24" ca="1" si="0">IF(B4&lt;=$B$2,0,(C4+D4))</f>
        <v>0</v>
      </c>
      <c r="F4" s="12" t="e">
        <f ca="1">(E4*(B4-$B$2)/365)/(1+$K$4)^((B4-$B$2)/365)/-$E$2/(1+$K$4)^$K$2</f>
        <v>#NUM!</v>
      </c>
      <c r="J4" s="1" t="s">
        <v>4</v>
      </c>
      <c r="K4" s="2" t="e">
        <f ca="1">XIRR(E2:E6,B2:B6)</f>
        <v>#NUM!</v>
      </c>
    </row>
    <row r="5" spans="1:11" ht="15" customHeight="1">
      <c r="A5" s="7">
        <v>8</v>
      </c>
      <c r="B5" s="28">
        <v>46181</v>
      </c>
      <c r="C5" s="7">
        <v>1.53</v>
      </c>
      <c r="D5" s="7">
        <v>0</v>
      </c>
      <c r="E5" s="51">
        <f t="shared" ca="1" si="0"/>
        <v>1.53</v>
      </c>
      <c r="F5" s="12" t="e">
        <f ca="1">(E5*(B5-$B$2)/365)/(1+$K$4)^((B5-$B$2)/365)/-$E$2/(1+$K$4)^$K$2</f>
        <v>#NUM!</v>
      </c>
      <c r="J5" s="15" t="s">
        <v>86</v>
      </c>
    </row>
    <row r="6" spans="1:11" ht="15" customHeight="1">
      <c r="A6" s="7">
        <v>9</v>
      </c>
      <c r="B6" s="28">
        <v>46364</v>
      </c>
      <c r="C6" s="7">
        <v>1.53</v>
      </c>
      <c r="D6" s="7">
        <v>34</v>
      </c>
      <c r="E6" s="51">
        <f t="shared" ca="1" si="0"/>
        <v>35.53</v>
      </c>
      <c r="F6" s="12" t="e">
        <f ca="1">(E6*(B6-$B$2)/365)/(1+$K$4)^((B6-$B$2)/365)/-$E$2/(1+$K$4)^$K$2</f>
        <v>#NUM!</v>
      </c>
    </row>
    <row r="7" spans="1:11" ht="15" customHeight="1">
      <c r="E7" s="51">
        <f t="shared" ca="1" si="0"/>
        <v>0</v>
      </c>
    </row>
    <row r="8" spans="1:11" ht="15" customHeight="1">
      <c r="E8" s="51">
        <f t="shared" ca="1" si="0"/>
        <v>0</v>
      </c>
    </row>
    <row r="9" spans="1:11" ht="15" customHeight="1">
      <c r="E9" s="51">
        <f t="shared" ca="1" si="0"/>
        <v>0</v>
      </c>
    </row>
    <row r="10" spans="1:11" ht="15" customHeight="1">
      <c r="E10" s="51">
        <f t="shared" ca="1" si="0"/>
        <v>0</v>
      </c>
    </row>
    <row r="11" spans="1:11" ht="15" customHeight="1">
      <c r="E11" s="51">
        <f t="shared" ca="1" si="0"/>
        <v>0</v>
      </c>
    </row>
    <row r="12" spans="1:11" ht="15" customHeight="1">
      <c r="E12" s="51">
        <f t="shared" ca="1" si="0"/>
        <v>0</v>
      </c>
    </row>
    <row r="13" spans="1:11" ht="15" customHeight="1">
      <c r="E13" s="51">
        <f t="shared" ca="1" si="0"/>
        <v>0</v>
      </c>
    </row>
    <row r="14" spans="1:11" ht="15" customHeight="1">
      <c r="E14" s="51">
        <f t="shared" ca="1" si="0"/>
        <v>0</v>
      </c>
    </row>
    <row r="15" spans="1:11" ht="15" customHeight="1"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</sheetData>
  <hyperlinks>
    <hyperlink ref="J5" location="'ONS NY'!A1" display="ONS" xr:uid="{00000000-0004-0000-3200-000000000000}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K24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3" t="s">
        <v>93</v>
      </c>
      <c r="C1" s="3" t="s">
        <v>81</v>
      </c>
      <c r="D1" s="3" t="s">
        <v>82</v>
      </c>
    </row>
    <row r="2" spans="1:11" ht="15" customHeight="1"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5</v>
      </c>
      <c r="B3" s="28">
        <v>45756</v>
      </c>
      <c r="C3" s="7">
        <v>3.53</v>
      </c>
      <c r="D3" s="7">
        <v>14.28</v>
      </c>
      <c r="E3" s="51">
        <f ca="1">IF(B3&lt;=$B$2,0,(C3+D3))</f>
        <v>0</v>
      </c>
      <c r="F3" s="12" t="e">
        <f t="shared" ref="F3:F8" ca="1" si="0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6</v>
      </c>
      <c r="B4" s="28">
        <v>45939</v>
      </c>
      <c r="C4" s="7">
        <v>2.95</v>
      </c>
      <c r="D4" s="7">
        <v>14.28</v>
      </c>
      <c r="E4" s="51">
        <f t="shared" ref="E4:E24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XIRR(E2:E8,B2:B8)</f>
        <v>#VALUE!</v>
      </c>
    </row>
    <row r="5" spans="1:11" ht="15" customHeight="1">
      <c r="A5" s="7">
        <v>7</v>
      </c>
      <c r="B5" s="28">
        <v>46121</v>
      </c>
      <c r="C5" s="7">
        <v>2.35</v>
      </c>
      <c r="D5" s="7">
        <v>14.28</v>
      </c>
      <c r="E5" s="51">
        <f t="shared" ca="1" si="1"/>
        <v>16.63</v>
      </c>
      <c r="F5" s="12" t="e">
        <f t="shared" ca="1" si="0"/>
        <v>#VALUE!</v>
      </c>
      <c r="J5" s="15" t="s">
        <v>86</v>
      </c>
    </row>
    <row r="6" spans="1:11" ht="15" customHeight="1">
      <c r="A6" s="7">
        <v>8</v>
      </c>
      <c r="B6" s="28">
        <v>46304</v>
      </c>
      <c r="C6" s="7">
        <v>1.77</v>
      </c>
      <c r="D6" s="7">
        <v>14.28</v>
      </c>
      <c r="E6" s="51">
        <f t="shared" ca="1" si="1"/>
        <v>16.05</v>
      </c>
      <c r="F6" s="12" t="e">
        <f t="shared" ca="1" si="0"/>
        <v>#VALUE!</v>
      </c>
    </row>
    <row r="7" spans="1:11" ht="15" customHeight="1">
      <c r="A7" s="7">
        <v>9</v>
      </c>
      <c r="B7" s="28">
        <v>46486</v>
      </c>
      <c r="C7" s="7">
        <v>1.18</v>
      </c>
      <c r="D7" s="7">
        <v>14.28</v>
      </c>
      <c r="E7" s="51">
        <f t="shared" ca="1" si="1"/>
        <v>15.459999999999999</v>
      </c>
      <c r="F7" s="12" t="e">
        <f t="shared" ca="1" si="0"/>
        <v>#VALUE!</v>
      </c>
    </row>
    <row r="8" spans="1:11" ht="15" customHeight="1">
      <c r="A8" s="7">
        <v>10</v>
      </c>
      <c r="B8" s="32">
        <v>46671</v>
      </c>
      <c r="C8" s="7">
        <v>0.6</v>
      </c>
      <c r="D8" s="7">
        <v>14.32</v>
      </c>
      <c r="E8" s="51">
        <f t="shared" ca="1" si="1"/>
        <v>14.92</v>
      </c>
      <c r="F8" s="12" t="e">
        <f t="shared" ca="1" si="0"/>
        <v>#VALUE!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</sheetData>
  <hyperlinks>
    <hyperlink ref="J5" location="'ONS NY'!A1" display="ONS" xr:uid="{00000000-0004-0000-3300-000000000000}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59765625" defaultRowHeight="15" customHeight="1"/>
  <cols>
    <col min="10" max="10" width="17.69921875" customWidth="1"/>
  </cols>
  <sheetData>
    <row r="1" spans="1:11" ht="15" customHeight="1">
      <c r="A1" s="42" t="s">
        <v>34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cm="1">
        <f t="array" ref="E2">-_xll.PrecioBD(A1,"24","ASK","N")</f>
        <v>-106.3</v>
      </c>
      <c r="J2" s="1" t="s">
        <v>84</v>
      </c>
      <c r="K2" s="1">
        <v>0.25</v>
      </c>
    </row>
    <row r="3" spans="1:11" ht="15" customHeight="1">
      <c r="A3" s="7">
        <v>14</v>
      </c>
      <c r="B3" s="28">
        <v>45779</v>
      </c>
      <c r="C3" s="7">
        <v>2.0699999999999998</v>
      </c>
      <c r="D3" s="7">
        <v>0</v>
      </c>
      <c r="E3" s="51">
        <f ca="1">IF(B3&lt;=$B$2,0,(C3+D3))</f>
        <v>0</v>
      </c>
      <c r="F3" s="12">
        <f t="shared" ref="F3:F28" ca="1" si="0">(E3*(B3-$B$2)/365)/(1+$K$4)^((B3-$B$2)/365)/-$E$2/(1+$K$4)^$K$2</f>
        <v>0</v>
      </c>
      <c r="J3" s="13" t="s">
        <v>85</v>
      </c>
      <c r="K3" s="14">
        <f ca="1">SUM(F3:F102)</f>
        <v>2.9687022640638969</v>
      </c>
    </row>
    <row r="4" spans="1:11" ht="15" customHeight="1">
      <c r="A4" s="7">
        <v>15</v>
      </c>
      <c r="B4" s="28">
        <v>45870</v>
      </c>
      <c r="C4" s="7">
        <v>2.14</v>
      </c>
      <c r="D4" s="7">
        <v>0</v>
      </c>
      <c r="E4" s="51">
        <f t="shared" ref="E4:E28" ca="1" si="1">IF(B4&lt;=$B$2,0,(C4+D4))</f>
        <v>0</v>
      </c>
      <c r="F4" s="12">
        <f t="shared" ca="1" si="0"/>
        <v>0</v>
      </c>
      <c r="J4" s="1" t="s">
        <v>4</v>
      </c>
      <c r="K4" s="2">
        <f ca="1">XIRR(E2:E28,B2:B28)</f>
        <v>6.1365076899528498E-2</v>
      </c>
    </row>
    <row r="5" spans="1:11" ht="15" customHeight="1">
      <c r="A5" s="7">
        <v>16</v>
      </c>
      <c r="B5" s="28">
        <v>45964</v>
      </c>
      <c r="C5" s="7">
        <v>2.14</v>
      </c>
      <c r="D5" s="7">
        <v>0</v>
      </c>
      <c r="E5" s="51">
        <f t="shared" ca="1" si="1"/>
        <v>0</v>
      </c>
      <c r="F5" s="12">
        <f t="shared" ca="1" si="0"/>
        <v>0</v>
      </c>
      <c r="J5" s="15" t="s">
        <v>86</v>
      </c>
    </row>
    <row r="6" spans="1:11" ht="15" customHeight="1">
      <c r="A6" s="7">
        <v>17</v>
      </c>
      <c r="B6" s="28">
        <v>46055</v>
      </c>
      <c r="C6" s="7">
        <v>2.14</v>
      </c>
      <c r="D6" s="7">
        <v>1.52</v>
      </c>
      <c r="E6" s="51">
        <f t="shared" ca="1" si="1"/>
        <v>0</v>
      </c>
      <c r="F6" s="12">
        <f t="shared" ca="1" si="0"/>
        <v>0</v>
      </c>
    </row>
    <row r="7" spans="1:11" ht="15" customHeight="1">
      <c r="A7" s="7">
        <v>18</v>
      </c>
      <c r="B7" s="28">
        <v>46146</v>
      </c>
      <c r="C7" s="7">
        <v>2.04</v>
      </c>
      <c r="D7" s="7">
        <v>0</v>
      </c>
      <c r="E7" s="51">
        <f t="shared" ca="1" si="1"/>
        <v>2.04</v>
      </c>
      <c r="F7" s="12">
        <f t="shared" ca="1" si="0"/>
        <v>3.9893778479536436E-3</v>
      </c>
    </row>
    <row r="8" spans="1:11" ht="15" customHeight="1">
      <c r="A8" s="7">
        <v>19</v>
      </c>
      <c r="B8" s="28">
        <v>46237</v>
      </c>
      <c r="C8" s="7">
        <v>2.11</v>
      </c>
      <c r="D8" s="7">
        <v>0.89</v>
      </c>
      <c r="E8" s="51">
        <f t="shared" ca="1" si="1"/>
        <v>3</v>
      </c>
      <c r="F8" s="12">
        <f t="shared" ca="1" si="0"/>
        <v>1.2523908277021819E-2</v>
      </c>
    </row>
    <row r="9" spans="1:11" ht="15" customHeight="1">
      <c r="A9" s="7">
        <v>20</v>
      </c>
      <c r="B9" s="28">
        <v>46328</v>
      </c>
      <c r="C9" s="7">
        <v>2.09</v>
      </c>
      <c r="D9" s="7">
        <v>0</v>
      </c>
      <c r="E9" s="51">
        <f t="shared" ca="1" si="1"/>
        <v>2.09</v>
      </c>
      <c r="F9" s="12">
        <f t="shared" ca="1" si="0"/>
        <v>1.3225225025555377E-2</v>
      </c>
    </row>
    <row r="10" spans="1:11" ht="15" customHeight="1">
      <c r="A10" s="7">
        <v>21</v>
      </c>
      <c r="B10" s="28">
        <v>46419</v>
      </c>
      <c r="C10" s="7">
        <v>2.09</v>
      </c>
      <c r="D10" s="7">
        <v>4.78</v>
      </c>
      <c r="E10" s="51">
        <f t="shared" ca="1" si="1"/>
        <v>6.87</v>
      </c>
      <c r="F10" s="12">
        <f t="shared" ca="1" si="0"/>
        <v>5.7822758576293556E-2</v>
      </c>
    </row>
    <row r="11" spans="1:11" ht="15" customHeight="1">
      <c r="A11" s="7">
        <v>22</v>
      </c>
      <c r="B11" s="28">
        <v>46510</v>
      </c>
      <c r="C11" s="7">
        <v>1.92</v>
      </c>
      <c r="D11" s="7">
        <v>2.73</v>
      </c>
      <c r="E11" s="51">
        <f t="shared" ca="1" si="1"/>
        <v>4.6500000000000004</v>
      </c>
      <c r="F11" s="12">
        <f t="shared" ca="1" si="0"/>
        <v>4.8558100860553788E-2</v>
      </c>
    </row>
    <row r="12" spans="1:11" ht="15" customHeight="1">
      <c r="A12" s="7">
        <v>23</v>
      </c>
      <c r="B12" s="28">
        <v>46601</v>
      </c>
      <c r="C12" s="7">
        <v>1.93</v>
      </c>
      <c r="D12" s="7">
        <v>4.22</v>
      </c>
      <c r="E12" s="51">
        <f t="shared" ca="1" si="1"/>
        <v>6.1499999999999995</v>
      </c>
      <c r="F12" s="12">
        <f t="shared" ca="1" si="0"/>
        <v>7.6302771462737409E-2</v>
      </c>
    </row>
    <row r="13" spans="1:11" ht="15" customHeight="1">
      <c r="A13" s="7">
        <v>24</v>
      </c>
      <c r="B13" s="28">
        <v>46692</v>
      </c>
      <c r="C13" s="7">
        <v>1.84</v>
      </c>
      <c r="D13" s="7">
        <v>3.28</v>
      </c>
      <c r="E13" s="51">
        <f t="shared" ca="1" si="1"/>
        <v>5.12</v>
      </c>
      <c r="F13" s="12">
        <f t="shared" ca="1" si="0"/>
        <v>7.327301393784974E-2</v>
      </c>
    </row>
    <row r="14" spans="1:11" ht="15" customHeight="1">
      <c r="A14" s="7">
        <v>25</v>
      </c>
      <c r="B14" s="28">
        <v>46784</v>
      </c>
      <c r="C14" s="7">
        <v>1.77</v>
      </c>
      <c r="D14" s="7">
        <v>5.63</v>
      </c>
      <c r="E14" s="51">
        <f t="shared" ca="1" si="1"/>
        <v>7.4</v>
      </c>
      <c r="F14" s="12">
        <f t="shared" ca="1" si="0"/>
        <v>0.11970571965114242</v>
      </c>
    </row>
    <row r="15" spans="1:11" ht="15" customHeight="1">
      <c r="A15" s="7">
        <v>26</v>
      </c>
      <c r="B15" s="28">
        <v>46875</v>
      </c>
      <c r="C15" s="7">
        <v>1.61</v>
      </c>
      <c r="D15" s="7">
        <v>3.49</v>
      </c>
      <c r="E15" s="51">
        <f t="shared" ca="1" si="1"/>
        <v>5.1000000000000005</v>
      </c>
      <c r="F15" s="12">
        <f t="shared" ca="1" si="0"/>
        <v>9.1614747274865405E-2</v>
      </c>
    </row>
    <row r="16" spans="1:11" ht="15" customHeight="1">
      <c r="A16" s="7">
        <v>27</v>
      </c>
      <c r="B16" s="28">
        <v>46966</v>
      </c>
      <c r="C16" s="7">
        <v>1.57</v>
      </c>
      <c r="D16" s="7">
        <v>0</v>
      </c>
      <c r="E16" s="51">
        <f t="shared" ca="1" si="1"/>
        <v>1.57</v>
      </c>
      <c r="F16" s="12">
        <f t="shared" ca="1" si="0"/>
        <v>3.0920690476592162E-2</v>
      </c>
    </row>
    <row r="17" spans="1:6" ht="15" customHeight="1">
      <c r="A17" s="7">
        <v>28</v>
      </c>
      <c r="B17" s="28">
        <v>47058</v>
      </c>
      <c r="C17" s="7">
        <v>1.57</v>
      </c>
      <c r="D17" s="7">
        <v>5.0599999999999996</v>
      </c>
      <c r="E17" s="51">
        <f t="shared" ca="1" si="1"/>
        <v>6.63</v>
      </c>
      <c r="F17" s="12">
        <f t="shared" ca="1" si="0"/>
        <v>0.1418086008546835</v>
      </c>
    </row>
    <row r="18" spans="1:6" ht="15" customHeight="1">
      <c r="A18" s="7">
        <v>29</v>
      </c>
      <c r="B18" s="28">
        <v>47150</v>
      </c>
      <c r="C18" s="7">
        <v>1.47</v>
      </c>
      <c r="D18" s="7">
        <v>7.11</v>
      </c>
      <c r="E18" s="51">
        <f t="shared" ca="1" si="1"/>
        <v>8.58</v>
      </c>
      <c r="F18" s="12">
        <f t="shared" ca="1" si="0"/>
        <v>0.19758276217523929</v>
      </c>
    </row>
    <row r="19" spans="1:6" ht="15" customHeight="1">
      <c r="A19" s="7">
        <v>30</v>
      </c>
      <c r="B19" s="28">
        <v>47240</v>
      </c>
      <c r="C19" s="7">
        <v>1.27</v>
      </c>
      <c r="D19" s="7">
        <v>4.95</v>
      </c>
      <c r="E19" s="51">
        <f t="shared" ca="1" si="1"/>
        <v>6.2200000000000006</v>
      </c>
      <c r="F19" s="12">
        <f t="shared" ca="1" si="0"/>
        <v>0.15288852117581031</v>
      </c>
    </row>
    <row r="20" spans="1:6" ht="15" customHeight="1">
      <c r="A20" s="7">
        <v>31</v>
      </c>
      <c r="B20" s="28">
        <v>47331</v>
      </c>
      <c r="C20" s="7">
        <v>1.21</v>
      </c>
      <c r="D20" s="7">
        <v>6.58</v>
      </c>
      <c r="E20" s="51">
        <f t="shared" ca="1" si="1"/>
        <v>7.79</v>
      </c>
      <c r="F20" s="12">
        <f t="shared" ca="1" si="0"/>
        <v>0.20330553806248711</v>
      </c>
    </row>
    <row r="21" spans="1:6" ht="15" customHeight="1">
      <c r="A21" s="7">
        <v>32</v>
      </c>
      <c r="B21" s="28">
        <v>47423</v>
      </c>
      <c r="C21" s="7">
        <v>1.07</v>
      </c>
      <c r="D21" s="7">
        <v>5.59</v>
      </c>
      <c r="E21" s="51">
        <f t="shared" ca="1" si="1"/>
        <v>6.66</v>
      </c>
      <c r="F21" s="12">
        <f t="shared" ca="1" si="0"/>
        <v>0.18369721832543456</v>
      </c>
    </row>
    <row r="22" spans="1:6" ht="15" customHeight="1">
      <c r="A22" s="7">
        <v>33</v>
      </c>
      <c r="B22" s="28">
        <v>47515</v>
      </c>
      <c r="C22" s="7">
        <v>0.95</v>
      </c>
      <c r="D22" s="7">
        <v>7.37</v>
      </c>
      <c r="E22" s="51">
        <f t="shared" ca="1" si="1"/>
        <v>8.32</v>
      </c>
      <c r="F22" s="12">
        <f t="shared" ca="1" si="0"/>
        <v>0.24141350850452692</v>
      </c>
    </row>
    <row r="23" spans="1:6" ht="15" customHeight="1">
      <c r="A23" s="7">
        <v>34</v>
      </c>
      <c r="B23" s="28">
        <v>47605</v>
      </c>
      <c r="C23" s="7">
        <v>0.76</v>
      </c>
      <c r="D23" s="7">
        <v>5.26</v>
      </c>
      <c r="E23" s="51">
        <f t="shared" ca="1" si="1"/>
        <v>6.02</v>
      </c>
      <c r="F23" s="12">
        <f t="shared" ca="1" si="0"/>
        <v>0.1828363104276996</v>
      </c>
    </row>
    <row r="24" spans="1:6" ht="15" customHeight="1">
      <c r="A24" s="7">
        <v>35</v>
      </c>
      <c r="B24" s="28">
        <v>47696</v>
      </c>
      <c r="C24" s="7">
        <v>0.68</v>
      </c>
      <c r="D24" s="7">
        <v>6.88</v>
      </c>
      <c r="E24" s="51">
        <f t="shared" ca="1" si="1"/>
        <v>7.56</v>
      </c>
      <c r="F24" s="12">
        <f t="shared" ca="1" si="0"/>
        <v>0.23961820103687267</v>
      </c>
    </row>
    <row r="25" spans="1:6" ht="15" customHeight="1">
      <c r="A25" s="7">
        <v>36</v>
      </c>
      <c r="B25" s="28">
        <v>47788</v>
      </c>
      <c r="C25" s="7">
        <v>0.53</v>
      </c>
      <c r="D25" s="7">
        <v>5.9</v>
      </c>
      <c r="E25" s="51">
        <f t="shared" ca="1" si="1"/>
        <v>6.4300000000000006</v>
      </c>
      <c r="F25" s="12">
        <f t="shared" ca="1" si="0"/>
        <v>0.21211123952675554</v>
      </c>
    </row>
    <row r="26" spans="1:6" ht="15" customHeight="1">
      <c r="A26" s="7">
        <v>37</v>
      </c>
      <c r="B26" s="28">
        <v>47882</v>
      </c>
      <c r="C26" s="7">
        <v>0.4</v>
      </c>
      <c r="D26" s="7">
        <v>8.1</v>
      </c>
      <c r="E26" s="51">
        <f t="shared" ca="1" si="1"/>
        <v>8.5</v>
      </c>
      <c r="F26" s="12">
        <f t="shared" ca="1" si="0"/>
        <v>0.29121879490241687</v>
      </c>
    </row>
    <row r="27" spans="1:6" ht="15" customHeight="1">
      <c r="A27" s="7">
        <v>38</v>
      </c>
      <c r="B27" s="28">
        <v>47970</v>
      </c>
      <c r="C27" s="7">
        <v>0.22</v>
      </c>
      <c r="D27" s="7">
        <v>5.99</v>
      </c>
      <c r="E27" s="51">
        <f t="shared" ca="1" si="1"/>
        <v>6.21</v>
      </c>
      <c r="F27" s="12">
        <f t="shared" ca="1" si="0"/>
        <v>0.21990211646951946</v>
      </c>
    </row>
    <row r="28" spans="1:6" ht="15" customHeight="1">
      <c r="A28" s="7">
        <v>39</v>
      </c>
      <c r="B28" s="28">
        <v>48061</v>
      </c>
      <c r="C28" s="7">
        <v>0.1</v>
      </c>
      <c r="D28" s="7">
        <v>4.67</v>
      </c>
      <c r="E28" s="51">
        <f t="shared" ca="1" si="1"/>
        <v>4.7699999999999996</v>
      </c>
      <c r="F28" s="12">
        <f t="shared" ca="1" si="0"/>
        <v>0.17438313921188589</v>
      </c>
    </row>
  </sheetData>
  <hyperlinks>
    <hyperlink ref="J5" location="'ONS NY'!A1" display="ONS" xr:uid="{00000000-0004-0000-3400-000000000000}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42" t="s">
        <v>24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cm="1">
        <f t="array" ref="E2">-_xll.PrecioBD(A1,"24","ASK","N")</f>
        <v>-81.28</v>
      </c>
      <c r="J2" s="1" t="s">
        <v>84</v>
      </c>
      <c r="K2" s="1">
        <v>0.5</v>
      </c>
    </row>
    <row r="3" spans="1:11" ht="15" customHeight="1">
      <c r="A3" s="7">
        <v>4</v>
      </c>
      <c r="B3" s="28">
        <v>45894</v>
      </c>
      <c r="C3" s="7">
        <v>4.05</v>
      </c>
      <c r="D3" s="7">
        <v>12.5</v>
      </c>
      <c r="E3" s="51">
        <f ca="1">IF(B3&lt;=$B$2,0,(C3+D3))</f>
        <v>0</v>
      </c>
      <c r="F3" s="12">
        <f t="shared" ref="F3:F9" ca="1" si="0">(E3*(B3-$B$2)/365)/(1+$K$4)^((B3-$B$2)/365)/-$E$2/(1+$K$4)^$K$2</f>
        <v>0</v>
      </c>
      <c r="J3" s="13" t="s">
        <v>85</v>
      </c>
      <c r="K3" s="14">
        <f ca="1">SUM(F3:F102)</f>
        <v>1.1419650058092492</v>
      </c>
    </row>
    <row r="4" spans="1:11" ht="15" customHeight="1">
      <c r="A4" s="7">
        <v>5</v>
      </c>
      <c r="B4" s="28">
        <v>46078</v>
      </c>
      <c r="C4" s="7">
        <v>3.47</v>
      </c>
      <c r="D4" s="7">
        <v>12.5</v>
      </c>
      <c r="E4" s="51">
        <f t="shared" ref="E4:E28" ca="1" si="1">IF(B4&lt;=$B$2,0,(C4+D4))</f>
        <v>15.97</v>
      </c>
      <c r="F4" s="12">
        <f t="shared" ca="1" si="0"/>
        <v>5.2204034365514506E-3</v>
      </c>
      <c r="J4" s="1" t="s">
        <v>4</v>
      </c>
      <c r="K4" s="2">
        <f ca="1">XIRR(E2:E9,B2:B9)</f>
        <v>5.9898403286933896E-2</v>
      </c>
    </row>
    <row r="5" spans="1:11" ht="15" customHeight="1">
      <c r="A5" s="7">
        <v>6</v>
      </c>
      <c r="B5" s="28">
        <v>46259</v>
      </c>
      <c r="C5" s="7">
        <v>2.89</v>
      </c>
      <c r="D5" s="7">
        <v>12.5</v>
      </c>
      <c r="E5" s="51">
        <f t="shared" ca="1" si="1"/>
        <v>15.39</v>
      </c>
      <c r="F5" s="12">
        <f t="shared" ca="1" si="0"/>
        <v>9.3356130949971375E-2</v>
      </c>
      <c r="J5" s="15" t="s">
        <v>86</v>
      </c>
    </row>
    <row r="6" spans="1:11" ht="15" customHeight="1">
      <c r="A6" s="7">
        <v>7</v>
      </c>
      <c r="B6" s="28">
        <v>46443</v>
      </c>
      <c r="C6" s="7">
        <v>2.31</v>
      </c>
      <c r="D6" s="7">
        <v>12.5</v>
      </c>
      <c r="E6" s="51">
        <f t="shared" ca="1" si="1"/>
        <v>14.81</v>
      </c>
      <c r="F6" s="12">
        <f t="shared" ca="1" si="0"/>
        <v>0.17128575215458838</v>
      </c>
    </row>
    <row r="7" spans="1:11" ht="15" customHeight="1">
      <c r="A7" s="7">
        <v>8</v>
      </c>
      <c r="B7" s="28">
        <v>46624</v>
      </c>
      <c r="C7" s="7">
        <v>1.73</v>
      </c>
      <c r="D7" s="7">
        <v>12.5</v>
      </c>
      <c r="E7" s="51">
        <f t="shared" ca="1" si="1"/>
        <v>14.23</v>
      </c>
      <c r="F7" s="12">
        <f t="shared" ca="1" si="0"/>
        <v>0.23707530131377852</v>
      </c>
    </row>
    <row r="8" spans="1:11" ht="15" customHeight="1">
      <c r="A8" s="7">
        <v>9</v>
      </c>
      <c r="B8" s="28">
        <v>46808</v>
      </c>
      <c r="C8" s="7">
        <v>1.1599999999999999</v>
      </c>
      <c r="D8" s="7">
        <v>12.5</v>
      </c>
      <c r="E8" s="51">
        <f t="shared" ca="1" si="1"/>
        <v>13.66</v>
      </c>
      <c r="F8" s="12">
        <f t="shared" ca="1" si="0"/>
        <v>0.29413932674431809</v>
      </c>
    </row>
    <row r="9" spans="1:11" ht="15" customHeight="1">
      <c r="A9" s="7">
        <v>10</v>
      </c>
      <c r="B9" s="28">
        <v>46990</v>
      </c>
      <c r="C9" s="7">
        <v>0.57999999999999996</v>
      </c>
      <c r="D9" s="7">
        <v>12.5</v>
      </c>
      <c r="E9" s="51">
        <f t="shared" ca="1" si="1"/>
        <v>13.08</v>
      </c>
      <c r="F9" s="12">
        <f t="shared" ca="1" si="0"/>
        <v>0.34088809121004132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500-000000000000}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42" t="s">
        <v>94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t="e" cm="1">
        <f t="array" ref="E2">-_xll.PrecioBD(A1,"24","ASK","N")</f>
        <v>#VALUE!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45757</v>
      </c>
      <c r="C3" s="7">
        <v>3.81</v>
      </c>
      <c r="D3" s="7">
        <v>0</v>
      </c>
      <c r="E3" s="51">
        <f ca="1">IF(B3&lt;=$B$2,0,(C3+D3))</f>
        <v>0</v>
      </c>
      <c r="F3" s="12" t="e">
        <f t="shared" ref="F3:F16" ca="1" si="0">(E3*(B3-$B$2)/365)/(1+$K$4)^((B3-$B$2)/365)/-$E$2/(1+$K$4)^$K$2</f>
        <v>#VALUE!</v>
      </c>
      <c r="J3" s="13" t="s">
        <v>85</v>
      </c>
      <c r="K3" s="14" t="e">
        <f ca="1">SUM(F3:F102)</f>
        <v>#VALUE!</v>
      </c>
    </row>
    <row r="4" spans="1:11" ht="15" customHeight="1">
      <c r="A4" s="7">
        <v>2</v>
      </c>
      <c r="B4" s="32">
        <v>45940</v>
      </c>
      <c r="C4" s="7">
        <v>3.84</v>
      </c>
      <c r="D4" s="7">
        <v>0</v>
      </c>
      <c r="E4" s="51">
        <f t="shared" ref="E4:E28" ca="1" si="1">IF(B4&lt;=$B$2,0,(C4+D4))</f>
        <v>0</v>
      </c>
      <c r="F4" s="12" t="e">
        <f t="shared" ca="1" si="0"/>
        <v>#VALUE!</v>
      </c>
      <c r="J4" s="1" t="s">
        <v>4</v>
      </c>
      <c r="K4" s="2" t="e">
        <f ca="1">XIRR(E2:E16,B2:B16)</f>
        <v>#VALUE!</v>
      </c>
    </row>
    <row r="5" spans="1:11" ht="15" customHeight="1">
      <c r="A5" s="7">
        <v>3</v>
      </c>
      <c r="B5" s="28">
        <v>46122</v>
      </c>
      <c r="C5" s="7">
        <v>3.81</v>
      </c>
      <c r="D5" s="7">
        <v>0</v>
      </c>
      <c r="E5" s="51">
        <f t="shared" ca="1" si="1"/>
        <v>3.81</v>
      </c>
      <c r="F5" s="12" t="e">
        <f t="shared" ca="1" si="0"/>
        <v>#VALUE!</v>
      </c>
      <c r="J5" s="15" t="s">
        <v>86</v>
      </c>
    </row>
    <row r="6" spans="1:11" ht="15" customHeight="1">
      <c r="A6" s="7">
        <v>4</v>
      </c>
      <c r="B6" s="32">
        <v>46308</v>
      </c>
      <c r="C6" s="7">
        <v>3.84</v>
      </c>
      <c r="D6" s="7">
        <v>0</v>
      </c>
      <c r="E6" s="51">
        <f t="shared" ca="1" si="1"/>
        <v>3.84</v>
      </c>
      <c r="F6" s="12" t="e">
        <f t="shared" ca="1" si="0"/>
        <v>#VALUE!</v>
      </c>
    </row>
    <row r="7" spans="1:11" ht="15" customHeight="1">
      <c r="A7" s="7">
        <v>5</v>
      </c>
      <c r="B7" s="28">
        <v>46489</v>
      </c>
      <c r="C7" s="7">
        <v>3.81</v>
      </c>
      <c r="D7" s="7">
        <v>0</v>
      </c>
      <c r="E7" s="51">
        <f t="shared" ca="1" si="1"/>
        <v>3.81</v>
      </c>
      <c r="F7" s="12" t="e">
        <f t="shared" ca="1" si="0"/>
        <v>#VALUE!</v>
      </c>
    </row>
    <row r="8" spans="1:11" ht="15" customHeight="1">
      <c r="A8" s="7">
        <v>6</v>
      </c>
      <c r="B8" s="32">
        <v>46672</v>
      </c>
      <c r="C8" s="7">
        <v>3.84</v>
      </c>
      <c r="D8" s="7">
        <v>0</v>
      </c>
      <c r="E8" s="51">
        <f t="shared" ca="1" si="1"/>
        <v>3.84</v>
      </c>
      <c r="F8" s="12" t="e">
        <f t="shared" ca="1" si="0"/>
        <v>#VALUE!</v>
      </c>
    </row>
    <row r="9" spans="1:11" ht="15" customHeight="1">
      <c r="A9" s="7">
        <v>7</v>
      </c>
      <c r="B9" s="28">
        <v>46853</v>
      </c>
      <c r="C9" s="7">
        <v>3.84</v>
      </c>
      <c r="D9" s="7">
        <v>0</v>
      </c>
      <c r="E9" s="51">
        <f t="shared" ca="1" si="1"/>
        <v>3.84</v>
      </c>
      <c r="F9" s="12" t="e">
        <f t="shared" ca="1" si="0"/>
        <v>#VALUE!</v>
      </c>
    </row>
    <row r="10" spans="1:11" ht="15" customHeight="1">
      <c r="A10" s="7">
        <v>8</v>
      </c>
      <c r="B10" s="32">
        <v>47036</v>
      </c>
      <c r="C10" s="7">
        <v>3.84</v>
      </c>
      <c r="D10" s="7">
        <v>0</v>
      </c>
      <c r="E10" s="51">
        <f t="shared" ca="1" si="1"/>
        <v>3.84</v>
      </c>
      <c r="F10" s="12" t="e">
        <f t="shared" ca="1" si="0"/>
        <v>#VALUE!</v>
      </c>
    </row>
    <row r="11" spans="1:11" ht="15" customHeight="1">
      <c r="A11" s="7">
        <v>9</v>
      </c>
      <c r="B11" s="28">
        <v>47218</v>
      </c>
      <c r="C11" s="7">
        <v>3.81</v>
      </c>
      <c r="D11" s="7">
        <v>0</v>
      </c>
      <c r="E11" s="51">
        <f t="shared" ca="1" si="1"/>
        <v>3.81</v>
      </c>
      <c r="F11" s="12" t="e">
        <f t="shared" ca="1" si="0"/>
        <v>#VALUE!</v>
      </c>
    </row>
    <row r="12" spans="1:11" ht="15" customHeight="1">
      <c r="A12" s="7">
        <v>10</v>
      </c>
      <c r="B12" s="32">
        <v>47401</v>
      </c>
      <c r="C12" s="7">
        <v>3.84</v>
      </c>
      <c r="D12" s="7">
        <v>33</v>
      </c>
      <c r="E12" s="51">
        <f t="shared" ca="1" si="1"/>
        <v>36.840000000000003</v>
      </c>
      <c r="F12" s="12" t="e">
        <f t="shared" ca="1" si="0"/>
        <v>#VALUE!</v>
      </c>
    </row>
    <row r="13" spans="1:11" ht="15" customHeight="1">
      <c r="A13" s="7">
        <v>11</v>
      </c>
      <c r="B13" s="28">
        <v>47583</v>
      </c>
      <c r="C13" s="7">
        <v>2.56</v>
      </c>
      <c r="D13" s="7">
        <v>0</v>
      </c>
      <c r="E13" s="51">
        <f t="shared" ca="1" si="1"/>
        <v>2.56</v>
      </c>
      <c r="F13" s="12" t="e">
        <f t="shared" ca="1" si="0"/>
        <v>#VALUE!</v>
      </c>
    </row>
    <row r="14" spans="1:11" ht="15" customHeight="1">
      <c r="A14" s="7">
        <v>12</v>
      </c>
      <c r="B14" s="32">
        <v>47766</v>
      </c>
      <c r="C14" s="7">
        <v>2.57</v>
      </c>
      <c r="D14" s="7">
        <v>33</v>
      </c>
      <c r="E14" s="51">
        <f t="shared" ca="1" si="1"/>
        <v>35.57</v>
      </c>
      <c r="F14" s="12" t="e">
        <f t="shared" ca="1" si="0"/>
        <v>#VALUE!</v>
      </c>
    </row>
    <row r="15" spans="1:11" ht="15" customHeight="1">
      <c r="A15" s="7">
        <v>13</v>
      </c>
      <c r="B15" s="28">
        <v>47948</v>
      </c>
      <c r="C15" s="7">
        <v>1.3</v>
      </c>
      <c r="D15" s="7">
        <v>0</v>
      </c>
      <c r="E15" s="51">
        <f t="shared" ca="1" si="1"/>
        <v>1.3</v>
      </c>
      <c r="F15" s="12" t="e">
        <f t="shared" ca="1" si="0"/>
        <v>#VALUE!</v>
      </c>
    </row>
    <row r="16" spans="1:11" ht="15" customHeight="1">
      <c r="A16" s="7">
        <v>14</v>
      </c>
      <c r="B16" s="32">
        <v>48131</v>
      </c>
      <c r="C16" s="7">
        <v>1.3</v>
      </c>
      <c r="D16" s="7">
        <v>34</v>
      </c>
      <c r="E16" s="51">
        <f t="shared" ca="1" si="1"/>
        <v>35.299999999999997</v>
      </c>
      <c r="F16" s="12" t="e">
        <f t="shared" ca="1" si="0"/>
        <v>#VALUE!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600-000000000000}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3C47D"/>
    <outlinePr summaryBelow="0" summaryRight="0"/>
  </sheetPr>
  <dimension ref="A1:K28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1" t="s">
        <v>30</v>
      </c>
      <c r="C1" s="3" t="s">
        <v>81</v>
      </c>
      <c r="D1" s="3" t="s">
        <v>82</v>
      </c>
    </row>
    <row r="2" spans="1:11" ht="15" customHeight="1">
      <c r="A2" s="3" t="s">
        <v>87</v>
      </c>
      <c r="B2" s="22">
        <f ca="1">Main!D1</f>
        <v>46068</v>
      </c>
      <c r="E2" s="8" cm="1">
        <f t="array" ref="E2">-_xll.PrecioBD(A1,"24","ASK","N")</f>
        <v>-105.7</v>
      </c>
      <c r="J2" s="1" t="s">
        <v>84</v>
      </c>
      <c r="K2" s="1">
        <v>0.5</v>
      </c>
    </row>
    <row r="3" spans="1:11" ht="15" customHeight="1">
      <c r="A3" s="7">
        <v>1</v>
      </c>
      <c r="B3" s="28">
        <v>45813</v>
      </c>
      <c r="C3" s="7">
        <v>4.88</v>
      </c>
      <c r="D3" s="7">
        <v>0</v>
      </c>
      <c r="E3" s="51">
        <f ca="1">IF(B3&lt;=$B$2,0,(C3+D3))</f>
        <v>0</v>
      </c>
      <c r="F3" s="12">
        <f t="shared" ref="F3:F14" ca="1" si="0">(E3*(B3-$B$2)/365)/(1+$K$4)^((B3-$B$2)/365)/-$E$2/(1+$K$4)^$K$2</f>
        <v>0</v>
      </c>
      <c r="J3" s="13" t="s">
        <v>85</v>
      </c>
      <c r="K3" s="14">
        <f ca="1">SUM(F3:F102)</f>
        <v>3.3903709130044795</v>
      </c>
    </row>
    <row r="4" spans="1:11" ht="15" customHeight="1">
      <c r="A4" s="7">
        <v>2</v>
      </c>
      <c r="B4" s="28">
        <v>45996</v>
      </c>
      <c r="C4" s="7">
        <v>4.88</v>
      </c>
      <c r="D4" s="7">
        <v>0</v>
      </c>
      <c r="E4" s="51">
        <f t="shared" ref="E4:E28" ca="1" si="1">IF(B4&lt;=$B$2,0,(C4+D4))</f>
        <v>0</v>
      </c>
      <c r="F4" s="12">
        <f t="shared" ca="1" si="0"/>
        <v>0</v>
      </c>
      <c r="J4" s="1" t="s">
        <v>4</v>
      </c>
      <c r="K4" s="30">
        <f ca="1">XIRR(E2:E14,B2:B14)</f>
        <v>8.8503292202949516E-2</v>
      </c>
    </row>
    <row r="5" spans="1:11" ht="15" customHeight="1">
      <c r="A5" s="7">
        <v>3</v>
      </c>
      <c r="B5" s="28">
        <v>46178</v>
      </c>
      <c r="C5" s="7">
        <v>4.88</v>
      </c>
      <c r="D5" s="7">
        <v>0</v>
      </c>
      <c r="E5" s="51">
        <f t="shared" ca="1" si="1"/>
        <v>4.88</v>
      </c>
      <c r="F5" s="12">
        <f t="shared" ca="1" si="0"/>
        <v>1.2999612480879556E-2</v>
      </c>
      <c r="J5" s="15" t="s">
        <v>86</v>
      </c>
    </row>
    <row r="6" spans="1:11" ht="15" customHeight="1">
      <c r="A6" s="7">
        <v>4</v>
      </c>
      <c r="B6" s="28">
        <v>46363</v>
      </c>
      <c r="C6" s="7">
        <v>4.88</v>
      </c>
      <c r="D6" s="7">
        <v>0</v>
      </c>
      <c r="E6" s="51">
        <f t="shared" ca="1" si="1"/>
        <v>4.88</v>
      </c>
      <c r="F6" s="12">
        <f t="shared" ca="1" si="0"/>
        <v>3.3395857940562948E-2</v>
      </c>
    </row>
    <row r="7" spans="1:11" ht="15" customHeight="1">
      <c r="A7" s="7">
        <v>5</v>
      </c>
      <c r="B7" s="28">
        <v>46545</v>
      </c>
      <c r="C7" s="7">
        <v>4.88</v>
      </c>
      <c r="D7" s="7">
        <v>0</v>
      </c>
      <c r="E7" s="51">
        <f t="shared" ca="1" si="1"/>
        <v>4.88</v>
      </c>
      <c r="F7" s="12">
        <f t="shared" ca="1" si="0"/>
        <v>5.1763608788159145E-2</v>
      </c>
    </row>
    <row r="8" spans="1:11" ht="15" customHeight="1">
      <c r="A8" s="7">
        <v>6</v>
      </c>
      <c r="B8" s="28">
        <v>46727</v>
      </c>
      <c r="C8" s="7">
        <v>4.88</v>
      </c>
      <c r="D8" s="7">
        <v>0</v>
      </c>
      <c r="E8" s="51">
        <f t="shared" ca="1" si="1"/>
        <v>4.88</v>
      </c>
      <c r="F8" s="12">
        <f t="shared" ca="1" si="0"/>
        <v>6.8553109716061059E-2</v>
      </c>
    </row>
    <row r="9" spans="1:11" ht="15" customHeight="1">
      <c r="A9" s="7">
        <v>7</v>
      </c>
      <c r="B9" s="28">
        <v>46909</v>
      </c>
      <c r="C9" s="7">
        <v>4.88</v>
      </c>
      <c r="D9" s="7">
        <v>0</v>
      </c>
      <c r="E9" s="51">
        <f t="shared" ca="1" si="1"/>
        <v>4.88</v>
      </c>
      <c r="F9" s="12">
        <f t="shared" ca="1" si="0"/>
        <v>8.3863564893133027E-2</v>
      </c>
    </row>
    <row r="10" spans="1:11" ht="15" customHeight="1">
      <c r="A10" s="7">
        <v>8</v>
      </c>
      <c r="B10" s="28">
        <v>47092</v>
      </c>
      <c r="C10" s="7">
        <v>4.88</v>
      </c>
      <c r="D10" s="7">
        <v>17.5</v>
      </c>
      <c r="E10" s="51">
        <f t="shared" ca="1" si="1"/>
        <v>22.38</v>
      </c>
      <c r="F10" s="12">
        <f t="shared" ca="1" si="0"/>
        <v>0.44879934604009064</v>
      </c>
    </row>
    <row r="11" spans="1:11" ht="15" customHeight="1">
      <c r="A11" s="7">
        <v>9</v>
      </c>
      <c r="B11" s="28">
        <v>47274</v>
      </c>
      <c r="C11" s="7">
        <v>4.0199999999999996</v>
      </c>
      <c r="D11" s="7">
        <v>0</v>
      </c>
      <c r="E11" s="51">
        <f t="shared" ca="1" si="1"/>
        <v>4.0199999999999996</v>
      </c>
      <c r="F11" s="12">
        <f t="shared" ca="1" si="0"/>
        <v>9.1012515020030951E-2</v>
      </c>
    </row>
    <row r="12" spans="1:11" ht="15" customHeight="1">
      <c r="A12" s="7">
        <v>10</v>
      </c>
      <c r="B12" s="28">
        <v>47457</v>
      </c>
      <c r="C12" s="7">
        <v>4.0199999999999996</v>
      </c>
      <c r="D12" s="7">
        <v>17.5</v>
      </c>
      <c r="E12" s="51">
        <f t="shared" ca="1" si="1"/>
        <v>21.52</v>
      </c>
      <c r="F12" s="12">
        <f t="shared" ca="1" si="0"/>
        <v>0.53778284261853637</v>
      </c>
    </row>
    <row r="13" spans="1:11" ht="15" customHeight="1">
      <c r="A13" s="7">
        <v>11</v>
      </c>
      <c r="B13" s="28">
        <v>47639</v>
      </c>
      <c r="C13" s="7">
        <v>3.17</v>
      </c>
      <c r="D13" s="7">
        <v>0</v>
      </c>
      <c r="E13" s="51">
        <f t="shared" ca="1" si="1"/>
        <v>3.17</v>
      </c>
      <c r="F13" s="12">
        <f t="shared" ca="1" si="0"/>
        <v>8.5888190916460369E-2</v>
      </c>
    </row>
    <row r="14" spans="1:11" ht="15" customHeight="1">
      <c r="A14" s="7">
        <v>12</v>
      </c>
      <c r="B14" s="28">
        <v>47822</v>
      </c>
      <c r="C14" s="7">
        <v>3.17</v>
      </c>
      <c r="D14" s="7">
        <v>65</v>
      </c>
      <c r="E14" s="51">
        <f t="shared" ca="1" si="1"/>
        <v>68.17</v>
      </c>
      <c r="F14" s="12">
        <f t="shared" ca="1" si="0"/>
        <v>1.9763122645905653</v>
      </c>
    </row>
    <row r="15" spans="1:11" ht="15" customHeight="1">
      <c r="A15" s="7"/>
      <c r="B15" s="29"/>
      <c r="C15" s="7"/>
      <c r="D15" s="7"/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" customHeight="1">
      <c r="E20" s="51">
        <f t="shared" ca="1" si="1"/>
        <v>0</v>
      </c>
    </row>
    <row r="21" spans="5:5" ht="15" customHeight="1">
      <c r="E21" s="51">
        <f t="shared" ca="1" si="1"/>
        <v>0</v>
      </c>
    </row>
    <row r="22" spans="5:5" ht="15" customHeight="1">
      <c r="E22" s="51">
        <f t="shared" ca="1" si="1"/>
        <v>0</v>
      </c>
    </row>
    <row r="23" spans="5:5" ht="15" customHeight="1">
      <c r="E23" s="51">
        <f t="shared" ca="1" si="1"/>
        <v>0</v>
      </c>
    </row>
    <row r="24" spans="5:5" ht="15" customHeight="1">
      <c r="E24" s="51">
        <f t="shared" ca="1" si="1"/>
        <v>0</v>
      </c>
    </row>
    <row r="25" spans="5:5" ht="15" customHeight="1">
      <c r="E25" s="51">
        <f t="shared" ca="1" si="1"/>
        <v>0</v>
      </c>
    </row>
    <row r="26" spans="5:5" ht="15" customHeight="1">
      <c r="E26" s="51">
        <f t="shared" ca="1" si="1"/>
        <v>0</v>
      </c>
    </row>
    <row r="27" spans="5:5" ht="15" customHeight="1">
      <c r="E27" s="51">
        <f t="shared" ca="1" si="1"/>
        <v>0</v>
      </c>
    </row>
    <row r="28" spans="5:5" ht="15" customHeight="1">
      <c r="E28" s="51">
        <f t="shared" ca="1" si="1"/>
        <v>0</v>
      </c>
    </row>
  </sheetData>
  <hyperlinks>
    <hyperlink ref="J5" location="'ONS NY'!A1" display="ONS" xr:uid="{00000000-0004-0000-3700-000000000000}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K28"/>
  <sheetViews>
    <sheetView workbookViewId="0">
      <selection activeCell="B2" sqref="B2"/>
    </sheetView>
  </sheetViews>
  <sheetFormatPr baseColWidth="10" defaultColWidth="12.59765625" defaultRowHeight="15" customHeight="1"/>
  <sheetData>
    <row r="1" spans="1:11" ht="15" customHeight="1">
      <c r="A1" s="5" t="s">
        <v>21</v>
      </c>
      <c r="B1" s="21" t="s">
        <v>80</v>
      </c>
      <c r="C1" s="21" t="s">
        <v>81</v>
      </c>
      <c r="D1" s="21" t="s">
        <v>82</v>
      </c>
      <c r="E1" s="21" t="s">
        <v>83</v>
      </c>
      <c r="F1" s="21"/>
    </row>
    <row r="2" spans="1:11" ht="15" customHeight="1">
      <c r="A2" s="21" t="s">
        <v>87</v>
      </c>
      <c r="B2" s="22">
        <f ca="1">Main!D1</f>
        <v>46068</v>
      </c>
      <c r="E2" s="8" cm="1">
        <f t="array" ref="E2">-_xll.PrecioBD(A1,"24","ASK","N")</f>
        <v>0</v>
      </c>
      <c r="G2" s="21"/>
      <c r="J2" s="1" t="s">
        <v>84</v>
      </c>
      <c r="K2" s="1">
        <v>0.5</v>
      </c>
    </row>
    <row r="3" spans="1:11" ht="15" customHeight="1">
      <c r="A3" s="11">
        <v>8</v>
      </c>
      <c r="B3" s="16">
        <v>45902</v>
      </c>
      <c r="C3" s="11">
        <v>2.19</v>
      </c>
      <c r="D3" s="11">
        <v>10</v>
      </c>
      <c r="E3" s="51">
        <f ca="1">IF(B3&lt;=$B$2,0,(C3+D3))</f>
        <v>0</v>
      </c>
      <c r="F3" s="12" t="e">
        <f ca="1">(E3*(B3-$B$2)/365)/(1+$K$4)^((B3-$B$2)/365)/-$E$2/(1+$K$4)^$K$2</f>
        <v>#NUM!</v>
      </c>
      <c r="G3" s="44"/>
      <c r="J3" s="13" t="s">
        <v>85</v>
      </c>
      <c r="K3" s="14" t="e">
        <f ca="1">SUM(F3:F102)</f>
        <v>#NUM!</v>
      </c>
    </row>
    <row r="4" spans="1:11" ht="15" customHeight="1">
      <c r="A4" s="11">
        <v>9</v>
      </c>
      <c r="B4" s="16">
        <v>46083</v>
      </c>
      <c r="C4" s="11">
        <v>1.75</v>
      </c>
      <c r="D4" s="11">
        <v>10</v>
      </c>
      <c r="E4" s="51">
        <f t="shared" ref="E4:E28" ca="1" si="0">IF(B4&lt;=$B$2,0,(C4+D4))</f>
        <v>11.75</v>
      </c>
      <c r="F4" s="12" t="e">
        <f ca="1">(E4*(B4-$B$2)/365)/(1+$K$4)^((B4-$B$2)/365)/-$E$2/(1+$K$4)^$K$2</f>
        <v>#NUM!</v>
      </c>
      <c r="G4" s="45"/>
      <c r="J4" s="1" t="s">
        <v>4</v>
      </c>
      <c r="K4" s="30" t="e">
        <f ca="1">XIRR(E2:E14,B2:B14)</f>
        <v>#NUM!</v>
      </c>
    </row>
    <row r="5" spans="1:11" ht="15" customHeight="1">
      <c r="A5" s="11">
        <v>10</v>
      </c>
      <c r="B5" s="16">
        <v>46267</v>
      </c>
      <c r="C5" s="11">
        <v>1.31</v>
      </c>
      <c r="D5" s="11">
        <v>10</v>
      </c>
      <c r="E5" s="51">
        <f t="shared" ca="1" si="0"/>
        <v>11.31</v>
      </c>
      <c r="F5" s="12" t="e">
        <f ca="1">(E5*(B5-$B$2)/365)/(1+$K$4)^((B5-$B$2)/365)/-$E$2/(1+$K$4)^$K$2</f>
        <v>#NUM!</v>
      </c>
      <c r="G5" s="45"/>
      <c r="J5" s="15" t="s">
        <v>86</v>
      </c>
    </row>
    <row r="6" spans="1:11" ht="15" customHeight="1">
      <c r="A6" s="11">
        <v>11</v>
      </c>
      <c r="B6" s="16">
        <v>46448</v>
      </c>
      <c r="C6" s="11">
        <v>0.88</v>
      </c>
      <c r="D6" s="11">
        <v>10</v>
      </c>
      <c r="E6" s="51">
        <f t="shared" ca="1" si="0"/>
        <v>10.88</v>
      </c>
      <c r="F6" s="12" t="e">
        <f ca="1">(E6*(B6-$B$2)/365)/(1+$K$4)^((B6-$B$2)/365)/-$E$2/(1+$K$4)^$K$2</f>
        <v>#NUM!</v>
      </c>
      <c r="G6" s="45"/>
    </row>
    <row r="7" spans="1:11" ht="15" customHeight="1">
      <c r="A7" s="11">
        <v>12</v>
      </c>
      <c r="B7" s="16">
        <v>46632</v>
      </c>
      <c r="C7" s="11">
        <v>0.44</v>
      </c>
      <c r="D7" s="11">
        <v>10</v>
      </c>
      <c r="E7" s="51">
        <f t="shared" ca="1" si="0"/>
        <v>10.44</v>
      </c>
      <c r="F7" s="12" t="e">
        <f ca="1">(E7*(B7-$B$2)/365)/(1+$K$4)^((B7-$B$2)/365)/-$E$2/(1+$K$4)^$K$2</f>
        <v>#NUM!</v>
      </c>
      <c r="G7" s="45"/>
    </row>
    <row r="8" spans="1:11" ht="15" customHeight="1">
      <c r="A8" s="11"/>
      <c r="B8" s="46"/>
      <c r="C8" s="11"/>
      <c r="D8" s="11"/>
      <c r="E8" s="51">
        <f t="shared" ca="1" si="0"/>
        <v>0</v>
      </c>
      <c r="F8" s="12"/>
      <c r="G8" s="45"/>
    </row>
    <row r="9" spans="1:11" ht="15" customHeight="1">
      <c r="A9" s="11"/>
      <c r="B9" s="16"/>
      <c r="C9" s="11"/>
      <c r="D9" s="11"/>
      <c r="E9" s="51">
        <f t="shared" ca="1" si="0"/>
        <v>0</v>
      </c>
      <c r="F9" s="12"/>
      <c r="G9" s="45"/>
    </row>
    <row r="10" spans="1:11" ht="15" customHeight="1">
      <c r="A10" s="11"/>
      <c r="B10" s="16"/>
      <c r="C10" s="11"/>
      <c r="D10" s="11"/>
      <c r="E10" s="51">
        <f t="shared" ca="1" si="0"/>
        <v>0</v>
      </c>
      <c r="F10" s="12"/>
      <c r="G10" s="45"/>
    </row>
    <row r="11" spans="1:11" ht="15" customHeight="1">
      <c r="A11" s="11"/>
      <c r="B11" s="16"/>
      <c r="C11" s="11"/>
      <c r="D11" s="11"/>
      <c r="E11" s="51">
        <f t="shared" ca="1" si="0"/>
        <v>0</v>
      </c>
      <c r="F11" s="12"/>
      <c r="G11" s="45"/>
    </row>
    <row r="12" spans="1:11" ht="15" customHeight="1">
      <c r="A12" s="11"/>
      <c r="B12" s="16"/>
      <c r="C12" s="11"/>
      <c r="D12" s="11"/>
      <c r="E12" s="51">
        <f t="shared" ca="1" si="0"/>
        <v>0</v>
      </c>
      <c r="F12" s="12"/>
      <c r="G12" s="45"/>
    </row>
    <row r="13" spans="1:11" ht="15" customHeight="1">
      <c r="A13" s="11"/>
      <c r="B13" s="16"/>
      <c r="C13" s="11"/>
      <c r="D13" s="11"/>
      <c r="E13" s="51">
        <f t="shared" ca="1" si="0"/>
        <v>0</v>
      </c>
      <c r="F13" s="12"/>
      <c r="G13" s="45"/>
    </row>
    <row r="14" spans="1:11" ht="15" customHeight="1">
      <c r="A14" s="11"/>
      <c r="B14" s="16"/>
      <c r="C14" s="11"/>
      <c r="D14" s="11"/>
      <c r="E14" s="51">
        <f t="shared" ca="1" si="0"/>
        <v>0</v>
      </c>
      <c r="F14" s="12"/>
      <c r="G14" s="45"/>
    </row>
    <row r="15" spans="1:11" ht="15" customHeight="1">
      <c r="A15" s="11"/>
      <c r="B15" s="27"/>
      <c r="C15" s="11"/>
      <c r="D15" s="11"/>
      <c r="E15" s="51">
        <f t="shared" ca="1" si="0"/>
        <v>0</v>
      </c>
    </row>
    <row r="16" spans="1:11" ht="15" customHeight="1">
      <c r="E16" s="51">
        <f t="shared" ca="1" si="0"/>
        <v>0</v>
      </c>
    </row>
    <row r="17" spans="5:5" ht="15" customHeight="1">
      <c r="E17" s="51">
        <f t="shared" ca="1" si="0"/>
        <v>0</v>
      </c>
    </row>
    <row r="18" spans="5:5" ht="15" customHeight="1">
      <c r="E18" s="51">
        <f t="shared" ca="1" si="0"/>
        <v>0</v>
      </c>
    </row>
    <row r="19" spans="5:5" ht="15" customHeight="1">
      <c r="E19" s="51">
        <f t="shared" ca="1" si="0"/>
        <v>0</v>
      </c>
    </row>
    <row r="20" spans="5:5" ht="15" customHeight="1">
      <c r="E20" s="51">
        <f t="shared" ca="1" si="0"/>
        <v>0</v>
      </c>
    </row>
    <row r="21" spans="5:5" ht="15" customHeight="1">
      <c r="E21" s="51">
        <f t="shared" ca="1" si="0"/>
        <v>0</v>
      </c>
    </row>
    <row r="22" spans="5:5" ht="15" customHeight="1">
      <c r="E22" s="51">
        <f t="shared" ca="1" si="0"/>
        <v>0</v>
      </c>
    </row>
    <row r="23" spans="5:5" ht="15" customHeight="1">
      <c r="E23" s="51">
        <f t="shared" ca="1" si="0"/>
        <v>0</v>
      </c>
    </row>
    <row r="24" spans="5:5" ht="15" customHeight="1">
      <c r="E24" s="51">
        <f t="shared" ca="1" si="0"/>
        <v>0</v>
      </c>
    </row>
    <row r="25" spans="5:5" ht="15" customHeight="1">
      <c r="E25" s="51">
        <f t="shared" ca="1" si="0"/>
        <v>0</v>
      </c>
    </row>
    <row r="26" spans="5:5" ht="15" customHeight="1">
      <c r="E26" s="51">
        <f t="shared" ca="1" si="0"/>
        <v>0</v>
      </c>
    </row>
    <row r="27" spans="5:5" ht="15" customHeight="1">
      <c r="E27" s="51">
        <f t="shared" ca="1" si="0"/>
        <v>0</v>
      </c>
    </row>
    <row r="28" spans="5:5" ht="15" customHeight="1">
      <c r="E28" s="51">
        <f t="shared" ca="1" si="0"/>
        <v>0</v>
      </c>
    </row>
  </sheetData>
  <hyperlinks>
    <hyperlink ref="J5" location="'ONS NY'!A1" display="ONS" xr:uid="{00000000-0004-0000-3800-000000000000}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2:E12"/>
  <sheetViews>
    <sheetView workbookViewId="0">
      <selection activeCell="B2" sqref="B2"/>
    </sheetView>
  </sheetViews>
  <sheetFormatPr baseColWidth="10" defaultColWidth="12.59765625" defaultRowHeight="15" customHeight="1"/>
  <sheetData>
    <row r="2" spans="1:5" ht="15" customHeight="1">
      <c r="A2" s="42" t="s">
        <v>95</v>
      </c>
    </row>
    <row r="3" spans="1:5" ht="15" customHeight="1">
      <c r="A3" s="3" t="s">
        <v>87</v>
      </c>
      <c r="B3" s="6">
        <f ca="1">TODAY()+1</f>
        <v>46066</v>
      </c>
      <c r="C3" s="3" t="s">
        <v>81</v>
      </c>
      <c r="D3" s="3" t="s">
        <v>82</v>
      </c>
      <c r="E3" s="3" t="e">
        <f>'[1]ONS Arg'!E5*-1</f>
        <v>#REF!</v>
      </c>
    </row>
    <row r="4" spans="1:5" ht="15" customHeight="1">
      <c r="A4" s="7">
        <v>1</v>
      </c>
      <c r="B4" s="28">
        <v>45828</v>
      </c>
      <c r="C4" s="7">
        <v>4.24</v>
      </c>
      <c r="D4" s="7">
        <v>0</v>
      </c>
      <c r="E4" s="7">
        <v>4.24</v>
      </c>
    </row>
    <row r="5" spans="1:5" ht="15" customHeight="1">
      <c r="A5" s="7">
        <v>2</v>
      </c>
      <c r="B5" s="32">
        <v>46013</v>
      </c>
      <c r="C5" s="7">
        <v>4.26</v>
      </c>
      <c r="D5" s="7">
        <v>0</v>
      </c>
      <c r="E5" s="7">
        <v>4.26</v>
      </c>
    </row>
    <row r="6" spans="1:5" ht="15" customHeight="1">
      <c r="A6" s="7">
        <v>3</v>
      </c>
      <c r="B6" s="28">
        <v>46195</v>
      </c>
      <c r="C6" s="7">
        <v>4.24</v>
      </c>
      <c r="D6" s="7">
        <v>0</v>
      </c>
      <c r="E6" s="7">
        <v>4.24</v>
      </c>
    </row>
    <row r="7" spans="1:5" ht="15" customHeight="1">
      <c r="A7" s="7">
        <v>4</v>
      </c>
      <c r="B7" s="32">
        <v>46377</v>
      </c>
      <c r="C7" s="7">
        <v>4.26</v>
      </c>
      <c r="D7" s="7">
        <v>0</v>
      </c>
      <c r="E7" s="7">
        <v>4.26</v>
      </c>
    </row>
    <row r="8" spans="1:5" ht="15" customHeight="1">
      <c r="A8" s="7">
        <v>5</v>
      </c>
      <c r="B8" s="28">
        <v>46560</v>
      </c>
      <c r="C8" s="7">
        <v>4.24</v>
      </c>
      <c r="D8" s="7">
        <v>0</v>
      </c>
      <c r="E8" s="7">
        <v>4.24</v>
      </c>
    </row>
    <row r="9" spans="1:5" ht="15" customHeight="1">
      <c r="A9" s="7">
        <v>6</v>
      </c>
      <c r="B9" s="32">
        <v>46741</v>
      </c>
      <c r="C9" s="7">
        <v>4.26</v>
      </c>
      <c r="D9" s="7">
        <v>0</v>
      </c>
      <c r="E9" s="7">
        <v>4.26</v>
      </c>
    </row>
    <row r="10" spans="1:5" ht="15" customHeight="1">
      <c r="A10" s="7">
        <v>7</v>
      </c>
      <c r="B10" s="28">
        <v>46924</v>
      </c>
      <c r="C10" s="7">
        <v>4.26</v>
      </c>
      <c r="D10" s="7">
        <v>0</v>
      </c>
      <c r="E10" s="7">
        <v>4.26</v>
      </c>
    </row>
    <row r="11" spans="1:5" ht="15" customHeight="1">
      <c r="A11" s="7">
        <v>8</v>
      </c>
      <c r="B11" s="32">
        <v>47107</v>
      </c>
      <c r="C11" s="7">
        <v>4.26</v>
      </c>
      <c r="D11" s="7">
        <v>100</v>
      </c>
      <c r="E11" s="7">
        <v>104.26</v>
      </c>
    </row>
    <row r="12" spans="1:5" ht="13.8">
      <c r="E12" s="2" t="e">
        <f ca="1">XIRR(E3:E11,B3:B11)</f>
        <v>#REF!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999"/>
  <sheetViews>
    <sheetView workbookViewId="0">
      <selection activeCell="J5" sqref="J5"/>
    </sheetView>
  </sheetViews>
  <sheetFormatPr baseColWidth="10" defaultColWidth="12.59765625" defaultRowHeight="15" customHeight="1"/>
  <cols>
    <col min="1" max="1" width="10.59765625" customWidth="1"/>
    <col min="2" max="2" width="13.19921875" customWidth="1"/>
    <col min="3" max="9" width="10.59765625" customWidth="1"/>
    <col min="10" max="10" width="17.69921875" customWidth="1"/>
    <col min="11" max="26" width="10.59765625" customWidth="1"/>
  </cols>
  <sheetData>
    <row r="1" spans="1:11" ht="15.6">
      <c r="A1" s="47" t="s">
        <v>75</v>
      </c>
      <c r="B1" s="48" t="s">
        <v>80</v>
      </c>
      <c r="C1" s="48" t="s">
        <v>81</v>
      </c>
      <c r="D1" s="48" t="s">
        <v>82</v>
      </c>
      <c r="E1" s="48" t="s">
        <v>83</v>
      </c>
      <c r="J1" s="1"/>
      <c r="K1" s="1"/>
    </row>
    <row r="2" spans="1:11" ht="15.6">
      <c r="A2" s="49"/>
      <c r="B2" s="22">
        <f ca="1">Main!D1</f>
        <v>46068</v>
      </c>
      <c r="C2" s="49"/>
      <c r="D2" s="49"/>
      <c r="E2" s="8" cm="1">
        <f t="array" ref="E2">-_xll.PrecioBD(A1,"24","ASK","N")</f>
        <v>-101.95</v>
      </c>
      <c r="F2" s="12"/>
      <c r="J2" s="13" t="s">
        <v>84</v>
      </c>
      <c r="K2" s="13">
        <v>0.25</v>
      </c>
    </row>
    <row r="3" spans="1:11" ht="15.6">
      <c r="A3" s="23"/>
      <c r="B3" s="50">
        <v>45749</v>
      </c>
      <c r="C3" s="51">
        <v>1</v>
      </c>
      <c r="D3" s="51">
        <v>0</v>
      </c>
      <c r="E3" s="51">
        <f ca="1">IF(B3&lt;=$B$2,0,(C3+D3))</f>
        <v>0</v>
      </c>
      <c r="F3" s="12">
        <f t="shared" ref="F3:F8" ca="1" si="0">(E3*(B3-$B$2)/365)/(1+$K$4)^((B3-$B$2)/365)/-$E$2/(1+$K$4)^$K$2</f>
        <v>0</v>
      </c>
      <c r="J3" s="13" t="s">
        <v>85</v>
      </c>
      <c r="K3" s="14">
        <f ca="1">SUM(F3:F8)</f>
        <v>0.27344947574106127</v>
      </c>
    </row>
    <row r="4" spans="1:11" ht="15.6">
      <c r="A4" s="23">
        <v>3</v>
      </c>
      <c r="B4" s="52">
        <v>45805</v>
      </c>
      <c r="C4" s="23">
        <v>1.46</v>
      </c>
      <c r="D4" s="23">
        <v>0</v>
      </c>
      <c r="E4" s="51">
        <f ca="1">IF(B4&lt;=$B$2,0,(C4+D4))</f>
        <v>0</v>
      </c>
      <c r="F4" s="12">
        <f t="shared" ca="1" si="0"/>
        <v>0</v>
      </c>
      <c r="J4" s="13" t="s">
        <v>4</v>
      </c>
      <c r="K4" s="33">
        <f ca="1">+XIRR(E2:E8,B2:B8)</f>
        <v>3.6735793948173529E-2</v>
      </c>
    </row>
    <row r="5" spans="1:11" ht="15.6">
      <c r="A5" s="23">
        <v>4</v>
      </c>
      <c r="B5" s="52">
        <v>45897</v>
      </c>
      <c r="C5" s="23">
        <v>1.51</v>
      </c>
      <c r="D5" s="23">
        <v>0</v>
      </c>
      <c r="E5" s="51">
        <f ca="1">IF(B5&lt;=$B$2,0,(C5+D5))</f>
        <v>0</v>
      </c>
      <c r="F5" s="12">
        <f t="shared" ca="1" si="0"/>
        <v>0</v>
      </c>
      <c r="J5" s="24" t="s">
        <v>89</v>
      </c>
    </row>
    <row r="6" spans="1:11" ht="15.6">
      <c r="A6" s="23">
        <v>5</v>
      </c>
      <c r="B6" s="52">
        <v>45989</v>
      </c>
      <c r="C6" s="23">
        <v>1.51</v>
      </c>
      <c r="D6" s="23">
        <v>0</v>
      </c>
      <c r="E6" s="51">
        <f t="shared" ref="E6:E28" ca="1" si="1">IF(B6&lt;=$B$2,0,(C6+D6))</f>
        <v>0</v>
      </c>
      <c r="F6" s="12">
        <f t="shared" ca="1" si="0"/>
        <v>0</v>
      </c>
    </row>
    <row r="7" spans="1:11" ht="15.6">
      <c r="A7" s="23">
        <v>6</v>
      </c>
      <c r="B7" s="52">
        <v>46083</v>
      </c>
      <c r="C7" s="23">
        <v>1.51</v>
      </c>
      <c r="D7" s="23">
        <v>0</v>
      </c>
      <c r="E7" s="51">
        <f t="shared" ca="1" si="1"/>
        <v>1.51</v>
      </c>
      <c r="F7" s="12">
        <f t="shared" ca="1" si="0"/>
        <v>6.0231987537244763E-4</v>
      </c>
    </row>
    <row r="8" spans="1:11" ht="15.6">
      <c r="A8" s="23">
        <v>7</v>
      </c>
      <c r="B8" s="52">
        <v>46170</v>
      </c>
      <c r="C8" s="23">
        <v>1.46</v>
      </c>
      <c r="D8" s="23">
        <v>100</v>
      </c>
      <c r="E8" s="51">
        <f t="shared" ca="1" si="1"/>
        <v>101.46</v>
      </c>
      <c r="F8" s="12">
        <f t="shared" ca="1" si="0"/>
        <v>0.27284715586568881</v>
      </c>
    </row>
    <row r="9" spans="1:11" ht="15" customHeight="1">
      <c r="E9" s="51">
        <f t="shared" ca="1" si="1"/>
        <v>0</v>
      </c>
    </row>
    <row r="10" spans="1:11" ht="15" customHeight="1">
      <c r="E10" s="51">
        <f t="shared" ca="1" si="1"/>
        <v>0</v>
      </c>
    </row>
    <row r="11" spans="1:11" ht="15" customHeight="1">
      <c r="E11" s="51">
        <f t="shared" ca="1" si="1"/>
        <v>0</v>
      </c>
    </row>
    <row r="12" spans="1:11" ht="15" customHeight="1">
      <c r="E12" s="51">
        <f t="shared" ca="1" si="1"/>
        <v>0</v>
      </c>
    </row>
    <row r="13" spans="1:11" ht="15" customHeight="1">
      <c r="E13" s="51">
        <f t="shared" ca="1" si="1"/>
        <v>0</v>
      </c>
    </row>
    <row r="14" spans="1:11" ht="15" customHeight="1">
      <c r="E14" s="51">
        <f t="shared" ca="1" si="1"/>
        <v>0</v>
      </c>
    </row>
    <row r="15" spans="1:11" ht="15" customHeight="1">
      <c r="E15" s="51">
        <f t="shared" ca="1" si="1"/>
        <v>0</v>
      </c>
    </row>
    <row r="16" spans="1:11" ht="15" customHeight="1">
      <c r="E16" s="51">
        <f t="shared" ca="1" si="1"/>
        <v>0</v>
      </c>
    </row>
    <row r="17" spans="5:5" ht="15" customHeight="1">
      <c r="E17" s="51">
        <f t="shared" ca="1" si="1"/>
        <v>0</v>
      </c>
    </row>
    <row r="18" spans="5:5" ht="15" customHeight="1">
      <c r="E18" s="51">
        <f t="shared" ca="1" si="1"/>
        <v>0</v>
      </c>
    </row>
    <row r="19" spans="5:5" ht="15" customHeight="1">
      <c r="E19" s="51">
        <f t="shared" ca="1" si="1"/>
        <v>0</v>
      </c>
    </row>
    <row r="20" spans="5:5" ht="15.75" customHeight="1">
      <c r="E20" s="51">
        <f t="shared" ca="1" si="1"/>
        <v>0</v>
      </c>
    </row>
    <row r="21" spans="5:5" ht="15.75" customHeight="1">
      <c r="E21" s="51">
        <f t="shared" ca="1" si="1"/>
        <v>0</v>
      </c>
    </row>
    <row r="22" spans="5:5" ht="15.75" customHeight="1">
      <c r="E22" s="51">
        <f t="shared" ca="1" si="1"/>
        <v>0</v>
      </c>
    </row>
    <row r="23" spans="5:5" ht="15.75" customHeight="1">
      <c r="E23" s="51">
        <f t="shared" ca="1" si="1"/>
        <v>0</v>
      </c>
    </row>
    <row r="24" spans="5:5" ht="15.75" customHeight="1">
      <c r="E24" s="51">
        <f t="shared" ca="1" si="1"/>
        <v>0</v>
      </c>
    </row>
    <row r="25" spans="5:5" ht="15.75" customHeight="1">
      <c r="E25" s="51">
        <f t="shared" ca="1" si="1"/>
        <v>0</v>
      </c>
    </row>
    <row r="26" spans="5:5" ht="15.75" customHeight="1">
      <c r="E26" s="51">
        <f t="shared" ca="1" si="1"/>
        <v>0</v>
      </c>
    </row>
    <row r="27" spans="5:5" ht="15.75" customHeight="1">
      <c r="E27" s="51">
        <f t="shared" ca="1" si="1"/>
        <v>0</v>
      </c>
    </row>
    <row r="28" spans="5:5" ht="15.75" customHeight="1">
      <c r="E28" s="51">
        <f t="shared" ca="1" si="1"/>
        <v>0</v>
      </c>
    </row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J5" location="'ONs Argentina'!A1" display="ONs Argentina" xr:uid="{00000000-0004-0000-3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134</vt:i4>
      </vt:variant>
    </vt:vector>
  </HeadingPairs>
  <TitlesOfParts>
    <vt:vector size="134" baseType="lpstr">
      <vt:lpstr>Main</vt:lpstr>
      <vt:lpstr>Hoja1</vt:lpstr>
      <vt:lpstr>Multi-mercado</vt:lpstr>
      <vt:lpstr>Indices BYMA</vt:lpstr>
      <vt:lpstr>Opciones</vt:lpstr>
      <vt:lpstr>Caucho</vt:lpstr>
      <vt:lpstr>ONs Argentina</vt:lpstr>
      <vt:lpstr>TY30P</vt:lpstr>
      <vt:lpstr>T30J7</vt:lpstr>
      <vt:lpstr>T31Y7</vt:lpstr>
      <vt:lpstr>T30A7</vt:lpstr>
      <vt:lpstr>T15E7</vt:lpstr>
      <vt:lpstr>S30N6</vt:lpstr>
      <vt:lpstr>S30O6</vt:lpstr>
      <vt:lpstr>S31G6</vt:lpstr>
      <vt:lpstr>S31L6</vt:lpstr>
      <vt:lpstr>T30J6</vt:lpstr>
      <vt:lpstr>S29Y6</vt:lpstr>
      <vt:lpstr>S30A6</vt:lpstr>
      <vt:lpstr>S17A6</vt:lpstr>
      <vt:lpstr>S16M6</vt:lpstr>
      <vt:lpstr>S27F6</vt:lpstr>
      <vt:lpstr>T13F6</vt:lpstr>
      <vt:lpstr>GD41D</vt:lpstr>
      <vt:lpstr>AL41D</vt:lpstr>
      <vt:lpstr>GD38D</vt:lpstr>
      <vt:lpstr>AE38D</vt:lpstr>
      <vt:lpstr>GD35D</vt:lpstr>
      <vt:lpstr>AL35D</vt:lpstr>
      <vt:lpstr>GD30D</vt:lpstr>
      <vt:lpstr>AL30D</vt:lpstr>
      <vt:lpstr>GD29D</vt:lpstr>
      <vt:lpstr>AL29D</vt:lpstr>
      <vt:lpstr>MCC2D</vt:lpstr>
      <vt:lpstr>PFC2D</vt:lpstr>
      <vt:lpstr>YM38D</vt:lpstr>
      <vt:lpstr>PN38D</vt:lpstr>
      <vt:lpstr>SBC1D</vt:lpstr>
      <vt:lpstr>TTCBD</vt:lpstr>
      <vt:lpstr>TLCOD</vt:lpstr>
      <vt:lpstr>PLC3D</vt:lpstr>
      <vt:lpstr>OLC5D</vt:lpstr>
      <vt:lpstr>CICAD</vt:lpstr>
      <vt:lpstr>YM40D</vt:lpstr>
      <vt:lpstr>LMS7D</vt:lpstr>
      <vt:lpstr>VSCPD</vt:lpstr>
      <vt:lpstr>OLC6D</vt:lpstr>
      <vt:lpstr>NPCCD</vt:lpstr>
      <vt:lpstr>PN41D</vt:lpstr>
      <vt:lpstr>PN35D</vt:lpstr>
      <vt:lpstr>IRCOD</vt:lpstr>
      <vt:lpstr>TTC9D</vt:lpstr>
      <vt:lpstr>OT42D</vt:lpstr>
      <vt:lpstr>PLC2D</vt:lpstr>
      <vt:lpstr>PQCSD</vt:lpstr>
      <vt:lpstr>VSCRD</vt:lpstr>
      <vt:lpstr>PN36D</vt:lpstr>
      <vt:lpstr>HJCID</vt:lpstr>
      <vt:lpstr>PNDCD</vt:lpstr>
      <vt:lpstr>TLCTD</vt:lpstr>
      <vt:lpstr>CIC9D</vt:lpstr>
      <vt:lpstr>RCCRD</vt:lpstr>
      <vt:lpstr>YM37D</vt:lpstr>
      <vt:lpstr>OTS2D</vt:lpstr>
      <vt:lpstr>PN42D</vt:lpstr>
      <vt:lpstr>VSCWD</vt:lpstr>
      <vt:lpstr>LMS8D</vt:lpstr>
      <vt:lpstr>IRCJDD</vt:lpstr>
      <vt:lpstr>ZZC1D</vt:lpstr>
      <vt:lpstr>YM41D</vt:lpstr>
      <vt:lpstr>DNC3D</vt:lpstr>
      <vt:lpstr>RC2CD</vt:lpstr>
      <vt:lpstr>YMCVD</vt:lpstr>
      <vt:lpstr>GN49D</vt:lpstr>
      <vt:lpstr>PLC5D</vt:lpstr>
      <vt:lpstr>TTCDD</vt:lpstr>
      <vt:lpstr>MGCRD</vt:lpstr>
      <vt:lpstr>TSC4D</vt:lpstr>
      <vt:lpstr>VSCVD</vt:lpstr>
      <vt:lpstr>YM39D</vt:lpstr>
      <vt:lpstr>PLC4D</vt:lpstr>
      <vt:lpstr>BACGD</vt:lpstr>
      <vt:lpstr>TLCPD</vt:lpstr>
      <vt:lpstr>YCAMO</vt:lpstr>
      <vt:lpstr>IRCPD</vt:lpstr>
      <vt:lpstr>DNC5D</vt:lpstr>
      <vt:lpstr>NBS1D</vt:lpstr>
      <vt:lpstr>TTC7D</vt:lpstr>
      <vt:lpstr>CP34D</vt:lpstr>
      <vt:lpstr>GN40D</vt:lpstr>
      <vt:lpstr>CS38D</vt:lpstr>
      <vt:lpstr>IRCHO</vt:lpstr>
      <vt:lpstr>MGCJD</vt:lpstr>
      <vt:lpstr>NPCAD</vt:lpstr>
      <vt:lpstr>LOC3D</vt:lpstr>
      <vt:lpstr>LOC2D</vt:lpstr>
      <vt:lpstr>RCCMD</vt:lpstr>
      <vt:lpstr>MGCHD</vt:lpstr>
      <vt:lpstr>YMCQD</vt:lpstr>
      <vt:lpstr>TN63D</vt:lpstr>
      <vt:lpstr>CWC6D</vt:lpstr>
      <vt:lpstr>MTCGD</vt:lpstr>
      <vt:lpstr>YMCID</vt:lpstr>
      <vt:lpstr>PNXCD</vt:lpstr>
      <vt:lpstr>YFCJD</vt:lpstr>
      <vt:lpstr>YM34D</vt:lpstr>
      <vt:lpstr>MGCOD</vt:lpstr>
      <vt:lpstr>MRCAD</vt:lpstr>
      <vt:lpstr>TLC50</vt:lpstr>
      <vt:lpstr>DNC7D</vt:lpstr>
      <vt:lpstr>TSC3D</vt:lpstr>
      <vt:lpstr>VSCTD</vt:lpstr>
      <vt:lpstr>BYCHD</vt:lpstr>
      <vt:lpstr>YCAMD</vt:lpstr>
      <vt:lpstr>YMCJD</vt:lpstr>
      <vt:lpstr>YMCHO</vt:lpstr>
      <vt:lpstr>TTCAD</vt:lpstr>
      <vt:lpstr>YMCXD</vt:lpstr>
      <vt:lpstr>PQCSO</vt:lpstr>
      <vt:lpstr>YMCIO</vt:lpstr>
      <vt:lpstr>TLCMD</vt:lpstr>
      <vt:lpstr>IRCJD</vt:lpstr>
      <vt:lpstr>IRCFD</vt:lpstr>
      <vt:lpstr>CS44D</vt:lpstr>
      <vt:lpstr>MGCMD</vt:lpstr>
      <vt:lpstr>MGC9D</vt:lpstr>
      <vt:lpstr>RCCJD</vt:lpstr>
      <vt:lpstr>ARC1D</vt:lpstr>
      <vt:lpstr>CAC5D</vt:lpstr>
      <vt:lpstr>VSCRD </vt:lpstr>
      <vt:lpstr>RUCDD</vt:lpstr>
      <vt:lpstr>GNCXD</vt:lpstr>
      <vt:lpstr>EA3D</vt:lpstr>
      <vt:lpstr>YMCVO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Mikael Theodorus</cp:lastModifiedBy>
  <dcterms:created xsi:type="dcterms:W3CDTF">2026-01-21T19:17:38Z</dcterms:created>
  <dcterms:modified xsi:type="dcterms:W3CDTF">2026-02-12T15:41:40Z</dcterms:modified>
</cp:coreProperties>
</file>