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Ons" sheetId="2" r:id="rId5"/>
    <sheet state="visible" name="Soberanos" sheetId="3" r:id="rId6"/>
    <sheet state="visible" name="Tactical" sheetId="4" r:id="rId7"/>
    <sheet state="visible" name="Capital" sheetId="5" r:id="rId8"/>
    <sheet state="visible" name="Elite Income - Premium Income" sheetId="6" r:id="rId9"/>
    <sheet state="visible" name="Innova" sheetId="7" r:id="rId10"/>
    <sheet state="visible" name="Equilibrium" sheetId="8" r:id="rId11"/>
    <sheet state="visible" name="Future+" sheetId="9" r:id="rId12"/>
    <sheet state="visible" name="Factor Alfa" sheetId="10" r:id="rId13"/>
    <sheet state="visible" name="Value" sheetId="11" r:id="rId14"/>
    <sheet state="visible" name="Momentum" sheetId="12" r:id="rId15"/>
    <sheet state="visible" name="Low Vol" sheetId="13" r:id="rId16"/>
    <sheet state="visible" name="Skewness" sheetId="14" r:id="rId17"/>
    <sheet state="visible" name="ETF" sheetId="15" r:id="rId18"/>
    <sheet state="visible" name="rebalance" sheetId="16" r:id="rId19"/>
  </sheets>
  <definedNames/>
  <calcPr/>
</workbook>
</file>

<file path=xl/sharedStrings.xml><?xml version="1.0" encoding="utf-8"?>
<sst xmlns="http://schemas.openxmlformats.org/spreadsheetml/2006/main" count="2844" uniqueCount="2338">
  <si>
    <t>Nombre</t>
  </si>
  <si>
    <t>Riesgo</t>
  </si>
  <si>
    <t>Theme</t>
  </si>
  <si>
    <t>Plazo</t>
  </si>
  <si>
    <t>Capital</t>
  </si>
  <si>
    <t>Alto</t>
  </si>
  <si>
    <t>Working capital</t>
  </si>
  <si>
    <t>Corto plazo</t>
  </si>
  <si>
    <t>Elite Income</t>
  </si>
  <si>
    <t>Medio</t>
  </si>
  <si>
    <t xml:space="preserve">Renta fija USD </t>
  </si>
  <si>
    <t>Largo plazo</t>
  </si>
  <si>
    <t>Premium Income</t>
  </si>
  <si>
    <t>Flujo mensual</t>
  </si>
  <si>
    <t>Equilibrium</t>
  </si>
  <si>
    <t>Diversificado</t>
  </si>
  <si>
    <t>Innova</t>
  </si>
  <si>
    <t>Extremo</t>
  </si>
  <si>
    <t>Innovación y teconología disruptiva</t>
  </si>
  <si>
    <t>Mediano plazo</t>
  </si>
  <si>
    <t>Future+</t>
  </si>
  <si>
    <t>Inicio de plan de retiro</t>
  </si>
  <si>
    <t>Factor alfa</t>
  </si>
  <si>
    <t>Equity cuantitativo</t>
  </si>
  <si>
    <t>Tactical</t>
  </si>
  <si>
    <t>Value</t>
  </si>
  <si>
    <t>Empresas baratas y de calidad</t>
  </si>
  <si>
    <t>Mediano</t>
  </si>
  <si>
    <t>Momentum</t>
  </si>
  <si>
    <t>Empresas que han subido mucho</t>
  </si>
  <si>
    <t>Corto</t>
  </si>
  <si>
    <t>Skewness</t>
  </si>
  <si>
    <t>Empresas que cayeron mucho</t>
  </si>
  <si>
    <t>Low Volatility</t>
  </si>
  <si>
    <t>Empresas con baja volatilidad</t>
  </si>
  <si>
    <t>Todo en base a momentum</t>
  </si>
  <si>
    <t>Stop</t>
  </si>
  <si>
    <t>Target</t>
  </si>
  <si>
    <t>Google fianance que se de señal</t>
  </si>
  <si>
    <t>Tablero</t>
  </si>
  <si>
    <t>Todo lo que haya universo de activos</t>
  </si>
  <si>
    <t>Transicionar de a poco.</t>
  </si>
  <si>
    <t>EMB</t>
  </si>
  <si>
    <t>https://www,blackrock,com/cl/productos/239572/ishares-jp-morgan-usd-emerging-markets-bond-etf</t>
  </si>
  <si>
    <t>CEMB</t>
  </si>
  <si>
    <t>https://www,blackrock,com/cl/productos/239525/ishares-emerging-markets-corporate-bond-etf</t>
  </si>
  <si>
    <t>EMLC</t>
  </si>
  <si>
    <t>EMLC - J,P, Morgan EM Local Currency Bond ETF | Holdings &amp; Performance | VanEck</t>
  </si>
  <si>
    <t>CME</t>
  </si>
  <si>
    <t>https://interactive,researchaffiliates,com/asset-allocation#!/?category=Multi-Country&amp;currency=USD&amp;model=ER&amp;scale=Log&amp;selected=60&amp;tab=details&amp;terms=Real&amp;type=Government+T-Bills&amp;vs=N4IgxgrgTlCmB2AXAygCwIYAdYGED2ANnlCAFzwQEEA0IqAlgCaMICCAzu7Iu2QNoBWAdQAcI6gEYA7ADZJU8dICckpcIBMABk3UtGzVN0SNEuevUaALCos6LE3QPXVLEh5YDMl3So9yPmgC6tAzMbJzcACoAnti8pHzBdEws8BxciDjoiLAA5sT0sPGJISkI%2BBBIUIXFIOhgILSMALYgSaGpFVXRMXH8SbAAHpjo8CyMvUX8IAAKAKKNIHMAiosASnMAkos4APIAsjtrOwBCiyvqiwBiABqLmwAyZwPDo%2BNZOfnVUwl8S6u0fYAVQekW2wT%2BG22tA2bWofz2h0BILBcL%2Bt0WABE5gA1NH-c6HQIvEZjWCMLqIKA9WI-P6Y2AAN1gRGwjHOzVgUFy9HguUW%2B0oiHoAFpKdS4SB2GAoBAAEZyrk49AECA-UBgLCwEVQbL0PAigi82BkUAEWAAM0QZB0IGquVQ1tImgAvrR8ozECL2KztUb4CbSGbLU7bfbHTa3eA4Ix6F6fXhsIbjaaQOarTbaOHQ1HMMREBbCPr2CLsFBC1BmqMwH6U0G0yHM3b6A6cy6XUA</t>
  </si>
  <si>
    <t>Conservador</t>
  </si>
  <si>
    <t>TIR</t>
  </si>
  <si>
    <t>M,Duration</t>
  </si>
  <si>
    <t>Vto</t>
  </si>
  <si>
    <t>Inverse m,D</t>
  </si>
  <si>
    <t>Weight</t>
  </si>
  <si>
    <t>Lamina</t>
  </si>
  <si>
    <t>TLCPD</t>
  </si>
  <si>
    <t>BACGD</t>
  </si>
  <si>
    <t>IRCPD</t>
  </si>
  <si>
    <t>YM34D</t>
  </si>
  <si>
    <t>TLCMD</t>
  </si>
  <si>
    <t>Agresivo</t>
  </si>
  <si>
    <t>DNC7D</t>
  </si>
  <si>
    <t>6-12 meses Conservador</t>
  </si>
  <si>
    <t>Simple</t>
  </si>
  <si>
    <t>Ticker</t>
  </si>
  <si>
    <t>Working Capital</t>
  </si>
  <si>
    <t>M,D</t>
  </si>
  <si>
    <t>Inverse duration</t>
  </si>
  <si>
    <t>Lecap</t>
  </si>
  <si>
    <t>S10N5</t>
  </si>
  <si>
    <t>T15D5</t>
  </si>
  <si>
    <t>S28N5</t>
  </si>
  <si>
    <t>S31O5</t>
  </si>
  <si>
    <t>Cer</t>
  </si>
  <si>
    <t>TX26</t>
  </si>
  <si>
    <t>Moderado</t>
  </si>
  <si>
    <t>Boncap</t>
  </si>
  <si>
    <t>TZXD7</t>
  </si>
  <si>
    <t>Duales</t>
  </si>
  <si>
    <t>Duration</t>
  </si>
  <si>
    <t>T13F6</t>
  </si>
  <si>
    <t>Conservador/Moderado</t>
  </si>
  <si>
    <t>Bopreal</t>
  </si>
  <si>
    <t>BPD7D</t>
  </si>
  <si>
    <t>AL30D</t>
  </si>
  <si>
    <t>AE38D</t>
  </si>
  <si>
    <t>TEM</t>
  </si>
  <si>
    <t>Globales</t>
  </si>
  <si>
    <t>Total risk</t>
  </si>
  <si>
    <t>Risk USD units</t>
  </si>
  <si>
    <t>Auxtin</t>
  </si>
  <si>
    <t>YTD</t>
  </si>
  <si>
    <t>Entry</t>
  </si>
  <si>
    <t>Exit</t>
  </si>
  <si>
    <t>k * Days</t>
  </si>
  <si>
    <t>ATR</t>
  </si>
  <si>
    <t>ATR*K</t>
  </si>
  <si>
    <t>Price</t>
  </si>
  <si>
    <t>Contracts</t>
  </si>
  <si>
    <t>USD</t>
  </si>
  <si>
    <t>Signal</t>
  </si>
  <si>
    <t>HSBC</t>
  </si>
  <si>
    <t>BK</t>
  </si>
  <si>
    <t>SAN</t>
  </si>
  <si>
    <t>CLS</t>
  </si>
  <si>
    <t>GE</t>
  </si>
  <si>
    <t>VRSN</t>
  </si>
  <si>
    <t>T</t>
  </si>
  <si>
    <t>KGC</t>
  </si>
  <si>
    <t>SNOW</t>
  </si>
  <si>
    <t>PLTR</t>
  </si>
  <si>
    <t>SCHW</t>
  </si>
  <si>
    <t>GILD</t>
  </si>
  <si>
    <t>ORCL</t>
  </si>
  <si>
    <t>GLW</t>
  </si>
  <si>
    <t>BBVA</t>
  </si>
  <si>
    <t>SPOT</t>
  </si>
  <si>
    <t>MFG</t>
  </si>
  <si>
    <t>RBLX</t>
  </si>
  <si>
    <t>SE</t>
  </si>
  <si>
    <t>NFLX</t>
  </si>
  <si>
    <t>UAL</t>
  </si>
  <si>
    <t>GS</t>
  </si>
  <si>
    <t>GFI</t>
  </si>
  <si>
    <t>BCS</t>
  </si>
  <si>
    <t>TWLO</t>
  </si>
  <si>
    <t>C</t>
  </si>
  <si>
    <t>AVGO</t>
  </si>
  <si>
    <t>NVDA</t>
  </si>
  <si>
    <t>VST</t>
  </si>
  <si>
    <t>JOYY</t>
  </si>
  <si>
    <t>EBAY</t>
  </si>
  <si>
    <t>Name</t>
  </si>
  <si>
    <t>Allocation</t>
  </si>
  <si>
    <t>Soberanos en pesos</t>
  </si>
  <si>
    <t>Security Analysis</t>
  </si>
  <si>
    <t>Modelo</t>
  </si>
  <si>
    <t>Corredor +/- 10%</t>
  </si>
  <si>
    <t>TAA</t>
  </si>
  <si>
    <t>Desviación estándar esperada</t>
  </si>
  <si>
    <t>TIR a vencimiento</t>
  </si>
  <si>
    <t>Corredor +/- 5%</t>
  </si>
  <si>
    <t>ONs ARG</t>
  </si>
  <si>
    <t>Oro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</si>
  <si>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</si>
  <si>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</si>
  <si>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</si>
  <si>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</si>
  <si>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</si>
  <si>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</si>
  <si>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</si>
  <si>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</si>
  <si>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</si>
  <si>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</si>
  <si>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</si>
  <si>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</si>
  <si>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IRCJD</t>
  </si>
  <si>
    <t>YMCXD</t>
  </si>
  <si>
    <t>VSCRD</t>
  </si>
  <si>
    <t>YMCID</t>
  </si>
  <si>
    <t>Columna 1</t>
  </si>
  <si>
    <t>TIR PONDERADA</t>
  </si>
  <si>
    <t>Vencimiento</t>
  </si>
  <si>
    <t>Ley</t>
  </si>
  <si>
    <t>Lam Mínima</t>
  </si>
  <si>
    <t>Empresa</t>
  </si>
  <si>
    <t>GLD</t>
  </si>
  <si>
    <t>$10.000</t>
  </si>
  <si>
    <t>Acciones internacionales</t>
  </si>
  <si>
    <t>Inversiones alternativas</t>
  </si>
  <si>
    <t>Energía eléctrica/Agua/Gas natural</t>
  </si>
  <si>
    <t>Estados Unidos Mid-cap</t>
  </si>
  <si>
    <t>Bitcoin</t>
  </si>
  <si>
    <t>Países desarrollados SML</t>
  </si>
  <si>
    <t>Semiconductores</t>
  </si>
  <si>
    <t>Países emergentes</t>
  </si>
  <si>
    <t>Estados Unidos Small-cap</t>
  </si>
  <si>
    <t>Hardware y Software</t>
  </si>
  <si>
    <t>Ciberseguridad</t>
  </si>
  <si>
    <t>Servicios de internet/Plataformas digitales /Redes sociales</t>
  </si>
  <si>
    <t>Empresas de Uranio</t>
  </si>
  <si>
    <t>Ethereum</t>
  </si>
  <si>
    <t>Empresas mineras</t>
  </si>
  <si>
    <t>Asset</t>
  </si>
  <si>
    <t>XLU</t>
  </si>
  <si>
    <t>IJH</t>
  </si>
  <si>
    <t>IBIT</t>
  </si>
  <si>
    <t>VEA</t>
  </si>
  <si>
    <t>SMH</t>
  </si>
  <si>
    <t>IEMG</t>
  </si>
  <si>
    <t>IWM</t>
  </si>
  <si>
    <t>XLK</t>
  </si>
  <si>
    <t>CIBR</t>
  </si>
  <si>
    <t>XLC</t>
  </si>
  <si>
    <t>URA</t>
  </si>
  <si>
    <t>ETHA</t>
  </si>
  <si>
    <t>GDX</t>
  </si>
  <si>
    <t>Bonos</t>
  </si>
  <si>
    <t>Obligaciones Negociables</t>
  </si>
  <si>
    <t>Estados Unidos Large-cap</t>
  </si>
  <si>
    <t>Plata</t>
  </si>
  <si>
    <t>Países desarrollados LMS</t>
  </si>
  <si>
    <t>Países emergentes LMS</t>
  </si>
  <si>
    <t>Petróleo</t>
  </si>
  <si>
    <t>Crypto</t>
  </si>
  <si>
    <t>SPY</t>
  </si>
  <si>
    <t>SLV</t>
  </si>
  <si>
    <t>USO</t>
  </si>
  <si>
    <t>Retorno esperado</t>
  </si>
  <si>
    <t>Materias primas</t>
  </si>
  <si>
    <t>Expected return</t>
  </si>
  <si>
    <t>ER Weighted</t>
  </si>
  <si>
    <t>Low Vol</t>
  </si>
  <si>
    <t>Skew</t>
  </si>
  <si>
    <t>Acciones Individuales</t>
  </si>
  <si>
    <t>Retorno desde rebalance anual</t>
  </si>
  <si>
    <t>SLB</t>
  </si>
  <si>
    <t>WB</t>
  </si>
  <si>
    <t>MO</t>
  </si>
  <si>
    <t>MRK</t>
  </si>
  <si>
    <t>PFE</t>
  </si>
  <si>
    <t>ANF</t>
  </si>
  <si>
    <t>CAAP</t>
  </si>
  <si>
    <t>HPQ</t>
  </si>
  <si>
    <t>BIIB</t>
  </si>
  <si>
    <t>HAL</t>
  </si>
  <si>
    <t>EQNR</t>
  </si>
  <si>
    <t>DECK</t>
  </si>
  <si>
    <t>RIO</t>
  </si>
  <si>
    <t>DAL</t>
  </si>
  <si>
    <t>BHP</t>
  </si>
  <si>
    <t>TGT</t>
  </si>
  <si>
    <t>NEM</t>
  </si>
  <si>
    <t>BKR</t>
  </si>
  <si>
    <t>PBI</t>
  </si>
  <si>
    <t>YELP</t>
  </si>
  <si>
    <t>B</t>
  </si>
  <si>
    <t>TTE</t>
  </si>
  <si>
    <t>AZN</t>
  </si>
  <si>
    <t>UNH</t>
  </si>
  <si>
    <t>VZ</t>
  </si>
  <si>
    <t>FCX</t>
  </si>
  <si>
    <t>AAL</t>
  </si>
  <si>
    <t>OXY</t>
  </si>
  <si>
    <t>VIST</t>
  </si>
  <si>
    <t>PYPL</t>
  </si>
  <si>
    <t>FSLR</t>
  </si>
  <si>
    <t>XOM</t>
  </si>
  <si>
    <t>ARCO</t>
  </si>
  <si>
    <t>PCAR</t>
  </si>
  <si>
    <t>GT</t>
  </si>
  <si>
    <t>GM</t>
  </si>
  <si>
    <t>Retorno desde rebalance trimestral</t>
  </si>
  <si>
    <t>HWM</t>
  </si>
  <si>
    <t>KO</t>
  </si>
  <si>
    <t>MMC</t>
  </si>
  <si>
    <t>UL</t>
  </si>
  <si>
    <t>TJX</t>
  </si>
  <si>
    <t>ADP</t>
  </si>
  <si>
    <t>PEP</t>
  </si>
  <si>
    <t>JNJ</t>
  </si>
  <si>
    <t>PG</t>
  </si>
  <si>
    <t>BRKB</t>
  </si>
  <si>
    <t>TEF</t>
  </si>
  <si>
    <t>KMB</t>
  </si>
  <si>
    <t>MCD</t>
  </si>
  <si>
    <t>MDT</t>
  </si>
  <si>
    <t>IBN</t>
  </si>
  <si>
    <t>NVS</t>
  </si>
  <si>
    <t>ORLY</t>
  </si>
  <si>
    <t>VRTX</t>
  </si>
  <si>
    <t>GLOB</t>
  </si>
  <si>
    <t>ADBE</t>
  </si>
  <si>
    <t>LMT</t>
  </si>
  <si>
    <t>ABBV</t>
  </si>
  <si>
    <t>PHG</t>
  </si>
  <si>
    <t>RTX</t>
  </si>
  <si>
    <t>TMUS</t>
  </si>
  <si>
    <t>CVX</t>
  </si>
  <si>
    <t>MELI</t>
  </si>
  <si>
    <t>IFF</t>
  </si>
  <si>
    <t>Nombre de la Compañía</t>
  </si>
  <si>
    <t>Código</t>
  </si>
  <si>
    <t>BYMA</t>
  </si>
  <si>
    <t>Mercado donde Cotiza</t>
  </si>
  <si>
    <t>Ratio (*)</t>
  </si>
  <si>
    <t>ARK INNOVATION</t>
  </si>
  <si>
    <t>ARKK</t>
  </si>
  <si>
    <t>NYSE Arca</t>
  </si>
  <si>
    <t>10:1</t>
  </si>
  <si>
    <t>DIREXION DAILY S&amp;P 500 BULL 3X</t>
  </si>
  <si>
    <t>SPXL</t>
  </si>
  <si>
    <t>25:1</t>
  </si>
  <si>
    <t>ENERGY SELECT SECTOR SPDR FUND</t>
  </si>
  <si>
    <t>XLE</t>
  </si>
  <si>
    <t>2:1</t>
  </si>
  <si>
    <t>ETF SPDR GOLD TRUST</t>
  </si>
  <si>
    <t>NYSE</t>
  </si>
  <si>
    <t>50:1</t>
  </si>
  <si>
    <t>FINANCIAL SELECT SECTOR SPDR FUND</t>
  </si>
  <si>
    <t>XLF</t>
  </si>
  <si>
    <t>ISHARES CHINA LARGE-CAP ETF</t>
  </si>
  <si>
    <t>FXI</t>
  </si>
  <si>
    <t>5:1</t>
  </si>
  <si>
    <t>INVESCO QQQ TRUST</t>
  </si>
  <si>
    <t>QQQ</t>
  </si>
  <si>
    <t>NASDAQ</t>
  </si>
  <si>
    <t>20:1</t>
  </si>
  <si>
    <t>ISHARES BITCOIN TRUST</t>
  </si>
  <si>
    <t>iSHARES Core MSCI World UCITS</t>
  </si>
  <si>
    <t>IWDA</t>
  </si>
  <si>
    <t>LONDON STOCK EXCHANGE</t>
  </si>
  <si>
    <t>24:1</t>
  </si>
  <si>
    <t>iShares Core MSCI Emerging Markets ETF</t>
  </si>
  <si>
    <t>12:1</t>
  </si>
  <si>
    <t>iShares Core MSCI Europe ETF</t>
  </si>
  <si>
    <t>IEUR</t>
  </si>
  <si>
    <t>11:1</t>
  </si>
  <si>
    <t>iShares CORE S&amp;P MID-CAP ETF</t>
  </si>
  <si>
    <t>ISHARES ETHEREUM TR ETF</t>
  </si>
  <si>
    <t>iShares MSCI ACWI ETF</t>
  </si>
  <si>
    <t>ACWI</t>
  </si>
  <si>
    <t>26:1</t>
  </si>
  <si>
    <t>ISHARES MSCI BRAZIL CAP</t>
  </si>
  <si>
    <t>EWZ</t>
  </si>
  <si>
    <t>iShares MSCI EAFE ETF</t>
  </si>
  <si>
    <t>EFA</t>
  </si>
  <si>
    <t>18:1</t>
  </si>
  <si>
    <t>ISHARES MSCI EMERGING MARKET</t>
  </si>
  <si>
    <t>EEM</t>
  </si>
  <si>
    <t>iShares MSCI JAPAN ETF</t>
  </si>
  <si>
    <t>EWJ</t>
  </si>
  <si>
    <t>14:1</t>
  </si>
  <si>
    <t>iShares Nasdaq Biotechnology ETF</t>
  </si>
  <si>
    <t>IBB</t>
  </si>
  <si>
    <t>27:1</t>
  </si>
  <si>
    <t>iShares S&amp;P 500 Growth ETF</t>
  </si>
  <si>
    <t>IVW</t>
  </si>
  <si>
    <t>iShares S&amp;P 500 Value ETF</t>
  </si>
  <si>
    <t>IVE</t>
  </si>
  <si>
    <t>40:1</t>
  </si>
  <si>
    <t>iShares SILVER TRUST</t>
  </si>
  <si>
    <t>6:1</t>
  </si>
  <si>
    <t>ISHARES TRUST RUSSELL 2000</t>
  </si>
  <si>
    <t>Global X Uranium ETF</t>
  </si>
  <si>
    <t>SPDR DOW JONES INDUSTRIAL</t>
  </si>
  <si>
    <t>DIA</t>
  </si>
  <si>
    <t>SPDR S&amp;P 500</t>
  </si>
  <si>
    <t>The Communication Services Select Sector SPDR Fund</t>
  </si>
  <si>
    <t>19:1</t>
  </si>
  <si>
    <t>The Consumer Discretionary Select Sector SPDR Fund</t>
  </si>
  <si>
    <t>XLY</t>
  </si>
  <si>
    <t>43:1</t>
  </si>
  <si>
    <t>The Consumer Staples Select Sector SPDR Fund</t>
  </si>
  <si>
    <t>XLP</t>
  </si>
  <si>
    <t>16:1</t>
  </si>
  <si>
    <t>The Health Care Select Sector SPDR Fund</t>
  </si>
  <si>
    <t>XLV</t>
  </si>
  <si>
    <t>29:1</t>
  </si>
  <si>
    <t>The Industrial Select Sector SPDR Fund</t>
  </si>
  <si>
    <t>XLI</t>
  </si>
  <si>
    <t>28:1</t>
  </si>
  <si>
    <t>The Materials Select Sector SPDR Fund</t>
  </si>
  <si>
    <t>XLB</t>
  </si>
  <si>
    <t>The Real Estate Select Sector SPDR Fund</t>
  </si>
  <si>
    <t>XLRE</t>
  </si>
  <si>
    <t>9:1</t>
  </si>
  <si>
    <t>The Technology Select Sector SPDR Fund</t>
  </si>
  <si>
    <t>46:1</t>
  </si>
  <si>
    <t>First Trust NASDAQ Cybersecurity</t>
  </si>
  <si>
    <t>Utilities Select Sector SPDR Fund</t>
  </si>
  <si>
    <t>United States Oil Fund</t>
  </si>
  <si>
    <t>15:1</t>
  </si>
  <si>
    <t>iShares U.S. Aerospace &amp; Defense</t>
  </si>
  <si>
    <t>ITA</t>
  </si>
  <si>
    <t>CBOE</t>
  </si>
  <si>
    <t>ProShares UltraPro QQQ</t>
  </si>
  <si>
    <t>TQQQ</t>
  </si>
  <si>
    <t>iPath Series B S&amp;P 500 VIX</t>
  </si>
  <si>
    <t>VXX</t>
  </si>
  <si>
    <t>VAN ECK SEMICONDUCTOR ETF</t>
  </si>
  <si>
    <t>VANGUARD DIVIDEND APPRECIATION</t>
  </si>
  <si>
    <t>VIG</t>
  </si>
  <si>
    <t>Vanguard FTSE Developed Markets ETF</t>
  </si>
  <si>
    <t>Van Eck Gold Miners ETF/USA GDX NYSE 10:1</t>
  </si>
  <si>
    <t>ProShares Short QQQ</t>
  </si>
  <si>
    <t>PSQ</t>
  </si>
  <si>
    <t>ProShares Short SPY</t>
  </si>
  <si>
    <t>SH</t>
  </si>
  <si>
    <t>Portfolio</t>
  </si>
  <si>
    <t>A3</t>
  </si>
  <si>
    <t>A3B</t>
  </si>
  <si>
    <t>A3D</t>
  </si>
  <si>
    <t>AALC</t>
  </si>
  <si>
    <t>AALD</t>
  </si>
  <si>
    <t>AAP</t>
  </si>
  <si>
    <t>AAPDB</t>
  </si>
  <si>
    <t>AAPL</t>
  </si>
  <si>
    <t>AAPLB</t>
  </si>
  <si>
    <t>AAPLC</t>
  </si>
  <si>
    <t>AAPLD</t>
  </si>
  <si>
    <t>ABBVD</t>
  </si>
  <si>
    <t>ABEV</t>
  </si>
  <si>
    <t>ABEV3</t>
  </si>
  <si>
    <t>ABEVC</t>
  </si>
  <si>
    <t>ABEVD</t>
  </si>
  <si>
    <t>ABNB</t>
  </si>
  <si>
    <t>ABNBC</t>
  </si>
  <si>
    <t>ABNBD</t>
  </si>
  <si>
    <t>ABT</t>
  </si>
  <si>
    <t>ABTC</t>
  </si>
  <si>
    <t>ABTD</t>
  </si>
  <si>
    <t>ACN</t>
  </si>
  <si>
    <t>ACND</t>
  </si>
  <si>
    <t>ACWID</t>
  </si>
  <si>
    <t>ADBEC</t>
  </si>
  <si>
    <t>ADBED</t>
  </si>
  <si>
    <t>ADGO</t>
  </si>
  <si>
    <t>ADGOD</t>
  </si>
  <si>
    <t>ADGPF</t>
  </si>
  <si>
    <t>ADI</t>
  </si>
  <si>
    <t>ADID</t>
  </si>
  <si>
    <t>AE38</t>
  </si>
  <si>
    <t>AE38C</t>
  </si>
  <si>
    <t>AE38X</t>
  </si>
  <si>
    <t>AE38Y</t>
  </si>
  <si>
    <t>AE38Z</t>
  </si>
  <si>
    <t>AEC2C</t>
  </si>
  <si>
    <t>AEC2O</t>
  </si>
  <si>
    <t>AEC2X</t>
  </si>
  <si>
    <t>AEC2Z</t>
  </si>
  <si>
    <t>AEG</t>
  </si>
  <si>
    <t>AEM</t>
  </si>
  <si>
    <t>AEMD</t>
  </si>
  <si>
    <t>AER5O</t>
  </si>
  <si>
    <t>AER5X</t>
  </si>
  <si>
    <t>AER9O</t>
  </si>
  <si>
    <t>AERBD</t>
  </si>
  <si>
    <t>AERBO</t>
  </si>
  <si>
    <t>AFC4X</t>
  </si>
  <si>
    <t>AFCEX</t>
  </si>
  <si>
    <t>AGRO</t>
  </si>
  <si>
    <t>AGROD</t>
  </si>
  <si>
    <t>AI</t>
  </si>
  <si>
    <t>AID</t>
  </si>
  <si>
    <t>AIG</t>
  </si>
  <si>
    <t>AIGD</t>
  </si>
  <si>
    <t>AKO,B</t>
  </si>
  <si>
    <t>AL29</t>
  </si>
  <si>
    <t>AL29C</t>
  </si>
  <si>
    <t>AL29D</t>
  </si>
  <si>
    <t>AL29X</t>
  </si>
  <si>
    <t>AL30</t>
  </si>
  <si>
    <t>AL30C</t>
  </si>
  <si>
    <t>AL30X</t>
  </si>
  <si>
    <t>AL30Y</t>
  </si>
  <si>
    <t>AL30Z</t>
  </si>
  <si>
    <t>AL35</t>
  </si>
  <si>
    <t>AL35C</t>
  </si>
  <si>
    <t>AL35D</t>
  </si>
  <si>
    <t>AL35X</t>
  </si>
  <si>
    <t>AL35Y</t>
  </si>
  <si>
    <t>AL35Z</t>
  </si>
  <si>
    <t>AL41</t>
  </si>
  <si>
    <t>AL41C</t>
  </si>
  <si>
    <t>AL41D</t>
  </si>
  <si>
    <t>AL41X</t>
  </si>
  <si>
    <t>AL41Y</t>
  </si>
  <si>
    <t>ALAAD</t>
  </si>
  <si>
    <t>ALAAF</t>
  </si>
  <si>
    <t>ALDAD</t>
  </si>
  <si>
    <t>ALDAF</t>
  </si>
  <si>
    <t>ALDBD</t>
  </si>
  <si>
    <t>ALDBF</t>
  </si>
  <si>
    <t>ALNBF</t>
  </si>
  <si>
    <t>ALREF</t>
  </si>
  <si>
    <t>ALUA</t>
  </si>
  <si>
    <t>ALUAC</t>
  </si>
  <si>
    <t>ALUAD</t>
  </si>
  <si>
    <t>AMAT</t>
  </si>
  <si>
    <t>AMATD</t>
  </si>
  <si>
    <t>AMD</t>
  </si>
  <si>
    <t>AMD,B</t>
  </si>
  <si>
    <t>AMDC</t>
  </si>
  <si>
    <t>AMDD</t>
  </si>
  <si>
    <t>AMGN</t>
  </si>
  <si>
    <t>AMGND</t>
  </si>
  <si>
    <t>AMX</t>
  </si>
  <si>
    <t>AMXD</t>
  </si>
  <si>
    <t>AMZN</t>
  </si>
  <si>
    <t>AMZNC</t>
  </si>
  <si>
    <t>AMZND</t>
  </si>
  <si>
    <t>ANFD</t>
  </si>
  <si>
    <t>ARC1C</t>
  </si>
  <si>
    <t>ARC1D</t>
  </si>
  <si>
    <t>ARC1O</t>
  </si>
  <si>
    <t>ARCOC</t>
  </si>
  <si>
    <t>ARCOD</t>
  </si>
  <si>
    <t>ARKKC</t>
  </si>
  <si>
    <t>ARKKD</t>
  </si>
  <si>
    <t>ARM</t>
  </si>
  <si>
    <t>ASML</t>
  </si>
  <si>
    <t>ASMLC</t>
  </si>
  <si>
    <t>ASMLD</t>
  </si>
  <si>
    <t>ASR</t>
  </si>
  <si>
    <t>AUSO</t>
  </si>
  <si>
    <t>AVGOC</t>
  </si>
  <si>
    <t>AVGOD</t>
  </si>
  <si>
    <t>AVY</t>
  </si>
  <si>
    <t>AVYD</t>
  </si>
  <si>
    <t>AXP</t>
  </si>
  <si>
    <t>AXPC</t>
  </si>
  <si>
    <t>AXPD</t>
  </si>
  <si>
    <t>AZNC</t>
  </si>
  <si>
    <t>AZND</t>
  </si>
  <si>
    <t>B,B</t>
  </si>
  <si>
    <t>B,C</t>
  </si>
  <si>
    <t>B,D</t>
  </si>
  <si>
    <t>BA</t>
  </si>
  <si>
    <t>BA,C</t>
  </si>
  <si>
    <t>BA,CD</t>
  </si>
  <si>
    <t>BA1GC</t>
  </si>
  <si>
    <t>BA1GD</t>
  </si>
  <si>
    <t>BA1GO</t>
  </si>
  <si>
    <t>BA37D</t>
  </si>
  <si>
    <t>BA7DC</t>
  </si>
  <si>
    <t>BA7DD</t>
  </si>
  <si>
    <t>BA7DX</t>
  </si>
  <si>
    <t>BA7DY</t>
  </si>
  <si>
    <t>BA7DZ</t>
  </si>
  <si>
    <t>BABA</t>
  </si>
  <si>
    <t>BABAB</t>
  </si>
  <si>
    <t>BABAC</t>
  </si>
  <si>
    <t>BABAD</t>
  </si>
  <si>
    <t>BAC</t>
  </si>
  <si>
    <t>BACAC</t>
  </si>
  <si>
    <t>BACAD</t>
  </si>
  <si>
    <t>BACAO</t>
  </si>
  <si>
    <t>BACGC</t>
  </si>
  <si>
    <t>BACGO</t>
  </si>
  <si>
    <t>BACGX</t>
  </si>
  <si>
    <t>BAD</t>
  </si>
  <si>
    <t>BAD25</t>
  </si>
  <si>
    <t>BAK</t>
  </si>
  <si>
    <t>BAN25</t>
  </si>
  <si>
    <t>BAO25</t>
  </si>
  <si>
    <t>BB</t>
  </si>
  <si>
    <t>BB37D</t>
  </si>
  <si>
    <t>BB7DC</t>
  </si>
  <si>
    <t>BB7DD</t>
  </si>
  <si>
    <t>BB7DX</t>
  </si>
  <si>
    <t>BB7DY</t>
  </si>
  <si>
    <t>BB7DZ</t>
  </si>
  <si>
    <t>BBAR</t>
  </si>
  <si>
    <t>BBARC</t>
  </si>
  <si>
    <t>BBARD</t>
  </si>
  <si>
    <t>BBAS3</t>
  </si>
  <si>
    <t>BBD</t>
  </si>
  <si>
    <t>BBDB</t>
  </si>
  <si>
    <t>BBDC</t>
  </si>
  <si>
    <t>BBDC3</t>
  </si>
  <si>
    <t>BBDCD</t>
  </si>
  <si>
    <t>BBDD</t>
  </si>
  <si>
    <t>BBV</t>
  </si>
  <si>
    <t>BBVD</t>
  </si>
  <si>
    <t>BC28X</t>
  </si>
  <si>
    <t>BC37D</t>
  </si>
  <si>
    <t>BC7DC</t>
  </si>
  <si>
    <t>BC7DD</t>
  </si>
  <si>
    <t>BDC28</t>
  </si>
  <si>
    <t>BF35D</t>
  </si>
  <si>
    <t>BF35O</t>
  </si>
  <si>
    <t>BF36O</t>
  </si>
  <si>
    <t>BF36X</t>
  </si>
  <si>
    <t>BFCXO</t>
  </si>
  <si>
    <t>BFCXX</t>
  </si>
  <si>
    <t>BGD25</t>
  </si>
  <si>
    <t>BHIP</t>
  </si>
  <si>
    <t>BHIPD</t>
  </si>
  <si>
    <t>BHPD</t>
  </si>
  <si>
    <t>BIDU</t>
  </si>
  <si>
    <t>BIDUC</t>
  </si>
  <si>
    <t>BIDUD</t>
  </si>
  <si>
    <t>BIIBD</t>
  </si>
  <si>
    <t>BIOX</t>
  </si>
  <si>
    <t>BIOXC</t>
  </si>
  <si>
    <t>BIOXD</t>
  </si>
  <si>
    <t>BITF</t>
  </si>
  <si>
    <t>BITFC</t>
  </si>
  <si>
    <t>BITFD</t>
  </si>
  <si>
    <t>BKD</t>
  </si>
  <si>
    <t>BKNG</t>
  </si>
  <si>
    <t>BKNGD</t>
  </si>
  <si>
    <t>BKRD</t>
  </si>
  <si>
    <t>BLG25</t>
  </si>
  <si>
    <t>BMA</t>
  </si>
  <si>
    <t>BMA,B</t>
  </si>
  <si>
    <t>BMA,C</t>
  </si>
  <si>
    <t>BMA,D</t>
  </si>
  <si>
    <t>BMY</t>
  </si>
  <si>
    <t>BMYD</t>
  </si>
  <si>
    <t>BNA26</t>
  </si>
  <si>
    <t>BNA6C</t>
  </si>
  <si>
    <t>BNA6D</t>
  </si>
  <si>
    <t>BNG</t>
  </si>
  <si>
    <t>BNGD</t>
  </si>
  <si>
    <t>BNM26</t>
  </si>
  <si>
    <t>BNO25</t>
  </si>
  <si>
    <t>BNO5X</t>
  </si>
  <si>
    <t>BOL1D</t>
  </si>
  <si>
    <t>BOL1O</t>
  </si>
  <si>
    <t>BOLT</t>
  </si>
  <si>
    <t>BP</t>
  </si>
  <si>
    <t>BPA11</t>
  </si>
  <si>
    <t>BPA7C</t>
  </si>
  <si>
    <t>BPA7D</t>
  </si>
  <si>
    <t>BPA7X</t>
  </si>
  <si>
    <t>BPA7Y</t>
  </si>
  <si>
    <t>BPA7Z</t>
  </si>
  <si>
    <t>BPAT</t>
  </si>
  <si>
    <t>BPB7C</t>
  </si>
  <si>
    <t>BPB7D</t>
  </si>
  <si>
    <t>BPB7X</t>
  </si>
  <si>
    <t>BPB7Y</t>
  </si>
  <si>
    <t>BPB7Z</t>
  </si>
  <si>
    <t>BPC7C</t>
  </si>
  <si>
    <t>BPC7D</t>
  </si>
  <si>
    <t>BPC7X</t>
  </si>
  <si>
    <t>BPC7Y</t>
  </si>
  <si>
    <t>BPC7Z</t>
  </si>
  <si>
    <t>BPCLX</t>
  </si>
  <si>
    <t>BPCNO</t>
  </si>
  <si>
    <t>BPCNX</t>
  </si>
  <si>
    <t>BPCPD</t>
  </si>
  <si>
    <t>BPCPO</t>
  </si>
  <si>
    <t>BPCPY</t>
  </si>
  <si>
    <t>BPD</t>
  </si>
  <si>
    <t>BPD7C</t>
  </si>
  <si>
    <t>BPD7X</t>
  </si>
  <si>
    <t>BPD7Y</t>
  </si>
  <si>
    <t>BPD7Z</t>
  </si>
  <si>
    <t>BPO28</t>
  </si>
  <si>
    <t>BPO8C</t>
  </si>
  <si>
    <t>BPO8D</t>
  </si>
  <si>
    <t>BPOA7</t>
  </si>
  <si>
    <t>BPOB7</t>
  </si>
  <si>
    <t>BPOC7</t>
  </si>
  <si>
    <t>BPOD7</t>
  </si>
  <si>
    <t>BPY26</t>
  </si>
  <si>
    <t>BPY6C</t>
  </si>
  <si>
    <t>BPY6D</t>
  </si>
  <si>
    <t>BPY6X</t>
  </si>
  <si>
    <t>BPY6Y</t>
  </si>
  <si>
    <t>BPY6Z</t>
  </si>
  <si>
    <t>BRFS</t>
  </si>
  <si>
    <t>BRFSD</t>
  </si>
  <si>
    <t>BRKBC</t>
  </si>
  <si>
    <t>BRKBD</t>
  </si>
  <si>
    <t>BSBR</t>
  </si>
  <si>
    <t>BSCQX</t>
  </si>
  <si>
    <t>BU4J6</t>
  </si>
  <si>
    <t>BYC2O</t>
  </si>
  <si>
    <t>BYC2P</t>
  </si>
  <si>
    <t>BYCHC</t>
  </si>
  <si>
    <t>BYCHD</t>
  </si>
  <si>
    <t>BYCHO</t>
  </si>
  <si>
    <t>BYCLO</t>
  </si>
  <si>
    <t>BYCLX</t>
  </si>
  <si>
    <t>BYCMO</t>
  </si>
  <si>
    <t>BYCMX</t>
  </si>
  <si>
    <t>BYCND</t>
  </si>
  <si>
    <t>BYCNO</t>
  </si>
  <si>
    <t>BYCOD</t>
  </si>
  <si>
    <t>BYCOO</t>
  </si>
  <si>
    <t>BYCQX</t>
  </si>
  <si>
    <t>BYCRO</t>
  </si>
  <si>
    <t>BYCRX</t>
  </si>
  <si>
    <t>BYCTD</t>
  </si>
  <si>
    <t>BYCTO</t>
  </si>
  <si>
    <t>BYCUD</t>
  </si>
  <si>
    <t>BYMAB</t>
  </si>
  <si>
    <t>BYMAC</t>
  </si>
  <si>
    <t>BYMAD</t>
  </si>
  <si>
    <t>C,D</t>
  </si>
  <si>
    <t>C21DC</t>
  </si>
  <si>
    <t>C21DD</t>
  </si>
  <si>
    <t>C21DZ</t>
  </si>
  <si>
    <t>CAAPD</t>
  </si>
  <si>
    <t>CAC3O</t>
  </si>
  <si>
    <t>CAC3X</t>
  </si>
  <si>
    <t>CAC5C</t>
  </si>
  <si>
    <t>CAC5D</t>
  </si>
  <si>
    <t>CAC5O</t>
  </si>
  <si>
    <t>CAC6X</t>
  </si>
  <si>
    <t>CAC8C</t>
  </si>
  <si>
    <t>CAC8D</t>
  </si>
  <si>
    <t>CAC8O</t>
  </si>
  <si>
    <t>CAC8X</t>
  </si>
  <si>
    <t>CACAO</t>
  </si>
  <si>
    <t>CACAX</t>
  </si>
  <si>
    <t>CACBD</t>
  </si>
  <si>
    <t>CACBO</t>
  </si>
  <si>
    <t>CADO</t>
  </si>
  <si>
    <t>CAH</t>
  </si>
  <si>
    <t>CAHD</t>
  </si>
  <si>
    <t>CAPX</t>
  </si>
  <si>
    <t>CAR</t>
  </si>
  <si>
    <t>CARC</t>
  </si>
  <si>
    <t>CARP</t>
  </si>
  <si>
    <t>CAT</t>
  </si>
  <si>
    <t>CATC</t>
  </si>
  <si>
    <t>CATD</t>
  </si>
  <si>
    <t>CC</t>
  </si>
  <si>
    <t>CCL</t>
  </si>
  <si>
    <t>CCLD</t>
  </si>
  <si>
    <t>CDE</t>
  </si>
  <si>
    <t>CECO2</t>
  </si>
  <si>
    <t>CEDI</t>
  </si>
  <si>
    <t>CEG</t>
  </si>
  <si>
    <t>CEGD</t>
  </si>
  <si>
    <t>CELU</t>
  </si>
  <si>
    <t>CEPU</t>
  </si>
  <si>
    <t>CEPUB</t>
  </si>
  <si>
    <t>CEPUC</t>
  </si>
  <si>
    <t>CEPUD</t>
  </si>
  <si>
    <t>CFS7D</t>
  </si>
  <si>
    <t>CFS7O</t>
  </si>
  <si>
    <t>CFS7X</t>
  </si>
  <si>
    <t>CGPA2</t>
  </si>
  <si>
    <t>CH24D</t>
  </si>
  <si>
    <t>CIBRD</t>
  </si>
  <si>
    <t>CIC3O</t>
  </si>
  <si>
    <t>CIC6O</t>
  </si>
  <si>
    <t>CIC7D</t>
  </si>
  <si>
    <t>CIC7O</t>
  </si>
  <si>
    <t>CIC8D</t>
  </si>
  <si>
    <t>CIC8O</t>
  </si>
  <si>
    <t>CIC9D</t>
  </si>
  <si>
    <t>CIC9O</t>
  </si>
  <si>
    <t>CL</t>
  </si>
  <si>
    <t>CLD</t>
  </si>
  <si>
    <t>CLI1C</t>
  </si>
  <si>
    <t>CLI1D</t>
  </si>
  <si>
    <t>CLI1O</t>
  </si>
  <si>
    <t>CLSD</t>
  </si>
  <si>
    <t>CLSIC</t>
  </si>
  <si>
    <t>CLSID</t>
  </si>
  <si>
    <t>CLSIO</t>
  </si>
  <si>
    <t>CO21D</t>
  </si>
  <si>
    <t>CO21X</t>
  </si>
  <si>
    <t>CO24D</t>
  </si>
  <si>
    <t>CO26</t>
  </si>
  <si>
    <t>CO26D</t>
  </si>
  <si>
    <t>CO26X</t>
  </si>
  <si>
    <t>CO26Y</t>
  </si>
  <si>
    <t>CO26Z</t>
  </si>
  <si>
    <t>CO27D</t>
  </si>
  <si>
    <t>CO32</t>
  </si>
  <si>
    <t>CO32C</t>
  </si>
  <si>
    <t>CO32D</t>
  </si>
  <si>
    <t>COD7</t>
  </si>
  <si>
    <t>COD7X</t>
  </si>
  <si>
    <t>COIN</t>
  </si>
  <si>
    <t>COINC</t>
  </si>
  <si>
    <t>COIND</t>
  </si>
  <si>
    <t>COME</t>
  </si>
  <si>
    <t>COMEC</t>
  </si>
  <si>
    <t>COMED</t>
  </si>
  <si>
    <t>COST</t>
  </si>
  <si>
    <t>COSTC</t>
  </si>
  <si>
    <t>COSTD</t>
  </si>
  <si>
    <t>COUR</t>
  </si>
  <si>
    <t>COY27</t>
  </si>
  <si>
    <t>CP28O</t>
  </si>
  <si>
    <t>CP31D</t>
  </si>
  <si>
    <t>CP31O</t>
  </si>
  <si>
    <t>CP32D</t>
  </si>
  <si>
    <t>CP32O</t>
  </si>
  <si>
    <t>CP33O</t>
  </si>
  <si>
    <t>CP34C</t>
  </si>
  <si>
    <t>CP34D</t>
  </si>
  <si>
    <t>CP34O</t>
  </si>
  <si>
    <t>CP34X</t>
  </si>
  <si>
    <t>CP34Y</t>
  </si>
  <si>
    <t>CP35O</t>
  </si>
  <si>
    <t>CP35X</t>
  </si>
  <si>
    <t>CP36D</t>
  </si>
  <si>
    <t>CP36O</t>
  </si>
  <si>
    <t>CP37D</t>
  </si>
  <si>
    <t>CP37O</t>
  </si>
  <si>
    <t>CRCJC</t>
  </si>
  <si>
    <t>CRCJD</t>
  </si>
  <si>
    <t>CRCJO</t>
  </si>
  <si>
    <t>CRCLD</t>
  </si>
  <si>
    <t>CRCLO</t>
  </si>
  <si>
    <t>CRCMO</t>
  </si>
  <si>
    <t>CRE3W</t>
  </si>
  <si>
    <t>CRECB</t>
  </si>
  <si>
    <t>CRES</t>
  </si>
  <si>
    <t>CRESD</t>
  </si>
  <si>
    <t>CRM</t>
  </si>
  <si>
    <t>CRMC</t>
  </si>
  <si>
    <t>CRMD</t>
  </si>
  <si>
    <t>CS38C</t>
  </si>
  <si>
    <t>CS38D</t>
  </si>
  <si>
    <t>CS38O</t>
  </si>
  <si>
    <t>CS40O</t>
  </si>
  <si>
    <t>CS40X</t>
  </si>
  <si>
    <t>CS44C</t>
  </si>
  <si>
    <t>CS44D</t>
  </si>
  <si>
    <t>CS44O</t>
  </si>
  <si>
    <t>CS45C</t>
  </si>
  <si>
    <t>CS45D</t>
  </si>
  <si>
    <t>CS45O</t>
  </si>
  <si>
    <t>CS45X</t>
  </si>
  <si>
    <t>CS46O</t>
  </si>
  <si>
    <t>CS46X</t>
  </si>
  <si>
    <t>CS47C</t>
  </si>
  <si>
    <t>CS47D</t>
  </si>
  <si>
    <t>CS47O</t>
  </si>
  <si>
    <t>CS48C</t>
  </si>
  <si>
    <t>CS48D</t>
  </si>
  <si>
    <t>CS48O</t>
  </si>
  <si>
    <t>CSCO</t>
  </si>
  <si>
    <t>CSCOC</t>
  </si>
  <si>
    <t>CSCOD</t>
  </si>
  <si>
    <t>CSNA3</t>
  </si>
  <si>
    <t>CTIO</t>
  </si>
  <si>
    <t>CUAP</t>
  </si>
  <si>
    <t>CUAPD</t>
  </si>
  <si>
    <t>CUAPX</t>
  </si>
  <si>
    <t>CUAPY</t>
  </si>
  <si>
    <t>CVH</t>
  </si>
  <si>
    <t>CVHC</t>
  </si>
  <si>
    <t>CVHD</t>
  </si>
  <si>
    <t>CVS</t>
  </si>
  <si>
    <t>CVSD</t>
  </si>
  <si>
    <t>CVXC</t>
  </si>
  <si>
    <t>CVXD</t>
  </si>
  <si>
    <t>CWC6D</t>
  </si>
  <si>
    <t>CWC6O</t>
  </si>
  <si>
    <t>CX</t>
  </si>
  <si>
    <t>CXD</t>
  </si>
  <si>
    <t>CY27X</t>
  </si>
  <si>
    <t>CY2BD</t>
  </si>
  <si>
    <t>CY2BP</t>
  </si>
  <si>
    <t>D16E6</t>
  </si>
  <si>
    <t>D31O5</t>
  </si>
  <si>
    <t>DALD</t>
  </si>
  <si>
    <t>DCO24</t>
  </si>
  <si>
    <t>DD</t>
  </si>
  <si>
    <t>DE</t>
  </si>
  <si>
    <t>DE6D</t>
  </si>
  <si>
    <t>DE6X</t>
  </si>
  <si>
    <t>DEC</t>
  </si>
  <si>
    <t>DEC2D</t>
  </si>
  <si>
    <t>DEC2O</t>
  </si>
  <si>
    <t>DECKD</t>
  </si>
  <si>
    <t>DED</t>
  </si>
  <si>
    <t>DEO</t>
  </si>
  <si>
    <t>DEOD</t>
  </si>
  <si>
    <t>DESP</t>
  </si>
  <si>
    <t>DESPD</t>
  </si>
  <si>
    <t>DGCE</t>
  </si>
  <si>
    <t>DGCU2</t>
  </si>
  <si>
    <t>DHA1D</t>
  </si>
  <si>
    <t>DHA1O</t>
  </si>
  <si>
    <t>DHD1D</t>
  </si>
  <si>
    <t>DHD1O</t>
  </si>
  <si>
    <t>DHR</t>
  </si>
  <si>
    <t>DHRD</t>
  </si>
  <si>
    <t>DHS9D</t>
  </si>
  <si>
    <t>DHS9O</t>
  </si>
  <si>
    <t>DHSBC</t>
  </si>
  <si>
    <t>DHSBD</t>
  </si>
  <si>
    <t>DHSBO</t>
  </si>
  <si>
    <t>DHSFD</t>
  </si>
  <si>
    <t>DHSFO</t>
  </si>
  <si>
    <t>DIAB</t>
  </si>
  <si>
    <t>DIAC</t>
  </si>
  <si>
    <t>DIAD</t>
  </si>
  <si>
    <t>DICP</t>
  </si>
  <si>
    <t>DICPC</t>
  </si>
  <si>
    <t>DICPD</t>
  </si>
  <si>
    <t>DICPX</t>
  </si>
  <si>
    <t>DICPY</t>
  </si>
  <si>
    <t>DICPZ</t>
  </si>
  <si>
    <t>DIP0</t>
  </si>
  <si>
    <t>DIP0D</t>
  </si>
  <si>
    <t>DISN</t>
  </si>
  <si>
    <t>DISNC</t>
  </si>
  <si>
    <t>DISND</t>
  </si>
  <si>
    <t>DJN3D</t>
  </si>
  <si>
    <t>DJNJ3</t>
  </si>
  <si>
    <t>DNC3C</t>
  </si>
  <si>
    <t>DNC3D</t>
  </si>
  <si>
    <t>DNC3O</t>
  </si>
  <si>
    <t>DNC5C</t>
  </si>
  <si>
    <t>DNC5D</t>
  </si>
  <si>
    <t>DNC5O</t>
  </si>
  <si>
    <t>DNC5X</t>
  </si>
  <si>
    <t>DNC7C</t>
  </si>
  <si>
    <t>DNC7O</t>
  </si>
  <si>
    <t>DNC8C</t>
  </si>
  <si>
    <t>DNC8D</t>
  </si>
  <si>
    <t>DNC8O</t>
  </si>
  <si>
    <t>DO5X</t>
  </si>
  <si>
    <t>DOCU</t>
  </si>
  <si>
    <t>DOCUD</t>
  </si>
  <si>
    <t>DOME</t>
  </si>
  <si>
    <t>DOW</t>
  </si>
  <si>
    <t>DOWC</t>
  </si>
  <si>
    <t>DOWD</t>
  </si>
  <si>
    <t>DRABF</t>
  </si>
  <si>
    <t>E</t>
  </si>
  <si>
    <t>EA</t>
  </si>
  <si>
    <t>EAC1D</t>
  </si>
  <si>
    <t>EAC1O</t>
  </si>
  <si>
    <t>EAC2O</t>
  </si>
  <si>
    <t>EAC3D</t>
  </si>
  <si>
    <t>EAC3O</t>
  </si>
  <si>
    <t>EAC3Y</t>
  </si>
  <si>
    <t>EAD</t>
  </si>
  <si>
    <t>EBAYD</t>
  </si>
  <si>
    <t>EBR</t>
  </si>
  <si>
    <t>EBRD</t>
  </si>
  <si>
    <t>ECOG</t>
  </si>
  <si>
    <t>ECOGD</t>
  </si>
  <si>
    <t>EDN</t>
  </si>
  <si>
    <t>EDNC</t>
  </si>
  <si>
    <t>EDND</t>
  </si>
  <si>
    <t>EDSH</t>
  </si>
  <si>
    <t>EEMC</t>
  </si>
  <si>
    <t>EEMD</t>
  </si>
  <si>
    <t>EF25C</t>
  </si>
  <si>
    <t>EF25D</t>
  </si>
  <si>
    <t>EFAD</t>
  </si>
  <si>
    <t>EFX</t>
  </si>
  <si>
    <t>EFXD</t>
  </si>
  <si>
    <t>ELP</t>
  </si>
  <si>
    <t>ELPD</t>
  </si>
  <si>
    <t>EMC1D</t>
  </si>
  <si>
    <t>EMC1O</t>
  </si>
  <si>
    <t>ERF25</t>
  </si>
  <si>
    <t>ERIC</t>
  </si>
  <si>
    <t>ERJ</t>
  </si>
  <si>
    <t>ERJD</t>
  </si>
  <si>
    <t>ETHAC</t>
  </si>
  <si>
    <t>ETHAD</t>
  </si>
  <si>
    <t>ETSY</t>
  </si>
  <si>
    <t>ETSYD</t>
  </si>
  <si>
    <t>EWJD</t>
  </si>
  <si>
    <t>EWZB</t>
  </si>
  <si>
    <t>EWZC</t>
  </si>
  <si>
    <t>EWZD</t>
  </si>
  <si>
    <t>EWZDB</t>
  </si>
  <si>
    <t>F</t>
  </si>
  <si>
    <t>FC</t>
  </si>
  <si>
    <t>FCXD</t>
  </si>
  <si>
    <t>FD</t>
  </si>
  <si>
    <t>FDX</t>
  </si>
  <si>
    <t>FDXD</t>
  </si>
  <si>
    <t>FERR</t>
  </si>
  <si>
    <t>FIPL</t>
  </si>
  <si>
    <t>FIPLB</t>
  </si>
  <si>
    <t>FMX</t>
  </si>
  <si>
    <t>FMXD</t>
  </si>
  <si>
    <t>FNMA</t>
  </si>
  <si>
    <t>FOS3O</t>
  </si>
  <si>
    <t>FOS3X</t>
  </si>
  <si>
    <t>FSLRD</t>
  </si>
  <si>
    <t>FXIC</t>
  </si>
  <si>
    <t>FXID</t>
  </si>
  <si>
    <t>GAMI</t>
  </si>
  <si>
    <t>GARO</t>
  </si>
  <si>
    <t>GBAN</t>
  </si>
  <si>
    <t>GCDI</t>
  </si>
  <si>
    <t>GCLA</t>
  </si>
  <si>
    <t>GCLAC</t>
  </si>
  <si>
    <t>GD29</t>
  </si>
  <si>
    <t>GD29C</t>
  </si>
  <si>
    <t>GD29D</t>
  </si>
  <si>
    <t>GD29X</t>
  </si>
  <si>
    <t>GD29Y</t>
  </si>
  <si>
    <t>GD29Z</t>
  </si>
  <si>
    <t>GD30</t>
  </si>
  <si>
    <t>GD30C</t>
  </si>
  <si>
    <t>GD30D</t>
  </si>
  <si>
    <t>GD30X</t>
  </si>
  <si>
    <t>GD30Y</t>
  </si>
  <si>
    <t>GD30Z</t>
  </si>
  <si>
    <t>GD35</t>
  </si>
  <si>
    <t>GD35C</t>
  </si>
  <si>
    <t>GD35D</t>
  </si>
  <si>
    <t>GD35X</t>
  </si>
  <si>
    <t>GD35Y</t>
  </si>
  <si>
    <t>GD35Z</t>
  </si>
  <si>
    <t>GD38</t>
  </si>
  <si>
    <t>GD38C</t>
  </si>
  <si>
    <t>GD38D</t>
  </si>
  <si>
    <t>GD38X</t>
  </si>
  <si>
    <t>GD38Y</t>
  </si>
  <si>
    <t>GD38Z</t>
  </si>
  <si>
    <t>GD41</t>
  </si>
  <si>
    <t>GD41C</t>
  </si>
  <si>
    <t>GD41D</t>
  </si>
  <si>
    <t>GD41X</t>
  </si>
  <si>
    <t>GD41Y</t>
  </si>
  <si>
    <t>GD41Z</t>
  </si>
  <si>
    <t>GD46</t>
  </si>
  <si>
    <t>GD46C</t>
  </si>
  <si>
    <t>GD46D</t>
  </si>
  <si>
    <t>GD46X</t>
  </si>
  <si>
    <t>GD46Y</t>
  </si>
  <si>
    <t>GD46Z</t>
  </si>
  <si>
    <t>GE,,B</t>
  </si>
  <si>
    <t>GEC</t>
  </si>
  <si>
    <t>GED</t>
  </si>
  <si>
    <t>GGAL</t>
  </si>
  <si>
    <t>GGALB</t>
  </si>
  <si>
    <t>GGALC</t>
  </si>
  <si>
    <t>GGALD</t>
  </si>
  <si>
    <t>GGALX</t>
  </si>
  <si>
    <t>GGB</t>
  </si>
  <si>
    <t>GGBC</t>
  </si>
  <si>
    <t>GGBD</t>
  </si>
  <si>
    <t>GHC8D</t>
  </si>
  <si>
    <t>GHC8O</t>
  </si>
  <si>
    <t>GILDC</t>
  </si>
  <si>
    <t>GILDD</t>
  </si>
  <si>
    <t>GLDB</t>
  </si>
  <si>
    <t>GLDC</t>
  </si>
  <si>
    <t>GLDD</t>
  </si>
  <si>
    <t>GLOBB</t>
  </si>
  <si>
    <t>GLOBC</t>
  </si>
  <si>
    <t>GLOBD</t>
  </si>
  <si>
    <t>GMCJO</t>
  </si>
  <si>
    <t>GMD</t>
  </si>
  <si>
    <t>GN37O</t>
  </si>
  <si>
    <t>GN39O</t>
  </si>
  <si>
    <t>GN39X</t>
  </si>
  <si>
    <t>GN42O</t>
  </si>
  <si>
    <t>GN43D</t>
  </si>
  <si>
    <t>GN43O</t>
  </si>
  <si>
    <t>GN43X</t>
  </si>
  <si>
    <t>GN44O</t>
  </si>
  <si>
    <t>GN44X</t>
  </si>
  <si>
    <t>GN46O</t>
  </si>
  <si>
    <t>GN46X</t>
  </si>
  <si>
    <t>GN47C</t>
  </si>
  <si>
    <t>GN47D</t>
  </si>
  <si>
    <t>GN47O</t>
  </si>
  <si>
    <t>GN48D</t>
  </si>
  <si>
    <t>GN48O</t>
  </si>
  <si>
    <t>GNCXC</t>
  </si>
  <si>
    <t>GNCXD</t>
  </si>
  <si>
    <t>GNCXO</t>
  </si>
  <si>
    <t>GOC4D</t>
  </si>
  <si>
    <t>GOC4O</t>
  </si>
  <si>
    <t>GOGLB</t>
  </si>
  <si>
    <t>GOGLC</t>
  </si>
  <si>
    <t>GOGLD</t>
  </si>
  <si>
    <t>GOLD</t>
  </si>
  <si>
    <t>GOOGL</t>
  </si>
  <si>
    <t>GPRK</t>
  </si>
  <si>
    <t>GPRKC</t>
  </si>
  <si>
    <t>GPRKD</t>
  </si>
  <si>
    <t>GRIM</t>
  </si>
  <si>
    <t>GRMN</t>
  </si>
  <si>
    <t>GRMND</t>
  </si>
  <si>
    <t>GSC</t>
  </si>
  <si>
    <t>GSD</t>
  </si>
  <si>
    <t>GSK</t>
  </si>
  <si>
    <t>GSKD</t>
  </si>
  <si>
    <t>GTD</t>
  </si>
  <si>
    <t>GYC4D</t>
  </si>
  <si>
    <t>GYC4O</t>
  </si>
  <si>
    <t>GYC5D</t>
  </si>
  <si>
    <t>GYC5O</t>
  </si>
  <si>
    <t>HALD</t>
  </si>
  <si>
    <t>HAPV3</t>
  </si>
  <si>
    <t>HARG</t>
  </si>
  <si>
    <t>HAVA</t>
  </si>
  <si>
    <t>HAVAD</t>
  </si>
  <si>
    <t>HBC4D</t>
  </si>
  <si>
    <t>HBC4O</t>
  </si>
  <si>
    <t>HBC8O</t>
  </si>
  <si>
    <t>HD</t>
  </si>
  <si>
    <t>HDB</t>
  </si>
  <si>
    <t>HDD</t>
  </si>
  <si>
    <t>HJCBD</t>
  </si>
  <si>
    <t>HJCBO</t>
  </si>
  <si>
    <t>HJCEO</t>
  </si>
  <si>
    <t>HJCEX</t>
  </si>
  <si>
    <t>HJCFD</t>
  </si>
  <si>
    <t>HJCFO</t>
  </si>
  <si>
    <t>HJCGD</t>
  </si>
  <si>
    <t>HJCGO</t>
  </si>
  <si>
    <t>HJCHD</t>
  </si>
  <si>
    <t>HJCHO</t>
  </si>
  <si>
    <t>HJCID</t>
  </si>
  <si>
    <t>HJCIO</t>
  </si>
  <si>
    <t>HJCJC</t>
  </si>
  <si>
    <t>HJCJD</t>
  </si>
  <si>
    <t>HJCJO</t>
  </si>
  <si>
    <t>HL</t>
  </si>
  <si>
    <t>HLD</t>
  </si>
  <si>
    <t>HMC</t>
  </si>
  <si>
    <t>HMC,D</t>
  </si>
  <si>
    <t>HMY</t>
  </si>
  <si>
    <t>HMYC</t>
  </si>
  <si>
    <t>HMYD</t>
  </si>
  <si>
    <t>HOG</t>
  </si>
  <si>
    <t>HON</t>
  </si>
  <si>
    <t>HOND</t>
  </si>
  <si>
    <t>HPQD</t>
  </si>
  <si>
    <t>HSAT</t>
  </si>
  <si>
    <t>HSY</t>
  </si>
  <si>
    <t>HSYC</t>
  </si>
  <si>
    <t>HSYD</t>
  </si>
  <si>
    <t>HUT</t>
  </si>
  <si>
    <t>HUTC</t>
  </si>
  <si>
    <t>HUTD</t>
  </si>
  <si>
    <t>HVS1D</t>
  </si>
  <si>
    <t>HVS1O</t>
  </si>
  <si>
    <t>HWMD</t>
  </si>
  <si>
    <t>IBBD</t>
  </si>
  <si>
    <t>IBITB</t>
  </si>
  <si>
    <t>IBITC</t>
  </si>
  <si>
    <t>IBITD</t>
  </si>
  <si>
    <t>IBM</t>
  </si>
  <si>
    <t>IBMC</t>
  </si>
  <si>
    <t>IBMD</t>
  </si>
  <si>
    <t>IEB</t>
  </si>
  <si>
    <t>IEMGD</t>
  </si>
  <si>
    <t>IEURC</t>
  </si>
  <si>
    <t>IEURD</t>
  </si>
  <si>
    <t>IJHD</t>
  </si>
  <si>
    <t>INAG</t>
  </si>
  <si>
    <t>INFY</t>
  </si>
  <si>
    <t>ING</t>
  </si>
  <si>
    <t>INTC</t>
  </si>
  <si>
    <t>INTCC</t>
  </si>
  <si>
    <t>INTCD</t>
  </si>
  <si>
    <t>INTR</t>
  </si>
  <si>
    <t>INVJ</t>
  </si>
  <si>
    <t>IP</t>
  </si>
  <si>
    <t>IPD</t>
  </si>
  <si>
    <t>IRCFC</t>
  </si>
  <si>
    <t>IRCFD</t>
  </si>
  <si>
    <t>IRCFO</t>
  </si>
  <si>
    <t>IRCIC</t>
  </si>
  <si>
    <t>IRCID</t>
  </si>
  <si>
    <t>IRCIO</t>
  </si>
  <si>
    <t>IRCJO</t>
  </si>
  <si>
    <t>IRCLC</t>
  </si>
  <si>
    <t>IRCLD</t>
  </si>
  <si>
    <t>IRCLO</t>
  </si>
  <si>
    <t>IRCND</t>
  </si>
  <si>
    <t>IRCNO</t>
  </si>
  <si>
    <t>IRCOD</t>
  </si>
  <si>
    <t>IRCOO</t>
  </si>
  <si>
    <t>IRCPC</t>
  </si>
  <si>
    <t>IRCPO</t>
  </si>
  <si>
    <t>IRS2W</t>
  </si>
  <si>
    <t>IRSA</t>
  </si>
  <si>
    <t>IRSAC</t>
  </si>
  <si>
    <t>IRSAD</t>
  </si>
  <si>
    <t>ISRG</t>
  </si>
  <si>
    <t>ITUB</t>
  </si>
  <si>
    <t>ITUB3</t>
  </si>
  <si>
    <t>ITUBC</t>
  </si>
  <si>
    <t>ITUBD</t>
  </si>
  <si>
    <t>IVEC</t>
  </si>
  <si>
    <t>IVED</t>
  </si>
  <si>
    <t>IVWD</t>
  </si>
  <si>
    <t>IWMC</t>
  </si>
  <si>
    <t>IWMD</t>
  </si>
  <si>
    <t>JBSS3</t>
  </si>
  <si>
    <t>JCI</t>
  </si>
  <si>
    <t>JD</t>
  </si>
  <si>
    <t>JDB</t>
  </si>
  <si>
    <t>JDD</t>
  </si>
  <si>
    <t>JMIA</t>
  </si>
  <si>
    <t>JMIAC</t>
  </si>
  <si>
    <t>JMIAD</t>
  </si>
  <si>
    <t>JNC5D</t>
  </si>
  <si>
    <t>JNC5O</t>
  </si>
  <si>
    <t>JNJC</t>
  </si>
  <si>
    <t>JNJD</t>
  </si>
  <si>
    <t>JOYYD</t>
  </si>
  <si>
    <t>JPM</t>
  </si>
  <si>
    <t>JPMC</t>
  </si>
  <si>
    <t>JPMD</t>
  </si>
  <si>
    <t>KB</t>
  </si>
  <si>
    <t>KEP</t>
  </si>
  <si>
    <t>KMBD</t>
  </si>
  <si>
    <t>KO,,B</t>
  </si>
  <si>
    <t>KOC</t>
  </si>
  <si>
    <t>KOD</t>
  </si>
  <si>
    <t>KOFM</t>
  </si>
  <si>
    <t>LAC</t>
  </si>
  <si>
    <t>LACD</t>
  </si>
  <si>
    <t>LAR</t>
  </si>
  <si>
    <t>LARC</t>
  </si>
  <si>
    <t>LARD</t>
  </si>
  <si>
    <t>LBG25</t>
  </si>
  <si>
    <t>LDCGD</t>
  </si>
  <si>
    <t>LDCGO</t>
  </si>
  <si>
    <t>LEC9O</t>
  </si>
  <si>
    <t>LECAD</t>
  </si>
  <si>
    <t>LECAO</t>
  </si>
  <si>
    <t>LECBD</t>
  </si>
  <si>
    <t>LECBO</t>
  </si>
  <si>
    <t>LECDO</t>
  </si>
  <si>
    <t>LECED</t>
  </si>
  <si>
    <t>LECEO</t>
  </si>
  <si>
    <t>LECGD</t>
  </si>
  <si>
    <t>LECGO</t>
  </si>
  <si>
    <t>LECHD</t>
  </si>
  <si>
    <t>LECHO</t>
  </si>
  <si>
    <t>LECID</t>
  </si>
  <si>
    <t>LECIO</t>
  </si>
  <si>
    <t>LECJO</t>
  </si>
  <si>
    <t>LECKD</t>
  </si>
  <si>
    <t>LECLO</t>
  </si>
  <si>
    <t>LEDE</t>
  </si>
  <si>
    <t>LEDED</t>
  </si>
  <si>
    <t>LIC6D</t>
  </si>
  <si>
    <t>LIC6O</t>
  </si>
  <si>
    <t>LLY</t>
  </si>
  <si>
    <t>LLYC</t>
  </si>
  <si>
    <t>LLYD</t>
  </si>
  <si>
    <t>LMS4O</t>
  </si>
  <si>
    <t>LMS4X</t>
  </si>
  <si>
    <t>LMS6O</t>
  </si>
  <si>
    <t>LMS6X</t>
  </si>
  <si>
    <t>LMS6Z</t>
  </si>
  <si>
    <t>LMS7C</t>
  </si>
  <si>
    <t>LMS7D</t>
  </si>
  <si>
    <t>LMS7O</t>
  </si>
  <si>
    <t>LMS7X</t>
  </si>
  <si>
    <t>LMS7Y</t>
  </si>
  <si>
    <t>LMS7Z</t>
  </si>
  <si>
    <t>LMS8C</t>
  </si>
  <si>
    <t>LMS8D</t>
  </si>
  <si>
    <t>LMS8O</t>
  </si>
  <si>
    <t>LMS8X</t>
  </si>
  <si>
    <t>LMS8Y</t>
  </si>
  <si>
    <t>LMS9C</t>
  </si>
  <si>
    <t>LMS9D</t>
  </si>
  <si>
    <t>LMS9O</t>
  </si>
  <si>
    <t>LMTC</t>
  </si>
  <si>
    <t>LMTD</t>
  </si>
  <si>
    <t>LND</t>
  </si>
  <si>
    <t>LOC2C</t>
  </si>
  <si>
    <t>LOC2D</t>
  </si>
  <si>
    <t>LOC2O</t>
  </si>
  <si>
    <t>LOC2X</t>
  </si>
  <si>
    <t>LOC3C</t>
  </si>
  <si>
    <t>LOC3D</t>
  </si>
  <si>
    <t>LOC3O</t>
  </si>
  <si>
    <t>LOC4D</t>
  </si>
  <si>
    <t>LOC4O</t>
  </si>
  <si>
    <t>LOC5C</t>
  </si>
  <si>
    <t>LOC5D</t>
  </si>
  <si>
    <t>LOC5O</t>
  </si>
  <si>
    <t>LOMA</t>
  </si>
  <si>
    <t>LOMAC</t>
  </si>
  <si>
    <t>LOMAD</t>
  </si>
  <si>
    <t>LONG</t>
  </si>
  <si>
    <t>LR3DO</t>
  </si>
  <si>
    <t>LRCX</t>
  </si>
  <si>
    <t>LRCXC</t>
  </si>
  <si>
    <t>LRCXD</t>
  </si>
  <si>
    <t>LREN3</t>
  </si>
  <si>
    <t>LUC4D</t>
  </si>
  <si>
    <t>LUC4O</t>
  </si>
  <si>
    <t>LUC4X</t>
  </si>
  <si>
    <t>LVS</t>
  </si>
  <si>
    <t>LYG</t>
  </si>
  <si>
    <t>MA</t>
  </si>
  <si>
    <t>MAC</t>
  </si>
  <si>
    <t>MAD</t>
  </si>
  <si>
    <t>MC1OD</t>
  </si>
  <si>
    <t>MCC1D</t>
  </si>
  <si>
    <t>MCC1O</t>
  </si>
  <si>
    <t>MCC2D</t>
  </si>
  <si>
    <t>MCC2O</t>
  </si>
  <si>
    <t>MCDC</t>
  </si>
  <si>
    <t>MCDD</t>
  </si>
  <si>
    <t>MDLZ</t>
  </si>
  <si>
    <t>MDLZD</t>
  </si>
  <si>
    <t>MELIB</t>
  </si>
  <si>
    <t>MELIC</t>
  </si>
  <si>
    <t>MELID</t>
  </si>
  <si>
    <t>META</t>
  </si>
  <si>
    <t>METAC</t>
  </si>
  <si>
    <t>METAD</t>
  </si>
  <si>
    <t>METR</t>
  </si>
  <si>
    <t>METRB</t>
  </si>
  <si>
    <t>METRC</t>
  </si>
  <si>
    <t>METRD</t>
  </si>
  <si>
    <t>MGC1D</t>
  </si>
  <si>
    <t>MGC3C</t>
  </si>
  <si>
    <t>MGC3D</t>
  </si>
  <si>
    <t>MGC3O</t>
  </si>
  <si>
    <t>MGC9C</t>
  </si>
  <si>
    <t>MGC9D</t>
  </si>
  <si>
    <t>MGC9O</t>
  </si>
  <si>
    <t>MGC9X</t>
  </si>
  <si>
    <t>MGCED</t>
  </si>
  <si>
    <t>MGCEO</t>
  </si>
  <si>
    <t>MGCEX</t>
  </si>
  <si>
    <t>MGCHC</t>
  </si>
  <si>
    <t>MGCHD</t>
  </si>
  <si>
    <t>MGCHO</t>
  </si>
  <si>
    <t>MGCHX</t>
  </si>
  <si>
    <t>MGCJD</t>
  </si>
  <si>
    <t>MGCJO</t>
  </si>
  <si>
    <t>MGCLD</t>
  </si>
  <si>
    <t>MGCLO</t>
  </si>
  <si>
    <t>MGCLX</t>
  </si>
  <si>
    <t>MGCLY</t>
  </si>
  <si>
    <t>MGCMC</t>
  </si>
  <si>
    <t>MGCMD</t>
  </si>
  <si>
    <t>MGCMO</t>
  </si>
  <si>
    <t>MGCNC</t>
  </si>
  <si>
    <t>MGCND</t>
  </si>
  <si>
    <t>MGCNO</t>
  </si>
  <si>
    <t>MGCOC</t>
  </si>
  <si>
    <t>MGCOD</t>
  </si>
  <si>
    <t>MGCOO</t>
  </si>
  <si>
    <t>MGCOX</t>
  </si>
  <si>
    <t>MGCOZ</t>
  </si>
  <si>
    <t>MGCQC</t>
  </si>
  <si>
    <t>MGCQD</t>
  </si>
  <si>
    <t>MGCQO</t>
  </si>
  <si>
    <t>MGLU3</t>
  </si>
  <si>
    <t>MIC2O</t>
  </si>
  <si>
    <t>MIRG</t>
  </si>
  <si>
    <t>MMM</t>
  </si>
  <si>
    <t>MMMC</t>
  </si>
  <si>
    <t>MMMD</t>
  </si>
  <si>
    <t>MOB</t>
  </si>
  <si>
    <t>MOC</t>
  </si>
  <si>
    <t>MOD</t>
  </si>
  <si>
    <t>MOLA</t>
  </si>
  <si>
    <t>MOLA5</t>
  </si>
  <si>
    <t>MOLAD</t>
  </si>
  <si>
    <t>MOLI</t>
  </si>
  <si>
    <t>MOLI5</t>
  </si>
  <si>
    <t>MORI</t>
  </si>
  <si>
    <t>MOS</t>
  </si>
  <si>
    <t>MOSD</t>
  </si>
  <si>
    <t>MR35C</t>
  </si>
  <si>
    <t>MR35D</t>
  </si>
  <si>
    <t>MR35O</t>
  </si>
  <si>
    <t>MR36D</t>
  </si>
  <si>
    <t>MR36O</t>
  </si>
  <si>
    <t>MR37C</t>
  </si>
  <si>
    <t>MR37D</t>
  </si>
  <si>
    <t>MR37O</t>
  </si>
  <si>
    <t>MR38O</t>
  </si>
  <si>
    <t>MR39C</t>
  </si>
  <si>
    <t>MR39D</t>
  </si>
  <si>
    <t>MR39O</t>
  </si>
  <si>
    <t>MR40D</t>
  </si>
  <si>
    <t>MR40O</t>
  </si>
  <si>
    <t>MR41O</t>
  </si>
  <si>
    <t>MR42O</t>
  </si>
  <si>
    <t>MRCAC</t>
  </si>
  <si>
    <t>MRCAD</t>
  </si>
  <si>
    <t>MRCAO</t>
  </si>
  <si>
    <t>MRCKO</t>
  </si>
  <si>
    <t>MRCOO</t>
  </si>
  <si>
    <t>MRCQD</t>
  </si>
  <si>
    <t>MRCQO</t>
  </si>
  <si>
    <t>MRCRD</t>
  </si>
  <si>
    <t>MRCRO</t>
  </si>
  <si>
    <t>MRCUD</t>
  </si>
  <si>
    <t>MRCUO</t>
  </si>
  <si>
    <t>MRCWO</t>
  </si>
  <si>
    <t>MRCYD</t>
  </si>
  <si>
    <t>MRCYO</t>
  </si>
  <si>
    <t>MRKC</t>
  </si>
  <si>
    <t>MRKD</t>
  </si>
  <si>
    <t>MRNA</t>
  </si>
  <si>
    <t>MRNAC</t>
  </si>
  <si>
    <t>MRNAD</t>
  </si>
  <si>
    <t>MROCD</t>
  </si>
  <si>
    <t>MRVL</t>
  </si>
  <si>
    <t>MRVLD</t>
  </si>
  <si>
    <t>MSFT</t>
  </si>
  <si>
    <t>MSFTC</t>
  </si>
  <si>
    <t>MSFTD</t>
  </si>
  <si>
    <t>MSI</t>
  </si>
  <si>
    <t>MSSBO</t>
  </si>
  <si>
    <t>MSSED</t>
  </si>
  <si>
    <t>MSSEO</t>
  </si>
  <si>
    <t>MSSFD</t>
  </si>
  <si>
    <t>MSSFO</t>
  </si>
  <si>
    <t>MSSGD</t>
  </si>
  <si>
    <t>MSSGO</t>
  </si>
  <si>
    <t>MSTR</t>
  </si>
  <si>
    <t>MSTRC</t>
  </si>
  <si>
    <t>MSTRD</t>
  </si>
  <si>
    <t>MTCGC</t>
  </si>
  <si>
    <t>MTCGD</t>
  </si>
  <si>
    <t>MTCGO</t>
  </si>
  <si>
    <t>MU</t>
  </si>
  <si>
    <t>MU32D</t>
  </si>
  <si>
    <t>MU32O</t>
  </si>
  <si>
    <t>MU32Y</t>
  </si>
  <si>
    <t>MUC</t>
  </si>
  <si>
    <t>MUD</t>
  </si>
  <si>
    <t>MUFG</t>
  </si>
  <si>
    <t>MUX</t>
  </si>
  <si>
    <t>MUXD</t>
  </si>
  <si>
    <t>NATU3</t>
  </si>
  <si>
    <t>NBS1C</t>
  </si>
  <si>
    <t>NBS1D</t>
  </si>
  <si>
    <t>NBS1O</t>
  </si>
  <si>
    <t>NDT25</t>
  </si>
  <si>
    <t>NDT5C</t>
  </si>
  <si>
    <t>NDT5D</t>
  </si>
  <si>
    <t>NDT5X</t>
  </si>
  <si>
    <t>NDT5Z</t>
  </si>
  <si>
    <t>NEMD</t>
  </si>
  <si>
    <t>NFLXC</t>
  </si>
  <si>
    <t>NFLXD</t>
  </si>
  <si>
    <t>NG</t>
  </si>
  <si>
    <t>NGG</t>
  </si>
  <si>
    <t>NIO</t>
  </si>
  <si>
    <t>NIOC</t>
  </si>
  <si>
    <t>NIOD</t>
  </si>
  <si>
    <t>NKE</t>
  </si>
  <si>
    <t>NKEB</t>
  </si>
  <si>
    <t>NKEC</t>
  </si>
  <si>
    <t>NKED</t>
  </si>
  <si>
    <t>NMR</t>
  </si>
  <si>
    <t>NOKA</t>
  </si>
  <si>
    <t>NOW</t>
  </si>
  <si>
    <t>NPCAC</t>
  </si>
  <si>
    <t>NPCAD</t>
  </si>
  <si>
    <t>NPCAO</t>
  </si>
  <si>
    <t>NPCBC</t>
  </si>
  <si>
    <t>NPCBD</t>
  </si>
  <si>
    <t>NPCBO</t>
  </si>
  <si>
    <t>NTES</t>
  </si>
  <si>
    <t>NTESD</t>
  </si>
  <si>
    <t>NU</t>
  </si>
  <si>
    <t>NUB</t>
  </si>
  <si>
    <t>NUC</t>
  </si>
  <si>
    <t>NUD</t>
  </si>
  <si>
    <t>NUE</t>
  </si>
  <si>
    <t>NVDAB</t>
  </si>
  <si>
    <t>NVDAC</t>
  </si>
  <si>
    <t>NVDAD</t>
  </si>
  <si>
    <t>NVSD</t>
  </si>
  <si>
    <t>NXE</t>
  </si>
  <si>
    <t>NXED</t>
  </si>
  <si>
    <t>OEST</t>
  </si>
  <si>
    <t>OLC1O</t>
  </si>
  <si>
    <t>OLC2O</t>
  </si>
  <si>
    <t>OLC2X</t>
  </si>
  <si>
    <t>OLC3O</t>
  </si>
  <si>
    <t>OLC3X</t>
  </si>
  <si>
    <t>OLC4O</t>
  </si>
  <si>
    <t>OLC5D</t>
  </si>
  <si>
    <t>OLC5O</t>
  </si>
  <si>
    <t>OLC5Y</t>
  </si>
  <si>
    <t>OR3BD</t>
  </si>
  <si>
    <t>ORCLD</t>
  </si>
  <si>
    <t>ORLYD</t>
  </si>
  <si>
    <t>OT41D</t>
  </si>
  <si>
    <t>OT41O</t>
  </si>
  <si>
    <t>OT42C</t>
  </si>
  <si>
    <t>OT42D</t>
  </si>
  <si>
    <t>OT42O</t>
  </si>
  <si>
    <t>OTS1X</t>
  </si>
  <si>
    <t>OTS2D</t>
  </si>
  <si>
    <t>OTS2O</t>
  </si>
  <si>
    <t>OTS3D</t>
  </si>
  <si>
    <t>OTS3O</t>
  </si>
  <si>
    <t>OXYB</t>
  </si>
  <si>
    <t>OXYC</t>
  </si>
  <si>
    <t>OXYD</t>
  </si>
  <si>
    <t>OZC3D</t>
  </si>
  <si>
    <t>OZC3O</t>
  </si>
  <si>
    <t>OZC4O</t>
  </si>
  <si>
    <t>OZC5O</t>
  </si>
  <si>
    <t>PAAS</t>
  </si>
  <si>
    <t>PAASC</t>
  </si>
  <si>
    <t>PAASD</t>
  </si>
  <si>
    <t>PAC</t>
  </si>
  <si>
    <t>PAGS</t>
  </si>
  <si>
    <t>PAGSD</t>
  </si>
  <si>
    <t>PAMP</t>
  </si>
  <si>
    <t>PAMPB</t>
  </si>
  <si>
    <t>PAMPC</t>
  </si>
  <si>
    <t>PAMPD</t>
  </si>
  <si>
    <t>PANW</t>
  </si>
  <si>
    <t>PANWC</t>
  </si>
  <si>
    <t>PANWD</t>
  </si>
  <si>
    <t>PAP0</t>
  </si>
  <si>
    <t>PARP</t>
  </si>
  <si>
    <t>PARPC</t>
  </si>
  <si>
    <t>PARPD</t>
  </si>
  <si>
    <t>PARPX</t>
  </si>
  <si>
    <t>PARPY</t>
  </si>
  <si>
    <t>PATA</t>
  </si>
  <si>
    <t>PATH</t>
  </si>
  <si>
    <t>PATHD</t>
  </si>
  <si>
    <t>PBR</t>
  </si>
  <si>
    <t>PBRB</t>
  </si>
  <si>
    <t>PBRC</t>
  </si>
  <si>
    <t>PBRD</t>
  </si>
  <si>
    <t>PBRDB</t>
  </si>
  <si>
    <t>PBY26</t>
  </si>
  <si>
    <t>PBY6X</t>
  </si>
  <si>
    <t>PCARD</t>
  </si>
  <si>
    <t>PDD</t>
  </si>
  <si>
    <t>PDDD</t>
  </si>
  <si>
    <t>PEC4O</t>
  </si>
  <si>
    <t>PEC8O</t>
  </si>
  <si>
    <t>PECAD</t>
  </si>
  <si>
    <t>PECAO</t>
  </si>
  <si>
    <t>PECBD</t>
  </si>
  <si>
    <t>PECBO</t>
  </si>
  <si>
    <t>PECDD</t>
  </si>
  <si>
    <t>PECDO</t>
  </si>
  <si>
    <t>PECFO</t>
  </si>
  <si>
    <t>PECGC</t>
  </si>
  <si>
    <t>PECGD</t>
  </si>
  <si>
    <t>PECGO</t>
  </si>
  <si>
    <t>PECHO</t>
  </si>
  <si>
    <t>PECID</t>
  </si>
  <si>
    <t>PECIO</t>
  </si>
  <si>
    <t>PEP,B</t>
  </si>
  <si>
    <t>PEPC</t>
  </si>
  <si>
    <t>PEPD</t>
  </si>
  <si>
    <t>PETR3</t>
  </si>
  <si>
    <t>PETRD</t>
  </si>
  <si>
    <t>PFC2D</t>
  </si>
  <si>
    <t>PFC2O</t>
  </si>
  <si>
    <t>PFEC</t>
  </si>
  <si>
    <t>PFED</t>
  </si>
  <si>
    <t>PGC</t>
  </si>
  <si>
    <t>PGD</t>
  </si>
  <si>
    <t>PHC2D</t>
  </si>
  <si>
    <t>PHC3D</t>
  </si>
  <si>
    <t>PINS</t>
  </si>
  <si>
    <t>PINSD</t>
  </si>
  <si>
    <t>PKS</t>
  </si>
  <si>
    <t>PL4TC</t>
  </si>
  <si>
    <t>PL4TD</t>
  </si>
  <si>
    <t>PL4TO</t>
  </si>
  <si>
    <t>PLC1C</t>
  </si>
  <si>
    <t>PLC1D</t>
  </si>
  <si>
    <t>PLC1O</t>
  </si>
  <si>
    <t>PLC2C</t>
  </si>
  <si>
    <t>PLC2D</t>
  </si>
  <si>
    <t>PLC2O</t>
  </si>
  <si>
    <t>PLC3C</t>
  </si>
  <si>
    <t>PLC3D</t>
  </si>
  <si>
    <t>PLC3O</t>
  </si>
  <si>
    <t>PLC4C</t>
  </si>
  <si>
    <t>PLC4D</t>
  </si>
  <si>
    <t>PLC4O</t>
  </si>
  <si>
    <t>PLTRC</t>
  </si>
  <si>
    <t>PLTRD</t>
  </si>
  <si>
    <t>PM</t>
  </si>
  <si>
    <t>PM29C</t>
  </si>
  <si>
    <t>PM29D</t>
  </si>
  <si>
    <t>PM29X</t>
  </si>
  <si>
    <t>PM29Y</t>
  </si>
  <si>
    <t>PM29Z</t>
  </si>
  <si>
    <t>PMD</t>
  </si>
  <si>
    <t>PMD25</t>
  </si>
  <si>
    <t>PMD5X</t>
  </si>
  <si>
    <t>PMD6X</t>
  </si>
  <si>
    <t>PMJ6X</t>
  </si>
  <si>
    <t>PMM29</t>
  </si>
  <si>
    <t>PN34D</t>
  </si>
  <si>
    <t>PN34O</t>
  </si>
  <si>
    <t>PN35C</t>
  </si>
  <si>
    <t>PN35D</t>
  </si>
  <si>
    <t>PN35O</t>
  </si>
  <si>
    <t>PN35X</t>
  </si>
  <si>
    <t>PN36C</t>
  </si>
  <si>
    <t>PN36D</t>
  </si>
  <si>
    <t>PN36O</t>
  </si>
  <si>
    <t>PN37C</t>
  </si>
  <si>
    <t>PN37D</t>
  </si>
  <si>
    <t>PN37O</t>
  </si>
  <si>
    <t>PN38C</t>
  </si>
  <si>
    <t>PN38D</t>
  </si>
  <si>
    <t>PN38O</t>
  </si>
  <si>
    <t>PN38Y</t>
  </si>
  <si>
    <t>PN39X</t>
  </si>
  <si>
    <t>PN40O</t>
  </si>
  <si>
    <t>PN40X</t>
  </si>
  <si>
    <t>PN7CO</t>
  </si>
  <si>
    <t>PN7CX</t>
  </si>
  <si>
    <t>PNDCC</t>
  </si>
  <si>
    <t>PNDCD</t>
  </si>
  <si>
    <t>PNDCO</t>
  </si>
  <si>
    <t>PNECO</t>
  </si>
  <si>
    <t>PNECX</t>
  </si>
  <si>
    <t>PNFCO</t>
  </si>
  <si>
    <t>PNICO</t>
  </si>
  <si>
    <t>PNICX</t>
  </si>
  <si>
    <t>PNIZF</t>
  </si>
  <si>
    <t>PNRCO</t>
  </si>
  <si>
    <t>PNRCX</t>
  </si>
  <si>
    <t>PNUCD</t>
  </si>
  <si>
    <t>PNUCO</t>
  </si>
  <si>
    <t>PNVCC</t>
  </si>
  <si>
    <t>PNVCD</t>
  </si>
  <si>
    <t>PNVCO</t>
  </si>
  <si>
    <t>PNVCX</t>
  </si>
  <si>
    <t>PNWCD</t>
  </si>
  <si>
    <t>PNWCO</t>
  </si>
  <si>
    <t>PNWCX</t>
  </si>
  <si>
    <t>PNWCZ</t>
  </si>
  <si>
    <t>PNXCC</t>
  </si>
  <si>
    <t>PNXCD</t>
  </si>
  <si>
    <t>PNXCO</t>
  </si>
  <si>
    <t>PNXCX</t>
  </si>
  <si>
    <t>PNZCD</t>
  </si>
  <si>
    <t>PNZCO</t>
  </si>
  <si>
    <t>PNZCX</t>
  </si>
  <si>
    <t>POLL</t>
  </si>
  <si>
    <t>PQCKO</t>
  </si>
  <si>
    <t>PQCKX</t>
  </si>
  <si>
    <t>PQCOO</t>
  </si>
  <si>
    <t>PQCOX</t>
  </si>
  <si>
    <t>PQCQO</t>
  </si>
  <si>
    <t>PQCRD</t>
  </si>
  <si>
    <t>PQCRO</t>
  </si>
  <si>
    <t>PQCSD</t>
  </si>
  <si>
    <t>PQCSO</t>
  </si>
  <si>
    <t>PQCTD</t>
  </si>
  <si>
    <t>PR17</t>
  </si>
  <si>
    <t>PR17D</t>
  </si>
  <si>
    <t>PR17X</t>
  </si>
  <si>
    <t>PRIO3</t>
  </si>
  <si>
    <t>PSQD</t>
  </si>
  <si>
    <t>PSX</t>
  </si>
  <si>
    <t>PSXD</t>
  </si>
  <si>
    <t>PU26C</t>
  </si>
  <si>
    <t>PUC2D</t>
  </si>
  <si>
    <t>PUC2O</t>
  </si>
  <si>
    <t>PV1QD</t>
  </si>
  <si>
    <t>PVR1Q</t>
  </si>
  <si>
    <t>PYPLC</t>
  </si>
  <si>
    <t>PYPLD</t>
  </si>
  <si>
    <t>PZCDO</t>
  </si>
  <si>
    <t>PZCEO</t>
  </si>
  <si>
    <t>PZCGD</t>
  </si>
  <si>
    <t>PZCGO</t>
  </si>
  <si>
    <t>QCOM</t>
  </si>
  <si>
    <t>QCOMC</t>
  </si>
  <si>
    <t>QCOMD</t>
  </si>
  <si>
    <t>QQQB</t>
  </si>
  <si>
    <t>QQQC</t>
  </si>
  <si>
    <t>QQQD</t>
  </si>
  <si>
    <t>RAC4D</t>
  </si>
  <si>
    <t>RAC4O</t>
  </si>
  <si>
    <t>RAC5C</t>
  </si>
  <si>
    <t>RAC5D</t>
  </si>
  <si>
    <t>RAC6C</t>
  </si>
  <si>
    <t>RAC6D</t>
  </si>
  <si>
    <t>RAC6O</t>
  </si>
  <si>
    <t>RAC7D</t>
  </si>
  <si>
    <t>RAC7O</t>
  </si>
  <si>
    <t>RACE</t>
  </si>
  <si>
    <t>RACEC</t>
  </si>
  <si>
    <t>RACED</t>
  </si>
  <si>
    <t>RAGH</t>
  </si>
  <si>
    <t>RB57X</t>
  </si>
  <si>
    <t>RBLXD</t>
  </si>
  <si>
    <t>RC1CC</t>
  </si>
  <si>
    <t>RC1CD</t>
  </si>
  <si>
    <t>RC1CO</t>
  </si>
  <si>
    <t>RCCIO</t>
  </si>
  <si>
    <t>RCCJC</t>
  </si>
  <si>
    <t>RCCJD</t>
  </si>
  <si>
    <t>RCCJO</t>
  </si>
  <si>
    <t>RCCMC</t>
  </si>
  <si>
    <t>RCCMD</t>
  </si>
  <si>
    <t>RCCMO</t>
  </si>
  <si>
    <t>RCCPD</t>
  </si>
  <si>
    <t>RCCPO</t>
  </si>
  <si>
    <t>RCCPX</t>
  </si>
  <si>
    <t>RCCQX</t>
  </si>
  <si>
    <t>RCCRC</t>
  </si>
  <si>
    <t>RCCRD</t>
  </si>
  <si>
    <t>RCCRO</t>
  </si>
  <si>
    <t>RCCRY</t>
  </si>
  <si>
    <t>RCCTO</t>
  </si>
  <si>
    <t>REGE</t>
  </si>
  <si>
    <t>RENT3</t>
  </si>
  <si>
    <t>RFCBO</t>
  </si>
  <si>
    <t>RGTI</t>
  </si>
  <si>
    <t>RGTID</t>
  </si>
  <si>
    <t>RICH</t>
  </si>
  <si>
    <t>RIGO</t>
  </si>
  <si>
    <t>RIOB</t>
  </si>
  <si>
    <t>RIOD</t>
  </si>
  <si>
    <t>RIOT</t>
  </si>
  <si>
    <t>RIOTC</t>
  </si>
  <si>
    <t>RIOTD</t>
  </si>
  <si>
    <t>ROKU</t>
  </si>
  <si>
    <t>ROKUD</t>
  </si>
  <si>
    <t>ROSE</t>
  </si>
  <si>
    <t>ROST</t>
  </si>
  <si>
    <t>ROSTD</t>
  </si>
  <si>
    <t>RTXD</t>
  </si>
  <si>
    <t>RUCAD</t>
  </si>
  <si>
    <t>RUCAO</t>
  </si>
  <si>
    <t>RUCDC</t>
  </si>
  <si>
    <t>RUCDD</t>
  </si>
  <si>
    <t>RUCDO</t>
  </si>
  <si>
    <t>RUCDX</t>
  </si>
  <si>
    <t>RVS1D</t>
  </si>
  <si>
    <t>RVS1O</t>
  </si>
  <si>
    <t>RZ8BO</t>
  </si>
  <si>
    <t>RZ9AD</t>
  </si>
  <si>
    <t>RZ9AO</t>
  </si>
  <si>
    <t>RZ9BD</t>
  </si>
  <si>
    <t>RZ9BO</t>
  </si>
  <si>
    <t>RZABD</t>
  </si>
  <si>
    <t>RZABO</t>
  </si>
  <si>
    <t>S12S5</t>
  </si>
  <si>
    <t>S15G5</t>
  </si>
  <si>
    <t>S24DC</t>
  </si>
  <si>
    <t>S24DD</t>
  </si>
  <si>
    <t>S24DX</t>
  </si>
  <si>
    <t>S29G5</t>
  </si>
  <si>
    <t>S29Y6</t>
  </si>
  <si>
    <t>S2G5C</t>
  </si>
  <si>
    <t>S2G5D</t>
  </si>
  <si>
    <t>S2G5X</t>
  </si>
  <si>
    <t>S2G5Y</t>
  </si>
  <si>
    <t>S2G5Z</t>
  </si>
  <si>
    <t>S2N5D</t>
  </si>
  <si>
    <t>S2N5X</t>
  </si>
  <si>
    <t>S2N5Y</t>
  </si>
  <si>
    <t>S2N5Z</t>
  </si>
  <si>
    <t>S2S5D</t>
  </si>
  <si>
    <t>S2S5X</t>
  </si>
  <si>
    <t>S2S5Y</t>
  </si>
  <si>
    <t>S2S5Z</t>
  </si>
  <si>
    <t>S30S5</t>
  </si>
  <si>
    <t>SA24D</t>
  </si>
  <si>
    <t>SAMI</t>
  </si>
  <si>
    <t>SAND</t>
  </si>
  <si>
    <t>SAP</t>
  </si>
  <si>
    <t>SAPD</t>
  </si>
  <si>
    <t>SATL</t>
  </si>
  <si>
    <t>SATLC</t>
  </si>
  <si>
    <t>SATLD</t>
  </si>
  <si>
    <t>SBS</t>
  </si>
  <si>
    <t>SBSP3</t>
  </si>
  <si>
    <t>SBSRF</t>
  </si>
  <si>
    <t>SBUX</t>
  </si>
  <si>
    <t>SBUXC</t>
  </si>
  <si>
    <t>SBUXD</t>
  </si>
  <si>
    <t>SCCO</t>
  </si>
  <si>
    <t>SDA</t>
  </si>
  <si>
    <t>SED</t>
  </si>
  <si>
    <t>SEMI</t>
  </si>
  <si>
    <t>SFN7X</t>
  </si>
  <si>
    <t>SG5D</t>
  </si>
  <si>
    <t>SG5X</t>
  </si>
  <si>
    <t>SG5Y</t>
  </si>
  <si>
    <t>SG5Z</t>
  </si>
  <si>
    <t>SHC</t>
  </si>
  <si>
    <t>SHD</t>
  </si>
  <si>
    <t>SHEL</t>
  </si>
  <si>
    <t>SHELC</t>
  </si>
  <si>
    <t>SHELD</t>
  </si>
  <si>
    <t>SHOP</t>
  </si>
  <si>
    <t>SHOPC</t>
  </si>
  <si>
    <t>SHOPD</t>
  </si>
  <si>
    <t>SIC1D</t>
  </si>
  <si>
    <t>SIC1O</t>
  </si>
  <si>
    <t>SID</t>
  </si>
  <si>
    <t>SIDD</t>
  </si>
  <si>
    <t>SLBD</t>
  </si>
  <si>
    <t>SLVC</t>
  </si>
  <si>
    <t>SLVD</t>
  </si>
  <si>
    <t>SMHD</t>
  </si>
  <si>
    <t>SN5C</t>
  </si>
  <si>
    <t>SN5D</t>
  </si>
  <si>
    <t>SN5X</t>
  </si>
  <si>
    <t>SN5Y</t>
  </si>
  <si>
    <t>SN5Z</t>
  </si>
  <si>
    <t>SNA</t>
  </si>
  <si>
    <t>SNAAO</t>
  </si>
  <si>
    <t>SNABD</t>
  </si>
  <si>
    <t>SNABO</t>
  </si>
  <si>
    <t>SNAP</t>
  </si>
  <si>
    <t>SNAPD</t>
  </si>
  <si>
    <t>SNOWD</t>
  </si>
  <si>
    <t>SNSBD</t>
  </si>
  <si>
    <t>SNSBO</t>
  </si>
  <si>
    <t>SNSDD</t>
  </si>
  <si>
    <t>SNSDO</t>
  </si>
  <si>
    <t>SO5X</t>
  </si>
  <si>
    <t>SO5Y</t>
  </si>
  <si>
    <t>SO5Z</t>
  </si>
  <si>
    <t>SONY</t>
  </si>
  <si>
    <t>SONYD</t>
  </si>
  <si>
    <t>SPC1O</t>
  </si>
  <si>
    <t>SPCE</t>
  </si>
  <si>
    <t>SPGI</t>
  </si>
  <si>
    <t>SPGID</t>
  </si>
  <si>
    <t>SPOTC</t>
  </si>
  <si>
    <t>SPOTD</t>
  </si>
  <si>
    <t>SPXLC</t>
  </si>
  <si>
    <t>SPXLD</t>
  </si>
  <si>
    <t>SPYB</t>
  </si>
  <si>
    <t>SPYC</t>
  </si>
  <si>
    <t>SPYD</t>
  </si>
  <si>
    <t>SPYDB</t>
  </si>
  <si>
    <t>SS5D</t>
  </si>
  <si>
    <t>SS5X</t>
  </si>
  <si>
    <t>SS5Y</t>
  </si>
  <si>
    <t>SS5Z</t>
  </si>
  <si>
    <t>STLA</t>
  </si>
  <si>
    <t>STLAC</t>
  </si>
  <si>
    <t>STLAD</t>
  </si>
  <si>
    <t>STNE</t>
  </si>
  <si>
    <t>SUPV</t>
  </si>
  <si>
    <t>SUPVB</t>
  </si>
  <si>
    <t>SUPVC</t>
  </si>
  <si>
    <t>SUPVD</t>
  </si>
  <si>
    <t>SUZ</t>
  </si>
  <si>
    <t>SUZB3</t>
  </si>
  <si>
    <t>SWKS</t>
  </si>
  <si>
    <t>SY6X</t>
  </si>
  <si>
    <t>SYY</t>
  </si>
  <si>
    <t>T15E7</t>
  </si>
  <si>
    <t>T17O5</t>
  </si>
  <si>
    <t>T30E6</t>
  </si>
  <si>
    <t>T30J6</t>
  </si>
  <si>
    <t>T641D</t>
  </si>
  <si>
    <t>T641O</t>
  </si>
  <si>
    <t>T642O</t>
  </si>
  <si>
    <t>T642X</t>
  </si>
  <si>
    <t>T642Z</t>
  </si>
  <si>
    <t>T643O</t>
  </si>
  <si>
    <t>T643X</t>
  </si>
  <si>
    <t>TBC9O</t>
  </si>
  <si>
    <t>TBC9X</t>
  </si>
  <si>
    <t>TC</t>
  </si>
  <si>
    <t>TCOM</t>
  </si>
  <si>
    <t>TD</t>
  </si>
  <si>
    <t>TD5D</t>
  </si>
  <si>
    <t>TD5X</t>
  </si>
  <si>
    <t>TD5Y</t>
  </si>
  <si>
    <t>TD5Z</t>
  </si>
  <si>
    <t>TE6X</t>
  </si>
  <si>
    <t>TE6Y</t>
  </si>
  <si>
    <t>TE6Z</t>
  </si>
  <si>
    <t>TE7X</t>
  </si>
  <si>
    <t>TE7Y</t>
  </si>
  <si>
    <t>TE7Z</t>
  </si>
  <si>
    <t>TEAM</t>
  </si>
  <si>
    <t>TEAMD</t>
  </si>
  <si>
    <t>TECO2</t>
  </si>
  <si>
    <t>TECOC</t>
  </si>
  <si>
    <t>TECOD</t>
  </si>
  <si>
    <t>TEFO</t>
  </si>
  <si>
    <t>TEN</t>
  </si>
  <si>
    <t>TENC</t>
  </si>
  <si>
    <t>TEND</t>
  </si>
  <si>
    <t>TEVIF</t>
  </si>
  <si>
    <t>TF6D</t>
  </si>
  <si>
    <t>TF6X</t>
  </si>
  <si>
    <t>TF6Y</t>
  </si>
  <si>
    <t>TF6Z</t>
  </si>
  <si>
    <t>TG25</t>
  </si>
  <si>
    <t>TG25X</t>
  </si>
  <si>
    <t>TGN4C</t>
  </si>
  <si>
    <t>TGN4D</t>
  </si>
  <si>
    <t>TGNO4</t>
  </si>
  <si>
    <t>TGSU2</t>
  </si>
  <si>
    <t>TGSUB</t>
  </si>
  <si>
    <t>TGSUC</t>
  </si>
  <si>
    <t>TGSUD</t>
  </si>
  <si>
    <t>TGTC</t>
  </si>
  <si>
    <t>TGTD</t>
  </si>
  <si>
    <t>TIMB</t>
  </si>
  <si>
    <t>TIMBD</t>
  </si>
  <si>
    <t>TIMS3</t>
  </si>
  <si>
    <t>TJ6D</t>
  </si>
  <si>
    <t>TJ6X</t>
  </si>
  <si>
    <t>TJ6Y</t>
  </si>
  <si>
    <t>TJ6Z</t>
  </si>
  <si>
    <t>TLC1C</t>
  </si>
  <si>
    <t>TLC1D</t>
  </si>
  <si>
    <t>TLC1O</t>
  </si>
  <si>
    <t>TLCDD</t>
  </si>
  <si>
    <t>TLCDO</t>
  </si>
  <si>
    <t>TLCDX</t>
  </si>
  <si>
    <t>TLCDZ</t>
  </si>
  <si>
    <t>TLCFD</t>
  </si>
  <si>
    <t>TLCFO</t>
  </si>
  <si>
    <t>TLCFX</t>
  </si>
  <si>
    <t>TLCGO</t>
  </si>
  <si>
    <t>TLCGX</t>
  </si>
  <si>
    <t>TLCJO</t>
  </si>
  <si>
    <t>TLCJX</t>
  </si>
  <si>
    <t>TLCKO</t>
  </si>
  <si>
    <t>TLCKX</t>
  </si>
  <si>
    <t>TLCLO</t>
  </si>
  <si>
    <t>TLCLX</t>
  </si>
  <si>
    <t>TLCMC</t>
  </si>
  <si>
    <t>TLCMO</t>
  </si>
  <si>
    <t>TLCMX</t>
  </si>
  <si>
    <t>TLCMY</t>
  </si>
  <si>
    <t>TLCMZ</t>
  </si>
  <si>
    <t>TLCNX</t>
  </si>
  <si>
    <t>TLCOC</t>
  </si>
  <si>
    <t>TLCOD</t>
  </si>
  <si>
    <t>TLCOO</t>
  </si>
  <si>
    <t>TLCPC</t>
  </si>
  <si>
    <t>TLCPO</t>
  </si>
  <si>
    <t>TLCQC</t>
  </si>
  <si>
    <t>TLCQD</t>
  </si>
  <si>
    <t>TLCQO</t>
  </si>
  <si>
    <t>TM</t>
  </si>
  <si>
    <t>TMC</t>
  </si>
  <si>
    <t>TMD</t>
  </si>
  <si>
    <t>TMO</t>
  </si>
  <si>
    <t>TMOD</t>
  </si>
  <si>
    <t>TMUSD</t>
  </si>
  <si>
    <t>TN63C</t>
  </si>
  <si>
    <t>TN63D</t>
  </si>
  <si>
    <t>TN63O</t>
  </si>
  <si>
    <t>TN63X</t>
  </si>
  <si>
    <t>TO26</t>
  </si>
  <si>
    <t>TO26C</t>
  </si>
  <si>
    <t>TO26D</t>
  </si>
  <si>
    <t>TO26X</t>
  </si>
  <si>
    <t>TO26Y</t>
  </si>
  <si>
    <t>TO26Z</t>
  </si>
  <si>
    <t>TO5D</t>
  </si>
  <si>
    <t>TO5X</t>
  </si>
  <si>
    <t>TO5Y</t>
  </si>
  <si>
    <t>TO5Z</t>
  </si>
  <si>
    <t>TRAN</t>
  </si>
  <si>
    <t>TRANC</t>
  </si>
  <si>
    <t>TRAND</t>
  </si>
  <si>
    <t>TRIP</t>
  </si>
  <si>
    <t>TRIPD</t>
  </si>
  <si>
    <t>TRVV</t>
  </si>
  <si>
    <t>TRVVD</t>
  </si>
  <si>
    <t>TSC3C</t>
  </si>
  <si>
    <t>TSC3D</t>
  </si>
  <si>
    <t>TSC3O</t>
  </si>
  <si>
    <t>TSC3Y</t>
  </si>
  <si>
    <t>TSLA</t>
  </si>
  <si>
    <t>TSLAB</t>
  </si>
  <si>
    <t>TSLAC</t>
  </si>
  <si>
    <t>TSLAD</t>
  </si>
  <si>
    <t>TSM</t>
  </si>
  <si>
    <t>TSMC</t>
  </si>
  <si>
    <t>TSMD</t>
  </si>
  <si>
    <t>TTC7C</t>
  </si>
  <si>
    <t>TTC7D</t>
  </si>
  <si>
    <t>TTC7O</t>
  </si>
  <si>
    <t>TTC7X</t>
  </si>
  <si>
    <t>TTC7Y</t>
  </si>
  <si>
    <t>TTC7Z</t>
  </si>
  <si>
    <t>TTC8C</t>
  </si>
  <si>
    <t>TTC8D</t>
  </si>
  <si>
    <t>TTC8O</t>
  </si>
  <si>
    <t>TTC9C</t>
  </si>
  <si>
    <t>TTC9D</t>
  </si>
  <si>
    <t>TTC9O</t>
  </si>
  <si>
    <t>TTCAC</t>
  </si>
  <si>
    <t>TTCAD</t>
  </si>
  <si>
    <t>TTCAO</t>
  </si>
  <si>
    <t>TTD26</t>
  </si>
  <si>
    <t>TTD6D</t>
  </si>
  <si>
    <t>TTD6X</t>
  </si>
  <si>
    <t>TTD6Y</t>
  </si>
  <si>
    <t>TTD6Z</t>
  </si>
  <si>
    <t>TTED</t>
  </si>
  <si>
    <t>TTJ26</t>
  </si>
  <si>
    <t>TTJ6D</t>
  </si>
  <si>
    <t>TTJ6X</t>
  </si>
  <si>
    <t>TTJ6Y</t>
  </si>
  <si>
    <t>TTJ6Z</t>
  </si>
  <si>
    <t>TTM26</t>
  </si>
  <si>
    <t>TTM6D</t>
  </si>
  <si>
    <t>TTM6X</t>
  </si>
  <si>
    <t>TTM6Y</t>
  </si>
  <si>
    <t>TTM6Z</t>
  </si>
  <si>
    <t>TTS26</t>
  </si>
  <si>
    <t>TTS6X</t>
  </si>
  <si>
    <t>TTS6Y</t>
  </si>
  <si>
    <t>TTS6Z</t>
  </si>
  <si>
    <t>TU27C</t>
  </si>
  <si>
    <t>TU27D</t>
  </si>
  <si>
    <t>TV</t>
  </si>
  <si>
    <t>TVD</t>
  </si>
  <si>
    <t>TVD5D</t>
  </si>
  <si>
    <t>TVD5X</t>
  </si>
  <si>
    <t>TVPA</t>
  </si>
  <si>
    <t>TVPAD</t>
  </si>
  <si>
    <t>TVPE</t>
  </si>
  <si>
    <t>TVPED</t>
  </si>
  <si>
    <t>TVPP</t>
  </si>
  <si>
    <t>TVPPD</t>
  </si>
  <si>
    <t>TVPY</t>
  </si>
  <si>
    <t>TVPYD</t>
  </si>
  <si>
    <t>TVPYX</t>
  </si>
  <si>
    <t>TVY0</t>
  </si>
  <si>
    <t>TWLOD</t>
  </si>
  <si>
    <t>TX25</t>
  </si>
  <si>
    <t>TX25C</t>
  </si>
  <si>
    <t>TX25D</t>
  </si>
  <si>
    <t>TX25X</t>
  </si>
  <si>
    <t>TX26C</t>
  </si>
  <si>
    <t>TX26D</t>
  </si>
  <si>
    <t>TX26X</t>
  </si>
  <si>
    <t>TX26Y</t>
  </si>
  <si>
    <t>TX26Z</t>
  </si>
  <si>
    <t>TX28</t>
  </si>
  <si>
    <t>TX28C</t>
  </si>
  <si>
    <t>TX28D</t>
  </si>
  <si>
    <t>TX28X</t>
  </si>
  <si>
    <t>TX31</t>
  </si>
  <si>
    <t>TX31D</t>
  </si>
  <si>
    <t>TX31X</t>
  </si>
  <si>
    <t>TXAR</t>
  </si>
  <si>
    <t>TXARC</t>
  </si>
  <si>
    <t>TXARD</t>
  </si>
  <si>
    <t>TXD5D</t>
  </si>
  <si>
    <t>TXD5X</t>
  </si>
  <si>
    <t>TXD5Y</t>
  </si>
  <si>
    <t>TXD5Z</t>
  </si>
  <si>
    <t>TXD6D</t>
  </si>
  <si>
    <t>TXD6X</t>
  </si>
  <si>
    <t>TXD6Y</t>
  </si>
  <si>
    <t>TXD6Z</t>
  </si>
  <si>
    <t>TXD7D</t>
  </si>
  <si>
    <t>TXD7X</t>
  </si>
  <si>
    <t>TXD7Y</t>
  </si>
  <si>
    <t>TXD7Z</t>
  </si>
  <si>
    <t>TXM6D</t>
  </si>
  <si>
    <t>TXM6X</t>
  </si>
  <si>
    <t>TXM6Y</t>
  </si>
  <si>
    <t>TXM6Z</t>
  </si>
  <si>
    <t>TXM7X</t>
  </si>
  <si>
    <t>TXM7Z</t>
  </si>
  <si>
    <t>TXN</t>
  </si>
  <si>
    <t>TXND</t>
  </si>
  <si>
    <t>TXO5X</t>
  </si>
  <si>
    <t>TXO5Z</t>
  </si>
  <si>
    <t>TXO6X</t>
  </si>
  <si>
    <t>TXO6Y</t>
  </si>
  <si>
    <t>TXO6Z</t>
  </si>
  <si>
    <t>TXR</t>
  </si>
  <si>
    <t>TXRD</t>
  </si>
  <si>
    <t>TY30C</t>
  </si>
  <si>
    <t>TY30D</t>
  </si>
  <si>
    <t>TY30P</t>
  </si>
  <si>
    <t>TY30X</t>
  </si>
  <si>
    <t>TYCZX</t>
  </si>
  <si>
    <t>TZV26</t>
  </si>
  <si>
    <t>TZV6C</t>
  </si>
  <si>
    <t>TZV6D</t>
  </si>
  <si>
    <t>TZV6X</t>
  </si>
  <si>
    <t>TZV6Y</t>
  </si>
  <si>
    <t>TZVD5</t>
  </si>
  <si>
    <t>TZX26</t>
  </si>
  <si>
    <t>TZX27</t>
  </si>
  <si>
    <t>TZX28</t>
  </si>
  <si>
    <t>TZX6D</t>
  </si>
  <si>
    <t>TZX6X</t>
  </si>
  <si>
    <t>TZX6Y</t>
  </si>
  <si>
    <t>TZX6Z</t>
  </si>
  <si>
    <t>TZX7D</t>
  </si>
  <si>
    <t>TZX7X</t>
  </si>
  <si>
    <t>TZX8D</t>
  </si>
  <si>
    <t>TZX8X</t>
  </si>
  <si>
    <t>TZX8Y</t>
  </si>
  <si>
    <t>TZX8Z</t>
  </si>
  <si>
    <t>TZXD5</t>
  </si>
  <si>
    <t>TZXD6</t>
  </si>
  <si>
    <t>TZXM6</t>
  </si>
  <si>
    <t>TZXM7</t>
  </si>
  <si>
    <t>TZXO5</t>
  </si>
  <si>
    <t>TZXO6</t>
  </si>
  <si>
    <t>UALD</t>
  </si>
  <si>
    <t>UBER</t>
  </si>
  <si>
    <t>UBERB</t>
  </si>
  <si>
    <t>UBERC</t>
  </si>
  <si>
    <t>UBERD</t>
  </si>
  <si>
    <t>UGP</t>
  </si>
  <si>
    <t>UGPD</t>
  </si>
  <si>
    <t>ULD</t>
  </si>
  <si>
    <t>UNHB</t>
  </si>
  <si>
    <t>UNHC</t>
  </si>
  <si>
    <t>UNHD</t>
  </si>
  <si>
    <t>UNP</t>
  </si>
  <si>
    <t>UNPD</t>
  </si>
  <si>
    <t>UPST</t>
  </si>
  <si>
    <t>UPSTD</t>
  </si>
  <si>
    <t>URAC</t>
  </si>
  <si>
    <t>URAD</t>
  </si>
  <si>
    <t>URBN</t>
  </si>
  <si>
    <t>URBND</t>
  </si>
  <si>
    <t>USB</t>
  </si>
  <si>
    <t>USOD</t>
  </si>
  <si>
    <t>V</t>
  </si>
  <si>
    <t>VA1AP</t>
  </si>
  <si>
    <t>VALE</t>
  </si>
  <si>
    <t>VALE3</t>
  </si>
  <si>
    <t>VALEB</t>
  </si>
  <si>
    <t>VALEC</t>
  </si>
  <si>
    <t>VALED</t>
  </si>
  <si>
    <t>VALO</t>
  </si>
  <si>
    <t>VALOC</t>
  </si>
  <si>
    <t>VALOD</t>
  </si>
  <si>
    <t>VBC1C</t>
  </si>
  <si>
    <t>VBC1D</t>
  </si>
  <si>
    <t>VBC1O</t>
  </si>
  <si>
    <t>VC</t>
  </si>
  <si>
    <t>VD</t>
  </si>
  <si>
    <t>VEAC</t>
  </si>
  <si>
    <t>VEAD</t>
  </si>
  <si>
    <t>VIGD</t>
  </si>
  <si>
    <t>VISTB</t>
  </si>
  <si>
    <t>VISTC</t>
  </si>
  <si>
    <t>VISTD</t>
  </si>
  <si>
    <t>VITDB</t>
  </si>
  <si>
    <t>VIV</t>
  </si>
  <si>
    <t>VIVD</t>
  </si>
  <si>
    <t>VIVT3</t>
  </si>
  <si>
    <t>VOD</t>
  </si>
  <si>
    <t>VODD</t>
  </si>
  <si>
    <t>VRSND</t>
  </si>
  <si>
    <t>VRTXD</t>
  </si>
  <si>
    <t>VSCHO</t>
  </si>
  <si>
    <t>VSCHX</t>
  </si>
  <si>
    <t>VSCIO</t>
  </si>
  <si>
    <t>VSCJD</t>
  </si>
  <si>
    <t>VSCJO</t>
  </si>
  <si>
    <t>VSCJX</t>
  </si>
  <si>
    <t>VSCKO</t>
  </si>
  <si>
    <t>VSCMO</t>
  </si>
  <si>
    <t>VSCMX</t>
  </si>
  <si>
    <t>VSCND</t>
  </si>
  <si>
    <t>VSCNO</t>
  </si>
  <si>
    <t>VSCOC</t>
  </si>
  <si>
    <t>VSCOD</t>
  </si>
  <si>
    <t>VSCOO</t>
  </si>
  <si>
    <t>VSCOX</t>
  </si>
  <si>
    <t>VSCOY</t>
  </si>
  <si>
    <t>VSCPC</t>
  </si>
  <si>
    <t>VSCPD</t>
  </si>
  <si>
    <t>VSCPO</t>
  </si>
  <si>
    <t>VSCQD</t>
  </si>
  <si>
    <t>VSCQO</t>
  </si>
  <si>
    <t>VSCQX</t>
  </si>
  <si>
    <t>VSCQZ</t>
  </si>
  <si>
    <t>VSCRC</t>
  </si>
  <si>
    <t>VSCRO</t>
  </si>
  <si>
    <t>VSCTC</t>
  </si>
  <si>
    <t>VSCTD</t>
  </si>
  <si>
    <t>VSCTO</t>
  </si>
  <si>
    <t>VSCUC</t>
  </si>
  <si>
    <t>VSCUD</t>
  </si>
  <si>
    <t>VSCUO</t>
  </si>
  <si>
    <t>VSCUX</t>
  </si>
  <si>
    <t>VSCUY</t>
  </si>
  <si>
    <t>VSCVC</t>
  </si>
  <si>
    <t>VSCVD</t>
  </si>
  <si>
    <t>VSCVO</t>
  </si>
  <si>
    <t>VSTD</t>
  </si>
  <si>
    <t>VWCBX</t>
  </si>
  <si>
    <t>VWCBY</t>
  </si>
  <si>
    <t>VWCBZ</t>
  </si>
  <si>
    <t>VZC</t>
  </si>
  <si>
    <t>VZD</t>
  </si>
  <si>
    <t>WBA</t>
  </si>
  <si>
    <t>WBAC</t>
  </si>
  <si>
    <t>WBAD</t>
  </si>
  <si>
    <t>WBO</t>
  </si>
  <si>
    <t>WBOD</t>
  </si>
  <si>
    <t>WEGE3</t>
  </si>
  <si>
    <t>WFC</t>
  </si>
  <si>
    <t>WFCC</t>
  </si>
  <si>
    <t>WFCD</t>
  </si>
  <si>
    <t>WMT</t>
  </si>
  <si>
    <t>WMT,B</t>
  </si>
  <si>
    <t>WMTC</t>
  </si>
  <si>
    <t>WMTD</t>
  </si>
  <si>
    <t>X</t>
  </si>
  <si>
    <t>XD</t>
  </si>
  <si>
    <t>XLBD</t>
  </si>
  <si>
    <t>XLCD</t>
  </si>
  <si>
    <t>XLEB</t>
  </si>
  <si>
    <t>XLEC</t>
  </si>
  <si>
    <t>XLED</t>
  </si>
  <si>
    <t>XLEDB</t>
  </si>
  <si>
    <t>XLFC</t>
  </si>
  <si>
    <t>XLFD</t>
  </si>
  <si>
    <t>XLID</t>
  </si>
  <si>
    <t>XLKD</t>
  </si>
  <si>
    <t>XLPC</t>
  </si>
  <si>
    <t>XLPD</t>
  </si>
  <si>
    <t>XLRED</t>
  </si>
  <si>
    <t>XLUD</t>
  </si>
  <si>
    <t>XLVC</t>
  </si>
  <si>
    <t>XLVD</t>
  </si>
  <si>
    <t>XLYD</t>
  </si>
  <si>
    <t>XMC1D</t>
  </si>
  <si>
    <t>XMC1O</t>
  </si>
  <si>
    <t>XOMC</t>
  </si>
  <si>
    <t>XOMD</t>
  </si>
  <si>
    <t>XP</t>
  </si>
  <si>
    <t>XPD</t>
  </si>
  <si>
    <t>XPEV</t>
  </si>
  <si>
    <t>XPEVD</t>
  </si>
  <si>
    <t>XROX</t>
  </si>
  <si>
    <t>XYZ</t>
  </si>
  <si>
    <t>XYZD</t>
  </si>
  <si>
    <t>YCAMC</t>
  </si>
  <si>
    <t>YCAMD</t>
  </si>
  <si>
    <t>YCAMO</t>
  </si>
  <si>
    <t>YFCDO</t>
  </si>
  <si>
    <t>YFCGD</t>
  </si>
  <si>
    <t>YFCGO</t>
  </si>
  <si>
    <t>YFCHD</t>
  </si>
  <si>
    <t>YFCHO</t>
  </si>
  <si>
    <t>YFCHX</t>
  </si>
  <si>
    <t>YFCIC</t>
  </si>
  <si>
    <t>YFCID</t>
  </si>
  <si>
    <t>YFCIO</t>
  </si>
  <si>
    <t>YFCJC</t>
  </si>
  <si>
    <t>YFCJD</t>
  </si>
  <si>
    <t>YFCJO</t>
  </si>
  <si>
    <t>YFCKD</t>
  </si>
  <si>
    <t>YFCKO</t>
  </si>
  <si>
    <t>YFCLD</t>
  </si>
  <si>
    <t>YFCLO</t>
  </si>
  <si>
    <t>YFCMD</t>
  </si>
  <si>
    <t>YFCMO</t>
  </si>
  <si>
    <t>YM34C</t>
  </si>
  <si>
    <t>YM34O</t>
  </si>
  <si>
    <t>YM34X</t>
  </si>
  <si>
    <t>YM34Z</t>
  </si>
  <si>
    <t>YM35D</t>
  </si>
  <si>
    <t>YM35O</t>
  </si>
  <si>
    <t>YM35X</t>
  </si>
  <si>
    <t>YM36D</t>
  </si>
  <si>
    <t>YM36O</t>
  </si>
  <si>
    <t>YM37C</t>
  </si>
  <si>
    <t>YM37D</t>
  </si>
  <si>
    <t>YM37O</t>
  </si>
  <si>
    <t>YM38C</t>
  </si>
  <si>
    <t>YM38D</t>
  </si>
  <si>
    <t>YM38O</t>
  </si>
  <si>
    <t>YM38Y</t>
  </si>
  <si>
    <t>YM39C</t>
  </si>
  <si>
    <t>YM39D</t>
  </si>
  <si>
    <t>YM39O</t>
  </si>
  <si>
    <t>YM39Y</t>
  </si>
  <si>
    <t>YMC1C</t>
  </si>
  <si>
    <t>YMC1D</t>
  </si>
  <si>
    <t>YMC1X</t>
  </si>
  <si>
    <t>YMCHC</t>
  </si>
  <si>
    <t>YMCHD</t>
  </si>
  <si>
    <t>YMCHO</t>
  </si>
  <si>
    <t>YMCHX</t>
  </si>
  <si>
    <t>YMCHY</t>
  </si>
  <si>
    <t>YMCHZ</t>
  </si>
  <si>
    <t>YMCIC</t>
  </si>
  <si>
    <t>YMCIO</t>
  </si>
  <si>
    <t>YMCJC</t>
  </si>
  <si>
    <t>YMCJD</t>
  </si>
  <si>
    <t>YMCJO</t>
  </si>
  <si>
    <t>YMCMD</t>
  </si>
  <si>
    <t>YMCMO</t>
  </si>
  <si>
    <t>YMCMX</t>
  </si>
  <si>
    <t>YMCQC</t>
  </si>
  <si>
    <t>YMCQD</t>
  </si>
  <si>
    <t>YMCQO</t>
  </si>
  <si>
    <t>YMCQX</t>
  </si>
  <si>
    <t>YMCQY</t>
  </si>
  <si>
    <t>YMCRO</t>
  </si>
  <si>
    <t>YMCTD</t>
  </si>
  <si>
    <t>YMCTO</t>
  </si>
  <si>
    <t>YMCTX</t>
  </si>
  <si>
    <t>YMCVC</t>
  </si>
  <si>
    <t>YMCVD</t>
  </si>
  <si>
    <t>YMCVO</t>
  </si>
  <si>
    <t>YMCVX</t>
  </si>
  <si>
    <t>YMCVY</t>
  </si>
  <si>
    <t>YMCWD</t>
  </si>
  <si>
    <t>YMCWO</t>
  </si>
  <si>
    <t>YMCWX</t>
  </si>
  <si>
    <t>YMCXC</t>
  </si>
  <si>
    <t>YMCXO</t>
  </si>
  <si>
    <t>YMCXX</t>
  </si>
  <si>
    <t>YMCXZ</t>
  </si>
  <si>
    <t>YMCYC</t>
  </si>
  <si>
    <t>YMCYD</t>
  </si>
  <si>
    <t>YMCYO</t>
  </si>
  <si>
    <t>YMCYY</t>
  </si>
  <si>
    <t>YMCZC</t>
  </si>
  <si>
    <t>YMCZD</t>
  </si>
  <si>
    <t>YMCZO</t>
  </si>
  <si>
    <t>YPDCB</t>
  </si>
  <si>
    <t>YPFD</t>
  </si>
  <si>
    <t>YPFDB</t>
  </si>
  <si>
    <t>YPFDC</t>
  </si>
  <si>
    <t>YPFDD</t>
  </si>
  <si>
    <t>ZM</t>
  </si>
  <si>
    <t>ZMC</t>
  </si>
  <si>
    <t>ZMD</t>
  </si>
  <si>
    <t>ZPC1O</t>
  </si>
  <si>
    <t>ZPC2D</t>
  </si>
  <si>
    <t>ZPC2O</t>
  </si>
  <si>
    <t>ZZC1D</t>
  </si>
  <si>
    <t>ZZC1O</t>
  </si>
  <si>
    <t>Factor Alfa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</si>
</sst>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dd/mm/yyyy"/>
    <numFmt numFmtId="165" formatCode="&quot;$&quot;#,##0.00"/>
    <numFmt numFmtId="166" formatCode="d/MM/yyyy"/>
    <numFmt numFmtId="167" formatCode="0.0%"/>
    <numFmt numFmtId="168" formatCode="#,##0.000"/>
    <numFmt numFmtId="169" formatCode="d/m/yyyy"/>
    <numFmt numFmtId="170" formatCode="mmmm yyyy"/>
    <numFmt numFmtId="171" formatCode="d.m"/>
    <numFmt numFmtId="172" formatCode="0.00000%"/>
    <numFmt numFmtId="173" formatCode="mmm d"/>
    <numFmt numFmtId="174" formatCode="0.000%"/>
    <numFmt numFmtId="175" formatCode="#,##0.0"/>
    <numFmt numFmtId="176" formatCode="yyyy-mm"/>
    <numFmt numFmtId="177" formatCode="yyyy-m"/>
    <numFmt numFmtId="178" formatCode="&quot;$&quot;#,##0.0"/>
    <numFmt numFmtId="179" formatCode="#,##0.00000"/>
  </numFmts>
  <fonts count="62">
    <font>
      <sz val="10.0"/>
      <color rgb="FF000000"/>
      <name val="Arial"/>
      <scheme val="minor"/>
    </font>
    <font>
      <sz val="20.0"/>
      <color rgb="FFFFFFFF"/>
      <name val="Arial"/>
      <scheme val="minor"/>
    </font>
    <font>
      <u/>
      <sz val="20.0"/>
      <color rgb="FFFFFFFF"/>
    </font>
    <font>
      <u/>
      <sz val="20.0"/>
      <color rgb="FFFFFFFF"/>
      <name val="Arial"/>
      <scheme val="minor"/>
    </font>
    <font>
      <u/>
      <sz val="20.0"/>
      <color rgb="FFFFFFFF"/>
    </font>
    <font>
      <b/>
      <sz val="20.0"/>
      <color rgb="FFFFFFFF"/>
      <name val="Arial"/>
      <scheme val="minor"/>
    </font>
    <font>
      <color theme="1"/>
      <name val="Arial"/>
      <scheme val="minor"/>
    </font>
    <font>
      <sz val="20.0"/>
      <color rgb="FFFFFFFF"/>
      <name val="Roboto"/>
    </font>
    <font>
      <u/>
      <sz val="20.0"/>
      <color rgb="FFFFFFFF"/>
      <name val="Roboto"/>
    </font>
    <font>
      <u/>
      <sz val="20.0"/>
      <color rgb="FFFFFFFF"/>
    </font>
    <font>
      <color rgb="FFFFFFFF"/>
      <name val="Arial"/>
      <scheme val="minor"/>
    </font>
    <font>
      <u/>
      <color rgb="FFFFFFFF"/>
    </font>
    <font>
      <u/>
      <color rgb="FFFFFFFF"/>
    </font>
    <font>
      <color rgb="FFFFFFFF"/>
      <name val="Arial"/>
    </font>
    <font>
      <u/>
      <color rgb="FFFFFFFF"/>
    </font>
    <font>
      <color rgb="FF000000"/>
      <name val="Arial"/>
      <scheme val="minor"/>
    </font>
    <font>
      <sz val="10.0"/>
      <color rgb="FFFFFFFF"/>
      <name val="Arial"/>
      <scheme val="minor"/>
    </font>
    <font>
      <b/>
      <sz val="10.0"/>
      <color rgb="FFFFFFFF"/>
      <name val="Arial"/>
      <scheme val="minor"/>
    </font>
    <font>
      <b/>
      <sz val="10.0"/>
      <color rgb="FFFFFFFF"/>
      <name val="Ui-sans-serif"/>
    </font>
    <font>
      <sz val="10.0"/>
      <color rgb="FFFFFFFF"/>
      <name val="Inherit"/>
    </font>
    <font>
      <u/>
      <sz val="10.0"/>
      <color rgb="FFFFFFFF"/>
      <name val="Ui-sans-serif"/>
    </font>
    <font>
      <sz val="10.0"/>
      <color rgb="FFFFFFFF"/>
      <name val="Ui-sans-serif"/>
    </font>
    <font>
      <u/>
      <sz val="10.0"/>
      <color rgb="FFFFFFFF"/>
      <name val="Ui-sans-serif"/>
    </font>
    <font>
      <u/>
      <sz val="10.0"/>
      <color rgb="FFFFFFFF"/>
    </font>
    <font>
      <b/>
      <u/>
      <sz val="8.0"/>
      <color theme="0"/>
    </font>
    <font>
      <b/>
      <color theme="1"/>
      <name val="Arial"/>
      <scheme val="minor"/>
    </font>
    <font>
      <sz val="11.0"/>
      <color rgb="FF000000"/>
      <name val="Calibri"/>
    </font>
    <font>
      <b/>
      <i/>
      <color theme="1"/>
      <name val="Arial"/>
      <scheme val="minor"/>
    </font>
    <font>
      <color theme="1"/>
      <name val="&quot;Work Sans&quot;"/>
    </font>
    <font>
      <sz val="11.0"/>
      <color rgb="FF212529"/>
      <name val="Roboto"/>
    </font>
    <font>
      <color theme="1"/>
      <name val="Arial"/>
    </font>
    <font>
      <sz val="11.0"/>
      <color rgb="FF000000"/>
      <name val="Roboto"/>
    </font>
    <font>
      <b/>
      <color rgb="FF000000"/>
      <name val="Arial"/>
      <scheme val="minor"/>
    </font>
    <font>
      <b/>
      <color rgb="FF000000"/>
      <name val="Verdana"/>
    </font>
    <font>
      <b/>
      <color rgb="FFFFFFFF"/>
      <name val="Arial"/>
      <scheme val="minor"/>
    </font>
    <font>
      <b/>
      <color theme="1"/>
      <name val="Arial"/>
    </font>
    <font>
      <u/>
      <color rgb="FF0000FF"/>
    </font>
    <font>
      <u/>
      <color rgb="FF0000FF"/>
    </font>
    <font>
      <sz val="13.0"/>
      <color rgb="FF000000"/>
      <name val="Arial"/>
    </font>
    <font>
      <sz val="13.0"/>
      <color rgb="FF000000"/>
      <name val="&quot;FF Mark&quot;"/>
    </font>
    <font>
      <sz val="13.0"/>
      <color rgb="FF000000"/>
      <name val="&quot;FF Mark Narrow&quot;"/>
    </font>
    <font>
      <b/>
      <sz val="11.0"/>
      <color rgb="FF000000"/>
      <name val="Calibri"/>
    </font>
    <font>
      <b/>
      <color rgb="FFFF0000"/>
      <name val="Arial"/>
      <scheme val="minor"/>
    </font>
    <font>
      <b/>
      <color theme="9"/>
      <name val="Arial"/>
      <scheme val="minor"/>
    </font>
    <font>
      <b/>
      <sz val="11.0"/>
      <color theme="4"/>
      <name val="Calibri"/>
    </font>
    <font>
      <b/>
      <sz val="11.0"/>
      <color theme="6"/>
      <name val="Calibri"/>
    </font>
    <font>
      <b/>
      <sz val="11.0"/>
      <color rgb="FFFF0000"/>
      <name val="Calibri"/>
    </font>
    <font>
      <b/>
      <sz val="11.0"/>
      <color rgb="FF999999"/>
      <name val="Calibri"/>
    </font>
    <font>
      <b/>
      <sz val="11.0"/>
      <color rgb="FF4C1130"/>
      <name val="Calibri"/>
    </font>
    <font>
      <b/>
      <sz val="11.0"/>
      <color theme="9"/>
      <name val="Calibri"/>
    </font>
    <font>
      <b/>
      <color theme="4"/>
      <name val="Arial"/>
      <scheme val="minor"/>
    </font>
    <font>
      <b/>
      <color theme="6"/>
      <name val="Arial"/>
      <scheme val="minor"/>
    </font>
    <font>
      <b/>
      <color rgb="FFB7B7B7"/>
      <name val="Arial"/>
      <scheme val="minor"/>
    </font>
    <font>
      <b/>
      <color rgb="FF4C1130"/>
      <name val="Arial"/>
      <scheme val="minor"/>
    </font>
    <font>
      <sz val="12.0"/>
      <color theme="1"/>
      <name val="Calibri"/>
    </font>
    <font>
      <b/>
      <color rgb="FFBDBDBD"/>
      <name val="Arial"/>
      <scheme val="minor"/>
    </font>
    <font>
      <color rgb="FFFED83A"/>
      <name val="Arial"/>
      <scheme val="minor"/>
    </font>
    <font>
      <b/>
      <sz val="11.0"/>
      <color rgb="FF212529"/>
      <name val="Roboto"/>
    </font>
    <font>
      <b/>
      <sz val="11.0"/>
      <color rgb="FF000000"/>
      <name val="Roboto"/>
    </font>
    <font>
      <b/>
      <color rgb="FFCCCCCC"/>
      <name val="&quot;Segoe WPC&quot;"/>
    </font>
    <font>
      <color rgb="FFCCCCCC"/>
      <name val="&quot;Segoe WPC&quot;"/>
    </font>
    <font>
      <b/>
      <u/>
      <sz val="11.0"/>
      <color rgb="FF000000"/>
      <name val="Calibri"/>
    </font>
  </fonts>
  <fills count="21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000000"/>
        <bgColor rgb="FF000000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1D4E2"/>
        <bgColor rgb="FFD1D4E2"/>
      </patternFill>
    </fill>
    <fill>
      <patternFill patternType="solid">
        <fgColor rgb="FFFF0000"/>
        <bgColor rgb="FFFF0000"/>
      </patternFill>
    </fill>
    <fill>
      <patternFill patternType="solid">
        <fgColor rgb="FFFED83A"/>
        <bgColor rgb="FFFED83A"/>
      </patternFill>
    </fill>
    <fill>
      <patternFill patternType="solid">
        <fgColor rgb="FFE6CDD0"/>
        <bgColor rgb="FFE6CDD0"/>
      </patternFill>
    </fill>
    <fill>
      <patternFill patternType="solid">
        <fgColor rgb="FFC7EFBF"/>
        <bgColor rgb="FFC7EFBF"/>
      </patternFill>
    </fill>
    <fill>
      <patternFill patternType="solid">
        <fgColor rgb="FFC1F6E5"/>
        <bgColor rgb="FFC1F6E5"/>
      </patternFill>
    </fill>
    <fill>
      <patternFill patternType="solid">
        <fgColor rgb="FFC0F6E5"/>
        <bgColor rgb="FFC0F6E5"/>
      </patternFill>
    </fill>
    <fill>
      <patternFill patternType="solid">
        <fgColor rgb="FFD8DBDE"/>
        <bgColor rgb="FFD8DBDE"/>
      </patternFill>
    </fill>
    <fill>
      <patternFill patternType="solid">
        <fgColor theme="6"/>
        <bgColor theme="6"/>
      </patternFill>
    </fill>
    <fill>
      <patternFill patternType="solid">
        <fgColor rgb="FF34A853"/>
        <bgColor rgb="FF34A853"/>
      </patternFill>
    </fill>
    <fill>
      <patternFill patternType="solid">
        <fgColor rgb="FF0000FF"/>
        <bgColor rgb="FF0000FF"/>
      </patternFill>
    </fill>
    <fill>
      <patternFill patternType="solid">
        <fgColor rgb="FFE67C73"/>
        <bgColor rgb="FFE67C73"/>
      </patternFill>
    </fill>
    <fill>
      <patternFill patternType="solid">
        <fgColor rgb="FF181818"/>
        <bgColor rgb="FF181818"/>
      </patternFill>
    </fill>
  </fills>
  <borders count="72">
    <border/>
    <border>
      <bottom style="thin">
        <color rgb="FFFF6D01"/>
      </bottom>
    </border>
    <border>
      <bottom style="thin">
        <color rgb="FFFF99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FFFFFF"/>
      </left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8416A"/>
      </left>
      <right style="thin">
        <color rgb="FF4A568D"/>
      </right>
      <top style="thin">
        <color rgb="FF38416A"/>
      </top>
      <bottom style="thin">
        <color rgb="FF38416A"/>
      </bottom>
    </border>
    <border>
      <left style="thin">
        <color rgb="FF4A568D"/>
      </left>
      <right style="thin">
        <color rgb="FF4A568D"/>
      </right>
      <top style="thin">
        <color rgb="FF38416A"/>
      </top>
      <bottom style="thin">
        <color rgb="FF38416A"/>
      </bottom>
    </border>
    <border>
      <left style="thin">
        <color rgb="FF4A568D"/>
      </left>
      <right style="thin">
        <color rgb="FF38416A"/>
      </right>
      <top style="thin">
        <color rgb="FF38416A"/>
      </top>
      <bottom style="thin">
        <color rgb="FF38416A"/>
      </bottom>
    </border>
    <border>
      <left style="thin">
        <color rgb="FF000000"/>
      </left>
      <right style="thin">
        <color rgb="FF38416A"/>
      </right>
      <top style="thin">
        <color rgb="FF000000"/>
      </top>
      <bottom style="thin">
        <color rgb="FF000000"/>
      </bottom>
    </border>
    <border>
      <left style="thin">
        <color rgb="FF38416A"/>
      </left>
      <right style="thin">
        <color rgb="FFD1D4E2"/>
      </right>
      <top style="double">
        <color rgb="FF38416A"/>
      </top>
      <bottom style="thin">
        <color rgb="FF38416A"/>
      </bottom>
    </border>
    <border>
      <left style="thin">
        <color rgb="FFD1D4E2"/>
      </left>
      <right style="thin">
        <color rgb="FFD1D4E2"/>
      </right>
      <top style="double">
        <color rgb="FF38416A"/>
      </top>
      <bottom style="thin">
        <color rgb="FF38416A"/>
      </bottom>
    </border>
    <border>
      <left style="thin">
        <color rgb="FFD1D4E2"/>
      </left>
      <right style="thin">
        <color rgb="FF38416A"/>
      </right>
      <top style="double">
        <color rgb="FF38416A"/>
      </top>
      <bottom style="thin">
        <color rgb="FF38416A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4A86E8"/>
      </right>
      <top style="thin">
        <color rgb="FF4A86E8"/>
      </top>
      <bottom style="thin">
        <color rgb="FF4A86E8"/>
      </bottom>
    </border>
    <border>
      <left style="thin">
        <color rgb="FF284E3F"/>
      </left>
      <right style="thin">
        <color rgb="FFFED83A"/>
      </right>
      <top style="thin">
        <color rgb="FFFED83A"/>
      </top>
      <bottom style="thin">
        <color rgb="FF284E3F"/>
      </bottom>
    </border>
    <border>
      <bottom style="thin">
        <color rgb="FF000000"/>
      </bottom>
    </border>
    <border>
      <left style="thin">
        <color rgb="FF742932"/>
      </left>
      <right style="thin">
        <color rgb="FF9B3642"/>
      </right>
      <top style="thin">
        <color rgb="FF742932"/>
      </top>
      <bottom style="thin">
        <color rgb="FF742932"/>
      </bottom>
    </border>
    <border>
      <left style="thin">
        <color rgb="FF9B3642"/>
      </left>
      <right style="thin">
        <color rgb="FF9B3642"/>
      </right>
      <top style="thin">
        <color rgb="FF742932"/>
      </top>
      <bottom style="thin">
        <color rgb="FF742932"/>
      </bottom>
    </border>
    <border>
      <left style="thin">
        <color rgb="FF9B3642"/>
      </left>
      <right style="thin">
        <color rgb="FF742932"/>
      </right>
      <top style="thin">
        <color rgb="FF742932"/>
      </top>
      <bottom style="thin">
        <color rgb="FF742932"/>
      </bottom>
    </border>
    <border>
      <left style="thin">
        <color rgb="FF742932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742932"/>
      </right>
      <top style="thin">
        <color rgb="FFFFFFFF"/>
      </top>
      <bottom style="thin">
        <color rgb="FFFFFFFF"/>
      </bottom>
    </border>
    <border>
      <left style="thin">
        <color rgb="FF742932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742932"/>
      </right>
      <top style="thin">
        <color rgb="FFF6F8F9"/>
      </top>
      <bottom style="thin">
        <color rgb="FFF6F8F9"/>
      </bottom>
    </border>
    <border>
      <left style="thin">
        <color rgb="FF742932"/>
      </left>
      <right style="thin">
        <color rgb="FFE6CDD0"/>
      </right>
      <top style="double">
        <color rgb="FF742932"/>
      </top>
      <bottom style="thin">
        <color rgb="FF742932"/>
      </bottom>
    </border>
    <border>
      <left style="thin">
        <color rgb="FFE6CDD0"/>
      </left>
      <right style="thin">
        <color rgb="FFE6CDD0"/>
      </right>
      <top style="double">
        <color rgb="FF742932"/>
      </top>
      <bottom style="thin">
        <color rgb="FF742932"/>
      </bottom>
    </border>
    <border>
      <left style="thin">
        <color rgb="FFE6CDD0"/>
      </left>
      <right style="thin">
        <color rgb="FF742932"/>
      </right>
      <top style="double">
        <color rgb="FF742932"/>
      </top>
      <bottom style="thin">
        <color rgb="FF74293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742932"/>
      </left>
      <right style="thin">
        <color rgb="FFE6CDD0"/>
      </right>
      <top>
        <color rgb="FF742932"/>
      </top>
      <bottom style="thin">
        <color rgb="FF742932"/>
      </bottom>
    </border>
    <border>
      <left style="thin">
        <color rgb="FFE6CDD0"/>
      </left>
      <right style="thin">
        <color rgb="FFE6CDD0"/>
      </right>
      <top>
        <color rgb="FF742932"/>
      </top>
      <bottom style="thin">
        <color rgb="FF742932"/>
      </bottom>
    </border>
    <border>
      <left style="thin">
        <color rgb="FFE6CDD0"/>
      </left>
      <right style="thin">
        <color rgb="FF742932"/>
      </right>
      <top>
        <color rgb="FF742932"/>
      </top>
      <bottom style="thin">
        <color rgb="FF742932"/>
      </bottom>
    </border>
    <border>
      <left style="thin">
        <color rgb="FF168E00"/>
      </left>
      <right style="thin">
        <color rgb="FF1DBD00"/>
      </right>
      <top style="thin">
        <color rgb="FF168E00"/>
      </top>
      <bottom style="thin">
        <color rgb="FF168E00"/>
      </bottom>
    </border>
    <border>
      <left style="thin">
        <color rgb="FF1DBD00"/>
      </left>
      <right style="thin">
        <color rgb="FF1DBD00"/>
      </right>
      <top style="thin">
        <color rgb="FF168E00"/>
      </top>
      <bottom style="thin">
        <color rgb="FF168E00"/>
      </bottom>
    </border>
    <border>
      <left style="thin">
        <color rgb="FF1DBD00"/>
      </left>
      <right style="thin">
        <color rgb="FF168E00"/>
      </right>
      <top style="thin">
        <color rgb="FF168E00"/>
      </top>
      <bottom style="thin">
        <color rgb="FF168E00"/>
      </bottom>
    </border>
    <border>
      <left style="thin">
        <color rgb="FF168E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168E00"/>
      </right>
      <top style="thin">
        <color rgb="FFFFFFFF"/>
      </top>
      <bottom style="thin">
        <color rgb="FFFFFFFF"/>
      </bottom>
    </border>
    <border>
      <left style="thin">
        <color rgb="FF168E0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168E00"/>
      </right>
      <top style="thin">
        <color rgb="FFF6F8F9"/>
      </top>
      <bottom style="thin">
        <color rgb="FFF6F8F9"/>
      </bottom>
    </border>
    <border>
      <left style="thin">
        <color rgb="FF168E00"/>
      </left>
      <right style="thin">
        <color rgb="FFC7EFBF"/>
      </right>
      <top>
        <color rgb="FF168E00"/>
      </top>
      <bottom style="thin">
        <color rgb="FF168E00"/>
      </bottom>
    </border>
    <border>
      <left style="thin">
        <color rgb="FFC7EFBF"/>
      </left>
      <right style="thin">
        <color rgb="FFC7EFBF"/>
      </right>
      <top>
        <color rgb="FF168E00"/>
      </top>
      <bottom style="thin">
        <color rgb="FF168E00"/>
      </bottom>
    </border>
    <border>
      <left style="thin">
        <color rgb="FFC7EFBF"/>
      </left>
      <right style="thin">
        <color rgb="FF168E00"/>
      </right>
      <top>
        <color rgb="FF168E00"/>
      </top>
      <bottom style="thin">
        <color rgb="FF168E00"/>
      </bottom>
    </border>
    <border>
      <left style="thin">
        <color rgb="FF04A472"/>
      </left>
      <right style="thin">
        <color rgb="FF05DB98"/>
      </right>
      <top style="thin">
        <color rgb="FF04A472"/>
      </top>
      <bottom style="thin">
        <color rgb="FF04A472"/>
      </bottom>
    </border>
    <border>
      <left style="thin">
        <color rgb="FF05DB98"/>
      </left>
      <right style="thin">
        <color rgb="FF05DB98"/>
      </right>
      <top style="thin">
        <color rgb="FF04A472"/>
      </top>
      <bottom style="thin">
        <color rgb="FF04A472"/>
      </bottom>
    </border>
    <border>
      <left style="thin">
        <color rgb="FF05DB98"/>
      </left>
      <right style="thin">
        <color rgb="FF04A472"/>
      </right>
      <top style="thin">
        <color rgb="FF04A472"/>
      </top>
      <bottom style="thin">
        <color rgb="FF04A472"/>
      </bottom>
    </border>
    <border>
      <left style="thin">
        <color rgb="FF04A472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4A472"/>
      </right>
      <top style="thin">
        <color rgb="FFFFFFFF"/>
      </top>
      <bottom style="thin">
        <color rgb="FFFFFFFF"/>
      </bottom>
    </border>
    <border>
      <left style="thin">
        <color rgb="FF04A472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4A472"/>
      </right>
      <top style="thin">
        <color rgb="FFF6F8F9"/>
      </top>
      <bottom style="thin">
        <color rgb="FFF6F8F9"/>
      </bottom>
    </border>
    <border>
      <left style="thin">
        <color rgb="FF04A472"/>
      </left>
      <right style="thin">
        <color rgb="FFC1F6E5"/>
      </right>
      <top style="double">
        <color rgb="FF04A472"/>
      </top>
      <bottom style="thin">
        <color rgb="FF04A472"/>
      </bottom>
    </border>
    <border>
      <left style="thin">
        <color rgb="FFC1F6E5"/>
      </left>
      <right style="thin">
        <color rgb="FFC1F6E5"/>
      </right>
      <top style="double">
        <color rgb="FF04A472"/>
      </top>
      <bottom style="thin">
        <color rgb="FF04A472"/>
      </bottom>
    </border>
    <border>
      <left style="thin">
        <color rgb="FFC1F6E5"/>
      </left>
      <right style="thin">
        <color rgb="FF04A472"/>
      </right>
      <top style="double">
        <color rgb="FF04A472"/>
      </top>
      <bottom style="thin">
        <color rgb="FF04A472"/>
      </bottom>
    </border>
    <border>
      <left style="thin">
        <color rgb="FF04A472"/>
      </left>
      <right style="thin">
        <color rgb="FFC0F6E5"/>
      </right>
      <top>
        <color rgb="FF04A472"/>
      </top>
      <bottom style="thin">
        <color rgb="FF04A472"/>
      </bottom>
    </border>
    <border>
      <left style="thin">
        <color rgb="FFC0F6E5"/>
      </left>
      <right style="thin">
        <color rgb="FFC0F6E5"/>
      </right>
      <top>
        <color rgb="FF04A472"/>
      </top>
      <bottom style="thin">
        <color rgb="FF04A472"/>
      </bottom>
    </border>
    <border>
      <left style="thin">
        <color rgb="FFC0F6E5"/>
      </left>
      <right style="thin">
        <color rgb="FF04A472"/>
      </right>
      <top>
        <color rgb="FF04A472"/>
      </top>
      <bottom style="thin">
        <color rgb="FF04A472"/>
      </bottom>
    </border>
    <border>
      <left style="thin">
        <color rgb="FF4A535C"/>
      </left>
      <right style="thin">
        <color rgb="FF626E7A"/>
      </right>
      <top style="thin">
        <color rgb="FF4A535C"/>
      </top>
      <bottom style="thin">
        <color rgb="FF4A535C"/>
      </bottom>
    </border>
    <border>
      <left style="thin">
        <color rgb="FF626E7A"/>
      </left>
      <right style="thin">
        <color rgb="FF626E7A"/>
      </right>
      <top style="thin">
        <color rgb="FF4A535C"/>
      </top>
      <bottom style="thin">
        <color rgb="FF4A535C"/>
      </bottom>
    </border>
    <border>
      <left style="thin">
        <color rgb="FF626E7A"/>
      </left>
      <right style="thin">
        <color rgb="FF4A535C"/>
      </right>
      <top style="thin">
        <color rgb="FF4A535C"/>
      </top>
      <bottom style="thin">
        <color rgb="FF4A535C"/>
      </bottom>
    </border>
    <border>
      <left style="thin">
        <color rgb="FF000000"/>
      </left>
      <right style="thin">
        <color rgb="FF4A535C"/>
      </right>
      <top style="thin">
        <color rgb="FF000000"/>
      </top>
      <bottom style="thin">
        <color rgb="FF000000"/>
      </bottom>
    </border>
    <border>
      <left style="thin">
        <color rgb="FF4A535C"/>
      </left>
      <right style="thin">
        <color rgb="FFD8DBDE"/>
      </right>
      <top style="double">
        <color rgb="FF4A535C"/>
      </top>
      <bottom style="thin">
        <color rgb="FF4A535C"/>
      </bottom>
    </border>
    <border>
      <left style="thin">
        <color rgb="FFD8DBDE"/>
      </left>
      <right style="thin">
        <color rgb="FFD8DBDE"/>
      </right>
      <top style="double">
        <color rgb="FF4A535C"/>
      </top>
      <bottom style="thin">
        <color rgb="FF4A535C"/>
      </bottom>
    </border>
    <border>
      <left style="thin">
        <color rgb="FFD8DBDE"/>
      </left>
      <right style="thin">
        <color rgb="FF4A535C"/>
      </right>
      <top style="double">
        <color rgb="FF4A535C"/>
      </top>
      <bottom style="thin">
        <color rgb="FF4A535C"/>
      </bottom>
    </border>
    <border>
      <left style="thin">
        <color rgb="FF284E3F"/>
      </left>
      <right style="thin">
        <color rgb="FFFBBC04"/>
      </right>
      <top style="thin">
        <color rgb="FFFBBC04"/>
      </top>
      <bottom style="thin">
        <color rgb="FFFBBC04"/>
      </bottom>
    </border>
    <border>
      <left style="thin">
        <color rgb="FF284E3F"/>
      </left>
      <right style="thin">
        <color rgb="FF34A853"/>
      </right>
      <top style="thin">
        <color rgb="FF34A853"/>
      </top>
      <bottom style="thin">
        <color rgb="FF34A853"/>
      </bottom>
    </border>
    <border>
      <left style="thin">
        <color rgb="FF284E3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284E3F"/>
      </left>
      <right style="thin">
        <color rgb="FFE67C73"/>
      </right>
      <top style="thin">
        <color rgb="FFE67C73"/>
      </top>
      <bottom style="thin">
        <color rgb="FFE67C73"/>
      </bottom>
    </border>
    <border>
      <left style="thin">
        <color rgb="FF284E3F"/>
      </left>
      <right style="thin">
        <color rgb="FFE67C73"/>
      </right>
      <top style="thin">
        <color rgb="FFE67C73"/>
      </top>
      <bottom style="thin">
        <color rgb="FF284E3F"/>
      </bottom>
    </border>
  </borders>
  <cellStyleXfs count="1">
    <xf borderId="0" fillId="0" fontId="0" numFmtId="0" applyAlignment="1" applyFont="1"/>
  </cellStyleXfs>
  <cellXfs count="41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1" fillId="3" fontId="1" numFmtId="0" xfId="0" applyBorder="1" applyFill="1" applyFont="1"/>
    <xf borderId="1" fillId="3" fontId="2" numFmtId="0" xfId="0" applyAlignment="1" applyBorder="1" applyFont="1">
      <alignment readingOrder="0"/>
    </xf>
    <xf borderId="1" fillId="3" fontId="1" numFmtId="0" xfId="0" applyAlignment="1" applyBorder="1" applyFont="1">
      <alignment readingOrder="0"/>
    </xf>
    <xf borderId="0" fillId="3" fontId="1" numFmtId="0" xfId="0" applyFont="1"/>
    <xf borderId="0" fillId="3" fontId="3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3" fontId="5" numFmtId="0" xfId="0" applyFont="1"/>
    <xf borderId="2" fillId="3" fontId="1" numFmtId="0" xfId="0" applyBorder="1" applyFont="1"/>
    <xf borderId="2" fillId="3" fontId="1" numFmtId="0" xfId="0" applyAlignment="1" applyBorder="1" applyFont="1">
      <alignment readingOrder="0"/>
    </xf>
    <xf borderId="2" fillId="3" fontId="1" numFmtId="0" xfId="0" applyAlignment="1" applyBorder="1" applyFont="1">
      <alignment readingOrder="0"/>
    </xf>
    <xf borderId="0" fillId="3" fontId="6" numFmtId="0" xfId="0" applyFont="1"/>
    <xf borderId="0" fillId="3" fontId="7" numFmtId="0" xfId="0" applyAlignment="1" applyFont="1">
      <alignment readingOrder="0" vertical="bottom"/>
    </xf>
    <xf borderId="0" fillId="3" fontId="8" numFmtId="0" xfId="0" applyAlignment="1" applyFont="1">
      <alignment horizontal="left" readingOrder="0" vertical="bottom"/>
    </xf>
    <xf borderId="0" fillId="3" fontId="9" numFmtId="0" xfId="0" applyAlignment="1" applyFont="1">
      <alignment horizontal="left" readingOrder="0"/>
    </xf>
    <xf borderId="0" fillId="3" fontId="10" numFmtId="0" xfId="0" applyFont="1"/>
    <xf borderId="0" fillId="3" fontId="10" numFmtId="14" xfId="0" applyFont="1" applyNumberFormat="1"/>
    <xf borderId="0" fillId="3" fontId="10" numFmtId="0" xfId="0" applyAlignment="1" applyFont="1">
      <alignment readingOrder="0"/>
    </xf>
    <xf borderId="3" fillId="4" fontId="10" numFmtId="0" xfId="0" applyBorder="1" applyFill="1" applyFont="1"/>
    <xf borderId="3" fillId="4" fontId="10" numFmtId="0" xfId="0" applyAlignment="1" applyBorder="1" applyFont="1">
      <alignment readingOrder="0"/>
    </xf>
    <xf borderId="3" fillId="4" fontId="10" numFmtId="0" xfId="0" applyAlignment="1" applyBorder="1" applyFont="1">
      <alignment horizontal="center" readingOrder="0"/>
    </xf>
    <xf borderId="3" fillId="4" fontId="11" numFmtId="0" xfId="0" applyBorder="1" applyFont="1"/>
    <xf borderId="3" fillId="4" fontId="10" numFmtId="164" xfId="0" applyBorder="1" applyFont="1" applyNumberFormat="1"/>
    <xf borderId="3" fillId="4" fontId="10" numFmtId="10" xfId="0" applyBorder="1" applyFont="1" applyNumberFormat="1"/>
    <xf borderId="3" fillId="4" fontId="10" numFmtId="165" xfId="0" applyBorder="1" applyFont="1" applyNumberFormat="1"/>
    <xf borderId="3" fillId="4" fontId="10" numFmtId="2" xfId="0" applyBorder="1" applyFont="1" applyNumberFormat="1"/>
    <xf borderId="0" fillId="3" fontId="10" numFmtId="10" xfId="0" applyFont="1" applyNumberFormat="1"/>
    <xf borderId="3" fillId="4" fontId="10" numFmtId="49" xfId="0" applyBorder="1" applyFont="1" applyNumberFormat="1"/>
    <xf borderId="3" fillId="3" fontId="10" numFmtId="0" xfId="0" applyAlignment="1" applyBorder="1" applyFont="1">
      <alignment readingOrder="0"/>
    </xf>
    <xf borderId="3" fillId="3" fontId="10" numFmtId="10" xfId="0" applyBorder="1" applyFont="1" applyNumberFormat="1"/>
    <xf borderId="3" fillId="3" fontId="10" numFmtId="2" xfId="0" applyBorder="1" applyFont="1" applyNumberFormat="1"/>
    <xf borderId="3" fillId="3" fontId="10" numFmtId="164" xfId="0" applyBorder="1" applyFont="1" applyNumberFormat="1"/>
    <xf borderId="3" fillId="3" fontId="10" numFmtId="0" xfId="0" applyBorder="1" applyFont="1"/>
    <xf borderId="3" fillId="3" fontId="10" numFmtId="9" xfId="0" applyBorder="1" applyFont="1" applyNumberFormat="1"/>
    <xf borderId="3" fillId="3" fontId="12" numFmtId="0" xfId="0" applyBorder="1" applyFont="1"/>
    <xf borderId="3" fillId="3" fontId="10" numFmtId="165" xfId="0" applyBorder="1" applyFont="1" applyNumberFormat="1"/>
    <xf borderId="3" fillId="3" fontId="10" numFmtId="0" xfId="0" applyBorder="1" applyFont="1"/>
    <xf borderId="3" fillId="3" fontId="10" numFmtId="4" xfId="0" applyBorder="1" applyFont="1" applyNumberFormat="1"/>
    <xf borderId="3" fillId="3" fontId="10" numFmtId="166" xfId="0" applyBorder="1" applyFont="1" applyNumberFormat="1"/>
    <xf borderId="3" fillId="3" fontId="10" numFmtId="3" xfId="0" applyBorder="1" applyFont="1" applyNumberFormat="1"/>
    <xf borderId="3" fillId="3" fontId="13" numFmtId="10" xfId="0" applyAlignment="1" applyBorder="1" applyFont="1" applyNumberFormat="1">
      <alignment horizontal="right" vertical="bottom"/>
    </xf>
    <xf borderId="3" fillId="3" fontId="13" numFmtId="2" xfId="0" applyAlignment="1" applyBorder="1" applyFont="1" applyNumberFormat="1">
      <alignment horizontal="right" vertical="bottom"/>
    </xf>
    <xf borderId="3" fillId="3" fontId="13" numFmtId="164" xfId="0" applyAlignment="1" applyBorder="1" applyFont="1" applyNumberFormat="1">
      <alignment horizontal="right" vertical="bottom"/>
    </xf>
    <xf borderId="3" fillId="3" fontId="13" numFmtId="0" xfId="0" applyAlignment="1" applyBorder="1" applyFont="1">
      <alignment horizontal="right" vertical="bottom"/>
    </xf>
    <xf borderId="3" fillId="3" fontId="10" numFmtId="0" xfId="0" applyAlignment="1" applyBorder="1" applyFont="1">
      <alignment horizontal="right"/>
    </xf>
    <xf borderId="4" fillId="3" fontId="10" numFmtId="0" xfId="0" applyBorder="1" applyFont="1"/>
    <xf borderId="3" fillId="3" fontId="10" numFmtId="0" xfId="0" applyAlignment="1" applyBorder="1" applyFont="1">
      <alignment readingOrder="0"/>
    </xf>
    <xf borderId="0" fillId="3" fontId="14" numFmtId="0" xfId="0" applyFont="1"/>
    <xf borderId="0" fillId="3" fontId="10" numFmtId="2" xfId="0" applyFont="1" applyNumberFormat="1"/>
    <xf borderId="0" fillId="3" fontId="10" numFmtId="0" xfId="0" applyFont="1"/>
    <xf borderId="0" fillId="3" fontId="10" numFmtId="4" xfId="0" applyFont="1" applyNumberFormat="1"/>
    <xf borderId="0" fillId="3" fontId="10" numFmtId="166" xfId="0" applyFont="1" applyNumberFormat="1"/>
    <xf borderId="0" fillId="3" fontId="10" numFmtId="3" xfId="0" applyFont="1" applyNumberFormat="1"/>
    <xf borderId="3" fillId="3" fontId="13" numFmtId="4" xfId="0" applyAlignment="1" applyBorder="1" applyFont="1" applyNumberFormat="1">
      <alignment horizontal="right" vertical="bottom"/>
    </xf>
    <xf borderId="3" fillId="3" fontId="13" numFmtId="166" xfId="0" applyAlignment="1" applyBorder="1" applyFont="1" applyNumberFormat="1">
      <alignment horizontal="right" vertical="bottom"/>
    </xf>
    <xf borderId="3" fillId="4" fontId="15" numFmtId="0" xfId="0" applyAlignment="1" applyBorder="1" applyFont="1">
      <alignment readingOrder="0"/>
    </xf>
    <xf borderId="0" fillId="3" fontId="10" numFmtId="164" xfId="0" applyFont="1" applyNumberFormat="1"/>
    <xf borderId="0" fillId="3" fontId="10" numFmtId="165" xfId="0" applyFont="1" applyNumberFormat="1"/>
    <xf borderId="0" fillId="3" fontId="16" numFmtId="0" xfId="0" applyAlignment="1" applyFont="1">
      <alignment horizontal="center"/>
    </xf>
    <xf borderId="0" fillId="3" fontId="16" numFmtId="166" xfId="0" applyAlignment="1" applyFont="1" applyNumberFormat="1">
      <alignment horizontal="center"/>
    </xf>
    <xf borderId="0" fillId="3" fontId="16" numFmtId="4" xfId="0" applyAlignment="1" applyFont="1" applyNumberFormat="1">
      <alignment horizontal="center"/>
    </xf>
    <xf borderId="3" fillId="4" fontId="17" numFmtId="0" xfId="0" applyAlignment="1" applyBorder="1" applyFont="1">
      <alignment horizontal="center" readingOrder="0"/>
    </xf>
    <xf borderId="3" fillId="4" fontId="16" numFmtId="0" xfId="0" applyAlignment="1" applyBorder="1" applyFont="1">
      <alignment horizontal="center" readingOrder="0"/>
    </xf>
    <xf borderId="0" fillId="3" fontId="16" numFmtId="0" xfId="0" applyAlignment="1" applyFont="1">
      <alignment horizontal="center" readingOrder="0"/>
    </xf>
    <xf borderId="3" fillId="3" fontId="16" numFmtId="0" xfId="0" applyAlignment="1" applyBorder="1" applyFont="1">
      <alignment horizontal="center" readingOrder="0"/>
    </xf>
    <xf borderId="3" fillId="3" fontId="16" numFmtId="10" xfId="0" applyAlignment="1" applyBorder="1" applyFont="1" applyNumberFormat="1">
      <alignment horizontal="center"/>
    </xf>
    <xf borderId="3" fillId="3" fontId="16" numFmtId="4" xfId="0" applyAlignment="1" applyBorder="1" applyFont="1" applyNumberFormat="1">
      <alignment horizontal="center"/>
    </xf>
    <xf borderId="3" fillId="3" fontId="16" numFmtId="167" xfId="0" applyAlignment="1" applyBorder="1" applyFont="1" applyNumberFormat="1">
      <alignment horizontal="center" readingOrder="0"/>
    </xf>
    <xf borderId="5" fillId="3" fontId="17" numFmtId="0" xfId="0" applyAlignment="1" applyBorder="1" applyFont="1">
      <alignment horizontal="center" readingOrder="0"/>
    </xf>
    <xf borderId="5" fillId="3" fontId="16" numFmtId="0" xfId="0" applyAlignment="1" applyBorder="1" applyFont="1">
      <alignment horizontal="center"/>
    </xf>
    <xf borderId="0" fillId="3" fontId="16" numFmtId="14" xfId="0" applyAlignment="1" applyFont="1" applyNumberFormat="1">
      <alignment horizontal="center"/>
    </xf>
    <xf borderId="3" fillId="3" fontId="16" numFmtId="168" xfId="0" applyAlignment="1" applyBorder="1" applyFont="1" applyNumberFormat="1">
      <alignment horizontal="center"/>
    </xf>
    <xf borderId="3" fillId="3" fontId="16" numFmtId="9" xfId="0" applyAlignment="1" applyBorder="1" applyFont="1" applyNumberFormat="1">
      <alignment horizontal="center" readingOrder="0"/>
    </xf>
    <xf borderId="0" fillId="3" fontId="18" numFmtId="0" xfId="0" applyAlignment="1" applyFont="1">
      <alignment horizontal="center" readingOrder="0"/>
    </xf>
    <xf borderId="3" fillId="4" fontId="18" numFmtId="0" xfId="0" applyAlignment="1" applyBorder="1" applyFont="1">
      <alignment horizontal="center" readingOrder="0"/>
    </xf>
    <xf borderId="3" fillId="4" fontId="18" numFmtId="166" xfId="0" applyAlignment="1" applyBorder="1" applyFont="1" applyNumberFormat="1">
      <alignment horizontal="center" readingOrder="0"/>
    </xf>
    <xf borderId="3" fillId="4" fontId="18" numFmtId="4" xfId="0" applyAlignment="1" applyBorder="1" applyFont="1" applyNumberFormat="1">
      <alignment horizontal="center" readingOrder="0"/>
    </xf>
    <xf borderId="0" fillId="3" fontId="19" numFmtId="0" xfId="0" applyAlignment="1" applyFont="1">
      <alignment horizontal="center" readingOrder="0"/>
    </xf>
    <xf borderId="3" fillId="3" fontId="19" numFmtId="0" xfId="0" applyAlignment="1" applyBorder="1" applyFont="1">
      <alignment horizontal="center" readingOrder="0"/>
    </xf>
    <xf borderId="3" fillId="3" fontId="19" numFmtId="166" xfId="0" applyAlignment="1" applyBorder="1" applyFont="1" applyNumberFormat="1">
      <alignment horizontal="center" readingOrder="0"/>
    </xf>
    <xf borderId="3" fillId="3" fontId="16" numFmtId="0" xfId="0" applyAlignment="1" applyBorder="1" applyFont="1">
      <alignment horizontal="center"/>
    </xf>
    <xf borderId="3" fillId="3" fontId="20" numFmtId="3" xfId="0" applyAlignment="1" applyBorder="1" applyFont="1" applyNumberFormat="1">
      <alignment horizontal="center" readingOrder="0"/>
    </xf>
    <xf borderId="3" fillId="3" fontId="21" numFmtId="166" xfId="0" applyAlignment="1" applyBorder="1" applyFont="1" applyNumberFormat="1">
      <alignment horizontal="center" readingOrder="0"/>
    </xf>
    <xf borderId="3" fillId="3" fontId="21" numFmtId="4" xfId="0" applyAlignment="1" applyBorder="1" applyFont="1" applyNumberFormat="1">
      <alignment horizontal="center" readingOrder="0"/>
    </xf>
    <xf borderId="3" fillId="3" fontId="21" numFmtId="10" xfId="0" applyAlignment="1" applyBorder="1" applyFont="1" applyNumberFormat="1">
      <alignment horizontal="center" readingOrder="0"/>
    </xf>
    <xf borderId="0" fillId="3" fontId="21" numFmtId="165" xfId="0" applyAlignment="1" applyFont="1" applyNumberFormat="1">
      <alignment horizontal="center" readingOrder="0"/>
    </xf>
    <xf borderId="0" fillId="3" fontId="21" numFmtId="3" xfId="0" applyAlignment="1" applyFont="1" applyNumberFormat="1">
      <alignment horizontal="center" readingOrder="0"/>
    </xf>
    <xf borderId="0" fillId="3" fontId="21" numFmtId="0" xfId="0" applyAlignment="1" applyFont="1">
      <alignment horizontal="center" readingOrder="0"/>
    </xf>
    <xf borderId="3" fillId="3" fontId="22" numFmtId="0" xfId="0" applyAlignment="1" applyBorder="1" applyFont="1">
      <alignment horizontal="center" readingOrder="0"/>
    </xf>
    <xf borderId="3" fillId="3" fontId="21" numFmtId="3" xfId="0" applyAlignment="1" applyBorder="1" applyFont="1" applyNumberFormat="1">
      <alignment horizontal="center" readingOrder="0"/>
    </xf>
    <xf borderId="3" fillId="3" fontId="16" numFmtId="165" xfId="0" applyAlignment="1" applyBorder="1" applyFont="1" applyNumberFormat="1">
      <alignment horizontal="center"/>
    </xf>
    <xf borderId="0" fillId="3" fontId="23" numFmtId="0" xfId="0" applyAlignment="1" applyFont="1">
      <alignment horizontal="center"/>
    </xf>
    <xf borderId="0" fillId="3" fontId="16" numFmtId="10" xfId="0" applyAlignment="1" applyFont="1" applyNumberFormat="1">
      <alignment horizontal="center"/>
    </xf>
    <xf borderId="0" fillId="3" fontId="16" numFmtId="169" xfId="0" applyAlignment="1" applyFont="1" applyNumberFormat="1">
      <alignment horizontal="center"/>
    </xf>
    <xf borderId="0" fillId="3" fontId="16" numFmtId="165" xfId="0" applyAlignment="1" applyFont="1" applyNumberFormat="1">
      <alignment horizontal="center"/>
    </xf>
    <xf borderId="0" fillId="3" fontId="16" numFmtId="2" xfId="0" applyAlignment="1" applyFont="1" applyNumberFormat="1">
      <alignment horizontal="center"/>
    </xf>
    <xf borderId="4" fillId="3" fontId="16" numFmtId="0" xfId="0" applyAlignment="1" applyBorder="1" applyFont="1">
      <alignment horizontal="center"/>
    </xf>
    <xf borderId="4" fillId="3" fontId="16" numFmtId="168" xfId="0" applyAlignment="1" applyBorder="1" applyFont="1" applyNumberFormat="1">
      <alignment horizontal="center"/>
    </xf>
    <xf borderId="4" fillId="3" fontId="16" numFmtId="4" xfId="0" applyAlignment="1" applyBorder="1" applyFont="1" applyNumberFormat="1">
      <alignment horizontal="center"/>
    </xf>
    <xf borderId="3" fillId="3" fontId="16" numFmtId="9" xfId="0" applyAlignment="1" applyBorder="1" applyFont="1" applyNumberFormat="1">
      <alignment horizontal="center"/>
    </xf>
    <xf borderId="0" fillId="3" fontId="16" numFmtId="165" xfId="0" applyAlignment="1" applyFont="1" applyNumberFormat="1">
      <alignment horizontal="center"/>
    </xf>
    <xf borderId="3" fillId="3" fontId="21" numFmtId="0" xfId="0" applyAlignment="1" applyBorder="1" applyFont="1">
      <alignment horizontal="center" readingOrder="0"/>
    </xf>
    <xf borderId="6" fillId="3" fontId="24" numFmtId="0" xfId="0" applyAlignment="1" applyBorder="1" applyFont="1">
      <alignment horizontal="center" readingOrder="0"/>
    </xf>
    <xf borderId="7" fillId="3" fontId="16" numFmtId="10" xfId="0" applyAlignment="1" applyBorder="1" applyFont="1" applyNumberFormat="1">
      <alignment horizontal="center"/>
    </xf>
    <xf borderId="7" fillId="3" fontId="16" numFmtId="4" xfId="0" applyAlignment="1" applyBorder="1" applyFont="1" applyNumberFormat="1">
      <alignment horizontal="center"/>
    </xf>
    <xf borderId="0" fillId="3" fontId="19" numFmtId="165" xfId="0" applyAlignment="1" applyFont="1" applyNumberFormat="1">
      <alignment horizontal="center" readingOrder="0"/>
    </xf>
    <xf borderId="7" fillId="3" fontId="16" numFmtId="2" xfId="0" applyAlignment="1" applyBorder="1" applyFont="1" applyNumberFormat="1">
      <alignment horizontal="center"/>
    </xf>
    <xf borderId="0" fillId="3" fontId="21" numFmtId="166" xfId="0" applyAlignment="1" applyFont="1" applyNumberFormat="1">
      <alignment horizontal="center" readingOrder="0"/>
    </xf>
    <xf borderId="7" fillId="3" fontId="21" numFmtId="3" xfId="0" applyAlignment="1" applyBorder="1" applyFont="1" applyNumberFormat="1">
      <alignment horizontal="center" readingOrder="0"/>
    </xf>
    <xf borderId="7" fillId="3" fontId="21" numFmtId="166" xfId="0" applyAlignment="1" applyBorder="1" applyFont="1" applyNumberFormat="1">
      <alignment horizontal="center" readingOrder="0"/>
    </xf>
    <xf borderId="7" fillId="3" fontId="21" numFmtId="4" xfId="0" applyAlignment="1" applyBorder="1" applyFont="1" applyNumberFormat="1">
      <alignment horizontal="center" readingOrder="0"/>
    </xf>
    <xf borderId="7" fillId="3" fontId="21" numFmtId="10" xfId="0" applyAlignment="1" applyBorder="1" applyFont="1" applyNumberFormat="1">
      <alignment horizontal="center" readingOrder="0"/>
    </xf>
    <xf borderId="7" fillId="3" fontId="21" numFmtId="0" xfId="0" applyAlignment="1" applyBorder="1" applyFont="1">
      <alignment horizontal="center" readingOrder="0"/>
    </xf>
    <xf borderId="8" fillId="3" fontId="21" numFmtId="0" xfId="0" applyAlignment="1" applyBorder="1" applyFont="1">
      <alignment horizontal="center" readingOrder="0"/>
    </xf>
    <xf borderId="8" fillId="3" fontId="21" numFmtId="166" xfId="0" applyAlignment="1" applyBorder="1" applyFont="1" applyNumberFormat="1">
      <alignment horizontal="center" readingOrder="0"/>
    </xf>
    <xf borderId="8" fillId="3" fontId="21" numFmtId="4" xfId="0" applyAlignment="1" applyBorder="1" applyFont="1" applyNumberFormat="1">
      <alignment horizontal="center" readingOrder="0"/>
    </xf>
    <xf borderId="8" fillId="3" fontId="21" numFmtId="10" xfId="0" applyAlignment="1" applyBorder="1" applyFont="1" applyNumberFormat="1">
      <alignment horizontal="center" readingOrder="0"/>
    </xf>
    <xf borderId="0" fillId="3" fontId="21" numFmtId="10" xfId="0" applyAlignment="1" applyFont="1" applyNumberFormat="1">
      <alignment horizontal="center" readingOrder="0"/>
    </xf>
    <xf borderId="0" fillId="3" fontId="21" numFmtId="4" xfId="0" applyAlignment="1" applyFont="1" applyNumberFormat="1">
      <alignment horizontal="center" readingOrder="0"/>
    </xf>
    <xf borderId="0" fillId="3" fontId="0" numFmtId="0" xfId="0" applyFont="1"/>
    <xf borderId="3" fillId="4" fontId="21" numFmtId="3" xfId="0" applyAlignment="1" applyBorder="1" applyFont="1" applyNumberFormat="1">
      <alignment horizontal="center" readingOrder="0"/>
    </xf>
    <xf borderId="3" fillId="4" fontId="21" numFmtId="166" xfId="0" applyAlignment="1" applyBorder="1" applyFont="1" applyNumberFormat="1">
      <alignment horizontal="center" readingOrder="0"/>
    </xf>
    <xf borderId="3" fillId="4" fontId="21" numFmtId="4" xfId="0" applyAlignment="1" applyBorder="1" applyFont="1" applyNumberFormat="1">
      <alignment horizontal="center" readingOrder="0"/>
    </xf>
    <xf borderId="3" fillId="4" fontId="21" numFmtId="10" xfId="0" applyAlignment="1" applyBorder="1" applyFont="1" applyNumberFormat="1">
      <alignment horizontal="center" readingOrder="0"/>
    </xf>
    <xf borderId="3" fillId="4" fontId="21" numFmtId="0" xfId="0" applyAlignment="1" applyBorder="1" applyFont="1">
      <alignment horizontal="center" readingOrder="0"/>
    </xf>
    <xf borderId="0" fillId="3" fontId="16" numFmtId="4" xfId="0" applyFont="1" applyNumberFormat="1"/>
    <xf borderId="0" fillId="3" fontId="21" numFmtId="170" xfId="0" applyAlignment="1" applyFont="1" applyNumberFormat="1">
      <alignment horizontal="center" readingOrder="0"/>
    </xf>
    <xf borderId="0" fillId="3" fontId="21" numFmtId="171" xfId="0" applyAlignment="1" applyFont="1" applyNumberFormat="1">
      <alignment horizontal="center" readingOrder="0"/>
    </xf>
    <xf borderId="0" fillId="0" fontId="6" numFmtId="0" xfId="0" applyAlignment="1" applyFont="1">
      <alignment horizontal="center"/>
    </xf>
    <xf borderId="0" fillId="0" fontId="25" numFmtId="0" xfId="0" applyAlignment="1" applyFont="1">
      <alignment horizontal="center" readingOrder="0"/>
    </xf>
    <xf borderId="0" fillId="0" fontId="25" numFmtId="3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167" xfId="0" applyAlignment="1" applyFont="1" applyNumberFormat="1">
      <alignment horizontal="center" readingOrder="0"/>
    </xf>
    <xf borderId="0" fillId="5" fontId="6" numFmtId="0" xfId="0" applyAlignment="1" applyFill="1" applyFont="1">
      <alignment horizontal="center" readingOrder="0"/>
    </xf>
    <xf borderId="0" fillId="0" fontId="26" numFmtId="0" xfId="0" applyAlignment="1" applyFont="1">
      <alignment readingOrder="0" shrinkToFit="0" vertical="bottom" wrapText="0"/>
    </xf>
    <xf borderId="0" fillId="0" fontId="26" numFmtId="9" xfId="0" applyAlignment="1" applyFont="1" applyNumberFormat="1">
      <alignment horizontal="right" readingOrder="0" shrinkToFit="0" vertical="bottom" wrapText="0"/>
    </xf>
    <xf borderId="0" fillId="0" fontId="6" numFmtId="4" xfId="0" applyAlignment="1" applyFont="1" applyNumberFormat="1">
      <alignment readingOrder="0"/>
    </xf>
    <xf borderId="0" fillId="0" fontId="26" numFmtId="4" xfId="0" applyAlignment="1" applyFont="1" applyNumberFormat="1">
      <alignment readingOrder="0" shrinkToFit="0" vertical="bottom" wrapText="0"/>
    </xf>
    <xf borderId="0" fillId="0" fontId="6" numFmtId="0" xfId="0" applyFont="1"/>
    <xf borderId="0" fillId="0" fontId="6" numFmtId="1" xfId="0" applyFont="1" applyNumberFormat="1"/>
    <xf borderId="0" fillId="0" fontId="6" numFmtId="49" xfId="0" applyFont="1" applyNumberFormat="1"/>
    <xf borderId="0" fillId="0" fontId="27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5" numFmtId="167" xfId="0" applyAlignment="1" applyFont="1" applyNumberFormat="1">
      <alignment readingOrder="0"/>
    </xf>
    <xf borderId="0" fillId="0" fontId="25" numFmtId="10" xfId="0" applyAlignment="1" applyFont="1" applyNumberFormat="1">
      <alignment readingOrder="0"/>
    </xf>
    <xf borderId="0" fillId="6" fontId="28" numFmtId="0" xfId="0" applyAlignment="1" applyFill="1" applyFont="1">
      <alignment readingOrder="0"/>
    </xf>
    <xf borderId="8" fillId="6" fontId="29" numFmtId="0" xfId="0" applyAlignment="1" applyBorder="1" applyFont="1">
      <alignment readingOrder="0" vertical="bottom"/>
    </xf>
    <xf borderId="8" fillId="6" fontId="29" numFmtId="0" xfId="0" applyAlignment="1" applyBorder="1" applyFont="1">
      <alignment horizontal="right" readingOrder="0" vertical="bottom"/>
    </xf>
    <xf borderId="0" fillId="6" fontId="29" numFmtId="0" xfId="0" applyAlignment="1" applyFont="1">
      <alignment readingOrder="0" vertical="bottom"/>
    </xf>
    <xf borderId="0" fillId="6" fontId="29" numFmtId="0" xfId="0" applyAlignment="1" applyFont="1">
      <alignment horizontal="right" readingOrder="0" vertical="bottom"/>
    </xf>
    <xf borderId="0" fillId="7" fontId="6" numFmtId="0" xfId="0" applyFill="1" applyFont="1"/>
    <xf borderId="8" fillId="6" fontId="29" numFmtId="0" xfId="0" applyAlignment="1" applyBorder="1" applyFont="1">
      <alignment readingOrder="0"/>
    </xf>
    <xf borderId="8" fillId="6" fontId="29" numFmtId="10" xfId="0" applyAlignment="1" applyBorder="1" applyFont="1" applyNumberFormat="1">
      <alignment horizontal="right" readingOrder="0"/>
    </xf>
    <xf borderId="0" fillId="6" fontId="29" numFmtId="0" xfId="0" applyAlignment="1" applyFont="1">
      <alignment readingOrder="0"/>
    </xf>
    <xf borderId="0" fillId="6" fontId="29" numFmtId="0" xfId="0" applyAlignment="1" applyFont="1">
      <alignment horizontal="right" readingOrder="0"/>
    </xf>
    <xf borderId="0" fillId="6" fontId="29" numFmtId="10" xfId="0" applyAlignment="1" applyFont="1" applyNumberFormat="1">
      <alignment horizontal="right" readingOrder="0"/>
    </xf>
    <xf borderId="9" fillId="0" fontId="6" numFmtId="0" xfId="0" applyAlignment="1" applyBorder="1" applyFont="1">
      <alignment horizontal="left" readingOrder="0" shrinkToFit="0" vertical="center" wrapText="0"/>
    </xf>
    <xf borderId="10" fillId="0" fontId="6" numFmtId="0" xfId="0" applyAlignment="1" applyBorder="1" applyFont="1">
      <alignment horizontal="center" readingOrder="0" shrinkToFit="0" vertical="center" wrapText="0"/>
    </xf>
    <xf borderId="10" fillId="0" fontId="6" numFmtId="0" xfId="0" applyAlignment="1" applyBorder="1" applyFont="1">
      <alignment horizontal="left" readingOrder="0" shrinkToFit="0" vertical="center" wrapText="0"/>
    </xf>
    <xf borderId="11" fillId="0" fontId="6" numFmtId="0" xfId="0" applyAlignment="1" applyBorder="1" applyFont="1">
      <alignment horizontal="center" readingOrder="0" shrinkToFit="0" vertical="center" wrapText="0"/>
    </xf>
    <xf borderId="8" fillId="6" fontId="29" numFmtId="0" xfId="0" applyAlignment="1" applyBorder="1" applyFont="1">
      <alignment readingOrder="0" shrinkToFit="0" vertical="center" wrapText="0"/>
    </xf>
    <xf borderId="8" fillId="0" fontId="6" numFmtId="10" xfId="0" applyAlignment="1" applyBorder="1" applyFont="1" applyNumberFormat="1">
      <alignment shrinkToFit="0" vertical="center" wrapText="0"/>
    </xf>
    <xf borderId="8" fillId="0" fontId="6" numFmtId="167" xfId="0" applyAlignment="1" applyBorder="1" applyFont="1" applyNumberFormat="1">
      <alignment readingOrder="0" shrinkToFit="0" vertical="center" wrapText="0"/>
    </xf>
    <xf borderId="12" fillId="0" fontId="25" numFmtId="10" xfId="0" applyAlignment="1" applyBorder="1" applyFont="1" applyNumberFormat="1">
      <alignment horizontal="right" shrinkToFit="0" vertical="center" wrapText="0"/>
    </xf>
    <xf borderId="13" fillId="8" fontId="6" numFmtId="0" xfId="0" applyAlignment="1" applyBorder="1" applyFill="1" applyFont="1">
      <alignment readingOrder="0" shrinkToFit="0" vertical="center" wrapText="0"/>
    </xf>
    <xf borderId="14" fillId="8" fontId="6" numFmtId="167" xfId="0" applyAlignment="1" applyBorder="1" applyFont="1" applyNumberFormat="1">
      <alignment shrinkToFit="0" vertical="center" wrapText="0"/>
    </xf>
    <xf borderId="14" fillId="9" fontId="6" numFmtId="172" xfId="0" applyAlignment="1" applyBorder="1" applyFill="1" applyFont="1" applyNumberFormat="1">
      <alignment readingOrder="0" shrinkToFit="0" vertical="center" wrapText="0"/>
    </xf>
    <xf borderId="15" fillId="8" fontId="6" numFmtId="167" xfId="0" applyAlignment="1" applyBorder="1" applyFont="1" applyNumberFormat="1">
      <alignment shrinkToFit="0" vertical="center" wrapText="0"/>
    </xf>
    <xf borderId="0" fillId="0" fontId="6" numFmtId="0" xfId="0" applyAlignment="1" applyFont="1">
      <alignment readingOrder="0"/>
    </xf>
    <xf borderId="8" fillId="0" fontId="6" numFmtId="0" xfId="0" applyAlignment="1" applyBorder="1" applyFont="1">
      <alignment readingOrder="0"/>
    </xf>
    <xf borderId="8" fillId="0" fontId="6" numFmtId="10" xfId="0" applyAlignment="1" applyBorder="1" applyFont="1" applyNumberFormat="1">
      <alignment readingOrder="0"/>
    </xf>
    <xf borderId="8" fillId="0" fontId="6" numFmtId="10" xfId="0" applyBorder="1" applyFont="1" applyNumberFormat="1"/>
    <xf borderId="0" fillId="0" fontId="6" numFmtId="167" xfId="0" applyFont="1" applyNumberFormat="1"/>
    <xf borderId="0" fillId="0" fontId="6" numFmtId="9" xfId="0" applyFont="1" applyNumberFormat="1"/>
    <xf borderId="0" fillId="0" fontId="6" numFmtId="10" xfId="0" applyFont="1" applyNumberFormat="1"/>
    <xf borderId="0" fillId="0" fontId="6" numFmtId="173" xfId="0" applyAlignment="1" applyFont="1" applyNumberFormat="1">
      <alignment readingOrder="0"/>
    </xf>
    <xf borderId="0" fillId="0" fontId="6" numFmtId="174" xfId="0" applyAlignment="1" applyFont="1" applyNumberFormat="1">
      <alignment readingOrder="0"/>
    </xf>
    <xf borderId="0" fillId="0" fontId="30" numFmtId="0" xfId="0" applyAlignment="1" applyFont="1">
      <alignment vertical="bottom"/>
    </xf>
    <xf borderId="0" fillId="0" fontId="30" numFmtId="4" xfId="0" applyAlignment="1" applyFont="1" applyNumberFormat="1">
      <alignment horizontal="right" readingOrder="0" vertical="bottom"/>
    </xf>
    <xf borderId="0" fillId="0" fontId="30" numFmtId="10" xfId="0" applyAlignment="1" applyFont="1" applyNumberFormat="1">
      <alignment horizontal="right" vertical="bottom"/>
    </xf>
    <xf borderId="0" fillId="0" fontId="6" numFmtId="0" xfId="0" applyAlignment="1" applyFont="1">
      <alignment horizontal="right" readingOrder="0"/>
    </xf>
    <xf borderId="0" fillId="0" fontId="6" numFmtId="2" xfId="0" applyFont="1" applyNumberFormat="1"/>
    <xf borderId="0" fillId="0" fontId="6" numFmtId="10" xfId="0" applyAlignment="1" applyFont="1" applyNumberFormat="1">
      <alignment readingOrder="0"/>
    </xf>
    <xf borderId="0" fillId="0" fontId="6" numFmtId="173" xfId="0" applyAlignment="1" applyFont="1" applyNumberFormat="1">
      <alignment horizontal="right" readingOrder="0"/>
    </xf>
    <xf borderId="8" fillId="0" fontId="25" numFmtId="0" xfId="0" applyAlignment="1" applyBorder="1" applyFont="1">
      <alignment readingOrder="0"/>
    </xf>
    <xf borderId="8" fillId="0" fontId="25" numFmtId="167" xfId="0" applyAlignment="1" applyBorder="1" applyFont="1" applyNumberFormat="1">
      <alignment readingOrder="0"/>
    </xf>
    <xf borderId="8" fillId="0" fontId="25" numFmtId="10" xfId="0" applyBorder="1" applyFont="1" applyNumberFormat="1"/>
    <xf borderId="0" fillId="0" fontId="6" numFmtId="4" xfId="0" applyFont="1" applyNumberFormat="1"/>
    <xf borderId="0" fillId="0" fontId="25" numFmtId="10" xfId="0" applyFont="1" applyNumberFormat="1"/>
    <xf borderId="8" fillId="0" fontId="31" numFmtId="10" xfId="0" applyAlignment="1" applyBorder="1" applyFont="1" applyNumberFormat="1">
      <alignment horizontal="right" readingOrder="0" shrinkToFit="0" vertical="center" wrapText="0"/>
    </xf>
    <xf borderId="12" fillId="0" fontId="32" numFmtId="10" xfId="0" applyAlignment="1" applyBorder="1" applyFont="1" applyNumberFormat="1">
      <alignment horizontal="right" shrinkToFit="0" vertical="center" wrapText="0"/>
    </xf>
    <xf borderId="0" fillId="0" fontId="25" numFmtId="0" xfId="0" applyFont="1"/>
    <xf borderId="8" fillId="0" fontId="33" numFmtId="0" xfId="0" applyAlignment="1" applyBorder="1" applyFont="1">
      <alignment horizontal="center" vertical="bottom"/>
    </xf>
    <xf borderId="8" fillId="0" fontId="33" numFmtId="167" xfId="0" applyAlignment="1" applyBorder="1" applyFont="1" applyNumberFormat="1">
      <alignment horizontal="center" vertical="bottom"/>
    </xf>
    <xf borderId="8" fillId="0" fontId="6" numFmtId="0" xfId="0" applyAlignment="1" applyBorder="1" applyFont="1">
      <alignment horizontal="center" readingOrder="0"/>
    </xf>
    <xf borderId="0" fillId="6" fontId="10" numFmtId="3" xfId="0" applyAlignment="1" applyFont="1" applyNumberFormat="1">
      <alignment horizontal="center" readingOrder="0"/>
    </xf>
    <xf borderId="0" fillId="6" fontId="34" numFmtId="3" xfId="0" applyAlignment="1" applyFont="1" applyNumberFormat="1">
      <alignment horizontal="center" readingOrder="0"/>
    </xf>
    <xf borderId="0" fillId="0" fontId="10" numFmtId="0" xfId="0" applyAlignment="1" applyFont="1">
      <alignment horizontal="center" readingOrder="0"/>
    </xf>
    <xf borderId="16" fillId="0" fontId="6" numFmtId="0" xfId="0" applyAlignment="1" applyBorder="1" applyFont="1">
      <alignment horizontal="left" readingOrder="0" shrinkToFit="0" vertical="center" wrapText="0"/>
    </xf>
    <xf borderId="17" fillId="0" fontId="6" numFmtId="0" xfId="0" applyAlignment="1" applyBorder="1" applyFont="1">
      <alignment horizontal="left" readingOrder="0" shrinkToFit="0" vertical="center" wrapText="0"/>
    </xf>
    <xf borderId="18" fillId="0" fontId="6" numFmtId="167" xfId="0" applyAlignment="1" applyBorder="1" applyFont="1" applyNumberFormat="1">
      <alignment horizontal="left" readingOrder="0" shrinkToFit="0" vertical="center" wrapText="0"/>
    </xf>
    <xf borderId="18" fillId="0" fontId="6" numFmtId="0" xfId="0" applyAlignment="1" applyBorder="1" applyFont="1">
      <alignment horizontal="left" readingOrder="0" shrinkToFit="0" vertical="center" wrapText="0"/>
    </xf>
    <xf borderId="8" fillId="0" fontId="25" numFmtId="0" xfId="0" applyAlignment="1" applyBorder="1" applyFont="1">
      <alignment horizontal="center" readingOrder="0"/>
    </xf>
    <xf borderId="19" fillId="4" fontId="6" numFmtId="0" xfId="0" applyAlignment="1" applyBorder="1" applyFont="1">
      <alignment shrinkToFit="0" vertical="center" wrapText="0"/>
    </xf>
    <xf borderId="8" fillId="0" fontId="6" numFmtId="0" xfId="0" applyAlignment="1" applyBorder="1" applyFont="1">
      <alignment readingOrder="0" shrinkToFit="0" vertical="center" wrapText="0"/>
    </xf>
    <xf borderId="8" fillId="0" fontId="6" numFmtId="167" xfId="0" applyAlignment="1" applyBorder="1" applyFont="1" applyNumberFormat="1">
      <alignment shrinkToFit="0" vertical="center" wrapText="0"/>
    </xf>
    <xf borderId="0" fillId="4" fontId="6" numFmtId="0" xfId="0" applyFont="1"/>
    <xf borderId="8" fillId="0" fontId="6" numFmtId="167" xfId="0" applyAlignment="1" applyBorder="1" applyFont="1" applyNumberFormat="1">
      <alignment horizontal="center"/>
    </xf>
    <xf borderId="8" fillId="0" fontId="6" numFmtId="175" xfId="0" applyAlignment="1" applyBorder="1" applyFont="1" applyNumberFormat="1">
      <alignment horizontal="center"/>
    </xf>
    <xf borderId="8" fillId="0" fontId="6" numFmtId="166" xfId="0" applyAlignment="1" applyBorder="1" applyFont="1" applyNumberFormat="1">
      <alignment horizontal="center"/>
    </xf>
    <xf borderId="8" fillId="0" fontId="25" numFmtId="3" xfId="0" applyAlignment="1" applyBorder="1" applyFont="1" applyNumberFormat="1">
      <alignment horizontal="center"/>
    </xf>
    <xf borderId="8" fillId="0" fontId="6" numFmtId="3" xfId="0" applyAlignment="1" applyBorder="1" applyFont="1" applyNumberFormat="1">
      <alignment horizontal="center"/>
    </xf>
    <xf borderId="0" fillId="0" fontId="6" numFmtId="4" xfId="0" applyAlignment="1" applyFont="1" applyNumberFormat="1">
      <alignment horizontal="center"/>
    </xf>
    <xf borderId="8" fillId="0" fontId="6" numFmtId="4" xfId="0" applyAlignment="1" applyBorder="1" applyFont="1" applyNumberFormat="1">
      <alignment horizontal="center"/>
    </xf>
    <xf borderId="20" fillId="10" fontId="6" numFmtId="0" xfId="0" applyAlignment="1" applyBorder="1" applyFill="1" applyFont="1">
      <alignment shrinkToFit="0" vertical="center" wrapText="0"/>
    </xf>
    <xf borderId="8" fillId="0" fontId="30" numFmtId="167" xfId="0" applyAlignment="1" applyBorder="1" applyFont="1" applyNumberFormat="1">
      <alignment horizontal="center" vertical="bottom"/>
    </xf>
    <xf borderId="8" fillId="0" fontId="30" numFmtId="175" xfId="0" applyAlignment="1" applyBorder="1" applyFont="1" applyNumberFormat="1">
      <alignment horizontal="center" vertical="bottom"/>
    </xf>
    <xf borderId="8" fillId="0" fontId="30" numFmtId="166" xfId="0" applyAlignment="1" applyBorder="1" applyFont="1" applyNumberFormat="1">
      <alignment horizontal="center" vertical="bottom"/>
    </xf>
    <xf borderId="8" fillId="0" fontId="35" numFmtId="3" xfId="0" applyAlignment="1" applyBorder="1" applyFont="1" applyNumberFormat="1">
      <alignment horizontal="center" vertical="bottom"/>
    </xf>
    <xf borderId="8" fillId="0" fontId="30" numFmtId="3" xfId="0" applyAlignment="1" applyBorder="1" applyFont="1" applyNumberFormat="1">
      <alignment horizontal="center" vertical="bottom"/>
    </xf>
    <xf borderId="0" fillId="0" fontId="6" numFmtId="167" xfId="0" applyAlignment="1" applyFont="1" applyNumberFormat="1">
      <alignment readingOrder="0"/>
    </xf>
    <xf borderId="0" fillId="0" fontId="6" numFmtId="175" xfId="0" applyFont="1" applyNumberFormat="1"/>
    <xf borderId="0" fillId="0" fontId="6" numFmtId="3" xfId="0" applyAlignment="1" applyFont="1" applyNumberFormat="1">
      <alignment horizontal="right" readingOrder="0"/>
    </xf>
    <xf borderId="0" fillId="0" fontId="26" numFmtId="166" xfId="0" applyAlignment="1" applyFont="1" applyNumberFormat="1">
      <alignment readingOrder="0" shrinkToFit="0" vertical="bottom" wrapText="0"/>
    </xf>
    <xf borderId="0" fillId="0" fontId="26" numFmtId="176" xfId="0" applyAlignment="1" applyFont="1" applyNumberFormat="1">
      <alignment readingOrder="0" shrinkToFit="0" vertical="bottom" wrapText="0"/>
    </xf>
    <xf borderId="0" fillId="0" fontId="26" numFmtId="177" xfId="0" applyAlignment="1" applyFont="1" applyNumberFormat="1">
      <alignment readingOrder="0" shrinkToFit="0" vertical="bottom" wrapText="0"/>
    </xf>
    <xf borderId="0" fillId="0" fontId="26" numFmtId="0" xfId="0" applyAlignment="1" applyFont="1">
      <alignment horizontal="right" readingOrder="0" shrinkToFit="0" vertical="bottom" wrapText="0"/>
    </xf>
    <xf borderId="0" fillId="0" fontId="36" numFmtId="0" xfId="0" applyFont="1"/>
    <xf borderId="0" fillId="0" fontId="6" numFmtId="164" xfId="0" applyFont="1" applyNumberFormat="1"/>
    <xf borderId="0" fillId="0" fontId="6" numFmtId="169" xfId="0" applyFont="1" applyNumberFormat="1"/>
    <xf borderId="0" fillId="0" fontId="6" numFmtId="165" xfId="0" applyFont="1" applyNumberFormat="1"/>
    <xf borderId="21" fillId="0" fontId="6" numFmtId="4" xfId="0" applyBorder="1" applyFont="1" applyNumberFormat="1"/>
    <xf borderId="0" fillId="0" fontId="37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6" numFmtId="178" xfId="0" applyFont="1" applyNumberFormat="1"/>
    <xf borderId="0" fillId="0" fontId="6" numFmtId="2" xfId="0" applyAlignment="1" applyFont="1" applyNumberFormat="1">
      <alignment readingOrder="0"/>
    </xf>
    <xf borderId="0" fillId="6" fontId="38" numFmtId="0" xfId="0" applyAlignment="1" applyFont="1">
      <alignment horizontal="left" readingOrder="0" shrinkToFit="0" vertical="bottom" wrapText="0"/>
    </xf>
    <xf borderId="0" fillId="6" fontId="39" numFmtId="0" xfId="0" applyAlignment="1" applyFont="1">
      <alignment horizontal="left" readingOrder="0" shrinkToFit="0" vertical="bottom" wrapText="0"/>
    </xf>
    <xf borderId="0" fillId="6" fontId="39" numFmtId="0" xfId="0" applyAlignment="1" applyFont="1">
      <alignment horizontal="right" readingOrder="0" shrinkToFit="0" vertical="bottom" wrapText="0"/>
    </xf>
    <xf borderId="0" fillId="6" fontId="40" numFmtId="0" xfId="0" applyAlignment="1" applyFont="1">
      <alignment horizontal="left" readingOrder="0" vertical="top"/>
    </xf>
    <xf borderId="0" fillId="6" fontId="40" numFmtId="0" xfId="0" applyAlignment="1" applyFont="1">
      <alignment horizontal="right" readingOrder="0" shrinkToFit="0" vertical="top" wrapText="0"/>
    </xf>
    <xf borderId="22" fillId="0" fontId="6" numFmtId="0" xfId="0" applyAlignment="1" applyBorder="1" applyFont="1">
      <alignment horizontal="left" readingOrder="0" shrinkToFit="0" vertical="center" wrapText="0"/>
    </xf>
    <xf borderId="23" fillId="0" fontId="6" numFmtId="0" xfId="0" applyAlignment="1" applyBorder="1" applyFont="1">
      <alignment horizontal="center" readingOrder="0" shrinkToFit="0" vertical="center" wrapText="0"/>
    </xf>
    <xf borderId="23" fillId="0" fontId="6" numFmtId="0" xfId="0" applyAlignment="1" applyBorder="1" applyFont="1">
      <alignment horizontal="left" readingOrder="0" shrinkToFit="0" vertical="center" wrapText="0"/>
    </xf>
    <xf borderId="24" fillId="0" fontId="6" numFmtId="0" xfId="0" applyAlignment="1" applyBorder="1" applyFont="1">
      <alignment horizontal="center" readingOrder="0" shrinkToFit="0" vertical="center" wrapText="0"/>
    </xf>
    <xf borderId="25" fillId="0" fontId="41" numFmtId="0" xfId="0" applyAlignment="1" applyBorder="1" applyFont="1">
      <alignment horizontal="center" readingOrder="0" shrinkToFit="0" vertical="top" wrapText="0"/>
    </xf>
    <xf borderId="3" fillId="0" fontId="26" numFmtId="10" xfId="0" applyAlignment="1" applyBorder="1" applyFont="1" applyNumberFormat="1">
      <alignment horizontal="right" readingOrder="0" shrinkToFit="0" vertical="bottom" wrapText="0"/>
    </xf>
    <xf borderId="3" fillId="0" fontId="6" numFmtId="167" xfId="0" applyAlignment="1" applyBorder="1" applyFont="1" applyNumberFormat="1">
      <alignment readingOrder="0" shrinkToFit="0" vertical="center" wrapText="0"/>
    </xf>
    <xf borderId="26" fillId="0" fontId="25" numFmtId="10" xfId="0" applyAlignment="1" applyBorder="1" applyFont="1" applyNumberFormat="1">
      <alignment horizontal="right" shrinkToFit="0" vertical="center" wrapText="0"/>
    </xf>
    <xf borderId="27" fillId="0" fontId="41" numFmtId="0" xfId="0" applyAlignment="1" applyBorder="1" applyFont="1">
      <alignment horizontal="center" readingOrder="0" shrinkToFit="0" vertical="top" wrapText="0"/>
    </xf>
    <xf borderId="28" fillId="0" fontId="26" numFmtId="10" xfId="0" applyAlignment="1" applyBorder="1" applyFont="1" applyNumberFormat="1">
      <alignment horizontal="right" readingOrder="0" shrinkToFit="0" vertical="bottom" wrapText="0"/>
    </xf>
    <xf borderId="28" fillId="0" fontId="6" numFmtId="167" xfId="0" applyAlignment="1" applyBorder="1" applyFont="1" applyNumberFormat="1">
      <alignment readingOrder="0" shrinkToFit="0" vertical="center" wrapText="0"/>
    </xf>
    <xf borderId="29" fillId="0" fontId="25" numFmtId="10" xfId="0" applyAlignment="1" applyBorder="1" applyFont="1" applyNumberFormat="1">
      <alignment horizontal="right" shrinkToFit="0" vertical="center" wrapText="0"/>
    </xf>
    <xf borderId="30" fillId="11" fontId="6" numFmtId="0" xfId="0" applyAlignment="1" applyBorder="1" applyFill="1" applyFont="1">
      <alignment readingOrder="0" shrinkToFit="0" vertical="center" wrapText="0"/>
    </xf>
    <xf borderId="31" fillId="11" fontId="6" numFmtId="167" xfId="0" applyAlignment="1" applyBorder="1" applyFont="1" applyNumberFormat="1">
      <alignment shrinkToFit="0" vertical="center" wrapText="0"/>
    </xf>
    <xf borderId="31" fillId="9" fontId="6" numFmtId="172" xfId="0" applyAlignment="1" applyBorder="1" applyFont="1" applyNumberFormat="1">
      <alignment readingOrder="0" shrinkToFit="0" vertical="center" wrapText="0"/>
    </xf>
    <xf borderId="32" fillId="11" fontId="6" numFmtId="167" xfId="0" applyAlignment="1" applyBorder="1" applyFont="1" applyNumberFormat="1">
      <alignment shrinkToFit="0" vertical="center" wrapText="0"/>
    </xf>
    <xf borderId="24" fillId="0" fontId="6" numFmtId="0" xfId="0" applyAlignment="1" applyBorder="1" applyFont="1">
      <alignment horizontal="left" readingOrder="0" shrinkToFit="0" vertical="center" wrapText="0"/>
    </xf>
    <xf borderId="25" fillId="0" fontId="42" numFmtId="0" xfId="0" applyAlignment="1" applyBorder="1" applyFont="1">
      <alignment readingOrder="0" shrinkToFit="0" vertical="center" wrapText="0"/>
    </xf>
    <xf borderId="27" fillId="0" fontId="42" numFmtId="0" xfId="0" applyAlignment="1" applyBorder="1" applyFont="1">
      <alignment readingOrder="0" shrinkToFit="0" vertical="center" wrapText="0"/>
    </xf>
    <xf borderId="25" fillId="0" fontId="43" numFmtId="0" xfId="0" applyAlignment="1" applyBorder="1" applyFont="1">
      <alignment readingOrder="0" shrinkToFit="0" vertical="center" wrapText="0"/>
    </xf>
    <xf borderId="8" fillId="0" fontId="15" numFmtId="0" xfId="0" applyAlignment="1" applyBorder="1" applyFont="1">
      <alignment readingOrder="0" shrinkToFit="0" vertical="center" wrapText="0"/>
    </xf>
    <xf borderId="27" fillId="0" fontId="43" numFmtId="0" xfId="0" applyAlignment="1" applyBorder="1" applyFont="1">
      <alignment readingOrder="0" shrinkToFit="0" vertical="center" wrapText="0"/>
    </xf>
    <xf borderId="33" fillId="0" fontId="6" numFmtId="0" xfId="0" applyAlignment="1" applyBorder="1" applyFont="1">
      <alignment readingOrder="0" shrinkToFit="0" vertical="center" wrapText="0"/>
    </xf>
    <xf borderId="33" fillId="0" fontId="6" numFmtId="10" xfId="0" applyAlignment="1" applyBorder="1" applyFont="1" applyNumberFormat="1">
      <alignment shrinkToFit="0" vertical="center" wrapText="0"/>
    </xf>
    <xf borderId="34" fillId="11" fontId="42" numFmtId="0" xfId="0" applyAlignment="1" applyBorder="1" applyFont="1">
      <alignment readingOrder="0" shrinkToFit="0" vertical="center" wrapText="0"/>
    </xf>
    <xf borderId="35" fillId="11" fontId="6" numFmtId="0" xfId="0" applyAlignment="1" applyBorder="1" applyFont="1">
      <alignment readingOrder="0" shrinkToFit="0" vertical="center" wrapText="0"/>
    </xf>
    <xf borderId="36" fillId="11" fontId="6" numFmtId="10" xfId="0" applyAlignment="1" applyBorder="1" applyFont="1" applyNumberFormat="1">
      <alignment shrinkToFit="0" vertical="center" wrapText="0"/>
    </xf>
    <xf borderId="0" fillId="0" fontId="6" numFmtId="9" xfId="0" applyAlignment="1" applyFont="1" applyNumberFormat="1">
      <alignment readingOrder="0"/>
    </xf>
    <xf borderId="0" fillId="0" fontId="38" numFmtId="0" xfId="0" applyAlignment="1" applyFont="1">
      <alignment horizontal="left" readingOrder="0" shrinkToFit="0" vertical="bottom" wrapText="0"/>
    </xf>
    <xf borderId="0" fillId="0" fontId="39" numFmtId="0" xfId="0" applyAlignment="1" applyFont="1">
      <alignment horizontal="left" readingOrder="0" shrinkToFit="0" vertical="bottom" wrapText="0"/>
    </xf>
    <xf borderId="0" fillId="0" fontId="39" numFmtId="0" xfId="0" applyAlignment="1" applyFont="1">
      <alignment horizontal="right" readingOrder="0" shrinkToFit="0" vertical="bottom" wrapText="0"/>
    </xf>
    <xf borderId="37" fillId="0" fontId="6" numFmtId="0" xfId="0" applyAlignment="1" applyBorder="1" applyFont="1">
      <alignment horizontal="left" readingOrder="0" shrinkToFit="0" vertical="center" wrapText="0"/>
    </xf>
    <xf borderId="38" fillId="0" fontId="6" numFmtId="0" xfId="0" applyAlignment="1" applyBorder="1" applyFont="1">
      <alignment horizontal="center" readingOrder="0" shrinkToFit="0" vertical="center" wrapText="0"/>
    </xf>
    <xf borderId="38" fillId="0" fontId="6" numFmtId="0" xfId="0" applyAlignment="1" applyBorder="1" applyFont="1">
      <alignment horizontal="left" readingOrder="0" shrinkToFit="0" vertical="center" wrapText="0"/>
    </xf>
    <xf borderId="39" fillId="0" fontId="6" numFmtId="0" xfId="0" applyAlignment="1" applyBorder="1" applyFont="1">
      <alignment horizontal="center" readingOrder="0" shrinkToFit="0" vertical="center" wrapText="0"/>
    </xf>
    <xf borderId="0" fillId="0" fontId="40" numFmtId="0" xfId="0" applyAlignment="1" applyFont="1">
      <alignment horizontal="left" readingOrder="0" vertical="top"/>
    </xf>
    <xf borderId="0" fillId="0" fontId="40" numFmtId="0" xfId="0" applyAlignment="1" applyFont="1">
      <alignment horizontal="right" readingOrder="0" shrinkToFit="0" vertical="top" wrapText="0"/>
    </xf>
    <xf borderId="40" fillId="0" fontId="44" numFmtId="0" xfId="0" applyAlignment="1" applyBorder="1" applyFont="1">
      <alignment horizontal="center" readingOrder="0" shrinkToFit="0" vertical="top" wrapText="0"/>
    </xf>
    <xf borderId="41" fillId="0" fontId="25" numFmtId="10" xfId="0" applyAlignment="1" applyBorder="1" applyFont="1" applyNumberFormat="1">
      <alignment horizontal="right" shrinkToFit="0" vertical="center" wrapText="0"/>
    </xf>
    <xf borderId="42" fillId="0" fontId="45" numFmtId="0" xfId="0" applyAlignment="1" applyBorder="1" applyFont="1">
      <alignment horizontal="center" readingOrder="0" shrinkToFit="0" vertical="top" wrapText="0"/>
    </xf>
    <xf borderId="43" fillId="0" fontId="25" numFmtId="10" xfId="0" applyAlignment="1" applyBorder="1" applyFont="1" applyNumberFormat="1">
      <alignment horizontal="right" shrinkToFit="0" vertical="center" wrapText="0"/>
    </xf>
    <xf borderId="40" fillId="0" fontId="46" numFmtId="0" xfId="0" applyAlignment="1" applyBorder="1" applyFont="1">
      <alignment horizontal="center" readingOrder="0" shrinkToFit="0" vertical="top" wrapText="0"/>
    </xf>
    <xf borderId="42" fillId="0" fontId="47" numFmtId="0" xfId="0" applyAlignment="1" applyBorder="1" applyFont="1">
      <alignment horizontal="center" readingOrder="0" shrinkToFit="0" vertical="top" wrapText="0"/>
    </xf>
    <xf borderId="42" fillId="0" fontId="46" numFmtId="0" xfId="0" applyAlignment="1" applyBorder="1" applyFont="1">
      <alignment horizontal="center" readingOrder="0" shrinkToFit="0" vertical="top" wrapText="0"/>
    </xf>
    <xf borderId="40" fillId="0" fontId="48" numFmtId="0" xfId="0" applyAlignment="1" applyBorder="1" applyFont="1">
      <alignment horizontal="center" readingOrder="0" shrinkToFit="0" vertical="top" wrapText="0"/>
    </xf>
    <xf borderId="42" fillId="0" fontId="49" numFmtId="0" xfId="0" applyAlignment="1" applyBorder="1" applyFont="1">
      <alignment horizontal="center" readingOrder="0" shrinkToFit="0" vertical="top" wrapText="0"/>
    </xf>
    <xf borderId="44" fillId="12" fontId="6" numFmtId="0" xfId="0" applyAlignment="1" applyBorder="1" applyFill="1" applyFont="1">
      <alignment readingOrder="0" shrinkToFit="0" vertical="center" wrapText="0"/>
    </xf>
    <xf borderId="45" fillId="12" fontId="6" numFmtId="167" xfId="0" applyAlignment="1" applyBorder="1" applyFont="1" applyNumberFormat="1">
      <alignment shrinkToFit="0" vertical="center" wrapText="0"/>
    </xf>
    <xf borderId="45" fillId="12" fontId="6" numFmtId="172" xfId="0" applyAlignment="1" applyBorder="1" applyFont="1" applyNumberFormat="1">
      <alignment readingOrder="0" shrinkToFit="0" vertical="center" wrapText="0"/>
    </xf>
    <xf borderId="46" fillId="12" fontId="6" numFmtId="167" xfId="0" applyAlignment="1" applyBorder="1" applyFont="1" applyNumberFormat="1">
      <alignment shrinkToFit="0" vertical="center" wrapText="0"/>
    </xf>
    <xf borderId="39" fillId="0" fontId="6" numFmtId="0" xfId="0" applyAlignment="1" applyBorder="1" applyFont="1">
      <alignment horizontal="left" readingOrder="0" shrinkToFit="0" vertical="center" wrapText="0"/>
    </xf>
    <xf borderId="40" fillId="0" fontId="50" numFmtId="0" xfId="0" applyAlignment="1" applyBorder="1" applyFont="1">
      <alignment shrinkToFit="0" vertical="center" wrapText="0"/>
    </xf>
    <xf borderId="3" fillId="0" fontId="6" numFmtId="0" xfId="0" applyAlignment="1" applyBorder="1" applyFont="1">
      <alignment readingOrder="0" shrinkToFit="0" vertical="center" wrapText="0"/>
    </xf>
    <xf borderId="41" fillId="0" fontId="6" numFmtId="10" xfId="0" applyAlignment="1" applyBorder="1" applyFont="1" applyNumberFormat="1">
      <alignment shrinkToFit="0" vertical="center" wrapText="0"/>
    </xf>
    <xf borderId="42" fillId="0" fontId="50" numFmtId="0" xfId="0" applyAlignment="1" applyBorder="1" applyFont="1">
      <alignment shrinkToFit="0" vertical="center" wrapText="0"/>
    </xf>
    <xf borderId="28" fillId="0" fontId="6" numFmtId="0" xfId="0" applyAlignment="1" applyBorder="1" applyFont="1">
      <alignment readingOrder="0" shrinkToFit="0" vertical="center" wrapText="0"/>
    </xf>
    <xf borderId="43" fillId="0" fontId="6" numFmtId="10" xfId="0" applyAlignment="1" applyBorder="1" applyFont="1" applyNumberFormat="1">
      <alignment shrinkToFit="0" vertical="center" wrapText="0"/>
    </xf>
    <xf borderId="42" fillId="0" fontId="51" numFmtId="0" xfId="0" applyAlignment="1" applyBorder="1" applyFont="1">
      <alignment shrinkToFit="0" vertical="center" wrapText="0"/>
    </xf>
    <xf borderId="28" fillId="0" fontId="15" numFmtId="0" xfId="0" applyAlignment="1" applyBorder="1" applyFont="1">
      <alignment readingOrder="0" shrinkToFit="0" vertical="center" wrapText="0"/>
    </xf>
    <xf borderId="40" fillId="0" fontId="42" numFmtId="0" xfId="0" applyAlignment="1" applyBorder="1" applyFont="1">
      <alignment shrinkToFit="0" vertical="center" wrapText="0"/>
    </xf>
    <xf borderId="42" fillId="0" fontId="52" numFmtId="0" xfId="0" applyAlignment="1" applyBorder="1" applyFont="1">
      <alignment shrinkToFit="0" vertical="center" wrapText="0"/>
    </xf>
    <xf borderId="42" fillId="0" fontId="42" numFmtId="0" xfId="0" applyAlignment="1" applyBorder="1" applyFont="1">
      <alignment shrinkToFit="0" vertical="center" wrapText="0"/>
    </xf>
    <xf borderId="40" fillId="0" fontId="53" numFmtId="0" xfId="0" applyAlignment="1" applyBorder="1" applyFont="1">
      <alignment shrinkToFit="0" vertical="center" wrapText="0"/>
    </xf>
    <xf borderId="42" fillId="0" fontId="43" numFmtId="0" xfId="0" applyAlignment="1" applyBorder="1" applyFont="1">
      <alignment shrinkToFit="0" vertical="center" wrapText="0"/>
    </xf>
    <xf borderId="28" fillId="0" fontId="6" numFmtId="0" xfId="0" applyAlignment="1" applyBorder="1" applyFont="1">
      <alignment readingOrder="0" shrinkToFit="0" vertical="center" wrapText="0"/>
    </xf>
    <xf borderId="44" fillId="12" fontId="43" numFmtId="0" xfId="0" applyAlignment="1" applyBorder="1" applyFont="1">
      <alignment shrinkToFit="0" vertical="center" wrapText="0"/>
    </xf>
    <xf borderId="45" fillId="12" fontId="6" numFmtId="0" xfId="0" applyAlignment="1" applyBorder="1" applyFont="1">
      <alignment readingOrder="0" shrinkToFit="0" vertical="center" wrapText="0"/>
    </xf>
    <xf borderId="46" fillId="12" fontId="6" numFmtId="10" xfId="0" applyAlignment="1" applyBorder="1" applyFont="1" applyNumberFormat="1">
      <alignment shrinkToFit="0" vertical="center" wrapText="0"/>
    </xf>
    <xf borderId="8" fillId="0" fontId="6" numFmtId="9" xfId="0" applyAlignment="1" applyBorder="1" applyFont="1" applyNumberFormat="1">
      <alignment readingOrder="0"/>
    </xf>
    <xf borderId="47" fillId="0" fontId="25" numFmtId="0" xfId="0" applyAlignment="1" applyBorder="1" applyFont="1">
      <alignment horizontal="left" readingOrder="0" shrinkToFit="0" vertical="center" wrapText="0"/>
    </xf>
    <xf borderId="48" fillId="0" fontId="25" numFmtId="0" xfId="0" applyAlignment="1" applyBorder="1" applyFont="1">
      <alignment horizontal="center" readingOrder="0" shrinkToFit="0" vertical="center" wrapText="0"/>
    </xf>
    <xf borderId="48" fillId="0" fontId="25" numFmtId="0" xfId="0" applyAlignment="1" applyBorder="1" applyFont="1">
      <alignment horizontal="left" readingOrder="0" shrinkToFit="0" vertical="center" wrapText="0"/>
    </xf>
    <xf borderId="48" fillId="0" fontId="25" numFmtId="0" xfId="0" applyAlignment="1" applyBorder="1" applyFont="1">
      <alignment horizontal="center" readingOrder="0" shrinkToFit="0" vertical="center" wrapText="0"/>
    </xf>
    <xf borderId="49" fillId="0" fontId="25" numFmtId="0" xfId="0" applyAlignment="1" applyBorder="1" applyFont="1">
      <alignment horizontal="center" readingOrder="0" shrinkToFit="0" vertical="center" wrapText="0"/>
    </xf>
    <xf borderId="50" fillId="0" fontId="45" numFmtId="0" xfId="0" applyAlignment="1" applyBorder="1" applyFont="1">
      <alignment horizontal="center" readingOrder="0" shrinkToFit="0" vertical="top" wrapText="0"/>
    </xf>
    <xf borderId="3" fillId="0" fontId="6" numFmtId="10" xfId="0" applyAlignment="1" applyBorder="1" applyFont="1" applyNumberFormat="1">
      <alignment horizontal="right" shrinkToFit="0" vertical="center" wrapText="0"/>
    </xf>
    <xf borderId="3" fillId="0" fontId="6" numFmtId="10" xfId="0" applyAlignment="1" applyBorder="1" applyFont="1" applyNumberFormat="1">
      <alignment readingOrder="0" shrinkToFit="0" vertical="center" wrapText="0"/>
    </xf>
    <xf borderId="51" fillId="0" fontId="25" numFmtId="10" xfId="0" applyAlignment="1" applyBorder="1" applyFont="1" applyNumberFormat="1">
      <alignment shrinkToFit="0" vertical="center" wrapText="0"/>
    </xf>
    <xf borderId="52" fillId="0" fontId="46" numFmtId="0" xfId="0" applyAlignment="1" applyBorder="1" applyFont="1">
      <alignment horizontal="center" readingOrder="0" shrinkToFit="0" vertical="top" wrapText="0"/>
    </xf>
    <xf borderId="28" fillId="0" fontId="6" numFmtId="10" xfId="0" applyAlignment="1" applyBorder="1" applyFont="1" applyNumberFormat="1">
      <alignment horizontal="right" shrinkToFit="0" vertical="center" wrapText="0"/>
    </xf>
    <xf borderId="28" fillId="0" fontId="6" numFmtId="10" xfId="0" applyAlignment="1" applyBorder="1" applyFont="1" applyNumberFormat="1">
      <alignment readingOrder="0" shrinkToFit="0" vertical="center" wrapText="0"/>
    </xf>
    <xf borderId="53" fillId="0" fontId="25" numFmtId="10" xfId="0" applyAlignment="1" applyBorder="1" applyFont="1" applyNumberFormat="1">
      <alignment shrinkToFit="0" vertical="center" wrapText="0"/>
    </xf>
    <xf borderId="50" fillId="0" fontId="46" numFmtId="0" xfId="0" applyAlignment="1" applyBorder="1" applyFont="1">
      <alignment horizontal="center" readingOrder="0" shrinkToFit="0" vertical="top" wrapText="0"/>
    </xf>
    <xf borderId="3" fillId="0" fontId="54" numFmtId="10" xfId="0" applyAlignment="1" applyBorder="1" applyFont="1" applyNumberFormat="1">
      <alignment horizontal="right" readingOrder="0" shrinkToFit="0" vertical="bottom" wrapText="0"/>
    </xf>
    <xf borderId="52" fillId="0" fontId="47" numFmtId="0" xfId="0" applyAlignment="1" applyBorder="1" applyFont="1">
      <alignment horizontal="center" readingOrder="0" shrinkToFit="0" vertical="top" wrapText="0"/>
    </xf>
    <xf borderId="28" fillId="0" fontId="54" numFmtId="10" xfId="0" applyAlignment="1" applyBorder="1" applyFont="1" applyNumberFormat="1">
      <alignment horizontal="right" readingOrder="0" shrinkToFit="0" vertical="bottom" wrapText="0"/>
    </xf>
    <xf borderId="52" fillId="0" fontId="48" numFmtId="0" xfId="0" applyAlignment="1" applyBorder="1" applyFont="1">
      <alignment horizontal="center" readingOrder="0" shrinkToFit="0" vertical="top" wrapText="0"/>
    </xf>
    <xf borderId="50" fillId="0" fontId="49" numFmtId="0" xfId="0" applyAlignment="1" applyBorder="1" applyFont="1">
      <alignment horizontal="center" readingOrder="0" shrinkToFit="0" vertical="top" wrapText="0"/>
    </xf>
    <xf borderId="54" fillId="13" fontId="6" numFmtId="0" xfId="0" applyAlignment="1" applyBorder="1" applyFill="1" applyFont="1">
      <alignment readingOrder="0" shrinkToFit="0" vertical="center" wrapText="0"/>
    </xf>
    <xf borderId="55" fillId="13" fontId="6" numFmtId="167" xfId="0" applyAlignment="1" applyBorder="1" applyFont="1" applyNumberFormat="1">
      <alignment shrinkToFit="0" vertical="center" wrapText="0"/>
    </xf>
    <xf borderId="55" fillId="9" fontId="6" numFmtId="172" xfId="0" applyAlignment="1" applyBorder="1" applyFont="1" applyNumberFormat="1">
      <alignment readingOrder="0" shrinkToFit="0" vertical="center" wrapText="0"/>
    </xf>
    <xf borderId="55" fillId="13" fontId="6" numFmtId="0" xfId="0" applyAlignment="1" applyBorder="1" applyFont="1">
      <alignment shrinkToFit="0" vertical="center" wrapText="0"/>
    </xf>
    <xf borderId="56" fillId="13" fontId="25" numFmtId="10" xfId="0" applyAlignment="1" applyBorder="1" applyFont="1" applyNumberFormat="1">
      <alignment shrinkToFit="0" vertical="center" wrapText="0"/>
    </xf>
    <xf borderId="49" fillId="0" fontId="25" numFmtId="0" xfId="0" applyAlignment="1" applyBorder="1" applyFont="1">
      <alignment horizontal="left" readingOrder="0" shrinkToFit="0" vertical="center" wrapText="0"/>
    </xf>
    <xf borderId="50" fillId="0" fontId="51" numFmtId="0" xfId="0" applyAlignment="1" applyBorder="1" applyFont="1">
      <alignment readingOrder="0" shrinkToFit="0" vertical="center" wrapText="0"/>
    </xf>
    <xf borderId="51" fillId="0" fontId="6" numFmtId="10" xfId="0" applyAlignment="1" applyBorder="1" applyFont="1" applyNumberFormat="1">
      <alignment shrinkToFit="0" vertical="center" wrapText="0"/>
    </xf>
    <xf borderId="52" fillId="0" fontId="42" numFmtId="0" xfId="0" applyAlignment="1" applyBorder="1" applyFont="1">
      <alignment readingOrder="0" shrinkToFit="0" vertical="center" wrapText="0"/>
    </xf>
    <xf borderId="53" fillId="0" fontId="6" numFmtId="10" xfId="0" applyAlignment="1" applyBorder="1" applyFont="1" applyNumberFormat="1">
      <alignment shrinkToFit="0" vertical="center" wrapText="0"/>
    </xf>
    <xf borderId="50" fillId="0" fontId="42" numFmtId="0" xfId="0" applyAlignment="1" applyBorder="1" applyFont="1">
      <alignment readingOrder="0" shrinkToFit="0" vertical="center" wrapText="0"/>
    </xf>
    <xf borderId="52" fillId="0" fontId="55" numFmtId="0" xfId="0" applyAlignment="1" applyBorder="1" applyFont="1">
      <alignment readingOrder="0" shrinkToFit="0" vertical="center" wrapText="0"/>
    </xf>
    <xf borderId="52" fillId="0" fontId="53" numFmtId="0" xfId="0" applyAlignment="1" applyBorder="1" applyFont="1">
      <alignment readingOrder="0" shrinkToFit="0" vertical="center" wrapText="0"/>
    </xf>
    <xf borderId="50" fillId="0" fontId="43" numFmtId="0" xfId="0" applyAlignment="1" applyBorder="1" applyFont="1">
      <alignment readingOrder="0" shrinkToFit="0" vertical="center" wrapText="0"/>
    </xf>
    <xf borderId="57" fillId="14" fontId="43" numFmtId="0" xfId="0" applyAlignment="1" applyBorder="1" applyFill="1" applyFont="1">
      <alignment readingOrder="0" shrinkToFit="0" vertical="center" wrapText="0"/>
    </xf>
    <xf borderId="58" fillId="14" fontId="6" numFmtId="0" xfId="0" applyAlignment="1" applyBorder="1" applyFont="1">
      <alignment readingOrder="0" shrinkToFit="0" vertical="center" wrapText="0"/>
    </xf>
    <xf borderId="59" fillId="14" fontId="6" numFmtId="10" xfId="0" applyAlignment="1" applyBorder="1" applyFont="1" applyNumberFormat="1">
      <alignment shrinkToFit="0" vertical="center" wrapText="0"/>
    </xf>
    <xf borderId="60" fillId="0" fontId="6" numFmtId="0" xfId="0" applyAlignment="1" applyBorder="1" applyFont="1">
      <alignment horizontal="left" readingOrder="0" shrinkToFit="0" vertical="center" wrapText="0"/>
    </xf>
    <xf borderId="61" fillId="0" fontId="6" numFmtId="0" xfId="0" applyAlignment="1" applyBorder="1" applyFont="1">
      <alignment horizontal="center" readingOrder="0" shrinkToFit="0" vertical="center" wrapText="0"/>
    </xf>
    <xf borderId="61" fillId="0" fontId="6" numFmtId="0" xfId="0" applyAlignment="1" applyBorder="1" applyFont="1">
      <alignment horizontal="left" readingOrder="0" shrinkToFit="0" vertical="center" wrapText="0"/>
    </xf>
    <xf borderId="62" fillId="0" fontId="6" numFmtId="0" xfId="0" applyAlignment="1" applyBorder="1" applyFont="1">
      <alignment horizontal="center" readingOrder="0" shrinkToFit="0" vertical="center" wrapText="0"/>
    </xf>
    <xf borderId="8" fillId="0" fontId="6" numFmtId="10" xfId="0" applyAlignment="1" applyBorder="1" applyFont="1" applyNumberFormat="1">
      <alignment readingOrder="0" shrinkToFit="0" vertical="center" wrapText="0"/>
    </xf>
    <xf borderId="63" fillId="0" fontId="25" numFmtId="10" xfId="0" applyAlignment="1" applyBorder="1" applyFont="1" applyNumberFormat="1">
      <alignment horizontal="right" shrinkToFit="0" vertical="center" wrapText="0"/>
    </xf>
    <xf borderId="64" fillId="15" fontId="6" numFmtId="0" xfId="0" applyAlignment="1" applyBorder="1" applyFill="1" applyFont="1">
      <alignment readingOrder="0" shrinkToFit="0" vertical="center" wrapText="0"/>
    </xf>
    <xf borderId="65" fillId="15" fontId="6" numFmtId="167" xfId="0" applyAlignment="1" applyBorder="1" applyFont="1" applyNumberFormat="1">
      <alignment shrinkToFit="0" vertical="center" wrapText="0"/>
    </xf>
    <xf borderId="65" fillId="9" fontId="6" numFmtId="172" xfId="0" applyAlignment="1" applyBorder="1" applyFont="1" applyNumberFormat="1">
      <alignment readingOrder="0" shrinkToFit="0" vertical="center" wrapText="0"/>
    </xf>
    <xf borderId="66" fillId="15" fontId="6" numFmtId="167" xfId="0" applyAlignment="1" applyBorder="1" applyFont="1" applyNumberFormat="1">
      <alignment shrinkToFit="0" vertical="center" wrapText="0"/>
    </xf>
    <xf borderId="16" fillId="0" fontId="6" numFmtId="0" xfId="0" applyAlignment="1" applyBorder="1" applyFont="1">
      <alignment horizontal="left" readingOrder="0" shrinkToFit="0" vertical="center" wrapText="0"/>
    </xf>
    <xf borderId="67" fillId="16" fontId="6" numFmtId="0" xfId="0" applyAlignment="1" applyBorder="1" applyFill="1" applyFont="1">
      <alignment shrinkToFit="0" vertical="center" wrapText="0"/>
    </xf>
    <xf borderId="68" fillId="17" fontId="6" numFmtId="0" xfId="0" applyAlignment="1" applyBorder="1" applyFill="1" applyFont="1">
      <alignment shrinkToFit="0" vertical="center" wrapText="0"/>
    </xf>
    <xf borderId="69" fillId="18" fontId="6" numFmtId="0" xfId="0" applyAlignment="1" applyBorder="1" applyFill="1" applyFont="1">
      <alignment shrinkToFit="0" vertical="center" wrapText="0"/>
    </xf>
    <xf borderId="70" fillId="19" fontId="56" numFmtId="0" xfId="0" applyAlignment="1" applyBorder="1" applyFill="1" applyFont="1">
      <alignment shrinkToFit="0" vertical="center" wrapText="0"/>
    </xf>
    <xf borderId="8" fillId="0" fontId="6" numFmtId="0" xfId="0" applyAlignment="1" applyBorder="1" applyFont="1">
      <alignment shrinkToFit="0" vertical="center" wrapText="0"/>
    </xf>
    <xf borderId="71" fillId="19" fontId="56" numFmtId="0" xfId="0" applyAlignment="1" applyBorder="1" applyFont="1">
      <alignment shrinkToFit="0" vertical="center" wrapText="0"/>
    </xf>
    <xf borderId="0" fillId="0" fontId="56" numFmtId="0" xfId="0" applyFont="1"/>
    <xf borderId="0" fillId="0" fontId="6" numFmtId="3" xfId="0" applyFont="1" applyNumberFormat="1"/>
    <xf borderId="8" fillId="9" fontId="6" numFmtId="0" xfId="0" applyBorder="1" applyFont="1"/>
    <xf borderId="0" fillId="6" fontId="57" numFmtId="0" xfId="0" applyAlignment="1" applyFont="1">
      <alignment readingOrder="0"/>
    </xf>
    <xf borderId="0" fillId="6" fontId="57" numFmtId="10" xfId="0" applyAlignment="1" applyFont="1" applyNumberFormat="1">
      <alignment horizontal="right" readingOrder="0"/>
    </xf>
    <xf borderId="8" fillId="0" fontId="6" numFmtId="0" xfId="0" applyBorder="1" applyFont="1"/>
    <xf borderId="8" fillId="0" fontId="26" numFmtId="0" xfId="0" applyAlignment="1" applyBorder="1" applyFont="1">
      <alignment readingOrder="0" shrinkToFit="0" vertical="bottom" wrapText="0"/>
    </xf>
    <xf borderId="0" fillId="0" fontId="6" numFmtId="179" xfId="0" applyAlignment="1" applyFont="1" applyNumberFormat="1">
      <alignment readingOrder="0"/>
    </xf>
    <xf borderId="0" fillId="0" fontId="15" numFmtId="0" xfId="0" applyFont="1"/>
    <xf borderId="0" fillId="0" fontId="58" numFmtId="0" xfId="0" applyAlignment="1" applyFont="1">
      <alignment readingOrder="0"/>
    </xf>
    <xf borderId="0" fillId="0" fontId="58" numFmtId="10" xfId="0" applyAlignment="1" applyFont="1" applyNumberFormat="1">
      <alignment horizontal="right" readingOrder="0"/>
    </xf>
    <xf borderId="9" fillId="0" fontId="15" numFmtId="0" xfId="0" applyAlignment="1" applyBorder="1" applyFont="1">
      <alignment horizontal="left" readingOrder="0" shrinkToFit="0" vertical="center" wrapText="0"/>
    </xf>
    <xf borderId="10" fillId="0" fontId="15" numFmtId="0" xfId="0" applyAlignment="1" applyBorder="1" applyFont="1">
      <alignment horizontal="center" readingOrder="0" shrinkToFit="0" vertical="center" wrapText="0"/>
    </xf>
    <xf borderId="10" fillId="0" fontId="15" numFmtId="0" xfId="0" applyAlignment="1" applyBorder="1" applyFont="1">
      <alignment horizontal="left" readingOrder="0" shrinkToFit="0" vertical="center" wrapText="0"/>
    </xf>
    <xf borderId="11" fillId="0" fontId="15" numFmtId="0" xfId="0" applyAlignment="1" applyBorder="1" applyFont="1">
      <alignment horizontal="center" readingOrder="0" shrinkToFit="0" vertical="center" wrapText="0"/>
    </xf>
    <xf borderId="8" fillId="0" fontId="31" numFmtId="0" xfId="0" applyAlignment="1" applyBorder="1" applyFont="1">
      <alignment readingOrder="0" shrinkToFit="0" vertical="center" wrapText="0"/>
    </xf>
    <xf borderId="8" fillId="0" fontId="15" numFmtId="10" xfId="0" applyAlignment="1" applyBorder="1" applyFont="1" applyNumberFormat="1">
      <alignment readingOrder="0" shrinkToFit="0" vertical="center" wrapText="0"/>
    </xf>
    <xf borderId="8" fillId="0" fontId="15" numFmtId="167" xfId="0" applyAlignment="1" applyBorder="1" applyFont="1" applyNumberFormat="1">
      <alignment readingOrder="0" shrinkToFit="0" vertical="center" wrapText="0"/>
    </xf>
    <xf borderId="13" fillId="8" fontId="15" numFmtId="0" xfId="0" applyAlignment="1" applyBorder="1" applyFont="1">
      <alignment readingOrder="0" shrinkToFit="0" vertical="center" wrapText="0"/>
    </xf>
    <xf borderId="14" fillId="8" fontId="15" numFmtId="167" xfId="0" applyAlignment="1" applyBorder="1" applyFont="1" applyNumberFormat="1">
      <alignment shrinkToFit="0" vertical="center" wrapText="0"/>
    </xf>
    <xf borderId="14" fillId="8" fontId="15" numFmtId="172" xfId="0" applyAlignment="1" applyBorder="1" applyFont="1" applyNumberFormat="1">
      <alignment readingOrder="0" shrinkToFit="0" vertical="center" wrapText="0"/>
    </xf>
    <xf borderId="15" fillId="8" fontId="15" numFmtId="167" xfId="0" applyAlignment="1" applyBorder="1" applyFont="1" applyNumberFormat="1">
      <alignment shrinkToFit="0" vertical="center" wrapText="0"/>
    </xf>
    <xf borderId="0" fillId="0" fontId="15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1" numFmtId="10" xfId="0" applyAlignment="1" applyFont="1" applyNumberFormat="1">
      <alignment horizontal="right" readingOrder="0"/>
    </xf>
    <xf borderId="0" fillId="0" fontId="15" numFmtId="179" xfId="0" applyAlignment="1" applyFont="1" applyNumberFormat="1">
      <alignment readingOrder="0"/>
    </xf>
    <xf borderId="0" fillId="0" fontId="15" numFmtId="164" xfId="0" applyAlignment="1" applyFont="1" applyNumberFormat="1">
      <alignment readingOrder="0"/>
    </xf>
    <xf borderId="8" fillId="0" fontId="15" numFmtId="0" xfId="0" applyBorder="1" applyFont="1"/>
    <xf borderId="8" fillId="0" fontId="15" numFmtId="10" xfId="0" applyAlignment="1" applyBorder="1" applyFont="1" applyNumberFormat="1">
      <alignment readingOrder="0"/>
    </xf>
    <xf borderId="8" fillId="0" fontId="15" numFmtId="9" xfId="0" applyBorder="1" applyFont="1" applyNumberFormat="1"/>
    <xf borderId="8" fillId="0" fontId="15" numFmtId="10" xfId="0" applyBorder="1" applyFont="1" applyNumberFormat="1"/>
    <xf borderId="0" fillId="0" fontId="15" numFmtId="173" xfId="0" applyAlignment="1" applyFont="1" applyNumberFormat="1">
      <alignment readingOrder="0"/>
    </xf>
    <xf borderId="0" fillId="0" fontId="15" numFmtId="0" xfId="0" applyAlignment="1" applyFont="1">
      <alignment horizontal="right" readingOrder="0"/>
    </xf>
    <xf borderId="0" fillId="0" fontId="15" numFmtId="2" xfId="0" applyFont="1" applyNumberFormat="1"/>
    <xf borderId="0" fillId="0" fontId="15" numFmtId="173" xfId="0" applyAlignment="1" applyFont="1" applyNumberFormat="1">
      <alignment horizontal="right" readingOrder="0"/>
    </xf>
    <xf borderId="0" fillId="0" fontId="15" numFmtId="9" xfId="0" applyFont="1" applyNumberFormat="1"/>
    <xf borderId="3" fillId="20" fontId="59" numFmtId="0" xfId="0" applyAlignment="1" applyBorder="1" applyFill="1" applyFont="1">
      <alignment horizontal="center" readingOrder="0"/>
    </xf>
    <xf borderId="3" fillId="20" fontId="60" numFmtId="0" xfId="0" applyAlignment="1" applyBorder="1" applyFont="1">
      <alignment horizontal="left" readingOrder="0"/>
    </xf>
    <xf borderId="3" fillId="20" fontId="60" numFmtId="20" xfId="0" applyAlignment="1" applyBorder="1" applyFont="1" applyNumberFormat="1">
      <alignment horizontal="left" readingOrder="0"/>
    </xf>
    <xf borderId="8" fillId="0" fontId="41" numFmtId="0" xfId="0" applyAlignment="1" applyBorder="1" applyFont="1">
      <alignment horizontal="center" readingOrder="0" shrinkToFit="0" vertical="top" wrapText="0"/>
    </xf>
    <xf borderId="8" fillId="0" fontId="61" numFmtId="0" xfId="0" applyAlignment="1" applyBorder="1" applyFont="1">
      <alignment horizontal="center" readingOrder="0" shrinkToFit="0" vertical="top" wrapText="0"/>
    </xf>
    <xf borderId="0" fillId="0" fontId="41" numFmtId="0" xfId="0" applyAlignment="1" applyFont="1">
      <alignment horizontal="center" readingOrder="0" shrinkToFit="0" vertical="top" wrapText="0"/>
    </xf>
    <xf borderId="0" fillId="0" fontId="41" numFmtId="0" xfId="0" applyAlignment="1" applyFont="1">
      <alignment readingOrder="0" shrinkToFit="0" vertical="bottom" wrapText="0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1D4E2"/>
          <bgColor rgb="FFD1D4E2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E6CDD0"/>
          <bgColor rgb="FFE6CDD0"/>
        </patternFill>
      </fill>
      <border/>
    </dxf>
    <dxf>
      <font/>
      <fill>
        <patternFill patternType="solid">
          <fgColor rgb="FF1DBD00"/>
          <bgColor rgb="FF1DBD00"/>
        </patternFill>
      </fill>
      <border/>
    </dxf>
    <dxf>
      <font/>
      <fill>
        <patternFill patternType="solid">
          <fgColor rgb="FFC7EFBF"/>
          <bgColor rgb="FFC7EFBF"/>
        </patternFill>
      </fill>
      <border/>
    </dxf>
    <dxf>
      <font/>
      <fill>
        <patternFill patternType="solid">
          <fgColor rgb="FF05DB98"/>
          <bgColor rgb="FF05DB98"/>
        </patternFill>
      </fill>
      <border/>
    </dxf>
    <dxf>
      <font/>
      <fill>
        <patternFill patternType="solid">
          <fgColor rgb="FFC1F6E5"/>
          <bgColor rgb="FFC1F6E5"/>
        </patternFill>
      </fill>
      <border/>
    </dxf>
    <dxf>
      <font/>
      <fill>
        <patternFill patternType="solid">
          <fgColor rgb="FFC0F6E5"/>
          <bgColor rgb="FFC0F6E5"/>
        </patternFill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D8DBDE"/>
          <bgColor rgb="FFD8DBDE"/>
        </patternFill>
      </fill>
      <border/>
    </dxf>
  </dxfs>
  <tableStyles count="17">
    <tableStyle count="4" pivot="0" name="Capital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Elite Income - Premium Income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Elite Income - Premium Income-style 2">
      <tableStyleElement dxfId="1" type="headerRow"/>
      <tableStyleElement dxfId="2" type="firstRowStripe"/>
      <tableStyleElement dxfId="3" type="secondRowStripe"/>
      <tableStyleElement dxfId="4" type="totalRow"/>
    </tableStyle>
    <tableStyle count="3" pivot="0" name="Elite Income - Premium Income-style 3">
      <tableStyleElement dxfId="5" type="headerRow"/>
      <tableStyleElement dxfId="2" type="firstRowStripe"/>
      <tableStyleElement dxfId="3" type="secondRowStripe"/>
    </tableStyle>
    <tableStyle count="3" pivot="0" name="Elite Income - Premium Income-style 4">
      <tableStyleElement dxfId="5" type="headerRow"/>
      <tableStyleElement dxfId="2" type="firstRowStripe"/>
      <tableStyleElement dxfId="3" type="secondRowStripe"/>
    </tableStyle>
    <tableStyle count="4" pivot="0" name="Innova-style">
      <tableStyleElement dxfId="6" type="headerRow"/>
      <tableStyleElement dxfId="2" type="firstRowStripe"/>
      <tableStyleElement dxfId="3" type="secondRowStripe"/>
      <tableStyleElement dxfId="7" type="totalRow"/>
    </tableStyle>
    <tableStyle count="4" pivot="0" name="Innova-style 2">
      <tableStyleElement dxfId="6" type="headerRow"/>
      <tableStyleElement dxfId="2" type="firstRowStripe"/>
      <tableStyleElement dxfId="3" type="secondRowStripe"/>
      <tableStyleElement dxfId="7" type="totalRow"/>
    </tableStyle>
    <tableStyle count="4" pivot="0" name="Equilibrium-style">
      <tableStyleElement dxfId="8" type="headerRow"/>
      <tableStyleElement dxfId="2" type="firstRowStripe"/>
      <tableStyleElement dxfId="3" type="secondRowStripe"/>
      <tableStyleElement dxfId="9" type="totalRow"/>
    </tableStyle>
    <tableStyle count="4" pivot="0" name="Equilibrium-style 2">
      <tableStyleElement dxfId="8" type="headerRow"/>
      <tableStyleElement dxfId="2" type="firstRowStripe"/>
      <tableStyleElement dxfId="3" type="secondRowStripe"/>
      <tableStyleElement dxfId="9" type="totalRow"/>
    </tableStyle>
    <tableStyle count="4" pivot="0" name="Future+-style">
      <tableStyleElement dxfId="10" type="headerRow"/>
      <tableStyleElement dxfId="2" type="firstRowStripe"/>
      <tableStyleElement dxfId="3" type="secondRowStripe"/>
      <tableStyleElement dxfId="11" type="totalRow"/>
    </tableStyle>
    <tableStyle count="4" pivot="0" name="Future+-style 2">
      <tableStyleElement dxfId="10" type="headerRow"/>
      <tableStyleElement dxfId="2" type="firstRowStripe"/>
      <tableStyleElement dxfId="3" type="secondRowStripe"/>
      <tableStyleElement dxfId="12" type="totalRow"/>
    </tableStyle>
    <tableStyle count="4" pivot="0" name="Factor Alfa-style">
      <tableStyleElement dxfId="13" type="headerRow"/>
      <tableStyleElement dxfId="2" type="firstRowStripe"/>
      <tableStyleElement dxfId="3" type="secondRowStripe"/>
      <tableStyleElement dxfId="14" type="totalRow"/>
    </tableStyle>
    <tableStyle count="3" pivot="0" name="Factor Alfa-style 2">
      <tableStyleElement dxfId="5" type="headerRow"/>
      <tableStyleElement dxfId="2" type="firstRowStripe"/>
      <tableStyleElement dxfId="3" type="secondRowStripe"/>
    </tableStyle>
    <tableStyle count="4" pivot="0" name="Value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omentum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Low Vol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Skewness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ONs Argentina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Ons!$AJ$5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Línea de tendencia de TIR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0"/>
          </c:trendline>
          <c:xVal>
            <c:numRef>
              <c:f>Ons!$AM$6:$AM$20</c:f>
            </c:numRef>
          </c:xVal>
          <c:yVal>
            <c:numRef>
              <c:f>Ons!$AJ$6:$AJ$20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604442"/>
        <c:axId val="782534801"/>
      </c:scatterChart>
      <c:valAx>
        <c:axId val="18706044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2534801"/>
      </c:valAx>
      <c:valAx>
        <c:axId val="7825348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06044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</c:dPt>
          <c:dPt>
            <c:idx val="4"/>
          </c:dPt>
          <c:dPt>
            <c:idx val="5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Capital!$B$16:$B$21</c:f>
            </c:strRef>
          </c:cat>
          <c:val>
            <c:numRef>
              <c:f>Capital!$C$16:$C$21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'Elite Income - Premium Income'!$M$20:$AA$20</c:f>
            </c:strRef>
          </c:cat>
          <c:val>
            <c:numRef>
              <c:f>'Elite Income - Premium Income'!$M$21:$AA$21</c:f>
              <c:numCache/>
            </c:numRef>
          </c:val>
        </c:ser>
        <c:overlap val="100"/>
        <c:axId val="74978954"/>
        <c:axId val="1897680422"/>
      </c:barChart>
      <c:catAx>
        <c:axId val="749789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7680422"/>
      </c:catAx>
      <c:valAx>
        <c:axId val="18976804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9789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Renta Elite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'Elite Income - Premium Income'!$C$10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'Elite Income - Premium Income'!$B$11:$B$16</c:f>
            </c:strRef>
          </c:cat>
          <c:val>
            <c:numRef>
              <c:f>'Elite Income - Premium Income'!$C$11:$C$16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Weight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'Elite Income - Premium Income'!$I$10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'Elite Income - Premium Income'!$H$11:$H$17</c:f>
            </c:strRef>
          </c:cat>
          <c:val>
            <c:numRef>
              <c:f>'Elite Income - Premium Income'!$I$11:$I$17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Pulse</a:t>
            </a:r>
          </a:p>
        </c:rich>
      </c:tx>
      <c:layout>
        <c:manualLayout>
          <c:xMode val="edge"/>
          <c:yMode val="edge"/>
          <c:x val="0.03258333333333333"/>
          <c:y val="0.055390835579514824"/>
        </c:manualLayout>
      </c:layout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Innova!$B$22:$B$34</c:f>
            </c:strRef>
          </c:cat>
          <c:val>
            <c:numRef>
              <c:f>Innova!$C$22:$C$34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Pulse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Innova!$D$5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Innova!$A$6:$A$18</c:f>
            </c:strRef>
          </c:cat>
          <c:val>
            <c:numRef>
              <c:f>Innova!$D$6:$D$18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Equilibrium</a:t>
            </a:r>
          </a:p>
        </c:rich>
      </c:tx>
      <c:layout>
        <c:manualLayout>
          <c:xMode val="edge"/>
          <c:yMode val="edge"/>
          <c:x val="0.03258333333333333"/>
          <c:y val="0.055390835579514824"/>
        </c:manualLayout>
      </c:layout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Equilibrium!$B$19:$B$30</c:f>
            </c:strRef>
          </c:cat>
          <c:val>
            <c:numRef>
              <c:f>Equilibrium!$C$19:$C$30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Equilibrium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Equilibrium!$D$5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Equilibrium!$A$6:$A$15</c:f>
            </c:strRef>
          </c:cat>
          <c:val>
            <c:numRef>
              <c:f>Equilibrium!$D$6:$D$15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Futuro+</a:t>
            </a:r>
          </a:p>
        </c:rich>
      </c:tx>
      <c:layout>
        <c:manualLayout>
          <c:xMode val="edge"/>
          <c:yMode val="edge"/>
          <c:x val="0.03258333333333333"/>
          <c:y val="0.055390835579514824"/>
        </c:manualLayout>
      </c:layout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'Future+'!$B$19:$B$28</c:f>
            </c:strRef>
          </c:cat>
          <c:val>
            <c:numRef>
              <c:f>'Future+'!$C$19:$C$28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Futuro+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'Future+'!$D$6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'Future+'!$A$7:$A$15</c:f>
            </c:strRef>
          </c:cat>
          <c:val>
            <c:numRef>
              <c:f>'Future+'!$D$7:$D$14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Factor Alfa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'Factor Alfa'!$B$12:$B$35</c:f>
            </c:strRef>
          </c:cat>
          <c:val>
            <c:numRef>
              <c:f>'Factor Alfa'!$C$12:$C$35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Weight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966108"/>
              </a:solidFill>
            </c:spPr>
          </c:dPt>
          <c:dPt>
            <c:idx val="37"/>
            <c:spPr>
              <a:solidFill>
                <a:srgbClr val="1095A1"/>
              </a:solidFill>
            </c:spPr>
          </c:dPt>
          <c:dPt>
            <c:idx val="38"/>
            <c:spPr>
              <a:solidFill>
                <a:srgbClr val="0235C8"/>
              </a:solidFill>
            </c:spPr>
          </c:dPt>
          <c:dPt>
            <c:idx val="39"/>
            <c:spPr>
              <a:solidFill>
                <a:srgbClr val="A1458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Value!$B$9:$B$48</c:f>
            </c:strRef>
          </c:cat>
          <c:val>
            <c:numRef>
              <c:f>Value!$C$9:$C$48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Weight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Momentum!$B$9:$B$24</c:f>
            </c:strRef>
          </c:cat>
          <c:val>
            <c:numRef>
              <c:f>Momentum!$C$9:$C$24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Weight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'Low Vol'!$B$9:$B$25</c:f>
            </c:strRef>
          </c:cat>
          <c:val>
            <c:numRef>
              <c:f>'Low Vol'!$C$9:$C$25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Weight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Skewness!$B$9:$B$25</c:f>
            </c:strRef>
          </c:cat>
          <c:val>
            <c:numRef>
              <c:f>Skewness!$C$9:$C$25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44</xdr:col>
      <xdr:colOff>38100</xdr:colOff>
      <xdr:row>3</xdr:row>
      <xdr:rowOff>123825</xdr:rowOff>
    </xdr:from>
    <xdr:ext cx="8543925" cy="52768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0</xdr:row>
      <xdr:rowOff>142875</xdr:rowOff>
    </xdr:from>
    <xdr:ext cx="178117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1219200</xdr:colOff>
      <xdr:row>5</xdr:row>
      <xdr:rowOff>85725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1028700</xdr:colOff>
      <xdr:row>17</xdr:row>
      <xdr:rowOff>19050</xdr:rowOff>
    </xdr:from>
    <xdr:ext cx="4591050" cy="21812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17</xdr:row>
      <xdr:rowOff>19050</xdr:rowOff>
    </xdr:from>
    <xdr:ext cx="2914650" cy="18288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333375</xdr:colOff>
      <xdr:row>18</xdr:row>
      <xdr:rowOff>57150</xdr:rowOff>
    </xdr:from>
    <xdr:ext cx="3019425" cy="194310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16</xdr:row>
      <xdr:rowOff>266700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19050</xdr:colOff>
      <xdr:row>3</xdr:row>
      <xdr:rowOff>285750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1543050</xdr:colOff>
      <xdr:row>17</xdr:row>
      <xdr:rowOff>95250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1543050</xdr:colOff>
      <xdr:row>4</xdr:row>
      <xdr:rowOff>247650</xdr:rowOff>
    </xdr:from>
    <xdr:ext cx="5715000" cy="359092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16</xdr:row>
      <xdr:rowOff>266700</xdr:rowOff>
    </xdr:from>
    <xdr:ext cx="5715000" cy="353377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28575</xdr:colOff>
      <xdr:row>4</xdr:row>
      <xdr:rowOff>257175</xdr:rowOff>
    </xdr:from>
    <xdr:ext cx="5715000" cy="35337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0</xdr:row>
      <xdr:rowOff>9525</xdr:rowOff>
    </xdr:from>
    <xdr:ext cx="5715000" cy="3533775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333375</xdr:colOff>
      <xdr:row>0</xdr:row>
      <xdr:rowOff>171450</xdr:rowOff>
    </xdr:from>
    <xdr:ext cx="5715000" cy="3533775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333375</xdr:colOff>
      <xdr:row>0</xdr:row>
      <xdr:rowOff>171450</xdr:rowOff>
    </xdr:from>
    <xdr:ext cx="5715000" cy="3533775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333375</xdr:colOff>
      <xdr:row>0</xdr:row>
      <xdr:rowOff>171450</xdr:rowOff>
    </xdr:from>
    <xdr:ext cx="5715000" cy="3533775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333375</xdr:colOff>
      <xdr:row>0</xdr:row>
      <xdr:rowOff>171450</xdr:rowOff>
    </xdr:from>
    <xdr:ext cx="5715000" cy="3533775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9:D13" displayName="Tactical_19" name="Tactical_19" id="1">
  <tableColumns count="4">
    <tableColumn name="Security Analysis" id="1"/>
    <tableColumn totalsRowFunction="custom" name="Modelo" id="2"/>
    <tableColumn totalsRowFunction="custom" name="Corredor +/- 10%" id="3"/>
    <tableColumn totalsRowFunction="custom" name="TAA" id="4"/>
  </tableColumns>
  <tableStyleInfo name="Capital-style" showColumnStripes="0" showFirstColumn="1" showLastColumn="1" showRowStripes="1"/>
</table>
</file>

<file path=xl/tables/table2.xml><?xml version="1.0" encoding="utf-8"?>
<table xmlns="http://schemas.openxmlformats.org/spreadsheetml/2006/main" totalsRowCount="1" ref="A5:D8" displayName="RE" name="RE" id="2">
  <tableColumns count="4">
    <tableColumn name="Security Analysis" id="1"/>
    <tableColumn totalsRowFunction="custom" name="Modelo" id="2"/>
    <tableColumn totalsRowFunction="custom" name="Corredor +/- 5%" id="3"/>
    <tableColumn totalsRowFunction="custom" name="TAA" id="4"/>
  </tableColumns>
  <tableStyleInfo name="Elite Income - Premium Income-style" showColumnStripes="0" showFirstColumn="1" showLastColumn="1" showRowStripes="1"/>
</table>
</file>

<file path=xl/tables/table3.xml><?xml version="1.0" encoding="utf-8"?>
<table xmlns="http://schemas.openxmlformats.org/spreadsheetml/2006/main" totalsRowCount="1" ref="H5:K8" displayName="IP" name="IP" id="3">
  <tableColumns count="4">
    <tableColumn name="Security Analysis" id="1"/>
    <tableColumn totalsRowFunction="custom" name="Modelo" id="2"/>
    <tableColumn totalsRowFunction="custom" name="Corredor +/- 5%" id="3"/>
    <tableColumn totalsRowFunction="custom" name="TAA" id="4"/>
  </tableColumns>
  <tableStyleInfo name="Elite Income - Premium Income-style 2" showColumnStripes="0" showFirstColumn="1" showLastColumn="1" showRowStripes="1"/>
</table>
</file>

<file path=xl/tables/table4.xml><?xml version="1.0" encoding="utf-8"?>
<table xmlns="http://schemas.openxmlformats.org/spreadsheetml/2006/main" ref="A10:C16" displayName="EliteIncome" name="EliteIncome" id="4">
  <tableColumns count="3">
    <tableColumn name="Columna 1" id="1"/>
    <tableColumn name="Ticker" id="2"/>
    <tableColumn name="Weight" id="3"/>
  </tableColumns>
  <tableStyleInfo name="Elite Income - Premium Income-style 3" showColumnStripes="0" showFirstColumn="1" showLastColumn="1" showRowStripes="1"/>
</table>
</file>

<file path=xl/tables/table5.xml><?xml version="1.0" encoding="utf-8"?>
<table xmlns="http://schemas.openxmlformats.org/spreadsheetml/2006/main" ref="G10:I17" displayName="PremiumIncome" name="PremiumIncome" id="5">
  <tableColumns count="3">
    <tableColumn name="Columna 1" id="1"/>
    <tableColumn name="Ticker" id="2"/>
    <tableColumn name="Weight" id="3"/>
  </tableColumns>
  <tableStyleInfo name="Elite Income - Premium Income-style 4" showColumnStripes="0" showFirstColumn="1" showLastColumn="1" showRowStripes="1"/>
</table>
</file>

<file path=xl/tables/table6.xml><?xml version="1.0" encoding="utf-8"?>
<table xmlns="http://schemas.openxmlformats.org/spreadsheetml/2006/main" totalsRowCount="1" ref="A5:D19" displayName="Pulse" name="Pulse" id="6">
  <tableColumns count="4">
    <tableColumn name="Security Analysis" id="1"/>
    <tableColumn totalsRowFunction="custom" name="Modelo" id="2"/>
    <tableColumn totalsRowFunction="custom" name="Corredor +/- 5%" id="3"/>
    <tableColumn totalsRowFunction="custom" name="TAA" id="4"/>
  </tableColumns>
  <tableStyleInfo name="Innova-style" showColumnStripes="0" showFirstColumn="1" showLastColumn="1" showRowStripes="1"/>
</table>
</file>

<file path=xl/tables/table7.xml><?xml version="1.0" encoding="utf-8"?>
<table xmlns="http://schemas.openxmlformats.org/spreadsheetml/2006/main" totalsRowCount="1" ref="A21:C35" displayName="Innova" name="Innova" id="7">
  <tableColumns count="3">
    <tableColumn name="Asset" id="1"/>
    <tableColumn name="Ticker" id="2"/>
    <tableColumn totalsRowFunction="custom" name="Weight" id="3"/>
  </tableColumns>
  <tableStyleInfo name="Innova-style 2" showColumnStripes="0" showFirstColumn="1" showLastColumn="1" showRowStripes="1"/>
</table>
</file>

<file path=xl/tables/table8.xml><?xml version="1.0" encoding="utf-8"?>
<table xmlns="http://schemas.openxmlformats.org/spreadsheetml/2006/main" totalsRowCount="1" ref="A5:D16" displayName="E" name="E" id="8">
  <tableColumns count="4">
    <tableColumn name="Security Analysis" id="1"/>
    <tableColumn totalsRowFunction="custom" name="Modelo" id="2"/>
    <tableColumn totalsRowFunction="custom" name="Corredor +/- 5%" id="3"/>
    <tableColumn totalsRowFunction="custom" name="TAA" id="4"/>
  </tableColumns>
  <tableStyleInfo name="Equilibrium-style" showColumnStripes="0" showFirstColumn="1" showLastColumn="1" showRowStripes="1"/>
</table>
</file>

<file path=xl/tables/table9.xml><?xml version="1.0" encoding="utf-8"?>
<table xmlns="http://schemas.openxmlformats.org/spreadsheetml/2006/main" totalsRowCount="1" ref="A18:C33" displayName="Equilibrium" name="Equilibrium" id="9">
  <tableColumns count="3">
    <tableColumn name="Asset" id="1"/>
    <tableColumn name="Ticker" id="2"/>
    <tableColumn totalsRowFunction="custom" name="Weight" id="3"/>
  </tableColumns>
  <tableStyleInfo name="Equilibrium-style 2" showColumnStripes="0" showFirstColumn="1" showLastColumn="1" showRowStripes="1"/>
</table>
</file>

<file path=xl/tables/table10.xml><?xml version="1.0" encoding="utf-8"?>
<table xmlns="http://schemas.openxmlformats.org/spreadsheetml/2006/main" totalsRowCount="1" ref="A6:F16" displayName="F" name="F" id="10">
  <tableColumns count="6">
    <tableColumn name="Security Analysis" id="1"/>
    <tableColumn totalsRowFunction="custom" name="Modelo" id="2"/>
    <tableColumn totalsRowFunction="custom" name="Corredor +/- 5%" id="3"/>
    <tableColumn totalsRowFunction="custom" name="TAA" id="4"/>
    <tableColumn name="Expected return" id="5"/>
    <tableColumn totalsRowFunction="custom" name="ER Weighted" id="6"/>
  </tableColumns>
  <tableStyleInfo name="Future+-style" showColumnStripes="0" showFirstColumn="1" showLastColumn="1" showRowStripes="1"/>
</table>
</file>

<file path=xl/tables/table11.xml><?xml version="1.0" encoding="utf-8"?>
<table xmlns="http://schemas.openxmlformats.org/spreadsheetml/2006/main" totalsRowCount="1" ref="A18:C28" displayName="Future" name="Future" id="11">
  <tableColumns count="3">
    <tableColumn name="Asset" id="1"/>
    <tableColumn name="Ticker" id="2"/>
    <tableColumn totalsRowFunction="custom" name="Weight" id="3"/>
  </tableColumns>
  <tableStyleInfo name="Future+-style 2" showColumnStripes="0" showFirstColumn="1" showLastColumn="1" showRowStripes="1"/>
</table>
</file>

<file path=xl/tables/table12.xml><?xml version="1.0" encoding="utf-8"?>
<table xmlns="http://schemas.openxmlformats.org/spreadsheetml/2006/main" totalsRowCount="1" ref="A3:D8" displayName="Factor_alfa" name="Factor_alfa" id="12">
  <tableColumns count="4">
    <tableColumn name="Security Analysis" id="1"/>
    <tableColumn totalsRowFunction="custom" name="Modelo" id="2"/>
    <tableColumn totalsRowFunction="custom" name="Corredor +/- 10%" id="3"/>
    <tableColumn totalsRowFunction="custom" name="TAA" id="4"/>
  </tableColumns>
  <tableStyleInfo name="Factor Alfa-style" showColumnStripes="0" showFirstColumn="1" showLastColumn="1" showRowStripes="1"/>
</table>
</file>

<file path=xl/tables/table13.xml><?xml version="1.0" encoding="utf-8"?>
<table xmlns="http://schemas.openxmlformats.org/spreadsheetml/2006/main" ref="A11:C35" displayName="FactorAlfa" name="FactorAlfa" id="13">
  <tableColumns count="3">
    <tableColumn name="Acciones Individuales" id="1"/>
    <tableColumn name="Ticker" id="2"/>
    <tableColumn name="Weight" id="3"/>
  </tableColumns>
  <tableStyleInfo name="Factor Alfa-style 2" showColumnStripes="0" showFirstColumn="1" showLastColumn="1" showRowStripes="1"/>
</table>
</file>

<file path=xl/tables/table14.xml><?xml version="1.0" encoding="utf-8"?>
<table xmlns="http://schemas.openxmlformats.org/spreadsheetml/2006/main" totalsRowCount="1" ref="A3:D5" displayName="Tactical_4" name="Tactical_4" id="14">
  <tableColumns count="4">
    <tableColumn name="Security Analysis" id="1"/>
    <tableColumn totalsRowFunction="custom" name="Modelo" id="2"/>
    <tableColumn totalsRowFunction="custom" name="Corredor +/- 10%" id="3"/>
    <tableColumn totalsRowFunction="custom" name="TAA" id="4"/>
  </tableColumns>
  <tableStyleInfo name="Value-style" showColumnStripes="0" showFirstColumn="1" showLastColumn="1" showRowStripes="1"/>
</table>
</file>

<file path=xl/tables/table15.xml><?xml version="1.0" encoding="utf-8"?>
<table xmlns="http://schemas.openxmlformats.org/spreadsheetml/2006/main" totalsRowCount="1" ref="A3:D5" displayName="Tactical_5" name="Tactical_5" id="15">
  <tableColumns count="4">
    <tableColumn name="Security Analysis" id="1"/>
    <tableColumn totalsRowFunction="custom" name="Modelo" id="2"/>
    <tableColumn totalsRowFunction="custom" name="Corredor +/- 10%" id="3"/>
    <tableColumn totalsRowFunction="custom" name="TAA" id="4"/>
  </tableColumns>
  <tableStyleInfo name="Momentum-style" showColumnStripes="0" showFirstColumn="1" showLastColumn="1" showRowStripes="1"/>
</table>
</file>

<file path=xl/tables/table16.xml><?xml version="1.0" encoding="utf-8"?>
<table xmlns="http://schemas.openxmlformats.org/spreadsheetml/2006/main" totalsRowCount="1" ref="A3:D5" displayName="Tactical_6" name="Tactical_6" id="16">
  <tableColumns count="4">
    <tableColumn name="Security Analysis" id="1"/>
    <tableColumn totalsRowFunction="custom" name="Modelo" id="2"/>
    <tableColumn totalsRowFunction="custom" name="Corredor +/- 10%" id="3"/>
    <tableColumn totalsRowFunction="custom" name="TAA" id="4"/>
  </tableColumns>
  <tableStyleInfo name="Low Vol-style" showColumnStripes="0" showFirstColumn="1" showLastColumn="1" showRowStripes="1"/>
</table>
</file>

<file path=xl/tables/table17.xml><?xml version="1.0" encoding="utf-8"?>
<table xmlns="http://schemas.openxmlformats.org/spreadsheetml/2006/main" totalsRowCount="1" ref="A3:D5" displayName="Tactical_7" name="Tactical_7" id="17">
  <tableColumns count="4">
    <tableColumn name="Security Analysis" id="1"/>
    <tableColumn totalsRowFunction="custom" name="Modelo" id="2"/>
    <tableColumn totalsRowFunction="custom" name="Corredor +/- 10%" id="3"/>
    <tableColumn totalsRowFunction="custom" name="TAA" id="4"/>
  </tableColumns>
  <tableStyleInfo name="Skewnes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ackrock.com/cl/productos/239572/ishares-jp-morgan-usd-emerging-markets-bond-etf" TargetMode="External"/><Relationship Id="rId2" Type="http://schemas.openxmlformats.org/officeDocument/2006/relationships/hyperlink" Target="https://www.blackrock.com/cl/productos/239525/ishares-emerging-markets-corporate-bond-etf" TargetMode="External"/><Relationship Id="rId3" Type="http://schemas.openxmlformats.org/officeDocument/2006/relationships/hyperlink" Target="https://www.vaneck.com/us/en/investments/jp-morgan-em-local-currency-bond-etf-emlc/" TargetMode="External"/><Relationship Id="rId4" Type="http://schemas.openxmlformats.org/officeDocument/2006/relationships/hyperlink" Target="https://interactive.researchaffiliates.com/asset-allocation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app.powerbi.com/links/IE6ye0vHLu?ctid=1123ebae-a006-42c7-9ea3-c84a2feb0e65&amp;pbi_source=linkShare&amp;bookmarkGuid=19b106f7-37ff-4dde-8c6f-be6b52bbd0ec" TargetMode="External"/><Relationship Id="rId22" Type="http://schemas.openxmlformats.org/officeDocument/2006/relationships/hyperlink" Target="https://app.powerbi.com/links/IE6ye0vHLu?ctid=1123ebae-a006-42c7-9ea3-c84a2feb0e65&amp;pbi_source=linkShare&amp;bookmarkGuid=9b846b87-5579-4a6b-a3f6-4a085a73d536" TargetMode="External"/><Relationship Id="rId21" Type="http://schemas.openxmlformats.org/officeDocument/2006/relationships/hyperlink" Target="https://app.powerbi.com/links/IE6ye0vHLu?ctid=1123ebae-a006-42c7-9ea3-c84a2feb0e65&amp;pbi_source=linkShare&amp;bookmarkGuid=cd261944-27c8-4169-859e-1aa680b1367d" TargetMode="External"/><Relationship Id="rId24" Type="http://schemas.openxmlformats.org/officeDocument/2006/relationships/hyperlink" Target="https://app.powerbi.com/links/IE6ye0vHLu?ctid=1123ebae-a006-42c7-9ea3-c84a2feb0e65&amp;pbi_source=linkShare&amp;bookmarkGuid=50729128-6744-44f7-ab49-7737a809a714" TargetMode="External"/><Relationship Id="rId23" Type="http://schemas.openxmlformats.org/officeDocument/2006/relationships/hyperlink" Target="https://app.powerbi.com/links/IE6ye0vHLu?ctid=1123ebae-a006-42c7-9ea3-c84a2feb0e65&amp;pbi_source=linkShare&amp;bookmarkGuid=471436bb-214a-4f0a-80dc-16f28f603664" TargetMode="External"/><Relationship Id="rId1" Type="http://schemas.openxmlformats.org/officeDocument/2006/relationships/hyperlink" Target="https://app.powerbi.com/links/IE6ye0vHLu?ctid=1123ebae-a006-42c7-9ea3-c84a2feb0e65&amp;pbi_source=linkShare&amp;bookmarkGuid=6be5f047-8c4d-4960-99cd-a6a33822a3e7" TargetMode="External"/><Relationship Id="rId2" Type="http://schemas.openxmlformats.org/officeDocument/2006/relationships/hyperlink" Target="https://app.powerbi.com/links/IE6ye0vHLu?ctid=1123ebae-a006-42c7-9ea3-c84a2feb0e65&amp;pbi_source=linkShare&amp;bookmarkGuid=6899355a-a310-4704-8d2c-f34a14fc60d5" TargetMode="External"/><Relationship Id="rId3" Type="http://schemas.openxmlformats.org/officeDocument/2006/relationships/hyperlink" Target="https://app.powerbi.com/links/IE6ye0vHLu?ctid=1123ebae-a006-42c7-9ea3-c84a2feb0e65&amp;pbi_source=linkShare&amp;bookmarkGuid=22f62dd9-3fdc-44b1-a562-1c5279c904d8" TargetMode="External"/><Relationship Id="rId4" Type="http://schemas.openxmlformats.org/officeDocument/2006/relationships/hyperlink" Target="https://app.powerbi.com/links/IE6ye0vHLu?ctid=1123ebae-a006-42c7-9ea3-c84a2feb0e65&amp;pbi_source=linkShare&amp;bookmarkGuid=bd713e29-1258-4349-86be-ddd1a78c0bb3" TargetMode="External"/><Relationship Id="rId9" Type="http://schemas.openxmlformats.org/officeDocument/2006/relationships/hyperlink" Target="https://app.powerbi.com/links/IE6ye0vHLu?ctid=1123ebae-a006-42c7-9ea3-c84a2feb0e65&amp;pbi_source=linkShare&amp;bookmarkGuid=e82166d4-8448-4c4d-88c6-069cebf93e82" TargetMode="External"/><Relationship Id="rId26" Type="http://schemas.openxmlformats.org/officeDocument/2006/relationships/hyperlink" Target="https://app.powerbi.com/links/IE6ye0vHLu?ctid=1123ebae-a006-42c7-9ea3-c84a2feb0e65&amp;pbi_source=linkShare&amp;bookmarkGuid=923827a0-c517-474d-9cb1-52a6c77d1797" TargetMode="External"/><Relationship Id="rId25" Type="http://schemas.openxmlformats.org/officeDocument/2006/relationships/hyperlink" Target="https://app.powerbi.com/links/IE6ye0vHLu?ctid=1123ebae-a006-42c7-9ea3-c84a2feb0e65&amp;pbi_source=linkShare&amp;bookmarkGuid=6ca222e3-2eaf-4aa9-96d8-57540fd583b5" TargetMode="External"/><Relationship Id="rId28" Type="http://schemas.openxmlformats.org/officeDocument/2006/relationships/hyperlink" Target="https://app.powerbi.com/links/IE6ye0vHLu?ctid=1123ebae-a006-42c7-9ea3-c84a2feb0e65&amp;pbi_source=linkShare&amp;bookmarkGuid=97dcd619-6a7a-48e6-945c-d4afa61e805f" TargetMode="External"/><Relationship Id="rId27" Type="http://schemas.openxmlformats.org/officeDocument/2006/relationships/hyperlink" Target="https://app.powerbi.com/links/IE6ye0vHLu?ctid=1123ebae-a006-42c7-9ea3-c84a2feb0e65&amp;pbi_source=linkShare&amp;bookmarkGuid=7b7e05b2-83b9-47ac-ad9b-470d1f91cb15" TargetMode="External"/><Relationship Id="rId5" Type="http://schemas.openxmlformats.org/officeDocument/2006/relationships/hyperlink" Target="https://app.powerbi.com/links/IE6ye0vHLu?ctid=1123ebae-a006-42c7-9ea3-c84a2feb0e65&amp;pbi_source=linkShare&amp;bookmarkGuid=a3e57fac-8087-4342-8acf-12fe02cdbb74" TargetMode="External"/><Relationship Id="rId6" Type="http://schemas.openxmlformats.org/officeDocument/2006/relationships/hyperlink" Target="https://app.powerbi.com/links/IE6ye0vHLu?ctid=1123ebae-a006-42c7-9ea3-c84a2feb0e65&amp;pbi_source=linkShare&amp;bookmarkGuid=33d89a96-5156-4799-aabb-44681b5cbdb5" TargetMode="External"/><Relationship Id="rId29" Type="http://schemas.openxmlformats.org/officeDocument/2006/relationships/hyperlink" Target="https://app.powerbi.com/links/IE6ye0vHLu?ctid=1123ebae-a006-42c7-9ea3-c84a2feb0e65&amp;pbi_source=linkShare&amp;bookmarkGuid=ce506062-65cb-4787-80ec-4274e91c14fd" TargetMode="External"/><Relationship Id="rId7" Type="http://schemas.openxmlformats.org/officeDocument/2006/relationships/hyperlink" Target="https://app.powerbi.com/links/IE6ye0vHLu?ctid=1123ebae-a006-42c7-9ea3-c84a2feb0e65&amp;pbi_source=linkShare&amp;bookmarkGuid=1673f435-2f35-4596-8132-5a2a2c9ea23d" TargetMode="External"/><Relationship Id="rId8" Type="http://schemas.openxmlformats.org/officeDocument/2006/relationships/hyperlink" Target="https://app.powerbi.com/links/IE6ye0vHLu?ctid=1123ebae-a006-42c7-9ea3-c84a2feb0e65&amp;pbi_source=linkShare&amp;bookmarkGuid=da65636d-9b9e-4a25-a91c-81d13d9ea570" TargetMode="External"/><Relationship Id="rId30" Type="http://schemas.openxmlformats.org/officeDocument/2006/relationships/drawing" Target="../drawings/drawing2.xml"/><Relationship Id="rId11" Type="http://schemas.openxmlformats.org/officeDocument/2006/relationships/hyperlink" Target="https://app.powerbi.com/links/IE6ye0vHLu?ctid=1123ebae-a006-42c7-9ea3-c84a2feb0e65&amp;pbi_source=linkShare&amp;bookmarkGuid=3e24aa47-e368-4e2e-88a5-9db2c3f4b724" TargetMode="External"/><Relationship Id="rId10" Type="http://schemas.openxmlformats.org/officeDocument/2006/relationships/hyperlink" Target="https://app.powerbi.com/links/IE6ye0vHLu?ctid=1123ebae-a006-42c7-9ea3-c84a2feb0e65&amp;pbi_source=linkShare&amp;bookmarkGuid=7f32bf71-1726-4794-939c-0aa48113cea1" TargetMode="External"/><Relationship Id="rId13" Type="http://schemas.openxmlformats.org/officeDocument/2006/relationships/hyperlink" Target="https://app.powerbi.com/links/IE6ye0vHLu?ctid=1123ebae-a006-42c7-9ea3-c84a2feb0e65&amp;pbi_source=linkShare&amp;bookmarkGuid=c9da0cd1-3f9a-48fb-85ce-f9b5406f2049" TargetMode="External"/><Relationship Id="rId12" Type="http://schemas.openxmlformats.org/officeDocument/2006/relationships/hyperlink" Target="https://app.powerbi.com/links/IE6ye0vHLu?ctid=1123ebae-a006-42c7-9ea3-c84a2feb0e65&amp;pbi_source=linkShare&amp;bookmarkGuid=8e9e5227-5b34-4518-b4e0-2746387ea348" TargetMode="External"/><Relationship Id="rId15" Type="http://schemas.openxmlformats.org/officeDocument/2006/relationships/hyperlink" Target="https://app.powerbi.com/links/IE6ye0vHLu?ctid=1123ebae-a006-42c7-9ea3-c84a2feb0e65&amp;pbi_source=linkShare&amp;bookmarkGuid=efe8a150-e9f8-4dcb-b54f-16d3377141d1" TargetMode="External"/><Relationship Id="rId14" Type="http://schemas.openxmlformats.org/officeDocument/2006/relationships/hyperlink" Target="https://app.powerbi.com/links/IE6ye0vHLu?ctid=1123ebae-a006-42c7-9ea3-c84a2feb0e65&amp;pbi_source=linkShare&amp;bookmarkGuid=8af9dbd3-c489-4c2e-af80-d4fe12667238" TargetMode="External"/><Relationship Id="rId17" Type="http://schemas.openxmlformats.org/officeDocument/2006/relationships/hyperlink" Target="https://app.powerbi.com/links/IE6ye0vHLu?ctid=1123ebae-a006-42c7-9ea3-c84a2feb0e65&amp;pbi_source=linkShare&amp;bookmarkGuid=44577935-fd07-441a-ad76-141b21b55450" TargetMode="External"/><Relationship Id="rId16" Type="http://schemas.openxmlformats.org/officeDocument/2006/relationships/hyperlink" Target="https://app.powerbi.com/links/IE6ye0vHLu?ctid=1123ebae-a006-42c7-9ea3-c84a2feb0e65&amp;pbi_source=linkShare&amp;bookmarkGuid=97d8bba4-c1ed-42ee-bf21-119b26e74b76" TargetMode="External"/><Relationship Id="rId19" Type="http://schemas.openxmlformats.org/officeDocument/2006/relationships/hyperlink" Target="https://app.powerbi.com/links/IE6ye0vHLu?ctid=1123ebae-a006-42c7-9ea3-c84a2feb0e65&amp;pbi_source=linkShare&amp;bookmarkGuid=6cdb30cd-6f65-4716-b2ac-aeb45bf224d1" TargetMode="External"/><Relationship Id="rId18" Type="http://schemas.openxmlformats.org/officeDocument/2006/relationships/hyperlink" Target="https://app.powerbi.com/links/IE6ye0vHLu?ctid=1123ebae-a006-42c7-9ea3-c84a2feb0e65&amp;pbi_source=linkShare&amp;bookmarkGuid=8e008f63-4aed-4a92-b12c-46a226cc84a1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powerbi.com/links/IE6ye0vHLu?ctid=1123ebae-a006-42c7-9ea3-c84a2feb0e65&amp;pbi_source=linkShare&amp;bookmarkGuid=f8d90fab-5753-4d34-b897-a8944f6a3384" TargetMode="External"/><Relationship Id="rId42" Type="http://schemas.openxmlformats.org/officeDocument/2006/relationships/hyperlink" Target="https://app.powerbi.com/links/IE6ye0vHLu?ctid=1123ebae-a006-42c7-9ea3-c84a2feb0e65&amp;pbi_source=linkShare&amp;bookmarkGuid=d3303bdb-4e4f-49ab-a4a6-32872a1e85e4" TargetMode="External"/><Relationship Id="rId41" Type="http://schemas.openxmlformats.org/officeDocument/2006/relationships/hyperlink" Target="https://app.powerbi.com/links/IE6ye0vHLu?ctid=1123ebae-a006-42c7-9ea3-c84a2feb0e65&amp;pbi_source=linkShare&amp;bookmarkGuid=3dc43da3-e218-4e61-9e7b-4c02e476f0b3" TargetMode="External"/><Relationship Id="rId44" Type="http://schemas.openxmlformats.org/officeDocument/2006/relationships/hyperlink" Target="https://app.powerbi.com/links/IE6ye0vHLu?ctid=1123ebae-a006-42c7-9ea3-c84a2feb0e65&amp;pbi_source=linkShare&amp;bookmarkGuid=20acfe7e-7a3d-48fe-9b3a-049fc714abb1" TargetMode="External"/><Relationship Id="rId43" Type="http://schemas.openxmlformats.org/officeDocument/2006/relationships/hyperlink" Target="https://app.powerbi.com/links/IE6ye0vHLu?ctid=1123ebae-a006-42c7-9ea3-c84a2feb0e65&amp;pbi_source=linkShare&amp;bookmarkGuid=accc7534-87e8-45b6-8b9f-4aae6e3e6360" TargetMode="External"/><Relationship Id="rId46" Type="http://schemas.openxmlformats.org/officeDocument/2006/relationships/hyperlink" Target="https://app.powerbi.com/links/IE6ye0vHLu?ctid=1123ebae-a006-42c7-9ea3-c84a2feb0e65&amp;pbi_source=linkShare&amp;bookmarkGuid=df792f10-c576-4e9f-b5a3-8ad8c3480658" TargetMode="External"/><Relationship Id="rId45" Type="http://schemas.openxmlformats.org/officeDocument/2006/relationships/hyperlink" Target="https://app.powerbi.com/links/IE6ye0vHLu?ctid=1123ebae-a006-42c7-9ea3-c84a2feb0e65&amp;pbi_source=linkShare&amp;bookmarkGuid=a2b11f21-166d-4ca2-9b2e-324b4d3e0aae" TargetMode="External"/><Relationship Id="rId1" Type="http://schemas.openxmlformats.org/officeDocument/2006/relationships/hyperlink" Target="https://app.powerbi.com/links/IE6ye0vHLu?ctid=1123ebae-a006-42c7-9ea3-c84a2feb0e65&amp;pbi_source=linkShare&amp;bookmarkGuid=eb385cb5-c452-4f3c-a813-553120c4b7c2" TargetMode="External"/><Relationship Id="rId2" Type="http://schemas.openxmlformats.org/officeDocument/2006/relationships/hyperlink" Target="https://app.powerbi.com/links/IE6ye0vHLu?ctid=1123ebae-a006-42c7-9ea3-c84a2feb0e65&amp;pbi_source=linkShare&amp;bookmarkGuid=e0da2d30-1e6d-4d01-b2b4-dc804f107d73" TargetMode="External"/><Relationship Id="rId3" Type="http://schemas.openxmlformats.org/officeDocument/2006/relationships/hyperlink" Target="https://app.powerbi.com/links/IE6ye0vHLu?ctid=1123ebae-a006-42c7-9ea3-c84a2feb0e65&amp;pbi_source=linkShare&amp;bookmarkGuid=5b2383dc-d56f-4533-a142-67b556b7d271" TargetMode="External"/><Relationship Id="rId4" Type="http://schemas.openxmlformats.org/officeDocument/2006/relationships/hyperlink" Target="https://app.powerbi.com/links/IE6ye0vHLu?ctid=1123ebae-a006-42c7-9ea3-c84a2feb0e65&amp;pbi_source=linkShare&amp;bookmarkGuid=be6a5825-b86f-4b5c-9e4e-d3dba33e89de" TargetMode="External"/><Relationship Id="rId9" Type="http://schemas.openxmlformats.org/officeDocument/2006/relationships/hyperlink" Target="https://app.powerbi.com/links/IE6ye0vHLu?ctid=1123ebae-a006-42c7-9ea3-c84a2feb0e65&amp;pbi_source=linkShare&amp;bookmarkGuid=b6756a16-6183-428e-aa8f-03b426374cea" TargetMode="External"/><Relationship Id="rId48" Type="http://schemas.openxmlformats.org/officeDocument/2006/relationships/hyperlink" Target="https://app.powerbi.com/links/IE6ye0vHLu?ctid=1123ebae-a006-42c7-9ea3-c84a2feb0e65&amp;pbi_source=linkShare&amp;bookmarkGuid=7ceb7b9f-eef3-41f4-b4d0-0a5a4130f093" TargetMode="External"/><Relationship Id="rId47" Type="http://schemas.openxmlformats.org/officeDocument/2006/relationships/hyperlink" Target="https://app.powerbi.com/links/IE6ye0vHLu?ctid=1123ebae-a006-42c7-9ea3-c84a2feb0e65&amp;pbi_source=linkShare&amp;bookmarkGuid=674e5179-c8af-458d-b140-285a0d959841" TargetMode="External"/><Relationship Id="rId49" Type="http://schemas.openxmlformats.org/officeDocument/2006/relationships/hyperlink" Target="https://app.powerbi.com/links/IE6ye0vHLu?ctid=1123ebae-a006-42c7-9ea3-c84a2feb0e65&amp;pbi_source=linkShare&amp;bookmarkGuid=674e5179-c8af-458d-b140-285a0d959841" TargetMode="External"/><Relationship Id="rId5" Type="http://schemas.openxmlformats.org/officeDocument/2006/relationships/hyperlink" Target="https://app.powerbi.com/links/IE6ye0vHLu?ctid=1123ebae-a006-42c7-9ea3-c84a2feb0e65&amp;pbi_source=linkShare&amp;bookmarkGuid=f341d4a5-c828-4939-b7a9-35c41d8b0825" TargetMode="External"/><Relationship Id="rId6" Type="http://schemas.openxmlformats.org/officeDocument/2006/relationships/hyperlink" Target="https://app.powerbi.com/links/IE6ye0vHLu?ctid=1123ebae-a006-42c7-9ea3-c84a2feb0e65&amp;pbi_source=linkShare&amp;bookmarkGuid=39b51713-8a51-4106-840f-132eb5efcbe3" TargetMode="External"/><Relationship Id="rId7" Type="http://schemas.openxmlformats.org/officeDocument/2006/relationships/hyperlink" Target="https://app.powerbi.com/links/IE6ye0vHLu?ctid=1123ebae-a006-42c7-9ea3-c84a2feb0e65&amp;pbi_source=linkShare&amp;bookmarkGuid=f8f4da37-2ec2-4c05-9ac8-7bc828c8b4cf" TargetMode="External"/><Relationship Id="rId8" Type="http://schemas.openxmlformats.org/officeDocument/2006/relationships/hyperlink" Target="https://app.powerbi.com/links/IE6ye0vHLu?ctid=1123ebae-a006-42c7-9ea3-c84a2feb0e65&amp;pbi_source=linkShare&amp;bookmarkGuid=250e2137-bbe4-43e1-a96e-17ebfb19e5cb" TargetMode="External"/><Relationship Id="rId31" Type="http://schemas.openxmlformats.org/officeDocument/2006/relationships/hyperlink" Target="https://app.powerbi.com/links/IE6ye0vHLu?ctid=1123ebae-a006-42c7-9ea3-c84a2feb0e65&amp;pbi_source=linkShare&amp;bookmarkGuid=d68a35ed-ee43-4b9a-8c14-a94be9249a89" TargetMode="External"/><Relationship Id="rId30" Type="http://schemas.openxmlformats.org/officeDocument/2006/relationships/hyperlink" Target="https://app.powerbi.com/links/IE6ye0vHLu?ctid=1123ebae-a006-42c7-9ea3-c84a2feb0e65&amp;pbi_source=linkShare&amp;bookmarkGuid=aab0eb50-3e70-4b50-983a-9c6dabd5aecc" TargetMode="External"/><Relationship Id="rId33" Type="http://schemas.openxmlformats.org/officeDocument/2006/relationships/hyperlink" Target="https://app.powerbi.com/links/IE6ye0vHLu?ctid=1123ebae-a006-42c7-9ea3-c84a2feb0e65&amp;pbi_source=linkShare&amp;bookmarkGuid=9980effe-624c-4ee4-b0dd-0975518695e4" TargetMode="External"/><Relationship Id="rId32" Type="http://schemas.openxmlformats.org/officeDocument/2006/relationships/hyperlink" Target="https://app.powerbi.com/links/IE6ye0vHLu?ctid=1123ebae-a006-42c7-9ea3-c84a2feb0e65&amp;pbi_source=linkShare&amp;bookmarkGuid=8ed2858c-df8c-41ce-8cc6-50f30bfc1eef" TargetMode="External"/><Relationship Id="rId35" Type="http://schemas.openxmlformats.org/officeDocument/2006/relationships/hyperlink" Target="https://app.powerbi.com/links/IE6ye0vHLu?ctid=1123ebae-a006-42c7-9ea3-c84a2feb0e65&amp;pbi_source=linkShare&amp;bookmarkGuid=2c4cf0bf-43c4-482d-b56d-0eb7abe758b3" TargetMode="External"/><Relationship Id="rId34" Type="http://schemas.openxmlformats.org/officeDocument/2006/relationships/hyperlink" Target="https://app.powerbi.com/links/IE6ye0vHLu?ctid=1123ebae-a006-42c7-9ea3-c84a2feb0e65&amp;pbi_source=linkShare&amp;bookmarkGuid=f71d8da6-9b2e-44a8-bbe4-c42547918597" TargetMode="External"/><Relationship Id="rId37" Type="http://schemas.openxmlformats.org/officeDocument/2006/relationships/hyperlink" Target="https://app.powerbi.com/links/IE6ye0vHLu?ctid=1123ebae-a006-42c7-9ea3-c84a2feb0e65&amp;pbi_source=linkShare&amp;bookmarkGuid=2391da23-6c8f-427e-a1c0-b50ca4916300" TargetMode="External"/><Relationship Id="rId36" Type="http://schemas.openxmlformats.org/officeDocument/2006/relationships/hyperlink" Target="https://app.powerbi.com/links/IE6ye0vHLu?ctid=1123ebae-a006-42c7-9ea3-c84a2feb0e65&amp;pbi_source=linkShare&amp;bookmarkGuid=e3bd795b-3fb0-47ae-a6fb-47f97f3254bb" TargetMode="External"/><Relationship Id="rId39" Type="http://schemas.openxmlformats.org/officeDocument/2006/relationships/hyperlink" Target="https://app.powerbi.com/links/IE6ye0vHLu?ctid=1123ebae-a006-42c7-9ea3-c84a2feb0e65&amp;pbi_source=linkShare&amp;bookmarkGuid=ee8db934-a6f4-459c-98f2-a58abc17c5da" TargetMode="External"/><Relationship Id="rId38" Type="http://schemas.openxmlformats.org/officeDocument/2006/relationships/hyperlink" Target="https://app.powerbi.com/links/IE6ye0vHLu?ctid=1123ebae-a006-42c7-9ea3-c84a2feb0e65&amp;pbi_source=linkShare&amp;bookmarkGuid=360430f1-9738-4867-85af-8a7061e47203" TargetMode="External"/><Relationship Id="rId20" Type="http://schemas.openxmlformats.org/officeDocument/2006/relationships/hyperlink" Target="https://app.powerbi.com/links/IE6ye0vHLu?ctid=1123ebae-a006-42c7-9ea3-c84a2feb0e65&amp;pbi_source=linkShare&amp;bookmarkGuid=e2747e1f-9a23-4cb9-b694-2617b41b5981" TargetMode="External"/><Relationship Id="rId22" Type="http://schemas.openxmlformats.org/officeDocument/2006/relationships/hyperlink" Target="https://app.powerbi.com/links/IE6ye0vHLu?ctid=1123ebae-a006-42c7-9ea3-c84a2feb0e65&amp;pbi_source=linkShare&amp;bookmarkGuid=9287818c-0786-487f-98e9-902bd050c5ee" TargetMode="External"/><Relationship Id="rId21" Type="http://schemas.openxmlformats.org/officeDocument/2006/relationships/hyperlink" Target="https://app.powerbi.com/links/IE6ye0vHLu?ctid=1123ebae-a006-42c7-9ea3-c84a2feb0e65&amp;pbi_source=linkShare&amp;bookmarkGuid=a7175178-f806-41fb-9d54-8ca638f00005" TargetMode="External"/><Relationship Id="rId24" Type="http://schemas.openxmlformats.org/officeDocument/2006/relationships/hyperlink" Target="https://app.powerbi.com/links/IE6ye0vHLu?ctid=1123ebae-a006-42c7-9ea3-c84a2feb0e65&amp;pbi_source=linkShare&amp;bookmarkGuid=2fd82ab5-1f7d-4112-8965-8df2865d78d3" TargetMode="External"/><Relationship Id="rId23" Type="http://schemas.openxmlformats.org/officeDocument/2006/relationships/hyperlink" Target="https://app.powerbi.com/links/IE6ye0vHLu?ctid=1123ebae-a006-42c7-9ea3-c84a2feb0e65&amp;pbi_source=linkShare&amp;bookmarkGuid=cad91663-165e-49b9-90ce-c214561db139" TargetMode="External"/><Relationship Id="rId26" Type="http://schemas.openxmlformats.org/officeDocument/2006/relationships/hyperlink" Target="https://app.powerbi.com/links/IE6ye0vHLu?ctid=1123ebae-a006-42c7-9ea3-c84a2feb0e65&amp;pbi_source=linkShare&amp;bookmarkGuid=d19ce574-03cb-4356-8a1f-b0214daaf333" TargetMode="External"/><Relationship Id="rId25" Type="http://schemas.openxmlformats.org/officeDocument/2006/relationships/hyperlink" Target="https://app.powerbi.com/links/IE6ye0vHLu?ctid=1123ebae-a006-42c7-9ea3-c84a2feb0e65&amp;pbi_source=linkShare&amp;bookmarkGuid=d68adc12-0107-4c73-8e19-1ba43f3ff8bd" TargetMode="External"/><Relationship Id="rId28" Type="http://schemas.openxmlformats.org/officeDocument/2006/relationships/hyperlink" Target="https://app.powerbi.com/links/IE6ye0vHLu?ctid=1123ebae-a006-42c7-9ea3-c84a2feb0e65&amp;pbi_source=linkShare&amp;bookmarkGuid=4130a6f3-0dff-4d8c-a2a6-b90b72c6bc28" TargetMode="External"/><Relationship Id="rId27" Type="http://schemas.openxmlformats.org/officeDocument/2006/relationships/hyperlink" Target="https://app.powerbi.com/links/IE6ye0vHLu?ctid=1123ebae-a006-42c7-9ea3-c84a2feb0e65&amp;pbi_source=linkShare&amp;bookmarkGuid=58f7cbc2-4b26-4f20-8d7d-c228b279216b" TargetMode="External"/><Relationship Id="rId29" Type="http://schemas.openxmlformats.org/officeDocument/2006/relationships/hyperlink" Target="https://app.powerbi.com/links/IE6ye0vHLu?ctid=1123ebae-a006-42c7-9ea3-c84a2feb0e65&amp;pbi_source=linkShare&amp;bookmarkGuid=cabb3816-8870-48f4-969b-bb0d02ce5407" TargetMode="External"/><Relationship Id="rId50" Type="http://schemas.openxmlformats.org/officeDocument/2006/relationships/drawing" Target="../drawings/drawing3.xml"/><Relationship Id="rId11" Type="http://schemas.openxmlformats.org/officeDocument/2006/relationships/hyperlink" Target="https://app.powerbi.com/links/IE6ye0vHLu?ctid=1123ebae-a006-42c7-9ea3-c84a2feb0e65&amp;pbi_source=linkShare&amp;bookmarkGuid=d991c3b8-1c18-4821-a70d-8b2dfbadebe4" TargetMode="External"/><Relationship Id="rId10" Type="http://schemas.openxmlformats.org/officeDocument/2006/relationships/hyperlink" Target="https://app.powerbi.com/links/IE6ye0vHLu?ctid=1123ebae-a006-42c7-9ea3-c84a2feb0e65&amp;pbi_source=linkShare&amp;bookmarkGuid=4adeffc3-1871-433c-8f4c-52957ab5fe6a" TargetMode="External"/><Relationship Id="rId13" Type="http://schemas.openxmlformats.org/officeDocument/2006/relationships/hyperlink" Target="https://app.powerbi.com/links/IE6ye0vHLu?ctid=1123ebae-a006-42c7-9ea3-c84a2feb0e65&amp;pbi_source=linkShare&amp;bookmarkGuid=2f3e33f5-160c-4c19-a586-16b08d4bdf21" TargetMode="External"/><Relationship Id="rId12" Type="http://schemas.openxmlformats.org/officeDocument/2006/relationships/hyperlink" Target="https://app.powerbi.com/links/IE6ye0vHLu?ctid=1123ebae-a006-42c7-9ea3-c84a2feb0e65&amp;pbi_source=linkShare&amp;bookmarkGuid=d4302ba9-bcb2-45b1-ad2f-031dc74f5e29" TargetMode="External"/><Relationship Id="rId15" Type="http://schemas.openxmlformats.org/officeDocument/2006/relationships/hyperlink" Target="https://app.powerbi.com/links/IE6ye0vHLu?ctid=1123ebae-a006-42c7-9ea3-c84a2feb0e65&amp;pbi_source=linkShare&amp;bookmarkGuid=6fb85a1a-c1f4-4ba2-b065-0fff1e65383d" TargetMode="External"/><Relationship Id="rId14" Type="http://schemas.openxmlformats.org/officeDocument/2006/relationships/hyperlink" Target="https://app.powerbi.com/links/IE6ye0vHLu?ctid=1123ebae-a006-42c7-9ea3-c84a2feb0e65&amp;pbi_source=linkShare&amp;bookmarkGuid=4808bf50-5a6b-462a-840a-91f509409c35" TargetMode="External"/><Relationship Id="rId17" Type="http://schemas.openxmlformats.org/officeDocument/2006/relationships/hyperlink" Target="https://app.powerbi.com/links/IE6ye0vHLu?ctid=1123ebae-a006-42c7-9ea3-c84a2feb0e65&amp;pbi_source=linkShare&amp;bookmarkGuid=2f175728-27fd-468a-8879-91fefc95e526" TargetMode="External"/><Relationship Id="rId16" Type="http://schemas.openxmlformats.org/officeDocument/2006/relationships/hyperlink" Target="https://app.powerbi.com/links/IE6ye0vHLu?ctid=1123ebae-a006-42c7-9ea3-c84a2feb0e65&amp;pbi_source=linkShare&amp;bookmarkGuid=674e5179-c8af-458d-b140-285a0d959841" TargetMode="External"/><Relationship Id="rId19" Type="http://schemas.openxmlformats.org/officeDocument/2006/relationships/hyperlink" Target="https://app.powerbi.com/links/IE6ye0vHLu?ctid=1123ebae-a006-42c7-9ea3-c84a2feb0e65&amp;pbi_source=linkShare&amp;bookmarkGuid=74d7a466-7f41-438e-bab8-9740fe702529" TargetMode="External"/><Relationship Id="rId18" Type="http://schemas.openxmlformats.org/officeDocument/2006/relationships/hyperlink" Target="https://app.powerbi.com/links/IE6ye0vHLu?ctid=1123ebae-a006-42c7-9ea3-c84a2feb0e65&amp;pbi_source=linkShare&amp;bookmarkGuid=974ab97c-ee1c-48e3-9303-b44a36602daa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powerbi.com/links/IE6ye0vHLu?ctid=1123ebae-a006-42c7-9ea3-c84a2feb0e65&amp;pbi_source=linkShare&amp;bookmarkGuid=28158ed3-7e8b-4c6d-9b56-83b36b216555" TargetMode="External"/><Relationship Id="rId42" Type="http://schemas.openxmlformats.org/officeDocument/2006/relationships/hyperlink" Target="https://app.powerbi.com/links/IE6ye0vHLu?ctid=1123ebae-a006-42c7-9ea3-c84a2feb0e65&amp;pbi_source=linkShare&amp;bookmarkGuid=886845e5-c67c-4abb-9edd-e2d9836b574d" TargetMode="External"/><Relationship Id="rId41" Type="http://schemas.openxmlformats.org/officeDocument/2006/relationships/hyperlink" Target="https://app.powerbi.com/links/IE6ye0vHLu?ctid=1123ebae-a006-42c7-9ea3-c84a2feb0e65&amp;pbi_source=linkShare&amp;bookmarkGuid=cd261944-27c8-4169-859e-1aa680b1367d" TargetMode="External"/><Relationship Id="rId44" Type="http://schemas.openxmlformats.org/officeDocument/2006/relationships/hyperlink" Target="https://app.powerbi.com/links/IE6ye0vHLu?ctid=1123ebae-a006-42c7-9ea3-c84a2feb0e65&amp;pbi_source=linkShare&amp;bookmarkGuid=777b0e84-f106-41c7-8dc1-c7ca9f56446a" TargetMode="External"/><Relationship Id="rId43" Type="http://schemas.openxmlformats.org/officeDocument/2006/relationships/hyperlink" Target="https://app.powerbi.com/links/IE6ye0vHLu?ctid=1123ebae-a006-42c7-9ea3-c84a2feb0e65&amp;pbi_source=linkShare&amp;bookmarkGuid=9b846b87-5579-4a6b-a3f6-4a085a73d536" TargetMode="External"/><Relationship Id="rId46" Type="http://schemas.openxmlformats.org/officeDocument/2006/relationships/hyperlink" Target="https://app.powerbi.com/links/IE6ye0vHLu?ctid=1123ebae-a006-42c7-9ea3-c84a2feb0e65&amp;pbi_source=linkShare&amp;bookmarkGuid=7d1130c5-dce3-4d8a-8e35-b5dea088b8cb" TargetMode="External"/><Relationship Id="rId45" Type="http://schemas.openxmlformats.org/officeDocument/2006/relationships/hyperlink" Target="https://app.powerbi.com/links/IE6ye0vHLu?ctid=1123ebae-a006-42c7-9ea3-c84a2feb0e65&amp;pbi_source=linkShare&amp;bookmarkGuid=471436bb-214a-4f0a-80dc-16f28f603664" TargetMode="External"/><Relationship Id="rId1" Type="http://schemas.openxmlformats.org/officeDocument/2006/relationships/hyperlink" Target="https://app.powerbi.com/links/IE6ye0vHLu?ctid=1123ebae-a006-42c7-9ea3-c84a2feb0e65&amp;pbi_source=linkShare&amp;bookmarkGuid=6be5f047-8c4d-4960-99cd-a6a33822a3e7" TargetMode="External"/><Relationship Id="rId2" Type="http://schemas.openxmlformats.org/officeDocument/2006/relationships/hyperlink" Target="https://app.powerbi.com/links/IE6ye0vHLu?ctid=1123ebae-a006-42c7-9ea3-c84a2feb0e65&amp;pbi_source=linkShare&amp;bookmarkGuid=f2f12e3b-330f-4864-b83a-b0efa0d28b87" TargetMode="External"/><Relationship Id="rId3" Type="http://schemas.openxmlformats.org/officeDocument/2006/relationships/hyperlink" Target="https://app.powerbi.com/links/IE6ye0vHLu?ctid=1123ebae-a006-42c7-9ea3-c84a2feb0e65&amp;pbi_source=linkShare&amp;bookmarkGuid=6899355a-a310-4704-8d2c-f34a14fc60d5" TargetMode="External"/><Relationship Id="rId4" Type="http://schemas.openxmlformats.org/officeDocument/2006/relationships/hyperlink" Target="https://app.powerbi.com/links/IE6ye0vHLu?ctid=1123ebae-a006-42c7-9ea3-c84a2feb0e65&amp;pbi_source=linkShare&amp;bookmarkGuid=6b86b1e0-df49-4b2c-a53e-cc0b1555b2fa" TargetMode="External"/><Relationship Id="rId9" Type="http://schemas.openxmlformats.org/officeDocument/2006/relationships/hyperlink" Target="https://app.powerbi.com/links/IE6ye0vHLu?ctid=1123ebae-a006-42c7-9ea3-c84a2feb0e65&amp;pbi_source=linkShare&amp;bookmarkGuid=a3e57fac-8087-4342-8acf-12fe02cdbb74" TargetMode="External"/><Relationship Id="rId48" Type="http://schemas.openxmlformats.org/officeDocument/2006/relationships/hyperlink" Target="https://app.powerbi.com/links/IE6ye0vHLu?ctid=1123ebae-a006-42c7-9ea3-c84a2feb0e65&amp;pbi_source=linkShare&amp;bookmarkGuid=c5215d2f-0eb5-4b41-8f01-26cedf128653" TargetMode="External"/><Relationship Id="rId47" Type="http://schemas.openxmlformats.org/officeDocument/2006/relationships/hyperlink" Target="https://app.powerbi.com/links/IE6ye0vHLu?ctid=1123ebae-a006-42c7-9ea3-c84a2feb0e65&amp;pbi_source=linkShare&amp;bookmarkGuid=50729128-6744-44f7-ab49-7737a809a714" TargetMode="External"/><Relationship Id="rId49" Type="http://schemas.openxmlformats.org/officeDocument/2006/relationships/hyperlink" Target="https://app.powerbi.com/links/IE6ye0vHLu?ctid=1123ebae-a006-42c7-9ea3-c84a2feb0e65&amp;pbi_source=linkShare&amp;bookmarkGuid=6ca222e3-2eaf-4aa9-96d8-57540fd583b5" TargetMode="External"/><Relationship Id="rId5" Type="http://schemas.openxmlformats.org/officeDocument/2006/relationships/hyperlink" Target="https://app.powerbi.com/links/IE6ye0vHLu?ctid=1123ebae-a006-42c7-9ea3-c84a2feb0e65&amp;pbi_source=linkShare&amp;bookmarkGuid=22f62dd9-3fdc-44b1-a562-1c5279c904d8" TargetMode="External"/><Relationship Id="rId6" Type="http://schemas.openxmlformats.org/officeDocument/2006/relationships/hyperlink" Target="https://app.powerbi.com/links/IE6ye0vHLu?ctid=1123ebae-a006-42c7-9ea3-c84a2feb0e65&amp;pbi_source=linkShare&amp;bookmarkGuid=ca0494ba-149c-4850-a23a-b5c0d24d4c5a" TargetMode="External"/><Relationship Id="rId7" Type="http://schemas.openxmlformats.org/officeDocument/2006/relationships/hyperlink" Target="https://app.powerbi.com/links/IE6ye0vHLu?ctid=1123ebae-a006-42c7-9ea3-c84a2feb0e65&amp;pbi_source=linkShare&amp;bookmarkGuid=bd713e29-1258-4349-86be-ddd1a78c0bb3" TargetMode="External"/><Relationship Id="rId8" Type="http://schemas.openxmlformats.org/officeDocument/2006/relationships/hyperlink" Target="https://app.powerbi.com/links/IE6ye0vHLu?ctid=1123ebae-a006-42c7-9ea3-c84a2feb0e65&amp;pbi_source=linkShare&amp;bookmarkGuid=8e4bc45c-baaf-48ba-b22f-2a18aa4aa191" TargetMode="External"/><Relationship Id="rId72" Type="http://schemas.openxmlformats.org/officeDocument/2006/relationships/table" Target="../tables/table5.xml"/><Relationship Id="rId31" Type="http://schemas.openxmlformats.org/officeDocument/2006/relationships/hyperlink" Target="https://app.powerbi.com/links/IE6ye0vHLu?ctid=1123ebae-a006-42c7-9ea3-c84a2feb0e65&amp;pbi_source=linkShare&amp;bookmarkGuid=d371e000-d83b-400f-b253-1ee1f3826f81" TargetMode="External"/><Relationship Id="rId30" Type="http://schemas.openxmlformats.org/officeDocument/2006/relationships/hyperlink" Target="https://app.powerbi.com/links/IE6ye0vHLu?ctid=1123ebae-a006-42c7-9ea3-c84a2feb0e65&amp;pbi_source=linkShare&amp;bookmarkGuid=efe8a150-e9f8-4dcb-b54f-16d3377141d1" TargetMode="External"/><Relationship Id="rId33" Type="http://schemas.openxmlformats.org/officeDocument/2006/relationships/hyperlink" Target="https://app.powerbi.com/links/IE6ye0vHLu?ctid=1123ebae-a006-42c7-9ea3-c84a2feb0e65&amp;pbi_source=linkShare&amp;bookmarkGuid=a7f283db-1205-4d25-be0c-2e7973fc9cdd" TargetMode="External"/><Relationship Id="rId32" Type="http://schemas.openxmlformats.org/officeDocument/2006/relationships/hyperlink" Target="https://app.powerbi.com/links/IE6ye0vHLu?ctid=1123ebae-a006-42c7-9ea3-c84a2feb0e65&amp;pbi_source=linkShare&amp;bookmarkGuid=97d8bba4-c1ed-42ee-bf21-119b26e74b76" TargetMode="External"/><Relationship Id="rId35" Type="http://schemas.openxmlformats.org/officeDocument/2006/relationships/hyperlink" Target="https://app.powerbi.com/links/IE6ye0vHLu?ctid=1123ebae-a006-42c7-9ea3-c84a2feb0e65&amp;pbi_source=linkShare&amp;bookmarkGuid=6eeac0bc-5e67-457e-8957-e629950aaecf" TargetMode="External"/><Relationship Id="rId34" Type="http://schemas.openxmlformats.org/officeDocument/2006/relationships/hyperlink" Target="https://app.powerbi.com/links/IE6ye0vHLu?ctid=1123ebae-a006-42c7-9ea3-c84a2feb0e65&amp;pbi_source=linkShare&amp;bookmarkGuid=44577935-fd07-441a-ad76-141b21b55450" TargetMode="External"/><Relationship Id="rId71" Type="http://schemas.openxmlformats.org/officeDocument/2006/relationships/table" Target="../tables/table4.xml"/><Relationship Id="rId70" Type="http://schemas.openxmlformats.org/officeDocument/2006/relationships/table" Target="../tables/table3.xml"/><Relationship Id="rId37" Type="http://schemas.openxmlformats.org/officeDocument/2006/relationships/hyperlink" Target="https://app.powerbi.com/links/IE6ye0vHLu?ctid=1123ebae-a006-42c7-9ea3-c84a2feb0e65&amp;pbi_source=linkShare&amp;bookmarkGuid=9e01aa99-fd0a-4395-aea2-fd08c953ce5b" TargetMode="External"/><Relationship Id="rId36" Type="http://schemas.openxmlformats.org/officeDocument/2006/relationships/hyperlink" Target="https://app.powerbi.com/links/IE6ye0vHLu?ctid=1123ebae-a006-42c7-9ea3-c84a2feb0e65&amp;pbi_source=linkShare&amp;bookmarkGuid=8e008f63-4aed-4a92-b12c-46a226cc84a1" TargetMode="External"/><Relationship Id="rId39" Type="http://schemas.openxmlformats.org/officeDocument/2006/relationships/hyperlink" Target="https://app.powerbi.com/links/IE6ye0vHLu?ctid=1123ebae-a006-42c7-9ea3-c84a2feb0e65&amp;pbi_source=linkShare&amp;bookmarkGuid=19b106f7-37ff-4dde-8c6f-be6b52bbd0ec" TargetMode="External"/><Relationship Id="rId38" Type="http://schemas.openxmlformats.org/officeDocument/2006/relationships/hyperlink" Target="https://app.powerbi.com/links/IE6ye0vHLu?ctid=1123ebae-a006-42c7-9ea3-c84a2feb0e65&amp;pbi_source=linkShare&amp;bookmarkGuid=6cdb30cd-6f65-4716-b2ac-aeb45bf224d1" TargetMode="External"/><Relationship Id="rId62" Type="http://schemas.openxmlformats.org/officeDocument/2006/relationships/hyperlink" Target="https://app.powerbi.com/links/IE6ye0vHLu?ctid=1123ebae-a006-42c7-9ea3-c84a2feb0e65&amp;pbi_source=linkShare&amp;bookmarkGuid=82e99fdf-bec1-46ba-821b-bd169ec8a2e8" TargetMode="External"/><Relationship Id="rId61" Type="http://schemas.openxmlformats.org/officeDocument/2006/relationships/hyperlink" Target="https://app.powerbi.com/links/IE6ye0vHLu?ctid=1123ebae-a006-42c7-9ea3-c84a2feb0e65&amp;pbi_source=linkShare&amp;bookmarkGuid=29bfc6ff-8f6e-40da-9e13-a4509fd6fb68" TargetMode="External"/><Relationship Id="rId20" Type="http://schemas.openxmlformats.org/officeDocument/2006/relationships/hyperlink" Target="https://app.powerbi.com/links/IE6ye0vHLu?ctid=1123ebae-a006-42c7-9ea3-c84a2feb0e65&amp;pbi_source=linkShare&amp;bookmarkGuid=7f32bf71-1726-4794-939c-0aa48113cea1" TargetMode="External"/><Relationship Id="rId64" Type="http://schemas.openxmlformats.org/officeDocument/2006/relationships/drawing" Target="../drawings/drawing6.xml"/><Relationship Id="rId63" Type="http://schemas.openxmlformats.org/officeDocument/2006/relationships/hyperlink" Target="https://app.powerbi.com/links/IE6ye0vHLu?ctid=1123ebae-a006-42c7-9ea3-c84a2feb0e65&amp;pbi_source=linkShare&amp;bookmarkGuid=986278f7-1a56-4bdb-b78e-58bd45e827d9" TargetMode="External"/><Relationship Id="rId22" Type="http://schemas.openxmlformats.org/officeDocument/2006/relationships/hyperlink" Target="https://app.powerbi.com/links/IE6ye0vHLu?ctid=1123ebae-a006-42c7-9ea3-c84a2feb0e65&amp;pbi_source=linkShare&amp;bookmarkGuid=3e24aa47-e368-4e2e-88a5-9db2c3f4b724" TargetMode="External"/><Relationship Id="rId21" Type="http://schemas.openxmlformats.org/officeDocument/2006/relationships/hyperlink" Target="https://app.powerbi.com/links/IE6ye0vHLu?ctid=1123ebae-a006-42c7-9ea3-c84a2feb0e65&amp;pbi_source=linkShare&amp;bookmarkGuid=1796a228-23be-4f66-af1e-658a834405b4" TargetMode="External"/><Relationship Id="rId24" Type="http://schemas.openxmlformats.org/officeDocument/2006/relationships/hyperlink" Target="https://app.powerbi.com/links/IE6ye0vHLu?ctid=1123ebae-a006-42c7-9ea3-c84a2feb0e65&amp;pbi_source=linkShare&amp;bookmarkGuid=8e9e5227-5b34-4518-b4e0-2746387ea348" TargetMode="External"/><Relationship Id="rId23" Type="http://schemas.openxmlformats.org/officeDocument/2006/relationships/hyperlink" Target="https://app.powerbi.com/links/IE6ye0vHLu?ctid=1123ebae-a006-42c7-9ea3-c84a2feb0e65&amp;pbi_source=linkShare&amp;bookmarkGuid=7db31894-a16f-41ee-ab34-0e19c2de469c" TargetMode="External"/><Relationship Id="rId60" Type="http://schemas.openxmlformats.org/officeDocument/2006/relationships/hyperlink" Target="https://app.powerbi.com/links/IE6ye0vHLu?ctid=1123ebae-a006-42c7-9ea3-c84a2feb0e65&amp;pbi_source=linkShare&amp;bookmarkGuid=ad6c1dca-7a66-4bde-a01f-df987648d7b2" TargetMode="External"/><Relationship Id="rId26" Type="http://schemas.openxmlformats.org/officeDocument/2006/relationships/hyperlink" Target="https://app.powerbi.com/links/IE6ye0vHLu?ctid=1123ebae-a006-42c7-9ea3-c84a2feb0e65&amp;pbi_source=linkShare&amp;bookmarkGuid=c9da0cd1-3f9a-48fb-85ce-f9b5406f2049" TargetMode="External"/><Relationship Id="rId25" Type="http://schemas.openxmlformats.org/officeDocument/2006/relationships/hyperlink" Target="https://app.powerbi.com/links/IE6ye0vHLu?ctid=1123ebae-a006-42c7-9ea3-c84a2feb0e65&amp;pbi_source=linkShare&amp;bookmarkGuid=eb361115-b6ec-478b-a4f0-fb800786e450" TargetMode="External"/><Relationship Id="rId69" Type="http://schemas.openxmlformats.org/officeDocument/2006/relationships/table" Target="../tables/table2.xml"/><Relationship Id="rId28" Type="http://schemas.openxmlformats.org/officeDocument/2006/relationships/hyperlink" Target="https://app.powerbi.com/links/IE6ye0vHLu?ctid=1123ebae-a006-42c7-9ea3-c84a2feb0e65&amp;pbi_source=linkShare&amp;bookmarkGuid=8af9dbd3-c489-4c2e-af80-d4fe12667238" TargetMode="External"/><Relationship Id="rId27" Type="http://schemas.openxmlformats.org/officeDocument/2006/relationships/hyperlink" Target="https://app.powerbi.com/links/IE6ye0vHLu?ctid=1123ebae-a006-42c7-9ea3-c84a2feb0e65&amp;pbi_source=linkShare&amp;bookmarkGuid=e7c82cfa-7c96-428d-b0e9-f60bb7938bca" TargetMode="External"/><Relationship Id="rId29" Type="http://schemas.openxmlformats.org/officeDocument/2006/relationships/hyperlink" Target="https://app.powerbi.com/links/IE6ye0vHLu?ctid=1123ebae-a006-42c7-9ea3-c84a2feb0e65&amp;pbi_source=linkShare&amp;bookmarkGuid=16322b71-8e6c-48b8-b90a-5bcbc5309e8a" TargetMode="External"/><Relationship Id="rId51" Type="http://schemas.openxmlformats.org/officeDocument/2006/relationships/hyperlink" Target="https://app.powerbi.com/links/IE6ye0vHLu?ctid=1123ebae-a006-42c7-9ea3-c84a2feb0e65&amp;pbi_source=linkShare&amp;bookmarkGuid=923827a0-c517-474d-9cb1-52a6c77d1797" TargetMode="External"/><Relationship Id="rId50" Type="http://schemas.openxmlformats.org/officeDocument/2006/relationships/hyperlink" Target="https://app.powerbi.com/links/IE6ye0vHLu?ctid=1123ebae-a006-42c7-9ea3-c84a2feb0e65&amp;pbi_source=linkShare&amp;bookmarkGuid=6a9d38a9-c43b-409c-aab6-ec7e8e50e97f" TargetMode="External"/><Relationship Id="rId53" Type="http://schemas.openxmlformats.org/officeDocument/2006/relationships/hyperlink" Target="https://app.powerbi.com/links/IE6ye0vHLu?ctid=1123ebae-a006-42c7-9ea3-c84a2feb0e65&amp;pbi_source=linkShare&amp;bookmarkGuid=7b7e05b2-83b9-47ac-ad9b-470d1f91cb15" TargetMode="External"/><Relationship Id="rId52" Type="http://schemas.openxmlformats.org/officeDocument/2006/relationships/hyperlink" Target="https://app.powerbi.com/links/IE6ye0vHLu?ctid=1123ebae-a006-42c7-9ea3-c84a2feb0e65&amp;pbi_source=linkShare&amp;bookmarkGuid=9418f707-65b0-44ef-b1d1-90b2f934a0c5" TargetMode="External"/><Relationship Id="rId11" Type="http://schemas.openxmlformats.org/officeDocument/2006/relationships/hyperlink" Target="https://app.powerbi.com/links/IE6ye0vHLu?ctid=1123ebae-a006-42c7-9ea3-c84a2feb0e65&amp;pbi_source=linkShare&amp;bookmarkGuid=90c64047-7cd2-4d3e-a0f8-3295e80bd09f" TargetMode="External"/><Relationship Id="rId55" Type="http://schemas.openxmlformats.org/officeDocument/2006/relationships/hyperlink" Target="https://app.powerbi.com/links/IE6ye0vHLu?ctid=1123ebae-a006-42c7-9ea3-c84a2feb0e65&amp;pbi_source=linkShare&amp;bookmarkGuid=97dcd619-6a7a-48e6-945c-d4afa61e805f" TargetMode="External"/><Relationship Id="rId10" Type="http://schemas.openxmlformats.org/officeDocument/2006/relationships/hyperlink" Target="https://app.powerbi.com/links/IE6ye0vHLu?ctid=1123ebae-a006-42c7-9ea3-c84a2feb0e65&amp;pbi_source=linkShare&amp;bookmarkGuid=2ae28eaf-0933-4b9a-be1d-35d99ee14af1" TargetMode="External"/><Relationship Id="rId54" Type="http://schemas.openxmlformats.org/officeDocument/2006/relationships/hyperlink" Target="https://app.powerbi.com/links/IE6ye0vHLu?ctid=1123ebae-a006-42c7-9ea3-c84a2feb0e65&amp;pbi_source=linkShare&amp;bookmarkGuid=34e92d41-bc17-4bed-b484-4a960ff0300e" TargetMode="External"/><Relationship Id="rId13" Type="http://schemas.openxmlformats.org/officeDocument/2006/relationships/hyperlink" Target="https://app.powerbi.com/links/IE6ye0vHLu?ctid=1123ebae-a006-42c7-9ea3-c84a2feb0e65&amp;pbi_source=linkShare&amp;bookmarkGuid=0da5b162-e150-482d-aee2-d7fc35b63686" TargetMode="External"/><Relationship Id="rId57" Type="http://schemas.openxmlformats.org/officeDocument/2006/relationships/hyperlink" Target="https://app.powerbi.com/links/IE6ye0vHLu?ctid=1123ebae-a006-42c7-9ea3-c84a2feb0e65&amp;pbi_source=linkShare&amp;bookmarkGuid=ce506062-65cb-4787-80ec-4274e91c14fd" TargetMode="External"/><Relationship Id="rId12" Type="http://schemas.openxmlformats.org/officeDocument/2006/relationships/hyperlink" Target="https://app.powerbi.com/links/IE6ye0vHLu?ctid=1123ebae-a006-42c7-9ea3-c84a2feb0e65&amp;pbi_source=linkShare&amp;bookmarkGuid=33d89a96-5156-4799-aabb-44681b5cbdb5" TargetMode="External"/><Relationship Id="rId56" Type="http://schemas.openxmlformats.org/officeDocument/2006/relationships/hyperlink" Target="https://app.powerbi.com/links/IE6ye0vHLu?ctid=1123ebae-a006-42c7-9ea3-c84a2feb0e65&amp;pbi_source=linkShare&amp;bookmarkGuid=c60a5233-3f75-4a27-9873-71a87d2d1de2" TargetMode="External"/><Relationship Id="rId15" Type="http://schemas.openxmlformats.org/officeDocument/2006/relationships/hyperlink" Target="https://app.powerbi.com/links/IE6ye0vHLu?ctid=1123ebae-a006-42c7-9ea3-c84a2feb0e65&amp;pbi_source=linkShare&amp;bookmarkGuid=b829e299-353a-4ad4-ba13-3c5c1119d837" TargetMode="External"/><Relationship Id="rId59" Type="http://schemas.openxmlformats.org/officeDocument/2006/relationships/hyperlink" Target="https://app.powerbi.com/links/IE6ye0vHLu?ctid=1123ebae-a006-42c7-9ea3-c84a2feb0e65&amp;pbi_source=linkShare&amp;bookmarkGuid=3f344b77-d4b9-4d7c-a806-1709021753c0" TargetMode="External"/><Relationship Id="rId14" Type="http://schemas.openxmlformats.org/officeDocument/2006/relationships/hyperlink" Target="https://app.powerbi.com/links/IE6ye0vHLu?ctid=1123ebae-a006-42c7-9ea3-c84a2feb0e65&amp;pbi_source=linkShare&amp;bookmarkGuid=1673f435-2f35-4596-8132-5a2a2c9ea23d" TargetMode="External"/><Relationship Id="rId58" Type="http://schemas.openxmlformats.org/officeDocument/2006/relationships/hyperlink" Target="https://app.powerbi.com/links/IE6ye0vHLu?ctid=1123ebae-a006-42c7-9ea3-c84a2feb0e65&amp;pbi_source=linkShare&amp;bookmarkGuid=e472a728-71d6-4bbe-b2b0-b8a079760fc4" TargetMode="External"/><Relationship Id="rId17" Type="http://schemas.openxmlformats.org/officeDocument/2006/relationships/hyperlink" Target="https://app.powerbi.com/links/IE6ye0vHLu?ctid=1123ebae-a006-42c7-9ea3-c84a2feb0e65&amp;pbi_source=linkShare&amp;bookmarkGuid=37998467-bbcc-4b2d-97a4-48bcbdcc068d" TargetMode="External"/><Relationship Id="rId16" Type="http://schemas.openxmlformats.org/officeDocument/2006/relationships/hyperlink" Target="https://app.powerbi.com/links/IE6ye0vHLu?ctid=1123ebae-a006-42c7-9ea3-c84a2feb0e65&amp;pbi_source=linkShare&amp;bookmarkGuid=da65636d-9b9e-4a25-a91c-81d13d9ea570" TargetMode="External"/><Relationship Id="rId19" Type="http://schemas.openxmlformats.org/officeDocument/2006/relationships/hyperlink" Target="https://app.powerbi.com/links/IE6ye0vHLu?ctid=1123ebae-a006-42c7-9ea3-c84a2feb0e65&amp;pbi_source=linkShare&amp;bookmarkGuid=0ce8cece-6067-41d3-960c-061b68f84689" TargetMode="External"/><Relationship Id="rId18" Type="http://schemas.openxmlformats.org/officeDocument/2006/relationships/hyperlink" Target="https://app.powerbi.com/links/IE6ye0vHLu?ctid=1123ebae-a006-42c7-9ea3-c84a2feb0e65&amp;pbi_source=linkShare&amp;bookmarkGuid=e82166d4-8448-4c4d-88c6-069cebf93e82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2.xml"/><Relationship Id="rId5" Type="http://schemas.openxmlformats.org/officeDocument/2006/relationships/table" Target="../tables/table1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5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6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7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ba.cd" TargetMode="External"/><Relationship Id="rId2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59.13"/>
    <col customWidth="1" min="3" max="3" width="21.88"/>
    <col customWidth="1" min="4" max="4" width="62.38"/>
    <col customWidth="1" min="5" max="5" width="18.63"/>
    <col customWidth="1" min="6" max="6" width="21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/>
      <c r="B2" s="4" t="s">
        <v>4</v>
      </c>
      <c r="C2" s="5" t="s">
        <v>5</v>
      </c>
      <c r="D2" s="5" t="s">
        <v>6</v>
      </c>
      <c r="E2" s="5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/>
      <c r="B3" s="7"/>
      <c r="C3" s="8"/>
      <c r="D3" s="8"/>
      <c r="E3" s="6"/>
      <c r="F3" s="9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10" t="s">
        <v>8</v>
      </c>
      <c r="C4" s="8" t="s">
        <v>9</v>
      </c>
      <c r="D4" s="8" t="s">
        <v>10</v>
      </c>
      <c r="E4" s="8" t="s">
        <v>11</v>
      </c>
      <c r="F4" s="9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/>
      <c r="B5" s="4" t="s">
        <v>12</v>
      </c>
      <c r="C5" s="5" t="s">
        <v>9</v>
      </c>
      <c r="D5" s="5" t="s">
        <v>13</v>
      </c>
      <c r="E5" s="5" t="s">
        <v>11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/>
      <c r="B6" s="7"/>
      <c r="C6" s="8"/>
      <c r="D6" s="8"/>
      <c r="E6" s="8"/>
      <c r="F6" s="8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/>
      <c r="B7" s="4" t="s">
        <v>14</v>
      </c>
      <c r="C7" s="5" t="s">
        <v>9</v>
      </c>
      <c r="D7" s="5" t="s">
        <v>15</v>
      </c>
      <c r="E7" s="5" t="s">
        <v>11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10" t="s">
        <v>16</v>
      </c>
      <c r="C9" s="8" t="s">
        <v>17</v>
      </c>
      <c r="D9" s="11" t="s">
        <v>18</v>
      </c>
      <c r="E9" s="8" t="s">
        <v>19</v>
      </c>
      <c r="F9" s="11"/>
      <c r="G9" s="12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10" t="s">
        <v>20</v>
      </c>
      <c r="C10" s="8" t="s">
        <v>5</v>
      </c>
      <c r="D10" s="11" t="s">
        <v>21</v>
      </c>
      <c r="E10" s="8" t="s">
        <v>11</v>
      </c>
      <c r="F10" s="11"/>
      <c r="G10" s="12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10" t="s">
        <v>22</v>
      </c>
      <c r="C11" s="8" t="s">
        <v>17</v>
      </c>
      <c r="D11" s="11" t="s">
        <v>23</v>
      </c>
      <c r="E11" s="8" t="s">
        <v>19</v>
      </c>
      <c r="F11" s="11"/>
      <c r="G11" s="12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3"/>
      <c r="B12" s="14"/>
      <c r="C12" s="15"/>
      <c r="D12" s="15"/>
      <c r="E12" s="15"/>
      <c r="F12" s="15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6"/>
      <c r="B13" s="9"/>
      <c r="C13" s="8"/>
      <c r="D13" s="8"/>
      <c r="E13" s="8"/>
      <c r="F13" s="8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9" t="s">
        <v>24</v>
      </c>
      <c r="C14" s="8"/>
      <c r="D14" s="8"/>
      <c r="E14" s="8"/>
      <c r="F14" s="8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3"/>
      <c r="B15" s="14"/>
      <c r="C15" s="15"/>
      <c r="D15" s="15"/>
      <c r="E15" s="15"/>
      <c r="F15" s="15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6"/>
      <c r="B16" s="10" t="s">
        <v>25</v>
      </c>
      <c r="C16" s="8" t="s">
        <v>5</v>
      </c>
      <c r="D16" s="8" t="s">
        <v>26</v>
      </c>
      <c r="E16" s="8" t="s">
        <v>27</v>
      </c>
      <c r="F16" s="8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10" t="s">
        <v>28</v>
      </c>
      <c r="C17" s="8" t="s">
        <v>5</v>
      </c>
      <c r="D17" s="8" t="s">
        <v>29</v>
      </c>
      <c r="E17" s="8" t="s">
        <v>30</v>
      </c>
      <c r="F17" s="8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10" t="s">
        <v>31</v>
      </c>
      <c r="C18" s="8" t="s">
        <v>5</v>
      </c>
      <c r="D18" s="8" t="s">
        <v>32</v>
      </c>
      <c r="E18" s="8" t="s">
        <v>30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10" t="s">
        <v>33</v>
      </c>
      <c r="C19" s="8" t="s">
        <v>5</v>
      </c>
      <c r="D19" s="8" t="s">
        <v>34</v>
      </c>
      <c r="E19" s="8" t="s">
        <v>30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16"/>
      <c r="C20" s="8"/>
      <c r="D20" s="8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9"/>
      <c r="C21" s="9"/>
      <c r="D21" s="9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7"/>
      <c r="C22" s="8"/>
      <c r="D22" s="8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9"/>
      <c r="C23" s="8"/>
      <c r="D23" s="8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9"/>
      <c r="C24" s="9"/>
      <c r="D24" s="9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9" t="s">
        <v>35</v>
      </c>
      <c r="C25" s="8"/>
      <c r="D25" s="8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9" t="s">
        <v>36</v>
      </c>
      <c r="C26" s="8"/>
      <c r="D26" s="8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8" t="s">
        <v>37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9" t="s">
        <v>38</v>
      </c>
      <c r="C28" s="8" t="s">
        <v>39</v>
      </c>
      <c r="D28" s="8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8" t="s">
        <v>40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8" t="s">
        <v>41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9"/>
      <c r="C31" s="6"/>
      <c r="D31" s="8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9"/>
      <c r="C32" s="8"/>
      <c r="D32" s="8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7"/>
      <c r="C33" s="8"/>
      <c r="D33" s="8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9"/>
      <c r="C35" s="6"/>
      <c r="D35" s="8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9"/>
      <c r="C36" s="6"/>
      <c r="D36" s="8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9"/>
      <c r="C37" s="6"/>
      <c r="D37" s="8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9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9"/>
      <c r="C39" s="8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9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17" t="s">
        <v>42</v>
      </c>
      <c r="C54" s="18" t="s">
        <v>43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8" t="s">
        <v>44</v>
      </c>
      <c r="C55" s="18" t="s">
        <v>45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8" t="s">
        <v>46</v>
      </c>
      <c r="C56" s="18" t="s">
        <v>47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8" t="s">
        <v>48</v>
      </c>
      <c r="C57" s="19" t="s">
        <v>49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8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8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8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8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8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</sheetData>
  <hyperlinks>
    <hyperlink display="Capital" location="Capital!A1" ref="B2"/>
    <hyperlink display="Elite Income" location="'Elite Income - Premium Income'!A1" ref="B4"/>
    <hyperlink display="Premium Income" location="'Elite Income - Premium Income'!A1" ref="B5"/>
    <hyperlink display="Equilibrium" location="Equilibrium!A1" ref="B7"/>
    <hyperlink display="Innova" location="Innova!A1" ref="B9"/>
    <hyperlink display="Future+" location="'Future+'!A1" ref="B10"/>
    <hyperlink display="Factor alfa" location="'Factor Alfa'!A1" ref="B11"/>
    <hyperlink display="Value" location="Value!A1" ref="B16"/>
    <hyperlink display="Momentum" location="Momentum!A1" ref="B17"/>
    <hyperlink display="Skewness" location="Skewness!A1" ref="B18"/>
    <hyperlink display="Low Volatility" location="'Low Vol'!A1" ref="B19"/>
    <hyperlink r:id="rId1" ref="C54"/>
    <hyperlink r:id="rId2" ref="C55"/>
    <hyperlink r:id="rId3" ref="C56"/>
    <hyperlink r:id="rId4" location="!/?category=Multi-Country&amp;currency=USD&amp;model=ER&amp;scale=Log&amp;selected=60&amp;tab=details&amp;terms=Real&amp;type=Government+T-Bills&amp;vs=N4IgxgrgTlCmB2AXAygCwIYAdYGED2ANnlCAFzwQEEA0IqAlgCaMICCAzu7Iu2QNoBWAdQAcI6gEYA7ADZJU8dICckpcIBMABk3UtGzVN0SNEuevUaALCos6LE3QPXVLEh5YDMl3So9yPmgC6tAzMbJzcACoAnti8pHzBdEws8BxciDjoiLAA5sT0sPGJISkI%2BBBIUIXFIOhgILSMALYgSaGpFVXRMXH8SbAAHpjo8CyMvUX8IAAKAKKNIHMAiosASnMAkos4APIAsjtrOwBCiyvqiwBiABqLmwAyZwPDo%2BNZOfnVUwl8S6u0fYAVQekW2wT%2BG22tA2bWofz2h0BILBcL%2Bt0WABE5gA1NH-c6HQIvEZjWCMLqIKA9WI-P6Y2AAN1gRGwjHOzVgUFy9HguUW%2B0oiHoAFpKdS4SB2GAoBAAEZyrk49AECA-UBgLCwEVQbL0PAigi82BkUAEWAAM0QZB0IGquVQ1tImgAvrR8ozECL2KztUb4CbSGbLU7bfbHTa3eA4Ix6F6fXhsIbjaaQOarTbaOHQ1HMMREBbCPr2CLsFBC1BmqMwH6U0G0yHM3b6A6cy6XUA" ref="C57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3.38"/>
    <col customWidth="1" min="6" max="6" width="17.5"/>
  </cols>
  <sheetData>
    <row r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</row>
    <row r="2">
      <c r="A2" s="20"/>
      <c r="B2" s="20"/>
      <c r="C2" s="20"/>
      <c r="D2" s="20"/>
      <c r="E2" s="20"/>
      <c r="F2" s="20"/>
      <c r="G2" s="20"/>
      <c r="H2" s="20"/>
      <c r="I2" s="21">
        <f>IFERROR(__xludf.DUMMYFUNCTION("IMPORTRANGE(""https://docs.google.com/spreadsheets/d/1QFB2kh2cYM7XonEBR7QFtdA5P63irew36fgS54qRFHA/edit?pli=1&amp;gid=720802488#gid=720802488"" , ""ONs NY!A:P"")"),45938.0)</f>
        <v>45938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 t="str">
        <f>IFERROR(__xludf.DUMMYFUNCTION("IMPORTRANGE(""https://docs.google.com/spreadsheets/d/1Mr1-WgkgjeFEk5QNcL6PEK-ZeHJ0W4Ga3Q_OiCASfug/edit?gid=301422845#gid=301422845"" , ""ONs Argentina!A:L"")"),"")</f>
        <v/>
      </c>
      <c r="AH2" s="20"/>
      <c r="AI2" s="20"/>
      <c r="AJ2" s="20"/>
      <c r="AK2" s="20"/>
      <c r="AL2" s="20"/>
      <c r="AM2" s="20" t="str">
        <f>IFERROR(__xludf.DUMMYFUNCTION("""COMPUTED_VALUE"""),"Comision")</f>
        <v>Comision</v>
      </c>
      <c r="AN2" s="20">
        <f>IFERROR(__xludf.DUMMYFUNCTION("""COMPUTED_VALUE"""),1.0)</f>
        <v>1</v>
      </c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</row>
    <row r="3">
      <c r="A3" s="20"/>
      <c r="B3" s="20"/>
      <c r="C3" s="20"/>
      <c r="D3" s="20"/>
      <c r="E3" s="20"/>
      <c r="F3" s="20"/>
      <c r="G3" s="20"/>
      <c r="H3" s="20"/>
      <c r="I3" s="20"/>
      <c r="J3" s="20" t="str">
        <f>IFERROR(__xludf.DUMMYFUNCTION("""COMPUTED_VALUE"""),"CORPORATIVOS LEY NY")</f>
        <v>CORPORATIVOS LEY NY</v>
      </c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 t="str">
        <f>IFERROR(__xludf.DUMMYFUNCTION("""COMPUTED_VALUE"""),"Canje")</f>
        <v>Canje</v>
      </c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 t="str">
        <f>IFERROR(__xludf.DUMMYFUNCTION("""COMPUTED_VALUE"""),"Dia de liquidacion")</f>
        <v>Dia de liquidacion</v>
      </c>
      <c r="AN3" s="21">
        <f>IFERROR(__xludf.DUMMYFUNCTION("""COMPUTED_VALUE"""),45939.0)</f>
        <v>45939</v>
      </c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</row>
    <row r="4">
      <c r="A4" s="20"/>
      <c r="B4" s="22" t="s">
        <v>50</v>
      </c>
      <c r="C4" s="20"/>
      <c r="D4" s="20"/>
      <c r="E4" s="20"/>
      <c r="F4" s="20"/>
      <c r="G4" s="20"/>
      <c r="H4" s="20"/>
      <c r="I4" s="20"/>
      <c r="J4" s="20" t="str">
        <f>IFERROR(__xludf.DUMMYFUNCTION("""COMPUTED_VALUE"""),"Ticker")</f>
        <v>Ticker</v>
      </c>
      <c r="K4" s="20" t="str">
        <f>IFERROR(__xludf.DUMMYFUNCTION("""COMPUTED_VALUE"""),"Empresa")</f>
        <v>Empresa</v>
      </c>
      <c r="L4" s="20" t="str">
        <f>IFERROR(__xludf.DUMMYFUNCTION("""COMPUTED_VALUE"""),"Vencimiento")</f>
        <v>Vencimiento</v>
      </c>
      <c r="M4" s="20" t="str">
        <f>IFERROR(__xludf.DUMMYFUNCTION("""COMPUTED_VALUE"""),"Tasa")</f>
        <v>Tasa</v>
      </c>
      <c r="N4" s="20" t="str">
        <f>IFERROR(__xludf.DUMMYFUNCTION("""COMPUTED_VALUE"""),"Precio")</f>
        <v>Precio</v>
      </c>
      <c r="O4" s="20" t="str">
        <f>IFERROR(__xludf.DUMMYFUNCTION("""COMPUTED_VALUE"""),"TIR")</f>
        <v>TIR</v>
      </c>
      <c r="P4" s="20" t="str">
        <f>IFERROR(__xludf.DUMMYFUNCTION("""COMPUTED_VALUE"""),"Var. Diaria%")</f>
        <v>Var. Diaria%</v>
      </c>
      <c r="Q4" s="20" t="str">
        <f>IFERROR(__xludf.DUMMYFUNCTION("""COMPUTED_VALUE"""),"Duration")</f>
        <v>Duration</v>
      </c>
      <c r="R4" s="20" t="str">
        <f>IFERROR(__xludf.DUMMYFUNCTION("""COMPUTED_VALUE"""),"Cupones")</f>
        <v>Cupones</v>
      </c>
      <c r="S4" s="20" t="str">
        <f>IFERROR(__xludf.DUMMYFUNCTION("""COMPUTED_VALUE"""),"Tipo")</f>
        <v>Tipo</v>
      </c>
      <c r="T4" s="20" t="str">
        <f>IFERROR(__xludf.DUMMYFUNCTION("""COMPUTED_VALUE"""),"Ley")</f>
        <v>Ley</v>
      </c>
      <c r="U4" s="20" t="str">
        <f>IFERROR(__xludf.DUMMYFUNCTION("""COMPUTED_VALUE"""),"Lam Minima")</f>
        <v>Lam Minima</v>
      </c>
      <c r="V4" s="20" t="str">
        <f>IFERROR(__xludf.DUMMYFUNCTION("""COMPUTED_VALUE"""),"Prox Cupón (días)")</f>
        <v>Prox Cupón (días)</v>
      </c>
      <c r="W4" s="20" t="str">
        <f>IFERROR(__xludf.DUMMYFUNCTION("""COMPUTED_VALUE"""),"Paridad")</f>
        <v>Paridad</v>
      </c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</row>
    <row r="5">
      <c r="A5" s="20"/>
      <c r="B5" s="23" t="str">
        <f>K5</f>
        <v>Central Puerto</v>
      </c>
      <c r="C5" s="24" t="s">
        <v>51</v>
      </c>
      <c r="D5" s="24" t="s">
        <v>52</v>
      </c>
      <c r="E5" s="25" t="s">
        <v>53</v>
      </c>
      <c r="F5" s="24" t="s">
        <v>54</v>
      </c>
      <c r="G5" s="24" t="s">
        <v>55</v>
      </c>
      <c r="H5" s="24" t="s">
        <v>56</v>
      </c>
      <c r="I5" s="20"/>
      <c r="J5" s="26" t="str">
        <f>IFERROR(__xludf.DUMMYFUNCTION("""COMPUTED_VALUE"""),"NPCBD")</f>
        <v>NPCBD</v>
      </c>
      <c r="K5" s="23" t="str">
        <f>IFERROR(__xludf.DUMMYFUNCTION("""COMPUTED_VALUE"""),"Central Puerto")</f>
        <v>Central Puerto</v>
      </c>
      <c r="L5" s="27">
        <f>IFERROR(__xludf.DUMMYFUNCTION("""COMPUTED_VALUE"""),45947.0)</f>
        <v>45947</v>
      </c>
      <c r="M5" s="28">
        <f>IFERROR(__xludf.DUMMYFUNCTION("""COMPUTED_VALUE"""),0.1)</f>
        <v>0.1</v>
      </c>
      <c r="N5" s="29">
        <f>IFERROR(__xludf.DUMMYFUNCTION("""COMPUTED_VALUE"""),106.2)</f>
        <v>106.2</v>
      </c>
      <c r="O5" s="28">
        <f>IFERROR(__xludf.DUMMYFUNCTION("""COMPUTED_VALUE"""),-0.3692612611849655)</f>
        <v>-0.3692612612</v>
      </c>
      <c r="P5" s="28">
        <f>IFERROR(__xludf.DUMMYFUNCTION("""COMPUTED_VALUE"""),0.0023)</f>
        <v>0.0023</v>
      </c>
      <c r="Q5" s="30">
        <f>IFERROR(__xludf.DUMMYFUNCTION("""COMPUTED_VALUE"""),0.02500394606092653)</f>
        <v>0.02500394606</v>
      </c>
      <c r="R5" s="23" t="str">
        <f>IFERROR(__xludf.DUMMYFUNCTION("""COMPUTED_VALUE"""),"Semestral")</f>
        <v>Semestral</v>
      </c>
      <c r="S5" s="23" t="str">
        <f>IFERROR(__xludf.DUMMYFUNCTION("""COMPUTED_VALUE"""),"Bullet")</f>
        <v>Bullet</v>
      </c>
      <c r="T5" s="23" t="str">
        <f>IFERROR(__xludf.DUMMYFUNCTION("""COMPUTED_VALUE"""),"NY")</f>
        <v>NY</v>
      </c>
      <c r="U5" s="20">
        <f>IFERROR(__xludf.DUMMYFUNCTION("""COMPUTED_VALUE"""),1000.0)</f>
        <v>1000</v>
      </c>
      <c r="V5" s="20">
        <f>IFERROR(__xludf.DUMMYFUNCTION("""COMPUTED_VALUE"""),9.0)</f>
        <v>9</v>
      </c>
      <c r="W5" s="31">
        <f>IFERROR(__xludf.DUMMYFUNCTION("""COMPUTED_VALUE"""),1.01276821192053)</f>
        <v>1.012768212</v>
      </c>
      <c r="X5" s="31">
        <f>IFERROR(__xludf.DUMMYFUNCTION("""COMPUTED_VALUE"""),0.010267693436010417)</f>
        <v>0.01026769344</v>
      </c>
      <c r="Y5" s="20"/>
      <c r="Z5" s="20"/>
      <c r="AA5" s="20"/>
      <c r="AB5" s="20"/>
      <c r="AC5" s="20"/>
      <c r="AD5" s="20"/>
      <c r="AE5" s="20"/>
      <c r="AF5" s="20"/>
      <c r="AG5" s="20"/>
      <c r="AH5" s="23" t="str">
        <f>IFERROR(__xludf.DUMMYFUNCTION("""COMPUTED_VALUE"""),"Empresa")</f>
        <v>Empresa</v>
      </c>
      <c r="AI5" s="23" t="str">
        <f>IFERROR(__xludf.DUMMYFUNCTION("""COMPUTED_VALUE"""),"Ticker")</f>
        <v>Ticker</v>
      </c>
      <c r="AJ5" s="23" t="str">
        <f>IFERROR(__xludf.DUMMYFUNCTION("""COMPUTED_VALUE"""),"TIR")</f>
        <v>TIR</v>
      </c>
      <c r="AK5" s="23" t="str">
        <f>IFERROR(__xludf.DUMMYFUNCTION("""COMPUTED_VALUE"""),"Precio")</f>
        <v>Precio</v>
      </c>
      <c r="AL5" s="32" t="str">
        <f>IFERROR(__xludf.DUMMYFUNCTION("""COMPUTED_VALUE"""),"Sin comision")</f>
        <v>Sin comision</v>
      </c>
      <c r="AM5" s="23" t="str">
        <f>IFERROR(__xludf.DUMMYFUNCTION("""COMPUTED_VALUE"""),"MD")</f>
        <v>MD</v>
      </c>
      <c r="AN5" s="23" t="str">
        <f>IFERROR(__xludf.DUMMYFUNCTION("""COMPUTED_VALUE"""),"Vto")</f>
        <v>Vto</v>
      </c>
      <c r="AO5" s="23" t="str">
        <f>IFERROR(__xludf.DUMMYFUNCTION("""COMPUTED_VALUE"""),"Ley")</f>
        <v>Ley</v>
      </c>
      <c r="AP5" s="23" t="str">
        <f>IFERROR(__xludf.DUMMYFUNCTION("""COMPUTED_VALUE"""),"Periodicidad")</f>
        <v>Periodicidad</v>
      </c>
      <c r="AQ5" s="23" t="str">
        <f>IFERROR(__xludf.DUMMYFUNCTION("""COMPUTED_VALUE"""),"Lamina minima")</f>
        <v>Lamina minima</v>
      </c>
      <c r="AR5" s="23" t="str">
        <f>IFERROR(__xludf.DUMMYFUNCTION("""COMPUTED_VALUE"""),"Tipo")</f>
        <v>Tipo</v>
      </c>
      <c r="AS5" s="20"/>
      <c r="AT5" s="20"/>
      <c r="AU5" s="20"/>
      <c r="AV5" s="20"/>
      <c r="AW5" s="20"/>
      <c r="AX5" s="20"/>
      <c r="AY5" s="20"/>
      <c r="AZ5" s="20"/>
      <c r="BA5" s="20"/>
      <c r="BB5" s="20"/>
    </row>
    <row r="6">
      <c r="A6" s="20"/>
      <c r="B6" s="33" t="s">
        <v>57</v>
      </c>
      <c r="C6" s="34">
        <f t="shared" ref="C6:C10" si="1">VLOOKUP(B6,$J$6:$W$36,6,0)</f>
        <v>0.09747772157</v>
      </c>
      <c r="D6" s="35">
        <f t="shared" ref="D6:D10" si="2">VLOOKUP(B6,$J$6:$W$36,8,0)</f>
        <v>5.213219008</v>
      </c>
      <c r="E6" s="36">
        <f t="shared" ref="E6:E10" si="3">VLOOKUP(B6,$J$6:$W$36,3,0)</f>
        <v>48727</v>
      </c>
      <c r="F6" s="37">
        <f t="shared" ref="F6:F10" si="4">1/D6</f>
        <v>0.1918200633</v>
      </c>
      <c r="G6" s="38">
        <f t="shared" ref="G6:G10" si="5">F6/$F$12</f>
        <v>0.1753104514</v>
      </c>
      <c r="H6" s="37">
        <f t="shared" ref="H6:H10" si="6">VLOOKUP(B6,$J$6:$W$36,12,0)</f>
        <v>100</v>
      </c>
      <c r="I6" s="20"/>
      <c r="J6" s="39" t="str">
        <f>IFERROR(__xludf.DUMMYFUNCTION("""COMPUTED_VALUE"""),"YMCHD")</f>
        <v>YMCHD</v>
      </c>
      <c r="K6" s="37" t="str">
        <f>IFERROR(__xludf.DUMMYFUNCTION("""COMPUTED_VALUE"""),"YPF")</f>
        <v>YPF</v>
      </c>
      <c r="L6" s="36">
        <f>IFERROR(__xludf.DUMMYFUNCTION("""COMPUTED_VALUE"""),46065.0)</f>
        <v>46065</v>
      </c>
      <c r="M6" s="34">
        <f>IFERROR(__xludf.DUMMYFUNCTION("""COMPUTED_VALUE"""),0.04)</f>
        <v>0.04</v>
      </c>
      <c r="N6" s="40">
        <f>IFERROR(__xludf.DUMMYFUNCTION("""COMPUTED_VALUE"""),16.36)</f>
        <v>16.36</v>
      </c>
      <c r="O6" s="34">
        <f>IFERROR(__xludf.DUMMYFUNCTION("""COMPUTED_VALUE"""),-0.12221745916049007)</f>
        <v>-0.1222174592</v>
      </c>
      <c r="P6" s="34">
        <f>IFERROR(__xludf.DUMMYFUNCTION("""COMPUTED_VALUE"""),0.0073)</f>
        <v>0.0073</v>
      </c>
      <c r="Q6" s="35">
        <f>IFERROR(__xludf.DUMMYFUNCTION("""COMPUTED_VALUE"""),0.22299269945896666)</f>
        <v>0.2229926995</v>
      </c>
      <c r="R6" s="37" t="str">
        <f>IFERROR(__xludf.DUMMYFUNCTION("""COMPUTED_VALUE"""),"Trimestral")</f>
        <v>Trimestral</v>
      </c>
      <c r="S6" s="37" t="str">
        <f>IFERROR(__xludf.DUMMYFUNCTION("""COMPUTED_VALUE"""),"Sinkable")</f>
        <v>Sinkable</v>
      </c>
      <c r="T6" s="37" t="str">
        <f>IFERROR(__xludf.DUMMYFUNCTION("""COMPUTED_VALUE"""),"NY")</f>
        <v>NY</v>
      </c>
      <c r="U6" s="20">
        <f>IFERROR(__xludf.DUMMYFUNCTION("""COMPUTED_VALUE"""),1.0)</f>
        <v>1</v>
      </c>
      <c r="V6" s="20">
        <f>IFERROR(__xludf.DUMMYFUNCTION("""COMPUTED_VALUE"""),35.0)</f>
        <v>35</v>
      </c>
      <c r="W6" s="31">
        <f>IFERROR(__xludf.DUMMYFUNCTION("""COMPUTED_VALUE"""),1.0485156389696602)</f>
        <v>1.048515639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20"/>
      <c r="AT6" s="20"/>
      <c r="AU6" s="20"/>
      <c r="AV6" s="20"/>
      <c r="AW6" s="20"/>
      <c r="AX6" s="20"/>
      <c r="AY6" s="20"/>
      <c r="AZ6" s="20"/>
      <c r="BA6" s="20"/>
      <c r="BB6" s="20"/>
    </row>
    <row r="7">
      <c r="A7" s="20"/>
      <c r="B7" s="33" t="s">
        <v>58</v>
      </c>
      <c r="C7" s="34">
        <f t="shared" si="1"/>
        <v>0.08185903893</v>
      </c>
      <c r="D7" s="35">
        <f t="shared" si="2"/>
        <v>3.239308608</v>
      </c>
      <c r="E7" s="36">
        <f t="shared" si="3"/>
        <v>47292</v>
      </c>
      <c r="F7" s="37">
        <f t="shared" si="4"/>
        <v>0.3087078513</v>
      </c>
      <c r="G7" s="38">
        <f t="shared" si="5"/>
        <v>0.2821379152</v>
      </c>
      <c r="H7" s="37">
        <f t="shared" si="6"/>
        <v>1000</v>
      </c>
      <c r="I7" s="20"/>
      <c r="J7" s="39" t="str">
        <f>IFERROR(__xludf.DUMMYFUNCTION("""COMPUTED_VALUE"""),"MTCGD")</f>
        <v>MTCGD</v>
      </c>
      <c r="K7" s="37" t="str">
        <f>IFERROR(__xludf.DUMMYFUNCTION("""COMPUTED_VALUE"""),"Mastellone")</f>
        <v>Mastellone</v>
      </c>
      <c r="L7" s="36">
        <f>IFERROR(__xludf.DUMMYFUNCTION("""COMPUTED_VALUE"""),46203.0)</f>
        <v>46203</v>
      </c>
      <c r="M7" s="34">
        <f>IFERROR(__xludf.DUMMYFUNCTION("""COMPUTED_VALUE"""),0.1095)</f>
        <v>0.1095</v>
      </c>
      <c r="N7" s="40">
        <f>IFERROR(__xludf.DUMMYFUNCTION("""COMPUTED_VALUE"""),101.5)</f>
        <v>101.5</v>
      </c>
      <c r="O7" s="34">
        <f>IFERROR(__xludf.DUMMYFUNCTION("""COMPUTED_VALUE"""),0.09534594734110474)</f>
        <v>0.09534594734</v>
      </c>
      <c r="P7" s="34">
        <f>IFERROR(__xludf.DUMMYFUNCTION("""COMPUTED_VALUE"""),0.011899999999999999)</f>
        <v>0.0119</v>
      </c>
      <c r="Q7" s="35">
        <f>IFERROR(__xludf.DUMMYFUNCTION("""COMPUTED_VALUE"""),0.7127086800293023)</f>
        <v>0.71270868</v>
      </c>
      <c r="R7" s="37" t="str">
        <f>IFERROR(__xludf.DUMMYFUNCTION("""COMPUTED_VALUE"""),"Trimestral")</f>
        <v>Trimestral</v>
      </c>
      <c r="S7" s="37" t="str">
        <f>IFERROR(__xludf.DUMMYFUNCTION("""COMPUTED_VALUE"""),"Bullet")</f>
        <v>Bullet</v>
      </c>
      <c r="T7" s="37" t="str">
        <f>IFERROR(__xludf.DUMMYFUNCTION("""COMPUTED_VALUE"""),"NY")</f>
        <v>NY</v>
      </c>
      <c r="U7" s="20">
        <f>IFERROR(__xludf.DUMMYFUNCTION("""COMPUTED_VALUE"""),1.0)</f>
        <v>1</v>
      </c>
      <c r="V7" s="20">
        <f>IFERROR(__xludf.DUMMYFUNCTION("""COMPUTED_VALUE"""),83.0)</f>
        <v>83</v>
      </c>
      <c r="W7" s="31">
        <f>IFERROR(__xludf.DUMMYFUNCTION("""COMPUTED_VALUE"""),1.0122290230494022)</f>
        <v>1.012229023</v>
      </c>
      <c r="X7" s="20"/>
      <c r="Y7" s="20"/>
      <c r="Z7" s="20"/>
      <c r="AA7" s="20"/>
      <c r="AB7" s="20"/>
      <c r="AC7" s="20"/>
      <c r="AD7" s="20"/>
      <c r="AE7" s="20"/>
      <c r="AF7" s="20"/>
      <c r="AG7" s="20" t="str">
        <f>IFERROR(__xludf.DUMMYFUNCTION("""COMPUTED_VALUE"""),"Poco volumen")</f>
        <v>Poco volumen</v>
      </c>
      <c r="AH7" s="37" t="str">
        <f>IFERROR(__xludf.DUMMYFUNCTION("""COMPUTED_VALUE"""),"Irsa")</f>
        <v>Irsa</v>
      </c>
      <c r="AI7" s="39" t="str">
        <f>IFERROR(__xludf.DUMMYFUNCTION("""COMPUTED_VALUE"""),"IRCHD")</f>
        <v>IRCHD</v>
      </c>
      <c r="AJ7" s="34" t="str">
        <f>IFERROR(__xludf.DUMMYFUNCTION("""COMPUTED_VALUE"""),"#NUM!")</f>
        <v>#NUM!</v>
      </c>
      <c r="AK7" s="35">
        <f>IFERROR(__xludf.DUMMYFUNCTION("""COMPUTED_VALUE"""),104.5)</f>
        <v>104.5</v>
      </c>
      <c r="AL7" s="41">
        <f>IFERROR(__xludf.DUMMYFUNCTION("""COMPUTED_VALUE"""),104.5)</f>
        <v>104.5</v>
      </c>
      <c r="AM7" s="42" t="str">
        <f>IFERROR(__xludf.DUMMYFUNCTION("""COMPUTED_VALUE"""),"#NUM!")</f>
        <v>#NUM!</v>
      </c>
      <c r="AN7" s="43" t="str">
        <f>IFERROR(__xludf.DUMMYFUNCTION("""COMPUTED_VALUE"""),"#N/A")</f>
        <v>#N/A</v>
      </c>
      <c r="AO7" s="37" t="str">
        <f>IFERROR(__xludf.DUMMYFUNCTION("""COMPUTED_VALUE"""),"Argentina")</f>
        <v>Argentina</v>
      </c>
      <c r="AP7" s="43" t="str">
        <f>IFERROR(__xludf.DUMMYFUNCTION("""COMPUTED_VALUE"""),"#N/A")</f>
        <v>#N/A</v>
      </c>
      <c r="AQ7" s="44">
        <f>IFERROR(__xludf.DUMMYFUNCTION("""COMPUTED_VALUE"""),1.0)</f>
        <v>1</v>
      </c>
      <c r="AR7" s="43" t="str">
        <f>IFERROR(__xludf.DUMMYFUNCTION("""COMPUTED_VALUE"""),"#N/A")</f>
        <v>#N/A</v>
      </c>
      <c r="AS7" s="20"/>
      <c r="AT7" s="20"/>
      <c r="AU7" s="20"/>
      <c r="AV7" s="20"/>
      <c r="AW7" s="20"/>
      <c r="AX7" s="20"/>
      <c r="AY7" s="20"/>
      <c r="AZ7" s="20"/>
      <c r="BA7" s="20"/>
      <c r="BB7" s="20"/>
    </row>
    <row r="8">
      <c r="A8" s="20"/>
      <c r="B8" s="33" t="s">
        <v>59</v>
      </c>
      <c r="C8" s="45">
        <f t="shared" si="1"/>
        <v>0.08018455933</v>
      </c>
      <c r="D8" s="46">
        <f t="shared" si="2"/>
        <v>6.342041483</v>
      </c>
      <c r="E8" s="47">
        <f t="shared" si="3"/>
        <v>49399</v>
      </c>
      <c r="F8" s="48">
        <f t="shared" si="4"/>
        <v>0.1576779343</v>
      </c>
      <c r="G8" s="38">
        <f t="shared" si="5"/>
        <v>0.1441068747</v>
      </c>
      <c r="H8" s="48">
        <f t="shared" si="6"/>
        <v>1</v>
      </c>
      <c r="I8" s="20"/>
      <c r="J8" s="39" t="str">
        <f>IFERROR(__xludf.DUMMYFUNCTION("""COMPUTED_VALUE"""),"MGC9D")</f>
        <v>MGC9D</v>
      </c>
      <c r="K8" s="37" t="str">
        <f>IFERROR(__xludf.DUMMYFUNCTION("""COMPUTED_VALUE"""),"Pampa Energia")</f>
        <v>Pampa Energia</v>
      </c>
      <c r="L8" s="36">
        <f>IFERROR(__xludf.DUMMYFUNCTION("""COMPUTED_VALUE"""),46364.0)</f>
        <v>46364</v>
      </c>
      <c r="M8" s="34">
        <f>IFERROR(__xludf.DUMMYFUNCTION("""COMPUTED_VALUE"""),0.095)</f>
        <v>0.095</v>
      </c>
      <c r="N8" s="40">
        <f>IFERROR(__xludf.DUMMYFUNCTION("""COMPUTED_VALUE"""),71.2)</f>
        <v>71.2</v>
      </c>
      <c r="O8" s="34">
        <f>IFERROR(__xludf.DUMMYFUNCTION("""COMPUTED_VALUE"""),0.04779948184699389)</f>
        <v>0.04779948185</v>
      </c>
      <c r="P8" s="34">
        <f>IFERROR(__xludf.DUMMYFUNCTION("""COMPUTED_VALUE"""),-0.0055000000000000005)</f>
        <v>-0.0055</v>
      </c>
      <c r="Q8" s="35">
        <f>IFERROR(__xludf.DUMMYFUNCTION("""COMPUTED_VALUE"""),0.6604825150010593)</f>
        <v>0.660482515</v>
      </c>
      <c r="R8" s="37" t="str">
        <f>IFERROR(__xludf.DUMMYFUNCTION("""COMPUTED_VALUE"""),"Semestral")</f>
        <v>Semestral</v>
      </c>
      <c r="S8" s="37" t="str">
        <f>IFERROR(__xludf.DUMMYFUNCTION("""COMPUTED_VALUE"""),"Sinkable")</f>
        <v>Sinkable</v>
      </c>
      <c r="T8" s="37" t="str">
        <f>IFERROR(__xludf.DUMMYFUNCTION("""COMPUTED_VALUE"""),"NY")</f>
        <v>NY</v>
      </c>
      <c r="U8" s="20">
        <f>IFERROR(__xludf.DUMMYFUNCTION("""COMPUTED_VALUE"""),1.0)</f>
        <v>1</v>
      </c>
      <c r="V8" s="20">
        <f>IFERROR(__xludf.DUMMYFUNCTION("""COMPUTED_VALUE"""),61.0)</f>
        <v>61</v>
      </c>
      <c r="W8" s="31">
        <f>IFERROR(__xludf.DUMMYFUNCTION("""COMPUTED_VALUE"""),1.029277921301921)</f>
        <v>1.029277921</v>
      </c>
      <c r="X8" s="20" t="str">
        <f>IFERROR(__xludf.DUMMYFUNCTION("""COMPUTED_VALUE"""),"al30c")</f>
        <v>al30c</v>
      </c>
      <c r="Y8" s="20"/>
      <c r="Z8" s="20"/>
      <c r="AA8" s="20"/>
      <c r="AB8" s="20"/>
      <c r="AC8" s="20"/>
      <c r="AD8" s="20"/>
      <c r="AE8" s="20"/>
      <c r="AF8" s="20"/>
      <c r="AG8" s="20" t="str">
        <f>IFERROR(__xludf.DUMMYFUNCTION("""COMPUTED_VALUE"""),"Poco volumen")</f>
        <v>Poco volumen</v>
      </c>
      <c r="AH8" s="37" t="str">
        <f>IFERROR(__xludf.DUMMYFUNCTION("""COMPUTED_VALUE"""),"Pampa energia")</f>
        <v>Pampa energia</v>
      </c>
      <c r="AI8" s="39" t="str">
        <f>IFERROR(__xludf.DUMMYFUNCTION("""COMPUTED_VALUE"""),"MGCJD")</f>
        <v>MGCJD</v>
      </c>
      <c r="AJ8" s="34" t="str">
        <f>IFERROR(__xludf.DUMMYFUNCTION("""COMPUTED_VALUE"""),"#NUM!")</f>
        <v>#NUM!</v>
      </c>
      <c r="AK8" s="35">
        <f>IFERROR(__xludf.DUMMYFUNCTION("""COMPUTED_VALUE"""),0.0)</f>
        <v>0</v>
      </c>
      <c r="AL8" s="41">
        <f>IFERROR(__xludf.DUMMYFUNCTION("""COMPUTED_VALUE"""),0.0)</f>
        <v>0</v>
      </c>
      <c r="AM8" s="42" t="str">
        <f>IFERROR(__xludf.DUMMYFUNCTION("""COMPUTED_VALUE"""),"#NUM!")</f>
        <v>#NUM!</v>
      </c>
      <c r="AN8" s="43" t="str">
        <f>IFERROR(__xludf.DUMMYFUNCTION("""COMPUTED_VALUE"""),"#N/A")</f>
        <v>#N/A</v>
      </c>
      <c r="AO8" s="37" t="str">
        <f>IFERROR(__xludf.DUMMYFUNCTION("""COMPUTED_VALUE"""),"Argentina")</f>
        <v>Argentina</v>
      </c>
      <c r="AP8" s="43" t="str">
        <f>IFERROR(__xludf.DUMMYFUNCTION("""COMPUTED_VALUE"""),"#N/A")</f>
        <v>#N/A</v>
      </c>
      <c r="AQ8" s="44">
        <f>IFERROR(__xludf.DUMMYFUNCTION("""COMPUTED_VALUE"""),1.0)</f>
        <v>1</v>
      </c>
      <c r="AR8" s="43" t="str">
        <f>IFERROR(__xludf.DUMMYFUNCTION("""COMPUTED_VALUE"""),"#N/A")</f>
        <v>#N/A</v>
      </c>
      <c r="AS8" s="20"/>
      <c r="AT8" s="20"/>
      <c r="AU8" s="20"/>
      <c r="AV8" s="20"/>
      <c r="AW8" s="20"/>
      <c r="AX8" s="20"/>
      <c r="AY8" s="20"/>
      <c r="AZ8" s="20"/>
      <c r="BA8" s="20"/>
      <c r="BB8" s="20"/>
    </row>
    <row r="9">
      <c r="A9" s="20"/>
      <c r="B9" s="33" t="s">
        <v>60</v>
      </c>
      <c r="C9" s="45">
        <f t="shared" si="1"/>
        <v>0.08647523169</v>
      </c>
      <c r="D9" s="46">
        <f t="shared" si="2"/>
        <v>5.573419366</v>
      </c>
      <c r="E9" s="47">
        <f t="shared" si="3"/>
        <v>48961</v>
      </c>
      <c r="F9" s="48">
        <f t="shared" si="4"/>
        <v>0.1794230677</v>
      </c>
      <c r="G9" s="38">
        <f t="shared" si="5"/>
        <v>0.1639804431</v>
      </c>
      <c r="H9" s="48">
        <f t="shared" si="6"/>
        <v>1</v>
      </c>
      <c r="I9" s="20"/>
      <c r="J9" s="39" t="str">
        <f>IFERROR(__xludf.DUMMYFUNCTION("""COMPUTED_VALUE"""),"PNDCD")</f>
        <v>PNDCD</v>
      </c>
      <c r="K9" s="37" t="str">
        <f>IFERROR(__xludf.DUMMYFUNCTION("""COMPUTED_VALUE"""),"Pan American Energy")</f>
        <v>Pan American Energy</v>
      </c>
      <c r="L9" s="36">
        <f>IFERROR(__xludf.DUMMYFUNCTION("""COMPUTED_VALUE"""),46507.0)</f>
        <v>46507</v>
      </c>
      <c r="M9" s="34">
        <f>IFERROR(__xludf.DUMMYFUNCTION("""COMPUTED_VALUE"""),0.0913)</f>
        <v>0.0913</v>
      </c>
      <c r="N9" s="40">
        <f>IFERROR(__xludf.DUMMYFUNCTION("""COMPUTED_VALUE"""),86.5)</f>
        <v>86.5</v>
      </c>
      <c r="O9" s="34">
        <f>IFERROR(__xludf.DUMMYFUNCTION("""COMPUTED_VALUE"""),0.03924871575088921)</f>
        <v>0.03924871575</v>
      </c>
      <c r="P9" s="34">
        <f>IFERROR(__xludf.DUMMYFUNCTION("""COMPUTED_VALUE"""),-0.017)</f>
        <v>-0.017</v>
      </c>
      <c r="Q9" s="35">
        <f>IFERROR(__xludf.DUMMYFUNCTION("""COMPUTED_VALUE"""),0.7822434263638092)</f>
        <v>0.7822434264</v>
      </c>
      <c r="R9" s="37" t="str">
        <f>IFERROR(__xludf.DUMMYFUNCTION("""COMPUTED_VALUE"""),"Semestral")</f>
        <v>Semestral</v>
      </c>
      <c r="S9" s="37" t="str">
        <f>IFERROR(__xludf.DUMMYFUNCTION("""COMPUTED_VALUE"""),"Sinkable")</f>
        <v>Sinkable</v>
      </c>
      <c r="T9" s="37" t="str">
        <f>IFERROR(__xludf.DUMMYFUNCTION("""COMPUTED_VALUE"""),"NY")</f>
        <v>NY</v>
      </c>
      <c r="U9" s="20">
        <f>IFERROR(__xludf.DUMMYFUNCTION("""COMPUTED_VALUE"""),1000.0)</f>
        <v>1000</v>
      </c>
      <c r="V9" s="20">
        <f>IFERROR(__xludf.DUMMYFUNCTION("""COMPUTED_VALUE"""),22.0)</f>
        <v>22</v>
      </c>
      <c r="W9" s="31">
        <f>IFERROR(__xludf.DUMMYFUNCTION("""COMPUTED_VALUE"""),1.0386023893858438)</f>
        <v>1.038602389</v>
      </c>
      <c r="X9" s="20" t="str">
        <f>IFERROR(__xludf.DUMMYFUNCTION("""COMPUTED_VALUE"""),"al30d")</f>
        <v>al30d</v>
      </c>
      <c r="Y9" s="20"/>
      <c r="Z9" s="20"/>
      <c r="AA9" s="20"/>
      <c r="AB9" s="20"/>
      <c r="AC9" s="20"/>
      <c r="AD9" s="20"/>
      <c r="AE9" s="20"/>
      <c r="AF9" s="20"/>
      <c r="AG9" s="20"/>
      <c r="AH9" s="37" t="str">
        <f>IFERROR(__xludf.DUMMYFUNCTION("""COMPUTED_VALUE"""),"Pampa energia")</f>
        <v>Pampa energia</v>
      </c>
      <c r="AI9" s="39" t="str">
        <f>IFERROR(__xludf.DUMMYFUNCTION("""COMPUTED_VALUE"""),"MGCHD")</f>
        <v>MGCHD</v>
      </c>
      <c r="AJ9" s="34">
        <f>IFERROR(__xludf.DUMMYFUNCTION("""COMPUTED_VALUE"""),0.24190855575300954)</f>
        <v>0.2419085558</v>
      </c>
      <c r="AK9" s="35">
        <f>IFERROR(__xludf.DUMMYFUNCTION("""COMPUTED_VALUE"""),100.95)</f>
        <v>100.95</v>
      </c>
      <c r="AL9" s="41">
        <f>IFERROR(__xludf.DUMMYFUNCTION("""COMPUTED_VALUE"""),100.95)</f>
        <v>100.95</v>
      </c>
      <c r="AM9" s="42">
        <f>IFERROR(__xludf.DUMMYFUNCTION("""COMPUTED_VALUE"""),0.06391983923288115)</f>
        <v>0.06391983923</v>
      </c>
      <c r="AN9" s="43">
        <f>IFERROR(__xludf.DUMMYFUNCTION("""COMPUTED_VALUE"""),45965.0)</f>
        <v>45965</v>
      </c>
      <c r="AO9" s="37" t="str">
        <f>IFERROR(__xludf.DUMMYFUNCTION("""COMPUTED_VALUE"""),"Argentina")</f>
        <v>Argentina</v>
      </c>
      <c r="AP9" s="43" t="str">
        <f>IFERROR(__xludf.DUMMYFUNCTION("""COMPUTED_VALUE"""),"Semestral")</f>
        <v>Semestral</v>
      </c>
      <c r="AQ9" s="44">
        <f>IFERROR(__xludf.DUMMYFUNCTION("""COMPUTED_VALUE"""),1.0)</f>
        <v>1</v>
      </c>
      <c r="AR9" s="43" t="str">
        <f>IFERROR(__xludf.DUMMYFUNCTION("""COMPUTED_VALUE"""),"Bullet")</f>
        <v>Bullet</v>
      </c>
      <c r="AS9" s="20"/>
      <c r="AT9" s="20"/>
      <c r="AU9" s="20"/>
      <c r="AV9" s="20"/>
      <c r="AW9" s="20"/>
      <c r="AX9" s="20"/>
      <c r="AY9" s="20"/>
      <c r="AZ9" s="20"/>
      <c r="BA9" s="20"/>
      <c r="BB9" s="20"/>
    </row>
    <row r="10">
      <c r="A10" s="20"/>
      <c r="B10" s="33" t="s">
        <v>61</v>
      </c>
      <c r="C10" s="45">
        <f t="shared" si="1"/>
        <v>0.09286748149</v>
      </c>
      <c r="D10" s="46">
        <f t="shared" si="2"/>
        <v>3.897956816</v>
      </c>
      <c r="E10" s="47">
        <f t="shared" si="3"/>
        <v>48047</v>
      </c>
      <c r="F10" s="48">
        <f t="shared" si="4"/>
        <v>0.2565446584</v>
      </c>
      <c r="G10" s="38">
        <f t="shared" si="5"/>
        <v>0.2344643156</v>
      </c>
      <c r="H10" s="48">
        <f t="shared" si="6"/>
        <v>1000</v>
      </c>
      <c r="I10" s="20"/>
      <c r="J10" s="37" t="str">
        <f>IFERROR(__xludf.DUMMYFUNCTION("""COMPUTED_VALUE"""),"YCAMD")</f>
        <v>YCAMD</v>
      </c>
      <c r="K10" s="37" t="str">
        <f>IFERROR(__xludf.DUMMYFUNCTION("""COMPUTED_VALUE"""),"YPF")</f>
        <v>YPF</v>
      </c>
      <c r="L10" s="36">
        <f>IFERROR(__xludf.DUMMYFUNCTION("""COMPUTED_VALUE"""),46589.0)</f>
        <v>46589</v>
      </c>
      <c r="M10" s="34">
        <f>IFERROR(__xludf.DUMMYFUNCTION("""COMPUTED_VALUE"""),0.0695)</f>
        <v>0.0695</v>
      </c>
      <c r="N10" s="40">
        <f>IFERROR(__xludf.DUMMYFUNCTION("""COMPUTED_VALUE"""),102.25)</f>
        <v>102.25</v>
      </c>
      <c r="O10" s="34">
        <f>IFERROR(__xludf.DUMMYFUNCTION("""COMPUTED_VALUE"""),0.06619237840504184)</f>
        <v>0.06619237841</v>
      </c>
      <c r="P10" s="34">
        <f>IFERROR(__xludf.DUMMYFUNCTION("""COMPUTED_VALUE"""),0.0)</f>
        <v>0</v>
      </c>
      <c r="Q10" s="35">
        <f>IFERROR(__xludf.DUMMYFUNCTION("""COMPUTED_VALUE"""),1.7036405613044903)</f>
        <v>1.703640561</v>
      </c>
      <c r="R10" s="37" t="str">
        <f>IFERROR(__xludf.DUMMYFUNCTION("""COMPUTED_VALUE"""),"Semestral")</f>
        <v>Semestral</v>
      </c>
      <c r="S10" s="37" t="str">
        <f>IFERROR(__xludf.DUMMYFUNCTION("""COMPUTED_VALUE"""),"Bullet")</f>
        <v>Bullet</v>
      </c>
      <c r="T10" s="37" t="str">
        <f>IFERROR(__xludf.DUMMYFUNCTION("""COMPUTED_VALUE"""),"NY")</f>
        <v>NY</v>
      </c>
      <c r="U10" s="20">
        <f>IFERROR(__xludf.DUMMYFUNCTION("""COMPUTED_VALUE"""),10000.0)</f>
        <v>10000</v>
      </c>
      <c r="V10" s="20">
        <f>IFERROR(__xludf.DUMMYFUNCTION("""COMPUTED_VALUE"""),105.0)</f>
        <v>105</v>
      </c>
      <c r="W10" s="31">
        <f>IFERROR(__xludf.DUMMYFUNCTION("""COMPUTED_VALUE"""),1.006948243790349)</f>
        <v>1.006948244</v>
      </c>
      <c r="X10" s="20"/>
      <c r="Y10" s="20"/>
      <c r="Z10" s="20"/>
      <c r="AA10" s="20"/>
      <c r="AB10" s="20"/>
      <c r="AC10" s="20"/>
      <c r="AD10" s="20"/>
      <c r="AE10" s="20"/>
      <c r="AF10" s="20"/>
      <c r="AG10" s="20" t="str">
        <f>IFERROR(__xludf.DUMMYFUNCTION("""COMPUTED_VALUE"""),"Poco volumen")</f>
        <v>Poco volumen</v>
      </c>
      <c r="AH10" s="37" t="str">
        <f>IFERROR(__xludf.DUMMYFUNCTION("""COMPUTED_VALUE"""),"Arcor")</f>
        <v>Arcor</v>
      </c>
      <c r="AI10" s="39" t="str">
        <f>IFERROR(__xludf.DUMMYFUNCTION("""COMPUTED_VALUE"""),"RCCMD")</f>
        <v>RCCMD</v>
      </c>
      <c r="AJ10" s="34">
        <f>IFERROR(__xludf.DUMMYFUNCTION("""COMPUTED_VALUE"""),0.02144906447461636)</f>
        <v>0.02144906447</v>
      </c>
      <c r="AK10" s="35">
        <f>IFERROR(__xludf.DUMMYFUNCTION("""COMPUTED_VALUE"""),101.5)</f>
        <v>101.5</v>
      </c>
      <c r="AL10" s="41">
        <f>IFERROR(__xludf.DUMMYFUNCTION("""COMPUTED_VALUE"""),101.5)</f>
        <v>101.5</v>
      </c>
      <c r="AM10" s="42">
        <f>IFERROR(__xludf.DUMMYFUNCTION("""COMPUTED_VALUE"""),0.119275557329253)</f>
        <v>0.1192755573</v>
      </c>
      <c r="AN10" s="43">
        <f>IFERROR(__xludf.DUMMYFUNCTION("""COMPUTED_VALUE"""),45983.0)</f>
        <v>45983</v>
      </c>
      <c r="AO10" s="37" t="str">
        <f>IFERROR(__xludf.DUMMYFUNCTION("""COMPUTED_VALUE"""),"Argentina")</f>
        <v>Argentina</v>
      </c>
      <c r="AP10" s="43" t="str">
        <f>IFERROR(__xludf.DUMMYFUNCTION("""COMPUTED_VALUE"""),"Semestral")</f>
        <v>Semestral</v>
      </c>
      <c r="AQ10" s="44">
        <f>IFERROR(__xludf.DUMMYFUNCTION("""COMPUTED_VALUE"""),1.0)</f>
        <v>1</v>
      </c>
      <c r="AR10" s="43" t="str">
        <f>IFERROR(__xludf.DUMMYFUNCTION("""COMPUTED_VALUE"""),"Bullet")</f>
        <v>Bullet</v>
      </c>
      <c r="AS10" s="20"/>
      <c r="AT10" s="20"/>
      <c r="AU10" s="20"/>
      <c r="AV10" s="20"/>
      <c r="AW10" s="20"/>
      <c r="AX10" s="20"/>
      <c r="AY10" s="20"/>
      <c r="AZ10" s="20"/>
      <c r="BA10" s="20"/>
      <c r="BB10" s="20"/>
    </row>
    <row r="11">
      <c r="A11" s="20"/>
      <c r="B11" s="33"/>
      <c r="C11" s="37"/>
      <c r="D11" s="37"/>
      <c r="E11" s="49"/>
      <c r="F11" s="37"/>
      <c r="G11" s="38"/>
      <c r="H11" s="49"/>
      <c r="I11" s="20"/>
      <c r="J11" s="39" t="str">
        <f>IFERROR(__xludf.DUMMYFUNCTION("""COMPUTED_VALUE"""),"GNCXD")</f>
        <v>GNCXD</v>
      </c>
      <c r="K11" s="37" t="str">
        <f>IFERROR(__xludf.DUMMYFUNCTION("""COMPUTED_VALUE"""),"Genneia")</f>
        <v>Genneia</v>
      </c>
      <c r="L11" s="36">
        <f>IFERROR(__xludf.DUMMYFUNCTION("""COMPUTED_VALUE"""),46632.0)</f>
        <v>46632</v>
      </c>
      <c r="M11" s="34">
        <f>IFERROR(__xludf.DUMMYFUNCTION("""COMPUTED_VALUE"""),0.0875)</f>
        <v>0.0875</v>
      </c>
      <c r="N11" s="40">
        <f>IFERROR(__xludf.DUMMYFUNCTION("""COMPUTED_VALUE"""),40.89)</f>
        <v>40.89</v>
      </c>
      <c r="O11" s="34">
        <f>IFERROR(__xludf.DUMMYFUNCTION("""COMPUTED_VALUE"""),0.07634798914958861)</f>
        <v>0.07634798915</v>
      </c>
      <c r="P11" s="34">
        <f>IFERROR(__xludf.DUMMYFUNCTION("""COMPUTED_VALUE"""),0.0070999999999999995)</f>
        <v>0.0071</v>
      </c>
      <c r="Q11" s="35">
        <f>IFERROR(__xludf.DUMMYFUNCTION("""COMPUTED_VALUE"""),1.1154498500735563)</f>
        <v>1.11544985</v>
      </c>
      <c r="R11" s="37" t="str">
        <f>IFERROR(__xludf.DUMMYFUNCTION("""COMPUTED_VALUE"""),"Semestral")</f>
        <v>Semestral</v>
      </c>
      <c r="S11" s="37" t="str">
        <f>IFERROR(__xludf.DUMMYFUNCTION("""COMPUTED_VALUE"""),"Sinkable")</f>
        <v>Sinkable</v>
      </c>
      <c r="T11" s="37" t="str">
        <f>IFERROR(__xludf.DUMMYFUNCTION("""COMPUTED_VALUE"""),"NY")</f>
        <v>NY</v>
      </c>
      <c r="U11" s="20">
        <f>IFERROR(__xludf.DUMMYFUNCTION("""COMPUTED_VALUE"""),1000.0)</f>
        <v>1000</v>
      </c>
      <c r="V11" s="20">
        <f>IFERROR(__xludf.DUMMYFUNCTION("""COMPUTED_VALUE"""),145.0)</f>
        <v>145</v>
      </c>
      <c r="W11" s="31">
        <f>IFERROR(__xludf.DUMMYFUNCTION("""COMPUTED_VALUE"""),0.8105110292852472)</f>
        <v>0.8105110293</v>
      </c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37" t="str">
        <f>IFERROR(__xludf.DUMMYFUNCTION("""COMPUTED_VALUE"""),"Tarjeta Naranja")</f>
        <v>Tarjeta Naranja</v>
      </c>
      <c r="AI11" s="39" t="str">
        <f>IFERROR(__xludf.DUMMYFUNCTION("""COMPUTED_VALUE"""),"TN63D")</f>
        <v>TN63D</v>
      </c>
      <c r="AJ11" s="34" t="str">
        <f>IFERROR(__xludf.DUMMYFUNCTION("""COMPUTED_VALUE"""),"#NUM!")</f>
        <v>#NUM!</v>
      </c>
      <c r="AK11" s="35">
        <f>IFERROR(__xludf.DUMMYFUNCTION("""COMPUTED_VALUE"""),101.25)</f>
        <v>101.25</v>
      </c>
      <c r="AL11" s="41">
        <f>IFERROR(__xludf.DUMMYFUNCTION("""COMPUTED_VALUE"""),101.25)</f>
        <v>101.25</v>
      </c>
      <c r="AM11" s="42" t="str">
        <f>IFERROR(__xludf.DUMMYFUNCTION("""COMPUTED_VALUE"""),"#NUM!")</f>
        <v>#NUM!</v>
      </c>
      <c r="AN11" s="43">
        <f>IFERROR(__xludf.DUMMYFUNCTION("""COMPUTED_VALUE"""),45989.0)</f>
        <v>45989</v>
      </c>
      <c r="AO11" s="37" t="str">
        <f>IFERROR(__xludf.DUMMYFUNCTION("""COMPUTED_VALUE"""),"Argentina")</f>
        <v>Argentina</v>
      </c>
      <c r="AP11" s="37" t="str">
        <f>IFERROR(__xludf.DUMMYFUNCTION("""COMPUTED_VALUE"""),"Trimestral")</f>
        <v>Trimestral</v>
      </c>
      <c r="AQ11" s="44">
        <f>IFERROR(__xludf.DUMMYFUNCTION("""COMPUTED_VALUE"""),1.0)</f>
        <v>1</v>
      </c>
      <c r="AR11" s="37" t="str">
        <f>IFERROR(__xludf.DUMMYFUNCTION("""COMPUTED_VALUE"""),"Sinkable")</f>
        <v>Sinkable</v>
      </c>
      <c r="AS11" s="20"/>
      <c r="AT11" s="20"/>
      <c r="AU11" s="20"/>
      <c r="AV11" s="20"/>
      <c r="AW11" s="20"/>
      <c r="AX11" s="20"/>
      <c r="AY11" s="20"/>
      <c r="AZ11" s="20"/>
      <c r="BA11" s="20"/>
      <c r="BB11" s="20"/>
    </row>
    <row r="12">
      <c r="A12" s="20"/>
      <c r="B12" s="50"/>
      <c r="C12" s="50"/>
      <c r="D12" s="50"/>
      <c r="E12" s="50"/>
      <c r="F12" s="50">
        <f>SUM(F6:F11)</f>
        <v>1.094173575</v>
      </c>
      <c r="G12" s="50"/>
      <c r="H12" s="20"/>
      <c r="I12" s="20"/>
      <c r="J12" s="39" t="str">
        <f>IFERROR(__xludf.DUMMYFUNCTION("""COMPUTED_VALUE"""),"IRCFD")</f>
        <v>IRCFD</v>
      </c>
      <c r="K12" s="37" t="str">
        <f>IFERROR(__xludf.DUMMYFUNCTION("""COMPUTED_VALUE"""),"Irsa")</f>
        <v>Irsa</v>
      </c>
      <c r="L12" s="36">
        <f>IFERROR(__xludf.DUMMYFUNCTION("""COMPUTED_VALUE"""),46926.0)</f>
        <v>46926</v>
      </c>
      <c r="M12" s="34">
        <f>IFERROR(__xludf.DUMMYFUNCTION("""COMPUTED_VALUE"""),0.0875)</f>
        <v>0.0875</v>
      </c>
      <c r="N12" s="40">
        <f>IFERROR(__xludf.DUMMYFUNCTION("""COMPUTED_VALUE"""),69.79)</f>
        <v>69.79</v>
      </c>
      <c r="O12" s="34">
        <f>IFERROR(__xludf.DUMMYFUNCTION("""COMPUTED_VALUE"""),0.060872134275639526)</f>
        <v>0.06087213428</v>
      </c>
      <c r="P12" s="34">
        <f>IFERROR(__xludf.DUMMYFUNCTION("""COMPUTED_VALUE"""),-0.0012)</f>
        <v>-0.0012</v>
      </c>
      <c r="Q12" s="35">
        <f>IFERROR(__xludf.DUMMYFUNCTION("""COMPUTED_VALUE"""),1.7631168587831665)</f>
        <v>1.763116859</v>
      </c>
      <c r="R12" s="37" t="str">
        <f>IFERROR(__xludf.DUMMYFUNCTION("""COMPUTED_VALUE"""),"Semestral")</f>
        <v>Semestral</v>
      </c>
      <c r="S12" s="37" t="str">
        <f>IFERROR(__xludf.DUMMYFUNCTION("""COMPUTED_VALUE"""),"Sinkable")</f>
        <v>Sinkable</v>
      </c>
      <c r="T12" s="37" t="str">
        <f>IFERROR(__xludf.DUMMYFUNCTION("""COMPUTED_VALUE"""),"NY")</f>
        <v>NY</v>
      </c>
      <c r="U12" s="20">
        <f>IFERROR(__xludf.DUMMYFUNCTION("""COMPUTED_VALUE"""),1.0)</f>
        <v>1</v>
      </c>
      <c r="V12" s="20">
        <f>IFERROR(__xludf.DUMMYFUNCTION("""COMPUTED_VALUE"""),75.0)</f>
        <v>75</v>
      </c>
      <c r="W12" s="31">
        <f>IFERROR(__xludf.DUMMYFUNCTION("""COMPUTED_VALUE"""),1.0459810730148655)</f>
        <v>1.045981073</v>
      </c>
      <c r="X12" s="20"/>
      <c r="Y12" s="20"/>
      <c r="Z12" s="20"/>
      <c r="AA12" s="20"/>
      <c r="AB12" s="20"/>
      <c r="AC12" s="20"/>
      <c r="AD12" s="20"/>
      <c r="AE12" s="20"/>
      <c r="AF12" s="20"/>
      <c r="AG12" s="20" t="str">
        <f>IFERROR(__xludf.DUMMYFUNCTION("""COMPUTED_VALUE"""),"Poco volumen")</f>
        <v>Poco volumen</v>
      </c>
      <c r="AH12" s="37" t="str">
        <f>IFERROR(__xludf.DUMMYFUNCTION("""COMPUTED_VALUE"""),"Loma Negra")</f>
        <v>Loma Negra</v>
      </c>
      <c r="AI12" s="39" t="str">
        <f>IFERROR(__xludf.DUMMYFUNCTION("""COMPUTED_VALUE"""),"LOC2D")</f>
        <v>LOC2D</v>
      </c>
      <c r="AJ12" s="34">
        <f>IFERROR(__xludf.DUMMYFUNCTION("""COMPUTED_VALUE"""),0.16231005781614452)</f>
        <v>0.1623100578</v>
      </c>
      <c r="AK12" s="35">
        <f>IFERROR(__xludf.DUMMYFUNCTION("""COMPUTED_VALUE"""),100.2)</f>
        <v>100.2</v>
      </c>
      <c r="AL12" s="41">
        <f>IFERROR(__xludf.DUMMYFUNCTION("""COMPUTED_VALUE"""),100.2)</f>
        <v>100.2</v>
      </c>
      <c r="AM12" s="42">
        <f>IFERROR(__xludf.DUMMYFUNCTION("""COMPUTED_VALUE"""),0.18551071432542224)</f>
        <v>0.1855107143</v>
      </c>
      <c r="AN12" s="43" t="str">
        <f>IFERROR(__xludf.DUMMYFUNCTION("""COMPUTED_VALUE"""),"#N/A")</f>
        <v>#N/A</v>
      </c>
      <c r="AO12" s="37" t="str">
        <f>IFERROR(__xludf.DUMMYFUNCTION("""COMPUTED_VALUE"""),"Argentina")</f>
        <v>Argentina</v>
      </c>
      <c r="AP12" s="43" t="str">
        <f>IFERROR(__xludf.DUMMYFUNCTION("""COMPUTED_VALUE"""),"#N/A")</f>
        <v>#N/A</v>
      </c>
      <c r="AQ12" s="44">
        <f>IFERROR(__xludf.DUMMYFUNCTION("""COMPUTED_VALUE"""),1.0)</f>
        <v>1</v>
      </c>
      <c r="AR12" s="43" t="str">
        <f>IFERROR(__xludf.DUMMYFUNCTION("""COMPUTED_VALUE"""),"#N/A")</f>
        <v>#N/A</v>
      </c>
      <c r="AS12" s="20"/>
      <c r="AT12" s="20"/>
      <c r="AU12" s="20"/>
      <c r="AV12" s="20"/>
      <c r="AW12" s="20"/>
      <c r="AX12" s="20"/>
      <c r="AY12" s="20"/>
      <c r="AZ12" s="20"/>
      <c r="BA12" s="20"/>
      <c r="BB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39" t="str">
        <f>IFERROR(__xludf.DUMMYFUNCTION("""COMPUTED_VALUE"""),"CAC5D")</f>
        <v>CAC5D</v>
      </c>
      <c r="K13" s="37" t="str">
        <f>IFERROR(__xludf.DUMMYFUNCTION("""COMPUTED_VALUE"""),"Capex")</f>
        <v>Capex</v>
      </c>
      <c r="L13" s="36">
        <f>IFERROR(__xludf.DUMMYFUNCTION("""COMPUTED_VALUE"""),46990.0)</f>
        <v>46990</v>
      </c>
      <c r="M13" s="34">
        <f>IFERROR(__xludf.DUMMYFUNCTION("""COMPUTED_VALUE"""),0.0925)</f>
        <v>0.0925</v>
      </c>
      <c r="N13" s="40">
        <f>IFERROR(__xludf.DUMMYFUNCTION("""COMPUTED_VALUE"""),75.72)</f>
        <v>75.72</v>
      </c>
      <c r="O13" s="34">
        <f>IFERROR(__xludf.DUMMYFUNCTION("""COMPUTED_VALUE"""),0.09544429307870247)</f>
        <v>0.09544429308</v>
      </c>
      <c r="P13" s="34">
        <f>IFERROR(__xludf.DUMMYFUNCTION("""COMPUTED_VALUE"""),-0.0076)</f>
        <v>-0.0076</v>
      </c>
      <c r="Q13" s="35">
        <f>IFERROR(__xludf.DUMMYFUNCTION("""COMPUTED_VALUE"""),1.5251915772927287)</f>
        <v>1.525191577</v>
      </c>
      <c r="R13" s="37" t="str">
        <f>IFERROR(__xludf.DUMMYFUNCTION("""COMPUTED_VALUE"""),"Semestral")</f>
        <v>Semestral</v>
      </c>
      <c r="S13" s="37" t="str">
        <f>IFERROR(__xludf.DUMMYFUNCTION("""COMPUTED_VALUE"""),"Sinkable")</f>
        <v>Sinkable</v>
      </c>
      <c r="T13" s="37" t="str">
        <f>IFERROR(__xludf.DUMMYFUNCTION("""COMPUTED_VALUE"""),"NY")</f>
        <v>NY</v>
      </c>
      <c r="U13" s="20">
        <f>IFERROR(__xludf.DUMMYFUNCTION("""COMPUTED_VALUE"""),1.0)</f>
        <v>1</v>
      </c>
      <c r="V13" s="20">
        <f>IFERROR(__xludf.DUMMYFUNCTION("""COMPUTED_VALUE"""),140.0)</f>
        <v>140</v>
      </c>
      <c r="W13" s="31">
        <f>IFERROR(__xludf.DUMMYFUNCTION("""COMPUTED_VALUE"""),0.855479941745002)</f>
        <v>0.8554799417</v>
      </c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37" t="str">
        <f>IFERROR(__xludf.DUMMYFUNCTION("""COMPUTED_VALUE"""),"YPF")</f>
        <v>YPF</v>
      </c>
      <c r="AI13" s="39" t="str">
        <f>IFERROR(__xludf.DUMMYFUNCTION("""COMPUTED_VALUE"""),"YMCQD")</f>
        <v>YMCQD</v>
      </c>
      <c r="AJ13" s="34">
        <f>IFERROR(__xludf.DUMMYFUNCTION("""COMPUTED_VALUE"""),0.0881540943546613)</f>
        <v>0.08815409435</v>
      </c>
      <c r="AK13" s="35">
        <f>IFERROR(__xludf.DUMMYFUNCTION("""COMPUTED_VALUE"""),100.4)</f>
        <v>100.4</v>
      </c>
      <c r="AL13" s="41">
        <f>IFERROR(__xludf.DUMMYFUNCTION("""COMPUTED_VALUE"""),100.4)</f>
        <v>100.4</v>
      </c>
      <c r="AM13" s="42">
        <f>IFERROR(__xludf.DUMMYFUNCTION("""COMPUTED_VALUE"""),0.32967463211111653)</f>
        <v>0.3296746321</v>
      </c>
      <c r="AN13" s="43">
        <f>IFERROR(__xludf.DUMMYFUNCTION("""COMPUTED_VALUE"""),46066.0)</f>
        <v>46066</v>
      </c>
      <c r="AO13" s="37" t="str">
        <f>IFERROR(__xludf.DUMMYFUNCTION("""COMPUTED_VALUE"""),"Argentina")</f>
        <v>Argentina</v>
      </c>
      <c r="AP13" s="43" t="str">
        <f>IFERROR(__xludf.DUMMYFUNCTION("""COMPUTED_VALUE"""),"Semestral")</f>
        <v>Semestral</v>
      </c>
      <c r="AQ13" s="44">
        <f>IFERROR(__xludf.DUMMYFUNCTION("""COMPUTED_VALUE"""),1.0)</f>
        <v>1</v>
      </c>
      <c r="AR13" s="43" t="str">
        <f>IFERROR(__xludf.DUMMYFUNCTION("""COMPUTED_VALUE"""),"Bullet")</f>
        <v>Bullet</v>
      </c>
      <c r="AS13" s="20"/>
      <c r="AT13" s="20"/>
      <c r="AU13" s="20"/>
      <c r="AV13" s="20"/>
      <c r="AW13" s="20"/>
      <c r="AX13" s="20"/>
      <c r="AY13" s="20"/>
      <c r="AZ13" s="20"/>
      <c r="BA13" s="20"/>
      <c r="BB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39" t="str">
        <f>IFERROR(__xludf.DUMMYFUNCTION("""COMPUTED_VALUE"""),"BYCHD")</f>
        <v>BYCHD</v>
      </c>
      <c r="K14" s="37" t="str">
        <f>IFERROR(__xludf.DUMMYFUNCTION("""COMPUTED_VALUE"""),"Galicia")</f>
        <v>Galicia</v>
      </c>
      <c r="L14" s="36">
        <f>IFERROR(__xludf.DUMMYFUNCTION("""COMPUTED_VALUE"""),47036.0)</f>
        <v>47036</v>
      </c>
      <c r="M14" s="34">
        <f>IFERROR(__xludf.DUMMYFUNCTION("""COMPUTED_VALUE"""),0.0775)</f>
        <v>0.0775</v>
      </c>
      <c r="N14" s="40">
        <f>IFERROR(__xludf.DUMMYFUNCTION("""COMPUTED_VALUE"""),105.8)</f>
        <v>105.8</v>
      </c>
      <c r="O14" s="34">
        <f>IFERROR(__xludf.DUMMYFUNCTION("""COMPUTED_VALUE"""),0.07149077584364663)</f>
        <v>0.07149077584</v>
      </c>
      <c r="P14" s="34">
        <f>IFERROR(__xludf.DUMMYFUNCTION("""COMPUTED_VALUE"""),-0.0014000000000000002)</f>
        <v>-0.0014</v>
      </c>
      <c r="Q14" s="35">
        <f>IFERROR(__xludf.DUMMYFUNCTION("""COMPUTED_VALUE"""),2.6701754812302956)</f>
        <v>2.670175481</v>
      </c>
      <c r="R14" s="37" t="str">
        <f>IFERROR(__xludf.DUMMYFUNCTION("""COMPUTED_VALUE"""),"Semestral")</f>
        <v>Semestral</v>
      </c>
      <c r="S14" s="37" t="str">
        <f>IFERROR(__xludf.DUMMYFUNCTION("""COMPUTED_VALUE"""),"Bullet")</f>
        <v>Bullet</v>
      </c>
      <c r="T14" s="37" t="str">
        <f>IFERROR(__xludf.DUMMYFUNCTION("""COMPUTED_VALUE"""),"NY")</f>
        <v>NY</v>
      </c>
      <c r="U14" s="20">
        <f>IFERROR(__xludf.DUMMYFUNCTION("""COMPUTED_VALUE"""),2000.0)</f>
        <v>2000</v>
      </c>
      <c r="V14" s="20">
        <f>IFERROR(__xludf.DUMMYFUNCTION("""COMPUTED_VALUE"""),2.0)</f>
        <v>2</v>
      </c>
      <c r="W14" s="31">
        <f>IFERROR(__xludf.DUMMYFUNCTION("""COMPUTED_VALUE"""),1.0181098889349247)</f>
        <v>1.018109889</v>
      </c>
      <c r="X14" s="20"/>
      <c r="Y14" s="20"/>
      <c r="Z14" s="20"/>
      <c r="AA14" s="20"/>
      <c r="AB14" s="20"/>
      <c r="AC14" s="20"/>
      <c r="AD14" s="20"/>
      <c r="AE14" s="20"/>
      <c r="AF14" s="20"/>
      <c r="AG14" s="20" t="str">
        <f>IFERROR(__xludf.DUMMYFUNCTION("""COMPUTED_VALUE"""),"Poco volumen")</f>
        <v>Poco volumen</v>
      </c>
      <c r="AH14" s="37" t="str">
        <f>IFERROR(__xludf.DUMMYFUNCTION("""COMPUTED_VALUE"""),"CGC")</f>
        <v>CGC</v>
      </c>
      <c r="AI14" s="39" t="str">
        <f>IFERROR(__xludf.DUMMYFUNCTION("""COMPUTED_VALUE"""),"CP34D")</f>
        <v>CP34D</v>
      </c>
      <c r="AJ14" s="34">
        <f>IFERROR(__xludf.DUMMYFUNCTION("""COMPUTED_VALUE"""),0.2934021780710768)</f>
        <v>0.2934021781</v>
      </c>
      <c r="AK14" s="35">
        <f>IFERROR(__xludf.DUMMYFUNCTION("""COMPUTED_VALUE"""),94.0)</f>
        <v>94</v>
      </c>
      <c r="AL14" s="41">
        <f>IFERROR(__xludf.DUMMYFUNCTION("""COMPUTED_VALUE"""),94.0)</f>
        <v>94</v>
      </c>
      <c r="AM14" s="42">
        <f>IFERROR(__xludf.DUMMYFUNCTION("""COMPUTED_VALUE"""),0.3300356913502398)</f>
        <v>0.3300356914</v>
      </c>
      <c r="AN14" s="43">
        <f>IFERROR(__xludf.DUMMYFUNCTION("""COMPUTED_VALUE"""),46076.0)</f>
        <v>46076</v>
      </c>
      <c r="AO14" s="37" t="str">
        <f>IFERROR(__xludf.DUMMYFUNCTION("""COMPUTED_VALUE"""),"Argentina")</f>
        <v>Argentina</v>
      </c>
      <c r="AP14" s="43" t="str">
        <f>IFERROR(__xludf.DUMMYFUNCTION("""COMPUTED_VALUE"""),"Semestral")</f>
        <v>Semestral</v>
      </c>
      <c r="AQ14" s="44">
        <f>IFERROR(__xludf.DUMMYFUNCTION("""COMPUTED_VALUE"""),1.0)</f>
        <v>1</v>
      </c>
      <c r="AR14" s="43" t="str">
        <f>IFERROR(__xludf.DUMMYFUNCTION("""COMPUTED_VALUE"""),"Bullet")</f>
        <v>Bullet</v>
      </c>
      <c r="AS14" s="20"/>
      <c r="AT14" s="20"/>
      <c r="AU14" s="20"/>
      <c r="AV14" s="20"/>
      <c r="AW14" s="20"/>
      <c r="AX14" s="20"/>
      <c r="AY14" s="20"/>
      <c r="AZ14" s="20"/>
      <c r="BA14" s="20"/>
      <c r="BB14" s="20"/>
    </row>
    <row r="15">
      <c r="A15" s="20"/>
      <c r="B15" s="20"/>
      <c r="C15" s="20"/>
      <c r="D15" s="20"/>
      <c r="E15" s="20"/>
      <c r="F15" s="20"/>
      <c r="G15" s="20"/>
      <c r="H15" s="20">
        <f>C8/D8</f>
        <v>0.01264333568</v>
      </c>
      <c r="I15" s="20"/>
      <c r="J15" s="39" t="str">
        <f>IFERROR(__xludf.DUMMYFUNCTION("""COMPUTED_VALUE"""),"BACGD")</f>
        <v>BACGD</v>
      </c>
      <c r="K15" s="37" t="str">
        <f>IFERROR(__xludf.DUMMYFUNCTION("""COMPUTED_VALUE"""),"Banco Macro")</f>
        <v>Banco Macro</v>
      </c>
      <c r="L15" s="36">
        <f>IFERROR(__xludf.DUMMYFUNCTION("""COMPUTED_VALUE"""),47292.0)</f>
        <v>47292</v>
      </c>
      <c r="M15" s="34">
        <f>IFERROR(__xludf.DUMMYFUNCTION("""COMPUTED_VALUE"""),0.08)</f>
        <v>0.08</v>
      </c>
      <c r="N15" s="40">
        <f>IFERROR(__xludf.DUMMYFUNCTION("""COMPUTED_VALUE"""),102.25)</f>
        <v>102.25</v>
      </c>
      <c r="O15" s="34">
        <f>IFERROR(__xludf.DUMMYFUNCTION("""COMPUTED_VALUE"""),0.08185903892745386)</f>
        <v>0.08185903893</v>
      </c>
      <c r="P15" s="34">
        <f>IFERROR(__xludf.DUMMYFUNCTION("""COMPUTED_VALUE"""),0.0024)</f>
        <v>0.0024</v>
      </c>
      <c r="Q15" s="35">
        <f>IFERROR(__xludf.DUMMYFUNCTION("""COMPUTED_VALUE"""),3.2393086080317754)</f>
        <v>3.239308608</v>
      </c>
      <c r="R15" s="37" t="str">
        <f>IFERROR(__xludf.DUMMYFUNCTION("""COMPUTED_VALUE"""),"Semestral")</f>
        <v>Semestral</v>
      </c>
      <c r="S15" s="37" t="str">
        <f>IFERROR(__xludf.DUMMYFUNCTION("""COMPUTED_VALUE"""),"Bullet")</f>
        <v>Bullet</v>
      </c>
      <c r="T15" s="37" t="str">
        <f>IFERROR(__xludf.DUMMYFUNCTION("""COMPUTED_VALUE"""),"NY")</f>
        <v>NY</v>
      </c>
      <c r="U15" s="20">
        <f>IFERROR(__xludf.DUMMYFUNCTION("""COMPUTED_VALUE"""),1000.0)</f>
        <v>1000</v>
      </c>
      <c r="V15" s="20">
        <f>IFERROR(__xludf.DUMMYFUNCTION("""COMPUTED_VALUE"""),76.0)</f>
        <v>76</v>
      </c>
      <c r="W15" s="31">
        <f>IFERROR(__xludf.DUMMYFUNCTION("""COMPUTED_VALUE"""),0.99853515625)</f>
        <v>0.9985351563</v>
      </c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37" t="str">
        <f>IFERROR(__xludf.DUMMYFUNCTION("""COMPUTED_VALUE"""),"Cresud")</f>
        <v>Cresud</v>
      </c>
      <c r="AI15" s="39" t="str">
        <f>IFERROR(__xludf.DUMMYFUNCTION("""COMPUTED_VALUE"""),"CS38D")</f>
        <v>CS38D</v>
      </c>
      <c r="AJ15" s="34">
        <f>IFERROR(__xludf.DUMMYFUNCTION("""COMPUTED_VALUE"""),0.09214149546043073)</f>
        <v>0.09214149546</v>
      </c>
      <c r="AK15" s="35">
        <f>IFERROR(__xludf.DUMMYFUNCTION("""COMPUTED_VALUE"""),101.75)</f>
        <v>101.75</v>
      </c>
      <c r="AL15" s="41">
        <f>IFERROR(__xludf.DUMMYFUNCTION("""COMPUTED_VALUE"""),101.75)</f>
        <v>101.75</v>
      </c>
      <c r="AM15" s="42">
        <f>IFERROR(__xludf.DUMMYFUNCTION("""COMPUTED_VALUE"""),0.37433901956556387)</f>
        <v>0.3743390196</v>
      </c>
      <c r="AN15" s="43" t="str">
        <f>IFERROR(__xludf.DUMMYFUNCTION("""COMPUTED_VALUE"""),"#N/A")</f>
        <v>#N/A</v>
      </c>
      <c r="AO15" s="37" t="str">
        <f>IFERROR(__xludf.DUMMYFUNCTION("""COMPUTED_VALUE"""),"Argentina")</f>
        <v>Argentina</v>
      </c>
      <c r="AP15" s="43" t="str">
        <f>IFERROR(__xludf.DUMMYFUNCTION("""COMPUTED_VALUE"""),"#N/A")</f>
        <v>#N/A</v>
      </c>
      <c r="AQ15" s="44">
        <f>IFERROR(__xludf.DUMMYFUNCTION("""COMPUTED_VALUE"""),1.0)</f>
        <v>1</v>
      </c>
      <c r="AR15" s="43" t="str">
        <f>IFERROR(__xludf.DUMMYFUNCTION("""COMPUTED_VALUE"""),"#N/A")</f>
        <v>#N/A</v>
      </c>
      <c r="AS15" s="20"/>
      <c r="AT15" s="20"/>
      <c r="AU15" s="20"/>
      <c r="AV15" s="20"/>
      <c r="AW15" s="20"/>
      <c r="AX15" s="20"/>
      <c r="AY15" s="20"/>
      <c r="AZ15" s="20"/>
      <c r="BA15" s="20"/>
      <c r="BB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39" t="str">
        <f>IFERROR(__xludf.DUMMYFUNCTION("""COMPUTED_VALUE"""),"YMCID")</f>
        <v>YMCID</v>
      </c>
      <c r="K16" s="37" t="str">
        <f>IFERROR(__xludf.DUMMYFUNCTION("""COMPUTED_VALUE"""),"YPF")</f>
        <v>YPF</v>
      </c>
      <c r="L16" s="36">
        <f>IFERROR(__xludf.DUMMYFUNCTION("""COMPUTED_VALUE"""),47299.0)</f>
        <v>47299</v>
      </c>
      <c r="M16" s="34">
        <f>IFERROR(__xludf.DUMMYFUNCTION("""COMPUTED_VALUE"""),0.09)</f>
        <v>0.09</v>
      </c>
      <c r="N16" s="40">
        <f>IFERROR(__xludf.DUMMYFUNCTION("""COMPUTED_VALUE"""),106.95)</f>
        <v>106.95</v>
      </c>
      <c r="O16" s="34">
        <f>IFERROR(__xludf.DUMMYFUNCTION("""COMPUTED_VALUE"""),0.06887414421954087)</f>
        <v>0.06887414422</v>
      </c>
      <c r="P16" s="34">
        <f>IFERROR(__xludf.DUMMYFUNCTION("""COMPUTED_VALUE"""),0.0042)</f>
        <v>0.0042</v>
      </c>
      <c r="Q16" s="35">
        <f>IFERROR(__xludf.DUMMYFUNCTION("""COMPUTED_VALUE"""),2.028662833438036)</f>
        <v>2.028662833</v>
      </c>
      <c r="R16" s="37" t="str">
        <f>IFERROR(__xludf.DUMMYFUNCTION("""COMPUTED_VALUE"""),"Semestral")</f>
        <v>Semestral</v>
      </c>
      <c r="S16" s="37" t="str">
        <f>IFERROR(__xludf.DUMMYFUNCTION("""COMPUTED_VALUE"""),"Sinkable")</f>
        <v>Sinkable</v>
      </c>
      <c r="T16" s="37" t="str">
        <f>IFERROR(__xludf.DUMMYFUNCTION("""COMPUTED_VALUE"""),"NY")</f>
        <v>NY</v>
      </c>
      <c r="U16" s="20">
        <f>IFERROR(__xludf.DUMMYFUNCTION("""COMPUTED_VALUE"""),1.0)</f>
        <v>1</v>
      </c>
      <c r="V16" s="20">
        <f>IFERROR(__xludf.DUMMYFUNCTION("""COMPUTED_VALUE"""),83.0)</f>
        <v>83</v>
      </c>
      <c r="W16" s="31">
        <f>IFERROR(__xludf.DUMMYFUNCTION("""COMPUTED_VALUE"""),1.0431602048280906)</f>
        <v>1.043160205</v>
      </c>
      <c r="X16" s="20"/>
      <c r="Y16" s="20"/>
      <c r="Z16" s="20"/>
      <c r="AA16" s="20"/>
      <c r="AB16" s="20"/>
      <c r="AC16" s="20"/>
      <c r="AD16" s="20"/>
      <c r="AE16" s="20"/>
      <c r="AF16" s="20"/>
      <c r="AG16" s="20" t="str">
        <f>IFERROR(__xludf.DUMMYFUNCTION("""COMPUTED_VALUE"""),"Poco volumen")</f>
        <v>Poco volumen</v>
      </c>
      <c r="AH16" s="37" t="str">
        <f>IFERROR(__xludf.DUMMYFUNCTION("""COMPUTED_VALUE"""),"Loma Negra")</f>
        <v>Loma Negra</v>
      </c>
      <c r="AI16" s="39" t="str">
        <f>IFERROR(__xludf.DUMMYFUNCTION("""COMPUTED_VALUE"""),"LOC3D")</f>
        <v>LOC3D</v>
      </c>
      <c r="AJ16" s="34">
        <f>IFERROR(__xludf.DUMMYFUNCTION("""COMPUTED_VALUE"""),0.024811236223566707)</f>
        <v>0.02481123622</v>
      </c>
      <c r="AK16" s="35">
        <f>IFERROR(__xludf.DUMMYFUNCTION("""COMPUTED_VALUE"""),102.65)</f>
        <v>102.65</v>
      </c>
      <c r="AL16" s="41">
        <f>IFERROR(__xludf.DUMMYFUNCTION("""COMPUTED_VALUE"""),102.65)</f>
        <v>102.65</v>
      </c>
      <c r="AM16" s="42">
        <f>IFERROR(__xludf.DUMMYFUNCTION("""COMPUTED_VALUE"""),0.4140727275747961)</f>
        <v>0.4140727276</v>
      </c>
      <c r="AN16" s="43">
        <f>IFERROR(__xludf.DUMMYFUNCTION("""COMPUTED_VALUE"""),46092.0)</f>
        <v>46092</v>
      </c>
      <c r="AO16" s="37" t="str">
        <f>IFERROR(__xludf.DUMMYFUNCTION("""COMPUTED_VALUE"""),"Argentina")</f>
        <v>Argentina</v>
      </c>
      <c r="AP16" s="43" t="str">
        <f>IFERROR(__xludf.DUMMYFUNCTION("""COMPUTED_VALUE"""),"Semestral")</f>
        <v>Semestral</v>
      </c>
      <c r="AQ16" s="44">
        <f>IFERROR(__xludf.DUMMYFUNCTION("""COMPUTED_VALUE"""),50.0)</f>
        <v>50</v>
      </c>
      <c r="AR16" s="43" t="str">
        <f>IFERROR(__xludf.DUMMYFUNCTION("""COMPUTED_VALUE"""),"Bullet")</f>
        <v>Bullet</v>
      </c>
      <c r="AS16" s="20"/>
      <c r="AT16" s="20"/>
      <c r="AU16" s="20"/>
      <c r="AV16" s="20"/>
      <c r="AW16" s="20"/>
      <c r="AX16" s="20"/>
      <c r="AY16" s="20"/>
      <c r="AZ16" s="20"/>
      <c r="BA16" s="20"/>
      <c r="BB16" s="20"/>
    </row>
    <row r="17">
      <c r="A17" s="20"/>
      <c r="B17" s="22" t="s">
        <v>62</v>
      </c>
      <c r="C17" s="20"/>
      <c r="D17" s="20"/>
      <c r="E17" s="20"/>
      <c r="F17" s="20"/>
      <c r="G17" s="20"/>
      <c r="H17" s="20"/>
      <c r="I17" s="20"/>
      <c r="J17" s="39" t="str">
        <f>IFERROR(__xludf.DUMMYFUNCTION("""COMPUTED_VALUE"""),"DNC7D")</f>
        <v>DNC7D</v>
      </c>
      <c r="K17" s="37" t="str">
        <f>IFERROR(__xludf.DUMMYFUNCTION("""COMPUTED_VALUE"""),"Edenor")</f>
        <v>Edenor</v>
      </c>
      <c r="L17" s="36">
        <f>IFERROR(__xludf.DUMMYFUNCTION("""COMPUTED_VALUE"""),47780.0)</f>
        <v>47780</v>
      </c>
      <c r="M17" s="34">
        <f>IFERROR(__xludf.DUMMYFUNCTION("""COMPUTED_VALUE"""),0.0975)</f>
        <v>0.0975</v>
      </c>
      <c r="N17" s="40">
        <f>IFERROR(__xludf.DUMMYFUNCTION("""COMPUTED_VALUE"""),100.45)</f>
        <v>100.45</v>
      </c>
      <c r="O17" s="34">
        <f>IFERROR(__xludf.DUMMYFUNCTION("""COMPUTED_VALUE"""),0.11324817794294945)</f>
        <v>0.1132481779</v>
      </c>
      <c r="P17" s="34">
        <f>IFERROR(__xludf.DUMMYFUNCTION("""COMPUTED_VALUE"""),-0.0024)</f>
        <v>-0.0024</v>
      </c>
      <c r="Q17" s="35">
        <f>IFERROR(__xludf.DUMMYFUNCTION("""COMPUTED_VALUE"""),3.2704911426029253)</f>
        <v>3.270491143</v>
      </c>
      <c r="R17" s="37" t="str">
        <f>IFERROR(__xludf.DUMMYFUNCTION("""COMPUTED_VALUE"""),"Semestral")</f>
        <v>Semestral</v>
      </c>
      <c r="S17" s="37" t="str">
        <f>IFERROR(__xludf.DUMMYFUNCTION("""COMPUTED_VALUE"""),"Sinkable")</f>
        <v>Sinkable</v>
      </c>
      <c r="T17" s="37" t="str">
        <f>IFERROR(__xludf.DUMMYFUNCTION("""COMPUTED_VALUE"""),"NY")</f>
        <v>NY</v>
      </c>
      <c r="U17" s="20">
        <f>IFERROR(__xludf.DUMMYFUNCTION("""COMPUTED_VALUE"""),100.0)</f>
        <v>100</v>
      </c>
      <c r="V17" s="20">
        <f>IFERROR(__xludf.DUMMYFUNCTION("""COMPUTED_VALUE"""),16.0)</f>
        <v>16</v>
      </c>
      <c r="W17" s="31">
        <f>IFERROR(__xludf.DUMMYFUNCTION("""COMPUTED_VALUE"""),0.9607843137254902)</f>
        <v>0.9607843137</v>
      </c>
      <c r="X17" s="20"/>
      <c r="Y17" s="20"/>
      <c r="Z17" s="20"/>
      <c r="AA17" s="20"/>
      <c r="AB17" s="20"/>
      <c r="AC17" s="20"/>
      <c r="AD17" s="20"/>
      <c r="AE17" s="20"/>
      <c r="AF17" s="20"/>
      <c r="AG17" s="20" t="str">
        <f>IFERROR(__xludf.DUMMYFUNCTION("""COMPUTED_VALUE"""),"Poco volumen")</f>
        <v>Poco volumen</v>
      </c>
      <c r="AH17" s="37" t="str">
        <f>IFERROR(__xludf.DUMMYFUNCTION("""COMPUTED_VALUE"""),"Central Puerto")</f>
        <v>Central Puerto</v>
      </c>
      <c r="AI17" s="39" t="str">
        <f>IFERROR(__xludf.DUMMYFUNCTION("""COMPUTED_VALUE"""),"NPCAD")</f>
        <v>NPCAD</v>
      </c>
      <c r="AJ17" s="34">
        <f>IFERROR(__xludf.DUMMYFUNCTION("""COMPUTED_VALUE"""),0.01070915154750966)</f>
        <v>0.01070915155</v>
      </c>
      <c r="AK17" s="35">
        <f>IFERROR(__xludf.DUMMYFUNCTION("""COMPUTED_VALUE"""),103.0)</f>
        <v>103</v>
      </c>
      <c r="AL17" s="41">
        <f>IFERROR(__xludf.DUMMYFUNCTION("""COMPUTED_VALUE"""),103.0)</f>
        <v>103</v>
      </c>
      <c r="AM17" s="42">
        <f>IFERROR(__xludf.DUMMYFUNCTION("""COMPUTED_VALUE"""),0.42512694791096006)</f>
        <v>0.4251269479</v>
      </c>
      <c r="AN17" s="43">
        <f>IFERROR(__xludf.DUMMYFUNCTION("""COMPUTED_VALUE"""),46095.0)</f>
        <v>46095</v>
      </c>
      <c r="AO17" s="37" t="str">
        <f>IFERROR(__xludf.DUMMYFUNCTION("""COMPUTED_VALUE"""),"Argentina")</f>
        <v>Argentina</v>
      </c>
      <c r="AP17" s="43" t="str">
        <f>IFERROR(__xludf.DUMMYFUNCTION("""COMPUTED_VALUE"""),"Semestral")</f>
        <v>Semestral</v>
      </c>
      <c r="AQ17" s="44">
        <f>IFERROR(__xludf.DUMMYFUNCTION("""COMPUTED_VALUE"""),1.0)</f>
        <v>1</v>
      </c>
      <c r="AR17" s="43" t="str">
        <f>IFERROR(__xludf.DUMMYFUNCTION("""COMPUTED_VALUE"""),"Bullet")</f>
        <v>Bullet</v>
      </c>
      <c r="AS17" s="20"/>
      <c r="AT17" s="20"/>
      <c r="AU17" s="20"/>
      <c r="AV17" s="20"/>
      <c r="AW17" s="20"/>
      <c r="AX17" s="20"/>
      <c r="AY17" s="20"/>
      <c r="AZ17" s="20"/>
      <c r="BA17" s="20"/>
      <c r="BB17" s="20"/>
    </row>
    <row r="18">
      <c r="A18" s="20"/>
      <c r="B18" s="23" t="str">
        <f t="shared" ref="B18:C18" si="7">B5</f>
        <v>Central Puerto</v>
      </c>
      <c r="C18" s="23" t="str">
        <f t="shared" si="7"/>
        <v>TIR</v>
      </c>
      <c r="D18" s="24" t="s">
        <v>52</v>
      </c>
      <c r="E18" s="25" t="s">
        <v>53</v>
      </c>
      <c r="F18" s="24" t="s">
        <v>52</v>
      </c>
      <c r="G18" s="24" t="s">
        <v>55</v>
      </c>
      <c r="H18" s="24" t="s">
        <v>56</v>
      </c>
      <c r="I18" s="20"/>
      <c r="J18" s="39" t="str">
        <f>IFERROR(__xludf.DUMMYFUNCTION("""COMPUTED_VALUE"""),"RUCDD")</f>
        <v>RUCDD</v>
      </c>
      <c r="K18" s="37" t="str">
        <f>IFERROR(__xludf.DUMMYFUNCTION("""COMPUTED_VALUE"""),"MSU Energy")</f>
        <v>MSU Energy</v>
      </c>
      <c r="L18" s="36">
        <f>IFERROR(__xludf.DUMMYFUNCTION("""COMPUTED_VALUE"""),47822.0)</f>
        <v>47822</v>
      </c>
      <c r="M18" s="34">
        <f>IFERROR(__xludf.DUMMYFUNCTION("""COMPUTED_VALUE"""),0.0975)</f>
        <v>0.0975</v>
      </c>
      <c r="N18" s="40">
        <f>IFERROR(__xludf.DUMMYFUNCTION("""COMPUTED_VALUE"""),91.2)</f>
        <v>91.2</v>
      </c>
      <c r="O18" s="34">
        <f>IFERROR(__xludf.DUMMYFUNCTION("""COMPUTED_VALUE"""),0.1381500807351918)</f>
        <v>0.1381500807</v>
      </c>
      <c r="P18" s="34">
        <f>IFERROR(__xludf.DUMMYFUNCTION("""COMPUTED_VALUE"""),-0.013999999999999999)</f>
        <v>-0.014</v>
      </c>
      <c r="Q18" s="35">
        <f>IFERROR(__xludf.DUMMYFUNCTION("""COMPUTED_VALUE"""),3.629989032153328)</f>
        <v>3.629989032</v>
      </c>
      <c r="R18" s="37" t="str">
        <f>IFERROR(__xludf.DUMMYFUNCTION("""COMPUTED_VALUE"""),"Semestral")</f>
        <v>Semestral</v>
      </c>
      <c r="S18" s="37" t="str">
        <f>IFERROR(__xludf.DUMMYFUNCTION("""COMPUTED_VALUE"""),"Sinkable")</f>
        <v>Sinkable</v>
      </c>
      <c r="T18" s="37" t="str">
        <f>IFERROR(__xludf.DUMMYFUNCTION("""COMPUTED_VALUE"""),"NY")</f>
        <v>NY</v>
      </c>
      <c r="U18" s="20">
        <f>IFERROR(__xludf.DUMMYFUNCTION("""COMPUTED_VALUE"""),1.0)</f>
        <v>1</v>
      </c>
      <c r="V18" s="20">
        <f>IFERROR(__xludf.DUMMYFUNCTION("""COMPUTED_VALUE"""),58.0)</f>
        <v>58</v>
      </c>
      <c r="W18" s="31">
        <f>IFERROR(__xludf.DUMMYFUNCTION("""COMPUTED_VALUE"""),0.8819049921431162)</f>
        <v>0.8819049921</v>
      </c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37" t="str">
        <f>IFERROR(__xludf.DUMMYFUNCTION("""COMPUTED_VALUE"""),"Tecpetrol")</f>
        <v>Tecpetrol</v>
      </c>
      <c r="AI18" s="39" t="str">
        <f>IFERROR(__xludf.DUMMYFUNCTION("""COMPUTED_VALUE"""),"TTC7D")</f>
        <v>TTC7D</v>
      </c>
      <c r="AJ18" s="34">
        <f>IFERROR(__xludf.DUMMYFUNCTION("""COMPUTED_VALUE"""),0.07945945525153902)</f>
        <v>0.07945945525</v>
      </c>
      <c r="AK18" s="35">
        <f>IFERROR(__xludf.DUMMYFUNCTION("""COMPUTED_VALUE"""),101.85)</f>
        <v>101.85</v>
      </c>
      <c r="AL18" s="41">
        <f>IFERROR(__xludf.DUMMYFUNCTION("""COMPUTED_VALUE"""),101.85)</f>
        <v>101.85</v>
      </c>
      <c r="AM18" s="42">
        <f>IFERROR(__xludf.DUMMYFUNCTION("""COMPUTED_VALUE"""),0.50010985450224)</f>
        <v>0.5001098545</v>
      </c>
      <c r="AN18" s="43">
        <f>IFERROR(__xludf.DUMMYFUNCTION("""COMPUTED_VALUE"""),46134.0)</f>
        <v>46134</v>
      </c>
      <c r="AO18" s="37" t="str">
        <f>IFERROR(__xludf.DUMMYFUNCTION("""COMPUTED_VALUE"""),"Argentina")</f>
        <v>Argentina</v>
      </c>
      <c r="AP18" s="43" t="str">
        <f>IFERROR(__xludf.DUMMYFUNCTION("""COMPUTED_VALUE"""),"Semestral")</f>
        <v>Semestral</v>
      </c>
      <c r="AQ18" s="44">
        <f>IFERROR(__xludf.DUMMYFUNCTION("""COMPUTED_VALUE"""),1.0)</f>
        <v>1</v>
      </c>
      <c r="AR18" s="43" t="str">
        <f>IFERROR(__xludf.DUMMYFUNCTION("""COMPUTED_VALUE"""),"Bullet")</f>
        <v>Bullet</v>
      </c>
      <c r="AS18" s="20"/>
      <c r="AT18" s="20"/>
      <c r="AU18" s="20"/>
      <c r="AV18" s="20"/>
      <c r="AW18" s="20"/>
      <c r="AX18" s="20"/>
      <c r="AY18" s="20"/>
      <c r="AZ18" s="20"/>
      <c r="BA18" s="20"/>
      <c r="BB18" s="20"/>
    </row>
    <row r="19">
      <c r="A19" s="20"/>
      <c r="B19" s="33" t="s">
        <v>63</v>
      </c>
      <c r="C19" s="37" t="str">
        <f t="shared" ref="C19:C20" si="8">VLOOKUP(B19,$K$6:$T$36,2,0)</f>
        <v>#N/A</v>
      </c>
      <c r="D19" s="37" t="str">
        <f t="shared" ref="D19:D20" si="9">VLOOKUP(B19,$K$6:$T$36,5,0)</f>
        <v>#N/A</v>
      </c>
      <c r="E19" s="37" t="str">
        <f t="shared" ref="E19:E20" si="10">VLOOKUP(B19,$K$6:$T$36,6,0)</f>
        <v>#N/A</v>
      </c>
      <c r="F19" s="37" t="str">
        <f t="shared" ref="F19:F20" si="11">D19</f>
        <v>#N/A</v>
      </c>
      <c r="G19" s="38" t="str">
        <f t="shared" ref="G19:G20" si="12">F19/$G$23</f>
        <v>#N/A</v>
      </c>
      <c r="H19" s="37" t="str">
        <f t="shared" ref="H19:H20" si="13">VLOOKUP(B19,$K$6:$T$36,9,0)</f>
        <v>#N/A</v>
      </c>
      <c r="I19" s="20"/>
      <c r="J19" s="39" t="str">
        <f>IFERROR(__xludf.DUMMYFUNCTION("""COMPUTED_VALUE"""),"TLCMD")</f>
        <v>TLCMD</v>
      </c>
      <c r="K19" s="37" t="str">
        <f>IFERROR(__xludf.DUMMYFUNCTION("""COMPUTED_VALUE"""),"Telecom")</f>
        <v>Telecom</v>
      </c>
      <c r="L19" s="36">
        <f>IFERROR(__xludf.DUMMYFUNCTION("""COMPUTED_VALUE"""),48047.0)</f>
        <v>48047</v>
      </c>
      <c r="M19" s="34">
        <f>IFERROR(__xludf.DUMMYFUNCTION("""COMPUTED_VALUE"""),0.095)</f>
        <v>0.095</v>
      </c>
      <c r="N19" s="40">
        <f>IFERROR(__xludf.DUMMYFUNCTION("""COMPUTED_VALUE"""),103.7)</f>
        <v>103.7</v>
      </c>
      <c r="O19" s="34">
        <f>IFERROR(__xludf.DUMMYFUNCTION("""COMPUTED_VALUE"""),0.0928674814932401)</f>
        <v>0.09286748149</v>
      </c>
      <c r="P19" s="34">
        <f>IFERROR(__xludf.DUMMYFUNCTION("""COMPUTED_VALUE"""),-0.0028000000000000004)</f>
        <v>-0.0028</v>
      </c>
      <c r="Q19" s="35">
        <f>IFERROR(__xludf.DUMMYFUNCTION("""COMPUTED_VALUE"""),3.8979568160861335)</f>
        <v>3.897956816</v>
      </c>
      <c r="R19" s="37" t="str">
        <f>IFERROR(__xludf.DUMMYFUNCTION("""COMPUTED_VALUE"""),"Semestral")</f>
        <v>Semestral</v>
      </c>
      <c r="S19" s="37" t="str">
        <f>IFERROR(__xludf.DUMMYFUNCTION("""COMPUTED_VALUE"""),"Sinkable")</f>
        <v>Sinkable</v>
      </c>
      <c r="T19" s="37" t="str">
        <f>IFERROR(__xludf.DUMMYFUNCTION("""COMPUTED_VALUE"""),"NY")</f>
        <v>NY</v>
      </c>
      <c r="U19" s="20">
        <f>IFERROR(__xludf.DUMMYFUNCTION("""COMPUTED_VALUE"""),1000.0)</f>
        <v>1000</v>
      </c>
      <c r="V19" s="20">
        <f>IFERROR(__xludf.DUMMYFUNCTION("""COMPUTED_VALUE"""),102.0)</f>
        <v>102</v>
      </c>
      <c r="W19" s="31">
        <f>IFERROR(__xludf.DUMMYFUNCTION("""COMPUTED_VALUE"""),1.014773638501162)</f>
        <v>1.014773639</v>
      </c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37" t="str">
        <f>IFERROR(__xludf.DUMMYFUNCTION("""COMPUTED_VALUE"""),"YPF")</f>
        <v>YPF</v>
      </c>
      <c r="AI19" s="39" t="str">
        <f>IFERROR(__xludf.DUMMYFUNCTION("""COMPUTED_VALUE"""),"YMCVD")</f>
        <v>YMCVD</v>
      </c>
      <c r="AJ19" s="34">
        <f>IFERROR(__xludf.DUMMYFUNCTION("""COMPUTED_VALUE"""),0.10739006387326)</f>
        <v>0.1073900639</v>
      </c>
      <c r="AK19" s="35">
        <f>IFERROR(__xludf.DUMMYFUNCTION("""COMPUTED_VALUE"""),101.1)</f>
        <v>101.1</v>
      </c>
      <c r="AL19" s="41">
        <f>IFERROR(__xludf.DUMMYFUNCTION("""COMPUTED_VALUE"""),101.1)</f>
        <v>101.1</v>
      </c>
      <c r="AM19" s="42">
        <f>IFERROR(__xludf.DUMMYFUNCTION("""COMPUTED_VALUE"""),0.580855070282137)</f>
        <v>0.5808550703</v>
      </c>
      <c r="AN19" s="43">
        <f>IFERROR(__xludf.DUMMYFUNCTION("""COMPUTED_VALUE"""),46168.0)</f>
        <v>46168</v>
      </c>
      <c r="AO19" s="37" t="str">
        <f>IFERROR(__xludf.DUMMYFUNCTION("""COMPUTED_VALUE"""),"Argentina")</f>
        <v>Argentina</v>
      </c>
      <c r="AP19" s="43" t="str">
        <f>IFERROR(__xludf.DUMMYFUNCTION("""COMPUTED_VALUE"""),"Trimestral")</f>
        <v>Trimestral</v>
      </c>
      <c r="AQ19" s="44">
        <f>IFERROR(__xludf.DUMMYFUNCTION("""COMPUTED_VALUE"""),1.0)</f>
        <v>1</v>
      </c>
      <c r="AR19" s="43" t="str">
        <f>IFERROR(__xludf.DUMMYFUNCTION("""COMPUTED_VALUE"""),"Bullet")</f>
        <v>Bullet</v>
      </c>
      <c r="AS19" s="20"/>
      <c r="AT19" s="20"/>
      <c r="AU19" s="20"/>
      <c r="AV19" s="20"/>
      <c r="AW19" s="20"/>
      <c r="AX19" s="20"/>
      <c r="AY19" s="20"/>
      <c r="AZ19" s="20"/>
      <c r="BA19" s="20"/>
      <c r="BB19" s="20"/>
    </row>
    <row r="20">
      <c r="A20" s="20"/>
      <c r="B20" s="33" t="s">
        <v>57</v>
      </c>
      <c r="C20" s="37" t="str">
        <f t="shared" si="8"/>
        <v>#N/A</v>
      </c>
      <c r="D20" s="37" t="str">
        <f t="shared" si="9"/>
        <v>#N/A</v>
      </c>
      <c r="E20" s="37" t="str">
        <f t="shared" si="10"/>
        <v>#N/A</v>
      </c>
      <c r="F20" s="37" t="str">
        <f t="shared" si="11"/>
        <v>#N/A</v>
      </c>
      <c r="G20" s="38" t="str">
        <f t="shared" si="12"/>
        <v>#N/A</v>
      </c>
      <c r="H20" s="37" t="str">
        <f t="shared" si="13"/>
        <v>#N/A</v>
      </c>
      <c r="I20" s="20"/>
      <c r="J20" s="39" t="str">
        <f>IFERROR(__xludf.DUMMYFUNCTION("""COMPUTED_VALUE"""),"TSC3D")</f>
        <v>TSC3D</v>
      </c>
      <c r="K20" s="37" t="str">
        <f>IFERROR(__xludf.DUMMYFUNCTION("""COMPUTED_VALUE"""),"TGS")</f>
        <v>TGS</v>
      </c>
      <c r="L20" s="36">
        <f>IFERROR(__xludf.DUMMYFUNCTION("""COMPUTED_VALUE"""),48053.0)</f>
        <v>48053</v>
      </c>
      <c r="M20" s="34">
        <f>IFERROR(__xludf.DUMMYFUNCTION("""COMPUTED_VALUE"""),0.085)</f>
        <v>0.085</v>
      </c>
      <c r="N20" s="40">
        <f>IFERROR(__xludf.DUMMYFUNCTION("""COMPUTED_VALUE"""),107.2)</f>
        <v>107.2</v>
      </c>
      <c r="O20" s="34">
        <f>IFERROR(__xludf.DUMMYFUNCTION("""COMPUTED_VALUE"""),0.07462369421868527)</f>
        <v>0.07462369422</v>
      </c>
      <c r="P20" s="34">
        <f>IFERROR(__xludf.DUMMYFUNCTION("""COMPUTED_VALUE"""),-0.0046)</f>
        <v>-0.0046</v>
      </c>
      <c r="Q20" s="35">
        <f>IFERROR(__xludf.DUMMYFUNCTION("""COMPUTED_VALUE"""),4.690068652262308)</f>
        <v>4.690068652</v>
      </c>
      <c r="R20" s="37" t="str">
        <f>IFERROR(__xludf.DUMMYFUNCTION("""COMPUTED_VALUE"""),"Semestral")</f>
        <v>Semestral</v>
      </c>
      <c r="S20" s="37" t="str">
        <f>IFERROR(__xludf.DUMMYFUNCTION("""COMPUTED_VALUE"""),"Bullet")</f>
        <v>Bullet</v>
      </c>
      <c r="T20" s="37" t="str">
        <f>IFERROR(__xludf.DUMMYFUNCTION("""COMPUTED_VALUE"""),"NY")</f>
        <v>NY</v>
      </c>
      <c r="U20" s="20">
        <f>IFERROR(__xludf.DUMMYFUNCTION("""COMPUTED_VALUE"""),10000.0)</f>
        <v>10000</v>
      </c>
      <c r="V20" s="20">
        <f>IFERROR(__xludf.DUMMYFUNCTION("""COMPUTED_VALUE"""),108.0)</f>
        <v>108</v>
      </c>
      <c r="W20" s="31">
        <f>IFERROR(__xludf.DUMMYFUNCTION("""COMPUTED_VALUE"""),1.052858448485179)</f>
        <v>1.052858448</v>
      </c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37" t="str">
        <f>IFERROR(__xludf.DUMMYFUNCTION("""COMPUTED_VALUE"""),"Balanz")</f>
        <v>Balanz</v>
      </c>
      <c r="AI20" s="39" t="str">
        <f>IFERROR(__xludf.DUMMYFUNCTION("""COMPUTED_VALUE"""),"NBS1D")</f>
        <v>NBS1D</v>
      </c>
      <c r="AJ20" s="34">
        <f>IFERROR(__xludf.DUMMYFUNCTION("""COMPUTED_VALUE"""),0.07488250269684493)</f>
        <v>0.0748825027</v>
      </c>
      <c r="AK20" s="35">
        <f>IFERROR(__xludf.DUMMYFUNCTION("""COMPUTED_VALUE"""),100.2)</f>
        <v>100.2</v>
      </c>
      <c r="AL20" s="41">
        <f>IFERROR(__xludf.DUMMYFUNCTION("""COMPUTED_VALUE"""),100.2)</f>
        <v>100.2</v>
      </c>
      <c r="AM20" s="42">
        <f>IFERROR(__xludf.DUMMYFUNCTION("""COMPUTED_VALUE"""),0.6311269643904209)</f>
        <v>0.6311269644</v>
      </c>
      <c r="AN20" s="43">
        <f>IFERROR(__xludf.DUMMYFUNCTION("""COMPUTED_VALUE"""),46179.0)</f>
        <v>46179</v>
      </c>
      <c r="AO20" s="37" t="str">
        <f>IFERROR(__xludf.DUMMYFUNCTION("""COMPUTED_VALUE"""),"Argentina")</f>
        <v>Argentina</v>
      </c>
      <c r="AP20" s="43" t="str">
        <f>IFERROR(__xludf.DUMMYFUNCTION("""COMPUTED_VALUE"""),"Cuatrimestral")</f>
        <v>Cuatrimestral</v>
      </c>
      <c r="AQ20" s="44">
        <f>IFERROR(__xludf.DUMMYFUNCTION("""COMPUTED_VALUE"""),1.0)</f>
        <v>1</v>
      </c>
      <c r="AR20" s="43" t="str">
        <f>IFERROR(__xludf.DUMMYFUNCTION("""COMPUTED_VALUE"""),"Bullet")</f>
        <v>Bullet</v>
      </c>
      <c r="AS20" s="20"/>
      <c r="AT20" s="20"/>
      <c r="AU20" s="20"/>
      <c r="AV20" s="20"/>
      <c r="AW20" s="20"/>
      <c r="AX20" s="20"/>
      <c r="AY20" s="20"/>
      <c r="AZ20" s="20"/>
      <c r="BA20" s="20"/>
      <c r="BB20" s="20"/>
    </row>
    <row r="21">
      <c r="A21" s="20"/>
      <c r="B21" s="51"/>
      <c r="C21" s="37"/>
      <c r="D21" s="37"/>
      <c r="E21" s="37"/>
      <c r="F21" s="37"/>
      <c r="G21" s="38"/>
      <c r="H21" s="37"/>
      <c r="I21" s="20"/>
      <c r="J21" s="39" t="str">
        <f>IFERROR(__xludf.DUMMYFUNCTION("""COMPUTED_VALUE"""),"ARC1D")</f>
        <v>ARC1D</v>
      </c>
      <c r="K21" s="37" t="str">
        <f>IFERROR(__xludf.DUMMYFUNCTION("""COMPUTED_VALUE"""),"Aeropuertos 2000")</f>
        <v>Aeropuertos 2000</v>
      </c>
      <c r="L21" s="36">
        <f>IFERROR(__xludf.DUMMYFUNCTION("""COMPUTED_VALUE"""),48061.0)</f>
        <v>48061</v>
      </c>
      <c r="M21" s="34">
        <f>IFERROR(__xludf.DUMMYFUNCTION("""COMPUTED_VALUE"""),0.085)</f>
        <v>0.085</v>
      </c>
      <c r="N21" s="40">
        <f>IFERROR(__xludf.DUMMYFUNCTION("""COMPUTED_VALUE"""),106.75)</f>
        <v>106.75</v>
      </c>
      <c r="O21" s="34">
        <f>IFERROR(__xludf.DUMMYFUNCTION("""COMPUTED_VALUE"""),0.0706169294415442)</f>
        <v>0.07061692944</v>
      </c>
      <c r="P21" s="34">
        <f>IFERROR(__xludf.DUMMYFUNCTION("""COMPUTED_VALUE"""),-0.0161)</f>
        <v>-0.0161</v>
      </c>
      <c r="Q21" s="35">
        <f>IFERROR(__xludf.DUMMYFUNCTION("""COMPUTED_VALUE"""),3.2122134385327046)</f>
        <v>3.212213439</v>
      </c>
      <c r="R21" s="37" t="str">
        <f>IFERROR(__xludf.DUMMYFUNCTION("""COMPUTED_VALUE"""),"Trimestral")</f>
        <v>Trimestral</v>
      </c>
      <c r="S21" s="37" t="str">
        <f>IFERROR(__xludf.DUMMYFUNCTION("""COMPUTED_VALUE"""),"Sinkable")</f>
        <v>Sinkable</v>
      </c>
      <c r="T21" s="37" t="str">
        <f>IFERROR(__xludf.DUMMYFUNCTION("""COMPUTED_VALUE"""),"NY")</f>
        <v>NY</v>
      </c>
      <c r="U21" s="20">
        <f>IFERROR(__xludf.DUMMYFUNCTION("""COMPUTED_VALUE"""),1000.0)</f>
        <v>1000</v>
      </c>
      <c r="V21" s="20">
        <f>IFERROR(__xludf.DUMMYFUNCTION("""COMPUTED_VALUE"""),24.0)</f>
        <v>24</v>
      </c>
      <c r="W21" s="31">
        <f>IFERROR(__xludf.DUMMYFUNCTION("""COMPUTED_VALUE"""),1.0503874379894225)</f>
        <v>1.050387438</v>
      </c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 t="str">
        <f>IFERROR(__xludf.DUMMYFUNCTION("""COMPUTED_VALUE"""),"Edenor")</f>
        <v>Edenor</v>
      </c>
      <c r="AI21" s="52" t="str">
        <f>IFERROR(__xludf.DUMMYFUNCTION("""COMPUTED_VALUE"""),"DNC5D")</f>
        <v>DNC5D</v>
      </c>
      <c r="AJ21" s="31">
        <f>IFERROR(__xludf.DUMMYFUNCTION("""COMPUTED_VALUE"""),0.08612137462589714)</f>
        <v>0.08612137463</v>
      </c>
      <c r="AK21" s="53">
        <f>IFERROR(__xludf.DUMMYFUNCTION("""COMPUTED_VALUE"""),104.3)</f>
        <v>104.3</v>
      </c>
      <c r="AL21" s="54">
        <f>IFERROR(__xludf.DUMMYFUNCTION("""COMPUTED_VALUE"""),104.3)</f>
        <v>104.3</v>
      </c>
      <c r="AM21" s="55">
        <f>IFERROR(__xludf.DUMMYFUNCTION("""COMPUTED_VALUE"""),2.441654856231381)</f>
        <v>2.441654856</v>
      </c>
      <c r="AN21" s="56">
        <f>IFERROR(__xludf.DUMMYFUNCTION("""COMPUTED_VALUE"""),46970.0)</f>
        <v>46970</v>
      </c>
      <c r="AO21" s="20" t="str">
        <f>IFERROR(__xludf.DUMMYFUNCTION("""COMPUTED_VALUE"""),"Argentina")</f>
        <v>Argentina</v>
      </c>
      <c r="AP21" s="20" t="str">
        <f>IFERROR(__xludf.DUMMYFUNCTION("""COMPUTED_VALUE"""),"Semestral")</f>
        <v>Semestral</v>
      </c>
      <c r="AQ21" s="57">
        <f>IFERROR(__xludf.DUMMYFUNCTION("""COMPUTED_VALUE"""),1.0)</f>
        <v>1</v>
      </c>
      <c r="AR21" s="56" t="str">
        <f>IFERROR(__xludf.DUMMYFUNCTION("""COMPUTED_VALUE"""),"Bullet")</f>
        <v>Bullet</v>
      </c>
      <c r="AS21" s="20"/>
      <c r="AT21" s="20"/>
      <c r="AU21" s="20"/>
      <c r="AV21" s="20"/>
      <c r="AW21" s="20"/>
      <c r="AX21" s="20"/>
      <c r="AY21" s="20"/>
      <c r="AZ21" s="20"/>
      <c r="BA21" s="20"/>
      <c r="BB21" s="20"/>
    </row>
    <row r="22">
      <c r="A22" s="20"/>
      <c r="B22" s="51"/>
      <c r="C22" s="45"/>
      <c r="D22" s="58"/>
      <c r="E22" s="59"/>
      <c r="F22" s="58"/>
      <c r="G22" s="38"/>
      <c r="H22" s="48"/>
      <c r="I22" s="20"/>
      <c r="J22" s="39" t="str">
        <f>IFERROR(__xludf.DUMMYFUNCTION("""COMPUTED_VALUE"""),"MGCMD")</f>
        <v>MGCMD</v>
      </c>
      <c r="K22" s="37" t="str">
        <f>IFERROR(__xludf.DUMMYFUNCTION("""COMPUTED_VALUE"""),"Pampa Energia")</f>
        <v>Pampa Energia</v>
      </c>
      <c r="L22" s="36">
        <f>IFERROR(__xludf.DUMMYFUNCTION("""COMPUTED_VALUE"""),48101.0)</f>
        <v>48101</v>
      </c>
      <c r="M22" s="34">
        <f>IFERROR(__xludf.DUMMYFUNCTION("""COMPUTED_VALUE"""),0.0795)</f>
        <v>0.0795</v>
      </c>
      <c r="N22" s="40">
        <f>IFERROR(__xludf.DUMMYFUNCTION("""COMPUTED_VALUE"""),103.7)</f>
        <v>103.7</v>
      </c>
      <c r="O22" s="34">
        <f>IFERROR(__xludf.DUMMYFUNCTION("""COMPUTED_VALUE"""),0.07441493850747857)</f>
        <v>0.07441493851</v>
      </c>
      <c r="P22" s="34">
        <f>IFERROR(__xludf.DUMMYFUNCTION("""COMPUTED_VALUE"""),0.0019)</f>
        <v>0.0019</v>
      </c>
      <c r="Q22" s="35">
        <f>IFERROR(__xludf.DUMMYFUNCTION("""COMPUTED_VALUE"""),4.8671100069722595)</f>
        <v>4.867110007</v>
      </c>
      <c r="R22" s="37" t="str">
        <f>IFERROR(__xludf.DUMMYFUNCTION("""COMPUTED_VALUE"""),"Semestral")</f>
        <v>Semestral</v>
      </c>
      <c r="S22" s="37" t="str">
        <f>IFERROR(__xludf.DUMMYFUNCTION("""COMPUTED_VALUE"""),"Bullet")</f>
        <v>Bullet</v>
      </c>
      <c r="T22" s="37" t="str">
        <f>IFERROR(__xludf.DUMMYFUNCTION("""COMPUTED_VALUE"""),"NY")</f>
        <v>NY</v>
      </c>
      <c r="U22" s="20">
        <f>IFERROR(__xludf.DUMMYFUNCTION("""COMPUTED_VALUE"""),10000.0)</f>
        <v>10000</v>
      </c>
      <c r="V22" s="20">
        <f>IFERROR(__xludf.DUMMYFUNCTION("""COMPUTED_VALUE"""),153.0)</f>
        <v>153</v>
      </c>
      <c r="W22" s="31">
        <f>IFERROR(__xludf.DUMMYFUNCTION("""COMPUTED_VALUE"""),0.9904134283633586)</f>
        <v>0.9904134284</v>
      </c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 t="str">
        <f>IFERROR(__xludf.DUMMYFUNCTION("""COMPUTED_VALUE"""),"YPF")</f>
        <v>YPF</v>
      </c>
      <c r="AI22" s="20" t="str">
        <f>IFERROR(__xludf.DUMMYFUNCTION("""COMPUTED_VALUE"""),"YM39D")</f>
        <v>YM39D</v>
      </c>
      <c r="AJ22" s="31">
        <f>IFERROR(__xludf.DUMMYFUNCTION("""COMPUTED_VALUE"""),0.0877953320026665)</f>
        <v>0.087795332</v>
      </c>
      <c r="AK22" s="53">
        <f>IFERROR(__xludf.DUMMYFUNCTION("""COMPUTED_VALUE"""),102.95)</f>
        <v>102.95</v>
      </c>
      <c r="AL22" s="54">
        <f>IFERROR(__xludf.DUMMYFUNCTION("""COMPUTED_VALUE"""),102.95)</f>
        <v>102.95</v>
      </c>
      <c r="AM22" s="55">
        <f>IFERROR(__xludf.DUMMYFUNCTION("""COMPUTED_VALUE"""),3.774346743823558)</f>
        <v>3.774346744</v>
      </c>
      <c r="AN22" s="56">
        <f>IFERROR(__xludf.DUMMYFUNCTION("""COMPUTED_VALUE"""),47686.0)</f>
        <v>47686</v>
      </c>
      <c r="AO22" s="20" t="str">
        <f>IFERROR(__xludf.DUMMYFUNCTION("""COMPUTED_VALUE"""),"Argentina")</f>
        <v>Argentina</v>
      </c>
      <c r="AP22" s="20" t="str">
        <f>IFERROR(__xludf.DUMMYFUNCTION("""COMPUTED_VALUE"""),"Semestral")</f>
        <v>Semestral</v>
      </c>
      <c r="AQ22" s="57">
        <f>IFERROR(__xludf.DUMMYFUNCTION("""COMPUTED_VALUE"""),100.0)</f>
        <v>100</v>
      </c>
      <c r="AR22" s="56" t="str">
        <f>IFERROR(__xludf.DUMMYFUNCTION("""COMPUTED_VALUE"""),"Bullet")</f>
        <v>Bullet</v>
      </c>
      <c r="AS22" s="20"/>
      <c r="AT22" s="20"/>
      <c r="AU22" s="20"/>
      <c r="AV22" s="20"/>
      <c r="AW22" s="20"/>
      <c r="AX22" s="20"/>
      <c r="AY22" s="20"/>
      <c r="AZ22" s="20"/>
      <c r="BA22" s="20"/>
      <c r="BB22" s="20"/>
    </row>
    <row r="23">
      <c r="A23" s="20"/>
      <c r="B23" s="20"/>
      <c r="C23" s="20"/>
      <c r="D23" s="20"/>
      <c r="E23" s="20"/>
      <c r="F23" s="20"/>
      <c r="G23" s="20" t="str">
        <f>SUM(F19:F22)</f>
        <v>#N/A</v>
      </c>
      <c r="H23" s="20"/>
      <c r="I23" s="20"/>
      <c r="J23" s="39" t="str">
        <f>IFERROR(__xludf.DUMMYFUNCTION("""COMPUTED_VALUE"""),"YMCXD")</f>
        <v>YMCXD</v>
      </c>
      <c r="K23" s="37" t="str">
        <f>IFERROR(__xludf.DUMMYFUNCTION("""COMPUTED_VALUE"""),"YPF")</f>
        <v>YPF</v>
      </c>
      <c r="L23" s="36">
        <f>IFERROR(__xludf.DUMMYFUNCTION("""COMPUTED_VALUE"""),48102.0)</f>
        <v>48102</v>
      </c>
      <c r="M23" s="34">
        <f>IFERROR(__xludf.DUMMYFUNCTION("""COMPUTED_VALUE"""),0.0875)</f>
        <v>0.0875</v>
      </c>
      <c r="N23" s="40">
        <f>IFERROR(__xludf.DUMMYFUNCTION("""COMPUTED_VALUE"""),104.3)</f>
        <v>104.3</v>
      </c>
      <c r="O23" s="34">
        <f>IFERROR(__xludf.DUMMYFUNCTION("""COMPUTED_VALUE"""),0.08058538599984179)</f>
        <v>0.080585386</v>
      </c>
      <c r="P23" s="34">
        <f>IFERROR(__xludf.DUMMYFUNCTION("""COMPUTED_VALUE"""),0.0028000000000000004)</f>
        <v>0.0028</v>
      </c>
      <c r="Q23" s="35">
        <f>IFERROR(__xludf.DUMMYFUNCTION("""COMPUTED_VALUE"""),4.382994151768527)</f>
        <v>4.382994152</v>
      </c>
      <c r="R23" s="37" t="str">
        <f>IFERROR(__xludf.DUMMYFUNCTION("""COMPUTED_VALUE"""),"Semestral")</f>
        <v>Semestral</v>
      </c>
      <c r="S23" s="37" t="str">
        <f>IFERROR(__xludf.DUMMYFUNCTION("""COMPUTED_VALUE"""),"Sinkable")</f>
        <v>Sinkable</v>
      </c>
      <c r="T23" s="37" t="str">
        <f>IFERROR(__xludf.DUMMYFUNCTION("""COMPUTED_VALUE"""),"NY")</f>
        <v>NY</v>
      </c>
      <c r="U23" s="20">
        <f>IFERROR(__xludf.DUMMYFUNCTION("""COMPUTED_VALUE"""),1.0)</f>
        <v>1</v>
      </c>
      <c r="V23" s="20">
        <f>IFERROR(__xludf.DUMMYFUNCTION("""COMPUTED_VALUE"""),154.0)</f>
        <v>154</v>
      </c>
      <c r="W23" s="31">
        <f>IFERROR(__xludf.DUMMYFUNCTION("""COMPUTED_VALUE"""),0.9918901069871879)</f>
        <v>0.991890107</v>
      </c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39" t="str">
        <f>IFERROR(__xludf.DUMMYFUNCTION("""COMPUTED_VALUE"""),"PNXCD")</f>
        <v>PNXCD</v>
      </c>
      <c r="K24" s="37" t="str">
        <f>IFERROR(__xludf.DUMMYFUNCTION("""COMPUTED_VALUE"""),"Pan American Energy")</f>
        <v>Pan American Energy</v>
      </c>
      <c r="L24" s="36">
        <f>IFERROR(__xludf.DUMMYFUNCTION("""COMPUTED_VALUE"""),48334.0)</f>
        <v>48334</v>
      </c>
      <c r="M24" s="34">
        <f>IFERROR(__xludf.DUMMYFUNCTION("""COMPUTED_VALUE"""),0.085)</f>
        <v>0.085</v>
      </c>
      <c r="N24" s="40">
        <f>IFERROR(__xludf.DUMMYFUNCTION("""COMPUTED_VALUE"""),111.0)</f>
        <v>111</v>
      </c>
      <c r="O24" s="34">
        <f>IFERROR(__xludf.DUMMYFUNCTION("""COMPUTED_VALUE"""),0.07017365195080114)</f>
        <v>0.07017365195</v>
      </c>
      <c r="P24" s="34">
        <f>IFERROR(__xludf.DUMMYFUNCTION("""COMPUTED_VALUE"""),-9.0E-4)</f>
        <v>-0.0009</v>
      </c>
      <c r="Q24" s="35">
        <f>IFERROR(__xludf.DUMMYFUNCTION("""COMPUTED_VALUE"""),4.458917181881186)</f>
        <v>4.458917182</v>
      </c>
      <c r="R24" s="37" t="str">
        <f>IFERROR(__xludf.DUMMYFUNCTION("""COMPUTED_VALUE"""),"Semestral")</f>
        <v>Semestral</v>
      </c>
      <c r="S24" s="37" t="str">
        <f>IFERROR(__xludf.DUMMYFUNCTION("""COMPUTED_VALUE"""),"Sinkable")</f>
        <v>Sinkable</v>
      </c>
      <c r="T24" s="37" t="str">
        <f>IFERROR(__xludf.DUMMYFUNCTION("""COMPUTED_VALUE"""),"NY")</f>
        <v>NY</v>
      </c>
      <c r="U24" s="20">
        <f>IFERROR(__xludf.DUMMYFUNCTION("""COMPUTED_VALUE"""),1000.0)</f>
        <v>1000</v>
      </c>
      <c r="V24" s="20">
        <f>IFERROR(__xludf.DUMMYFUNCTION("""COMPUTED_VALUE"""),22.0)</f>
        <v>22</v>
      </c>
      <c r="W24" s="31">
        <f>IFERROR(__xludf.DUMMYFUNCTION("""COMPUTED_VALUE"""),1.0691066698771972)</f>
        <v>1.06910667</v>
      </c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</row>
    <row r="25">
      <c r="A25" s="20"/>
      <c r="B25" s="22" t="s">
        <v>64</v>
      </c>
      <c r="C25" s="20"/>
      <c r="D25" s="20"/>
      <c r="E25" s="20"/>
      <c r="F25" s="20"/>
      <c r="G25" s="20"/>
      <c r="H25" s="20"/>
      <c r="I25" s="20"/>
      <c r="J25" s="39" t="str">
        <f>IFERROR(__xludf.DUMMYFUNCTION("""COMPUTED_VALUE"""),"YFCJD")</f>
        <v>YFCJD</v>
      </c>
      <c r="K25" s="37" t="str">
        <f>IFERROR(__xludf.DUMMYFUNCTION("""COMPUTED_VALUE"""),"YPF Luz")</f>
        <v>YPF Luz</v>
      </c>
      <c r="L25" s="36">
        <f>IFERROR(__xludf.DUMMYFUNCTION("""COMPUTED_VALUE"""),48503.0)</f>
        <v>48503</v>
      </c>
      <c r="M25" s="34">
        <f>IFERROR(__xludf.DUMMYFUNCTION("""COMPUTED_VALUE"""),0.0788)</f>
        <v>0.0788</v>
      </c>
      <c r="N25" s="40">
        <f>IFERROR(__xludf.DUMMYFUNCTION("""COMPUTED_VALUE"""),102.8)</f>
        <v>102.8</v>
      </c>
      <c r="O25" s="34">
        <f>IFERROR(__xludf.DUMMYFUNCTION("""COMPUTED_VALUE"""),0.08249727097335856)</f>
        <v>0.08249727097</v>
      </c>
      <c r="P25" s="34">
        <f>IFERROR(__xludf.DUMMYFUNCTION("""COMPUTED_VALUE"""),9.0E-4)</f>
        <v>0.0009</v>
      </c>
      <c r="Q25" s="35">
        <f>IFERROR(__xludf.DUMMYFUNCTION("""COMPUTED_VALUE"""),4.74795016936165)</f>
        <v>4.747950169</v>
      </c>
      <c r="R25" s="37" t="str">
        <f>IFERROR(__xludf.DUMMYFUNCTION("""COMPUTED_VALUE"""),"Semestral")</f>
        <v>Semestral</v>
      </c>
      <c r="S25" s="37" t="str">
        <f>IFERROR(__xludf.DUMMYFUNCTION("""COMPUTED_VALUE"""),"Sinkable")</f>
        <v>Sinkable</v>
      </c>
      <c r="T25" s="37" t="str">
        <f>IFERROR(__xludf.DUMMYFUNCTION("""COMPUTED_VALUE"""),"NY")</f>
        <v>NY</v>
      </c>
      <c r="U25" s="20">
        <f>IFERROR(__xludf.DUMMYFUNCTION("""COMPUTED_VALUE"""),1000.0)</f>
        <v>1000</v>
      </c>
      <c r="V25" s="20">
        <f>IFERROR(__xludf.DUMMYFUNCTION("""COMPUTED_VALUE"""),8.0)</f>
        <v>8</v>
      </c>
      <c r="W25" s="31">
        <f>IFERROR(__xludf.DUMMYFUNCTION("""COMPUTED_VALUE"""),0.9898892633606163)</f>
        <v>0.9898892634</v>
      </c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</row>
    <row r="26">
      <c r="A26" s="20"/>
      <c r="B26" s="23" t="str">
        <f>B13</f>
        <v/>
      </c>
      <c r="C26" s="24" t="s">
        <v>51</v>
      </c>
      <c r="D26" s="24" t="s">
        <v>52</v>
      </c>
      <c r="E26" s="25" t="s">
        <v>53</v>
      </c>
      <c r="F26" s="24" t="s">
        <v>52</v>
      </c>
      <c r="G26" s="24" t="s">
        <v>55</v>
      </c>
      <c r="H26" s="24" t="s">
        <v>56</v>
      </c>
      <c r="I26" s="20"/>
      <c r="J26" s="39" t="str">
        <f>IFERROR(__xludf.DUMMYFUNCTION("""COMPUTED_VALUE"""),"PLC4D")</f>
        <v>PLC4D</v>
      </c>
      <c r="K26" s="37" t="str">
        <f>IFERROR(__xludf.DUMMYFUNCTION("""COMPUTED_VALUE"""),"Pluspetrol")</f>
        <v>Pluspetrol</v>
      </c>
      <c r="L26" s="36">
        <f>IFERROR(__xludf.DUMMYFUNCTION("""COMPUTED_VALUE"""),48364.0)</f>
        <v>48364</v>
      </c>
      <c r="M26" s="34">
        <f>IFERROR(__xludf.DUMMYFUNCTION("""COMPUTED_VALUE"""),0.085)</f>
        <v>0.085</v>
      </c>
      <c r="N26" s="40">
        <f>IFERROR(__xludf.DUMMYFUNCTION("""COMPUTED_VALUE"""),104.75)</f>
        <v>104.75</v>
      </c>
      <c r="O26" s="34">
        <f>IFERROR(__xludf.DUMMYFUNCTION("""COMPUTED_VALUE"""),0.08323104363093586)</f>
        <v>0.08323104363</v>
      </c>
      <c r="P26" s="34">
        <f>IFERROR(__xludf.DUMMYFUNCTION("""COMPUTED_VALUE"""),-0.004699999999999999)</f>
        <v>-0.0047</v>
      </c>
      <c r="Q26" s="35">
        <f>IFERROR(__xludf.DUMMYFUNCTION("""COMPUTED_VALUE"""),5.1114625564212)</f>
        <v>5.111462556</v>
      </c>
      <c r="R26" s="37" t="str">
        <f>IFERROR(__xludf.DUMMYFUNCTION("""COMPUTED_VALUE"""),"Semestral")</f>
        <v>Semestral</v>
      </c>
      <c r="S26" s="37" t="str">
        <f>IFERROR(__xludf.DUMMYFUNCTION("""COMPUTED_VALUE"""),"Bullet")</f>
        <v>Bullet</v>
      </c>
      <c r="T26" s="37" t="str">
        <f>IFERROR(__xludf.DUMMYFUNCTION("""COMPUTED_VALUE"""),"NY")</f>
        <v>NY</v>
      </c>
      <c r="U26" s="20">
        <f>IFERROR(__xludf.DUMMYFUNCTION("""COMPUTED_VALUE"""),1000.0)</f>
        <v>1000</v>
      </c>
      <c r="V26" s="20">
        <f>IFERROR(__xludf.DUMMYFUNCTION("""COMPUTED_VALUE"""),53.0)</f>
        <v>53</v>
      </c>
      <c r="W26" s="31">
        <f>IFERROR(__xludf.DUMMYFUNCTION("""COMPUTED_VALUE"""),1.015839663811217)</f>
        <v>1.015839664</v>
      </c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</row>
    <row r="27">
      <c r="A27" s="20"/>
      <c r="B27" s="33"/>
      <c r="C27" s="37"/>
      <c r="D27" s="37"/>
      <c r="E27" s="37"/>
      <c r="F27" s="33"/>
      <c r="G27" s="38"/>
      <c r="H27" s="37"/>
      <c r="I27" s="20"/>
      <c r="J27" s="39" t="str">
        <f>IFERROR(__xludf.DUMMYFUNCTION("""COMPUTED_VALUE"""),"TTCAD")</f>
        <v>TTCAD</v>
      </c>
      <c r="K27" s="37" t="str">
        <f>IFERROR(__xludf.DUMMYFUNCTION("""COMPUTED_VALUE"""),"Tecpetrol")</f>
        <v>Tecpetrol</v>
      </c>
      <c r="L27" s="36">
        <f>IFERROR(__xludf.DUMMYFUNCTION("""COMPUTED_VALUE"""),48601.0)</f>
        <v>48601</v>
      </c>
      <c r="M27" s="34">
        <f>IFERROR(__xludf.DUMMYFUNCTION("""COMPUTED_VALUE"""),0.0763)</f>
        <v>0.0763</v>
      </c>
      <c r="N27" s="40">
        <f>IFERROR(__xludf.DUMMYFUNCTION("""COMPUTED_VALUE"""),105.45)</f>
        <v>105.45</v>
      </c>
      <c r="O27" s="34">
        <f>IFERROR(__xludf.DUMMYFUNCTION("""COMPUTED_VALUE"""),0.0697006756604922)</f>
        <v>0.06970067566</v>
      </c>
      <c r="P27" s="34">
        <f>IFERROR(__xludf.DUMMYFUNCTION("""COMPUTED_VALUE"""),0.0042)</f>
        <v>0.0042</v>
      </c>
      <c r="Q27" s="35">
        <f>IFERROR(__xludf.DUMMYFUNCTION("""COMPUTED_VALUE"""),5.098153000107035)</f>
        <v>5.098153</v>
      </c>
      <c r="R27" s="37" t="str">
        <f>IFERROR(__xludf.DUMMYFUNCTION("""COMPUTED_VALUE"""),"Semestral")</f>
        <v>Semestral</v>
      </c>
      <c r="S27" s="37" t="str">
        <f>IFERROR(__xludf.DUMMYFUNCTION("""COMPUTED_VALUE"""),"Sinkable")</f>
        <v>Sinkable</v>
      </c>
      <c r="T27" s="37" t="str">
        <f>IFERROR(__xludf.DUMMYFUNCTION("""COMPUTED_VALUE"""),"NY")</f>
        <v>NY</v>
      </c>
      <c r="U27" s="20">
        <f>IFERROR(__xludf.DUMMYFUNCTION("""COMPUTED_VALUE"""),1000.0)</f>
        <v>1000</v>
      </c>
      <c r="V27" s="20">
        <f>IFERROR(__xludf.DUMMYFUNCTION("""COMPUTED_VALUE"""),106.0)</f>
        <v>106</v>
      </c>
      <c r="W27" s="31">
        <f>IFERROR(__xludf.DUMMYFUNCTION("""COMPUTED_VALUE"""),1.037145813625482)</f>
        <v>1.037145814</v>
      </c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</row>
    <row r="28">
      <c r="A28" s="20"/>
      <c r="B28" s="33"/>
      <c r="C28" s="37"/>
      <c r="D28" s="37"/>
      <c r="E28" s="37"/>
      <c r="F28" s="33"/>
      <c r="G28" s="38"/>
      <c r="H28" s="37"/>
      <c r="I28" s="20"/>
      <c r="J28" s="39" t="str">
        <f>IFERROR(__xludf.DUMMYFUNCTION("""COMPUTED_VALUE"""),"YMCJD")</f>
        <v>YMCJD</v>
      </c>
      <c r="K28" s="37" t="str">
        <f>IFERROR(__xludf.DUMMYFUNCTION("""COMPUTED_VALUE"""),"YPF")</f>
        <v>YPF</v>
      </c>
      <c r="L28" s="36">
        <f>IFERROR(__xludf.DUMMYFUNCTION("""COMPUTED_VALUE"""),48852.0)</f>
        <v>48852</v>
      </c>
      <c r="M28" s="34">
        <f>IFERROR(__xludf.DUMMYFUNCTION("""COMPUTED_VALUE"""),0.07)</f>
        <v>0.07</v>
      </c>
      <c r="N28" s="40">
        <f>IFERROR(__xludf.DUMMYFUNCTION("""COMPUTED_VALUE"""),95.21)</f>
        <v>95.21</v>
      </c>
      <c r="O28" s="34">
        <f>IFERROR(__xludf.DUMMYFUNCTION("""COMPUTED_VALUE"""),0.08160710044950233)</f>
        <v>0.08160710045</v>
      </c>
      <c r="P28" s="34">
        <f>IFERROR(__xludf.DUMMYFUNCTION("""COMPUTED_VALUE"""),0.004699999999999999)</f>
        <v>0.0047</v>
      </c>
      <c r="Q28" s="35">
        <f>IFERROR(__xludf.DUMMYFUNCTION("""COMPUTED_VALUE"""),5.275965287084322)</f>
        <v>5.275965287</v>
      </c>
      <c r="R28" s="37" t="str">
        <f>IFERROR(__xludf.DUMMYFUNCTION("""COMPUTED_VALUE"""),"Semestral")</f>
        <v>Semestral</v>
      </c>
      <c r="S28" s="37" t="str">
        <f>IFERROR(__xludf.DUMMYFUNCTION("""COMPUTED_VALUE"""),"Sinkable")</f>
        <v>Sinkable</v>
      </c>
      <c r="T28" s="37" t="str">
        <f>IFERROR(__xludf.DUMMYFUNCTION("""COMPUTED_VALUE"""),"NY")</f>
        <v>NY</v>
      </c>
      <c r="U28" s="20">
        <f>IFERROR(__xludf.DUMMYFUNCTION("""COMPUTED_VALUE"""),1.0)</f>
        <v>1</v>
      </c>
      <c r="V28" s="20">
        <f>IFERROR(__xludf.DUMMYFUNCTION("""COMPUTED_VALUE"""),173.0)</f>
        <v>173</v>
      </c>
      <c r="W28" s="31">
        <f>IFERROR(__xludf.DUMMYFUNCTION("""COMPUTED_VALUE"""),0.9504367357125031)</f>
        <v>0.9504367357</v>
      </c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</row>
    <row r="29">
      <c r="A29" s="20"/>
      <c r="B29" s="33"/>
      <c r="C29" s="37"/>
      <c r="D29" s="37"/>
      <c r="E29" s="37"/>
      <c r="F29" s="33"/>
      <c r="G29" s="38"/>
      <c r="H29" s="37"/>
      <c r="I29" s="20"/>
      <c r="J29" s="39" t="str">
        <f>IFERROR(__xludf.DUMMYFUNCTION("""COMPUTED_VALUE"""),"TLCPD")</f>
        <v>TLCPD</v>
      </c>
      <c r="K29" s="37" t="str">
        <f>IFERROR(__xludf.DUMMYFUNCTION("""COMPUTED_VALUE"""),"Telecom")</f>
        <v>Telecom</v>
      </c>
      <c r="L29" s="36">
        <f>IFERROR(__xludf.DUMMYFUNCTION("""COMPUTED_VALUE"""),48727.0)</f>
        <v>48727</v>
      </c>
      <c r="M29" s="34">
        <f>IFERROR(__xludf.DUMMYFUNCTION("""COMPUTED_VALUE"""),0.0925)</f>
        <v>0.0925</v>
      </c>
      <c r="N29" s="40">
        <f>IFERROR(__xludf.DUMMYFUNCTION("""COMPUTED_VALUE"""),102.0)</f>
        <v>102</v>
      </c>
      <c r="O29" s="34">
        <f>IFERROR(__xludf.DUMMYFUNCTION("""COMPUTED_VALUE"""),0.09747772156634352)</f>
        <v>0.09747772157</v>
      </c>
      <c r="P29" s="34">
        <f>IFERROR(__xludf.DUMMYFUNCTION("""COMPUTED_VALUE"""),-0.0048)</f>
        <v>-0.0048</v>
      </c>
      <c r="Q29" s="35">
        <f>IFERROR(__xludf.DUMMYFUNCTION("""COMPUTED_VALUE"""),5.213219007752955)</f>
        <v>5.213219008</v>
      </c>
      <c r="R29" s="37" t="str">
        <f>IFERROR(__xludf.DUMMYFUNCTION("""COMPUTED_VALUE"""),"Semestral")</f>
        <v>Semestral</v>
      </c>
      <c r="S29" s="37" t="str">
        <f>IFERROR(__xludf.DUMMYFUNCTION("""COMPUTED_VALUE"""),"Sinkable")</f>
        <v>Sinkable</v>
      </c>
      <c r="T29" s="37" t="str">
        <f>IFERROR(__xludf.DUMMYFUNCTION("""COMPUTED_VALUE"""),"NY")</f>
        <v>NY</v>
      </c>
      <c r="U29" s="20">
        <f>IFERROR(__xludf.DUMMYFUNCTION("""COMPUTED_VALUE"""),100.0)</f>
        <v>100</v>
      </c>
      <c r="V29" s="20">
        <f>IFERROR(__xludf.DUMMYFUNCTION("""COMPUTED_VALUE"""),51.0)</f>
        <v>51</v>
      </c>
      <c r="W29" s="31">
        <f>IFERROR(__xludf.DUMMYFUNCTION("""COMPUTED_VALUE"""),0.9860497589924676)</f>
        <v>0.986049759</v>
      </c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</row>
    <row r="30">
      <c r="A30" s="20"/>
      <c r="B30" s="51"/>
      <c r="C30" s="45"/>
      <c r="D30" s="58"/>
      <c r="E30" s="59"/>
      <c r="F30" s="33"/>
      <c r="G30" s="38"/>
      <c r="H30" s="48"/>
      <c r="I30" s="20"/>
      <c r="J30" s="39" t="str">
        <f>IFERROR(__xludf.DUMMYFUNCTION("""COMPUTED_VALUE"""),"VSCVD")</f>
        <v>VSCVD</v>
      </c>
      <c r="K30" s="37" t="str">
        <f>IFERROR(__xludf.DUMMYFUNCTION("""COMPUTED_VALUE"""),"Vista Energy")</f>
        <v>Vista Energy</v>
      </c>
      <c r="L30" s="36">
        <f>IFERROR(__xludf.DUMMYFUNCTION("""COMPUTED_VALUE"""),48740.0)</f>
        <v>48740</v>
      </c>
      <c r="M30" s="34">
        <f>IFERROR(__xludf.DUMMYFUNCTION("""COMPUTED_VALUE"""),0.085)</f>
        <v>0.085</v>
      </c>
      <c r="N30" s="40">
        <f>IFERROR(__xludf.DUMMYFUNCTION("""COMPUTED_VALUE"""),106.0)</f>
        <v>106</v>
      </c>
      <c r="O30" s="34">
        <f>IFERROR(__xludf.DUMMYFUNCTION("""COMPUTED_VALUE"""),0.08023538487148903)</f>
        <v>0.08023538487</v>
      </c>
      <c r="P30" s="34">
        <f>IFERROR(__xludf.DUMMYFUNCTION("""COMPUTED_VALUE"""),0.004699999999999999)</f>
        <v>0.0047</v>
      </c>
      <c r="Q30" s="35">
        <f>IFERROR(__xludf.DUMMYFUNCTION("""COMPUTED_VALUE"""),5.14696178862725)</f>
        <v>5.146961789</v>
      </c>
      <c r="R30" s="37" t="str">
        <f>IFERROR(__xludf.DUMMYFUNCTION("""COMPUTED_VALUE"""),"Semestral")</f>
        <v>Semestral</v>
      </c>
      <c r="S30" s="37" t="str">
        <f>IFERROR(__xludf.DUMMYFUNCTION("""COMPUTED_VALUE"""),"Sinkable")</f>
        <v>Sinkable</v>
      </c>
      <c r="T30" s="37" t="str">
        <f>IFERROR(__xludf.DUMMYFUNCTION("""COMPUTED_VALUE"""),"NY")</f>
        <v>NY</v>
      </c>
      <c r="U30" s="20">
        <f>IFERROR(__xludf.DUMMYFUNCTION("""COMPUTED_VALUE"""),1000.0)</f>
        <v>1000</v>
      </c>
      <c r="V30" s="20">
        <f>IFERROR(__xludf.DUMMYFUNCTION("""COMPUTED_VALUE"""),63.0)</f>
        <v>63</v>
      </c>
      <c r="W30" s="31">
        <f>IFERROR(__xludf.DUMMYFUNCTION("""COMPUTED_VALUE"""),1.03055754351378)</f>
        <v>1.030557544</v>
      </c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</row>
    <row r="31">
      <c r="A31" s="20"/>
      <c r="B31" s="20"/>
      <c r="C31" s="20"/>
      <c r="D31" s="20"/>
      <c r="E31" s="20"/>
      <c r="F31" s="20">
        <f>SUM(F27:F30)</f>
        <v>0</v>
      </c>
      <c r="G31" s="20"/>
      <c r="H31" s="20"/>
      <c r="I31" s="20"/>
      <c r="J31" s="39" t="str">
        <f>IFERROR(__xludf.DUMMYFUNCTION("""COMPUTED_VALUE"""),"YM34D")</f>
        <v>YM34D</v>
      </c>
      <c r="K31" s="37" t="str">
        <f>IFERROR(__xludf.DUMMYFUNCTION("""COMPUTED_VALUE"""),"YPF")</f>
        <v>YPF</v>
      </c>
      <c r="L31" s="36">
        <f>IFERROR(__xludf.DUMMYFUNCTION("""COMPUTED_VALUE"""),48961.0)</f>
        <v>48961</v>
      </c>
      <c r="M31" s="34">
        <f>IFERROR(__xludf.DUMMYFUNCTION("""COMPUTED_VALUE"""),0.0825)</f>
        <v>0.0825</v>
      </c>
      <c r="N31" s="40">
        <f>IFERROR(__xludf.DUMMYFUNCTION("""COMPUTED_VALUE"""),100.7)</f>
        <v>100.7</v>
      </c>
      <c r="O31" s="34">
        <f>IFERROR(__xludf.DUMMYFUNCTION("""COMPUTED_VALUE"""),0.08647523168979138)</f>
        <v>0.08647523169</v>
      </c>
      <c r="P31" s="34">
        <f>IFERROR(__xludf.DUMMYFUNCTION("""COMPUTED_VALUE"""),-0.0078000000000000005)</f>
        <v>-0.0078</v>
      </c>
      <c r="Q31" s="35">
        <f>IFERROR(__xludf.DUMMYFUNCTION("""COMPUTED_VALUE"""),5.573419365572477)</f>
        <v>5.573419366</v>
      </c>
      <c r="R31" s="37" t="str">
        <f>IFERROR(__xludf.DUMMYFUNCTION("""COMPUTED_VALUE"""),"Semestral")</f>
        <v>Semestral</v>
      </c>
      <c r="S31" s="37" t="str">
        <f>IFERROR(__xludf.DUMMYFUNCTION("""COMPUTED_VALUE"""),"Sinkable")</f>
        <v>Sinkable</v>
      </c>
      <c r="T31" s="37" t="str">
        <f>IFERROR(__xludf.DUMMYFUNCTION("""COMPUTED_VALUE"""),"NY")</f>
        <v>NY</v>
      </c>
      <c r="U31" s="20">
        <f>IFERROR(__xludf.DUMMYFUNCTION("""COMPUTED_VALUE"""),1.0)</f>
        <v>1</v>
      </c>
      <c r="V31" s="20">
        <f>IFERROR(__xludf.DUMMYFUNCTION("""COMPUTED_VALUE"""),101.0)</f>
        <v>101</v>
      </c>
      <c r="W31" s="31">
        <f>IFERROR(__xludf.DUMMYFUNCTION("""COMPUTED_VALUE"""),0.987981358842286)</f>
        <v>0.9879813588</v>
      </c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</row>
    <row r="32">
      <c r="A32" s="20"/>
      <c r="B32" s="22" t="s">
        <v>65</v>
      </c>
      <c r="C32" s="20"/>
      <c r="D32" s="20"/>
      <c r="E32" s="20"/>
      <c r="F32" s="20"/>
      <c r="G32" s="20"/>
      <c r="H32" s="20"/>
      <c r="I32" s="20"/>
      <c r="J32" s="39" t="str">
        <f>IFERROR(__xludf.DUMMYFUNCTION("""COMPUTED_VALUE"""),"MGCOD")</f>
        <v>MGCOD</v>
      </c>
      <c r="K32" s="37" t="str">
        <f>IFERROR(__xludf.DUMMYFUNCTION("""COMPUTED_VALUE"""),"Pampa Energia")</f>
        <v>Pampa Energia</v>
      </c>
      <c r="L32" s="36">
        <f>IFERROR(__xludf.DUMMYFUNCTION("""COMPUTED_VALUE"""),49294.0)</f>
        <v>49294</v>
      </c>
      <c r="M32" s="34">
        <f>IFERROR(__xludf.DUMMYFUNCTION("""COMPUTED_VALUE"""),0.0788)</f>
        <v>0.0788</v>
      </c>
      <c r="N32" s="40">
        <f>IFERROR(__xludf.DUMMYFUNCTION("""COMPUTED_VALUE"""),102.0)</f>
        <v>102</v>
      </c>
      <c r="O32" s="34">
        <f>IFERROR(__xludf.DUMMYFUNCTION("""COMPUTED_VALUE"""),0.08104000521943708)</f>
        <v>0.08104000522</v>
      </c>
      <c r="P32" s="34">
        <f>IFERROR(__xludf.DUMMYFUNCTION("""COMPUTED_VALUE"""),-9.0E-4)</f>
        <v>-0.0009</v>
      </c>
      <c r="Q32" s="35">
        <f>IFERROR(__xludf.DUMMYFUNCTION("""COMPUTED_VALUE"""),6.576337094089589)</f>
        <v>6.576337094</v>
      </c>
      <c r="R32" s="37" t="str">
        <f>IFERROR(__xludf.DUMMYFUNCTION("""COMPUTED_VALUE"""),"Semestral")</f>
        <v>Semestral</v>
      </c>
      <c r="S32" s="37" t="str">
        <f>IFERROR(__xludf.DUMMYFUNCTION("""COMPUTED_VALUE"""),"Bullet")</f>
        <v>Bullet</v>
      </c>
      <c r="T32" s="37" t="str">
        <f>IFERROR(__xludf.DUMMYFUNCTION("""COMPUTED_VALUE"""),"NY")</f>
        <v>NY</v>
      </c>
      <c r="U32" s="20">
        <f>IFERROR(__xludf.DUMMYFUNCTION("""COMPUTED_VALUE"""),10000.0)</f>
        <v>10000</v>
      </c>
      <c r="V32" s="20">
        <f>IFERROR(__xludf.DUMMYFUNCTION("""COMPUTED_VALUE"""),69.0)</f>
        <v>69</v>
      </c>
      <c r="W32" s="31">
        <f>IFERROR(__xludf.DUMMYFUNCTION("""COMPUTED_VALUE"""),0.9577745825875172)</f>
        <v>0.9577745826</v>
      </c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</row>
    <row r="33">
      <c r="A33" s="20"/>
      <c r="B33" s="60" t="s">
        <v>66</v>
      </c>
      <c r="C33" s="27">
        <f>L33</f>
        <v>49399</v>
      </c>
      <c r="D33" s="24" t="s">
        <v>52</v>
      </c>
      <c r="E33" s="25" t="s">
        <v>53</v>
      </c>
      <c r="F33" s="24" t="s">
        <v>54</v>
      </c>
      <c r="G33" s="24" t="s">
        <v>55</v>
      </c>
      <c r="H33" s="24" t="s">
        <v>56</v>
      </c>
      <c r="I33" s="20"/>
      <c r="J33" s="52" t="str">
        <f>IFERROR(__xludf.DUMMYFUNCTION("""COMPUTED_VALUE"""),"IRCPD")</f>
        <v>IRCPD</v>
      </c>
      <c r="K33" s="20" t="str">
        <f>IFERROR(__xludf.DUMMYFUNCTION("""COMPUTED_VALUE"""),"IRSA")</f>
        <v>IRSA</v>
      </c>
      <c r="L33" s="61">
        <f>IFERROR(__xludf.DUMMYFUNCTION("""COMPUTED_VALUE"""),49399.0)</f>
        <v>49399</v>
      </c>
      <c r="M33" s="31">
        <f>IFERROR(__xludf.DUMMYFUNCTION("""COMPUTED_VALUE"""),0.08)</f>
        <v>0.08</v>
      </c>
      <c r="N33" s="62">
        <f>IFERROR(__xludf.DUMMYFUNCTION("""COMPUTED_VALUE"""),101.0)</f>
        <v>101</v>
      </c>
      <c r="O33" s="31">
        <f>IFERROR(__xludf.DUMMYFUNCTION("""COMPUTED_VALUE"""),0.08018455933001999)</f>
        <v>0.08018455933</v>
      </c>
      <c r="P33" s="31">
        <f>IFERROR(__xludf.DUMMYFUNCTION("""COMPUTED_VALUE"""),-0.0044)</f>
        <v>-0.0044</v>
      </c>
      <c r="Q33" s="53">
        <f>IFERROR(__xludf.DUMMYFUNCTION("""COMPUTED_VALUE"""),6.342041482649829)</f>
        <v>6.342041483</v>
      </c>
      <c r="R33" s="20" t="str">
        <f>IFERROR(__xludf.DUMMYFUNCTION("""COMPUTED_VALUE"""),"Semestral")</f>
        <v>Semestral</v>
      </c>
      <c r="S33" s="20" t="str">
        <f>IFERROR(__xludf.DUMMYFUNCTION("""COMPUTED_VALUE"""),"Sinkable")</f>
        <v>Sinkable</v>
      </c>
      <c r="T33" s="20" t="str">
        <f>IFERROR(__xludf.DUMMYFUNCTION("""COMPUTED_VALUE"""),"NY")</f>
        <v>NY</v>
      </c>
      <c r="U33" s="20">
        <f>IFERROR(__xludf.DUMMYFUNCTION("""COMPUTED_VALUE"""),1.0)</f>
        <v>1</v>
      </c>
      <c r="V33" s="20">
        <f>IFERROR(__xludf.DUMMYFUNCTION("""COMPUTED_VALUE"""),174.0)</f>
        <v>174</v>
      </c>
      <c r="W33" s="31">
        <f>IFERROR(__xludf.DUMMYFUNCTION("""COMPUTED_VALUE"""),1.0079840319361277)</f>
        <v>1.007984032</v>
      </c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</row>
    <row r="34">
      <c r="A34" s="20"/>
      <c r="B34" s="33" t="s">
        <v>60</v>
      </c>
      <c r="C34" s="37" t="str">
        <f>VLOOKUP($B$34,$K$6:$T$36,2,0)</f>
        <v>#N/A</v>
      </c>
      <c r="D34" s="37" t="str">
        <f>VLOOKUP($B$34,$K$6:$T$36,5,0)</f>
        <v>#N/A</v>
      </c>
      <c r="E34" s="37" t="str">
        <f>VLOOKUP($B$34,$K$6:$T$36,6,0)</f>
        <v>#N/A</v>
      </c>
      <c r="F34" s="37" t="str">
        <f>1/D34</f>
        <v>#N/A</v>
      </c>
      <c r="G34" s="38" t="str">
        <f>F34/$F$12</f>
        <v>#N/A</v>
      </c>
      <c r="H34" s="37" t="str">
        <f>VLOOKUP($B$34,$K$6:$T$36,9,0)</f>
        <v>#N/A</v>
      </c>
      <c r="I34" s="20"/>
      <c r="J34" s="52" t="str">
        <f>IFERROR(__xludf.DUMMYFUNCTION("""COMPUTED_VALUE"""),"VSCTD")</f>
        <v>VSCTD</v>
      </c>
      <c r="K34" s="20" t="str">
        <f>IFERROR(__xludf.DUMMYFUNCTION("""COMPUTED_VALUE"""),"Vista Energy")</f>
        <v>Vista Energy</v>
      </c>
      <c r="L34" s="61">
        <f>IFERROR(__xludf.DUMMYFUNCTION("""COMPUTED_VALUE"""),49653.0)</f>
        <v>49653</v>
      </c>
      <c r="M34" s="31">
        <f>IFERROR(__xludf.DUMMYFUNCTION("""COMPUTED_VALUE"""),0.0763)</f>
        <v>0.0763</v>
      </c>
      <c r="N34" s="62">
        <f>IFERROR(__xludf.DUMMYFUNCTION("""COMPUTED_VALUE"""),99.9)</f>
        <v>99.9</v>
      </c>
      <c r="O34" s="31">
        <f>IFERROR(__xludf.DUMMYFUNCTION("""COMPUTED_VALUE"""),0.0818604390915039)</f>
        <v>0.08186043909</v>
      </c>
      <c r="P34" s="31">
        <f>IFERROR(__xludf.DUMMYFUNCTION("""COMPUTED_VALUE"""),-0.0044)</f>
        <v>-0.0044</v>
      </c>
      <c r="Q34" s="53">
        <f>IFERROR(__xludf.DUMMYFUNCTION("""COMPUTED_VALUE"""),6.5851280860201555)</f>
        <v>6.585128086</v>
      </c>
      <c r="R34" s="20" t="str">
        <f>IFERROR(__xludf.DUMMYFUNCTION("""COMPUTED_VALUE"""),"Semestral")</f>
        <v>Semestral</v>
      </c>
      <c r="S34" s="20" t="str">
        <f>IFERROR(__xludf.DUMMYFUNCTION("""COMPUTED_VALUE"""),"Sinkable")</f>
        <v>Sinkable</v>
      </c>
      <c r="T34" s="20" t="str">
        <f>IFERROR(__xludf.DUMMYFUNCTION("""COMPUTED_VALUE"""),"NY")</f>
        <v>NY</v>
      </c>
      <c r="U34" s="20">
        <f>IFERROR(__xludf.DUMMYFUNCTION("""COMPUTED_VALUE"""),10000.0)</f>
        <v>10000</v>
      </c>
      <c r="V34" s="20">
        <f>IFERROR(__xludf.DUMMYFUNCTION("""COMPUTED_VALUE"""),63.0)</f>
        <v>63</v>
      </c>
      <c r="W34" s="31">
        <f>IFERROR(__xludf.DUMMYFUNCTION("""COMPUTED_VALUE"""),0.9387535360851988)</f>
        <v>0.9387535361</v>
      </c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</row>
    <row r="35">
      <c r="A35" s="20"/>
      <c r="B35" s="33"/>
      <c r="C35" s="37"/>
      <c r="D35" s="37"/>
      <c r="E35" s="37"/>
      <c r="F35" s="37"/>
      <c r="G35" s="38"/>
      <c r="H35" s="37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</row>
    <row r="36">
      <c r="A36" s="20"/>
      <c r="B36" s="33"/>
      <c r="C36" s="37"/>
      <c r="D36" s="37"/>
      <c r="E36" s="37"/>
      <c r="F36" s="37"/>
      <c r="G36" s="38"/>
      <c r="H36" s="37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</row>
    <row r="37">
      <c r="A37" s="20"/>
      <c r="B37" s="33"/>
      <c r="C37" s="37"/>
      <c r="D37" s="37"/>
      <c r="E37" s="37"/>
      <c r="F37" s="37"/>
      <c r="G37" s="38"/>
      <c r="H37" s="37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</row>
    <row r="38">
      <c r="A38" s="20"/>
      <c r="B38" s="33"/>
      <c r="C38" s="37"/>
      <c r="D38" s="37"/>
      <c r="E38" s="49"/>
      <c r="F38" s="37"/>
      <c r="G38" s="38"/>
      <c r="H38" s="49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</row>
    <row r="39">
      <c r="A39" s="20"/>
      <c r="B39" s="33"/>
      <c r="C39" s="37"/>
      <c r="D39" s="37"/>
      <c r="E39" s="49"/>
      <c r="F39" s="37"/>
      <c r="G39" s="38"/>
      <c r="H39" s="49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</row>
    <row r="40">
      <c r="A40" s="20"/>
      <c r="B40" s="50"/>
      <c r="C40" s="50"/>
      <c r="D40" s="50"/>
      <c r="E40" s="50"/>
      <c r="F40" s="50" t="str">
        <f>SUM(F34:F39)</f>
        <v>#N/A</v>
      </c>
      <c r="G40" s="5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</row>
  </sheetData>
  <hyperlinks>
    <hyperlink r:id="rId1" ref="J5"/>
    <hyperlink r:id="rId2" ref="J6"/>
    <hyperlink r:id="rId3" ref="J7"/>
    <hyperlink display="IRCHD" location="null!A1" ref="AI7"/>
    <hyperlink r:id="rId4" ref="J8"/>
    <hyperlink display="MGCJD" location="null!A1" ref="AI8"/>
    <hyperlink r:id="rId5" ref="J9"/>
    <hyperlink display="MGCHD" location="null!A1" ref="AI9"/>
    <hyperlink display="RCCMD" location="null!A1" ref="AI10"/>
    <hyperlink r:id="rId6" ref="J11"/>
    <hyperlink display="TN63D" location="null!A1" ref="AI11"/>
    <hyperlink r:id="rId7" ref="J12"/>
    <hyperlink display="LOC2D" location="null!A1" ref="AI12"/>
    <hyperlink r:id="rId8" ref="J13"/>
    <hyperlink display="YMCQD" location="null!A1" ref="AI13"/>
    <hyperlink r:id="rId9" ref="J14"/>
    <hyperlink display="CP34D" location="null!A1" ref="AI14"/>
    <hyperlink r:id="rId10" ref="J15"/>
    <hyperlink display="CS38D" location="null!A1" ref="AI15"/>
    <hyperlink r:id="rId11" ref="J16"/>
    <hyperlink display="LOC3D" location="null!A1" ref="AI16"/>
    <hyperlink r:id="rId12" ref="J17"/>
    <hyperlink display="NPCAD" location="null!A1" ref="AI17"/>
    <hyperlink r:id="rId13" ref="J18"/>
    <hyperlink display="TTC7D" location="null!A1" ref="AI18"/>
    <hyperlink r:id="rId14" ref="J19"/>
    <hyperlink display="YMCVD" location="null!A1" ref="AI19"/>
    <hyperlink r:id="rId15" ref="J20"/>
    <hyperlink display="NBS1D" location="null!A1" ref="AI20"/>
    <hyperlink r:id="rId16" ref="J21"/>
    <hyperlink display="DNC5D" location="null!A1" ref="AI21"/>
    <hyperlink r:id="rId17" ref="J22"/>
    <hyperlink r:id="rId18" ref="J23"/>
    <hyperlink r:id="rId19" ref="J24"/>
    <hyperlink r:id="rId20" ref="J25"/>
    <hyperlink r:id="rId21" ref="J26"/>
    <hyperlink r:id="rId22" ref="J27"/>
    <hyperlink r:id="rId23" ref="J28"/>
    <hyperlink r:id="rId24" ref="J29"/>
    <hyperlink r:id="rId25" ref="J30"/>
    <hyperlink r:id="rId26" ref="J31"/>
    <hyperlink r:id="rId27" ref="J32"/>
    <hyperlink r:id="rId28" ref="J33"/>
    <hyperlink r:id="rId29" ref="J34"/>
  </hyperlinks>
  <drawing r:id="rId3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22.75"/>
  </cols>
  <sheetData>
    <row r="1">
      <c r="A1" s="63"/>
      <c r="B1" s="63"/>
      <c r="C1" s="63"/>
      <c r="D1" s="63"/>
      <c r="E1" s="63"/>
      <c r="F1" s="63"/>
      <c r="G1" s="63"/>
      <c r="H1" s="63"/>
      <c r="I1" s="63"/>
      <c r="J1" s="63"/>
      <c r="K1" s="64"/>
      <c r="L1" s="65"/>
      <c r="M1" s="63"/>
      <c r="N1" s="63"/>
      <c r="O1" s="63"/>
      <c r="P1" s="63"/>
      <c r="Q1" s="63"/>
      <c r="R1" s="65"/>
      <c r="S1" s="63"/>
      <c r="T1" s="63"/>
      <c r="U1" s="63"/>
      <c r="V1" s="63"/>
      <c r="W1" s="64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</row>
    <row r="2">
      <c r="A2" s="63"/>
      <c r="B2" s="66" t="s">
        <v>67</v>
      </c>
      <c r="C2" s="67" t="s">
        <v>51</v>
      </c>
      <c r="D2" s="67" t="s">
        <v>68</v>
      </c>
      <c r="E2" s="67" t="s">
        <v>69</v>
      </c>
      <c r="F2" s="67" t="s">
        <v>55</v>
      </c>
      <c r="G2" s="63"/>
      <c r="H2" s="63"/>
      <c r="I2" s="63"/>
      <c r="J2" s="63"/>
      <c r="K2" s="64"/>
      <c r="L2" s="65"/>
      <c r="M2" s="63"/>
      <c r="N2" s="63"/>
      <c r="O2" s="63"/>
      <c r="P2" s="63"/>
      <c r="Q2" s="63"/>
      <c r="R2" s="65"/>
      <c r="S2" s="63"/>
      <c r="T2" s="63"/>
      <c r="U2" s="63"/>
      <c r="V2" s="63"/>
      <c r="W2" s="64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</row>
    <row r="3">
      <c r="A3" s="68" t="s">
        <v>70</v>
      </c>
      <c r="B3" s="69" t="s">
        <v>71</v>
      </c>
      <c r="C3" s="70">
        <f t="shared" ref="C3:C5" si="1">VLOOKUP(B3,$J$11:$R$63,7,0)</f>
        <v>0.6463430746</v>
      </c>
      <c r="D3" s="71">
        <f t="shared" ref="D3:D5" si="2">VLOOKUP(B3,$J$11:$R$63,9,0)</f>
        <v>33</v>
      </c>
      <c r="E3" s="71"/>
      <c r="F3" s="72">
        <v>0.333</v>
      </c>
      <c r="G3" s="63"/>
      <c r="H3" s="63"/>
      <c r="I3" s="63"/>
      <c r="J3" s="63"/>
      <c r="K3" s="64"/>
      <c r="L3" s="65"/>
      <c r="M3" s="63"/>
      <c r="N3" s="63"/>
      <c r="O3" s="63"/>
      <c r="P3" s="63"/>
      <c r="Q3" s="63"/>
      <c r="R3" s="65"/>
      <c r="S3" s="63"/>
      <c r="T3" s="63"/>
      <c r="U3" s="63"/>
      <c r="V3" s="63"/>
      <c r="W3" s="64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</row>
    <row r="4">
      <c r="A4" s="68" t="s">
        <v>70</v>
      </c>
      <c r="B4" s="69" t="s">
        <v>72</v>
      </c>
      <c r="C4" s="70">
        <f t="shared" si="1"/>
        <v>0.6351508513</v>
      </c>
      <c r="D4" s="71">
        <f t="shared" si="2"/>
        <v>68</v>
      </c>
      <c r="E4" s="71"/>
      <c r="F4" s="72">
        <v>0.333</v>
      </c>
      <c r="G4" s="63"/>
      <c r="H4" s="63"/>
      <c r="I4" s="63"/>
      <c r="J4" s="63"/>
      <c r="K4" s="64"/>
      <c r="L4" s="65"/>
      <c r="M4" s="63"/>
      <c r="N4" s="63"/>
      <c r="O4" s="63"/>
      <c r="P4" s="63"/>
      <c r="Q4" s="63"/>
      <c r="R4" s="65"/>
      <c r="S4" s="63"/>
      <c r="T4" s="63"/>
      <c r="U4" s="63"/>
      <c r="V4" s="63"/>
      <c r="W4" s="64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</row>
    <row r="5">
      <c r="A5" s="68" t="s">
        <v>70</v>
      </c>
      <c r="B5" s="69" t="s">
        <v>73</v>
      </c>
      <c r="C5" s="70">
        <f t="shared" si="1"/>
        <v>0.6646393086</v>
      </c>
      <c r="D5" s="71">
        <f t="shared" si="2"/>
        <v>51</v>
      </c>
      <c r="E5" s="71"/>
      <c r="F5" s="72">
        <v>0.333</v>
      </c>
      <c r="G5" s="63"/>
      <c r="H5" s="63"/>
      <c r="I5" s="63"/>
      <c r="J5" s="63"/>
      <c r="K5" s="64"/>
      <c r="L5" s="65"/>
      <c r="M5" s="63"/>
      <c r="N5" s="63"/>
      <c r="O5" s="63"/>
      <c r="P5" s="63"/>
      <c r="Q5" s="63"/>
      <c r="R5" s="65"/>
      <c r="S5" s="63"/>
      <c r="T5" s="63"/>
      <c r="U5" s="63"/>
      <c r="V5" s="63"/>
      <c r="W5" s="64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</row>
    <row r="6">
      <c r="A6" s="63"/>
      <c r="B6" s="63"/>
      <c r="C6" s="63"/>
      <c r="D6" s="63"/>
      <c r="E6" s="63"/>
      <c r="F6" s="63"/>
      <c r="G6" s="63"/>
      <c r="H6" s="63"/>
      <c r="I6" s="63"/>
      <c r="J6" s="63"/>
      <c r="K6" s="64"/>
      <c r="L6" s="65"/>
      <c r="M6" s="63"/>
      <c r="N6" s="63"/>
      <c r="O6" s="63"/>
      <c r="P6" s="63"/>
      <c r="Q6" s="63"/>
      <c r="R6" s="65"/>
      <c r="S6" s="63"/>
      <c r="T6" s="63"/>
      <c r="U6" s="63"/>
      <c r="V6" s="63"/>
      <c r="W6" s="64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4"/>
      <c r="L7" s="65"/>
      <c r="M7" s="63"/>
      <c r="N7" s="63"/>
      <c r="O7" s="63"/>
      <c r="P7" s="63"/>
      <c r="Q7" s="63"/>
      <c r="R7" s="65"/>
      <c r="S7" s="63"/>
      <c r="T7" s="63"/>
      <c r="U7" s="63"/>
      <c r="V7" s="63"/>
      <c r="W7" s="64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</row>
    <row r="8">
      <c r="A8" s="63"/>
      <c r="B8" s="73"/>
      <c r="C8" s="74"/>
      <c r="D8" s="74"/>
      <c r="E8" s="74"/>
      <c r="F8" s="74"/>
      <c r="G8" s="63"/>
      <c r="H8" s="63"/>
      <c r="I8" s="75">
        <f>IFERROR(__xludf.DUMMYFUNCTION("IMPORTRANGE(""https://docs.google.com/spreadsheets/d/1QFB2kh2cYM7XonEBR7QFtdA5P63irew36fgS54qRFHA/edit?gid=443985142#gid=443985142"" , ""Lecaps!A:L"")"),45938.0)</f>
        <v>45938</v>
      </c>
      <c r="J8" s="63"/>
      <c r="K8" s="64"/>
      <c r="L8" s="65"/>
      <c r="M8" s="63"/>
      <c r="N8" s="63"/>
      <c r="O8" s="63"/>
      <c r="P8" s="63"/>
      <c r="Q8" s="63"/>
      <c r="R8" s="65"/>
      <c r="S8" s="63"/>
      <c r="T8" s="63"/>
      <c r="U8" s="75">
        <f>IFERROR(__xludf.DUMMYFUNCTION("IMPORTRANGE(""https://docs.google.com/spreadsheets/d/1QFB2kh2cYM7XonEBR7QFtdA5P63irew36fgS54qRFHA/edit?gid=443985142#gid=443985142"" , ""CER!A:L"")"),45938.0)</f>
        <v>45938</v>
      </c>
      <c r="V8" s="63"/>
      <c r="W8" s="64"/>
      <c r="X8" s="63"/>
      <c r="Y8" s="63"/>
      <c r="Z8" s="63"/>
      <c r="AA8" s="63"/>
      <c r="AB8" s="63"/>
      <c r="AC8" s="63"/>
      <c r="AD8" s="63"/>
      <c r="AE8" s="63"/>
      <c r="AF8" s="63"/>
      <c r="AG8" s="63" t="str">
        <f>IFERROR(__xludf.DUMMYFUNCTION("IMPORTRANGE(""https://docs.google.com/spreadsheets/d/1QFB2kh2cYM7XonEBR7QFtdA5P63irew36fgS54qRFHA/edit?gid=443985142#gid=443985142"" , ""Soberanos!A:L"")"),"")</f>
        <v/>
      </c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75">
        <f>IFERROR(__xludf.DUMMYFUNCTION("IMPORTRANGE(""https://docs.google.com/spreadsheets/d/1QFB2kh2cYM7XonEBR7QFtdA5P63irew36fgS54qRFHA/edit?gid=443985142#gid=443985142"" , ""Bopreales!A:L"")"),45938.0)</f>
        <v>45938</v>
      </c>
      <c r="AT8" s="16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</row>
    <row r="9">
      <c r="A9" s="63"/>
      <c r="B9" s="66" t="s">
        <v>50</v>
      </c>
      <c r="C9" s="67" t="s">
        <v>51</v>
      </c>
      <c r="D9" s="67" t="s">
        <v>68</v>
      </c>
      <c r="E9" s="67" t="s">
        <v>69</v>
      </c>
      <c r="F9" s="67" t="s">
        <v>55</v>
      </c>
      <c r="G9" s="63"/>
      <c r="H9" s="63"/>
      <c r="I9" s="63"/>
      <c r="J9" s="63" t="str">
        <f>IFERROR(__xludf.DUMMYFUNCTION("""COMPUTED_VALUE"""),"LECAPS")</f>
        <v>LECAPS</v>
      </c>
      <c r="K9" s="64"/>
      <c r="L9" s="65"/>
      <c r="M9" s="63"/>
      <c r="N9" s="63"/>
      <c r="O9" s="63"/>
      <c r="P9" s="63"/>
      <c r="Q9" s="63"/>
      <c r="R9" s="65"/>
      <c r="S9" s="63"/>
      <c r="T9" s="63"/>
      <c r="U9" s="63"/>
      <c r="V9" s="63" t="str">
        <f>IFERROR(__xludf.DUMMYFUNCTION("""COMPUTED_VALUE"""),"BONOS CER")</f>
        <v>BONOS CER</v>
      </c>
      <c r="W9" s="64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 t="str">
        <f>IFERROR(__xludf.DUMMYFUNCTION("""COMPUTED_VALUE"""),"SOBERANOS USD")</f>
        <v>SOBERANOS USD</v>
      </c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 t="str">
        <f>IFERROR(__xludf.DUMMYFUNCTION("""COMPUTED_VALUE"""),"BOPREALES")</f>
        <v>BOPREALES</v>
      </c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</row>
    <row r="10">
      <c r="A10" s="68" t="s">
        <v>70</v>
      </c>
      <c r="B10" s="69" t="s">
        <v>74</v>
      </c>
      <c r="C10" s="70">
        <f>VLOOKUP(B10,$J$11:$R$63,7,0)</f>
        <v>0.6854887566</v>
      </c>
      <c r="D10" s="76">
        <f>VLOOKUP(B10,$J$11:$R$63,9,0)</f>
        <v>23</v>
      </c>
      <c r="E10" s="71"/>
      <c r="F10" s="77">
        <v>0.5</v>
      </c>
      <c r="G10" s="63"/>
      <c r="H10" s="63"/>
      <c r="I10" s="78"/>
      <c r="J10" s="79" t="str">
        <f>IFERROR(__xludf.DUMMYFUNCTION("""COMPUTED_VALUE"""),"Ticker")</f>
        <v>Ticker</v>
      </c>
      <c r="K10" s="80" t="str">
        <f>IFERROR(__xludf.DUMMYFUNCTION("""COMPUTED_VALUE"""),"Vencimiento")</f>
        <v>Vencimiento</v>
      </c>
      <c r="L10" s="81" t="str">
        <f>IFERROR(__xludf.DUMMYFUNCTION("""COMPUTED_VALUE"""),"Precio")</f>
        <v>Precio</v>
      </c>
      <c r="M10" s="79" t="str">
        <f>IFERROR(__xludf.DUMMYFUNCTION("""COMPUTED_VALUE"""),"Variación")</f>
        <v>Variación</v>
      </c>
      <c r="N10" s="79" t="str">
        <f>IFERROR(__xludf.DUMMYFUNCTION("""COMPUTED_VALUE"""),"TEM")</f>
        <v>TEM</v>
      </c>
      <c r="O10" s="79" t="str">
        <f>IFERROR(__xludf.DUMMYFUNCTION("""COMPUTED_VALUE"""),"Rendimiento")</f>
        <v>Rendimiento</v>
      </c>
      <c r="P10" s="79" t="str">
        <f>IFERROR(__xludf.DUMMYFUNCTION("""COMPUTED_VALUE"""),"TNA")</f>
        <v>TNA</v>
      </c>
      <c r="Q10" s="79" t="str">
        <f>IFERROR(__xludf.DUMMYFUNCTION("""COMPUTED_VALUE"""),"TIR")</f>
        <v>TIR</v>
      </c>
      <c r="R10" s="81" t="str">
        <f>IFERROR(__xludf.DUMMYFUNCTION("""COMPUTED_VALUE"""),"Días")</f>
        <v>Días</v>
      </c>
      <c r="S10" s="82" t="str">
        <f>IFERROR(__xludf.DUMMYFUNCTION("""COMPUTED_VALUE"""),"Fx B.E")</f>
        <v>Fx B.E</v>
      </c>
      <c r="T10" s="82"/>
      <c r="U10" s="82"/>
      <c r="V10" s="83" t="str">
        <f>IFERROR(__xludf.DUMMYFUNCTION("""COMPUTED_VALUE"""),"Ticker")</f>
        <v>Ticker</v>
      </c>
      <c r="W10" s="84" t="str">
        <f>IFERROR(__xludf.DUMMYFUNCTION("""COMPUTED_VALUE"""),"Vencimiento")</f>
        <v>Vencimiento</v>
      </c>
      <c r="X10" s="83" t="str">
        <f>IFERROR(__xludf.DUMMYFUNCTION("""COMPUTED_VALUE"""),"Tasa")</f>
        <v>Tasa</v>
      </c>
      <c r="Y10" s="85" t="str">
        <f>IFERROR(__xludf.DUMMYFUNCTION("""COMPUTED_VALUE"""),"Precio")</f>
        <v>Precio</v>
      </c>
      <c r="Z10" s="85" t="str">
        <f>IFERROR(__xludf.DUMMYFUNCTION("""COMPUTED_VALUE"""),"TIR")</f>
        <v>TIR</v>
      </c>
      <c r="AA10" s="85" t="str">
        <f>IFERROR(__xludf.DUMMYFUNCTION("""COMPUTED_VALUE"""),"Var. Diaria%")</f>
        <v>Var. Diaria%</v>
      </c>
      <c r="AB10" s="85" t="str">
        <f>IFERROR(__xludf.DUMMYFUNCTION("""COMPUTED_VALUE"""),"Duration")</f>
        <v>Duration</v>
      </c>
      <c r="AC10" s="85" t="str">
        <f>IFERROR(__xludf.DUMMYFUNCTION("""COMPUTED_VALUE"""),"Pago")</f>
        <v>Pago</v>
      </c>
      <c r="AD10" s="85" t="str">
        <f>IFERROR(__xludf.DUMMYFUNCTION("""COMPUTED_VALUE"""),"Prox. Cupón (días)")</f>
        <v>Prox. Cupón (días)</v>
      </c>
      <c r="AE10" s="63"/>
      <c r="AF10" s="63"/>
      <c r="AG10" s="63"/>
      <c r="AH10" s="63" t="str">
        <f>IFERROR(__xludf.DUMMYFUNCTION("""COMPUTED_VALUE"""),"Ticker")</f>
        <v>Ticker</v>
      </c>
      <c r="AI10" s="63" t="str">
        <f>IFERROR(__xludf.DUMMYFUNCTION("""COMPUTED_VALUE"""),"Var. Diaria %")</f>
        <v>Var. Diaria %</v>
      </c>
      <c r="AJ10" s="63" t="str">
        <f>IFERROR(__xludf.DUMMYFUNCTION("""COMPUTED_VALUE"""),"VTO")</f>
        <v>VTO</v>
      </c>
      <c r="AK10" s="63" t="str">
        <f>IFERROR(__xludf.DUMMYFUNCTION("""COMPUTED_VALUE"""),"Precio")</f>
        <v>Precio</v>
      </c>
      <c r="AL10" s="63" t="str">
        <f>IFERROR(__xludf.DUMMYFUNCTION("""COMPUTED_VALUE"""),"TIR")</f>
        <v>TIR</v>
      </c>
      <c r="AM10" s="63" t="str">
        <f>IFERROR(__xludf.DUMMYFUNCTION("""COMPUTED_VALUE"""),"Spread X Ley")</f>
        <v>Spread X Ley</v>
      </c>
      <c r="AN10" s="63" t="str">
        <f>IFERROR(__xludf.DUMMYFUNCTION("""COMPUTED_VALUE"""),"Current Yield")</f>
        <v>Current Yield</v>
      </c>
      <c r="AO10" s="63" t="str">
        <f>IFERROR(__xludf.DUMMYFUNCTION("""COMPUTED_VALUE"""),"Duration")</f>
        <v>Duration</v>
      </c>
      <c r="AP10" s="63" t="str">
        <f>IFERROR(__xludf.DUMMYFUNCTION("""COMPUTED_VALUE"""),"Pago")</f>
        <v>Pago</v>
      </c>
      <c r="AQ10" s="63" t="str">
        <f>IFERROR(__xludf.DUMMYFUNCTION("""COMPUTED_VALUE"""),"Ley")</f>
        <v>Ley</v>
      </c>
      <c r="AR10" s="63" t="str">
        <f>IFERROR(__xludf.DUMMYFUNCTION("""COMPUTED_VALUE"""),"Paridad")</f>
        <v>Paridad</v>
      </c>
      <c r="AS10" s="63"/>
      <c r="AT10" s="63" t="str">
        <f>IFERROR(__xludf.DUMMYFUNCTION("""COMPUTED_VALUE"""),"Ticker")</f>
        <v>Ticker</v>
      </c>
      <c r="AU10" s="63" t="str">
        <f>IFERROR(__xludf.DUMMYFUNCTION("""COMPUTED_VALUE"""),"Variación")</f>
        <v>Variación</v>
      </c>
      <c r="AV10" s="63" t="str">
        <f>IFERROR(__xludf.DUMMYFUNCTION("""COMPUTED_VALUE"""),"VTO")</f>
        <v>VTO</v>
      </c>
      <c r="AW10" s="63" t="str">
        <f>IFERROR(__xludf.DUMMYFUNCTION("""COMPUTED_VALUE"""),"Precio")</f>
        <v>Precio</v>
      </c>
      <c r="AX10" s="63" t="str">
        <f>IFERROR(__xludf.DUMMYFUNCTION("""COMPUTED_VALUE"""),"TIR")</f>
        <v>TIR</v>
      </c>
      <c r="AY10" s="63" t="str">
        <f>IFERROR(__xludf.DUMMYFUNCTION("""COMPUTED_VALUE"""),"Op de rescate")</f>
        <v>Op de rescate</v>
      </c>
      <c r="AZ10" s="63" t="str">
        <f>IFERROR(__xludf.DUMMYFUNCTION("""COMPUTED_VALUE"""),"Current Yield")</f>
        <v>Current Yield</v>
      </c>
      <c r="BA10" s="63" t="str">
        <f>IFERROR(__xludf.DUMMYFUNCTION("""COMPUTED_VALUE"""),"Duration")</f>
        <v>Duration</v>
      </c>
      <c r="BB10" s="63" t="str">
        <f>IFERROR(__xludf.DUMMYFUNCTION("""COMPUTED_VALUE"""),"Pago")</f>
        <v>Pago</v>
      </c>
      <c r="BC10" s="63" t="str">
        <f>IFERROR(__xludf.DUMMYFUNCTION("""COMPUTED_VALUE"""),"Prox Cupón (días)")</f>
        <v>Prox Cupón (días)</v>
      </c>
      <c r="BD10" s="63" t="str">
        <f>IFERROR(__xludf.DUMMYFUNCTION("""COMPUTED_VALUE"""),"Ley")</f>
        <v>Ley</v>
      </c>
      <c r="BE10" s="63"/>
      <c r="BF10" s="63"/>
      <c r="BG10" s="63"/>
      <c r="BH10" s="63"/>
      <c r="BI10" s="63"/>
      <c r="BJ10" s="63"/>
      <c r="BK10" s="63"/>
      <c r="BL10" s="63"/>
      <c r="BM10" s="63"/>
      <c r="BN10" s="63"/>
    </row>
    <row r="11">
      <c r="A11" s="68" t="s">
        <v>75</v>
      </c>
      <c r="B11" s="69" t="s">
        <v>76</v>
      </c>
      <c r="C11" s="70">
        <f>VLOOKUP($B$11,$V$11:$AD$28,5,0)</f>
        <v>0.371507695</v>
      </c>
      <c r="D11" s="71">
        <f>VLOOKUP($B$11,$V$11:$AD$28,7,0)</f>
        <v>0.5333053393</v>
      </c>
      <c r="E11" s="71"/>
      <c r="F11" s="77">
        <v>0.5</v>
      </c>
      <c r="G11" s="63"/>
      <c r="H11" s="63"/>
      <c r="I11" s="78"/>
      <c r="J11" s="86" t="str">
        <f>IFERROR(__xludf.DUMMYFUNCTION("""COMPUTED_VALUE"""),"T17O5")</f>
        <v>T17O5</v>
      </c>
      <c r="K11" s="87">
        <f>IFERROR(__xludf.DUMMYFUNCTION("""COMPUTED_VALUE"""),45947.0)</f>
        <v>45947</v>
      </c>
      <c r="L11" s="88">
        <f>IFERROR(__xludf.DUMMYFUNCTION("""COMPUTED_VALUE"""),156.85)</f>
        <v>156.85</v>
      </c>
      <c r="M11" s="89">
        <f>IFERROR(__xludf.DUMMYFUNCTION("""COMPUTED_VALUE"""),-3.0E-4)</f>
        <v>-0.0003</v>
      </c>
      <c r="N11" s="89">
        <f>IFERROR(__xludf.DUMMYFUNCTION("""COMPUTED_VALUE"""),0.049212628110962386)</f>
        <v>0.04921262811</v>
      </c>
      <c r="O11" s="89">
        <f>IFERROR(__xludf.DUMMYFUNCTION("""COMPUTED_VALUE"""),0.012893076100169987)</f>
        <v>0.0128930761</v>
      </c>
      <c r="P11" s="89">
        <f>IFERROR(__xludf.DUMMYFUNCTION("""COMPUTED_VALUE"""),0.5882465970702556)</f>
        <v>0.5882465971</v>
      </c>
      <c r="Q11" s="89">
        <f>IFERROR(__xludf.DUMMYFUNCTION("""COMPUTED_VALUE"""),0.7940698999295032)</f>
        <v>0.7940698999</v>
      </c>
      <c r="R11" s="88">
        <f>IFERROR(__xludf.DUMMYFUNCTION("""COMPUTED_VALUE"""),9.0)</f>
        <v>9</v>
      </c>
      <c r="S11" s="90">
        <f>IFERROR(__xludf.DUMMYFUNCTION("""COMPUTED_VALUE"""),1547.6491484006044)</f>
        <v>1547.649148</v>
      </c>
      <c r="T11" s="91">
        <f>IFERROR(__xludf.DUMMYFUNCTION("""COMPUTED_VALUE"""),9.0)</f>
        <v>9</v>
      </c>
      <c r="U11" s="92"/>
      <c r="V11" s="93" t="str">
        <f>IFERROR(__xludf.DUMMYFUNCTION("""COMPUTED_VALUE"""),"TZXO6")</f>
        <v>TZXO6</v>
      </c>
      <c r="W11" s="87">
        <f>IFERROR(__xludf.DUMMYFUNCTION("""COMPUTED_VALUE"""),46325.0)</f>
        <v>46325</v>
      </c>
      <c r="X11" s="94" t="str">
        <f>IFERROR(__xludf.DUMMYFUNCTION("""COMPUTED_VALUE"""),"CER + 0%")</f>
        <v>CER + 0%</v>
      </c>
      <c r="Y11" s="95">
        <f>IFERROR(__xludf.DUMMYFUNCTION("""COMPUTED_VALUE"""),101.0)</f>
        <v>101</v>
      </c>
      <c r="Z11" s="70">
        <f>IFERROR(__xludf.DUMMYFUNCTION("""COMPUTED_VALUE"""),0.2841959468762413)</f>
        <v>0.2841959469</v>
      </c>
      <c r="AA11" s="70">
        <f>IFERROR(__xludf.DUMMYFUNCTION("""COMPUTED_VALUE"""),-0.0024)</f>
        <v>-0.0024</v>
      </c>
      <c r="AB11" s="71">
        <f>IFERROR(__xludf.DUMMYFUNCTION("""COMPUTED_VALUE"""),1.0682901648127028)</f>
        <v>1.068290165</v>
      </c>
      <c r="AC11" s="85" t="str">
        <f>IFERROR(__xludf.DUMMYFUNCTION("""COMPUTED_VALUE"""),"No paga")</f>
        <v>No paga</v>
      </c>
      <c r="AD11" s="85">
        <f>IFERROR(__xludf.DUMMYFUNCTION("""COMPUTED_VALUE"""),386.0)</f>
        <v>386</v>
      </c>
      <c r="AE11" s="63"/>
      <c r="AF11" s="63"/>
      <c r="AG11" s="63"/>
      <c r="AH11" s="96" t="str">
        <f>IFERROR(__xludf.DUMMYFUNCTION("""COMPUTED_VALUE"""),"AL29D")</f>
        <v>AL29D</v>
      </c>
      <c r="AI11" s="97">
        <f>IFERROR(__xludf.DUMMYFUNCTION("""COMPUTED_VALUE"""),0.021)</f>
        <v>0.021</v>
      </c>
      <c r="AJ11" s="98">
        <f>IFERROR(__xludf.DUMMYFUNCTION("""COMPUTED_VALUE"""),47308.0)</f>
        <v>47308</v>
      </c>
      <c r="AK11" s="99">
        <f>IFERROR(__xludf.DUMMYFUNCTION("""COMPUTED_VALUE"""),58.8)</f>
        <v>58.8</v>
      </c>
      <c r="AL11" s="97">
        <f>IFERROR(__xludf.DUMMYFUNCTION("""COMPUTED_VALUE"""),0.19274955536228097)</f>
        <v>0.1927495554</v>
      </c>
      <c r="AM11" s="63" t="str">
        <f>IFERROR(__xludf.DUMMYFUNCTION("""COMPUTED_VALUE"""),"-")</f>
        <v>-</v>
      </c>
      <c r="AN11" s="97">
        <f>IFERROR(__xludf.DUMMYFUNCTION("""COMPUTED_VALUE"""),0.016156462585034014)</f>
        <v>0.01615646259</v>
      </c>
      <c r="AO11" s="100">
        <f>IFERROR(__xludf.DUMMYFUNCTION("""COMPUTED_VALUE"""),1.772485729841569)</f>
        <v>1.77248573</v>
      </c>
      <c r="AP11" s="63" t="str">
        <f>IFERROR(__xludf.DUMMYFUNCTION("""COMPUTED_VALUE"""),"Semestral")</f>
        <v>Semestral</v>
      </c>
      <c r="AQ11" s="63" t="str">
        <f>IFERROR(__xludf.DUMMYFUNCTION("""COMPUTED_VALUE"""),"ARG")</f>
        <v>ARG</v>
      </c>
      <c r="AR11" s="97">
        <f>IFERROR(__xludf.DUMMYFUNCTION("""COMPUTED_VALUE"""),0.7331264546159814)</f>
        <v>0.7331264546</v>
      </c>
      <c r="AS11" s="63"/>
      <c r="AT11" s="96" t="str">
        <f>IFERROR(__xludf.DUMMYFUNCTION("""COMPUTED_VALUE"""),"BPA7D")</f>
        <v>BPA7D</v>
      </c>
      <c r="AU11" s="97">
        <f>IFERROR(__xludf.DUMMYFUNCTION("""COMPUTED_VALUE"""),-0.0285)</f>
        <v>-0.0285</v>
      </c>
      <c r="AV11" s="98">
        <f>IFERROR(__xludf.DUMMYFUNCTION("""COMPUTED_VALUE"""),46691.0)</f>
        <v>46691</v>
      </c>
      <c r="AW11" s="99">
        <f>IFERROR(__xludf.DUMMYFUNCTION("""COMPUTED_VALUE"""),101.9)</f>
        <v>101.9</v>
      </c>
      <c r="AX11" s="97">
        <f>IFERROR(__xludf.DUMMYFUNCTION("""COMPUTED_VALUE"""),0.05246435560071971)</f>
        <v>0.0524643556</v>
      </c>
      <c r="AY11" s="98">
        <f>IFERROR(__xludf.DUMMYFUNCTION("""COMPUTED_VALUE"""),45777.0)</f>
        <v>45777</v>
      </c>
      <c r="AZ11" s="97">
        <f>IFERROR(__xludf.DUMMYFUNCTION("""COMPUTED_VALUE"""),0.05711481844946025)</f>
        <v>0.05711481845</v>
      </c>
      <c r="BA11" s="65">
        <f>IFERROR(__xludf.DUMMYFUNCTION("""COMPUTED_VALUE"""),1.7339419040655923)</f>
        <v>1.733941904</v>
      </c>
      <c r="BB11" s="63" t="str">
        <f>IFERROR(__xludf.DUMMYFUNCTION("""COMPUTED_VALUE"""),"Semestral")</f>
        <v>Semestral</v>
      </c>
      <c r="BC11" s="63">
        <f>IFERROR(__xludf.DUMMYFUNCTION("""COMPUTED_VALUE"""),23.0)</f>
        <v>23</v>
      </c>
      <c r="BD11" s="63" t="str">
        <f>IFERROR(__xludf.DUMMYFUNCTION("""COMPUTED_VALUE"""),"ARG")</f>
        <v>ARG</v>
      </c>
      <c r="BE11" s="63"/>
      <c r="BF11" s="63"/>
      <c r="BG11" s="63"/>
      <c r="BH11" s="63"/>
      <c r="BI11" s="63"/>
      <c r="BJ11" s="63"/>
      <c r="BK11" s="63"/>
      <c r="BL11" s="63"/>
      <c r="BM11" s="63"/>
      <c r="BN11" s="63"/>
    </row>
    <row r="12">
      <c r="A12" s="63"/>
      <c r="B12" s="101"/>
      <c r="C12" s="101"/>
      <c r="D12" s="102">
        <f t="shared" ref="D12:E12" si="3">SUM(D10:D11)</f>
        <v>23.53330534</v>
      </c>
      <c r="E12" s="103">
        <f t="shared" si="3"/>
        <v>0</v>
      </c>
      <c r="F12" s="101"/>
      <c r="G12" s="63"/>
      <c r="H12" s="63"/>
      <c r="I12" s="78"/>
      <c r="J12" s="86" t="str">
        <f>IFERROR(__xludf.DUMMYFUNCTION("""COMPUTED_VALUE"""),"S31O5")</f>
        <v>S31O5</v>
      </c>
      <c r="K12" s="87">
        <f>IFERROR(__xludf.DUMMYFUNCTION("""COMPUTED_VALUE"""),45961.0)</f>
        <v>45961</v>
      </c>
      <c r="L12" s="88">
        <f>IFERROR(__xludf.DUMMYFUNCTION("""COMPUTED_VALUE"""),127.55)</f>
        <v>127.55</v>
      </c>
      <c r="M12" s="89">
        <f>IFERROR(__xludf.DUMMYFUNCTION("""COMPUTED_VALUE"""),-0.005)</f>
        <v>-0.005</v>
      </c>
      <c r="N12" s="89">
        <f>IFERROR(__xludf.DUMMYFUNCTION("""COMPUTED_VALUE"""),0.05676114279184996)</f>
        <v>0.05676114279</v>
      </c>
      <c r="O12" s="89">
        <f>IFERROR(__xludf.DUMMYFUNCTION("""COMPUTED_VALUE"""),0.04131713053704433)</f>
        <v>0.04131713054</v>
      </c>
      <c r="P12" s="89">
        <f>IFERROR(__xludf.DUMMYFUNCTION("""COMPUTED_VALUE"""),0.6854887566373264)</f>
        <v>0.6854887566</v>
      </c>
      <c r="Q12" s="89">
        <f>IFERROR(__xludf.DUMMYFUNCTION("""COMPUTED_VALUE"""),0.9575739158045602)</f>
        <v>0.9575739158</v>
      </c>
      <c r="R12" s="88">
        <f>IFERROR(__xludf.DUMMYFUNCTION("""COMPUTED_VALUE"""),23.0)</f>
        <v>23</v>
      </c>
      <c r="S12" s="90">
        <f>IFERROR(__xludf.DUMMYFUNCTION("""COMPUTED_VALUE"""),1591.079659163589)</f>
        <v>1591.079659</v>
      </c>
      <c r="T12" s="91"/>
      <c r="U12" s="92"/>
      <c r="V12" s="93" t="str">
        <f>IFERROR(__xludf.DUMMYFUNCTION("""COMPUTED_VALUE"""),"TX26")</f>
        <v>TX26</v>
      </c>
      <c r="W12" s="87">
        <f>IFERROR(__xludf.DUMMYFUNCTION("""COMPUTED_VALUE"""),46335.0)</f>
        <v>46335</v>
      </c>
      <c r="X12" s="94" t="str">
        <f>IFERROR(__xludf.DUMMYFUNCTION("""COMPUTED_VALUE"""),"CER + 2%")</f>
        <v>CER + 2%</v>
      </c>
      <c r="Y12" s="95">
        <f>IFERROR(__xludf.DUMMYFUNCTION("""COMPUTED_VALUE"""),1440.0)</f>
        <v>1440</v>
      </c>
      <c r="Z12" s="70">
        <f>IFERROR(__xludf.DUMMYFUNCTION("""COMPUTED_VALUE"""),0.37150769495312397)</f>
        <v>0.371507695</v>
      </c>
      <c r="AA12" s="70">
        <f>IFERROR(__xludf.DUMMYFUNCTION("""COMPUTED_VALUE"""),-0.013600000000000001)</f>
        <v>-0.0136</v>
      </c>
      <c r="AB12" s="71">
        <f>IFERROR(__xludf.DUMMYFUNCTION("""COMPUTED_VALUE"""),0.5333053393151996)</f>
        <v>0.5333053393</v>
      </c>
      <c r="AC12" s="85" t="str">
        <f>IFERROR(__xludf.DUMMYFUNCTION("""COMPUTED_VALUE"""),"Semestral")</f>
        <v>Semestral</v>
      </c>
      <c r="AD12" s="85">
        <f>IFERROR(__xludf.DUMMYFUNCTION("""COMPUTED_VALUE"""),32.0)</f>
        <v>32</v>
      </c>
      <c r="AE12" s="63"/>
      <c r="AF12" s="63"/>
      <c r="AG12" s="63"/>
      <c r="AH12" s="96" t="str">
        <f>IFERROR(__xludf.DUMMYFUNCTION("""COMPUTED_VALUE"""),"AL30D")</f>
        <v>AL30D</v>
      </c>
      <c r="AI12" s="97">
        <f>IFERROR(__xludf.DUMMYFUNCTION("""COMPUTED_VALUE"""),0.0058)</f>
        <v>0.0058</v>
      </c>
      <c r="AJ12" s="98">
        <f>IFERROR(__xludf.DUMMYFUNCTION("""COMPUTED_VALUE"""),47673.0)</f>
        <v>47673</v>
      </c>
      <c r="AK12" s="99">
        <f>IFERROR(__xludf.DUMMYFUNCTION("""COMPUTED_VALUE"""),55.1)</f>
        <v>55.1</v>
      </c>
      <c r="AL12" s="97">
        <f>IFERROR(__xludf.DUMMYFUNCTION("""COMPUTED_VALUE"""),0.19046508064282572)</f>
        <v>0.1904650806</v>
      </c>
      <c r="AM12" s="63" t="str">
        <f>IFERROR(__xludf.DUMMYFUNCTION("""COMPUTED_VALUE"""),"-")</f>
        <v>-</v>
      </c>
      <c r="AN12" s="97">
        <f>IFERROR(__xludf.DUMMYFUNCTION("""COMPUTED_VALUE"""),0.012522686025408347)</f>
        <v>0.01252268603</v>
      </c>
      <c r="AO12" s="100">
        <f>IFERROR(__xludf.DUMMYFUNCTION("""COMPUTED_VALUE"""),2.152767954241598)</f>
        <v>2.152767954</v>
      </c>
      <c r="AP12" s="63" t="str">
        <f>IFERROR(__xludf.DUMMYFUNCTION("""COMPUTED_VALUE"""),"Semestral")</f>
        <v>Semestral</v>
      </c>
      <c r="AQ12" s="63" t="str">
        <f>IFERROR(__xludf.DUMMYFUNCTION("""COMPUTED_VALUE"""),"ARG")</f>
        <v>ARG</v>
      </c>
      <c r="AR12" s="97">
        <f>IFERROR(__xludf.DUMMYFUNCTION("""COMPUTED_VALUE"""),0.687432421192714)</f>
        <v>0.6874324212</v>
      </c>
      <c r="AS12" s="63"/>
      <c r="AT12" s="96" t="str">
        <f>IFERROR(__xludf.DUMMYFUNCTION("""COMPUTED_VALUE"""),"BPB7D")</f>
        <v>BPB7D</v>
      </c>
      <c r="AU12" s="97">
        <f>IFERROR(__xludf.DUMMYFUNCTION("""COMPUTED_VALUE"""),-5.0E-4)</f>
        <v>-0.0005</v>
      </c>
      <c r="AV12" s="98">
        <f>IFERROR(__xludf.DUMMYFUNCTION("""COMPUTED_VALUE"""),46691.0)</f>
        <v>46691</v>
      </c>
      <c r="AW12" s="99">
        <f>IFERROR(__xludf.DUMMYFUNCTION("""COMPUTED_VALUE"""),97.2)</f>
        <v>97.2</v>
      </c>
      <c r="AX12" s="97">
        <f>IFERROR(__xludf.DUMMYFUNCTION("""COMPUTED_VALUE"""),0.08193357534384128)</f>
        <v>0.08193357534</v>
      </c>
      <c r="AY12" s="98">
        <f>IFERROR(__xludf.DUMMYFUNCTION("""COMPUTED_VALUE"""),46142.0)</f>
        <v>46142</v>
      </c>
      <c r="AZ12" s="97">
        <f>IFERROR(__xludf.DUMMYFUNCTION("""COMPUTED_VALUE"""),0.059876543209876544)</f>
        <v>0.05987654321</v>
      </c>
      <c r="BA12" s="65">
        <f>IFERROR(__xludf.DUMMYFUNCTION("""COMPUTED_VALUE"""),1.7277992393140498)</f>
        <v>1.727799239</v>
      </c>
      <c r="BB12" s="63" t="str">
        <f>IFERROR(__xludf.DUMMYFUNCTION("""COMPUTED_VALUE"""),"Semestral")</f>
        <v>Semestral</v>
      </c>
      <c r="BC12" s="63">
        <f>IFERROR(__xludf.DUMMYFUNCTION("""COMPUTED_VALUE"""),23.0)</f>
        <v>23</v>
      </c>
      <c r="BD12" s="63" t="str">
        <f>IFERROR(__xludf.DUMMYFUNCTION("""COMPUTED_VALUE"""),"ARG")</f>
        <v>ARG</v>
      </c>
      <c r="BE12" s="63"/>
      <c r="BF12" s="63"/>
      <c r="BG12" s="63"/>
      <c r="BH12" s="63"/>
      <c r="BI12" s="63"/>
      <c r="BJ12" s="63"/>
      <c r="BK12" s="63"/>
      <c r="BL12" s="63"/>
      <c r="BM12" s="63"/>
      <c r="BN12" s="63"/>
    </row>
    <row r="13">
      <c r="A13" s="63"/>
      <c r="B13" s="66" t="s">
        <v>77</v>
      </c>
      <c r="C13" s="67" t="s">
        <v>51</v>
      </c>
      <c r="D13" s="67" t="s">
        <v>68</v>
      </c>
      <c r="E13" s="67" t="s">
        <v>69</v>
      </c>
      <c r="F13" s="67" t="s">
        <v>55</v>
      </c>
      <c r="G13" s="63"/>
      <c r="H13" s="63"/>
      <c r="I13" s="78"/>
      <c r="J13" s="86" t="str">
        <f>IFERROR(__xludf.DUMMYFUNCTION("""COMPUTED_VALUE"""),"S10N5")</f>
        <v>S10N5</v>
      </c>
      <c r="K13" s="87">
        <f>IFERROR(__xludf.DUMMYFUNCTION("""COMPUTED_VALUE"""),45971.0)</f>
        <v>45971</v>
      </c>
      <c r="L13" s="88">
        <f>IFERROR(__xludf.DUMMYFUNCTION("""COMPUTED_VALUE"""),115.95)</f>
        <v>115.95</v>
      </c>
      <c r="M13" s="89">
        <f>IFERROR(__xludf.DUMMYFUNCTION("""COMPUTED_VALUE"""),-0.0017000000000000001)</f>
        <v>-0.0017</v>
      </c>
      <c r="N13" s="89">
        <f>IFERROR(__xludf.DUMMYFUNCTION("""COMPUTED_VALUE"""),0.053031850656973356)</f>
        <v>0.05303185066</v>
      </c>
      <c r="O13" s="89">
        <f>IFERROR(__xludf.DUMMYFUNCTION("""COMPUTED_VALUE"""),0.0566656942093029)</f>
        <v>0.05666569421</v>
      </c>
      <c r="P13" s="89">
        <f>IFERROR(__xludf.DUMMYFUNCTION("""COMPUTED_VALUE"""),0.6463430745748612)</f>
        <v>0.6463430746</v>
      </c>
      <c r="Q13" s="89">
        <f>IFERROR(__xludf.DUMMYFUNCTION("""COMPUTED_VALUE"""),0.875160038202293)</f>
        <v>0.8751600382</v>
      </c>
      <c r="R13" s="88">
        <f>IFERROR(__xludf.DUMMYFUNCTION("""COMPUTED_VALUE"""),33.0)</f>
        <v>33</v>
      </c>
      <c r="S13" s="90">
        <f>IFERROR(__xludf.DUMMYFUNCTION("""COMPUTED_VALUE"""),1614.531484491492)</f>
        <v>1614.531484</v>
      </c>
      <c r="T13" s="91">
        <f>IFERROR(__xludf.DUMMYFUNCTION("""COMPUTED_VALUE"""),33.0)</f>
        <v>33</v>
      </c>
      <c r="U13" s="92"/>
      <c r="V13" s="93" t="str">
        <f>IFERROR(__xludf.DUMMYFUNCTION("""COMPUTED_VALUE"""),"TZXO5")</f>
        <v>TZXO5</v>
      </c>
      <c r="W13" s="87">
        <f>IFERROR(__xludf.DUMMYFUNCTION("""COMPUTED_VALUE"""),45961.0)</f>
        <v>45961</v>
      </c>
      <c r="X13" s="94" t="str">
        <f>IFERROR(__xludf.DUMMYFUNCTION("""COMPUTED_VALUE"""),"CER + 0%")</f>
        <v>CER + 0%</v>
      </c>
      <c r="Y13" s="95">
        <f>IFERROR(__xludf.DUMMYFUNCTION("""COMPUTED_VALUE"""),128.05)</f>
        <v>128.05</v>
      </c>
      <c r="Z13" s="70">
        <f>IFERROR(__xludf.DUMMYFUNCTION("""COMPUTED_VALUE"""),0.5709272368696042)</f>
        <v>0.5709272369</v>
      </c>
      <c r="AA13" s="70">
        <f>IFERROR(__xludf.DUMMYFUNCTION("""COMPUTED_VALUE"""),-0.0019)</f>
        <v>-0.0019</v>
      </c>
      <c r="AB13" s="71">
        <f>IFERROR(__xludf.DUMMYFUNCTION("""COMPUTED_VALUE"""),0.06108800893781527)</f>
        <v>0.06108800894</v>
      </c>
      <c r="AC13" s="85" t="str">
        <f>IFERROR(__xludf.DUMMYFUNCTION("""COMPUTED_VALUE"""),"No Paga")</f>
        <v>No Paga</v>
      </c>
      <c r="AD13" s="85">
        <f>IFERROR(__xludf.DUMMYFUNCTION("""COMPUTED_VALUE"""),23.0)</f>
        <v>23</v>
      </c>
      <c r="AE13" s="63"/>
      <c r="AF13" s="63"/>
      <c r="AG13" s="63"/>
      <c r="AH13" s="96" t="str">
        <f>IFERROR(__xludf.DUMMYFUNCTION("""COMPUTED_VALUE"""),"AE38D")</f>
        <v>AE38D</v>
      </c>
      <c r="AI13" s="97">
        <f>IFERROR(__xludf.DUMMYFUNCTION("""COMPUTED_VALUE"""),0.0036)</f>
        <v>0.0036</v>
      </c>
      <c r="AJ13" s="98">
        <f>IFERROR(__xludf.DUMMYFUNCTION("""COMPUTED_VALUE"""),50414.0)</f>
        <v>50414</v>
      </c>
      <c r="AK13" s="99">
        <f>IFERROR(__xludf.DUMMYFUNCTION("""COMPUTED_VALUE"""),55.7)</f>
        <v>55.7</v>
      </c>
      <c r="AL13" s="97">
        <f>IFERROR(__xludf.DUMMYFUNCTION("""COMPUTED_VALUE"""),0.17988135687852902)</f>
        <v>0.1798813569</v>
      </c>
      <c r="AM13" s="63" t="str">
        <f>IFERROR(__xludf.DUMMYFUNCTION("""COMPUTED_VALUE"""),"-")</f>
        <v>-</v>
      </c>
      <c r="AN13" s="97">
        <f>IFERROR(__xludf.DUMMYFUNCTION("""COMPUTED_VALUE"""),0.08976660682226212)</f>
        <v>0.08976660682</v>
      </c>
      <c r="AO13" s="100">
        <f>IFERROR(__xludf.DUMMYFUNCTION("""COMPUTED_VALUE"""),4.580029465805991)</f>
        <v>4.580029466</v>
      </c>
      <c r="AP13" s="63" t="str">
        <f>IFERROR(__xludf.DUMMYFUNCTION("""COMPUTED_VALUE"""),"Semestral")</f>
        <v>Semestral</v>
      </c>
      <c r="AQ13" s="63" t="str">
        <f>IFERROR(__xludf.DUMMYFUNCTION("""COMPUTED_VALUE"""),"ARG")</f>
        <v>ARG</v>
      </c>
      <c r="AR13" s="97">
        <f>IFERROR(__xludf.DUMMYFUNCTION("""COMPUTED_VALUE"""),0.5499725726823917)</f>
        <v>0.5499725727</v>
      </c>
      <c r="AS13" s="63"/>
      <c r="AT13" s="96" t="str">
        <f>IFERROR(__xludf.DUMMYFUNCTION("""COMPUTED_VALUE"""),"BPC7D")</f>
        <v>BPC7D</v>
      </c>
      <c r="AU13" s="97">
        <f>IFERROR(__xludf.DUMMYFUNCTION("""COMPUTED_VALUE"""),0.0123)</f>
        <v>0.0123</v>
      </c>
      <c r="AV13" s="98">
        <f>IFERROR(__xludf.DUMMYFUNCTION("""COMPUTED_VALUE"""),46691.0)</f>
        <v>46691</v>
      </c>
      <c r="AW13" s="99">
        <f>IFERROR(__xludf.DUMMYFUNCTION("""COMPUTED_VALUE"""),90.5)</f>
        <v>90.5</v>
      </c>
      <c r="AX13" s="97">
        <f>IFERROR(__xludf.DUMMYFUNCTION("""COMPUTED_VALUE"""),0.12825279003414802)</f>
        <v>0.12825279</v>
      </c>
      <c r="AY13" s="98">
        <f>IFERROR(__xludf.DUMMYFUNCTION("""COMPUTED_VALUE"""),46507.0)</f>
        <v>46507</v>
      </c>
      <c r="AZ13" s="97">
        <f>IFERROR(__xludf.DUMMYFUNCTION("""COMPUTED_VALUE"""),0.06430939226519337)</f>
        <v>0.06430939227</v>
      </c>
      <c r="BA13" s="65">
        <f>IFERROR(__xludf.DUMMYFUNCTION("""COMPUTED_VALUE"""),1.7182874975201892)</f>
        <v>1.718287498</v>
      </c>
      <c r="BB13" s="63" t="str">
        <f>IFERROR(__xludf.DUMMYFUNCTION("""COMPUTED_VALUE"""),"Semestral")</f>
        <v>Semestral</v>
      </c>
      <c r="BC13" s="63">
        <f>IFERROR(__xludf.DUMMYFUNCTION("""COMPUTED_VALUE"""),23.0)</f>
        <v>23</v>
      </c>
      <c r="BD13" s="63" t="str">
        <f>IFERROR(__xludf.DUMMYFUNCTION("""COMPUTED_VALUE"""),"ARG")</f>
        <v>ARG</v>
      </c>
      <c r="BE13" s="63"/>
      <c r="BF13" s="63"/>
      <c r="BG13" s="63"/>
      <c r="BH13" s="63"/>
      <c r="BI13" s="63"/>
      <c r="BJ13" s="63"/>
      <c r="BK13" s="63"/>
      <c r="BL13" s="63"/>
      <c r="BM13" s="63"/>
      <c r="BN13" s="63"/>
    </row>
    <row r="14">
      <c r="A14" s="68" t="s">
        <v>70</v>
      </c>
      <c r="B14" s="69" t="s">
        <v>71</v>
      </c>
      <c r="C14" s="70">
        <f>VLOOKUP(B14,$J$11:$R$63,7,0)</f>
        <v>0.6463430746</v>
      </c>
      <c r="D14" s="71">
        <f>VLOOKUP(B14,$J$11:$R$63,9,0)</f>
        <v>33</v>
      </c>
      <c r="E14" s="71"/>
      <c r="F14" s="77">
        <v>0.5</v>
      </c>
      <c r="G14" s="63"/>
      <c r="H14" s="63"/>
      <c r="I14" s="78"/>
      <c r="J14" s="86" t="str">
        <f>IFERROR(__xludf.DUMMYFUNCTION("""COMPUTED_VALUE"""),"S28N5")</f>
        <v>S28N5</v>
      </c>
      <c r="K14" s="87">
        <f>IFERROR(__xludf.DUMMYFUNCTION("""COMPUTED_VALUE"""),45989.0)</f>
        <v>45989</v>
      </c>
      <c r="L14" s="88">
        <f>IFERROR(__xludf.DUMMYFUNCTION("""COMPUTED_VALUE"""),113.25)</f>
        <v>113.25</v>
      </c>
      <c r="M14" s="89">
        <f>IFERROR(__xludf.DUMMYFUNCTION("""COMPUTED_VALUE"""),-0.01)</f>
        <v>-0.01</v>
      </c>
      <c r="N14" s="89">
        <f>IFERROR(__xludf.DUMMYFUNCTION("""COMPUTED_VALUE"""),0.053673242852413594)</f>
        <v>0.05367324285</v>
      </c>
      <c r="O14" s="89">
        <f>IFERROR(__xludf.DUMMYFUNCTION("""COMPUTED_VALUE"""),0.09104648063503151)</f>
        <v>0.09104648064</v>
      </c>
      <c r="P14" s="89">
        <f>IFERROR(__xludf.DUMMYFUNCTION("""COMPUTED_VALUE"""),0.6646393086357301)</f>
        <v>0.6646393086</v>
      </c>
      <c r="Q14" s="89">
        <f>IFERROR(__xludf.DUMMYFUNCTION("""COMPUTED_VALUE"""),0.8891034668892233)</f>
        <v>0.8891034669</v>
      </c>
      <c r="R14" s="88">
        <f>IFERROR(__xludf.DUMMYFUNCTION("""COMPUTED_VALUE"""),51.0)</f>
        <v>51</v>
      </c>
      <c r="S14" s="90">
        <f>IFERROR(__xludf.DUMMYFUNCTION("""COMPUTED_VALUE"""),1667.0635790320018)</f>
        <v>1667.063579</v>
      </c>
      <c r="T14" s="91">
        <f>IFERROR(__xludf.DUMMYFUNCTION("""COMPUTED_VALUE"""),51.0)</f>
        <v>51</v>
      </c>
      <c r="U14" s="92"/>
      <c r="V14" s="93" t="str">
        <f>IFERROR(__xludf.DUMMYFUNCTION("""COMPUTED_VALUE"""),"TX25")</f>
        <v>TX25</v>
      </c>
      <c r="W14" s="87">
        <f>IFERROR(__xludf.DUMMYFUNCTION("""COMPUTED_VALUE"""),45970.0)</f>
        <v>45970</v>
      </c>
      <c r="X14" s="94" t="str">
        <f>IFERROR(__xludf.DUMMYFUNCTION("""COMPUTED_VALUE"""),"CER + 1,8%")</f>
        <v>CER + 1,8%</v>
      </c>
      <c r="Y14" s="95">
        <f>IFERROR(__xludf.DUMMYFUNCTION("""COMPUTED_VALUE"""),1328.0)</f>
        <v>1328</v>
      </c>
      <c r="Z14" s="70">
        <f>IFERROR(__xludf.DUMMYFUNCTION("""COMPUTED_VALUE"""),0.5656937845311887)</f>
        <v>0.5656937845</v>
      </c>
      <c r="AA14" s="70">
        <f>IFERROR(__xludf.DUMMYFUNCTION("""COMPUTED_VALUE"""),-0.0015)</f>
        <v>-0.0015</v>
      </c>
      <c r="AB14" s="71">
        <f>IFERROR(__xludf.DUMMYFUNCTION("""COMPUTED_VALUE"""),0.08606558321706692)</f>
        <v>0.08606558322</v>
      </c>
      <c r="AC14" s="85" t="str">
        <f>IFERROR(__xludf.DUMMYFUNCTION("""COMPUTED_VALUE"""),"Semestral")</f>
        <v>Semestral</v>
      </c>
      <c r="AD14" s="85">
        <f>IFERROR(__xludf.DUMMYFUNCTION("""COMPUTED_VALUE"""),32.0)</f>
        <v>32</v>
      </c>
      <c r="AE14" s="63"/>
      <c r="AF14" s="63"/>
      <c r="AG14" s="63"/>
      <c r="AH14" s="96" t="str">
        <f>IFERROR(__xludf.DUMMYFUNCTION("""COMPUTED_VALUE"""),"AL35D")</f>
        <v>AL35D</v>
      </c>
      <c r="AI14" s="97">
        <f>IFERROR(__xludf.DUMMYFUNCTION("""COMPUTED_VALUE"""),-0.0019)</f>
        <v>-0.0019</v>
      </c>
      <c r="AJ14" s="98">
        <f>IFERROR(__xludf.DUMMYFUNCTION("""COMPUTED_VALUE"""),49499.0)</f>
        <v>49499</v>
      </c>
      <c r="AK14" s="99">
        <f>IFERROR(__xludf.DUMMYFUNCTION("""COMPUTED_VALUE"""),55.37)</f>
        <v>55.37</v>
      </c>
      <c r="AL14" s="97">
        <f>IFERROR(__xludf.DUMMYFUNCTION("""COMPUTED_VALUE"""),0.1573915117399444)</f>
        <v>0.1573915117</v>
      </c>
      <c r="AM14" s="63" t="str">
        <f>IFERROR(__xludf.DUMMYFUNCTION("""COMPUTED_VALUE"""),"-")</f>
        <v>-</v>
      </c>
      <c r="AN14" s="97">
        <f>IFERROR(__xludf.DUMMYFUNCTION("""COMPUTED_VALUE"""),0.0744085244717356)</f>
        <v>0.07440852447</v>
      </c>
      <c r="AO14" s="100">
        <f>IFERROR(__xludf.DUMMYFUNCTION("""COMPUTED_VALUE"""),5.726816609168342)</f>
        <v>5.726816609</v>
      </c>
      <c r="AP14" s="63" t="str">
        <f>IFERROR(__xludf.DUMMYFUNCTION("""COMPUTED_VALUE"""),"Semestral")</f>
        <v>Semestral</v>
      </c>
      <c r="AQ14" s="63" t="str">
        <f>IFERROR(__xludf.DUMMYFUNCTION("""COMPUTED_VALUE"""),"ARG")</f>
        <v>ARG</v>
      </c>
      <c r="AR14" s="97">
        <f>IFERROR(__xludf.DUMMYFUNCTION("""COMPUTED_VALUE"""),0.5479170400407257)</f>
        <v>0.54791704</v>
      </c>
      <c r="AS14" s="63"/>
      <c r="AT14" s="96" t="str">
        <f>IFERROR(__xludf.DUMMYFUNCTION("""COMPUTED_VALUE"""),"BPD7D")</f>
        <v>BPD7D</v>
      </c>
      <c r="AU14" s="97">
        <f>IFERROR(__xludf.DUMMYFUNCTION("""COMPUTED_VALUE"""),0.003)</f>
        <v>0.003</v>
      </c>
      <c r="AV14" s="98">
        <f>IFERROR(__xludf.DUMMYFUNCTION("""COMPUTED_VALUE"""),46691.0)</f>
        <v>46691</v>
      </c>
      <c r="AW14" s="99">
        <f>IFERROR(__xludf.DUMMYFUNCTION("""COMPUTED_VALUE"""),89.0)</f>
        <v>89</v>
      </c>
      <c r="AX14" s="97">
        <f>IFERROR(__xludf.DUMMYFUNCTION("""COMPUTED_VALUE"""),0.13940657447047933)</f>
        <v>0.1394065745</v>
      </c>
      <c r="AY14" s="63" t="str">
        <f>IFERROR(__xludf.DUMMYFUNCTION("""COMPUTED_VALUE"""),"No")</f>
        <v>No</v>
      </c>
      <c r="AZ14" s="97">
        <f>IFERROR(__xludf.DUMMYFUNCTION("""COMPUTED_VALUE"""),0.06539325842696629)</f>
        <v>0.06539325843</v>
      </c>
      <c r="BA14" s="65">
        <f>IFERROR(__xludf.DUMMYFUNCTION("""COMPUTED_VALUE"""),1.7160217808653322)</f>
        <v>1.716021781</v>
      </c>
      <c r="BB14" s="63" t="str">
        <f>IFERROR(__xludf.DUMMYFUNCTION("""COMPUTED_VALUE"""),"Semestral")</f>
        <v>Semestral</v>
      </c>
      <c r="BC14" s="63">
        <f>IFERROR(__xludf.DUMMYFUNCTION("""COMPUTED_VALUE"""),23.0)</f>
        <v>23</v>
      </c>
      <c r="BD14" s="63" t="str">
        <f>IFERROR(__xludf.DUMMYFUNCTION("""COMPUTED_VALUE"""),"ARG")</f>
        <v>ARG</v>
      </c>
      <c r="BE14" s="63"/>
      <c r="BF14" s="63"/>
      <c r="BG14" s="63"/>
      <c r="BH14" s="63"/>
      <c r="BI14" s="63"/>
      <c r="BJ14" s="63"/>
      <c r="BK14" s="63"/>
      <c r="BL14" s="63"/>
      <c r="BM14" s="63"/>
      <c r="BN14" s="63"/>
    </row>
    <row r="15">
      <c r="A15" s="68" t="s">
        <v>78</v>
      </c>
      <c r="B15" s="69"/>
      <c r="C15" s="85"/>
      <c r="D15" s="71"/>
      <c r="E15" s="71"/>
      <c r="F15" s="104"/>
      <c r="G15" s="63"/>
      <c r="H15" s="63"/>
      <c r="I15" s="78"/>
      <c r="J15" s="86" t="str">
        <f>IFERROR(__xludf.DUMMYFUNCTION("""COMPUTED_VALUE"""),"T15D5")</f>
        <v>T15D5</v>
      </c>
      <c r="K15" s="87">
        <f>IFERROR(__xludf.DUMMYFUNCTION("""COMPUTED_VALUE"""),46006.0)</f>
        <v>46006</v>
      </c>
      <c r="L15" s="88">
        <f>IFERROR(__xludf.DUMMYFUNCTION("""COMPUTED_VALUE"""),153.0)</f>
        <v>153</v>
      </c>
      <c r="M15" s="89">
        <f>IFERROR(__xludf.DUMMYFUNCTION("""COMPUTED_VALUE"""),-0.009000000000000001)</f>
        <v>-0.009</v>
      </c>
      <c r="N15" s="89">
        <f>IFERROR(__xludf.DUMMYFUNCTION("""COMPUTED_VALUE"""),0.05061800586338472)</f>
        <v>0.05061800586</v>
      </c>
      <c r="O15" s="89">
        <f>IFERROR(__xludf.DUMMYFUNCTION("""COMPUTED_VALUE"""),0.11658933435350138)</f>
        <v>0.1165893344</v>
      </c>
      <c r="P15" s="89">
        <f>IFERROR(__xludf.DUMMYFUNCTION("""COMPUTED_VALUE"""),0.6351508513287761)</f>
        <v>0.6351508513</v>
      </c>
      <c r="Q15" s="89">
        <f>IFERROR(__xludf.DUMMYFUNCTION("""COMPUTED_VALUE"""),0.8235270728614773)</f>
        <v>0.8235270729</v>
      </c>
      <c r="R15" s="88">
        <f>IFERROR(__xludf.DUMMYFUNCTION("""COMPUTED_VALUE"""),68.0)</f>
        <v>68</v>
      </c>
      <c r="S15" s="90">
        <f>IFERROR(__xludf.DUMMYFUNCTION("""COMPUTED_VALUE"""),1706.0917615103679)</f>
        <v>1706.091762</v>
      </c>
      <c r="T15" s="91">
        <f>IFERROR(__xludf.DUMMYFUNCTION("""COMPUTED_VALUE"""),68.0)</f>
        <v>68</v>
      </c>
      <c r="U15" s="92"/>
      <c r="V15" s="93" t="str">
        <f>IFERROR(__xludf.DUMMYFUNCTION("""COMPUTED_VALUE"""),"TZXD5")</f>
        <v>TZXD5</v>
      </c>
      <c r="W15" s="87">
        <f>IFERROR(__xludf.DUMMYFUNCTION("""COMPUTED_VALUE"""),46006.0)</f>
        <v>46006</v>
      </c>
      <c r="X15" s="94" t="str">
        <f>IFERROR(__xludf.DUMMYFUNCTION("""COMPUTED_VALUE"""),"CER + 0%")</f>
        <v>CER + 0%</v>
      </c>
      <c r="Y15" s="95">
        <f>IFERROR(__xludf.DUMMYFUNCTION("""COMPUTED_VALUE"""),216.7)</f>
        <v>216.7</v>
      </c>
      <c r="Z15" s="70">
        <f>IFERROR(__xludf.DUMMYFUNCTION("""COMPUTED_VALUE"""),0.48777642147192035)</f>
        <v>0.4877764215</v>
      </c>
      <c r="AA15" s="70">
        <f>IFERROR(__xludf.DUMMYFUNCTION("""COMPUTED_VALUE"""),-0.0132)</f>
        <v>-0.0132</v>
      </c>
      <c r="AB15" s="71">
        <f>IFERROR(__xludf.DUMMYFUNCTION("""COMPUTED_VALUE"""),0.18592270219788073)</f>
        <v>0.1859227022</v>
      </c>
      <c r="AC15" s="85" t="str">
        <f>IFERROR(__xludf.DUMMYFUNCTION("""COMPUTED_VALUE"""),"No paga ")</f>
        <v>No paga </v>
      </c>
      <c r="AD15" s="85">
        <f>IFERROR(__xludf.DUMMYFUNCTION("""COMPUTED_VALUE"""),68.0)</f>
        <v>68</v>
      </c>
      <c r="AE15" s="63"/>
      <c r="AF15" s="63"/>
      <c r="AG15" s="63"/>
      <c r="AH15" s="96" t="str">
        <f>IFERROR(__xludf.DUMMYFUNCTION("""COMPUTED_VALUE"""),"AL41D")</f>
        <v>AL41D</v>
      </c>
      <c r="AI15" s="97">
        <f>IFERROR(__xludf.DUMMYFUNCTION("""COMPUTED_VALUE"""),0.0134)</f>
        <v>0.0134</v>
      </c>
      <c r="AJ15" s="98">
        <f>IFERROR(__xludf.DUMMYFUNCTION("""COMPUTED_VALUE"""),51691.0)</f>
        <v>51691</v>
      </c>
      <c r="AK15" s="99">
        <f>IFERROR(__xludf.DUMMYFUNCTION("""COMPUTED_VALUE"""),53.5)</f>
        <v>53.5</v>
      </c>
      <c r="AL15" s="97">
        <f>IFERROR(__xludf.DUMMYFUNCTION("""COMPUTED_VALUE"""),0.14717033969427737)</f>
        <v>0.1471703397</v>
      </c>
      <c r="AM15" s="63" t="str">
        <f>IFERROR(__xludf.DUMMYFUNCTION("""COMPUTED_VALUE"""),"-")</f>
        <v>-</v>
      </c>
      <c r="AN15" s="97">
        <f>IFERROR(__xludf.DUMMYFUNCTION("""COMPUTED_VALUE"""),0.06542056074766354)</f>
        <v>0.06542056075</v>
      </c>
      <c r="AO15" s="100">
        <f>IFERROR(__xludf.DUMMYFUNCTION("""COMPUTED_VALUE"""),5.907388513949509)</f>
        <v>5.907388514</v>
      </c>
      <c r="AP15" s="63" t="str">
        <f>IFERROR(__xludf.DUMMYFUNCTION("""COMPUTED_VALUE"""),"Semestral")</f>
        <v>Semestral</v>
      </c>
      <c r="AQ15" s="63" t="str">
        <f>IFERROR(__xludf.DUMMYFUNCTION("""COMPUTED_VALUE"""),"ARG")</f>
        <v>ARG</v>
      </c>
      <c r="AR15" s="97">
        <f>IFERROR(__xludf.DUMMYFUNCTION("""COMPUTED_VALUE"""),0.5302571444303728)</f>
        <v>0.5302571444</v>
      </c>
      <c r="AS15" s="63"/>
      <c r="AT15" s="96" t="str">
        <f>IFERROR(__xludf.DUMMYFUNCTION("""COMPUTED_VALUE"""),"BPY6D")</f>
        <v>BPY6D</v>
      </c>
      <c r="AU15" s="97">
        <f>IFERROR(__xludf.DUMMYFUNCTION("""COMPUTED_VALUE"""),0.0045000000000000005)</f>
        <v>0.0045</v>
      </c>
      <c r="AV15" s="98">
        <f>IFERROR(__xludf.DUMMYFUNCTION("""COMPUTED_VALUE"""),46173.0)</f>
        <v>46173</v>
      </c>
      <c r="AW15" s="99">
        <f>IFERROR(__xludf.DUMMYFUNCTION("""COMPUTED_VALUE"""),100.2)</f>
        <v>100.2</v>
      </c>
      <c r="AX15" s="97">
        <f>IFERROR(__xludf.DUMMYFUNCTION("""COMPUTED_VALUE"""),0.03373977749126163)</f>
        <v>0.03373977749</v>
      </c>
      <c r="AY15" s="63" t="str">
        <f>IFERROR(__xludf.DUMMYFUNCTION("""COMPUTED_VALUE"""),"No")</f>
        <v>No</v>
      </c>
      <c r="AZ15" s="97">
        <f>IFERROR(__xludf.DUMMYFUNCTION("""COMPUTED_VALUE"""),0.021956087824351298)</f>
        <v>0.02195608782</v>
      </c>
      <c r="BA15" s="65">
        <f>IFERROR(__xludf.DUMMYFUNCTION("""COMPUTED_VALUE"""),0.3960835650534009)</f>
        <v>0.3960835651</v>
      </c>
      <c r="BB15" s="63" t="str">
        <f>IFERROR(__xludf.DUMMYFUNCTION("""COMPUTED_VALUE"""),"Trimestral")</f>
        <v>Trimestral</v>
      </c>
      <c r="BC15" s="63">
        <f>IFERROR(__xludf.DUMMYFUNCTION("""COMPUTED_VALUE"""),53.0)</f>
        <v>53</v>
      </c>
      <c r="BD15" s="63" t="str">
        <f>IFERROR(__xludf.DUMMYFUNCTION("""COMPUTED_VALUE"""),"ARG")</f>
        <v>ARG</v>
      </c>
      <c r="BE15" s="63"/>
      <c r="BF15" s="63"/>
      <c r="BG15" s="63"/>
      <c r="BH15" s="63"/>
      <c r="BI15" s="63"/>
      <c r="BJ15" s="63"/>
      <c r="BK15" s="63"/>
      <c r="BL15" s="63"/>
      <c r="BM15" s="63"/>
      <c r="BN15" s="63"/>
    </row>
    <row r="16">
      <c r="A16" s="68" t="s">
        <v>75</v>
      </c>
      <c r="B16" s="69" t="s">
        <v>79</v>
      </c>
      <c r="C16" s="70">
        <f>VLOOKUP(B16,$V$11:$AD$28,5,0)</f>
        <v>0.2117400809</v>
      </c>
      <c r="D16" s="71">
        <f>VLOOKUP(B16,$V$11:$AD$28,7,0)</f>
        <v>2.201031414</v>
      </c>
      <c r="E16" s="71"/>
      <c r="F16" s="77">
        <v>0.5</v>
      </c>
      <c r="G16" s="63"/>
      <c r="H16" s="63"/>
      <c r="I16" s="78"/>
      <c r="J16" s="86" t="str">
        <f>IFERROR(__xludf.DUMMYFUNCTION("""COMPUTED_VALUE"""),"T30E6")</f>
        <v>T30E6</v>
      </c>
      <c r="K16" s="87">
        <f>IFERROR(__xludf.DUMMYFUNCTION("""COMPUTED_VALUE"""),46052.0)</f>
        <v>46052</v>
      </c>
      <c r="L16" s="88">
        <f>IFERROR(__xludf.DUMMYFUNCTION("""COMPUTED_VALUE"""),118.9)</f>
        <v>118.9</v>
      </c>
      <c r="M16" s="89">
        <f>IFERROR(__xludf.DUMMYFUNCTION("""COMPUTED_VALUE"""),-0.012)</f>
        <v>-0.012</v>
      </c>
      <c r="N16" s="89">
        <f>IFERROR(__xludf.DUMMYFUNCTION("""COMPUTED_VALUE"""),0.04869932418647127)</f>
        <v>0.04869932419</v>
      </c>
      <c r="O16" s="89">
        <f>IFERROR(__xludf.DUMMYFUNCTION("""COMPUTED_VALUE"""),0.19614929497563938)</f>
        <v>0.196149295</v>
      </c>
      <c r="P16" s="89">
        <f>IFERROR(__xludf.DUMMYFUNCTION("""COMPUTED_VALUE"""),0.6335795811160033)</f>
        <v>0.6335795811</v>
      </c>
      <c r="Q16" s="89">
        <f>IFERROR(__xludf.DUMMYFUNCTION("""COMPUTED_VALUE"""),0.7834202309888926)</f>
        <v>0.783420231</v>
      </c>
      <c r="R16" s="88">
        <f>IFERROR(__xludf.DUMMYFUNCTION("""COMPUTED_VALUE"""),114.0)</f>
        <v>114</v>
      </c>
      <c r="S16" s="90">
        <f>IFERROR(__xludf.DUMMYFUNCTION("""COMPUTED_VALUE"""),1827.6553383665894)</f>
        <v>1827.655338</v>
      </c>
      <c r="T16" s="91">
        <f>IFERROR(__xludf.DUMMYFUNCTION("""COMPUTED_VALUE"""),114.0)</f>
        <v>114</v>
      </c>
      <c r="U16" s="92"/>
      <c r="V16" s="93" t="str">
        <f>IFERROR(__xludf.DUMMYFUNCTION("""COMPUTED_VALUE"""),"TZXM6")</f>
        <v>TZXM6</v>
      </c>
      <c r="W16" s="87">
        <f>IFERROR(__xludf.DUMMYFUNCTION("""COMPUTED_VALUE"""),46112.0)</f>
        <v>46112</v>
      </c>
      <c r="X16" s="94" t="str">
        <f>IFERROR(__xludf.DUMMYFUNCTION("""COMPUTED_VALUE"""),"CER + 0%")</f>
        <v>CER + 0%</v>
      </c>
      <c r="Y16" s="95">
        <f>IFERROR(__xludf.DUMMYFUNCTION("""COMPUTED_VALUE"""),162.1)</f>
        <v>162.1</v>
      </c>
      <c r="Z16" s="70">
        <f>IFERROR(__xludf.DUMMYFUNCTION("""COMPUTED_VALUE"""),0.3589054196484936)</f>
        <v>0.3589054196</v>
      </c>
      <c r="AA16" s="70">
        <f>IFERROR(__xludf.DUMMYFUNCTION("""COMPUTED_VALUE"""),-0.0097)</f>
        <v>-0.0097</v>
      </c>
      <c r="AB16" s="71">
        <f>IFERROR(__xludf.DUMMYFUNCTION("""COMPUTED_VALUE"""),0.4795863613068127)</f>
        <v>0.4795863613</v>
      </c>
      <c r="AC16" s="85" t="str">
        <f>IFERROR(__xludf.DUMMYFUNCTION("""COMPUTED_VALUE"""),"No paga ")</f>
        <v>No paga </v>
      </c>
      <c r="AD16" s="85">
        <f>IFERROR(__xludf.DUMMYFUNCTION("""COMPUTED_VALUE"""),174.0)</f>
        <v>174</v>
      </c>
      <c r="AE16" s="63"/>
      <c r="AF16" s="63"/>
      <c r="AG16" s="63"/>
      <c r="AH16" s="96" t="str">
        <f>IFERROR(__xludf.DUMMYFUNCTION("""COMPUTED_VALUE"""),"GD29D")</f>
        <v>GD29D</v>
      </c>
      <c r="AI16" s="97">
        <f>IFERROR(__xludf.DUMMYFUNCTION("""COMPUTED_VALUE"""),0.022099999999999998)</f>
        <v>0.0221</v>
      </c>
      <c r="AJ16" s="98">
        <f>IFERROR(__xludf.DUMMYFUNCTION("""COMPUTED_VALUE"""),47308.0)</f>
        <v>47308</v>
      </c>
      <c r="AK16" s="99">
        <f>IFERROR(__xludf.DUMMYFUNCTION("""COMPUTED_VALUE"""),61.5)</f>
        <v>61.5</v>
      </c>
      <c r="AL16" s="97">
        <f>IFERROR(__xludf.DUMMYFUNCTION("""COMPUTED_VALUE"""),0.16296055455136033)</f>
        <v>0.1629605546</v>
      </c>
      <c r="AM16" s="97">
        <f>IFERROR(__xludf.DUMMYFUNCTION("""COMPUTED_VALUE"""),0.04591836734693877)</f>
        <v>0.04591836735</v>
      </c>
      <c r="AN16" s="97">
        <f>IFERROR(__xludf.DUMMYFUNCTION("""COMPUTED_VALUE"""),0.015447154471544714)</f>
        <v>0.01544715447</v>
      </c>
      <c r="AO16" s="65">
        <f>IFERROR(__xludf.DUMMYFUNCTION("""COMPUTED_VALUE"""),1.8066477675550248)</f>
        <v>1.806647768</v>
      </c>
      <c r="AP16" s="63" t="str">
        <f>IFERROR(__xludf.DUMMYFUNCTION("""COMPUTED_VALUE"""),"Semestral")</f>
        <v>Semestral</v>
      </c>
      <c r="AQ16" s="63" t="str">
        <f>IFERROR(__xludf.DUMMYFUNCTION("""COMPUTED_VALUE"""),"NY")</f>
        <v>NY</v>
      </c>
      <c r="AR16" s="97">
        <f>IFERROR(__xludf.DUMMYFUNCTION("""COMPUTED_VALUE"""),0.7667904244707968)</f>
        <v>0.7667904245</v>
      </c>
      <c r="AS16" s="63"/>
      <c r="AT16" s="96" t="str">
        <f>IFERROR(__xludf.DUMMYFUNCTION("""COMPUTED_VALUE"""),"BPO8D")</f>
        <v>BPO8D</v>
      </c>
      <c r="AU16" s="97" t="str">
        <f>IFERROR(__xludf.DUMMYFUNCTION("""COMPUTED_VALUE"""),"#N/A")</f>
        <v>#N/A</v>
      </c>
      <c r="AV16" s="98">
        <f>IFERROR(__xludf.DUMMYFUNCTION("""COMPUTED_VALUE"""),47057.0)</f>
        <v>47057</v>
      </c>
      <c r="AW16" s="99" t="str">
        <f>IFERROR(__xludf.DUMMYFUNCTION("""COMPUTED_VALUE"""),"#N/A")</f>
        <v>#N/A</v>
      </c>
      <c r="AX16" s="97" t="str">
        <f>IFERROR(__xludf.DUMMYFUNCTION("""COMPUTED_VALUE"""),"#N/A")</f>
        <v>#N/A</v>
      </c>
      <c r="AY16" s="98">
        <f>IFERROR(__xludf.DUMMYFUNCTION("""COMPUTED_VALUE"""),46873.0)</f>
        <v>46873</v>
      </c>
      <c r="AZ16" s="97" t="str">
        <f>IFERROR(__xludf.DUMMYFUNCTION("""COMPUTED_VALUE"""),"#N/A")</f>
        <v>#N/A</v>
      </c>
      <c r="BA16" s="65" t="str">
        <f>IFERROR(__xludf.DUMMYFUNCTION("""COMPUTED_VALUE"""),"#N/A")</f>
        <v>#N/A</v>
      </c>
      <c r="BB16" s="63" t="str">
        <f>IFERROR(__xludf.DUMMYFUNCTION("""COMPUTED_VALUE"""),"Semestral")</f>
        <v>Semestral</v>
      </c>
      <c r="BC16" s="63">
        <f>IFERROR(__xludf.DUMMYFUNCTION("""COMPUTED_VALUE"""),23.0)</f>
        <v>23</v>
      </c>
      <c r="BD16" s="63" t="str">
        <f>IFERROR(__xludf.DUMMYFUNCTION("""COMPUTED_VALUE"""),"ARG")</f>
        <v>ARG</v>
      </c>
      <c r="BE16" s="63"/>
      <c r="BF16" s="63"/>
      <c r="BG16" s="63"/>
      <c r="BH16" s="63"/>
      <c r="BI16" s="63"/>
      <c r="BJ16" s="63"/>
      <c r="BK16" s="63"/>
      <c r="BL16" s="63"/>
      <c r="BM16" s="63"/>
      <c r="BN16" s="63"/>
    </row>
    <row r="17">
      <c r="A17" s="68" t="s">
        <v>80</v>
      </c>
      <c r="B17" s="69"/>
      <c r="C17" s="85"/>
      <c r="D17" s="71"/>
      <c r="E17" s="71"/>
      <c r="F17" s="104"/>
      <c r="G17" s="63"/>
      <c r="H17" s="63"/>
      <c r="I17" s="78"/>
      <c r="J17" s="86" t="str">
        <f>IFERROR(__xludf.DUMMYFUNCTION("""COMPUTED_VALUE"""),"T13F6")</f>
        <v>T13F6</v>
      </c>
      <c r="K17" s="87">
        <f>IFERROR(__xludf.DUMMYFUNCTION("""COMPUTED_VALUE"""),46066.0)</f>
        <v>46066</v>
      </c>
      <c r="L17" s="88">
        <f>IFERROR(__xludf.DUMMYFUNCTION("""COMPUTED_VALUE"""),118.5)</f>
        <v>118.5</v>
      </c>
      <c r="M17" s="89">
        <f>IFERROR(__xludf.DUMMYFUNCTION("""COMPUTED_VALUE"""),-0.0079)</f>
        <v>-0.0079</v>
      </c>
      <c r="N17" s="89">
        <f>IFERROR(__xludf.DUMMYFUNCTION("""COMPUTED_VALUE"""),0.04877021996082309)</f>
        <v>0.04877021996</v>
      </c>
      <c r="O17" s="89">
        <f>IFERROR(__xludf.DUMMYFUNCTION("""COMPUTED_VALUE"""),0.22333894637954632)</f>
        <v>0.2233389464</v>
      </c>
      <c r="P17" s="89">
        <f>IFERROR(__xludf.DUMMYFUNCTION("""COMPUTED_VALUE"""),0.6418796490435781)</f>
        <v>0.641879649</v>
      </c>
      <c r="Q17" s="89">
        <f>IFERROR(__xludf.DUMMYFUNCTION("""COMPUTED_VALUE"""),0.7848876650430072)</f>
        <v>0.784887665</v>
      </c>
      <c r="R17" s="88">
        <f>IFERROR(__xludf.DUMMYFUNCTION("""COMPUTED_VALUE"""),128.0)</f>
        <v>128</v>
      </c>
      <c r="S17" s="90">
        <f>IFERROR(__xludf.DUMMYFUNCTION("""COMPUTED_VALUE"""),1869.1997440234845)</f>
        <v>1869.199744</v>
      </c>
      <c r="T17" s="91">
        <f>IFERROR(__xludf.DUMMYFUNCTION("""COMPUTED_VALUE"""),128.0)</f>
        <v>128</v>
      </c>
      <c r="U17" s="92"/>
      <c r="V17" s="93" t="str">
        <f>IFERROR(__xludf.DUMMYFUNCTION("""COMPUTED_VALUE"""),"TZX26")</f>
        <v>TZX26</v>
      </c>
      <c r="W17" s="87">
        <f>IFERROR(__xludf.DUMMYFUNCTION("""COMPUTED_VALUE"""),46203.0)</f>
        <v>46203</v>
      </c>
      <c r="X17" s="94" t="str">
        <f>IFERROR(__xludf.DUMMYFUNCTION("""COMPUTED_VALUE"""),"CER + 0%")</f>
        <v>CER + 0%</v>
      </c>
      <c r="Y17" s="95">
        <f>IFERROR(__xludf.DUMMYFUNCTION("""COMPUTED_VALUE"""),257.0)</f>
        <v>257</v>
      </c>
      <c r="Z17" s="70">
        <f>IFERROR(__xludf.DUMMYFUNCTION("""COMPUTED_VALUE"""),0.32657520687025915)</f>
        <v>0.3265752069</v>
      </c>
      <c r="AA17" s="70">
        <f>IFERROR(__xludf.DUMMYFUNCTION("""COMPUTED_VALUE"""),-0.0077)</f>
        <v>-0.0077</v>
      </c>
      <c r="AB17" s="71">
        <f>IFERROR(__xludf.DUMMYFUNCTION("""COMPUTED_VALUE"""),0.7312544183053639)</f>
        <v>0.7312544183</v>
      </c>
      <c r="AC17" s="85" t="str">
        <f>IFERROR(__xludf.DUMMYFUNCTION("""COMPUTED_VALUE"""),"No paga")</f>
        <v>No paga</v>
      </c>
      <c r="AD17" s="85">
        <f>IFERROR(__xludf.DUMMYFUNCTION("""COMPUTED_VALUE"""),265.0)</f>
        <v>265</v>
      </c>
      <c r="AE17" s="63"/>
      <c r="AF17" s="63"/>
      <c r="AG17" s="63"/>
      <c r="AH17" s="96" t="str">
        <f>IFERROR(__xludf.DUMMYFUNCTION("""COMPUTED_VALUE"""),"GD30D")</f>
        <v>GD30D</v>
      </c>
      <c r="AI17" s="97">
        <f>IFERROR(__xludf.DUMMYFUNCTION("""COMPUTED_VALUE"""),0.0078000000000000005)</f>
        <v>0.0078</v>
      </c>
      <c r="AJ17" s="98">
        <f>IFERROR(__xludf.DUMMYFUNCTION("""COMPUTED_VALUE"""),47673.0)</f>
        <v>47673</v>
      </c>
      <c r="AK17" s="99">
        <f>IFERROR(__xludf.DUMMYFUNCTION("""COMPUTED_VALUE"""),58.0)</f>
        <v>58</v>
      </c>
      <c r="AL17" s="97">
        <f>IFERROR(__xludf.DUMMYFUNCTION("""COMPUTED_VALUE"""),0.16256102392911143)</f>
        <v>0.1625610239</v>
      </c>
      <c r="AM17" s="97">
        <f>IFERROR(__xludf.DUMMYFUNCTION("""COMPUTED_VALUE"""),0.05263157894736836)</f>
        <v>0.05263157895</v>
      </c>
      <c r="AN17" s="97">
        <f>IFERROR(__xludf.DUMMYFUNCTION("""COMPUTED_VALUE"""),0.01189655172413793)</f>
        <v>0.01189655172</v>
      </c>
      <c r="AO17" s="100">
        <f>IFERROR(__xludf.DUMMYFUNCTION("""COMPUTED_VALUE"""),2.202189891594076)</f>
        <v>2.202189892</v>
      </c>
      <c r="AP17" s="63" t="str">
        <f>IFERROR(__xludf.DUMMYFUNCTION("""COMPUTED_VALUE"""),"Semestral")</f>
        <v>Semestral</v>
      </c>
      <c r="AQ17" s="63" t="str">
        <f>IFERROR(__xludf.DUMMYFUNCTION("""COMPUTED_VALUE"""),"NY")</f>
        <v>NY</v>
      </c>
      <c r="AR17" s="97">
        <f>IFERROR(__xludf.DUMMYFUNCTION("""COMPUTED_VALUE"""),0.7236130749396988)</f>
        <v>0.7236130749</v>
      </c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</row>
    <row r="18">
      <c r="A18" s="63"/>
      <c r="B18" s="63"/>
      <c r="C18" s="63"/>
      <c r="D18" s="63"/>
      <c r="E18" s="103">
        <f>SUM(E14:E17)</f>
        <v>0</v>
      </c>
      <c r="F18" s="63"/>
      <c r="G18" s="63"/>
      <c r="H18" s="63"/>
      <c r="I18" s="78"/>
      <c r="J18" s="86" t="str">
        <f>IFERROR(__xludf.DUMMYFUNCTION("""COMPUTED_VALUE"""),"T30J6")</f>
        <v>T30J6</v>
      </c>
      <c r="K18" s="87">
        <f>IFERROR(__xludf.DUMMYFUNCTION("""COMPUTED_VALUE"""),46203.0)</f>
        <v>46203</v>
      </c>
      <c r="L18" s="88">
        <f>IFERROR(__xludf.DUMMYFUNCTION("""COMPUTED_VALUE"""),101.6)</f>
        <v>101.6</v>
      </c>
      <c r="M18" s="89">
        <f>IFERROR(__xludf.DUMMYFUNCTION("""COMPUTED_VALUE"""),-9.0E-4)</f>
        <v>-0.0009</v>
      </c>
      <c r="N18" s="89">
        <f>IFERROR(__xludf.DUMMYFUNCTION("""COMPUTED_VALUE"""),0.04116221073372195)</f>
        <v>0.04116221073</v>
      </c>
      <c r="O18" s="89">
        <f>IFERROR(__xludf.DUMMYFUNCTION("""COMPUTED_VALUE"""),0.4261391185356187)</f>
        <v>0.4261391185</v>
      </c>
      <c r="P18" s="89">
        <f>IFERROR(__xludf.DUMMYFUNCTION("""COMPUTED_VALUE"""),0.5891696146420486)</f>
        <v>0.5891696146</v>
      </c>
      <c r="Q18" s="89">
        <f>IFERROR(__xludf.DUMMYFUNCTION("""COMPUTED_VALUE"""),0.6335803301328389)</f>
        <v>0.6335803301</v>
      </c>
      <c r="R18" s="88">
        <f>IFERROR(__xludf.DUMMYFUNCTION("""COMPUTED_VALUE"""),265.0)</f>
        <v>265</v>
      </c>
      <c r="S18" s="90">
        <f>IFERROR(__xludf.DUMMYFUNCTION("""COMPUTED_VALUE"""),2179.06810144308)</f>
        <v>2179.068101</v>
      </c>
      <c r="T18" s="91">
        <f>IFERROR(__xludf.DUMMYFUNCTION("""COMPUTED_VALUE"""),265.0)</f>
        <v>265</v>
      </c>
      <c r="U18" s="92"/>
      <c r="V18" s="93" t="str">
        <f>IFERROR(__xludf.DUMMYFUNCTION("""COMPUTED_VALUE"""),"TX28")</f>
        <v>TX28</v>
      </c>
      <c r="W18" s="87">
        <f>IFERROR(__xludf.DUMMYFUNCTION("""COMPUTED_VALUE"""),47066.0)</f>
        <v>47066</v>
      </c>
      <c r="X18" s="94" t="str">
        <f>IFERROR(__xludf.DUMMYFUNCTION("""COMPUTED_VALUE"""),"CER + 2,25%")</f>
        <v>CER + 2,25%</v>
      </c>
      <c r="Y18" s="95">
        <f>IFERROR(__xludf.DUMMYFUNCTION("""COMPUTED_VALUE"""),1470.5)</f>
        <v>1470.5</v>
      </c>
      <c r="Z18" s="70">
        <f>IFERROR(__xludf.DUMMYFUNCTION("""COMPUTED_VALUE"""),0.2580037133450019)</f>
        <v>0.2580037133</v>
      </c>
      <c r="AA18" s="70">
        <f>IFERROR(__xludf.DUMMYFUNCTION("""COMPUTED_VALUE"""),-0.0219)</f>
        <v>-0.0219</v>
      </c>
      <c r="AB18" s="71">
        <f>IFERROR(__xludf.DUMMYFUNCTION("""COMPUTED_VALUE"""),1.345510473399339)</f>
        <v>1.345510473</v>
      </c>
      <c r="AC18" s="85" t="str">
        <f>IFERROR(__xludf.DUMMYFUNCTION("""COMPUTED_VALUE"""),"Semestral")</f>
        <v>Semestral</v>
      </c>
      <c r="AD18" s="85">
        <f>IFERROR(__xludf.DUMMYFUNCTION("""COMPUTED_VALUE"""),32.0)</f>
        <v>32</v>
      </c>
      <c r="AE18" s="63"/>
      <c r="AF18" s="63"/>
      <c r="AG18" s="63"/>
      <c r="AH18" s="96" t="str">
        <f>IFERROR(__xludf.DUMMYFUNCTION("""COMPUTED_VALUE"""),"GD46D")</f>
        <v>GD46D</v>
      </c>
      <c r="AI18" s="97">
        <f>IFERROR(__xludf.DUMMYFUNCTION("""COMPUTED_VALUE"""),-0.0246)</f>
        <v>-0.0246</v>
      </c>
      <c r="AJ18" s="98">
        <f>IFERROR(__xludf.DUMMYFUNCTION("""COMPUTED_VALUE"""),53517.0)</f>
        <v>53517</v>
      </c>
      <c r="AK18" s="99">
        <f>IFERROR(__xludf.DUMMYFUNCTION("""COMPUTED_VALUE"""),53.5)</f>
        <v>53.5</v>
      </c>
      <c r="AL18" s="97">
        <f>IFERROR(__xludf.DUMMYFUNCTION("""COMPUTED_VALUE"""),0.15278818379835055)</f>
        <v>0.1527881838</v>
      </c>
      <c r="AM18" s="105" t="str">
        <f>IFERROR(__xludf.DUMMYFUNCTION("""COMPUTED_VALUE"""),"-")</f>
        <v>-</v>
      </c>
      <c r="AN18" s="97">
        <f>IFERROR(__xludf.DUMMYFUNCTION("""COMPUTED_VALUE"""),0.07626168224299065)</f>
        <v>0.07626168224</v>
      </c>
      <c r="AO18" s="65">
        <f>IFERROR(__xludf.DUMMYFUNCTION("""COMPUTED_VALUE"""),5.106763566910554)</f>
        <v>5.106763567</v>
      </c>
      <c r="AP18" s="63" t="str">
        <f>IFERROR(__xludf.DUMMYFUNCTION("""COMPUTED_VALUE"""),"Semestral")</f>
        <v>Semestral</v>
      </c>
      <c r="AQ18" s="63" t="str">
        <f>IFERROR(__xludf.DUMMYFUNCTION("""COMPUTED_VALUE"""),"NY")</f>
        <v>NY</v>
      </c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</row>
    <row r="19">
      <c r="A19" s="63"/>
      <c r="B19" s="63"/>
      <c r="C19" s="63"/>
      <c r="D19" s="63"/>
      <c r="E19" s="63"/>
      <c r="F19" s="63"/>
      <c r="G19" s="63"/>
      <c r="H19" s="63"/>
      <c r="I19" s="78"/>
      <c r="J19" s="86" t="str">
        <f>IFERROR(__xludf.DUMMYFUNCTION("""COMPUTED_VALUE"""),"T15E7")</f>
        <v>T15E7</v>
      </c>
      <c r="K19" s="87">
        <f>IFERROR(__xludf.DUMMYFUNCTION("""COMPUTED_VALUE"""),46402.0)</f>
        <v>46402</v>
      </c>
      <c r="L19" s="88">
        <f>IFERROR(__xludf.DUMMYFUNCTION("""COMPUTED_VALUE"""),89.0)</f>
        <v>89</v>
      </c>
      <c r="M19" s="89">
        <f>IFERROR(__xludf.DUMMYFUNCTION("""COMPUTED_VALUE"""),5.0E-4)</f>
        <v>0.0005</v>
      </c>
      <c r="N19" s="89">
        <f>IFERROR(__xludf.DUMMYFUNCTION("""COMPUTED_VALUE"""),0.039198812664563265)</f>
        <v>0.03919881266</v>
      </c>
      <c r="O19" s="89">
        <f>IFERROR(__xludf.DUMMYFUNCTION("""COMPUTED_VALUE"""),0.8101547575804664)</f>
        <v>0.8101547576</v>
      </c>
      <c r="P19" s="89">
        <f>IFERROR(__xludf.DUMMYFUNCTION("""COMPUTED_VALUE"""),0.6386749168830891)</f>
        <v>0.6386749169</v>
      </c>
      <c r="Q19" s="89">
        <f>IFERROR(__xludf.DUMMYFUNCTION("""COMPUTED_VALUE"""),0.5964922304557778)</f>
        <v>0.5964922305</v>
      </c>
      <c r="R19" s="88">
        <f>IFERROR(__xludf.DUMMYFUNCTION("""COMPUTED_VALUE"""),464.0)</f>
        <v>464</v>
      </c>
      <c r="S19" s="90">
        <f>IFERROR(__xludf.DUMMYFUNCTION("""COMPUTED_VALUE"""),2765.824483497268)</f>
        <v>2765.824483</v>
      </c>
      <c r="T19" s="91">
        <f>IFERROR(__xludf.DUMMYFUNCTION("""COMPUTED_VALUE"""),464.0)</f>
        <v>464</v>
      </c>
      <c r="U19" s="92"/>
      <c r="V19" s="93" t="str">
        <f>IFERROR(__xludf.DUMMYFUNCTION("""COMPUTED_VALUE"""),"TZXD6")</f>
        <v>TZXD6</v>
      </c>
      <c r="W19" s="87">
        <f>IFERROR(__xludf.DUMMYFUNCTION("""COMPUTED_VALUE"""),46371.0)</f>
        <v>46371</v>
      </c>
      <c r="X19" s="94" t="str">
        <f>IFERROR(__xludf.DUMMYFUNCTION("""COMPUTED_VALUE"""),"CER + 0%")</f>
        <v>CER + 0%</v>
      </c>
      <c r="Y19" s="95">
        <f>IFERROR(__xludf.DUMMYFUNCTION("""COMPUTED_VALUE"""),175.25)</f>
        <v>175.25</v>
      </c>
      <c r="Z19" s="70">
        <f>IFERROR(__xludf.DUMMYFUNCTION("""COMPUTED_VALUE"""),0.27250801147045145)</f>
        <v>0.2725080115</v>
      </c>
      <c r="AA19" s="70">
        <f>IFERROR(__xludf.DUMMYFUNCTION("""COMPUTED_VALUE"""),-0.0042)</f>
        <v>-0.0042</v>
      </c>
      <c r="AB19" s="71">
        <f>IFERROR(__xludf.DUMMYFUNCTION("""COMPUTED_VALUE"""),1.1952556328397295)</f>
        <v>1.195255633</v>
      </c>
      <c r="AC19" s="85" t="str">
        <f>IFERROR(__xludf.DUMMYFUNCTION("""COMPUTED_VALUE"""),"No paga")</f>
        <v>No paga</v>
      </c>
      <c r="AD19" s="85">
        <f>IFERROR(__xludf.DUMMYFUNCTION("""COMPUTED_VALUE"""),433.0)</f>
        <v>433</v>
      </c>
      <c r="AE19" s="63"/>
      <c r="AF19" s="63"/>
      <c r="AG19" s="63"/>
      <c r="AH19" s="96" t="str">
        <f>IFERROR(__xludf.DUMMYFUNCTION("""COMPUTED_VALUE"""),"GD38D")</f>
        <v>GD38D</v>
      </c>
      <c r="AI19" s="97">
        <f>IFERROR(__xludf.DUMMYFUNCTION("""COMPUTED_VALUE"""),0.0039000000000000003)</f>
        <v>0.0039</v>
      </c>
      <c r="AJ19" s="98">
        <f>IFERROR(__xludf.DUMMYFUNCTION("""COMPUTED_VALUE"""),50414.0)</f>
        <v>50414</v>
      </c>
      <c r="AK19" s="99">
        <f>IFERROR(__xludf.DUMMYFUNCTION("""COMPUTED_VALUE"""),63.24)</f>
        <v>63.24</v>
      </c>
      <c r="AL19" s="97">
        <f>IFERROR(__xludf.DUMMYFUNCTION("""COMPUTED_VALUE"""),0.1484998533469977)</f>
        <v>0.1484998533</v>
      </c>
      <c r="AM19" s="97">
        <f>IFERROR(__xludf.DUMMYFUNCTION("""COMPUTED_VALUE"""),0.13536804308797135)</f>
        <v>0.1353680431</v>
      </c>
      <c r="AN19" s="97">
        <f>IFERROR(__xludf.DUMMYFUNCTION("""COMPUTED_VALUE"""),0.07906388361796331)</f>
        <v>0.07906388362</v>
      </c>
      <c r="AO19" s="100">
        <f>IFERROR(__xludf.DUMMYFUNCTION("""COMPUTED_VALUE"""),4.83916218495876)</f>
        <v>4.839162185</v>
      </c>
      <c r="AP19" s="63" t="str">
        <f>IFERROR(__xludf.DUMMYFUNCTION("""COMPUTED_VALUE"""),"Semestral")</f>
        <v>Semestral</v>
      </c>
      <c r="AQ19" s="63" t="str">
        <f>IFERROR(__xludf.DUMMYFUNCTION("""COMPUTED_VALUE"""),"NY")</f>
        <v>NY</v>
      </c>
      <c r="AR19" s="97">
        <f>IFERROR(__xludf.DUMMYFUNCTION("""COMPUTED_VALUE"""),0.6244212835984642)</f>
        <v>0.6244212836</v>
      </c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</row>
    <row r="20">
      <c r="A20" s="63"/>
      <c r="B20" s="66" t="s">
        <v>62</v>
      </c>
      <c r="C20" s="67" t="s">
        <v>51</v>
      </c>
      <c r="D20" s="67" t="s">
        <v>68</v>
      </c>
      <c r="E20" s="67" t="s">
        <v>81</v>
      </c>
      <c r="F20" s="67" t="s">
        <v>55</v>
      </c>
      <c r="G20" s="63"/>
      <c r="H20" s="63"/>
      <c r="I20" s="78"/>
      <c r="J20" s="86" t="str">
        <f>IFERROR(__xludf.DUMMYFUNCTION("""COMPUTED_VALUE"""),"S29Y6")</f>
        <v>S29Y6</v>
      </c>
      <c r="K20" s="87">
        <f>IFERROR(__xludf.DUMMYFUNCTION("""COMPUTED_VALUE"""),46171.0)</f>
        <v>46171</v>
      </c>
      <c r="L20" s="88">
        <f>IFERROR(__xludf.DUMMYFUNCTION("""COMPUTED_VALUE"""),96.699)</f>
        <v>96.699</v>
      </c>
      <c r="M20" s="89">
        <f>IFERROR(__xludf.DUMMYFUNCTION("""COMPUTED_VALUE"""),-0.0031)</f>
        <v>-0.0031</v>
      </c>
      <c r="N20" s="89">
        <f>IFERROR(__xludf.DUMMYFUNCTION("""COMPUTED_VALUE"""),0.041106509742426356)</f>
        <v>0.04110650974</v>
      </c>
      <c r="O20" s="89">
        <f>IFERROR(__xludf.DUMMYFUNCTION("""COMPUTED_VALUE"""),0.3655132528865632)</f>
        <v>0.3655132529</v>
      </c>
      <c r="P20" s="89">
        <f>IFERROR(__xludf.DUMMYFUNCTION("""COMPUTED_VALUE"""),0.5750531780327396)</f>
        <v>0.575053178</v>
      </c>
      <c r="Q20" s="89">
        <f>IFERROR(__xludf.DUMMYFUNCTION("""COMPUTED_VALUE"""),0.6325173456812241)</f>
        <v>0.6325173457</v>
      </c>
      <c r="R20" s="88">
        <f>IFERROR(__xludf.DUMMYFUNCTION("""COMPUTED_VALUE"""),233.0)</f>
        <v>233</v>
      </c>
      <c r="S20" s="90">
        <f>IFERROR(__xludf.DUMMYFUNCTION("""COMPUTED_VALUE"""),2086.4348595375636)</f>
        <v>2086.43486</v>
      </c>
      <c r="T20" s="91">
        <f>IFERROR(__xludf.DUMMYFUNCTION("""COMPUTED_VALUE"""),233.0)</f>
        <v>233</v>
      </c>
      <c r="U20" s="92"/>
      <c r="V20" s="93" t="str">
        <f>IFERROR(__xludf.DUMMYFUNCTION("""COMPUTED_VALUE"""),"TZX27")</f>
        <v>TZX27</v>
      </c>
      <c r="W20" s="87">
        <f>IFERROR(__xludf.DUMMYFUNCTION("""COMPUTED_VALUE"""),46568.0)</f>
        <v>46568</v>
      </c>
      <c r="X20" s="94" t="str">
        <f>IFERROR(__xludf.DUMMYFUNCTION("""COMPUTED_VALUE"""),"CER + 0%")</f>
        <v>CER + 0%</v>
      </c>
      <c r="Y20" s="95">
        <f>IFERROR(__xludf.DUMMYFUNCTION("""COMPUTED_VALUE"""),217.0)</f>
        <v>217</v>
      </c>
      <c r="Z20" s="70">
        <f>IFERROR(__xludf.DUMMYFUNCTION("""COMPUTED_VALUE"""),0.2420751062170588)</f>
        <v>0.2420751062</v>
      </c>
      <c r="AA20" s="70">
        <f>IFERROR(__xludf.DUMMYFUNCTION("""COMPUTED_VALUE"""),-0.0149)</f>
        <v>-0.0149</v>
      </c>
      <c r="AB20" s="71">
        <f>IFERROR(__xludf.DUMMYFUNCTION("""COMPUTED_VALUE"""),1.7381800379366201)</f>
        <v>1.738180038</v>
      </c>
      <c r="AC20" s="85" t="str">
        <f>IFERROR(__xludf.DUMMYFUNCTION("""COMPUTED_VALUE"""),"No paga")</f>
        <v>No paga</v>
      </c>
      <c r="AD20" s="85">
        <f>IFERROR(__xludf.DUMMYFUNCTION("""COMPUTED_VALUE"""),630.0)</f>
        <v>630</v>
      </c>
      <c r="AE20" s="63"/>
      <c r="AF20" s="63"/>
      <c r="AG20" s="63"/>
      <c r="AH20" s="96" t="str">
        <f>IFERROR(__xludf.DUMMYFUNCTION("""COMPUTED_VALUE"""),"GD35D")</f>
        <v>GD35D</v>
      </c>
      <c r="AI20" s="97">
        <f>IFERROR(__xludf.DUMMYFUNCTION("""COMPUTED_VALUE"""),0.0052)</f>
        <v>0.0052</v>
      </c>
      <c r="AJ20" s="98">
        <f>IFERROR(__xludf.DUMMYFUNCTION("""COMPUTED_VALUE"""),49499.0)</f>
        <v>49499</v>
      </c>
      <c r="AK20" s="99">
        <f>IFERROR(__xludf.DUMMYFUNCTION("""COMPUTED_VALUE"""),57.81)</f>
        <v>57.81</v>
      </c>
      <c r="AL20" s="97">
        <f>IFERROR(__xludf.DUMMYFUNCTION("""COMPUTED_VALUE"""),0.14874852304018849)</f>
        <v>0.148748523</v>
      </c>
      <c r="AM20" s="97">
        <f>IFERROR(__xludf.DUMMYFUNCTION("""COMPUTED_VALUE"""),0.04406718439588242)</f>
        <v>0.0440671844</v>
      </c>
      <c r="AN20" s="97">
        <f>IFERROR(__xludf.DUMMYFUNCTION("""COMPUTED_VALUE"""),0.07126794672202041)</f>
        <v>0.07126794672</v>
      </c>
      <c r="AO20" s="100">
        <f>IFERROR(__xludf.DUMMYFUNCTION("""COMPUTED_VALUE"""),5.780826054773654)</f>
        <v>5.780826055</v>
      </c>
      <c r="AP20" s="63" t="str">
        <f>IFERROR(__xludf.DUMMYFUNCTION("""COMPUTED_VALUE"""),"Semestral")</f>
        <v>Semestral</v>
      </c>
      <c r="AQ20" s="63" t="str">
        <f>IFERROR(__xludf.DUMMYFUNCTION("""COMPUTED_VALUE"""),"NY")</f>
        <v>NY</v>
      </c>
      <c r="AR20" s="97">
        <f>IFERROR(__xludf.DUMMYFUNCTION("""COMPUTED_VALUE"""),0.5720622012778463)</f>
        <v>0.5720622013</v>
      </c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</row>
    <row r="21">
      <c r="A21" s="68"/>
      <c r="B21" s="69" t="s">
        <v>82</v>
      </c>
      <c r="C21" s="70">
        <f>VLOOKUP(B21,$J$11:$R$63,7,0)</f>
        <v>0.641879649</v>
      </c>
      <c r="D21" s="71">
        <f>VLOOKUP(B21,$J$11:$R$63,9,0)</f>
        <v>128</v>
      </c>
      <c r="E21" s="71">
        <f>D21</f>
        <v>128</v>
      </c>
      <c r="F21" s="77">
        <v>0.5</v>
      </c>
      <c r="G21" s="63"/>
      <c r="H21" s="63"/>
      <c r="I21" s="78"/>
      <c r="J21" s="86" t="str">
        <f>IFERROR(__xludf.DUMMYFUNCTION("""COMPUTED_VALUE"""),"TY30P")</f>
        <v>TY30P</v>
      </c>
      <c r="K21" s="87">
        <f>IFERROR(__xludf.DUMMYFUNCTION("""COMPUTED_VALUE"""),47633.0)</f>
        <v>47633</v>
      </c>
      <c r="L21" s="88">
        <f>IFERROR(__xludf.DUMMYFUNCTION("""COMPUTED_VALUE"""),87.9)</f>
        <v>87.9</v>
      </c>
      <c r="M21" s="89">
        <f>IFERROR(__xludf.DUMMYFUNCTION("""COMPUTED_VALUE"""),0.011000000000000001)</f>
        <v>0.011</v>
      </c>
      <c r="N21" s="89" t="str">
        <f>IFERROR(__xludf.DUMMYFUNCTION("""COMPUTED_VALUE"""),"-")</f>
        <v>-</v>
      </c>
      <c r="O21" s="89">
        <f>IFERROR(__xludf.DUMMYFUNCTION("""COMPUTED_VALUE"""),1.8119453924914675)</f>
        <v>1.811945392</v>
      </c>
      <c r="P21" s="89">
        <f>IFERROR(__xludf.DUMMYFUNCTION("""COMPUTED_VALUE"""),0.36824057252749753)</f>
        <v>0.3682405725</v>
      </c>
      <c r="Q21" s="89">
        <f>IFERROR(__xludf.DUMMYFUNCTION("""COMPUTED_VALUE"""),0.4447981800986797)</f>
        <v>0.4447981801</v>
      </c>
      <c r="R21" s="88">
        <f>IFERROR(__xludf.DUMMYFUNCTION("""COMPUTED_VALUE"""),1695.0)</f>
        <v>1695</v>
      </c>
      <c r="S21" s="90">
        <f>IFERROR(__xludf.DUMMYFUNCTION("""COMPUTED_VALUE"""),4296.5096659502115)</f>
        <v>4296.509666</v>
      </c>
      <c r="T21" s="91"/>
      <c r="U21" s="92"/>
      <c r="V21" s="93" t="str">
        <f>IFERROR(__xludf.DUMMYFUNCTION("""COMPUTED_VALUE"""),"TZXD7")</f>
        <v>TZXD7</v>
      </c>
      <c r="W21" s="87">
        <f>IFERROR(__xludf.DUMMYFUNCTION("""COMPUTED_VALUE"""),46736.0)</f>
        <v>46736</v>
      </c>
      <c r="X21" s="94" t="str">
        <f>IFERROR(__xludf.DUMMYFUNCTION("""COMPUTED_VALUE"""),"CER + 0%")</f>
        <v>CER + 0%</v>
      </c>
      <c r="Y21" s="95">
        <f>IFERROR(__xludf.DUMMYFUNCTION("""COMPUTED_VALUE"""),153.25)</f>
        <v>153.25</v>
      </c>
      <c r="Z21" s="70">
        <f>IFERROR(__xludf.DUMMYFUNCTION("""COMPUTED_VALUE"""),0.2117400809344362)</f>
        <v>0.2117400809</v>
      </c>
      <c r="AA21" s="70">
        <f>IFERROR(__xludf.DUMMYFUNCTION("""COMPUTED_VALUE"""),-0.011200000000000002)</f>
        <v>-0.0112</v>
      </c>
      <c r="AB21" s="71">
        <f>IFERROR(__xludf.DUMMYFUNCTION("""COMPUTED_VALUE"""),2.2010314143470966)</f>
        <v>2.201031414</v>
      </c>
      <c r="AC21" s="85" t="str">
        <f>IFERROR(__xludf.DUMMYFUNCTION("""COMPUTED_VALUE"""),"No paga")</f>
        <v>No paga</v>
      </c>
      <c r="AD21" s="85">
        <f>IFERROR(__xludf.DUMMYFUNCTION("""COMPUTED_VALUE"""),798.0)</f>
        <v>798</v>
      </c>
      <c r="AE21" s="63"/>
      <c r="AF21" s="63"/>
      <c r="AG21" s="63"/>
      <c r="AH21" s="96" t="str">
        <f>IFERROR(__xludf.DUMMYFUNCTION("""COMPUTED_VALUE"""),"GD41D")</f>
        <v>GD41D</v>
      </c>
      <c r="AI21" s="97">
        <f>IFERROR(__xludf.DUMMYFUNCTION("""COMPUTED_VALUE"""),0.0045000000000000005)</f>
        <v>0.0045</v>
      </c>
      <c r="AJ21" s="98">
        <f>IFERROR(__xludf.DUMMYFUNCTION("""COMPUTED_VALUE"""),51691.0)</f>
        <v>51691</v>
      </c>
      <c r="AK21" s="99">
        <f>IFERROR(__xludf.DUMMYFUNCTION("""COMPUTED_VALUE"""),54.75)</f>
        <v>54.75</v>
      </c>
      <c r="AL21" s="97">
        <f>IFERROR(__xludf.DUMMYFUNCTION("""COMPUTED_VALUE"""),0.14272381678498997)</f>
        <v>0.1427238168</v>
      </c>
      <c r="AM21" s="97">
        <f>IFERROR(__xludf.DUMMYFUNCTION("""COMPUTED_VALUE"""),0.02336448598130847)</f>
        <v>0.02336448598</v>
      </c>
      <c r="AN21" s="97">
        <f>IFERROR(__xludf.DUMMYFUNCTION("""COMPUTED_VALUE"""),0.0639269406392694)</f>
        <v>0.06392694064</v>
      </c>
      <c r="AO21" s="100">
        <f>IFERROR(__xludf.DUMMYFUNCTION("""COMPUTED_VALUE"""),5.964572755756893)</f>
        <v>5.964572756</v>
      </c>
      <c r="AP21" s="63" t="str">
        <f>IFERROR(__xludf.DUMMYFUNCTION("""COMPUTED_VALUE"""),"Semestral")</f>
        <v>Semestral</v>
      </c>
      <c r="AQ21" s="63" t="str">
        <f>IFERROR(__xludf.DUMMYFUNCTION("""COMPUTED_VALUE"""),"NY")</f>
        <v>NY</v>
      </c>
      <c r="AR21" s="97">
        <f>IFERROR(__xludf.DUMMYFUNCTION("""COMPUTED_VALUE"""),0.5426463300479049)</f>
        <v>0.54264633</v>
      </c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</row>
    <row r="22">
      <c r="A22" s="68"/>
      <c r="B22" s="69"/>
      <c r="C22" s="85"/>
      <c r="D22" s="85"/>
      <c r="E22" s="71"/>
      <c r="F22" s="77"/>
      <c r="G22" s="63"/>
      <c r="H22" s="63"/>
      <c r="I22" s="78"/>
      <c r="J22" s="94"/>
      <c r="K22" s="87"/>
      <c r="L22" s="88"/>
      <c r="M22" s="89"/>
      <c r="N22" s="89"/>
      <c r="O22" s="106"/>
      <c r="P22" s="106"/>
      <c r="Q22" s="89"/>
      <c r="R22" s="88"/>
      <c r="S22" s="92"/>
      <c r="T22" s="91"/>
      <c r="U22" s="92"/>
      <c r="V22" s="93" t="str">
        <f>IFERROR(__xludf.DUMMYFUNCTION("""COMPUTED_VALUE"""),"TZX28")</f>
        <v>TZX28</v>
      </c>
      <c r="W22" s="87">
        <f>IFERROR(__xludf.DUMMYFUNCTION("""COMPUTED_VALUE"""),46934.0)</f>
        <v>46934</v>
      </c>
      <c r="X22" s="94" t="str">
        <f>IFERROR(__xludf.DUMMYFUNCTION("""COMPUTED_VALUE"""),"CER + 0%")</f>
        <v>CER + 0%</v>
      </c>
      <c r="Y22" s="95">
        <f>IFERROR(__xludf.DUMMYFUNCTION("""COMPUTED_VALUE"""),188.4)</f>
        <v>188.4</v>
      </c>
      <c r="Z22" s="70">
        <f>IFERROR(__xludf.DUMMYFUNCTION("""COMPUTED_VALUE"""),0.20790405608325158)</f>
        <v>0.2079040561</v>
      </c>
      <c r="AA22" s="70">
        <f>IFERROR(__xludf.DUMMYFUNCTION("""COMPUTED_VALUE"""),-0.0018)</f>
        <v>-0.0018</v>
      </c>
      <c r="AB22" s="71">
        <f>IFERROR(__xludf.DUMMYFUNCTION("""COMPUTED_VALUE"""),2.744193361873141)</f>
        <v>2.744193362</v>
      </c>
      <c r="AC22" s="85" t="str">
        <f>IFERROR(__xludf.DUMMYFUNCTION("""COMPUTED_VALUE"""),"No paga")</f>
        <v>No paga</v>
      </c>
      <c r="AD22" s="85">
        <f>IFERROR(__xludf.DUMMYFUNCTION("""COMPUTED_VALUE"""),996.0)</f>
        <v>996</v>
      </c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</row>
    <row r="23">
      <c r="A23" s="68"/>
      <c r="B23" s="69" t="s">
        <v>79</v>
      </c>
      <c r="C23" s="70">
        <f>VLOOKUP(B23,$V$11:$AD$28,5,0)</f>
        <v>0.2117400809</v>
      </c>
      <c r="D23" s="71">
        <f>VLOOKUP(B23,$V$11:$AD$28,7,0)</f>
        <v>2.201031414</v>
      </c>
      <c r="E23" s="71">
        <f>D23</f>
        <v>2.201031414</v>
      </c>
      <c r="F23" s="77">
        <v>0.5</v>
      </c>
      <c r="G23" s="63"/>
      <c r="H23" s="63"/>
      <c r="I23" s="78"/>
      <c r="J23" s="94" t="str">
        <f>IFERROR(__xludf.DUMMYFUNCTION("""COMPUTED_VALUE"""),"BONOS DUALES")</f>
        <v>BONOS DUALES</v>
      </c>
      <c r="K23" s="87"/>
      <c r="L23" s="88"/>
      <c r="M23" s="89"/>
      <c r="N23" s="89"/>
      <c r="O23" s="106"/>
      <c r="P23" s="106"/>
      <c r="Q23" s="89"/>
      <c r="R23" s="88"/>
      <c r="S23" s="92"/>
      <c r="T23" s="91"/>
      <c r="U23" s="92"/>
      <c r="V23" s="93" t="str">
        <f>IFERROR(__xludf.DUMMYFUNCTION("""COMPUTED_VALUE"""),"DICP")</f>
        <v>DICP</v>
      </c>
      <c r="W23" s="87">
        <f>IFERROR(__xludf.DUMMYFUNCTION("""COMPUTED_VALUE"""),48944.0)</f>
        <v>48944</v>
      </c>
      <c r="X23" s="94" t="str">
        <f>IFERROR(__xludf.DUMMYFUNCTION("""COMPUTED_VALUE"""),"CER + 5,83%")</f>
        <v>CER + 5,83%</v>
      </c>
      <c r="Y23" s="95">
        <f>IFERROR(__xludf.DUMMYFUNCTION("""COMPUTED_VALUE"""),33000.0)</f>
        <v>33000</v>
      </c>
      <c r="Z23" s="70">
        <f>IFERROR(__xludf.DUMMYFUNCTION("""COMPUTED_VALUE"""),0.1752807970402648)</f>
        <v>0.175280797</v>
      </c>
      <c r="AA23" s="70">
        <f>IFERROR(__xludf.DUMMYFUNCTION("""COMPUTED_VALUE"""),-0.003)</f>
        <v>-0.003</v>
      </c>
      <c r="AB23" s="71">
        <f>IFERROR(__xludf.DUMMYFUNCTION("""COMPUTED_VALUE"""),3.068974711646165)</f>
        <v>3.068974712</v>
      </c>
      <c r="AC23" s="85" t="str">
        <f>IFERROR(__xludf.DUMMYFUNCTION("""COMPUTED_VALUE"""),"Semestral")</f>
        <v>Semestral</v>
      </c>
      <c r="AD23" s="85">
        <f>IFERROR(__xludf.DUMMYFUNCTION("""COMPUTED_VALUE"""),84.0)</f>
        <v>84</v>
      </c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</row>
    <row r="24">
      <c r="A24" s="68" t="s">
        <v>80</v>
      </c>
      <c r="B24" s="69"/>
      <c r="C24" s="85"/>
      <c r="D24" s="71"/>
      <c r="E24" s="71"/>
      <c r="F24" s="104"/>
      <c r="G24" s="63"/>
      <c r="H24" s="63"/>
      <c r="I24" s="78"/>
      <c r="J24" s="94" t="str">
        <f>IFERROR(__xludf.DUMMYFUNCTION("""COMPUTED_VALUE"""),"Ticker")</f>
        <v>Ticker</v>
      </c>
      <c r="K24" s="87" t="str">
        <f>IFERROR(__xludf.DUMMYFUNCTION("""COMPUTED_VALUE"""),"Vencimiento ")</f>
        <v>Vencimiento </v>
      </c>
      <c r="L24" s="88" t="str">
        <f>IFERROR(__xludf.DUMMYFUNCTION("""COMPUTED_VALUE"""),"Precio")</f>
        <v>Precio</v>
      </c>
      <c r="M24" s="89" t="str">
        <f>IFERROR(__xludf.DUMMYFUNCTION("""COMPUTED_VALUE"""),"Variación")</f>
        <v>Variación</v>
      </c>
      <c r="N24" s="89" t="str">
        <f>IFERROR(__xludf.DUMMYFUNCTION("""COMPUTED_VALUE"""),"TEM Fija")</f>
        <v>TEM Fija</v>
      </c>
      <c r="O24" s="106" t="str">
        <f>IFERROR(__xludf.DUMMYFUNCTION("""COMPUTED_VALUE"""),"TNA")</f>
        <v>TNA</v>
      </c>
      <c r="P24" s="106" t="str">
        <f>IFERROR(__xludf.DUMMYFUNCTION("""COMPUTED_VALUE"""),"TEM Variable")</f>
        <v>TEM Variable</v>
      </c>
      <c r="Q24" s="89" t="str">
        <f>IFERROR(__xludf.DUMMYFUNCTION("""COMPUTED_VALUE"""),"TNA")</f>
        <v>TNA</v>
      </c>
      <c r="R24" s="88" t="str">
        <f>IFERROR(__xludf.DUMMYFUNCTION("""COMPUTED_VALUE"""),"Duration")</f>
        <v>Duration</v>
      </c>
      <c r="S24" s="92" t="str">
        <f>IFERROR(__xludf.DUMMYFUNCTION("""COMPUTED_VALUE"""),"Fx B.E Fija")</f>
        <v>Fx B.E Fija</v>
      </c>
      <c r="T24" s="91"/>
      <c r="U24" s="92"/>
      <c r="V24" s="93" t="str">
        <f>IFERROR(__xludf.DUMMYFUNCTION("""COMPUTED_VALUE"""),"PARP")</f>
        <v>PARP</v>
      </c>
      <c r="W24" s="87">
        <f>IFERROR(__xludf.DUMMYFUNCTION("""COMPUTED_VALUE"""),50770.0)</f>
        <v>50770</v>
      </c>
      <c r="X24" s="94" t="str">
        <f>IFERROR(__xludf.DUMMYFUNCTION("""COMPUTED_VALUE"""),"CER + 0%")</f>
        <v>CER + 0%</v>
      </c>
      <c r="Y24" s="95">
        <f>IFERROR(__xludf.DUMMYFUNCTION("""COMPUTED_VALUE"""),18845.0)</f>
        <v>18845</v>
      </c>
      <c r="Z24" s="70">
        <f>IFERROR(__xludf.DUMMYFUNCTION("""COMPUTED_VALUE"""),0.13741283729613815)</f>
        <v>0.1374128373</v>
      </c>
      <c r="AA24" s="70">
        <f>IFERROR(__xludf.DUMMYFUNCTION("""COMPUTED_VALUE"""),-0.0052)</f>
        <v>-0.0052</v>
      </c>
      <c r="AB24" s="71">
        <f>IFERROR(__xludf.DUMMYFUNCTION("""COMPUTED_VALUE"""),6.924285291221014)</f>
        <v>6.924285291</v>
      </c>
      <c r="AC24" s="85" t="str">
        <f>IFERROR(__xludf.DUMMYFUNCTION("""COMPUTED_VALUE"""),"Semestral")</f>
        <v>Semestral</v>
      </c>
      <c r="AD24" s="85">
        <f>IFERROR(__xludf.DUMMYFUNCTION("""COMPUTED_VALUE"""),-8.0)</f>
        <v>-8</v>
      </c>
      <c r="AE24" s="63"/>
      <c r="AF24" s="63"/>
      <c r="AG24" s="63"/>
      <c r="AH24" s="63" t="str">
        <f>IFERROR(__xludf.DUMMYFUNCTION("""COMPUTED_VALUE"""),"http")</f>
        <v>http</v>
      </c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</row>
    <row r="25">
      <c r="A25" s="63"/>
      <c r="B25" s="101"/>
      <c r="C25" s="101"/>
      <c r="D25" s="101"/>
      <c r="E25" s="103">
        <f>SUM(E21:E24)</f>
        <v>130.2010314</v>
      </c>
      <c r="F25" s="101"/>
      <c r="G25" s="63"/>
      <c r="H25" s="63"/>
      <c r="I25" s="78"/>
      <c r="J25" s="86" t="str">
        <f>IFERROR(__xludf.DUMMYFUNCTION("""COMPUTED_VALUE"""),"TTM26")</f>
        <v>TTM26</v>
      </c>
      <c r="K25" s="87">
        <f>IFERROR(__xludf.DUMMYFUNCTION("""COMPUTED_VALUE"""),46097.0)</f>
        <v>46097</v>
      </c>
      <c r="L25" s="88">
        <f>IFERROR(__xludf.DUMMYFUNCTION("""COMPUTED_VALUE"""),117.0)</f>
        <v>117</v>
      </c>
      <c r="M25" s="89">
        <f>IFERROR(__xludf.DUMMYFUNCTION("""COMPUTED_VALUE"""),0.006)</f>
        <v>0.006</v>
      </c>
      <c r="N25" s="89">
        <f>IFERROR(__xludf.DUMMYFUNCTION("""COMPUTED_VALUE"""),0.02788737498280902)</f>
        <v>0.02788737498</v>
      </c>
      <c r="O25" s="89">
        <f>IFERROR(__xludf.DUMMYFUNCTION("""COMPUTED_VALUE"""),0.3601049004223998)</f>
        <v>0.3601049004</v>
      </c>
      <c r="P25" s="89">
        <f>IFERROR(__xludf.DUMMYFUNCTION("""COMPUTED_VALUE"""),0.04357139507931551)</f>
        <v>0.04357139508</v>
      </c>
      <c r="Q25" s="89">
        <f>IFERROR(__xludf.DUMMYFUNCTION("""COMPUTED_VALUE"""),0.5817906121013456)</f>
        <v>0.5817906121</v>
      </c>
      <c r="R25" s="88">
        <f>IFERROR(__xludf.DUMMYFUNCTION("""COMPUTED_VALUE"""),0.44166666666666665)</f>
        <v>0.4416666667</v>
      </c>
      <c r="S25" s="90">
        <f>IFERROR(__xludf.DUMMYFUNCTION("""COMPUTED_VALUE"""),1766.127468737626)</f>
        <v>1766.127469</v>
      </c>
      <c r="T25" s="91"/>
      <c r="U25" s="92"/>
      <c r="V25" s="93" t="str">
        <f>IFERROR(__xludf.DUMMYFUNCTION("""COMPUTED_VALUE"""),"CUAP")</f>
        <v>CUAP</v>
      </c>
      <c r="W25" s="87">
        <f>IFERROR(__xludf.DUMMYFUNCTION("""COMPUTED_VALUE"""),53327.0)</f>
        <v>53327</v>
      </c>
      <c r="X25" s="94" t="str">
        <f>IFERROR(__xludf.DUMMYFUNCTION("""COMPUTED_VALUE"""),"CER + 3,31%")</f>
        <v>CER + 3,31%</v>
      </c>
      <c r="Y25" s="95">
        <f>IFERROR(__xludf.DUMMYFUNCTION("""COMPUTED_VALUE"""),24400.0)</f>
        <v>24400</v>
      </c>
      <c r="Z25" s="70">
        <f>IFERROR(__xludf.DUMMYFUNCTION("""COMPUTED_VALUE"""),0.08360587900015218)</f>
        <v>0.083605879</v>
      </c>
      <c r="AA25" s="70">
        <f>IFERROR(__xludf.DUMMYFUNCTION("""COMPUTED_VALUE"""),-0.004)</f>
        <v>-0.004</v>
      </c>
      <c r="AB25" s="71">
        <f>IFERROR(__xludf.DUMMYFUNCTION("""COMPUTED_VALUE"""),10.554893835719417)</f>
        <v>10.55489384</v>
      </c>
      <c r="AC25" s="85" t="str">
        <f>IFERROR(__xludf.DUMMYFUNCTION("""COMPUTED_VALUE"""),"Semestral")</f>
        <v>Semestral</v>
      </c>
      <c r="AD25" s="85">
        <f>IFERROR(__xludf.DUMMYFUNCTION("""COMPUTED_VALUE"""),84.0)</f>
        <v>84</v>
      </c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</row>
    <row r="26">
      <c r="A26" s="63"/>
      <c r="B26" s="63"/>
      <c r="C26" s="63"/>
      <c r="D26" s="63"/>
      <c r="E26" s="63"/>
      <c r="F26" s="63"/>
      <c r="G26" s="63"/>
      <c r="H26" s="63"/>
      <c r="I26" s="78"/>
      <c r="J26" s="86" t="str">
        <f>IFERROR(__xludf.DUMMYFUNCTION("""COMPUTED_VALUE"""),"TTJ26")</f>
        <v>TTJ26</v>
      </c>
      <c r="K26" s="87">
        <f>IFERROR(__xludf.DUMMYFUNCTION("""COMPUTED_VALUE"""),46203.0)</f>
        <v>46203</v>
      </c>
      <c r="L26" s="88">
        <f>IFERROR(__xludf.DUMMYFUNCTION("""COMPUTED_VALUE"""),110.0)</f>
        <v>110</v>
      </c>
      <c r="M26" s="89">
        <f>IFERROR(__xludf.DUMMYFUNCTION("""COMPUTED_VALUE"""),-0.0013)</f>
        <v>-0.0013</v>
      </c>
      <c r="N26" s="89">
        <f>IFERROR(__xludf.DUMMYFUNCTION("""COMPUTED_VALUE"""),0.03159027711135387)</f>
        <v>0.03159027711</v>
      </c>
      <c r="O26" s="89">
        <f>IFERROR(__xludf.DUMMYFUNCTION("""COMPUTED_VALUE"""),0.435251667894187)</f>
        <v>0.4352516679</v>
      </c>
      <c r="P26" s="89">
        <f>IFERROR(__xludf.DUMMYFUNCTION("""COMPUTED_VALUE"""),0.04458176331125441)</f>
        <v>0.04458176331</v>
      </c>
      <c r="Q26" s="89">
        <f>IFERROR(__xludf.DUMMYFUNCTION("""COMPUTED_VALUE"""),0.6468931642244389)</f>
        <v>0.6468931642</v>
      </c>
      <c r="R26" s="88">
        <f>IFERROR(__xludf.DUMMYFUNCTION("""COMPUTED_VALUE"""),0.7361111111111112)</f>
        <v>0.7361111111</v>
      </c>
      <c r="S26" s="90">
        <f>IFERROR(__xludf.DUMMYFUNCTION("""COMPUTED_VALUE"""),2008.966174123415)</f>
        <v>2008.966174</v>
      </c>
      <c r="T26" s="91"/>
      <c r="U26" s="92"/>
      <c r="V26" s="106"/>
      <c r="W26" s="87"/>
      <c r="X26" s="94"/>
      <c r="Y26" s="85"/>
      <c r="Z26" s="85"/>
      <c r="AA26" s="85"/>
      <c r="AB26" s="85"/>
      <c r="AC26" s="85"/>
      <c r="AD26" s="85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</row>
    <row r="27">
      <c r="A27" s="63"/>
      <c r="B27" s="66" t="s">
        <v>83</v>
      </c>
      <c r="C27" s="67" t="s">
        <v>51</v>
      </c>
      <c r="D27" s="67" t="s">
        <v>68</v>
      </c>
      <c r="E27" s="67" t="s">
        <v>69</v>
      </c>
      <c r="F27" s="67" t="s">
        <v>55</v>
      </c>
      <c r="G27" s="63"/>
      <c r="H27" s="63"/>
      <c r="I27" s="78"/>
      <c r="J27" s="86" t="str">
        <f>IFERROR(__xludf.DUMMYFUNCTION("""COMPUTED_VALUE"""),"TTS26")</f>
        <v>TTS26</v>
      </c>
      <c r="K27" s="87">
        <f>IFERROR(__xludf.DUMMYFUNCTION("""COMPUTED_VALUE"""),46280.0)</f>
        <v>46280</v>
      </c>
      <c r="L27" s="88">
        <f>IFERROR(__xludf.DUMMYFUNCTION("""COMPUTED_VALUE"""),102.55)</f>
        <v>102.55</v>
      </c>
      <c r="M27" s="89">
        <f>IFERROR(__xludf.DUMMYFUNCTION("""COMPUTED_VALUE"""),-0.0139)</f>
        <v>-0.0139</v>
      </c>
      <c r="N27" s="89">
        <f>IFERROR(__xludf.DUMMYFUNCTION("""COMPUTED_VALUE"""),0.035285036993908836)</f>
        <v>0.03528503699</v>
      </c>
      <c r="O27" s="89">
        <f>IFERROR(__xludf.DUMMYFUNCTION("""COMPUTED_VALUE"""),0.5171408376978389)</f>
        <v>0.5171408377</v>
      </c>
      <c r="P27" s="89">
        <f>IFERROR(__xludf.DUMMYFUNCTION("""COMPUTED_VALUE"""),0.047204527084171444)</f>
        <v>0.04720452708</v>
      </c>
      <c r="Q27" s="89">
        <f>IFERROR(__xludf.DUMMYFUNCTION("""COMPUTED_VALUE"""),0.7377501921931121)</f>
        <v>0.7377501922</v>
      </c>
      <c r="R27" s="88">
        <f>IFERROR(__xludf.DUMMYFUNCTION("""COMPUTED_VALUE"""),0.95)</f>
        <v>0.95</v>
      </c>
      <c r="S27" s="90">
        <f>IFERROR(__xludf.DUMMYFUNCTION("""COMPUTED_VALUE"""),2266.1580543416126)</f>
        <v>2266.158054</v>
      </c>
      <c r="T27" s="91"/>
      <c r="U27" s="92"/>
      <c r="V27" s="106"/>
      <c r="W27" s="87"/>
      <c r="X27" s="94"/>
      <c r="Y27" s="85"/>
      <c r="Z27" s="85"/>
      <c r="AA27" s="85"/>
      <c r="AB27" s="85"/>
      <c r="AC27" s="85"/>
      <c r="AD27" s="85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</row>
    <row r="28">
      <c r="A28" s="68" t="s">
        <v>84</v>
      </c>
      <c r="B28" s="107" t="s">
        <v>85</v>
      </c>
      <c r="C28" s="108">
        <f>VLOOKUP(B28,$AT$11:$BD$16,5,0)</f>
        <v>0.1394065745</v>
      </c>
      <c r="D28" s="109">
        <f>VLOOKUP(B28,$AT$11:$BD$16,8,0)</f>
        <v>1.716021781</v>
      </c>
      <c r="E28" s="109">
        <f t="shared" ref="E28:E30" si="4">1/D28</f>
        <v>0.5827431861</v>
      </c>
      <c r="F28" s="104">
        <f t="shared" ref="F28:F30" si="5">E28/$E$31</f>
        <v>0.4604479225</v>
      </c>
      <c r="G28" s="63"/>
      <c r="H28" s="63"/>
      <c r="I28" s="78"/>
      <c r="J28" s="86" t="str">
        <f>IFERROR(__xludf.DUMMYFUNCTION("""COMPUTED_VALUE"""),"TTD26")</f>
        <v>TTD26</v>
      </c>
      <c r="K28" s="87">
        <f>IFERROR(__xludf.DUMMYFUNCTION("""COMPUTED_VALUE"""),46371.0)</f>
        <v>46371</v>
      </c>
      <c r="L28" s="88">
        <f>IFERROR(__xludf.DUMMYFUNCTION("""COMPUTED_VALUE"""),101.9)</f>
        <v>101.9</v>
      </c>
      <c r="M28" s="89">
        <f>IFERROR(__xludf.DUMMYFUNCTION("""COMPUTED_VALUE"""),0.0029)</f>
        <v>0.0029</v>
      </c>
      <c r="N28" s="89">
        <f>IFERROR(__xludf.DUMMYFUNCTION("""COMPUTED_VALUE"""),0.03233857594082834)</f>
        <v>0.03233857594</v>
      </c>
      <c r="O28" s="89">
        <f>IFERROR(__xludf.DUMMYFUNCTION("""COMPUTED_VALUE"""),0.4912209035592255)</f>
        <v>0.4912209036</v>
      </c>
      <c r="P28" s="89">
        <f>IFERROR(__xludf.DUMMYFUNCTION("""COMPUTED_VALUE"""),0.04363531094758377)</f>
        <v>0.04363531095</v>
      </c>
      <c r="Q28" s="89">
        <f>IFERROR(__xludf.DUMMYFUNCTION("""COMPUTED_VALUE"""),0.7179211245297211)</f>
        <v>0.7179211245</v>
      </c>
      <c r="R28" s="88">
        <f>IFERROR(__xludf.DUMMYFUNCTION("""COMPUTED_VALUE"""),1.2027777777777777)</f>
        <v>1.202777778</v>
      </c>
      <c r="S28" s="110">
        <f>IFERROR(__xludf.DUMMYFUNCTION("""COMPUTED_VALUE"""),2416.2838952898246)</f>
        <v>2416.283895</v>
      </c>
      <c r="T28" s="82"/>
      <c r="U28" s="82"/>
      <c r="V28" s="83"/>
      <c r="W28" s="84"/>
      <c r="X28" s="83"/>
      <c r="Y28" s="85"/>
      <c r="Z28" s="85"/>
      <c r="AA28" s="85"/>
      <c r="AB28" s="85"/>
      <c r="AC28" s="85"/>
      <c r="AD28" s="85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</row>
    <row r="29">
      <c r="A29" s="63"/>
      <c r="B29" s="69" t="s">
        <v>86</v>
      </c>
      <c r="C29" s="108">
        <f t="shared" ref="C29:C30" si="6">VLOOKUP(B29,$AH$10:$AQ$21,5,0)</f>
        <v>0.1904650806</v>
      </c>
      <c r="D29" s="111">
        <f t="shared" ref="D29:D30" si="7">VLOOKUP(B29,$AH$10:$AQ$21,8,0)</f>
        <v>2.152767954</v>
      </c>
      <c r="E29" s="109">
        <f t="shared" si="4"/>
        <v>0.4645182487</v>
      </c>
      <c r="F29" s="104">
        <f t="shared" si="5"/>
        <v>0.3670338284</v>
      </c>
      <c r="G29" s="63"/>
      <c r="H29" s="63"/>
      <c r="I29" s="78"/>
      <c r="J29" s="94"/>
      <c r="K29" s="87"/>
      <c r="L29" s="88"/>
      <c r="M29" s="89"/>
      <c r="N29" s="89"/>
      <c r="O29" s="106"/>
      <c r="P29" s="106"/>
      <c r="Q29" s="89"/>
      <c r="R29" s="88"/>
      <c r="S29" s="91"/>
      <c r="T29" s="91"/>
      <c r="U29" s="92"/>
      <c r="V29" s="92" t="str">
        <f>IFERROR(__xludf.DUMMYFUNCTION("""COMPUTED_VALUE"""),"Meses")</f>
        <v>Meses</v>
      </c>
      <c r="W29" s="112" t="str">
        <f>IFERROR(__xludf.DUMMYFUNCTION("""COMPUTED_VALUE"""),"Infla B.E")</f>
        <v>Infla B.E</v>
      </c>
      <c r="X29" s="91" t="str">
        <f>IFERROR(__xludf.DUMMYFUNCTION("""COMPUTED_VALUE"""),"REM")</f>
        <v>REM</v>
      </c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</row>
    <row r="30">
      <c r="A30" s="16"/>
      <c r="B30" s="69" t="s">
        <v>87</v>
      </c>
      <c r="C30" s="108">
        <f t="shared" si="6"/>
        <v>0.1798813569</v>
      </c>
      <c r="D30" s="111">
        <f t="shared" si="7"/>
        <v>4.580029466</v>
      </c>
      <c r="E30" s="109">
        <f t="shared" si="4"/>
        <v>0.2183392067</v>
      </c>
      <c r="F30" s="104">
        <f t="shared" si="5"/>
        <v>0.172518249</v>
      </c>
      <c r="G30" s="63"/>
      <c r="H30" s="63"/>
      <c r="I30" s="78"/>
      <c r="J30" s="113"/>
      <c r="K30" s="114"/>
      <c r="L30" s="115"/>
      <c r="M30" s="116"/>
      <c r="N30" s="116"/>
      <c r="O30" s="117"/>
      <c r="P30" s="117"/>
      <c r="Q30" s="116"/>
      <c r="R30" s="115"/>
      <c r="S30" s="91"/>
      <c r="T30" s="91"/>
      <c r="U30" s="92"/>
      <c r="V30" s="92" t="str">
        <f>IFERROR(__xludf.DUMMYFUNCTION("""COMPUTED_VALUE"""),"Abril")</f>
        <v>Abril</v>
      </c>
      <c r="W30" s="112">
        <f>IFERROR(__xludf.DUMMYFUNCTION("""COMPUTED_VALUE"""),0.018)</f>
        <v>0.018</v>
      </c>
      <c r="X30" s="91">
        <f>IFERROR(__xludf.DUMMYFUNCTION("""COMPUTED_VALUE"""),0.032)</f>
        <v>0.032</v>
      </c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</row>
    <row r="31">
      <c r="A31" s="16"/>
      <c r="B31" s="16"/>
      <c r="C31" s="16"/>
      <c r="D31" s="16"/>
      <c r="E31" s="55">
        <f>SUM(E28:E30)</f>
        <v>1.265600641</v>
      </c>
      <c r="F31" s="16"/>
      <c r="G31" s="63"/>
      <c r="H31" s="63"/>
      <c r="I31" s="78"/>
      <c r="J31" s="118"/>
      <c r="K31" s="119"/>
      <c r="L31" s="120"/>
      <c r="M31" s="121"/>
      <c r="N31" s="121"/>
      <c r="O31" s="118"/>
      <c r="P31" s="118"/>
      <c r="Q31" s="121"/>
      <c r="R31" s="120"/>
      <c r="S31" s="91"/>
      <c r="T31" s="91"/>
      <c r="U31" s="92"/>
      <c r="V31" s="92" t="str">
        <f>IFERROR(__xludf.DUMMYFUNCTION("""COMPUTED_VALUE"""),"Mayo")</f>
        <v>Mayo</v>
      </c>
      <c r="W31" s="112">
        <f>IFERROR(__xludf.DUMMYFUNCTION("""COMPUTED_VALUE"""),0.01640478354227004)</f>
        <v>0.01640478354</v>
      </c>
      <c r="X31" s="122">
        <f>IFERROR(__xludf.DUMMYFUNCTION("""COMPUTED_VALUE"""),0.015)</f>
        <v>0.015</v>
      </c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</row>
    <row r="32">
      <c r="A32" s="16"/>
      <c r="B32" s="16"/>
      <c r="C32" s="16"/>
      <c r="D32" s="16"/>
      <c r="E32" s="16"/>
      <c r="F32" s="16"/>
      <c r="G32" s="63"/>
      <c r="H32" s="63"/>
      <c r="I32" s="78"/>
      <c r="J32" s="118"/>
      <c r="K32" s="119"/>
      <c r="L32" s="120"/>
      <c r="M32" s="121"/>
      <c r="N32" s="121"/>
      <c r="O32" s="118"/>
      <c r="P32" s="118"/>
      <c r="Q32" s="121"/>
      <c r="R32" s="120"/>
      <c r="S32" s="91"/>
      <c r="T32" s="91"/>
      <c r="U32" s="92"/>
      <c r="V32" s="92" t="str">
        <f>IFERROR(__xludf.DUMMYFUNCTION("""COMPUTED_VALUE"""),"Junio")</f>
        <v>Junio</v>
      </c>
      <c r="W32" s="112">
        <f>IFERROR(__xludf.DUMMYFUNCTION("""COMPUTED_VALUE"""),0.01640478354227004)</f>
        <v>0.01640478354</v>
      </c>
      <c r="X32" s="122">
        <f>IFERROR(__xludf.DUMMYFUNCTION("""COMPUTED_VALUE"""),0.018)</f>
        <v>0.018</v>
      </c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</row>
    <row r="33">
      <c r="A33" s="16"/>
      <c r="B33" s="16"/>
      <c r="C33" s="16"/>
      <c r="D33" s="16"/>
      <c r="E33" s="16"/>
      <c r="F33" s="16"/>
      <c r="G33" s="63"/>
      <c r="H33" s="63"/>
      <c r="I33" s="78"/>
      <c r="J33" s="92"/>
      <c r="K33" s="112"/>
      <c r="L33" s="123"/>
      <c r="M33" s="122"/>
      <c r="N33" s="122"/>
      <c r="O33" s="92"/>
      <c r="P33" s="92"/>
      <c r="Q33" s="122"/>
      <c r="R33" s="123"/>
      <c r="S33" s="91"/>
      <c r="T33" s="91"/>
      <c r="U33" s="92"/>
      <c r="V33" s="92" t="str">
        <f>IFERROR(__xludf.DUMMYFUNCTION("""COMPUTED_VALUE"""),"Julio")</f>
        <v>Julio</v>
      </c>
      <c r="W33" s="112">
        <f>IFERROR(__xludf.DUMMYFUNCTION("""COMPUTED_VALUE"""),0.01640478354227004)</f>
        <v>0.01640478354</v>
      </c>
      <c r="X33" s="122">
        <f>IFERROR(__xludf.DUMMYFUNCTION("""COMPUTED_VALUE"""),0.018)</f>
        <v>0.018</v>
      </c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</row>
    <row r="34">
      <c r="A34" s="16"/>
      <c r="B34" s="16"/>
      <c r="C34" s="16"/>
      <c r="D34" s="16"/>
      <c r="E34" s="16"/>
      <c r="F34" s="16"/>
      <c r="G34" s="63"/>
      <c r="H34" s="63"/>
      <c r="I34" s="78"/>
      <c r="J34" s="92"/>
      <c r="K34" s="112"/>
      <c r="L34" s="123"/>
      <c r="M34" s="122"/>
      <c r="N34" s="122"/>
      <c r="O34" s="92"/>
      <c r="P34" s="92"/>
      <c r="Q34" s="122"/>
      <c r="R34" s="123"/>
      <c r="S34" s="91"/>
      <c r="T34" s="91"/>
      <c r="U34" s="92"/>
      <c r="V34" s="92" t="str">
        <f>IFERROR(__xludf.DUMMYFUNCTION("""COMPUTED_VALUE"""),"Agosto")</f>
        <v>Agosto</v>
      </c>
      <c r="W34" s="112">
        <f>IFERROR(__xludf.DUMMYFUNCTION("""COMPUTED_VALUE"""),0.01640478354227004)</f>
        <v>0.01640478354</v>
      </c>
      <c r="X34" s="122">
        <f>IFERROR(__xludf.DUMMYFUNCTION("""COMPUTED_VALUE"""),0.017)</f>
        <v>0.017</v>
      </c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</row>
    <row r="35">
      <c r="A35" s="63"/>
      <c r="B35" s="66" t="s">
        <v>62</v>
      </c>
      <c r="C35" s="67" t="s">
        <v>88</v>
      </c>
      <c r="D35" s="67" t="s">
        <v>68</v>
      </c>
      <c r="E35" s="67" t="s">
        <v>81</v>
      </c>
      <c r="F35" s="67" t="s">
        <v>55</v>
      </c>
      <c r="G35" s="63"/>
      <c r="H35" s="63"/>
      <c r="I35" s="78"/>
      <c r="J35" s="91"/>
      <c r="K35" s="112"/>
      <c r="L35" s="123"/>
      <c r="M35" s="122"/>
      <c r="N35" s="122"/>
      <c r="O35" s="92"/>
      <c r="P35" s="92"/>
      <c r="Q35" s="122"/>
      <c r="R35" s="123"/>
      <c r="S35" s="91"/>
      <c r="T35" s="91"/>
      <c r="U35" s="92"/>
      <c r="V35" s="92" t="str">
        <f>IFERROR(__xludf.DUMMYFUNCTION("""COMPUTED_VALUE"""),"Septiembre")</f>
        <v>Septiembre</v>
      </c>
      <c r="W35" s="112">
        <f>IFERROR(__xludf.DUMMYFUNCTION("""COMPUTED_VALUE"""),0.01640478354227004)</f>
        <v>0.01640478354</v>
      </c>
      <c r="X35" s="122">
        <f>IFERROR(__xludf.DUMMYFUNCTION("""COMPUTED_VALUE"""),0.017)</f>
        <v>0.017</v>
      </c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</row>
    <row r="36">
      <c r="A36" s="68" t="s">
        <v>89</v>
      </c>
      <c r="B36" s="107" t="s">
        <v>85</v>
      </c>
      <c r="C36" s="108">
        <f>VLOOKUP(B36,$AT$11:$BD$16,5,0)</f>
        <v>0.1394065745</v>
      </c>
      <c r="D36" s="109">
        <f>VLOOKUP(B36,$AT$11:$BD$16,8,0)</f>
        <v>1.716021781</v>
      </c>
      <c r="E36" s="109">
        <f t="shared" ref="E36:E38" si="8">D36</f>
        <v>1.716021781</v>
      </c>
      <c r="F36" s="104">
        <f>E36/E39</f>
        <v>0.2031078829</v>
      </c>
      <c r="G36" s="124"/>
      <c r="H36" s="63"/>
      <c r="I36" s="78"/>
      <c r="J36" s="91"/>
      <c r="K36" s="112"/>
      <c r="L36" s="123"/>
      <c r="M36" s="122"/>
      <c r="N36" s="122"/>
      <c r="O36" s="92"/>
      <c r="P36" s="92"/>
      <c r="Q36" s="122"/>
      <c r="R36" s="123"/>
      <c r="S36" s="91"/>
      <c r="T36" s="91"/>
      <c r="U36" s="92"/>
      <c r="V36" s="92" t="str">
        <f>IFERROR(__xludf.DUMMYFUNCTION("""COMPUTED_VALUE"""),"Octubre")</f>
        <v>Octubre</v>
      </c>
      <c r="W36" s="112">
        <f>IFERROR(__xludf.DUMMYFUNCTION("""COMPUTED_VALUE"""),0.01640478354227004)</f>
        <v>0.01640478354</v>
      </c>
      <c r="X36" s="91">
        <f>IFERROR(__xludf.DUMMYFUNCTION("""COMPUTED_VALUE"""),0.017)</f>
        <v>0.017</v>
      </c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</row>
    <row r="37">
      <c r="A37" s="124"/>
      <c r="B37" s="69" t="s">
        <v>86</v>
      </c>
      <c r="C37" s="108">
        <f t="shared" ref="C37:C38" si="9">VLOOKUP(B37,$AH$10:$AQ$21,5,0)</f>
        <v>0.1904650806</v>
      </c>
      <c r="D37" s="111">
        <f t="shared" ref="D37:D38" si="10">VLOOKUP(B37,$AH$10:$AQ$21,8,0)</f>
        <v>2.152767954</v>
      </c>
      <c r="E37" s="109">
        <f t="shared" si="8"/>
        <v>2.152767954</v>
      </c>
      <c r="F37" s="104">
        <f t="shared" ref="F37:F38" si="11">E37/$E$39</f>
        <v>0.2548010442</v>
      </c>
      <c r="G37" s="124"/>
      <c r="H37" s="63"/>
      <c r="I37" s="78"/>
      <c r="J37" s="125"/>
      <c r="K37" s="126"/>
      <c r="L37" s="127"/>
      <c r="M37" s="128"/>
      <c r="N37" s="128"/>
      <c r="O37" s="129"/>
      <c r="P37" s="129"/>
      <c r="Q37" s="128"/>
      <c r="R37" s="127"/>
      <c r="S37" s="91"/>
      <c r="T37" s="91"/>
      <c r="U37" s="92"/>
      <c r="V37" s="92" t="str">
        <f>IFERROR(__xludf.DUMMYFUNCTION("""COMPUTED_VALUE"""),"Noviembre")</f>
        <v>Noviembre</v>
      </c>
      <c r="W37" s="112">
        <f>IFERROR(__xludf.DUMMYFUNCTION("""COMPUTED_VALUE"""),0.022306787880636447)</f>
        <v>0.02230678788</v>
      </c>
      <c r="X37" s="91">
        <f>IFERROR(__xludf.DUMMYFUNCTION("""COMPUTED_VALUE"""),0.015)</f>
        <v>0.015</v>
      </c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</row>
    <row r="38">
      <c r="A38" s="124"/>
      <c r="B38" s="69" t="s">
        <v>87</v>
      </c>
      <c r="C38" s="108">
        <f t="shared" si="9"/>
        <v>0.1798813569</v>
      </c>
      <c r="D38" s="111">
        <f t="shared" si="10"/>
        <v>4.580029466</v>
      </c>
      <c r="E38" s="109">
        <f t="shared" si="8"/>
        <v>4.580029466</v>
      </c>
      <c r="F38" s="104">
        <f t="shared" si="11"/>
        <v>0.542091073</v>
      </c>
      <c r="G38" s="124"/>
      <c r="H38" s="63"/>
      <c r="I38" s="78"/>
      <c r="J38" s="94"/>
      <c r="K38" s="87"/>
      <c r="L38" s="88"/>
      <c r="M38" s="89"/>
      <c r="N38" s="89"/>
      <c r="O38" s="106"/>
      <c r="P38" s="106"/>
      <c r="Q38" s="89"/>
      <c r="R38" s="88"/>
      <c r="S38" s="91"/>
      <c r="T38" s="91"/>
      <c r="U38" s="92"/>
      <c r="V38" s="92" t="str">
        <f>IFERROR(__xludf.DUMMYFUNCTION("""COMPUTED_VALUE"""),"Diciembre")</f>
        <v>Diciembre</v>
      </c>
      <c r="W38" s="112">
        <f>IFERROR(__xludf.DUMMYFUNCTION("""COMPUTED_VALUE"""),0.022306787880636447)</f>
        <v>0.02230678788</v>
      </c>
      <c r="X38" s="91">
        <f>IFERROR(__xludf.DUMMYFUNCTION("""COMPUTED_VALUE"""),0.017)</f>
        <v>0.017</v>
      </c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</row>
    <row r="39">
      <c r="A39" s="63"/>
      <c r="B39" s="63"/>
      <c r="C39" s="63"/>
      <c r="D39" s="63"/>
      <c r="E39" s="130">
        <f>SUM(E36:E38)</f>
        <v>8.448819201</v>
      </c>
      <c r="F39" s="63"/>
      <c r="G39" s="63"/>
      <c r="H39" s="63"/>
      <c r="I39" s="78"/>
      <c r="J39" s="94"/>
      <c r="K39" s="87"/>
      <c r="L39" s="88"/>
      <c r="M39" s="89"/>
      <c r="N39" s="89"/>
      <c r="O39" s="106"/>
      <c r="P39" s="106"/>
      <c r="Q39" s="89"/>
      <c r="R39" s="88"/>
      <c r="S39" s="91"/>
      <c r="T39" s="91"/>
      <c r="U39" s="92"/>
      <c r="V39" s="131">
        <f>IFERROR(__xludf.DUMMYFUNCTION("""COMPUTED_VALUE"""),46023.0)</f>
        <v>46023</v>
      </c>
      <c r="W39" s="112">
        <f>IFERROR(__xludf.DUMMYFUNCTION("""COMPUTED_VALUE"""),0.022306787880636447)</f>
        <v>0.02230678788</v>
      </c>
      <c r="X39" s="91">
        <f>IFERROR(__xludf.DUMMYFUNCTION("""COMPUTED_VALUE"""),0.016)</f>
        <v>0.016</v>
      </c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</row>
    <row r="40">
      <c r="A40" s="63"/>
      <c r="B40" s="63"/>
      <c r="C40" s="63"/>
      <c r="D40" s="63"/>
      <c r="E40" s="63"/>
      <c r="F40" s="63"/>
      <c r="G40" s="63"/>
      <c r="H40" s="63"/>
      <c r="I40" s="78"/>
      <c r="J40" s="94"/>
      <c r="K40" s="87"/>
      <c r="L40" s="88"/>
      <c r="M40" s="89"/>
      <c r="N40" s="89"/>
      <c r="O40" s="106"/>
      <c r="P40" s="106"/>
      <c r="Q40" s="89"/>
      <c r="R40" s="88"/>
      <c r="S40" s="91"/>
      <c r="T40" s="91"/>
      <c r="U40" s="92"/>
      <c r="V40" s="92" t="str">
        <f>IFERROR(__xludf.DUMMYFUNCTION("""COMPUTED_VALUE"""),"Febrero")</f>
        <v>Febrero</v>
      </c>
      <c r="W40" s="112">
        <f>IFERROR(__xludf.DUMMYFUNCTION("""COMPUTED_VALUE"""),0.0174991418089534)</f>
        <v>0.01749914181</v>
      </c>
      <c r="X40" s="92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63"/>
    </row>
    <row r="41">
      <c r="A41" s="63"/>
      <c r="B41" s="63"/>
      <c r="C41" s="63"/>
      <c r="D41" s="63"/>
      <c r="E41" s="63"/>
      <c r="F41" s="63"/>
      <c r="G41" s="63"/>
      <c r="H41" s="63"/>
      <c r="I41" s="78"/>
      <c r="J41" s="94"/>
      <c r="K41" s="87"/>
      <c r="L41" s="88"/>
      <c r="M41" s="89"/>
      <c r="N41" s="89"/>
      <c r="O41" s="106"/>
      <c r="P41" s="106"/>
      <c r="Q41" s="89"/>
      <c r="R41" s="88"/>
      <c r="S41" s="91"/>
      <c r="T41" s="91"/>
      <c r="U41" s="92"/>
      <c r="V41" s="92" t="str">
        <f>IFERROR(__xludf.DUMMYFUNCTION("""COMPUTED_VALUE"""),"Marzo")</f>
        <v>Marzo</v>
      </c>
      <c r="W41" s="112">
        <f>IFERROR(__xludf.DUMMYFUNCTION("""COMPUTED_VALUE"""),0.0174991418089534)</f>
        <v>0.01749914181</v>
      </c>
      <c r="X41" s="92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</row>
    <row r="42">
      <c r="A42" s="63"/>
      <c r="B42" s="63"/>
      <c r="C42" s="63"/>
      <c r="D42" s="63"/>
      <c r="E42" s="63"/>
      <c r="F42" s="63"/>
      <c r="G42" s="63"/>
      <c r="H42" s="63"/>
      <c r="I42" s="78"/>
      <c r="J42" s="92"/>
      <c r="K42" s="112"/>
      <c r="L42" s="123"/>
      <c r="M42" s="122"/>
      <c r="N42" s="122"/>
      <c r="O42" s="92"/>
      <c r="P42" s="92"/>
      <c r="Q42" s="122"/>
      <c r="R42" s="123"/>
      <c r="S42" s="91"/>
      <c r="T42" s="91"/>
      <c r="U42" s="92"/>
      <c r="V42" s="92" t="str">
        <f>IFERROR(__xludf.DUMMYFUNCTION("""COMPUTED_VALUE"""),"Abril")</f>
        <v>Abril</v>
      </c>
      <c r="W42" s="112">
        <f>IFERROR(__xludf.DUMMYFUNCTION("""COMPUTED_VALUE"""),0.0174991418089534)</f>
        <v>0.01749914181</v>
      </c>
      <c r="X42" s="92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</row>
    <row r="43">
      <c r="A43" s="63"/>
      <c r="B43" s="63"/>
      <c r="C43" s="63"/>
      <c r="D43" s="63"/>
      <c r="E43" s="63"/>
      <c r="F43" s="63"/>
      <c r="G43" s="63"/>
      <c r="H43" s="63"/>
      <c r="I43" s="78"/>
      <c r="J43" s="91"/>
      <c r="K43" s="112"/>
      <c r="L43" s="123"/>
      <c r="M43" s="122"/>
      <c r="N43" s="122"/>
      <c r="O43" s="92"/>
      <c r="P43" s="92"/>
      <c r="Q43" s="122"/>
      <c r="R43" s="123"/>
      <c r="S43" s="91"/>
      <c r="T43" s="91"/>
      <c r="U43" s="92"/>
      <c r="V43" s="92" t="str">
        <f>IFERROR(__xludf.DUMMYFUNCTION("""COMPUTED_VALUE"""),"Mayo")</f>
        <v>Mayo</v>
      </c>
      <c r="W43" s="112">
        <f>IFERROR(__xludf.DUMMYFUNCTION("""COMPUTED_VALUE"""),0.018537284608237226)</f>
        <v>0.01853728461</v>
      </c>
      <c r="X43" s="91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</row>
    <row r="44">
      <c r="A44" s="63"/>
      <c r="B44" s="63"/>
      <c r="C44" s="63"/>
      <c r="D44" s="63"/>
      <c r="E44" s="63"/>
      <c r="F44" s="63"/>
      <c r="G44" s="63"/>
      <c r="H44" s="63"/>
      <c r="I44" s="78"/>
      <c r="J44" s="91"/>
      <c r="K44" s="112"/>
      <c r="L44" s="123"/>
      <c r="M44" s="122"/>
      <c r="N44" s="122"/>
      <c r="O44" s="92"/>
      <c r="P44" s="92"/>
      <c r="Q44" s="122"/>
      <c r="R44" s="123"/>
      <c r="S44" s="91"/>
      <c r="T44" s="91"/>
      <c r="U44" s="92"/>
      <c r="V44" s="92" t="str">
        <f>IFERROR(__xludf.DUMMYFUNCTION("""COMPUTED_VALUE"""),"Junio")</f>
        <v>Junio</v>
      </c>
      <c r="W44" s="112">
        <f>IFERROR(__xludf.DUMMYFUNCTION("""COMPUTED_VALUE"""),0.018537284608237226)</f>
        <v>0.01853728461</v>
      </c>
      <c r="X44" s="91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3"/>
      <c r="BK44" s="63"/>
      <c r="BL44" s="63"/>
      <c r="BM44" s="63"/>
      <c r="BN44" s="63"/>
    </row>
    <row r="45">
      <c r="A45" s="63"/>
      <c r="B45" s="68" t="s">
        <v>65</v>
      </c>
      <c r="C45" s="63"/>
      <c r="D45" s="63"/>
      <c r="E45" s="63"/>
      <c r="F45" s="63"/>
      <c r="G45" s="63"/>
      <c r="H45" s="63"/>
      <c r="I45" s="78"/>
      <c r="J45" s="91"/>
      <c r="K45" s="112"/>
      <c r="L45" s="123"/>
      <c r="M45" s="122"/>
      <c r="N45" s="122"/>
      <c r="O45" s="92"/>
      <c r="P45" s="92"/>
      <c r="Q45" s="122"/>
      <c r="R45" s="123"/>
      <c r="S45" s="91"/>
      <c r="T45" s="91"/>
      <c r="U45" s="92"/>
      <c r="V45" s="92" t="str">
        <f>IFERROR(__xludf.DUMMYFUNCTION("""COMPUTED_VALUE"""),"Julio")</f>
        <v>Julio</v>
      </c>
      <c r="W45" s="112">
        <f>IFERROR(__xludf.DUMMYFUNCTION("""COMPUTED_VALUE"""),0.018537284608237226)</f>
        <v>0.01853728461</v>
      </c>
      <c r="X45" s="92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</row>
    <row r="46">
      <c r="A46" s="63"/>
      <c r="B46" s="66" t="s">
        <v>66</v>
      </c>
      <c r="C46" s="67" t="s">
        <v>51</v>
      </c>
      <c r="D46" s="67" t="s">
        <v>68</v>
      </c>
      <c r="E46" s="67" t="s">
        <v>69</v>
      </c>
      <c r="F46" s="67" t="s">
        <v>55</v>
      </c>
      <c r="G46" s="63"/>
      <c r="H46" s="63"/>
      <c r="I46" s="78"/>
      <c r="J46" s="92"/>
      <c r="K46" s="112"/>
      <c r="L46" s="123"/>
      <c r="M46" s="122"/>
      <c r="N46" s="122"/>
      <c r="O46" s="92"/>
      <c r="P46" s="92"/>
      <c r="Q46" s="122"/>
      <c r="R46" s="123"/>
      <c r="S46" s="91"/>
      <c r="T46" s="91"/>
      <c r="U46" s="92"/>
      <c r="V46" s="92" t="str">
        <f>IFERROR(__xludf.DUMMYFUNCTION("""COMPUTED_VALUE"""),"Agosto")</f>
        <v>Agosto</v>
      </c>
      <c r="W46" s="112">
        <f>IFERROR(__xludf.DUMMYFUNCTION("""COMPUTED_VALUE"""),0.018537284608237226)</f>
        <v>0.01853728461</v>
      </c>
      <c r="X46" s="92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</row>
    <row r="47">
      <c r="A47" s="68" t="s">
        <v>50</v>
      </c>
      <c r="B47" s="69" t="s">
        <v>86</v>
      </c>
      <c r="C47" s="108">
        <f t="shared" ref="C47:C49" si="12">VLOOKUP(B47,$AH$10:$AQ$21,5,0)</f>
        <v>0.1904650806</v>
      </c>
      <c r="D47" s="111">
        <f t="shared" ref="D47:D49" si="13">VLOOKUP(B47,$AH$10:$AQ$21,8,0)</f>
        <v>2.152767954</v>
      </c>
      <c r="E47" s="109">
        <f t="shared" ref="E47:E49" si="14">1/D47</f>
        <v>0.4645182487</v>
      </c>
      <c r="F47" s="77">
        <v>1.0</v>
      </c>
      <c r="G47" s="63"/>
      <c r="H47" s="63"/>
      <c r="I47" s="78"/>
      <c r="J47" s="92"/>
      <c r="K47" s="112"/>
      <c r="L47" s="123"/>
      <c r="M47" s="122"/>
      <c r="N47" s="122"/>
      <c r="O47" s="92"/>
      <c r="P47" s="92"/>
      <c r="Q47" s="122"/>
      <c r="R47" s="123"/>
      <c r="S47" s="91"/>
      <c r="T47" s="91"/>
      <c r="U47" s="92"/>
      <c r="V47" s="92" t="str">
        <f>IFERROR(__xludf.DUMMYFUNCTION("""COMPUTED_VALUE"""),"Septiembre")</f>
        <v>Septiembre</v>
      </c>
      <c r="W47" s="112">
        <f>IFERROR(__xludf.DUMMYFUNCTION("""COMPUTED_VALUE"""),0.018537284608237226)</f>
        <v>0.01853728461</v>
      </c>
      <c r="X47" s="92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  <c r="BK47" s="63"/>
      <c r="BL47" s="63"/>
      <c r="BM47" s="63"/>
      <c r="BN47" s="63"/>
    </row>
    <row r="48">
      <c r="A48" s="68" t="s">
        <v>77</v>
      </c>
      <c r="B48" s="69" t="s">
        <v>86</v>
      </c>
      <c r="C48" s="108">
        <f t="shared" si="12"/>
        <v>0.1904650806</v>
      </c>
      <c r="D48" s="111">
        <f t="shared" si="13"/>
        <v>2.152767954</v>
      </c>
      <c r="E48" s="109">
        <f t="shared" si="14"/>
        <v>0.4645182487</v>
      </c>
      <c r="F48" s="77">
        <v>1.0</v>
      </c>
      <c r="G48" s="63"/>
      <c r="H48" s="63"/>
      <c r="I48" s="78"/>
      <c r="J48" s="92"/>
      <c r="K48" s="112"/>
      <c r="L48" s="123"/>
      <c r="M48" s="122"/>
      <c r="N48" s="122"/>
      <c r="O48" s="92"/>
      <c r="P48" s="92"/>
      <c r="Q48" s="122"/>
      <c r="R48" s="123"/>
      <c r="S48" s="91"/>
      <c r="T48" s="91"/>
      <c r="U48" s="92"/>
      <c r="V48" s="92" t="str">
        <f>IFERROR(__xludf.DUMMYFUNCTION("""COMPUTED_VALUE"""),"Octubre")</f>
        <v>Octubre</v>
      </c>
      <c r="W48" s="112">
        <f>IFERROR(__xludf.DUMMYFUNCTION("""COMPUTED_VALUE"""),0.018537284608237226)</f>
        <v>0.01853728461</v>
      </c>
      <c r="X48" s="91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</row>
    <row r="49">
      <c r="A49" s="68" t="s">
        <v>62</v>
      </c>
      <c r="B49" s="69" t="s">
        <v>87</v>
      </c>
      <c r="C49" s="108">
        <f t="shared" si="12"/>
        <v>0.1798813569</v>
      </c>
      <c r="D49" s="111">
        <f t="shared" si="13"/>
        <v>4.580029466</v>
      </c>
      <c r="E49" s="109">
        <f t="shared" si="14"/>
        <v>0.2183392067</v>
      </c>
      <c r="F49" s="77">
        <v>1.0</v>
      </c>
      <c r="G49" s="63"/>
      <c r="H49" s="63"/>
      <c r="I49" s="78"/>
      <c r="J49" s="91"/>
      <c r="K49" s="112"/>
      <c r="L49" s="123"/>
      <c r="M49" s="122"/>
      <c r="N49" s="122"/>
      <c r="O49" s="92"/>
      <c r="P49" s="92"/>
      <c r="Q49" s="122"/>
      <c r="R49" s="123"/>
      <c r="S49" s="91"/>
      <c r="T49" s="91"/>
      <c r="U49" s="92"/>
      <c r="V49" s="92"/>
      <c r="W49" s="112"/>
      <c r="X49" s="91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</row>
    <row r="50">
      <c r="A50" s="63"/>
      <c r="B50" s="63"/>
      <c r="C50" s="63"/>
      <c r="D50" s="63"/>
      <c r="E50" s="63"/>
      <c r="F50" s="63"/>
      <c r="G50" s="63"/>
      <c r="H50" s="63"/>
      <c r="I50" s="78"/>
      <c r="J50" s="92"/>
      <c r="K50" s="112"/>
      <c r="L50" s="123"/>
      <c r="M50" s="122"/>
      <c r="N50" s="122"/>
      <c r="O50" s="92"/>
      <c r="P50" s="92"/>
      <c r="Q50" s="122"/>
      <c r="R50" s="123"/>
      <c r="S50" s="91"/>
      <c r="T50" s="91"/>
      <c r="U50" s="92"/>
      <c r="V50" s="92">
        <f>IFERROR(__xludf.DUMMYFUNCTION("""COMPUTED_VALUE"""),2025.0)</f>
        <v>2025</v>
      </c>
      <c r="W50" s="112"/>
      <c r="X50" s="91">
        <f>IFERROR(__xludf.DUMMYFUNCTION("""COMPUTED_VALUE"""),0.273)</f>
        <v>0.273</v>
      </c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63"/>
      <c r="BI50" s="63"/>
      <c r="BJ50" s="63"/>
      <c r="BK50" s="63"/>
      <c r="BL50" s="63"/>
      <c r="BM50" s="63"/>
      <c r="BN50" s="63"/>
    </row>
    <row r="51">
      <c r="A51" s="63"/>
      <c r="B51" s="63"/>
      <c r="C51" s="63"/>
      <c r="D51" s="63"/>
      <c r="E51" s="63"/>
      <c r="F51" s="63"/>
      <c r="G51" s="63"/>
      <c r="H51" s="63"/>
      <c r="I51" s="78"/>
      <c r="J51" s="92"/>
      <c r="K51" s="112"/>
      <c r="L51" s="123"/>
      <c r="M51" s="122"/>
      <c r="N51" s="122"/>
      <c r="O51" s="92"/>
      <c r="P51" s="92"/>
      <c r="Q51" s="122"/>
      <c r="R51" s="123"/>
      <c r="S51" s="91"/>
      <c r="T51" s="91"/>
      <c r="U51" s="92"/>
      <c r="V51" s="92"/>
      <c r="W51" s="112"/>
      <c r="X51" s="91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</row>
    <row r="52">
      <c r="A52" s="63"/>
      <c r="B52" s="63"/>
      <c r="C52" s="63"/>
      <c r="D52" s="63"/>
      <c r="E52" s="63"/>
      <c r="F52" s="63"/>
      <c r="G52" s="63"/>
      <c r="H52" s="63"/>
      <c r="I52" s="78"/>
      <c r="J52" s="91"/>
      <c r="K52" s="112"/>
      <c r="L52" s="123"/>
      <c r="M52" s="122"/>
      <c r="N52" s="122"/>
      <c r="O52" s="92"/>
      <c r="P52" s="92"/>
      <c r="Q52" s="122"/>
      <c r="R52" s="123"/>
      <c r="S52" s="91"/>
      <c r="T52" s="91"/>
      <c r="U52" s="92"/>
      <c r="V52" s="92"/>
      <c r="W52" s="112"/>
      <c r="X52" s="91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4"/>
      <c r="L53" s="65"/>
      <c r="M53" s="63"/>
      <c r="N53" s="63"/>
      <c r="O53" s="63"/>
      <c r="P53" s="63"/>
      <c r="Q53" s="63"/>
      <c r="R53" s="65"/>
      <c r="S53" s="91"/>
      <c r="T53" s="91"/>
      <c r="U53" s="92"/>
      <c r="V53" s="92"/>
      <c r="W53" s="112"/>
      <c r="X53" s="91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63"/>
    </row>
    <row r="54">
      <c r="A54" s="63"/>
      <c r="B54" s="63"/>
      <c r="C54" s="63"/>
      <c r="D54" s="63"/>
      <c r="E54" s="63"/>
      <c r="F54" s="63"/>
      <c r="G54" s="63"/>
      <c r="H54" s="63"/>
      <c r="I54" s="78"/>
      <c r="J54" s="91"/>
      <c r="K54" s="112"/>
      <c r="L54" s="123"/>
      <c r="M54" s="122"/>
      <c r="N54" s="122"/>
      <c r="O54" s="92"/>
      <c r="P54" s="92"/>
      <c r="Q54" s="92"/>
      <c r="R54" s="123"/>
      <c r="S54" s="91"/>
      <c r="T54" s="91"/>
      <c r="U54" s="92"/>
      <c r="V54" s="92"/>
      <c r="W54" s="112"/>
      <c r="X54" s="91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</row>
    <row r="55">
      <c r="A55" s="63"/>
      <c r="B55" s="63"/>
      <c r="C55" s="63"/>
      <c r="D55" s="63"/>
      <c r="E55" s="63"/>
      <c r="F55" s="63"/>
      <c r="G55" s="63"/>
      <c r="H55" s="63"/>
      <c r="I55" s="78"/>
      <c r="J55" s="91"/>
      <c r="K55" s="112"/>
      <c r="L55" s="123"/>
      <c r="M55" s="122"/>
      <c r="N55" s="122"/>
      <c r="O55" s="92"/>
      <c r="P55" s="92"/>
      <c r="Q55" s="92"/>
      <c r="R55" s="123"/>
      <c r="S55" s="91"/>
      <c r="T55" s="91"/>
      <c r="U55" s="92"/>
      <c r="V55" s="92"/>
      <c r="W55" s="112"/>
      <c r="X55" s="91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</row>
    <row r="56">
      <c r="A56" s="63"/>
      <c r="B56" s="63"/>
      <c r="C56" s="63"/>
      <c r="D56" s="63"/>
      <c r="E56" s="63"/>
      <c r="F56" s="63"/>
      <c r="G56" s="63"/>
      <c r="H56" s="63"/>
      <c r="I56" s="78"/>
      <c r="J56" s="91"/>
      <c r="K56" s="112"/>
      <c r="L56" s="123"/>
      <c r="M56" s="122"/>
      <c r="N56" s="122"/>
      <c r="O56" s="92"/>
      <c r="P56" s="92"/>
      <c r="Q56" s="92"/>
      <c r="R56" s="123"/>
      <c r="S56" s="91"/>
      <c r="T56" s="91"/>
      <c r="U56" s="92"/>
      <c r="V56" s="92"/>
      <c r="W56" s="112"/>
      <c r="X56" s="91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</row>
    <row r="57">
      <c r="A57" s="63"/>
      <c r="B57" s="63"/>
      <c r="C57" s="63"/>
      <c r="D57" s="63"/>
      <c r="E57" s="63"/>
      <c r="F57" s="63"/>
      <c r="G57" s="63"/>
      <c r="H57" s="63"/>
      <c r="I57" s="78"/>
      <c r="J57" s="91"/>
      <c r="K57" s="112"/>
      <c r="L57" s="123"/>
      <c r="M57" s="122"/>
      <c r="N57" s="122"/>
      <c r="O57" s="92"/>
      <c r="P57" s="132"/>
      <c r="Q57" s="92"/>
      <c r="R57" s="123"/>
      <c r="S57" s="91"/>
      <c r="T57" s="91"/>
      <c r="U57" s="92"/>
      <c r="V57" s="92"/>
      <c r="W57" s="112"/>
      <c r="X57" s="91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</row>
    <row r="58">
      <c r="A58" s="63"/>
      <c r="B58" s="63"/>
      <c r="C58" s="63"/>
      <c r="D58" s="63"/>
      <c r="E58" s="63"/>
      <c r="F58" s="63"/>
      <c r="G58" s="63"/>
      <c r="H58" s="63"/>
      <c r="I58" s="78"/>
      <c r="J58" s="91"/>
      <c r="K58" s="112"/>
      <c r="L58" s="123"/>
      <c r="M58" s="122"/>
      <c r="N58" s="122"/>
      <c r="O58" s="92"/>
      <c r="P58" s="92"/>
      <c r="Q58" s="92"/>
      <c r="R58" s="123"/>
      <c r="S58" s="91"/>
      <c r="T58" s="91"/>
      <c r="U58" s="92"/>
      <c r="V58" s="92"/>
      <c r="W58" s="112"/>
      <c r="X58" s="91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</row>
    <row r="59">
      <c r="A59" s="63"/>
      <c r="B59" s="63"/>
      <c r="C59" s="63"/>
      <c r="D59" s="63"/>
      <c r="E59" s="63"/>
      <c r="F59" s="63"/>
      <c r="G59" s="63"/>
      <c r="H59" s="63"/>
      <c r="I59" s="78"/>
      <c r="J59" s="91"/>
      <c r="K59" s="112"/>
      <c r="L59" s="123"/>
      <c r="M59" s="122"/>
      <c r="N59" s="122"/>
      <c r="O59" s="92"/>
      <c r="P59" s="92"/>
      <c r="Q59" s="92"/>
      <c r="R59" s="123"/>
      <c r="S59" s="91"/>
      <c r="T59" s="91"/>
      <c r="U59" s="92"/>
      <c r="V59" s="92"/>
      <c r="W59" s="112"/>
      <c r="X59" s="91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</row>
    <row r="60">
      <c r="A60" s="63"/>
      <c r="B60" s="63"/>
      <c r="C60" s="63"/>
      <c r="D60" s="63"/>
      <c r="E60" s="63"/>
      <c r="F60" s="63"/>
      <c r="G60" s="63"/>
      <c r="H60" s="63"/>
      <c r="I60" s="78"/>
      <c r="J60" s="91"/>
      <c r="K60" s="112"/>
      <c r="L60" s="123"/>
      <c r="M60" s="122"/>
      <c r="N60" s="122"/>
      <c r="O60" s="92"/>
      <c r="P60" s="92"/>
      <c r="Q60" s="92"/>
      <c r="R60" s="123"/>
      <c r="S60" s="91"/>
      <c r="T60" s="91"/>
      <c r="U60" s="92"/>
      <c r="V60" s="92"/>
      <c r="W60" s="112"/>
      <c r="X60" s="91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</row>
    <row r="61">
      <c r="A61" s="63"/>
      <c r="B61" s="63"/>
      <c r="C61" s="63"/>
      <c r="D61" s="63"/>
      <c r="E61" s="63"/>
      <c r="F61" s="63"/>
      <c r="G61" s="63"/>
      <c r="H61" s="63"/>
      <c r="I61" s="78"/>
      <c r="J61" s="91"/>
      <c r="K61" s="112"/>
      <c r="L61" s="123"/>
      <c r="M61" s="122"/>
      <c r="N61" s="122"/>
      <c r="O61" s="92"/>
      <c r="P61" s="132"/>
      <c r="Q61" s="92"/>
      <c r="R61" s="123"/>
      <c r="S61" s="91"/>
      <c r="T61" s="91"/>
      <c r="U61" s="92"/>
      <c r="V61" s="92"/>
      <c r="W61" s="112"/>
      <c r="X61" s="91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</row>
    <row r="62">
      <c r="A62" s="63"/>
      <c r="B62" s="63"/>
      <c r="C62" s="63"/>
      <c r="D62" s="63"/>
      <c r="E62" s="63"/>
      <c r="F62" s="63"/>
      <c r="G62" s="63"/>
      <c r="H62" s="63"/>
      <c r="I62" s="78"/>
      <c r="J62" s="91"/>
      <c r="K62" s="112"/>
      <c r="L62" s="123"/>
      <c r="M62" s="122"/>
      <c r="N62" s="122"/>
      <c r="O62" s="92"/>
      <c r="P62" s="92"/>
      <c r="Q62" s="92"/>
      <c r="R62" s="123"/>
      <c r="S62" s="91"/>
      <c r="T62" s="91"/>
      <c r="U62" s="92"/>
      <c r="V62" s="92"/>
      <c r="W62" s="112"/>
      <c r="X62" s="91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</row>
    <row r="63">
      <c r="A63" s="63"/>
      <c r="B63" s="63"/>
      <c r="C63" s="63"/>
      <c r="D63" s="63"/>
      <c r="E63" s="63"/>
      <c r="F63" s="63"/>
      <c r="G63" s="63"/>
      <c r="H63" s="63"/>
      <c r="I63" s="78"/>
      <c r="J63" s="91"/>
      <c r="K63" s="112"/>
      <c r="L63" s="123"/>
      <c r="M63" s="122"/>
      <c r="N63" s="122"/>
      <c r="O63" s="92"/>
      <c r="P63" s="92"/>
      <c r="Q63" s="92"/>
      <c r="R63" s="123"/>
      <c r="S63" s="91"/>
      <c r="T63" s="91"/>
      <c r="U63" s="92"/>
      <c r="V63" s="92"/>
      <c r="W63" s="112"/>
      <c r="X63" s="91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4"/>
      <c r="L64" s="65"/>
      <c r="M64" s="63"/>
      <c r="N64" s="63"/>
      <c r="O64" s="63"/>
      <c r="P64" s="63"/>
      <c r="Q64" s="63"/>
      <c r="R64" s="65"/>
      <c r="S64" s="63"/>
      <c r="T64" s="63"/>
      <c r="U64" s="63"/>
      <c r="V64" s="63"/>
      <c r="W64" s="64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4"/>
      <c r="L65" s="65"/>
      <c r="M65" s="63"/>
      <c r="N65" s="63"/>
      <c r="O65" s="63"/>
      <c r="P65" s="63"/>
      <c r="Q65" s="63"/>
      <c r="R65" s="65"/>
      <c r="S65" s="63"/>
      <c r="T65" s="63"/>
      <c r="U65" s="63"/>
      <c r="V65" s="63"/>
      <c r="W65" s="64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4"/>
      <c r="L66" s="65"/>
      <c r="M66" s="63"/>
      <c r="N66" s="63"/>
      <c r="O66" s="63"/>
      <c r="P66" s="63"/>
      <c r="Q66" s="63"/>
      <c r="R66" s="65"/>
      <c r="S66" s="63"/>
      <c r="T66" s="63"/>
      <c r="U66" s="63"/>
      <c r="V66" s="63"/>
      <c r="W66" s="64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4"/>
      <c r="L67" s="65"/>
      <c r="M67" s="63"/>
      <c r="N67" s="63"/>
      <c r="O67" s="63"/>
      <c r="P67" s="63"/>
      <c r="Q67" s="63"/>
      <c r="R67" s="65"/>
      <c r="S67" s="63"/>
      <c r="T67" s="63"/>
      <c r="U67" s="63"/>
      <c r="V67" s="63"/>
      <c r="W67" s="64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4"/>
      <c r="L68" s="65"/>
      <c r="M68" s="63"/>
      <c r="N68" s="63"/>
      <c r="O68" s="63"/>
      <c r="P68" s="63"/>
      <c r="Q68" s="63"/>
      <c r="R68" s="65"/>
      <c r="S68" s="63"/>
      <c r="T68" s="63"/>
      <c r="U68" s="63"/>
      <c r="V68" s="63"/>
      <c r="W68" s="64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  <c r="BI68" s="63"/>
      <c r="BJ68" s="63"/>
      <c r="BK68" s="63"/>
      <c r="BL68" s="63"/>
      <c r="BM68" s="63"/>
      <c r="BN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4"/>
      <c r="L69" s="65"/>
      <c r="M69" s="63"/>
      <c r="N69" s="63"/>
      <c r="O69" s="63"/>
      <c r="P69" s="63"/>
      <c r="Q69" s="63"/>
      <c r="R69" s="65"/>
      <c r="S69" s="63"/>
      <c r="T69" s="63"/>
      <c r="U69" s="63"/>
      <c r="V69" s="63"/>
      <c r="W69" s="64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4"/>
      <c r="L70" s="65"/>
      <c r="M70" s="63"/>
      <c r="N70" s="63"/>
      <c r="O70" s="63"/>
      <c r="P70" s="63"/>
      <c r="Q70" s="63"/>
      <c r="R70" s="65"/>
      <c r="S70" s="63"/>
      <c r="T70" s="63"/>
      <c r="U70" s="63"/>
      <c r="V70" s="63"/>
      <c r="W70" s="64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  <c r="BI70" s="63"/>
      <c r="BJ70" s="63"/>
      <c r="BK70" s="63"/>
      <c r="BL70" s="63"/>
      <c r="BM70" s="63"/>
      <c r="BN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4"/>
      <c r="L71" s="65"/>
      <c r="M71" s="63"/>
      <c r="N71" s="63"/>
      <c r="O71" s="63"/>
      <c r="P71" s="63"/>
      <c r="Q71" s="63"/>
      <c r="R71" s="65"/>
      <c r="S71" s="63"/>
      <c r="T71" s="63"/>
      <c r="U71" s="63"/>
      <c r="V71" s="63"/>
      <c r="W71" s="64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4"/>
      <c r="L72" s="65"/>
      <c r="M72" s="63"/>
      <c r="N72" s="63"/>
      <c r="O72" s="63"/>
      <c r="P72" s="63"/>
      <c r="Q72" s="63"/>
      <c r="R72" s="65"/>
      <c r="S72" s="63"/>
      <c r="T72" s="63"/>
      <c r="U72" s="63"/>
      <c r="V72" s="63"/>
      <c r="W72" s="64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4"/>
      <c r="L73" s="65"/>
      <c r="M73" s="63"/>
      <c r="N73" s="63"/>
      <c r="O73" s="63"/>
      <c r="P73" s="63"/>
      <c r="Q73" s="63"/>
      <c r="R73" s="65"/>
      <c r="S73" s="63"/>
      <c r="T73" s="63"/>
      <c r="U73" s="63"/>
      <c r="V73" s="63"/>
      <c r="W73" s="64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BH73" s="63"/>
      <c r="BI73" s="63"/>
      <c r="BJ73" s="63"/>
      <c r="BK73" s="63"/>
      <c r="BL73" s="63"/>
      <c r="BM73" s="63"/>
      <c r="BN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4"/>
      <c r="L74" s="65"/>
      <c r="M74" s="63"/>
      <c r="N74" s="63"/>
      <c r="O74" s="63"/>
      <c r="P74" s="63"/>
      <c r="Q74" s="63"/>
      <c r="R74" s="65"/>
      <c r="S74" s="63"/>
      <c r="T74" s="63"/>
      <c r="U74" s="63"/>
      <c r="V74" s="63"/>
      <c r="W74" s="64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4"/>
      <c r="L75" s="65"/>
      <c r="M75" s="63"/>
      <c r="N75" s="63"/>
      <c r="O75" s="63"/>
      <c r="P75" s="63"/>
      <c r="Q75" s="63"/>
      <c r="R75" s="65"/>
      <c r="S75" s="63"/>
      <c r="T75" s="63"/>
      <c r="U75" s="63"/>
      <c r="V75" s="63"/>
      <c r="W75" s="64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4"/>
      <c r="L76" s="65"/>
      <c r="M76" s="63"/>
      <c r="N76" s="63"/>
      <c r="O76" s="63"/>
      <c r="P76" s="63"/>
      <c r="Q76" s="63"/>
      <c r="R76" s="65"/>
      <c r="S76" s="63"/>
      <c r="T76" s="63"/>
      <c r="U76" s="63"/>
      <c r="V76" s="63"/>
      <c r="W76" s="64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4"/>
      <c r="L77" s="65"/>
      <c r="M77" s="63"/>
      <c r="N77" s="63"/>
      <c r="O77" s="63"/>
      <c r="P77" s="63"/>
      <c r="Q77" s="63"/>
      <c r="R77" s="65"/>
      <c r="S77" s="63"/>
      <c r="T77" s="63"/>
      <c r="U77" s="63"/>
      <c r="V77" s="63"/>
      <c r="W77" s="64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4"/>
      <c r="L78" s="65"/>
      <c r="M78" s="63"/>
      <c r="N78" s="63"/>
      <c r="O78" s="63"/>
      <c r="P78" s="63"/>
      <c r="Q78" s="63"/>
      <c r="R78" s="65"/>
      <c r="S78" s="63"/>
      <c r="T78" s="63"/>
      <c r="U78" s="63"/>
      <c r="V78" s="63"/>
      <c r="W78" s="64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4"/>
      <c r="L79" s="65"/>
      <c r="M79" s="63"/>
      <c r="N79" s="63"/>
      <c r="O79" s="63"/>
      <c r="P79" s="63"/>
      <c r="Q79" s="63"/>
      <c r="R79" s="65"/>
      <c r="S79" s="63"/>
      <c r="T79" s="63"/>
      <c r="U79" s="63"/>
      <c r="V79" s="63"/>
      <c r="W79" s="64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4"/>
      <c r="L80" s="65"/>
      <c r="M80" s="63"/>
      <c r="N80" s="63"/>
      <c r="O80" s="63"/>
      <c r="P80" s="63"/>
      <c r="Q80" s="63"/>
      <c r="R80" s="65"/>
      <c r="S80" s="63"/>
      <c r="T80" s="63"/>
      <c r="U80" s="63"/>
      <c r="V80" s="63"/>
      <c r="W80" s="64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4"/>
      <c r="L81" s="65"/>
      <c r="M81" s="63"/>
      <c r="N81" s="63"/>
      <c r="O81" s="63"/>
      <c r="P81" s="63"/>
      <c r="Q81" s="63"/>
      <c r="R81" s="65"/>
      <c r="S81" s="63"/>
      <c r="T81" s="63"/>
      <c r="U81" s="63"/>
      <c r="V81" s="63"/>
      <c r="W81" s="64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4"/>
      <c r="L82" s="65"/>
      <c r="M82" s="63"/>
      <c r="N82" s="63"/>
      <c r="O82" s="63"/>
      <c r="P82" s="63"/>
      <c r="Q82" s="63"/>
      <c r="R82" s="65"/>
      <c r="S82" s="63"/>
      <c r="T82" s="63"/>
      <c r="U82" s="63"/>
      <c r="V82" s="63"/>
      <c r="W82" s="64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4"/>
      <c r="L83" s="65"/>
      <c r="M83" s="63"/>
      <c r="N83" s="63"/>
      <c r="O83" s="63"/>
      <c r="P83" s="63"/>
      <c r="Q83" s="63"/>
      <c r="R83" s="65"/>
      <c r="S83" s="63"/>
      <c r="T83" s="63"/>
      <c r="U83" s="63"/>
      <c r="V83" s="63"/>
      <c r="W83" s="64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4"/>
      <c r="L84" s="65"/>
      <c r="M84" s="63"/>
      <c r="N84" s="63"/>
      <c r="O84" s="63"/>
      <c r="P84" s="63"/>
      <c r="Q84" s="63"/>
      <c r="R84" s="65"/>
      <c r="S84" s="63"/>
      <c r="T84" s="63"/>
      <c r="U84" s="63"/>
      <c r="V84" s="63"/>
      <c r="W84" s="64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4"/>
      <c r="L85" s="65"/>
      <c r="M85" s="63"/>
      <c r="N85" s="63"/>
      <c r="O85" s="63"/>
      <c r="P85" s="63"/>
      <c r="Q85" s="63"/>
      <c r="R85" s="65"/>
      <c r="S85" s="63"/>
      <c r="T85" s="63"/>
      <c r="U85" s="63"/>
      <c r="V85" s="63"/>
      <c r="W85" s="64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4"/>
      <c r="L86" s="65"/>
      <c r="M86" s="63"/>
      <c r="N86" s="63"/>
      <c r="O86" s="63"/>
      <c r="P86" s="63"/>
      <c r="Q86" s="63"/>
      <c r="R86" s="65"/>
      <c r="S86" s="63"/>
      <c r="T86" s="63"/>
      <c r="U86" s="63"/>
      <c r="V86" s="63"/>
      <c r="W86" s="64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BH86" s="63"/>
      <c r="BI86" s="63"/>
      <c r="BJ86" s="63"/>
      <c r="BK86" s="63"/>
      <c r="BL86" s="63"/>
      <c r="BM86" s="63"/>
      <c r="BN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4"/>
      <c r="L87" s="65"/>
      <c r="M87" s="63"/>
      <c r="N87" s="63"/>
      <c r="O87" s="63"/>
      <c r="P87" s="63"/>
      <c r="Q87" s="63"/>
      <c r="R87" s="65"/>
      <c r="S87" s="63"/>
      <c r="T87" s="63"/>
      <c r="U87" s="63"/>
      <c r="V87" s="63"/>
      <c r="W87" s="64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4"/>
      <c r="L88" s="65"/>
      <c r="M88" s="63"/>
      <c r="N88" s="63"/>
      <c r="O88" s="63"/>
      <c r="P88" s="63"/>
      <c r="Q88" s="63"/>
      <c r="R88" s="65"/>
      <c r="S88" s="63"/>
      <c r="T88" s="63"/>
      <c r="U88" s="63"/>
      <c r="V88" s="63"/>
      <c r="W88" s="64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4"/>
      <c r="L89" s="65"/>
      <c r="M89" s="63"/>
      <c r="N89" s="63"/>
      <c r="O89" s="63"/>
      <c r="P89" s="63"/>
      <c r="Q89" s="63"/>
      <c r="R89" s="65"/>
      <c r="S89" s="63"/>
      <c r="T89" s="63"/>
      <c r="U89" s="63"/>
      <c r="V89" s="63"/>
      <c r="W89" s="64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4"/>
      <c r="L90" s="65"/>
      <c r="M90" s="63"/>
      <c r="N90" s="63"/>
      <c r="O90" s="63"/>
      <c r="P90" s="63"/>
      <c r="Q90" s="63"/>
      <c r="R90" s="65"/>
      <c r="S90" s="63"/>
      <c r="T90" s="63"/>
      <c r="U90" s="63"/>
      <c r="V90" s="63"/>
      <c r="W90" s="64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BH90" s="63"/>
      <c r="BI90" s="63"/>
      <c r="BJ90" s="63"/>
      <c r="BK90" s="63"/>
      <c r="BL90" s="63"/>
      <c r="BM90" s="63"/>
      <c r="BN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4"/>
      <c r="L91" s="65"/>
      <c r="M91" s="63"/>
      <c r="N91" s="63"/>
      <c r="O91" s="63"/>
      <c r="P91" s="63"/>
      <c r="Q91" s="63"/>
      <c r="R91" s="65"/>
      <c r="S91" s="63"/>
      <c r="T91" s="63"/>
      <c r="U91" s="63"/>
      <c r="V91" s="63"/>
      <c r="W91" s="64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  <c r="BI91" s="63"/>
      <c r="BJ91" s="63"/>
      <c r="BK91" s="63"/>
      <c r="BL91" s="63"/>
      <c r="BM91" s="63"/>
      <c r="BN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4"/>
      <c r="L92" s="65"/>
      <c r="M92" s="63"/>
      <c r="N92" s="63"/>
      <c r="O92" s="63"/>
      <c r="P92" s="63"/>
      <c r="Q92" s="63"/>
      <c r="R92" s="65"/>
      <c r="S92" s="63"/>
      <c r="T92" s="63"/>
      <c r="U92" s="63"/>
      <c r="V92" s="63"/>
      <c r="W92" s="64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  <c r="BN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4"/>
      <c r="L93" s="65"/>
      <c r="M93" s="63"/>
      <c r="N93" s="63"/>
      <c r="O93" s="63"/>
      <c r="P93" s="63"/>
      <c r="Q93" s="63"/>
      <c r="R93" s="65"/>
      <c r="S93" s="63"/>
      <c r="T93" s="63"/>
      <c r="U93" s="63"/>
      <c r="V93" s="63"/>
      <c r="W93" s="64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4"/>
      <c r="L94" s="65"/>
      <c r="M94" s="63"/>
      <c r="N94" s="63"/>
      <c r="O94" s="63"/>
      <c r="P94" s="63"/>
      <c r="Q94" s="63"/>
      <c r="R94" s="65"/>
      <c r="S94" s="63"/>
      <c r="T94" s="63"/>
      <c r="U94" s="63"/>
      <c r="V94" s="63"/>
      <c r="W94" s="64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  <c r="BI94" s="63"/>
      <c r="BJ94" s="63"/>
      <c r="BK94" s="63"/>
      <c r="BL94" s="63"/>
      <c r="BM94" s="63"/>
      <c r="BN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4"/>
      <c r="L95" s="65"/>
      <c r="M95" s="63"/>
      <c r="N95" s="63"/>
      <c r="O95" s="63"/>
      <c r="P95" s="63"/>
      <c r="Q95" s="63"/>
      <c r="R95" s="65"/>
      <c r="S95" s="63"/>
      <c r="T95" s="63"/>
      <c r="U95" s="63"/>
      <c r="V95" s="63"/>
      <c r="W95" s="64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BH95" s="63"/>
      <c r="BI95" s="63"/>
      <c r="BJ95" s="63"/>
      <c r="BK95" s="63"/>
      <c r="BL95" s="63"/>
      <c r="BM95" s="63"/>
      <c r="BN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4"/>
      <c r="L96" s="65"/>
      <c r="M96" s="63"/>
      <c r="N96" s="63"/>
      <c r="O96" s="63"/>
      <c r="P96" s="63"/>
      <c r="Q96" s="63"/>
      <c r="R96" s="65"/>
      <c r="S96" s="63"/>
      <c r="T96" s="63"/>
      <c r="U96" s="63"/>
      <c r="V96" s="63"/>
      <c r="W96" s="64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BH96" s="63"/>
      <c r="BI96" s="63"/>
      <c r="BJ96" s="63"/>
      <c r="BK96" s="63"/>
      <c r="BL96" s="63"/>
      <c r="BM96" s="63"/>
      <c r="BN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4"/>
      <c r="L97" s="65"/>
      <c r="M97" s="63"/>
      <c r="N97" s="63"/>
      <c r="O97" s="63"/>
      <c r="P97" s="63"/>
      <c r="Q97" s="63"/>
      <c r="R97" s="65"/>
      <c r="S97" s="63"/>
      <c r="T97" s="63"/>
      <c r="U97" s="63"/>
      <c r="V97" s="63"/>
      <c r="W97" s="64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/>
      <c r="BD97" s="63"/>
      <c r="BE97" s="63"/>
      <c r="BF97" s="63"/>
      <c r="BG97" s="63"/>
      <c r="BH97" s="63"/>
      <c r="BI97" s="63"/>
      <c r="BJ97" s="63"/>
      <c r="BK97" s="63"/>
      <c r="BL97" s="63"/>
      <c r="BM97" s="63"/>
      <c r="BN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4"/>
      <c r="L98" s="65"/>
      <c r="M98" s="63"/>
      <c r="N98" s="63"/>
      <c r="O98" s="63"/>
      <c r="P98" s="63"/>
      <c r="Q98" s="63"/>
      <c r="R98" s="65"/>
      <c r="S98" s="63"/>
      <c r="T98" s="63"/>
      <c r="U98" s="63"/>
      <c r="V98" s="63"/>
      <c r="W98" s="64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3"/>
      <c r="BD98" s="63"/>
      <c r="BE98" s="63"/>
      <c r="BF98" s="63"/>
      <c r="BG98" s="63"/>
      <c r="BH98" s="63"/>
      <c r="BI98" s="63"/>
      <c r="BJ98" s="63"/>
      <c r="BK98" s="63"/>
      <c r="BL98" s="63"/>
      <c r="BM98" s="63"/>
      <c r="BN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4"/>
      <c r="L99" s="65"/>
      <c r="M99" s="63"/>
      <c r="N99" s="63"/>
      <c r="O99" s="63"/>
      <c r="P99" s="63"/>
      <c r="Q99" s="63"/>
      <c r="R99" s="65"/>
      <c r="S99" s="63"/>
      <c r="T99" s="63"/>
      <c r="U99" s="63"/>
      <c r="V99" s="63"/>
      <c r="W99" s="64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/>
      <c r="BF99" s="63"/>
      <c r="BG99" s="63"/>
      <c r="BH99" s="63"/>
      <c r="BI99" s="63"/>
      <c r="BJ99" s="63"/>
      <c r="BK99" s="63"/>
      <c r="BL99" s="63"/>
      <c r="BM99" s="63"/>
      <c r="BN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4"/>
      <c r="L100" s="65"/>
      <c r="M100" s="63"/>
      <c r="N100" s="63"/>
      <c r="O100" s="63"/>
      <c r="P100" s="63"/>
      <c r="Q100" s="63"/>
      <c r="R100" s="65"/>
      <c r="S100" s="63"/>
      <c r="T100" s="63"/>
      <c r="U100" s="63"/>
      <c r="V100" s="63"/>
      <c r="W100" s="64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BH100" s="63"/>
      <c r="BI100" s="63"/>
      <c r="BJ100" s="63"/>
      <c r="BK100" s="63"/>
      <c r="BL100" s="63"/>
      <c r="BM100" s="63"/>
      <c r="BN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4"/>
      <c r="L101" s="65"/>
      <c r="M101" s="63"/>
      <c r="N101" s="63"/>
      <c r="O101" s="63"/>
      <c r="P101" s="63"/>
      <c r="Q101" s="63"/>
      <c r="R101" s="65"/>
      <c r="S101" s="63"/>
      <c r="T101" s="63"/>
      <c r="U101" s="63"/>
      <c r="V101" s="63"/>
      <c r="W101" s="64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BH101" s="63"/>
      <c r="BI101" s="63"/>
      <c r="BJ101" s="63"/>
      <c r="BK101" s="63"/>
      <c r="BL101" s="63"/>
      <c r="BM101" s="63"/>
      <c r="BN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4"/>
      <c r="L102" s="65"/>
      <c r="M102" s="63"/>
      <c r="N102" s="63"/>
      <c r="O102" s="63"/>
      <c r="P102" s="63"/>
      <c r="Q102" s="63"/>
      <c r="R102" s="65"/>
      <c r="S102" s="63"/>
      <c r="T102" s="63"/>
      <c r="U102" s="63"/>
      <c r="V102" s="63"/>
      <c r="W102" s="64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4"/>
      <c r="L103" s="65"/>
      <c r="M103" s="63"/>
      <c r="N103" s="63"/>
      <c r="O103" s="63"/>
      <c r="P103" s="63"/>
      <c r="Q103" s="63"/>
      <c r="R103" s="65"/>
      <c r="S103" s="63"/>
      <c r="T103" s="63"/>
      <c r="U103" s="63"/>
      <c r="V103" s="63"/>
      <c r="W103" s="64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BH103" s="63"/>
      <c r="BI103" s="63"/>
      <c r="BJ103" s="63"/>
      <c r="BK103" s="63"/>
      <c r="BL103" s="63"/>
      <c r="BM103" s="63"/>
      <c r="BN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4"/>
      <c r="L104" s="65"/>
      <c r="M104" s="63"/>
      <c r="N104" s="63"/>
      <c r="O104" s="63"/>
      <c r="P104" s="63"/>
      <c r="Q104" s="63"/>
      <c r="R104" s="65"/>
      <c r="S104" s="63"/>
      <c r="T104" s="63"/>
      <c r="U104" s="63"/>
      <c r="V104" s="63"/>
      <c r="W104" s="64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BH104" s="63"/>
      <c r="BI104" s="63"/>
      <c r="BJ104" s="63"/>
      <c r="BK104" s="63"/>
      <c r="BL104" s="63"/>
      <c r="BM104" s="63"/>
      <c r="BN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4"/>
      <c r="L105" s="65"/>
      <c r="M105" s="63"/>
      <c r="N105" s="63"/>
      <c r="O105" s="63"/>
      <c r="P105" s="63"/>
      <c r="Q105" s="63"/>
      <c r="R105" s="65"/>
      <c r="S105" s="63"/>
      <c r="T105" s="63"/>
      <c r="U105" s="63"/>
      <c r="V105" s="63"/>
      <c r="W105" s="64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BH105" s="63"/>
      <c r="BI105" s="63"/>
      <c r="BJ105" s="63"/>
      <c r="BK105" s="63"/>
      <c r="BL105" s="63"/>
      <c r="BM105" s="63"/>
      <c r="BN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4"/>
      <c r="L106" s="65"/>
      <c r="M106" s="63"/>
      <c r="N106" s="63"/>
      <c r="O106" s="63"/>
      <c r="P106" s="63"/>
      <c r="Q106" s="63"/>
      <c r="R106" s="65"/>
      <c r="S106" s="63"/>
      <c r="T106" s="63"/>
      <c r="U106" s="63"/>
      <c r="V106" s="63"/>
      <c r="W106" s="64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BH106" s="63"/>
      <c r="BI106" s="63"/>
      <c r="BJ106" s="63"/>
      <c r="BK106" s="63"/>
      <c r="BL106" s="63"/>
      <c r="BM106" s="63"/>
      <c r="BN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4"/>
      <c r="L107" s="65"/>
      <c r="M107" s="63"/>
      <c r="N107" s="63"/>
      <c r="O107" s="63"/>
      <c r="P107" s="63"/>
      <c r="Q107" s="63"/>
      <c r="R107" s="65"/>
      <c r="S107" s="63"/>
      <c r="T107" s="63"/>
      <c r="U107" s="63"/>
      <c r="V107" s="63"/>
      <c r="W107" s="64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  <c r="BI107" s="63"/>
      <c r="BJ107" s="63"/>
      <c r="BK107" s="63"/>
      <c r="BL107" s="63"/>
      <c r="BM107" s="63"/>
      <c r="BN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4"/>
      <c r="L108" s="65"/>
      <c r="M108" s="63"/>
      <c r="N108" s="63"/>
      <c r="O108" s="63"/>
      <c r="P108" s="63"/>
      <c r="Q108" s="63"/>
      <c r="R108" s="65"/>
      <c r="S108" s="63"/>
      <c r="T108" s="63"/>
      <c r="U108" s="63"/>
      <c r="V108" s="63"/>
      <c r="W108" s="64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3"/>
      <c r="BH108" s="63"/>
      <c r="BI108" s="63"/>
      <c r="BJ108" s="63"/>
      <c r="BK108" s="63"/>
      <c r="BL108" s="63"/>
      <c r="BM108" s="63"/>
      <c r="BN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4"/>
      <c r="L109" s="65"/>
      <c r="M109" s="63"/>
      <c r="N109" s="63"/>
      <c r="O109" s="63"/>
      <c r="P109" s="63"/>
      <c r="Q109" s="63"/>
      <c r="R109" s="65"/>
      <c r="S109" s="63"/>
      <c r="T109" s="63"/>
      <c r="U109" s="63"/>
      <c r="V109" s="63"/>
      <c r="W109" s="64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63"/>
      <c r="BD109" s="63"/>
      <c r="BE109" s="63"/>
      <c r="BF109" s="63"/>
      <c r="BG109" s="63"/>
      <c r="BH109" s="63"/>
      <c r="BI109" s="63"/>
      <c r="BJ109" s="63"/>
      <c r="BK109" s="63"/>
      <c r="BL109" s="63"/>
      <c r="BM109" s="63"/>
      <c r="BN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4"/>
      <c r="L110" s="65"/>
      <c r="M110" s="63"/>
      <c r="N110" s="63"/>
      <c r="O110" s="63"/>
      <c r="P110" s="63"/>
      <c r="Q110" s="63"/>
      <c r="R110" s="65"/>
      <c r="S110" s="63"/>
      <c r="T110" s="63"/>
      <c r="U110" s="63"/>
      <c r="V110" s="63"/>
      <c r="W110" s="64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  <c r="BM110" s="63"/>
      <c r="BN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4"/>
      <c r="L111" s="65"/>
      <c r="M111" s="63"/>
      <c r="N111" s="63"/>
      <c r="O111" s="63"/>
      <c r="P111" s="63"/>
      <c r="Q111" s="63"/>
      <c r="R111" s="65"/>
      <c r="S111" s="63"/>
      <c r="T111" s="63"/>
      <c r="U111" s="63"/>
      <c r="V111" s="63"/>
      <c r="W111" s="64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BH111" s="63"/>
      <c r="BI111" s="63"/>
      <c r="BJ111" s="63"/>
      <c r="BK111" s="63"/>
      <c r="BL111" s="63"/>
      <c r="BM111" s="63"/>
      <c r="BN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4"/>
      <c r="L112" s="65"/>
      <c r="M112" s="63"/>
      <c r="N112" s="63"/>
      <c r="O112" s="63"/>
      <c r="P112" s="63"/>
      <c r="Q112" s="63"/>
      <c r="R112" s="65"/>
      <c r="S112" s="63"/>
      <c r="T112" s="63"/>
      <c r="U112" s="63"/>
      <c r="V112" s="63"/>
      <c r="W112" s="64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  <c r="BI112" s="63"/>
      <c r="BJ112" s="63"/>
      <c r="BK112" s="63"/>
      <c r="BL112" s="63"/>
      <c r="BM112" s="63"/>
      <c r="BN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4"/>
      <c r="L113" s="65"/>
      <c r="M113" s="63"/>
      <c r="N113" s="63"/>
      <c r="O113" s="63"/>
      <c r="P113" s="63"/>
      <c r="Q113" s="63"/>
      <c r="R113" s="65"/>
      <c r="S113" s="63"/>
      <c r="T113" s="63"/>
      <c r="U113" s="63"/>
      <c r="V113" s="63"/>
      <c r="W113" s="64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BH113" s="63"/>
      <c r="BI113" s="63"/>
      <c r="BJ113" s="63"/>
      <c r="BK113" s="63"/>
      <c r="BL113" s="63"/>
      <c r="BM113" s="63"/>
      <c r="BN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4"/>
      <c r="L114" s="65"/>
      <c r="M114" s="63"/>
      <c r="N114" s="63"/>
      <c r="O114" s="63"/>
      <c r="P114" s="63"/>
      <c r="Q114" s="63"/>
      <c r="R114" s="65"/>
      <c r="S114" s="63"/>
      <c r="T114" s="63"/>
      <c r="U114" s="63"/>
      <c r="V114" s="63"/>
      <c r="W114" s="64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BH114" s="63"/>
      <c r="BI114" s="63"/>
      <c r="BJ114" s="63"/>
      <c r="BK114" s="63"/>
      <c r="BL114" s="63"/>
      <c r="BM114" s="63"/>
      <c r="BN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4"/>
      <c r="L115" s="65"/>
      <c r="M115" s="63"/>
      <c r="N115" s="63"/>
      <c r="O115" s="63"/>
      <c r="P115" s="63"/>
      <c r="Q115" s="63"/>
      <c r="R115" s="65"/>
      <c r="S115" s="63"/>
      <c r="T115" s="63"/>
      <c r="U115" s="63"/>
      <c r="V115" s="63"/>
      <c r="W115" s="64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BH115" s="63"/>
      <c r="BI115" s="63"/>
      <c r="BJ115" s="63"/>
      <c r="BK115" s="63"/>
      <c r="BL115" s="63"/>
      <c r="BM115" s="63"/>
      <c r="BN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4"/>
      <c r="L116" s="65"/>
      <c r="M116" s="63"/>
      <c r="N116" s="63"/>
      <c r="O116" s="63"/>
      <c r="P116" s="63"/>
      <c r="Q116" s="63"/>
      <c r="R116" s="65"/>
      <c r="S116" s="63"/>
      <c r="T116" s="63"/>
      <c r="U116" s="63"/>
      <c r="V116" s="63"/>
      <c r="W116" s="64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  <c r="BI116" s="63"/>
      <c r="BJ116" s="63"/>
      <c r="BK116" s="63"/>
      <c r="BL116" s="63"/>
      <c r="BM116" s="63"/>
      <c r="BN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4"/>
      <c r="L117" s="65"/>
      <c r="M117" s="63"/>
      <c r="N117" s="63"/>
      <c r="O117" s="63"/>
      <c r="P117" s="63"/>
      <c r="Q117" s="63"/>
      <c r="R117" s="65"/>
      <c r="S117" s="63"/>
      <c r="T117" s="63"/>
      <c r="U117" s="63"/>
      <c r="V117" s="63"/>
      <c r="W117" s="64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63"/>
      <c r="BF117" s="63"/>
      <c r="BG117" s="63"/>
      <c r="BH117" s="63"/>
      <c r="BI117" s="63"/>
      <c r="BJ117" s="63"/>
      <c r="BK117" s="63"/>
      <c r="BL117" s="63"/>
      <c r="BM117" s="63"/>
      <c r="BN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4"/>
      <c r="L118" s="65"/>
      <c r="M118" s="63"/>
      <c r="N118" s="63"/>
      <c r="O118" s="63"/>
      <c r="P118" s="63"/>
      <c r="Q118" s="63"/>
      <c r="R118" s="65"/>
      <c r="S118" s="63"/>
      <c r="T118" s="63"/>
      <c r="U118" s="63"/>
      <c r="V118" s="63"/>
      <c r="W118" s="64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63"/>
      <c r="BF118" s="63"/>
      <c r="BG118" s="63"/>
      <c r="BH118" s="63"/>
      <c r="BI118" s="63"/>
      <c r="BJ118" s="63"/>
      <c r="BK118" s="63"/>
      <c r="BL118" s="63"/>
      <c r="BM118" s="63"/>
      <c r="BN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4"/>
      <c r="L119" s="65"/>
      <c r="M119" s="63"/>
      <c r="N119" s="63"/>
      <c r="O119" s="63"/>
      <c r="P119" s="63"/>
      <c r="Q119" s="63"/>
      <c r="R119" s="65"/>
      <c r="S119" s="63"/>
      <c r="T119" s="63"/>
      <c r="U119" s="63"/>
      <c r="V119" s="63"/>
      <c r="W119" s="64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63"/>
      <c r="BF119" s="63"/>
      <c r="BG119" s="63"/>
      <c r="BH119" s="63"/>
      <c r="BI119" s="63"/>
      <c r="BJ119" s="63"/>
      <c r="BK119" s="63"/>
      <c r="BL119" s="63"/>
      <c r="BM119" s="63"/>
      <c r="BN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4"/>
      <c r="L120" s="65"/>
      <c r="M120" s="63"/>
      <c r="N120" s="63"/>
      <c r="O120" s="63"/>
      <c r="P120" s="63"/>
      <c r="Q120" s="63"/>
      <c r="R120" s="65"/>
      <c r="S120" s="63"/>
      <c r="T120" s="63"/>
      <c r="U120" s="63"/>
      <c r="V120" s="63"/>
      <c r="W120" s="64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BH120" s="63"/>
      <c r="BI120" s="63"/>
      <c r="BJ120" s="63"/>
      <c r="BK120" s="63"/>
      <c r="BL120" s="63"/>
      <c r="BM120" s="63"/>
      <c r="BN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4"/>
      <c r="L121" s="65"/>
      <c r="M121" s="63"/>
      <c r="N121" s="63"/>
      <c r="O121" s="63"/>
      <c r="P121" s="63"/>
      <c r="Q121" s="63"/>
      <c r="R121" s="65"/>
      <c r="S121" s="63"/>
      <c r="T121" s="63"/>
      <c r="U121" s="63"/>
      <c r="V121" s="63"/>
      <c r="W121" s="64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BH121" s="63"/>
      <c r="BI121" s="63"/>
      <c r="BJ121" s="63"/>
      <c r="BK121" s="63"/>
      <c r="BL121" s="63"/>
      <c r="BM121" s="63"/>
      <c r="BN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4"/>
      <c r="L122" s="65"/>
      <c r="M122" s="63"/>
      <c r="N122" s="63"/>
      <c r="O122" s="63"/>
      <c r="P122" s="63"/>
      <c r="Q122" s="63"/>
      <c r="R122" s="65"/>
      <c r="S122" s="63"/>
      <c r="T122" s="63"/>
      <c r="U122" s="63"/>
      <c r="V122" s="63"/>
      <c r="W122" s="64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BH122" s="63"/>
      <c r="BI122" s="63"/>
      <c r="BJ122" s="63"/>
      <c r="BK122" s="63"/>
      <c r="BL122" s="63"/>
      <c r="BM122" s="63"/>
      <c r="BN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4"/>
      <c r="L123" s="65"/>
      <c r="M123" s="63"/>
      <c r="N123" s="63"/>
      <c r="O123" s="63"/>
      <c r="P123" s="63"/>
      <c r="Q123" s="63"/>
      <c r="R123" s="65"/>
      <c r="S123" s="63"/>
      <c r="T123" s="63"/>
      <c r="U123" s="63"/>
      <c r="V123" s="63"/>
      <c r="W123" s="64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  <c r="BI123" s="63"/>
      <c r="BJ123" s="63"/>
      <c r="BK123" s="63"/>
      <c r="BL123" s="63"/>
      <c r="BM123" s="63"/>
      <c r="BN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4"/>
      <c r="L124" s="65"/>
      <c r="M124" s="63"/>
      <c r="N124" s="63"/>
      <c r="O124" s="63"/>
      <c r="P124" s="63"/>
      <c r="Q124" s="63"/>
      <c r="R124" s="65"/>
      <c r="S124" s="63"/>
      <c r="T124" s="63"/>
      <c r="U124" s="63"/>
      <c r="V124" s="63"/>
      <c r="W124" s="64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BH124" s="63"/>
      <c r="BI124" s="63"/>
      <c r="BJ124" s="63"/>
      <c r="BK124" s="63"/>
      <c r="BL124" s="63"/>
      <c r="BM124" s="63"/>
      <c r="BN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4"/>
      <c r="L125" s="65"/>
      <c r="M125" s="63"/>
      <c r="N125" s="63"/>
      <c r="O125" s="63"/>
      <c r="P125" s="63"/>
      <c r="Q125" s="63"/>
      <c r="R125" s="65"/>
      <c r="S125" s="63"/>
      <c r="T125" s="63"/>
      <c r="U125" s="63"/>
      <c r="V125" s="63"/>
      <c r="W125" s="64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BH125" s="63"/>
      <c r="BI125" s="63"/>
      <c r="BJ125" s="63"/>
      <c r="BK125" s="63"/>
      <c r="BL125" s="63"/>
      <c r="BM125" s="63"/>
      <c r="BN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4"/>
      <c r="L126" s="65"/>
      <c r="M126" s="63"/>
      <c r="N126" s="63"/>
      <c r="O126" s="63"/>
      <c r="P126" s="63"/>
      <c r="Q126" s="63"/>
      <c r="R126" s="65"/>
      <c r="S126" s="63"/>
      <c r="T126" s="63"/>
      <c r="U126" s="63"/>
      <c r="V126" s="63"/>
      <c r="W126" s="64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4"/>
      <c r="L127" s="65"/>
      <c r="M127" s="63"/>
      <c r="N127" s="63"/>
      <c r="O127" s="63"/>
      <c r="P127" s="63"/>
      <c r="Q127" s="63"/>
      <c r="R127" s="65"/>
      <c r="S127" s="63"/>
      <c r="T127" s="63"/>
      <c r="U127" s="63"/>
      <c r="V127" s="63"/>
      <c r="W127" s="64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  <c r="BD127" s="63"/>
      <c r="BE127" s="63"/>
      <c r="BF127" s="63"/>
      <c r="BG127" s="63"/>
      <c r="BH127" s="63"/>
      <c r="BI127" s="63"/>
      <c r="BJ127" s="63"/>
      <c r="BK127" s="63"/>
      <c r="BL127" s="63"/>
      <c r="BM127" s="63"/>
      <c r="BN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4"/>
      <c r="L128" s="65"/>
      <c r="M128" s="63"/>
      <c r="N128" s="63"/>
      <c r="O128" s="63"/>
      <c r="P128" s="63"/>
      <c r="Q128" s="63"/>
      <c r="R128" s="65"/>
      <c r="S128" s="63"/>
      <c r="T128" s="63"/>
      <c r="U128" s="63"/>
      <c r="V128" s="63"/>
      <c r="W128" s="64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63"/>
      <c r="BF128" s="63"/>
      <c r="BG128" s="63"/>
      <c r="BH128" s="63"/>
      <c r="BI128" s="63"/>
      <c r="BJ128" s="63"/>
      <c r="BK128" s="63"/>
      <c r="BL128" s="63"/>
      <c r="BM128" s="63"/>
      <c r="BN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4"/>
      <c r="L129" s="65"/>
      <c r="M129" s="63"/>
      <c r="N129" s="63"/>
      <c r="O129" s="63"/>
      <c r="P129" s="63"/>
      <c r="Q129" s="63"/>
      <c r="R129" s="65"/>
      <c r="S129" s="63"/>
      <c r="T129" s="63"/>
      <c r="U129" s="63"/>
      <c r="V129" s="63"/>
      <c r="W129" s="64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  <c r="BI129" s="63"/>
      <c r="BJ129" s="63"/>
      <c r="BK129" s="63"/>
      <c r="BL129" s="63"/>
      <c r="BM129" s="63"/>
      <c r="BN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4"/>
      <c r="L130" s="65"/>
      <c r="M130" s="63"/>
      <c r="N130" s="63"/>
      <c r="O130" s="63"/>
      <c r="P130" s="63"/>
      <c r="Q130" s="63"/>
      <c r="R130" s="65"/>
      <c r="S130" s="63"/>
      <c r="T130" s="63"/>
      <c r="U130" s="63"/>
      <c r="V130" s="63"/>
      <c r="W130" s="64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BH130" s="63"/>
      <c r="BI130" s="63"/>
      <c r="BJ130" s="63"/>
      <c r="BK130" s="63"/>
      <c r="BL130" s="63"/>
      <c r="BM130" s="63"/>
      <c r="BN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4"/>
      <c r="L131" s="65"/>
      <c r="M131" s="63"/>
      <c r="N131" s="63"/>
      <c r="O131" s="63"/>
      <c r="P131" s="63"/>
      <c r="Q131" s="63"/>
      <c r="R131" s="65"/>
      <c r="S131" s="63"/>
      <c r="T131" s="63"/>
      <c r="U131" s="63"/>
      <c r="V131" s="63"/>
      <c r="W131" s="64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BH131" s="63"/>
      <c r="BI131" s="63"/>
      <c r="BJ131" s="63"/>
      <c r="BK131" s="63"/>
      <c r="BL131" s="63"/>
      <c r="BM131" s="63"/>
      <c r="BN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4"/>
      <c r="L132" s="65"/>
      <c r="M132" s="63"/>
      <c r="N132" s="63"/>
      <c r="O132" s="63"/>
      <c r="P132" s="63"/>
      <c r="Q132" s="63"/>
      <c r="R132" s="65"/>
      <c r="S132" s="63"/>
      <c r="T132" s="63"/>
      <c r="U132" s="63"/>
      <c r="V132" s="63"/>
      <c r="W132" s="64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  <c r="BI132" s="63"/>
      <c r="BJ132" s="63"/>
      <c r="BK132" s="63"/>
      <c r="BL132" s="63"/>
      <c r="BM132" s="63"/>
      <c r="BN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4"/>
      <c r="L133" s="65"/>
      <c r="M133" s="63"/>
      <c r="N133" s="63"/>
      <c r="O133" s="63"/>
      <c r="P133" s="63"/>
      <c r="Q133" s="63"/>
      <c r="R133" s="65"/>
      <c r="S133" s="63"/>
      <c r="T133" s="63"/>
      <c r="U133" s="63"/>
      <c r="V133" s="63"/>
      <c r="W133" s="64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BH133" s="63"/>
      <c r="BI133" s="63"/>
      <c r="BJ133" s="63"/>
      <c r="BK133" s="63"/>
      <c r="BL133" s="63"/>
      <c r="BM133" s="63"/>
      <c r="BN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4"/>
      <c r="L134" s="65"/>
      <c r="M134" s="63"/>
      <c r="N134" s="63"/>
      <c r="O134" s="63"/>
      <c r="P134" s="63"/>
      <c r="Q134" s="63"/>
      <c r="R134" s="65"/>
      <c r="S134" s="63"/>
      <c r="T134" s="63"/>
      <c r="U134" s="63"/>
      <c r="V134" s="63"/>
      <c r="W134" s="64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BH134" s="63"/>
      <c r="BI134" s="63"/>
      <c r="BJ134" s="63"/>
      <c r="BK134" s="63"/>
      <c r="BL134" s="63"/>
      <c r="BM134" s="63"/>
      <c r="BN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4"/>
      <c r="L135" s="65"/>
      <c r="M135" s="63"/>
      <c r="N135" s="63"/>
      <c r="O135" s="63"/>
      <c r="P135" s="63"/>
      <c r="Q135" s="63"/>
      <c r="R135" s="65"/>
      <c r="S135" s="63"/>
      <c r="T135" s="63"/>
      <c r="U135" s="63"/>
      <c r="V135" s="63"/>
      <c r="W135" s="64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BH135" s="63"/>
      <c r="BI135" s="63"/>
      <c r="BJ135" s="63"/>
      <c r="BK135" s="63"/>
      <c r="BL135" s="63"/>
      <c r="BM135" s="63"/>
      <c r="BN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4"/>
      <c r="L136" s="65"/>
      <c r="M136" s="63"/>
      <c r="N136" s="63"/>
      <c r="O136" s="63"/>
      <c r="P136" s="63"/>
      <c r="Q136" s="63"/>
      <c r="R136" s="65"/>
      <c r="S136" s="63"/>
      <c r="T136" s="63"/>
      <c r="U136" s="63"/>
      <c r="V136" s="63"/>
      <c r="W136" s="64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BH136" s="63"/>
      <c r="BI136" s="63"/>
      <c r="BJ136" s="63"/>
      <c r="BK136" s="63"/>
      <c r="BL136" s="63"/>
      <c r="BM136" s="63"/>
      <c r="BN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4"/>
      <c r="L137" s="65"/>
      <c r="M137" s="63"/>
      <c r="N137" s="63"/>
      <c r="O137" s="63"/>
      <c r="P137" s="63"/>
      <c r="Q137" s="63"/>
      <c r="R137" s="65"/>
      <c r="S137" s="63"/>
      <c r="T137" s="63"/>
      <c r="U137" s="63"/>
      <c r="V137" s="63"/>
      <c r="W137" s="64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4"/>
      <c r="L138" s="65"/>
      <c r="M138" s="63"/>
      <c r="N138" s="63"/>
      <c r="O138" s="63"/>
      <c r="P138" s="63"/>
      <c r="Q138" s="63"/>
      <c r="R138" s="65"/>
      <c r="S138" s="63"/>
      <c r="T138" s="63"/>
      <c r="U138" s="63"/>
      <c r="V138" s="63"/>
      <c r="W138" s="64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4"/>
      <c r="L139" s="65"/>
      <c r="M139" s="63"/>
      <c r="N139" s="63"/>
      <c r="O139" s="63"/>
      <c r="P139" s="63"/>
      <c r="Q139" s="63"/>
      <c r="R139" s="65"/>
      <c r="S139" s="63"/>
      <c r="T139" s="63"/>
      <c r="U139" s="63"/>
      <c r="V139" s="63"/>
      <c r="W139" s="64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  <c r="BI139" s="63"/>
      <c r="BJ139" s="63"/>
      <c r="BK139" s="63"/>
      <c r="BL139" s="63"/>
      <c r="BM139" s="63"/>
      <c r="BN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4"/>
      <c r="L140" s="65"/>
      <c r="M140" s="63"/>
      <c r="N140" s="63"/>
      <c r="O140" s="63"/>
      <c r="P140" s="63"/>
      <c r="Q140" s="63"/>
      <c r="R140" s="65"/>
      <c r="S140" s="63"/>
      <c r="T140" s="63"/>
      <c r="U140" s="63"/>
      <c r="V140" s="63"/>
      <c r="W140" s="64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BH140" s="63"/>
      <c r="BI140" s="63"/>
      <c r="BJ140" s="63"/>
      <c r="BK140" s="63"/>
      <c r="BL140" s="63"/>
      <c r="BM140" s="63"/>
      <c r="BN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4"/>
      <c r="L141" s="65"/>
      <c r="M141" s="63"/>
      <c r="N141" s="63"/>
      <c r="O141" s="63"/>
      <c r="P141" s="63"/>
      <c r="Q141" s="63"/>
      <c r="R141" s="65"/>
      <c r="S141" s="63"/>
      <c r="T141" s="63"/>
      <c r="U141" s="63"/>
      <c r="V141" s="63"/>
      <c r="W141" s="64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BH141" s="63"/>
      <c r="BI141" s="63"/>
      <c r="BJ141" s="63"/>
      <c r="BK141" s="63"/>
      <c r="BL141" s="63"/>
      <c r="BM141" s="63"/>
      <c r="BN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4"/>
      <c r="L142" s="65"/>
      <c r="M142" s="63"/>
      <c r="N142" s="63"/>
      <c r="O142" s="63"/>
      <c r="P142" s="63"/>
      <c r="Q142" s="63"/>
      <c r="R142" s="65"/>
      <c r="S142" s="63"/>
      <c r="T142" s="63"/>
      <c r="U142" s="63"/>
      <c r="V142" s="63"/>
      <c r="W142" s="64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BH142" s="63"/>
      <c r="BI142" s="63"/>
      <c r="BJ142" s="63"/>
      <c r="BK142" s="63"/>
      <c r="BL142" s="63"/>
      <c r="BM142" s="63"/>
      <c r="BN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4"/>
      <c r="L143" s="65"/>
      <c r="M143" s="63"/>
      <c r="N143" s="63"/>
      <c r="O143" s="63"/>
      <c r="P143" s="63"/>
      <c r="Q143" s="63"/>
      <c r="R143" s="65"/>
      <c r="S143" s="63"/>
      <c r="T143" s="63"/>
      <c r="U143" s="63"/>
      <c r="V143" s="63"/>
      <c r="W143" s="64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BH143" s="63"/>
      <c r="BI143" s="63"/>
      <c r="BJ143" s="63"/>
      <c r="BK143" s="63"/>
      <c r="BL143" s="63"/>
      <c r="BM143" s="63"/>
      <c r="BN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4"/>
      <c r="L144" s="65"/>
      <c r="M144" s="63"/>
      <c r="N144" s="63"/>
      <c r="O144" s="63"/>
      <c r="P144" s="63"/>
      <c r="Q144" s="63"/>
      <c r="R144" s="65"/>
      <c r="S144" s="63"/>
      <c r="T144" s="63"/>
      <c r="U144" s="63"/>
      <c r="V144" s="63"/>
      <c r="W144" s="64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BH144" s="63"/>
      <c r="BI144" s="63"/>
      <c r="BJ144" s="63"/>
      <c r="BK144" s="63"/>
      <c r="BL144" s="63"/>
      <c r="BM144" s="63"/>
      <c r="BN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4"/>
      <c r="L145" s="65"/>
      <c r="M145" s="63"/>
      <c r="N145" s="63"/>
      <c r="O145" s="63"/>
      <c r="P145" s="63"/>
      <c r="Q145" s="63"/>
      <c r="R145" s="65"/>
      <c r="S145" s="63"/>
      <c r="T145" s="63"/>
      <c r="U145" s="63"/>
      <c r="V145" s="63"/>
      <c r="W145" s="64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BH145" s="63"/>
      <c r="BI145" s="63"/>
      <c r="BJ145" s="63"/>
      <c r="BK145" s="63"/>
      <c r="BL145" s="63"/>
      <c r="BM145" s="63"/>
      <c r="BN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4"/>
      <c r="L146" s="65"/>
      <c r="M146" s="63"/>
      <c r="N146" s="63"/>
      <c r="O146" s="63"/>
      <c r="P146" s="63"/>
      <c r="Q146" s="63"/>
      <c r="R146" s="65"/>
      <c r="S146" s="63"/>
      <c r="T146" s="63"/>
      <c r="U146" s="63"/>
      <c r="V146" s="63"/>
      <c r="W146" s="64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BH146" s="63"/>
      <c r="BI146" s="63"/>
      <c r="BJ146" s="63"/>
      <c r="BK146" s="63"/>
      <c r="BL146" s="63"/>
      <c r="BM146" s="63"/>
      <c r="BN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4"/>
      <c r="L147" s="65"/>
      <c r="M147" s="63"/>
      <c r="N147" s="63"/>
      <c r="O147" s="63"/>
      <c r="P147" s="63"/>
      <c r="Q147" s="63"/>
      <c r="R147" s="65"/>
      <c r="S147" s="63"/>
      <c r="T147" s="63"/>
      <c r="U147" s="63"/>
      <c r="V147" s="63"/>
      <c r="W147" s="64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4"/>
      <c r="L148" s="65"/>
      <c r="M148" s="63"/>
      <c r="N148" s="63"/>
      <c r="O148" s="63"/>
      <c r="P148" s="63"/>
      <c r="Q148" s="63"/>
      <c r="R148" s="65"/>
      <c r="S148" s="63"/>
      <c r="T148" s="63"/>
      <c r="U148" s="63"/>
      <c r="V148" s="63"/>
      <c r="W148" s="64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4"/>
      <c r="L149" s="65"/>
      <c r="M149" s="63"/>
      <c r="N149" s="63"/>
      <c r="O149" s="63"/>
      <c r="P149" s="63"/>
      <c r="Q149" s="63"/>
      <c r="R149" s="65"/>
      <c r="S149" s="63"/>
      <c r="T149" s="63"/>
      <c r="U149" s="63"/>
      <c r="V149" s="63"/>
      <c r="W149" s="64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4"/>
      <c r="L150" s="65"/>
      <c r="M150" s="63"/>
      <c r="N150" s="63"/>
      <c r="O150" s="63"/>
      <c r="P150" s="63"/>
      <c r="Q150" s="63"/>
      <c r="R150" s="65"/>
      <c r="S150" s="63"/>
      <c r="T150" s="63"/>
      <c r="U150" s="63"/>
      <c r="V150" s="63"/>
      <c r="W150" s="64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4"/>
      <c r="L151" s="65"/>
      <c r="M151" s="63"/>
      <c r="N151" s="63"/>
      <c r="O151" s="63"/>
      <c r="P151" s="63"/>
      <c r="Q151" s="63"/>
      <c r="R151" s="65"/>
      <c r="S151" s="63"/>
      <c r="T151" s="63"/>
      <c r="U151" s="63"/>
      <c r="V151" s="63"/>
      <c r="W151" s="64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4"/>
      <c r="L152" s="65"/>
      <c r="M152" s="63"/>
      <c r="N152" s="63"/>
      <c r="O152" s="63"/>
      <c r="P152" s="63"/>
      <c r="Q152" s="63"/>
      <c r="R152" s="65"/>
      <c r="S152" s="63"/>
      <c r="T152" s="63"/>
      <c r="U152" s="63"/>
      <c r="V152" s="63"/>
      <c r="W152" s="64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4"/>
      <c r="L153" s="65"/>
      <c r="M153" s="63"/>
      <c r="N153" s="63"/>
      <c r="O153" s="63"/>
      <c r="P153" s="63"/>
      <c r="Q153" s="63"/>
      <c r="R153" s="65"/>
      <c r="S153" s="63"/>
      <c r="T153" s="63"/>
      <c r="U153" s="63"/>
      <c r="V153" s="63"/>
      <c r="W153" s="64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4"/>
      <c r="L154" s="65"/>
      <c r="M154" s="63"/>
      <c r="N154" s="63"/>
      <c r="O154" s="63"/>
      <c r="P154" s="63"/>
      <c r="Q154" s="63"/>
      <c r="R154" s="65"/>
      <c r="S154" s="63"/>
      <c r="T154" s="63"/>
      <c r="U154" s="63"/>
      <c r="V154" s="63"/>
      <c r="W154" s="64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4"/>
      <c r="L155" s="65"/>
      <c r="M155" s="63"/>
      <c r="N155" s="63"/>
      <c r="O155" s="63"/>
      <c r="P155" s="63"/>
      <c r="Q155" s="63"/>
      <c r="R155" s="65"/>
      <c r="S155" s="63"/>
      <c r="T155" s="63"/>
      <c r="U155" s="63"/>
      <c r="V155" s="63"/>
      <c r="W155" s="64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4"/>
      <c r="L156" s="65"/>
      <c r="M156" s="63"/>
      <c r="N156" s="63"/>
      <c r="O156" s="63"/>
      <c r="P156" s="63"/>
      <c r="Q156" s="63"/>
      <c r="R156" s="65"/>
      <c r="S156" s="63"/>
      <c r="T156" s="63"/>
      <c r="U156" s="63"/>
      <c r="V156" s="63"/>
      <c r="W156" s="64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  <c r="BD156" s="63"/>
      <c r="BE156" s="63"/>
      <c r="BF156" s="63"/>
      <c r="BG156" s="63"/>
      <c r="BH156" s="63"/>
      <c r="BI156" s="63"/>
      <c r="BJ156" s="63"/>
      <c r="BK156" s="63"/>
      <c r="BL156" s="63"/>
      <c r="BM156" s="63"/>
      <c r="BN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4"/>
      <c r="L157" s="65"/>
      <c r="M157" s="63"/>
      <c r="N157" s="63"/>
      <c r="O157" s="63"/>
      <c r="P157" s="63"/>
      <c r="Q157" s="63"/>
      <c r="R157" s="65"/>
      <c r="S157" s="63"/>
      <c r="T157" s="63"/>
      <c r="U157" s="63"/>
      <c r="V157" s="63"/>
      <c r="W157" s="64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/>
      <c r="BD157" s="63"/>
      <c r="BE157" s="63"/>
      <c r="BF157" s="63"/>
      <c r="BG157" s="63"/>
      <c r="BH157" s="63"/>
      <c r="BI157" s="63"/>
      <c r="BJ157" s="63"/>
      <c r="BK157" s="63"/>
      <c r="BL157" s="63"/>
      <c r="BM157" s="63"/>
      <c r="BN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4"/>
      <c r="L158" s="65"/>
      <c r="M158" s="63"/>
      <c r="N158" s="63"/>
      <c r="O158" s="63"/>
      <c r="P158" s="63"/>
      <c r="Q158" s="63"/>
      <c r="R158" s="65"/>
      <c r="S158" s="63"/>
      <c r="T158" s="63"/>
      <c r="U158" s="63"/>
      <c r="V158" s="63"/>
      <c r="W158" s="64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  <c r="BC158" s="63"/>
      <c r="BD158" s="63"/>
      <c r="BE158" s="63"/>
      <c r="BF158" s="63"/>
      <c r="BG158" s="63"/>
      <c r="BH158" s="63"/>
      <c r="BI158" s="63"/>
      <c r="BJ158" s="63"/>
      <c r="BK158" s="63"/>
      <c r="BL158" s="63"/>
      <c r="BM158" s="63"/>
      <c r="BN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4"/>
      <c r="L159" s="65"/>
      <c r="M159" s="63"/>
      <c r="N159" s="63"/>
      <c r="O159" s="63"/>
      <c r="P159" s="63"/>
      <c r="Q159" s="63"/>
      <c r="R159" s="65"/>
      <c r="S159" s="63"/>
      <c r="T159" s="63"/>
      <c r="U159" s="63"/>
      <c r="V159" s="63"/>
      <c r="W159" s="64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4"/>
      <c r="L160" s="65"/>
      <c r="M160" s="63"/>
      <c r="N160" s="63"/>
      <c r="O160" s="63"/>
      <c r="P160" s="63"/>
      <c r="Q160" s="63"/>
      <c r="R160" s="65"/>
      <c r="S160" s="63"/>
      <c r="T160" s="63"/>
      <c r="U160" s="63"/>
      <c r="V160" s="63"/>
      <c r="W160" s="64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4"/>
      <c r="L161" s="65"/>
      <c r="M161" s="63"/>
      <c r="N161" s="63"/>
      <c r="O161" s="63"/>
      <c r="P161" s="63"/>
      <c r="Q161" s="63"/>
      <c r="R161" s="65"/>
      <c r="S161" s="63"/>
      <c r="T161" s="63"/>
      <c r="U161" s="63"/>
      <c r="V161" s="63"/>
      <c r="W161" s="64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  <c r="BI161" s="63"/>
      <c r="BJ161" s="63"/>
      <c r="BK161" s="63"/>
      <c r="BL161" s="63"/>
      <c r="BM161" s="63"/>
      <c r="BN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4"/>
      <c r="L162" s="65"/>
      <c r="M162" s="63"/>
      <c r="N162" s="63"/>
      <c r="O162" s="63"/>
      <c r="P162" s="63"/>
      <c r="Q162" s="63"/>
      <c r="R162" s="65"/>
      <c r="S162" s="63"/>
      <c r="T162" s="63"/>
      <c r="U162" s="63"/>
      <c r="V162" s="63"/>
      <c r="W162" s="64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4"/>
      <c r="L163" s="65"/>
      <c r="M163" s="63"/>
      <c r="N163" s="63"/>
      <c r="O163" s="63"/>
      <c r="P163" s="63"/>
      <c r="Q163" s="63"/>
      <c r="R163" s="65"/>
      <c r="S163" s="63"/>
      <c r="T163" s="63"/>
      <c r="U163" s="63"/>
      <c r="V163" s="63"/>
      <c r="W163" s="64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  <c r="BI163" s="63"/>
      <c r="BJ163" s="63"/>
      <c r="BK163" s="63"/>
      <c r="BL163" s="63"/>
      <c r="BM163" s="63"/>
      <c r="BN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4"/>
      <c r="L164" s="65"/>
      <c r="M164" s="63"/>
      <c r="N164" s="63"/>
      <c r="O164" s="63"/>
      <c r="P164" s="63"/>
      <c r="Q164" s="63"/>
      <c r="R164" s="65"/>
      <c r="S164" s="63"/>
      <c r="T164" s="63"/>
      <c r="U164" s="63"/>
      <c r="V164" s="63"/>
      <c r="W164" s="64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  <c r="BD164" s="63"/>
      <c r="BE164" s="63"/>
      <c r="BF164" s="63"/>
      <c r="BG164" s="63"/>
      <c r="BH164" s="63"/>
      <c r="BI164" s="63"/>
      <c r="BJ164" s="63"/>
      <c r="BK164" s="63"/>
      <c r="BL164" s="63"/>
      <c r="BM164" s="63"/>
      <c r="BN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4"/>
      <c r="L165" s="65"/>
      <c r="M165" s="63"/>
      <c r="N165" s="63"/>
      <c r="O165" s="63"/>
      <c r="P165" s="63"/>
      <c r="Q165" s="63"/>
      <c r="R165" s="65"/>
      <c r="S165" s="63"/>
      <c r="T165" s="63"/>
      <c r="U165" s="63"/>
      <c r="V165" s="63"/>
      <c r="W165" s="64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/>
      <c r="BD165" s="63"/>
      <c r="BE165" s="63"/>
      <c r="BF165" s="63"/>
      <c r="BG165" s="63"/>
      <c r="BH165" s="63"/>
      <c r="BI165" s="63"/>
      <c r="BJ165" s="63"/>
      <c r="BK165" s="63"/>
      <c r="BL165" s="63"/>
      <c r="BM165" s="63"/>
      <c r="BN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4"/>
      <c r="L166" s="65"/>
      <c r="M166" s="63"/>
      <c r="N166" s="63"/>
      <c r="O166" s="63"/>
      <c r="P166" s="63"/>
      <c r="Q166" s="63"/>
      <c r="R166" s="65"/>
      <c r="S166" s="63"/>
      <c r="T166" s="63"/>
      <c r="U166" s="63"/>
      <c r="V166" s="63"/>
      <c r="W166" s="64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  <c r="BD166" s="63"/>
      <c r="BE166" s="63"/>
      <c r="BF166" s="63"/>
      <c r="BG166" s="63"/>
      <c r="BH166" s="63"/>
      <c r="BI166" s="63"/>
      <c r="BJ166" s="63"/>
      <c r="BK166" s="63"/>
      <c r="BL166" s="63"/>
      <c r="BM166" s="63"/>
      <c r="BN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4"/>
      <c r="L167" s="65"/>
      <c r="M167" s="63"/>
      <c r="N167" s="63"/>
      <c r="O167" s="63"/>
      <c r="P167" s="63"/>
      <c r="Q167" s="63"/>
      <c r="R167" s="65"/>
      <c r="S167" s="63"/>
      <c r="T167" s="63"/>
      <c r="U167" s="63"/>
      <c r="V167" s="63"/>
      <c r="W167" s="64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/>
      <c r="BD167" s="63"/>
      <c r="BE167" s="63"/>
      <c r="BF167" s="63"/>
      <c r="BG167" s="63"/>
      <c r="BH167" s="63"/>
      <c r="BI167" s="63"/>
      <c r="BJ167" s="63"/>
      <c r="BK167" s="63"/>
      <c r="BL167" s="63"/>
      <c r="BM167" s="63"/>
      <c r="BN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4"/>
      <c r="L168" s="65"/>
      <c r="M168" s="63"/>
      <c r="N168" s="63"/>
      <c r="O168" s="63"/>
      <c r="P168" s="63"/>
      <c r="Q168" s="63"/>
      <c r="R168" s="65"/>
      <c r="S168" s="63"/>
      <c r="T168" s="63"/>
      <c r="U168" s="63"/>
      <c r="V168" s="63"/>
      <c r="W168" s="64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  <c r="BD168" s="63"/>
      <c r="BE168" s="63"/>
      <c r="BF168" s="63"/>
      <c r="BG168" s="63"/>
      <c r="BH168" s="63"/>
      <c r="BI168" s="63"/>
      <c r="BJ168" s="63"/>
      <c r="BK168" s="63"/>
      <c r="BL168" s="63"/>
      <c r="BM168" s="63"/>
      <c r="BN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4"/>
      <c r="L169" s="65"/>
      <c r="M169" s="63"/>
      <c r="N169" s="63"/>
      <c r="O169" s="63"/>
      <c r="P169" s="63"/>
      <c r="Q169" s="63"/>
      <c r="R169" s="65"/>
      <c r="S169" s="63"/>
      <c r="T169" s="63"/>
      <c r="U169" s="63"/>
      <c r="V169" s="63"/>
      <c r="W169" s="64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  <c r="BM169" s="63"/>
      <c r="BN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4"/>
      <c r="L170" s="65"/>
      <c r="M170" s="63"/>
      <c r="N170" s="63"/>
      <c r="O170" s="63"/>
      <c r="P170" s="63"/>
      <c r="Q170" s="63"/>
      <c r="R170" s="65"/>
      <c r="S170" s="63"/>
      <c r="T170" s="63"/>
      <c r="U170" s="63"/>
      <c r="V170" s="63"/>
      <c r="W170" s="64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  <c r="BD170" s="63"/>
      <c r="BE170" s="63"/>
      <c r="BF170" s="63"/>
      <c r="BG170" s="63"/>
      <c r="BH170" s="63"/>
      <c r="BI170" s="63"/>
      <c r="BJ170" s="63"/>
      <c r="BK170" s="63"/>
      <c r="BL170" s="63"/>
      <c r="BM170" s="63"/>
      <c r="BN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4"/>
      <c r="L171" s="65"/>
      <c r="M171" s="63"/>
      <c r="N171" s="63"/>
      <c r="O171" s="63"/>
      <c r="P171" s="63"/>
      <c r="Q171" s="63"/>
      <c r="R171" s="65"/>
      <c r="S171" s="63"/>
      <c r="T171" s="63"/>
      <c r="U171" s="63"/>
      <c r="V171" s="63"/>
      <c r="W171" s="64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  <c r="BI171" s="63"/>
      <c r="BJ171" s="63"/>
      <c r="BK171" s="63"/>
      <c r="BL171" s="63"/>
      <c r="BM171" s="63"/>
      <c r="BN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4"/>
      <c r="L172" s="65"/>
      <c r="M172" s="63"/>
      <c r="N172" s="63"/>
      <c r="O172" s="63"/>
      <c r="P172" s="63"/>
      <c r="Q172" s="63"/>
      <c r="R172" s="65"/>
      <c r="S172" s="63"/>
      <c r="T172" s="63"/>
      <c r="U172" s="63"/>
      <c r="V172" s="63"/>
      <c r="W172" s="64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  <c r="BD172" s="63"/>
      <c r="BE172" s="63"/>
      <c r="BF172" s="63"/>
      <c r="BG172" s="63"/>
      <c r="BH172" s="63"/>
      <c r="BI172" s="63"/>
      <c r="BJ172" s="63"/>
      <c r="BK172" s="63"/>
      <c r="BL172" s="63"/>
      <c r="BM172" s="63"/>
      <c r="BN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4"/>
      <c r="L173" s="65"/>
      <c r="M173" s="63"/>
      <c r="N173" s="63"/>
      <c r="O173" s="63"/>
      <c r="P173" s="63"/>
      <c r="Q173" s="63"/>
      <c r="R173" s="65"/>
      <c r="S173" s="63"/>
      <c r="T173" s="63"/>
      <c r="U173" s="63"/>
      <c r="V173" s="63"/>
      <c r="W173" s="64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  <c r="BI173" s="63"/>
      <c r="BJ173" s="63"/>
      <c r="BK173" s="63"/>
      <c r="BL173" s="63"/>
      <c r="BM173" s="63"/>
      <c r="BN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4"/>
      <c r="L174" s="65"/>
      <c r="M174" s="63"/>
      <c r="N174" s="63"/>
      <c r="O174" s="63"/>
      <c r="P174" s="63"/>
      <c r="Q174" s="63"/>
      <c r="R174" s="65"/>
      <c r="S174" s="63"/>
      <c r="T174" s="63"/>
      <c r="U174" s="63"/>
      <c r="V174" s="63"/>
      <c r="W174" s="64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  <c r="BB174" s="63"/>
      <c r="BC174" s="63"/>
      <c r="BD174" s="63"/>
      <c r="BE174" s="63"/>
      <c r="BF174" s="63"/>
      <c r="BG174" s="63"/>
      <c r="BH174" s="63"/>
      <c r="BI174" s="63"/>
      <c r="BJ174" s="63"/>
      <c r="BK174" s="63"/>
      <c r="BL174" s="63"/>
      <c r="BM174" s="63"/>
      <c r="BN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4"/>
      <c r="L175" s="65"/>
      <c r="M175" s="63"/>
      <c r="N175" s="63"/>
      <c r="O175" s="63"/>
      <c r="P175" s="63"/>
      <c r="Q175" s="63"/>
      <c r="R175" s="65"/>
      <c r="S175" s="63"/>
      <c r="T175" s="63"/>
      <c r="U175" s="63"/>
      <c r="V175" s="63"/>
      <c r="W175" s="64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  <c r="BD175" s="63"/>
      <c r="BE175" s="63"/>
      <c r="BF175" s="63"/>
      <c r="BG175" s="63"/>
      <c r="BH175" s="63"/>
      <c r="BI175" s="63"/>
      <c r="BJ175" s="63"/>
      <c r="BK175" s="63"/>
      <c r="BL175" s="63"/>
      <c r="BM175" s="63"/>
      <c r="BN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4"/>
      <c r="L176" s="65"/>
      <c r="M176" s="63"/>
      <c r="N176" s="63"/>
      <c r="O176" s="63"/>
      <c r="P176" s="63"/>
      <c r="Q176" s="63"/>
      <c r="R176" s="65"/>
      <c r="S176" s="63"/>
      <c r="T176" s="63"/>
      <c r="U176" s="63"/>
      <c r="V176" s="63"/>
      <c r="W176" s="64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  <c r="BD176" s="63"/>
      <c r="BE176" s="63"/>
      <c r="BF176" s="63"/>
      <c r="BG176" s="63"/>
      <c r="BH176" s="63"/>
      <c r="BI176" s="63"/>
      <c r="BJ176" s="63"/>
      <c r="BK176" s="63"/>
      <c r="BL176" s="63"/>
      <c r="BM176" s="63"/>
      <c r="BN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4"/>
      <c r="L177" s="65"/>
      <c r="M177" s="63"/>
      <c r="N177" s="63"/>
      <c r="O177" s="63"/>
      <c r="P177" s="63"/>
      <c r="Q177" s="63"/>
      <c r="R177" s="65"/>
      <c r="S177" s="63"/>
      <c r="T177" s="63"/>
      <c r="U177" s="63"/>
      <c r="V177" s="63"/>
      <c r="W177" s="64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  <c r="BD177" s="63"/>
      <c r="BE177" s="63"/>
      <c r="BF177" s="63"/>
      <c r="BG177" s="63"/>
      <c r="BH177" s="63"/>
      <c r="BI177" s="63"/>
      <c r="BJ177" s="63"/>
      <c r="BK177" s="63"/>
      <c r="BL177" s="63"/>
      <c r="BM177" s="63"/>
      <c r="BN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4"/>
      <c r="L178" s="65"/>
      <c r="M178" s="63"/>
      <c r="N178" s="63"/>
      <c r="O178" s="63"/>
      <c r="P178" s="63"/>
      <c r="Q178" s="63"/>
      <c r="R178" s="65"/>
      <c r="S178" s="63"/>
      <c r="T178" s="63"/>
      <c r="U178" s="63"/>
      <c r="V178" s="63"/>
      <c r="W178" s="64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4"/>
      <c r="L179" s="65"/>
      <c r="M179" s="63"/>
      <c r="N179" s="63"/>
      <c r="O179" s="63"/>
      <c r="P179" s="63"/>
      <c r="Q179" s="63"/>
      <c r="R179" s="65"/>
      <c r="S179" s="63"/>
      <c r="T179" s="63"/>
      <c r="U179" s="63"/>
      <c r="V179" s="63"/>
      <c r="W179" s="64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63"/>
      <c r="BM179" s="63"/>
      <c r="BN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4"/>
      <c r="L180" s="65"/>
      <c r="M180" s="63"/>
      <c r="N180" s="63"/>
      <c r="O180" s="63"/>
      <c r="P180" s="63"/>
      <c r="Q180" s="63"/>
      <c r="R180" s="65"/>
      <c r="S180" s="63"/>
      <c r="T180" s="63"/>
      <c r="U180" s="63"/>
      <c r="V180" s="63"/>
      <c r="W180" s="64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63"/>
      <c r="BM180" s="63"/>
      <c r="BN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4"/>
      <c r="L181" s="65"/>
      <c r="M181" s="63"/>
      <c r="N181" s="63"/>
      <c r="O181" s="63"/>
      <c r="P181" s="63"/>
      <c r="Q181" s="63"/>
      <c r="R181" s="65"/>
      <c r="S181" s="63"/>
      <c r="T181" s="63"/>
      <c r="U181" s="63"/>
      <c r="V181" s="63"/>
      <c r="W181" s="64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63"/>
      <c r="BM181" s="63"/>
      <c r="BN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4"/>
      <c r="L182" s="65"/>
      <c r="M182" s="63"/>
      <c r="N182" s="63"/>
      <c r="O182" s="63"/>
      <c r="P182" s="63"/>
      <c r="Q182" s="63"/>
      <c r="R182" s="65"/>
      <c r="S182" s="63"/>
      <c r="T182" s="63"/>
      <c r="U182" s="63"/>
      <c r="V182" s="63"/>
      <c r="W182" s="64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4"/>
      <c r="L183" s="65"/>
      <c r="M183" s="63"/>
      <c r="N183" s="63"/>
      <c r="O183" s="63"/>
      <c r="P183" s="63"/>
      <c r="Q183" s="63"/>
      <c r="R183" s="65"/>
      <c r="S183" s="63"/>
      <c r="T183" s="63"/>
      <c r="U183" s="63"/>
      <c r="V183" s="63"/>
      <c r="W183" s="64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63"/>
      <c r="BM183" s="63"/>
      <c r="BN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4"/>
      <c r="L184" s="65"/>
      <c r="M184" s="63"/>
      <c r="N184" s="63"/>
      <c r="O184" s="63"/>
      <c r="P184" s="63"/>
      <c r="Q184" s="63"/>
      <c r="R184" s="65"/>
      <c r="S184" s="63"/>
      <c r="T184" s="63"/>
      <c r="U184" s="63"/>
      <c r="V184" s="63"/>
      <c r="W184" s="64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63"/>
      <c r="BM184" s="63"/>
      <c r="BN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4"/>
      <c r="L185" s="65"/>
      <c r="M185" s="63"/>
      <c r="N185" s="63"/>
      <c r="O185" s="63"/>
      <c r="P185" s="63"/>
      <c r="Q185" s="63"/>
      <c r="R185" s="65"/>
      <c r="S185" s="63"/>
      <c r="T185" s="63"/>
      <c r="U185" s="63"/>
      <c r="V185" s="63"/>
      <c r="W185" s="64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63"/>
      <c r="BM185" s="63"/>
      <c r="BN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4"/>
      <c r="L186" s="65"/>
      <c r="M186" s="63"/>
      <c r="N186" s="63"/>
      <c r="O186" s="63"/>
      <c r="P186" s="63"/>
      <c r="Q186" s="63"/>
      <c r="R186" s="65"/>
      <c r="S186" s="63"/>
      <c r="T186" s="63"/>
      <c r="U186" s="63"/>
      <c r="V186" s="63"/>
      <c r="W186" s="64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63"/>
      <c r="BM186" s="63"/>
      <c r="BN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4"/>
      <c r="L187" s="65"/>
      <c r="M187" s="63"/>
      <c r="N187" s="63"/>
      <c r="O187" s="63"/>
      <c r="P187" s="63"/>
      <c r="Q187" s="63"/>
      <c r="R187" s="65"/>
      <c r="S187" s="63"/>
      <c r="T187" s="63"/>
      <c r="U187" s="63"/>
      <c r="V187" s="63"/>
      <c r="W187" s="64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4"/>
      <c r="L188" s="65"/>
      <c r="M188" s="63"/>
      <c r="N188" s="63"/>
      <c r="O188" s="63"/>
      <c r="P188" s="63"/>
      <c r="Q188" s="63"/>
      <c r="R188" s="65"/>
      <c r="S188" s="63"/>
      <c r="T188" s="63"/>
      <c r="U188" s="63"/>
      <c r="V188" s="63"/>
      <c r="W188" s="64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  <c r="BB188" s="63"/>
      <c r="BC188" s="63"/>
      <c r="BD188" s="63"/>
      <c r="BE188" s="63"/>
      <c r="BF188" s="63"/>
      <c r="BG188" s="63"/>
      <c r="BH188" s="63"/>
      <c r="BI188" s="63"/>
      <c r="BJ188" s="63"/>
      <c r="BK188" s="63"/>
      <c r="BL188" s="63"/>
      <c r="BM188" s="63"/>
      <c r="BN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4"/>
      <c r="L189" s="65"/>
      <c r="M189" s="63"/>
      <c r="N189" s="63"/>
      <c r="O189" s="63"/>
      <c r="P189" s="63"/>
      <c r="Q189" s="63"/>
      <c r="R189" s="65"/>
      <c r="S189" s="63"/>
      <c r="T189" s="63"/>
      <c r="U189" s="63"/>
      <c r="V189" s="63"/>
      <c r="W189" s="64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/>
      <c r="BD189" s="63"/>
      <c r="BE189" s="63"/>
      <c r="BF189" s="63"/>
      <c r="BG189" s="63"/>
      <c r="BH189" s="63"/>
      <c r="BI189" s="63"/>
      <c r="BJ189" s="63"/>
      <c r="BK189" s="63"/>
      <c r="BL189" s="63"/>
      <c r="BM189" s="63"/>
      <c r="BN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4"/>
      <c r="L190" s="65"/>
      <c r="M190" s="63"/>
      <c r="N190" s="63"/>
      <c r="O190" s="63"/>
      <c r="P190" s="63"/>
      <c r="Q190" s="63"/>
      <c r="R190" s="65"/>
      <c r="S190" s="63"/>
      <c r="T190" s="63"/>
      <c r="U190" s="63"/>
      <c r="V190" s="63"/>
      <c r="W190" s="64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  <c r="BD190" s="63"/>
      <c r="BE190" s="63"/>
      <c r="BF190" s="63"/>
      <c r="BG190" s="63"/>
      <c r="BH190" s="63"/>
      <c r="BI190" s="63"/>
      <c r="BJ190" s="63"/>
      <c r="BK190" s="63"/>
      <c r="BL190" s="63"/>
      <c r="BM190" s="63"/>
      <c r="BN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4"/>
      <c r="L191" s="65"/>
      <c r="M191" s="63"/>
      <c r="N191" s="63"/>
      <c r="O191" s="63"/>
      <c r="P191" s="63"/>
      <c r="Q191" s="63"/>
      <c r="R191" s="65"/>
      <c r="S191" s="63"/>
      <c r="T191" s="63"/>
      <c r="U191" s="63"/>
      <c r="V191" s="63"/>
      <c r="W191" s="64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  <c r="BD191" s="63"/>
      <c r="BE191" s="63"/>
      <c r="BF191" s="63"/>
      <c r="BG191" s="63"/>
      <c r="BH191" s="63"/>
      <c r="BI191" s="63"/>
      <c r="BJ191" s="63"/>
      <c r="BK191" s="63"/>
      <c r="BL191" s="63"/>
      <c r="BM191" s="63"/>
      <c r="BN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4"/>
      <c r="L192" s="65"/>
      <c r="M192" s="63"/>
      <c r="N192" s="63"/>
      <c r="O192" s="63"/>
      <c r="P192" s="63"/>
      <c r="Q192" s="63"/>
      <c r="R192" s="65"/>
      <c r="S192" s="63"/>
      <c r="T192" s="63"/>
      <c r="U192" s="63"/>
      <c r="V192" s="63"/>
      <c r="W192" s="64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4"/>
      <c r="L193" s="65"/>
      <c r="M193" s="63"/>
      <c r="N193" s="63"/>
      <c r="O193" s="63"/>
      <c r="P193" s="63"/>
      <c r="Q193" s="63"/>
      <c r="R193" s="65"/>
      <c r="S193" s="63"/>
      <c r="T193" s="63"/>
      <c r="U193" s="63"/>
      <c r="V193" s="63"/>
      <c r="W193" s="64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63"/>
      <c r="BF193" s="63"/>
      <c r="BG193" s="63"/>
      <c r="BH193" s="63"/>
      <c r="BI193" s="63"/>
      <c r="BJ193" s="63"/>
      <c r="BK193" s="63"/>
      <c r="BL193" s="63"/>
      <c r="BM193" s="63"/>
      <c r="BN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4"/>
      <c r="L194" s="65"/>
      <c r="M194" s="63"/>
      <c r="N194" s="63"/>
      <c r="O194" s="63"/>
      <c r="P194" s="63"/>
      <c r="Q194" s="63"/>
      <c r="R194" s="65"/>
      <c r="S194" s="63"/>
      <c r="T194" s="63"/>
      <c r="U194" s="63"/>
      <c r="V194" s="63"/>
      <c r="W194" s="64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  <c r="BD194" s="63"/>
      <c r="BE194" s="63"/>
      <c r="BF194" s="63"/>
      <c r="BG194" s="63"/>
      <c r="BH194" s="63"/>
      <c r="BI194" s="63"/>
      <c r="BJ194" s="63"/>
      <c r="BK194" s="63"/>
      <c r="BL194" s="63"/>
      <c r="BM194" s="63"/>
      <c r="BN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4"/>
      <c r="L195" s="65"/>
      <c r="M195" s="63"/>
      <c r="N195" s="63"/>
      <c r="O195" s="63"/>
      <c r="P195" s="63"/>
      <c r="Q195" s="63"/>
      <c r="R195" s="65"/>
      <c r="S195" s="63"/>
      <c r="T195" s="63"/>
      <c r="U195" s="63"/>
      <c r="V195" s="63"/>
      <c r="W195" s="64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  <c r="BD195" s="63"/>
      <c r="BE195" s="63"/>
      <c r="BF195" s="63"/>
      <c r="BG195" s="63"/>
      <c r="BH195" s="63"/>
      <c r="BI195" s="63"/>
      <c r="BJ195" s="63"/>
      <c r="BK195" s="63"/>
      <c r="BL195" s="63"/>
      <c r="BM195" s="63"/>
      <c r="BN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4"/>
      <c r="L196" s="65"/>
      <c r="M196" s="63"/>
      <c r="N196" s="63"/>
      <c r="O196" s="63"/>
      <c r="P196" s="63"/>
      <c r="Q196" s="63"/>
      <c r="R196" s="65"/>
      <c r="S196" s="63"/>
      <c r="T196" s="63"/>
      <c r="U196" s="63"/>
      <c r="V196" s="63"/>
      <c r="W196" s="64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  <c r="BB196" s="63"/>
      <c r="BC196" s="63"/>
      <c r="BD196" s="63"/>
      <c r="BE196" s="63"/>
      <c r="BF196" s="63"/>
      <c r="BG196" s="63"/>
      <c r="BH196" s="63"/>
      <c r="BI196" s="63"/>
      <c r="BJ196" s="63"/>
      <c r="BK196" s="63"/>
      <c r="BL196" s="63"/>
      <c r="BM196" s="63"/>
      <c r="BN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4"/>
      <c r="L197" s="65"/>
      <c r="M197" s="63"/>
      <c r="N197" s="63"/>
      <c r="O197" s="63"/>
      <c r="P197" s="63"/>
      <c r="Q197" s="63"/>
      <c r="R197" s="65"/>
      <c r="S197" s="63"/>
      <c r="T197" s="63"/>
      <c r="U197" s="63"/>
      <c r="V197" s="63"/>
      <c r="W197" s="64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/>
      <c r="BD197" s="63"/>
      <c r="BE197" s="63"/>
      <c r="BF197" s="63"/>
      <c r="BG197" s="63"/>
      <c r="BH197" s="63"/>
      <c r="BI197" s="63"/>
      <c r="BJ197" s="63"/>
      <c r="BK197" s="63"/>
      <c r="BL197" s="63"/>
      <c r="BM197" s="63"/>
      <c r="BN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4"/>
      <c r="L198" s="65"/>
      <c r="M198" s="63"/>
      <c r="N198" s="63"/>
      <c r="O198" s="63"/>
      <c r="P198" s="63"/>
      <c r="Q198" s="63"/>
      <c r="R198" s="65"/>
      <c r="S198" s="63"/>
      <c r="T198" s="63"/>
      <c r="U198" s="63"/>
      <c r="V198" s="63"/>
      <c r="W198" s="64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  <c r="BC198" s="63"/>
      <c r="BD198" s="63"/>
      <c r="BE198" s="63"/>
      <c r="BF198" s="63"/>
      <c r="BG198" s="63"/>
      <c r="BH198" s="63"/>
      <c r="BI198" s="63"/>
      <c r="BJ198" s="63"/>
      <c r="BK198" s="63"/>
      <c r="BL198" s="63"/>
      <c r="BM198" s="63"/>
      <c r="BN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4"/>
      <c r="L199" s="65"/>
      <c r="M199" s="63"/>
      <c r="N199" s="63"/>
      <c r="O199" s="63"/>
      <c r="P199" s="63"/>
      <c r="Q199" s="63"/>
      <c r="R199" s="65"/>
      <c r="S199" s="63"/>
      <c r="T199" s="63"/>
      <c r="U199" s="63"/>
      <c r="V199" s="63"/>
      <c r="W199" s="64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63"/>
      <c r="BF199" s="63"/>
      <c r="BG199" s="63"/>
      <c r="BH199" s="63"/>
      <c r="BI199" s="63"/>
      <c r="BJ199" s="63"/>
      <c r="BK199" s="63"/>
      <c r="BL199" s="63"/>
      <c r="BM199" s="63"/>
      <c r="BN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4"/>
      <c r="L200" s="65"/>
      <c r="M200" s="63"/>
      <c r="N200" s="63"/>
      <c r="O200" s="63"/>
      <c r="P200" s="63"/>
      <c r="Q200" s="63"/>
      <c r="R200" s="65"/>
      <c r="S200" s="63"/>
      <c r="T200" s="63"/>
      <c r="U200" s="63"/>
      <c r="V200" s="63"/>
      <c r="W200" s="64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63"/>
      <c r="BF200" s="63"/>
      <c r="BG200" s="63"/>
      <c r="BH200" s="63"/>
      <c r="BI200" s="63"/>
      <c r="BJ200" s="63"/>
      <c r="BK200" s="63"/>
      <c r="BL200" s="63"/>
      <c r="BM200" s="63"/>
      <c r="BN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4"/>
      <c r="L201" s="65"/>
      <c r="M201" s="63"/>
      <c r="N201" s="63"/>
      <c r="O201" s="63"/>
      <c r="P201" s="63"/>
      <c r="Q201" s="63"/>
      <c r="R201" s="65"/>
      <c r="S201" s="63"/>
      <c r="T201" s="63"/>
      <c r="U201" s="63"/>
      <c r="V201" s="63"/>
      <c r="W201" s="64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  <c r="BI201" s="63"/>
      <c r="BJ201" s="63"/>
      <c r="BK201" s="63"/>
      <c r="BL201" s="63"/>
      <c r="BM201" s="63"/>
      <c r="BN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4"/>
      <c r="L202" s="65"/>
      <c r="M202" s="63"/>
      <c r="N202" s="63"/>
      <c r="O202" s="63"/>
      <c r="P202" s="63"/>
      <c r="Q202" s="63"/>
      <c r="R202" s="65"/>
      <c r="S202" s="63"/>
      <c r="T202" s="63"/>
      <c r="U202" s="63"/>
      <c r="V202" s="63"/>
      <c r="W202" s="64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  <c r="BD202" s="63"/>
      <c r="BE202" s="63"/>
      <c r="BF202" s="63"/>
      <c r="BG202" s="63"/>
      <c r="BH202" s="63"/>
      <c r="BI202" s="63"/>
      <c r="BJ202" s="63"/>
      <c r="BK202" s="63"/>
      <c r="BL202" s="63"/>
      <c r="BM202" s="63"/>
      <c r="BN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4"/>
      <c r="L203" s="65"/>
      <c r="M203" s="63"/>
      <c r="N203" s="63"/>
      <c r="O203" s="63"/>
      <c r="P203" s="63"/>
      <c r="Q203" s="63"/>
      <c r="R203" s="65"/>
      <c r="S203" s="63"/>
      <c r="T203" s="63"/>
      <c r="U203" s="63"/>
      <c r="V203" s="63"/>
      <c r="W203" s="64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/>
      <c r="BD203" s="63"/>
      <c r="BE203" s="63"/>
      <c r="BF203" s="63"/>
      <c r="BG203" s="63"/>
      <c r="BH203" s="63"/>
      <c r="BI203" s="63"/>
      <c r="BJ203" s="63"/>
      <c r="BK203" s="63"/>
      <c r="BL203" s="63"/>
      <c r="BM203" s="63"/>
      <c r="BN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4"/>
      <c r="L204" s="65"/>
      <c r="M204" s="63"/>
      <c r="N204" s="63"/>
      <c r="O204" s="63"/>
      <c r="P204" s="63"/>
      <c r="Q204" s="63"/>
      <c r="R204" s="65"/>
      <c r="S204" s="63"/>
      <c r="T204" s="63"/>
      <c r="U204" s="63"/>
      <c r="V204" s="63"/>
      <c r="W204" s="64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4"/>
      <c r="L205" s="65"/>
      <c r="M205" s="63"/>
      <c r="N205" s="63"/>
      <c r="O205" s="63"/>
      <c r="P205" s="63"/>
      <c r="Q205" s="63"/>
      <c r="R205" s="65"/>
      <c r="S205" s="63"/>
      <c r="T205" s="63"/>
      <c r="U205" s="63"/>
      <c r="V205" s="63"/>
      <c r="W205" s="64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63"/>
      <c r="BF205" s="63"/>
      <c r="BG205" s="63"/>
      <c r="BH205" s="63"/>
      <c r="BI205" s="63"/>
      <c r="BJ205" s="63"/>
      <c r="BK205" s="63"/>
      <c r="BL205" s="63"/>
      <c r="BM205" s="63"/>
      <c r="BN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4"/>
      <c r="L206" s="65"/>
      <c r="M206" s="63"/>
      <c r="N206" s="63"/>
      <c r="O206" s="63"/>
      <c r="P206" s="63"/>
      <c r="Q206" s="63"/>
      <c r="R206" s="65"/>
      <c r="S206" s="63"/>
      <c r="T206" s="63"/>
      <c r="U206" s="63"/>
      <c r="V206" s="63"/>
      <c r="W206" s="64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63"/>
      <c r="BF206" s="63"/>
      <c r="BG206" s="63"/>
      <c r="BH206" s="63"/>
      <c r="BI206" s="63"/>
      <c r="BJ206" s="63"/>
      <c r="BK206" s="63"/>
      <c r="BL206" s="63"/>
      <c r="BM206" s="63"/>
      <c r="BN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4"/>
      <c r="L207" s="65"/>
      <c r="M207" s="63"/>
      <c r="N207" s="63"/>
      <c r="O207" s="63"/>
      <c r="P207" s="63"/>
      <c r="Q207" s="63"/>
      <c r="R207" s="65"/>
      <c r="S207" s="63"/>
      <c r="T207" s="63"/>
      <c r="U207" s="63"/>
      <c r="V207" s="63"/>
      <c r="W207" s="64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63"/>
      <c r="BE207" s="63"/>
      <c r="BF207" s="63"/>
      <c r="BG207" s="63"/>
      <c r="BH207" s="63"/>
      <c r="BI207" s="63"/>
      <c r="BJ207" s="63"/>
      <c r="BK207" s="63"/>
      <c r="BL207" s="63"/>
      <c r="BM207" s="63"/>
      <c r="BN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4"/>
      <c r="L208" s="65"/>
      <c r="M208" s="63"/>
      <c r="N208" s="63"/>
      <c r="O208" s="63"/>
      <c r="P208" s="63"/>
      <c r="Q208" s="63"/>
      <c r="R208" s="65"/>
      <c r="S208" s="63"/>
      <c r="T208" s="63"/>
      <c r="U208" s="63"/>
      <c r="V208" s="63"/>
      <c r="W208" s="64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63"/>
      <c r="BE208" s="63"/>
      <c r="BF208" s="63"/>
      <c r="BG208" s="63"/>
      <c r="BH208" s="63"/>
      <c r="BI208" s="63"/>
      <c r="BJ208" s="63"/>
      <c r="BK208" s="63"/>
      <c r="BL208" s="63"/>
      <c r="BM208" s="63"/>
      <c r="BN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4"/>
      <c r="L209" s="65"/>
      <c r="M209" s="63"/>
      <c r="N209" s="63"/>
      <c r="O209" s="63"/>
      <c r="P209" s="63"/>
      <c r="Q209" s="63"/>
      <c r="R209" s="65"/>
      <c r="S209" s="63"/>
      <c r="T209" s="63"/>
      <c r="U209" s="63"/>
      <c r="V209" s="63"/>
      <c r="W209" s="64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63"/>
      <c r="BE209" s="63"/>
      <c r="BF209" s="63"/>
      <c r="BG209" s="63"/>
      <c r="BH209" s="63"/>
      <c r="BI209" s="63"/>
      <c r="BJ209" s="63"/>
      <c r="BK209" s="63"/>
      <c r="BL209" s="63"/>
      <c r="BM209" s="63"/>
      <c r="BN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4"/>
      <c r="L210" s="65"/>
      <c r="M210" s="63"/>
      <c r="N210" s="63"/>
      <c r="O210" s="63"/>
      <c r="P210" s="63"/>
      <c r="Q210" s="63"/>
      <c r="R210" s="65"/>
      <c r="S210" s="63"/>
      <c r="T210" s="63"/>
      <c r="U210" s="63"/>
      <c r="V210" s="63"/>
      <c r="W210" s="64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63"/>
      <c r="BE210" s="63"/>
      <c r="BF210" s="63"/>
      <c r="BG210" s="63"/>
      <c r="BH210" s="63"/>
      <c r="BI210" s="63"/>
      <c r="BJ210" s="63"/>
      <c r="BK210" s="63"/>
      <c r="BL210" s="63"/>
      <c r="BM210" s="63"/>
      <c r="BN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4"/>
      <c r="L211" s="65"/>
      <c r="M211" s="63"/>
      <c r="N211" s="63"/>
      <c r="O211" s="63"/>
      <c r="P211" s="63"/>
      <c r="Q211" s="63"/>
      <c r="R211" s="65"/>
      <c r="S211" s="63"/>
      <c r="T211" s="63"/>
      <c r="U211" s="63"/>
      <c r="V211" s="63"/>
      <c r="W211" s="64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63"/>
      <c r="BF211" s="63"/>
      <c r="BG211" s="63"/>
      <c r="BH211" s="63"/>
      <c r="BI211" s="63"/>
      <c r="BJ211" s="63"/>
      <c r="BK211" s="63"/>
      <c r="BL211" s="63"/>
      <c r="BM211" s="63"/>
      <c r="BN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4"/>
      <c r="L212" s="65"/>
      <c r="M212" s="63"/>
      <c r="N212" s="63"/>
      <c r="O212" s="63"/>
      <c r="P212" s="63"/>
      <c r="Q212" s="63"/>
      <c r="R212" s="65"/>
      <c r="S212" s="63"/>
      <c r="T212" s="63"/>
      <c r="U212" s="63"/>
      <c r="V212" s="63"/>
      <c r="W212" s="64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  <c r="BD212" s="63"/>
      <c r="BE212" s="63"/>
      <c r="BF212" s="63"/>
      <c r="BG212" s="63"/>
      <c r="BH212" s="63"/>
      <c r="BI212" s="63"/>
      <c r="BJ212" s="63"/>
      <c r="BK212" s="63"/>
      <c r="BL212" s="63"/>
      <c r="BM212" s="63"/>
      <c r="BN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4"/>
      <c r="L213" s="65"/>
      <c r="M213" s="63"/>
      <c r="N213" s="63"/>
      <c r="O213" s="63"/>
      <c r="P213" s="63"/>
      <c r="Q213" s="63"/>
      <c r="R213" s="65"/>
      <c r="S213" s="63"/>
      <c r="T213" s="63"/>
      <c r="U213" s="63"/>
      <c r="V213" s="63"/>
      <c r="W213" s="64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/>
      <c r="BD213" s="63"/>
      <c r="BE213" s="63"/>
      <c r="BF213" s="63"/>
      <c r="BG213" s="63"/>
      <c r="BH213" s="63"/>
      <c r="BI213" s="63"/>
      <c r="BJ213" s="63"/>
      <c r="BK213" s="63"/>
      <c r="BL213" s="63"/>
      <c r="BM213" s="63"/>
      <c r="BN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4"/>
      <c r="L214" s="65"/>
      <c r="M214" s="63"/>
      <c r="N214" s="63"/>
      <c r="O214" s="63"/>
      <c r="P214" s="63"/>
      <c r="Q214" s="63"/>
      <c r="R214" s="65"/>
      <c r="S214" s="63"/>
      <c r="T214" s="63"/>
      <c r="U214" s="63"/>
      <c r="V214" s="63"/>
      <c r="W214" s="64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  <c r="BD214" s="63"/>
      <c r="BE214" s="63"/>
      <c r="BF214" s="63"/>
      <c r="BG214" s="63"/>
      <c r="BH214" s="63"/>
      <c r="BI214" s="63"/>
      <c r="BJ214" s="63"/>
      <c r="BK214" s="63"/>
      <c r="BL214" s="63"/>
      <c r="BM214" s="63"/>
      <c r="BN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4"/>
      <c r="L215" s="65"/>
      <c r="M215" s="63"/>
      <c r="N215" s="63"/>
      <c r="O215" s="63"/>
      <c r="P215" s="63"/>
      <c r="Q215" s="63"/>
      <c r="R215" s="65"/>
      <c r="S215" s="63"/>
      <c r="T215" s="63"/>
      <c r="U215" s="63"/>
      <c r="V215" s="63"/>
      <c r="W215" s="64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  <c r="BD215" s="63"/>
      <c r="BE215" s="63"/>
      <c r="BF215" s="63"/>
      <c r="BG215" s="63"/>
      <c r="BH215" s="63"/>
      <c r="BI215" s="63"/>
      <c r="BJ215" s="63"/>
      <c r="BK215" s="63"/>
      <c r="BL215" s="63"/>
      <c r="BM215" s="63"/>
      <c r="BN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4"/>
      <c r="L216" s="65"/>
      <c r="M216" s="63"/>
      <c r="N216" s="63"/>
      <c r="O216" s="63"/>
      <c r="P216" s="63"/>
      <c r="Q216" s="63"/>
      <c r="R216" s="65"/>
      <c r="S216" s="63"/>
      <c r="T216" s="63"/>
      <c r="U216" s="63"/>
      <c r="V216" s="63"/>
      <c r="W216" s="64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  <c r="BD216" s="63"/>
      <c r="BE216" s="63"/>
      <c r="BF216" s="63"/>
      <c r="BG216" s="63"/>
      <c r="BH216" s="63"/>
      <c r="BI216" s="63"/>
      <c r="BJ216" s="63"/>
      <c r="BK216" s="63"/>
      <c r="BL216" s="63"/>
      <c r="BM216" s="63"/>
      <c r="BN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4"/>
      <c r="L217" s="65"/>
      <c r="M217" s="63"/>
      <c r="N217" s="63"/>
      <c r="O217" s="63"/>
      <c r="P217" s="63"/>
      <c r="Q217" s="63"/>
      <c r="R217" s="65"/>
      <c r="S217" s="63"/>
      <c r="T217" s="63"/>
      <c r="U217" s="63"/>
      <c r="V217" s="63"/>
      <c r="W217" s="64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63"/>
      <c r="BD217" s="63"/>
      <c r="BE217" s="63"/>
      <c r="BF217" s="63"/>
      <c r="BG217" s="63"/>
      <c r="BH217" s="63"/>
      <c r="BI217" s="63"/>
      <c r="BJ217" s="63"/>
      <c r="BK217" s="63"/>
      <c r="BL217" s="63"/>
      <c r="BM217" s="63"/>
      <c r="BN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4"/>
      <c r="L218" s="65"/>
      <c r="M218" s="63"/>
      <c r="N218" s="63"/>
      <c r="O218" s="63"/>
      <c r="P218" s="63"/>
      <c r="Q218" s="63"/>
      <c r="R218" s="65"/>
      <c r="S218" s="63"/>
      <c r="T218" s="63"/>
      <c r="U218" s="63"/>
      <c r="V218" s="63"/>
      <c r="W218" s="64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63"/>
      <c r="BD218" s="63"/>
      <c r="BE218" s="63"/>
      <c r="BF218" s="63"/>
      <c r="BG218" s="63"/>
      <c r="BH218" s="63"/>
      <c r="BI218" s="63"/>
      <c r="BJ218" s="63"/>
      <c r="BK218" s="63"/>
      <c r="BL218" s="63"/>
      <c r="BM218" s="63"/>
      <c r="BN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4"/>
      <c r="L219" s="65"/>
      <c r="M219" s="63"/>
      <c r="N219" s="63"/>
      <c r="O219" s="63"/>
      <c r="P219" s="63"/>
      <c r="Q219" s="63"/>
      <c r="R219" s="65"/>
      <c r="S219" s="63"/>
      <c r="T219" s="63"/>
      <c r="U219" s="63"/>
      <c r="V219" s="63"/>
      <c r="W219" s="64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  <c r="BD219" s="63"/>
      <c r="BE219" s="63"/>
      <c r="BF219" s="63"/>
      <c r="BG219" s="63"/>
      <c r="BH219" s="63"/>
      <c r="BI219" s="63"/>
      <c r="BJ219" s="63"/>
      <c r="BK219" s="63"/>
      <c r="BL219" s="63"/>
      <c r="BM219" s="63"/>
      <c r="BN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4"/>
      <c r="L220" s="65"/>
      <c r="M220" s="63"/>
      <c r="N220" s="63"/>
      <c r="O220" s="63"/>
      <c r="P220" s="63"/>
      <c r="Q220" s="63"/>
      <c r="R220" s="65"/>
      <c r="S220" s="63"/>
      <c r="T220" s="63"/>
      <c r="U220" s="63"/>
      <c r="V220" s="63"/>
      <c r="W220" s="64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63"/>
      <c r="BD220" s="63"/>
      <c r="BE220" s="63"/>
      <c r="BF220" s="63"/>
      <c r="BG220" s="63"/>
      <c r="BH220" s="63"/>
      <c r="BI220" s="63"/>
      <c r="BJ220" s="63"/>
      <c r="BK220" s="63"/>
      <c r="BL220" s="63"/>
      <c r="BM220" s="63"/>
      <c r="BN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4"/>
      <c r="L221" s="65"/>
      <c r="M221" s="63"/>
      <c r="N221" s="63"/>
      <c r="O221" s="63"/>
      <c r="P221" s="63"/>
      <c r="Q221" s="63"/>
      <c r="R221" s="65"/>
      <c r="S221" s="63"/>
      <c r="T221" s="63"/>
      <c r="U221" s="63"/>
      <c r="V221" s="63"/>
      <c r="W221" s="64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63"/>
      <c r="BF221" s="63"/>
      <c r="BG221" s="63"/>
      <c r="BH221" s="63"/>
      <c r="BI221" s="63"/>
      <c r="BJ221" s="63"/>
      <c r="BK221" s="63"/>
      <c r="BL221" s="63"/>
      <c r="BM221" s="63"/>
      <c r="BN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4"/>
      <c r="L222" s="65"/>
      <c r="M222" s="63"/>
      <c r="N222" s="63"/>
      <c r="O222" s="63"/>
      <c r="P222" s="63"/>
      <c r="Q222" s="63"/>
      <c r="R222" s="65"/>
      <c r="S222" s="63"/>
      <c r="T222" s="63"/>
      <c r="U222" s="63"/>
      <c r="V222" s="63"/>
      <c r="W222" s="64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  <c r="BD222" s="63"/>
      <c r="BE222" s="63"/>
      <c r="BF222" s="63"/>
      <c r="BG222" s="63"/>
      <c r="BH222" s="63"/>
      <c r="BI222" s="63"/>
      <c r="BJ222" s="63"/>
      <c r="BK222" s="63"/>
      <c r="BL222" s="63"/>
      <c r="BM222" s="63"/>
      <c r="BN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4"/>
      <c r="L223" s="65"/>
      <c r="M223" s="63"/>
      <c r="N223" s="63"/>
      <c r="O223" s="63"/>
      <c r="P223" s="63"/>
      <c r="Q223" s="63"/>
      <c r="R223" s="65"/>
      <c r="S223" s="63"/>
      <c r="T223" s="63"/>
      <c r="U223" s="63"/>
      <c r="V223" s="63"/>
      <c r="W223" s="64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  <c r="BD223" s="63"/>
      <c r="BE223" s="63"/>
      <c r="BF223" s="63"/>
      <c r="BG223" s="63"/>
      <c r="BH223" s="63"/>
      <c r="BI223" s="63"/>
      <c r="BJ223" s="63"/>
      <c r="BK223" s="63"/>
      <c r="BL223" s="63"/>
      <c r="BM223" s="63"/>
      <c r="BN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4"/>
      <c r="L224" s="65"/>
      <c r="M224" s="63"/>
      <c r="N224" s="63"/>
      <c r="O224" s="63"/>
      <c r="P224" s="63"/>
      <c r="Q224" s="63"/>
      <c r="R224" s="65"/>
      <c r="S224" s="63"/>
      <c r="T224" s="63"/>
      <c r="U224" s="63"/>
      <c r="V224" s="63"/>
      <c r="W224" s="64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  <c r="BD224" s="63"/>
      <c r="BE224" s="63"/>
      <c r="BF224" s="63"/>
      <c r="BG224" s="63"/>
      <c r="BH224" s="63"/>
      <c r="BI224" s="63"/>
      <c r="BJ224" s="63"/>
      <c r="BK224" s="63"/>
      <c r="BL224" s="63"/>
      <c r="BM224" s="63"/>
      <c r="BN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4"/>
      <c r="L225" s="65"/>
      <c r="M225" s="63"/>
      <c r="N225" s="63"/>
      <c r="O225" s="63"/>
      <c r="P225" s="63"/>
      <c r="Q225" s="63"/>
      <c r="R225" s="65"/>
      <c r="S225" s="63"/>
      <c r="T225" s="63"/>
      <c r="U225" s="63"/>
      <c r="V225" s="63"/>
      <c r="W225" s="64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  <c r="BD225" s="63"/>
      <c r="BE225" s="63"/>
      <c r="BF225" s="63"/>
      <c r="BG225" s="63"/>
      <c r="BH225" s="63"/>
      <c r="BI225" s="63"/>
      <c r="BJ225" s="63"/>
      <c r="BK225" s="63"/>
      <c r="BL225" s="63"/>
      <c r="BM225" s="63"/>
      <c r="BN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4"/>
      <c r="L226" s="65"/>
      <c r="M226" s="63"/>
      <c r="N226" s="63"/>
      <c r="O226" s="63"/>
      <c r="P226" s="63"/>
      <c r="Q226" s="63"/>
      <c r="R226" s="65"/>
      <c r="S226" s="63"/>
      <c r="T226" s="63"/>
      <c r="U226" s="63"/>
      <c r="V226" s="63"/>
      <c r="W226" s="64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63"/>
      <c r="BD226" s="63"/>
      <c r="BE226" s="63"/>
      <c r="BF226" s="63"/>
      <c r="BG226" s="63"/>
      <c r="BH226" s="63"/>
      <c r="BI226" s="63"/>
      <c r="BJ226" s="63"/>
      <c r="BK226" s="63"/>
      <c r="BL226" s="63"/>
      <c r="BM226" s="63"/>
      <c r="BN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4"/>
      <c r="L227" s="65"/>
      <c r="M227" s="63"/>
      <c r="N227" s="63"/>
      <c r="O227" s="63"/>
      <c r="P227" s="63"/>
      <c r="Q227" s="63"/>
      <c r="R227" s="65"/>
      <c r="S227" s="63"/>
      <c r="T227" s="63"/>
      <c r="U227" s="63"/>
      <c r="V227" s="63"/>
      <c r="W227" s="64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/>
      <c r="BD227" s="63"/>
      <c r="BE227" s="63"/>
      <c r="BF227" s="63"/>
      <c r="BG227" s="63"/>
      <c r="BH227" s="63"/>
      <c r="BI227" s="63"/>
      <c r="BJ227" s="63"/>
      <c r="BK227" s="63"/>
      <c r="BL227" s="63"/>
      <c r="BM227" s="63"/>
      <c r="BN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4"/>
      <c r="L228" s="65"/>
      <c r="M228" s="63"/>
      <c r="N228" s="63"/>
      <c r="O228" s="63"/>
      <c r="P228" s="63"/>
      <c r="Q228" s="63"/>
      <c r="R228" s="65"/>
      <c r="S228" s="63"/>
      <c r="T228" s="63"/>
      <c r="U228" s="63"/>
      <c r="V228" s="63"/>
      <c r="W228" s="64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63"/>
      <c r="BF228" s="63"/>
      <c r="BG228" s="63"/>
      <c r="BH228" s="63"/>
      <c r="BI228" s="63"/>
      <c r="BJ228" s="63"/>
      <c r="BK228" s="63"/>
      <c r="BL228" s="63"/>
      <c r="BM228" s="63"/>
      <c r="BN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4"/>
      <c r="L229" s="65"/>
      <c r="M229" s="63"/>
      <c r="N229" s="63"/>
      <c r="O229" s="63"/>
      <c r="P229" s="63"/>
      <c r="Q229" s="63"/>
      <c r="R229" s="65"/>
      <c r="S229" s="63"/>
      <c r="T229" s="63"/>
      <c r="U229" s="63"/>
      <c r="V229" s="63"/>
      <c r="W229" s="64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  <c r="BD229" s="63"/>
      <c r="BE229" s="63"/>
      <c r="BF229" s="63"/>
      <c r="BG229" s="63"/>
      <c r="BH229" s="63"/>
      <c r="BI229" s="63"/>
      <c r="BJ229" s="63"/>
      <c r="BK229" s="63"/>
      <c r="BL229" s="63"/>
      <c r="BM229" s="63"/>
      <c r="BN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4"/>
      <c r="L230" s="65"/>
      <c r="M230" s="63"/>
      <c r="N230" s="63"/>
      <c r="O230" s="63"/>
      <c r="P230" s="63"/>
      <c r="Q230" s="63"/>
      <c r="R230" s="65"/>
      <c r="S230" s="63"/>
      <c r="T230" s="63"/>
      <c r="U230" s="63"/>
      <c r="V230" s="63"/>
      <c r="W230" s="64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63"/>
      <c r="BD230" s="63"/>
      <c r="BE230" s="63"/>
      <c r="BF230" s="63"/>
      <c r="BG230" s="63"/>
      <c r="BH230" s="63"/>
      <c r="BI230" s="63"/>
      <c r="BJ230" s="63"/>
      <c r="BK230" s="63"/>
      <c r="BL230" s="63"/>
      <c r="BM230" s="63"/>
      <c r="BN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4"/>
      <c r="L231" s="65"/>
      <c r="M231" s="63"/>
      <c r="N231" s="63"/>
      <c r="O231" s="63"/>
      <c r="P231" s="63"/>
      <c r="Q231" s="63"/>
      <c r="R231" s="65"/>
      <c r="S231" s="63"/>
      <c r="T231" s="63"/>
      <c r="U231" s="63"/>
      <c r="V231" s="63"/>
      <c r="W231" s="64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63"/>
      <c r="BF231" s="63"/>
      <c r="BG231" s="63"/>
      <c r="BH231" s="63"/>
      <c r="BI231" s="63"/>
      <c r="BJ231" s="63"/>
      <c r="BK231" s="63"/>
      <c r="BL231" s="63"/>
      <c r="BM231" s="63"/>
      <c r="BN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4"/>
      <c r="L232" s="65"/>
      <c r="M232" s="63"/>
      <c r="N232" s="63"/>
      <c r="O232" s="63"/>
      <c r="P232" s="63"/>
      <c r="Q232" s="63"/>
      <c r="R232" s="65"/>
      <c r="S232" s="63"/>
      <c r="T232" s="63"/>
      <c r="U232" s="63"/>
      <c r="V232" s="63"/>
      <c r="W232" s="64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63"/>
      <c r="BD232" s="63"/>
      <c r="BE232" s="63"/>
      <c r="BF232" s="63"/>
      <c r="BG232" s="63"/>
      <c r="BH232" s="63"/>
      <c r="BI232" s="63"/>
      <c r="BJ232" s="63"/>
      <c r="BK232" s="63"/>
      <c r="BL232" s="63"/>
      <c r="BM232" s="63"/>
      <c r="BN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4"/>
      <c r="L233" s="65"/>
      <c r="M233" s="63"/>
      <c r="N233" s="63"/>
      <c r="O233" s="63"/>
      <c r="P233" s="63"/>
      <c r="Q233" s="63"/>
      <c r="R233" s="65"/>
      <c r="S233" s="63"/>
      <c r="T233" s="63"/>
      <c r="U233" s="63"/>
      <c r="V233" s="63"/>
      <c r="W233" s="64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/>
      <c r="BD233" s="63"/>
      <c r="BE233" s="63"/>
      <c r="BF233" s="63"/>
      <c r="BG233" s="63"/>
      <c r="BH233" s="63"/>
      <c r="BI233" s="63"/>
      <c r="BJ233" s="63"/>
      <c r="BK233" s="63"/>
      <c r="BL233" s="63"/>
      <c r="BM233" s="63"/>
      <c r="BN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4"/>
      <c r="L234" s="65"/>
      <c r="M234" s="63"/>
      <c r="N234" s="63"/>
      <c r="O234" s="63"/>
      <c r="P234" s="63"/>
      <c r="Q234" s="63"/>
      <c r="R234" s="65"/>
      <c r="S234" s="63"/>
      <c r="T234" s="63"/>
      <c r="U234" s="63"/>
      <c r="V234" s="63"/>
      <c r="W234" s="64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  <c r="BC234" s="63"/>
      <c r="BD234" s="63"/>
      <c r="BE234" s="63"/>
      <c r="BF234" s="63"/>
      <c r="BG234" s="63"/>
      <c r="BH234" s="63"/>
      <c r="BI234" s="63"/>
      <c r="BJ234" s="63"/>
      <c r="BK234" s="63"/>
      <c r="BL234" s="63"/>
      <c r="BM234" s="63"/>
      <c r="BN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4"/>
      <c r="L235" s="65"/>
      <c r="M235" s="63"/>
      <c r="N235" s="63"/>
      <c r="O235" s="63"/>
      <c r="P235" s="63"/>
      <c r="Q235" s="63"/>
      <c r="R235" s="65"/>
      <c r="S235" s="63"/>
      <c r="T235" s="63"/>
      <c r="U235" s="63"/>
      <c r="V235" s="63"/>
      <c r="W235" s="64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63"/>
      <c r="BD235" s="63"/>
      <c r="BE235" s="63"/>
      <c r="BF235" s="63"/>
      <c r="BG235" s="63"/>
      <c r="BH235" s="63"/>
      <c r="BI235" s="63"/>
      <c r="BJ235" s="63"/>
      <c r="BK235" s="63"/>
      <c r="BL235" s="63"/>
      <c r="BM235" s="63"/>
      <c r="BN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4"/>
      <c r="L236" s="65"/>
      <c r="M236" s="63"/>
      <c r="N236" s="63"/>
      <c r="O236" s="63"/>
      <c r="P236" s="63"/>
      <c r="Q236" s="63"/>
      <c r="R236" s="65"/>
      <c r="S236" s="63"/>
      <c r="T236" s="63"/>
      <c r="U236" s="63"/>
      <c r="V236" s="63"/>
      <c r="W236" s="64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  <c r="BC236" s="63"/>
      <c r="BD236" s="63"/>
      <c r="BE236" s="63"/>
      <c r="BF236" s="63"/>
      <c r="BG236" s="63"/>
      <c r="BH236" s="63"/>
      <c r="BI236" s="63"/>
      <c r="BJ236" s="63"/>
      <c r="BK236" s="63"/>
      <c r="BL236" s="63"/>
      <c r="BM236" s="63"/>
      <c r="BN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4"/>
      <c r="L237" s="65"/>
      <c r="M237" s="63"/>
      <c r="N237" s="63"/>
      <c r="O237" s="63"/>
      <c r="P237" s="63"/>
      <c r="Q237" s="63"/>
      <c r="R237" s="65"/>
      <c r="S237" s="63"/>
      <c r="T237" s="63"/>
      <c r="U237" s="63"/>
      <c r="V237" s="63"/>
      <c r="W237" s="64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63"/>
      <c r="BF237" s="63"/>
      <c r="BG237" s="63"/>
      <c r="BH237" s="63"/>
      <c r="BI237" s="63"/>
      <c r="BJ237" s="63"/>
      <c r="BK237" s="63"/>
      <c r="BL237" s="63"/>
      <c r="BM237" s="63"/>
      <c r="BN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4"/>
      <c r="L238" s="65"/>
      <c r="M238" s="63"/>
      <c r="N238" s="63"/>
      <c r="O238" s="63"/>
      <c r="P238" s="63"/>
      <c r="Q238" s="63"/>
      <c r="R238" s="65"/>
      <c r="S238" s="63"/>
      <c r="T238" s="63"/>
      <c r="U238" s="63"/>
      <c r="V238" s="63"/>
      <c r="W238" s="64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  <c r="BC238" s="63"/>
      <c r="BD238" s="63"/>
      <c r="BE238" s="63"/>
      <c r="BF238" s="63"/>
      <c r="BG238" s="63"/>
      <c r="BH238" s="63"/>
      <c r="BI238" s="63"/>
      <c r="BJ238" s="63"/>
      <c r="BK238" s="63"/>
      <c r="BL238" s="63"/>
      <c r="BM238" s="63"/>
      <c r="BN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4"/>
      <c r="L239" s="65"/>
      <c r="M239" s="63"/>
      <c r="N239" s="63"/>
      <c r="O239" s="63"/>
      <c r="P239" s="63"/>
      <c r="Q239" s="63"/>
      <c r="R239" s="65"/>
      <c r="S239" s="63"/>
      <c r="T239" s="63"/>
      <c r="U239" s="63"/>
      <c r="V239" s="63"/>
      <c r="W239" s="64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/>
      <c r="BD239" s="63"/>
      <c r="BE239" s="63"/>
      <c r="BF239" s="63"/>
      <c r="BG239" s="63"/>
      <c r="BH239" s="63"/>
      <c r="BI239" s="63"/>
      <c r="BJ239" s="63"/>
      <c r="BK239" s="63"/>
      <c r="BL239" s="63"/>
      <c r="BM239" s="63"/>
      <c r="BN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4"/>
      <c r="L240" s="65"/>
      <c r="M240" s="63"/>
      <c r="N240" s="63"/>
      <c r="O240" s="63"/>
      <c r="P240" s="63"/>
      <c r="Q240" s="63"/>
      <c r="R240" s="65"/>
      <c r="S240" s="63"/>
      <c r="T240" s="63"/>
      <c r="U240" s="63"/>
      <c r="V240" s="63"/>
      <c r="W240" s="64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  <c r="BB240" s="63"/>
      <c r="BC240" s="63"/>
      <c r="BD240" s="63"/>
      <c r="BE240" s="63"/>
      <c r="BF240" s="63"/>
      <c r="BG240" s="63"/>
      <c r="BH240" s="63"/>
      <c r="BI240" s="63"/>
      <c r="BJ240" s="63"/>
      <c r="BK240" s="63"/>
      <c r="BL240" s="63"/>
      <c r="BM240" s="63"/>
      <c r="BN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4"/>
      <c r="L241" s="65"/>
      <c r="M241" s="63"/>
      <c r="N241" s="63"/>
      <c r="O241" s="63"/>
      <c r="P241" s="63"/>
      <c r="Q241" s="63"/>
      <c r="R241" s="65"/>
      <c r="S241" s="63"/>
      <c r="T241" s="63"/>
      <c r="U241" s="63"/>
      <c r="V241" s="63"/>
      <c r="W241" s="64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63"/>
      <c r="BF241" s="63"/>
      <c r="BG241" s="63"/>
      <c r="BH241" s="63"/>
      <c r="BI241" s="63"/>
      <c r="BJ241" s="63"/>
      <c r="BK241" s="63"/>
      <c r="BL241" s="63"/>
      <c r="BM241" s="63"/>
      <c r="BN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4"/>
      <c r="L242" s="65"/>
      <c r="M242" s="63"/>
      <c r="N242" s="63"/>
      <c r="O242" s="63"/>
      <c r="P242" s="63"/>
      <c r="Q242" s="63"/>
      <c r="R242" s="65"/>
      <c r="S242" s="63"/>
      <c r="T242" s="63"/>
      <c r="U242" s="63"/>
      <c r="V242" s="63"/>
      <c r="W242" s="64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  <c r="BD242" s="63"/>
      <c r="BE242" s="63"/>
      <c r="BF242" s="63"/>
      <c r="BG242" s="63"/>
      <c r="BH242" s="63"/>
      <c r="BI242" s="63"/>
      <c r="BJ242" s="63"/>
      <c r="BK242" s="63"/>
      <c r="BL242" s="63"/>
      <c r="BM242" s="63"/>
      <c r="BN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4"/>
      <c r="L243" s="65"/>
      <c r="M243" s="63"/>
      <c r="N243" s="63"/>
      <c r="O243" s="63"/>
      <c r="P243" s="63"/>
      <c r="Q243" s="63"/>
      <c r="R243" s="65"/>
      <c r="S243" s="63"/>
      <c r="T243" s="63"/>
      <c r="U243" s="63"/>
      <c r="V243" s="63"/>
      <c r="W243" s="64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/>
      <c r="BD243" s="63"/>
      <c r="BE243" s="63"/>
      <c r="BF243" s="63"/>
      <c r="BG243" s="63"/>
      <c r="BH243" s="63"/>
      <c r="BI243" s="63"/>
      <c r="BJ243" s="63"/>
      <c r="BK243" s="63"/>
      <c r="BL243" s="63"/>
      <c r="BM243" s="63"/>
      <c r="BN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4"/>
      <c r="L244" s="65"/>
      <c r="M244" s="63"/>
      <c r="N244" s="63"/>
      <c r="O244" s="63"/>
      <c r="P244" s="63"/>
      <c r="Q244" s="63"/>
      <c r="R244" s="65"/>
      <c r="S244" s="63"/>
      <c r="T244" s="63"/>
      <c r="U244" s="63"/>
      <c r="V244" s="63"/>
      <c r="W244" s="64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  <c r="BD244" s="63"/>
      <c r="BE244" s="63"/>
      <c r="BF244" s="63"/>
      <c r="BG244" s="63"/>
      <c r="BH244" s="63"/>
      <c r="BI244" s="63"/>
      <c r="BJ244" s="63"/>
      <c r="BK244" s="63"/>
      <c r="BL244" s="63"/>
      <c r="BM244" s="63"/>
      <c r="BN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4"/>
      <c r="L245" s="65"/>
      <c r="M245" s="63"/>
      <c r="N245" s="63"/>
      <c r="O245" s="63"/>
      <c r="P245" s="63"/>
      <c r="Q245" s="63"/>
      <c r="R245" s="65"/>
      <c r="S245" s="63"/>
      <c r="T245" s="63"/>
      <c r="U245" s="63"/>
      <c r="V245" s="63"/>
      <c r="W245" s="64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63"/>
      <c r="BD245" s="63"/>
      <c r="BE245" s="63"/>
      <c r="BF245" s="63"/>
      <c r="BG245" s="63"/>
      <c r="BH245" s="63"/>
      <c r="BI245" s="63"/>
      <c r="BJ245" s="63"/>
      <c r="BK245" s="63"/>
      <c r="BL245" s="63"/>
      <c r="BM245" s="63"/>
      <c r="BN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4"/>
      <c r="L246" s="65"/>
      <c r="M246" s="63"/>
      <c r="N246" s="63"/>
      <c r="O246" s="63"/>
      <c r="P246" s="63"/>
      <c r="Q246" s="63"/>
      <c r="R246" s="65"/>
      <c r="S246" s="63"/>
      <c r="T246" s="63"/>
      <c r="U246" s="63"/>
      <c r="V246" s="63"/>
      <c r="W246" s="64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63"/>
      <c r="BD246" s="63"/>
      <c r="BE246" s="63"/>
      <c r="BF246" s="63"/>
      <c r="BG246" s="63"/>
      <c r="BH246" s="63"/>
      <c r="BI246" s="63"/>
      <c r="BJ246" s="63"/>
      <c r="BK246" s="63"/>
      <c r="BL246" s="63"/>
      <c r="BM246" s="63"/>
      <c r="BN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4"/>
      <c r="L247" s="65"/>
      <c r="M247" s="63"/>
      <c r="N247" s="63"/>
      <c r="O247" s="63"/>
      <c r="P247" s="63"/>
      <c r="Q247" s="63"/>
      <c r="R247" s="65"/>
      <c r="S247" s="63"/>
      <c r="T247" s="63"/>
      <c r="U247" s="63"/>
      <c r="V247" s="63"/>
      <c r="W247" s="64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63"/>
      <c r="BF247" s="63"/>
      <c r="BG247" s="63"/>
      <c r="BH247" s="63"/>
      <c r="BI247" s="63"/>
      <c r="BJ247" s="63"/>
      <c r="BK247" s="63"/>
      <c r="BL247" s="63"/>
      <c r="BM247" s="63"/>
      <c r="BN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4"/>
      <c r="L248" s="65"/>
      <c r="M248" s="63"/>
      <c r="N248" s="63"/>
      <c r="O248" s="63"/>
      <c r="P248" s="63"/>
      <c r="Q248" s="63"/>
      <c r="R248" s="65"/>
      <c r="S248" s="63"/>
      <c r="T248" s="63"/>
      <c r="U248" s="63"/>
      <c r="V248" s="63"/>
      <c r="W248" s="64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  <c r="BD248" s="63"/>
      <c r="BE248" s="63"/>
      <c r="BF248" s="63"/>
      <c r="BG248" s="63"/>
      <c r="BH248" s="63"/>
      <c r="BI248" s="63"/>
      <c r="BJ248" s="63"/>
      <c r="BK248" s="63"/>
      <c r="BL248" s="63"/>
      <c r="BM248" s="63"/>
      <c r="BN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4"/>
      <c r="L249" s="65"/>
      <c r="M249" s="63"/>
      <c r="N249" s="63"/>
      <c r="O249" s="63"/>
      <c r="P249" s="63"/>
      <c r="Q249" s="63"/>
      <c r="R249" s="65"/>
      <c r="S249" s="63"/>
      <c r="T249" s="63"/>
      <c r="U249" s="63"/>
      <c r="V249" s="63"/>
      <c r="W249" s="64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4"/>
      <c r="L250" s="65"/>
      <c r="M250" s="63"/>
      <c r="N250" s="63"/>
      <c r="O250" s="63"/>
      <c r="P250" s="63"/>
      <c r="Q250" s="63"/>
      <c r="R250" s="65"/>
      <c r="S250" s="63"/>
      <c r="T250" s="63"/>
      <c r="U250" s="63"/>
      <c r="V250" s="63"/>
      <c r="W250" s="64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  <c r="BD250" s="63"/>
      <c r="BE250" s="63"/>
      <c r="BF250" s="63"/>
      <c r="BG250" s="63"/>
      <c r="BH250" s="63"/>
      <c r="BI250" s="63"/>
      <c r="BJ250" s="63"/>
      <c r="BK250" s="63"/>
      <c r="BL250" s="63"/>
      <c r="BM250" s="63"/>
      <c r="BN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4"/>
      <c r="L251" s="65"/>
      <c r="M251" s="63"/>
      <c r="N251" s="63"/>
      <c r="O251" s="63"/>
      <c r="P251" s="63"/>
      <c r="Q251" s="63"/>
      <c r="R251" s="65"/>
      <c r="S251" s="63"/>
      <c r="T251" s="63"/>
      <c r="U251" s="63"/>
      <c r="V251" s="63"/>
      <c r="W251" s="64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  <c r="BI251" s="63"/>
      <c r="BJ251" s="63"/>
      <c r="BK251" s="63"/>
      <c r="BL251" s="63"/>
      <c r="BM251" s="63"/>
      <c r="BN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4"/>
      <c r="L252" s="65"/>
      <c r="M252" s="63"/>
      <c r="N252" s="63"/>
      <c r="O252" s="63"/>
      <c r="P252" s="63"/>
      <c r="Q252" s="63"/>
      <c r="R252" s="65"/>
      <c r="S252" s="63"/>
      <c r="T252" s="63"/>
      <c r="U252" s="63"/>
      <c r="V252" s="63"/>
      <c r="W252" s="64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  <c r="BD252" s="63"/>
      <c r="BE252" s="63"/>
      <c r="BF252" s="63"/>
      <c r="BG252" s="63"/>
      <c r="BH252" s="63"/>
      <c r="BI252" s="63"/>
      <c r="BJ252" s="63"/>
      <c r="BK252" s="63"/>
      <c r="BL252" s="63"/>
      <c r="BM252" s="63"/>
      <c r="BN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4"/>
      <c r="L253" s="65"/>
      <c r="M253" s="63"/>
      <c r="N253" s="63"/>
      <c r="O253" s="63"/>
      <c r="P253" s="63"/>
      <c r="Q253" s="63"/>
      <c r="R253" s="65"/>
      <c r="S253" s="63"/>
      <c r="T253" s="63"/>
      <c r="U253" s="63"/>
      <c r="V253" s="63"/>
      <c r="W253" s="64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4"/>
      <c r="L254" s="65"/>
      <c r="M254" s="63"/>
      <c r="N254" s="63"/>
      <c r="O254" s="63"/>
      <c r="P254" s="63"/>
      <c r="Q254" s="63"/>
      <c r="R254" s="65"/>
      <c r="S254" s="63"/>
      <c r="T254" s="63"/>
      <c r="U254" s="63"/>
      <c r="V254" s="63"/>
      <c r="W254" s="64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  <c r="BD254" s="63"/>
      <c r="BE254" s="63"/>
      <c r="BF254" s="63"/>
      <c r="BG254" s="63"/>
      <c r="BH254" s="63"/>
      <c r="BI254" s="63"/>
      <c r="BJ254" s="63"/>
      <c r="BK254" s="63"/>
      <c r="BL254" s="63"/>
      <c r="BM254" s="63"/>
      <c r="BN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4"/>
      <c r="L255" s="65"/>
      <c r="M255" s="63"/>
      <c r="N255" s="63"/>
      <c r="O255" s="63"/>
      <c r="P255" s="63"/>
      <c r="Q255" s="63"/>
      <c r="R255" s="65"/>
      <c r="S255" s="63"/>
      <c r="T255" s="63"/>
      <c r="U255" s="63"/>
      <c r="V255" s="63"/>
      <c r="W255" s="64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  <c r="BD255" s="63"/>
      <c r="BE255" s="63"/>
      <c r="BF255" s="63"/>
      <c r="BG255" s="63"/>
      <c r="BH255" s="63"/>
      <c r="BI255" s="63"/>
      <c r="BJ255" s="63"/>
      <c r="BK255" s="63"/>
      <c r="BL255" s="63"/>
      <c r="BM255" s="63"/>
      <c r="BN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4"/>
      <c r="L256" s="65"/>
      <c r="M256" s="63"/>
      <c r="N256" s="63"/>
      <c r="O256" s="63"/>
      <c r="P256" s="63"/>
      <c r="Q256" s="63"/>
      <c r="R256" s="65"/>
      <c r="S256" s="63"/>
      <c r="T256" s="63"/>
      <c r="U256" s="63"/>
      <c r="V256" s="63"/>
      <c r="W256" s="64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  <c r="BB256" s="63"/>
      <c r="BC256" s="63"/>
      <c r="BD256" s="63"/>
      <c r="BE256" s="63"/>
      <c r="BF256" s="63"/>
      <c r="BG256" s="63"/>
      <c r="BH256" s="63"/>
      <c r="BI256" s="63"/>
      <c r="BJ256" s="63"/>
      <c r="BK256" s="63"/>
      <c r="BL256" s="63"/>
      <c r="BM256" s="63"/>
      <c r="BN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4"/>
      <c r="L257" s="65"/>
      <c r="M257" s="63"/>
      <c r="N257" s="63"/>
      <c r="O257" s="63"/>
      <c r="P257" s="63"/>
      <c r="Q257" s="63"/>
      <c r="R257" s="65"/>
      <c r="S257" s="63"/>
      <c r="T257" s="63"/>
      <c r="U257" s="63"/>
      <c r="V257" s="63"/>
      <c r="W257" s="64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63"/>
      <c r="BD257" s="63"/>
      <c r="BE257" s="63"/>
      <c r="BF257" s="63"/>
      <c r="BG257" s="63"/>
      <c r="BH257" s="63"/>
      <c r="BI257" s="63"/>
      <c r="BJ257" s="63"/>
      <c r="BK257" s="63"/>
      <c r="BL257" s="63"/>
      <c r="BM257" s="63"/>
      <c r="BN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4"/>
      <c r="L258" s="65"/>
      <c r="M258" s="63"/>
      <c r="N258" s="63"/>
      <c r="O258" s="63"/>
      <c r="P258" s="63"/>
      <c r="Q258" s="63"/>
      <c r="R258" s="65"/>
      <c r="S258" s="63"/>
      <c r="T258" s="63"/>
      <c r="U258" s="63"/>
      <c r="V258" s="63"/>
      <c r="W258" s="64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  <c r="AY258" s="63"/>
      <c r="AZ258" s="63"/>
      <c r="BA258" s="63"/>
      <c r="BB258" s="63"/>
      <c r="BC258" s="63"/>
      <c r="BD258" s="63"/>
      <c r="BE258" s="63"/>
      <c r="BF258" s="63"/>
      <c r="BG258" s="63"/>
      <c r="BH258" s="63"/>
      <c r="BI258" s="63"/>
      <c r="BJ258" s="63"/>
      <c r="BK258" s="63"/>
      <c r="BL258" s="63"/>
      <c r="BM258" s="63"/>
      <c r="BN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4"/>
      <c r="L259" s="65"/>
      <c r="M259" s="63"/>
      <c r="N259" s="63"/>
      <c r="O259" s="63"/>
      <c r="P259" s="63"/>
      <c r="Q259" s="63"/>
      <c r="R259" s="65"/>
      <c r="S259" s="63"/>
      <c r="T259" s="63"/>
      <c r="U259" s="63"/>
      <c r="V259" s="63"/>
      <c r="W259" s="64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  <c r="BC259" s="63"/>
      <c r="BD259" s="63"/>
      <c r="BE259" s="63"/>
      <c r="BF259" s="63"/>
      <c r="BG259" s="63"/>
      <c r="BH259" s="63"/>
      <c r="BI259" s="63"/>
      <c r="BJ259" s="63"/>
      <c r="BK259" s="63"/>
      <c r="BL259" s="63"/>
      <c r="BM259" s="63"/>
      <c r="BN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4"/>
      <c r="L260" s="65"/>
      <c r="M260" s="63"/>
      <c r="N260" s="63"/>
      <c r="O260" s="63"/>
      <c r="P260" s="63"/>
      <c r="Q260" s="63"/>
      <c r="R260" s="65"/>
      <c r="S260" s="63"/>
      <c r="T260" s="63"/>
      <c r="U260" s="63"/>
      <c r="V260" s="63"/>
      <c r="W260" s="64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3"/>
      <c r="AX260" s="63"/>
      <c r="AY260" s="63"/>
      <c r="AZ260" s="63"/>
      <c r="BA260" s="63"/>
      <c r="BB260" s="63"/>
      <c r="BC260" s="63"/>
      <c r="BD260" s="63"/>
      <c r="BE260" s="63"/>
      <c r="BF260" s="63"/>
      <c r="BG260" s="63"/>
      <c r="BH260" s="63"/>
      <c r="BI260" s="63"/>
      <c r="BJ260" s="63"/>
      <c r="BK260" s="63"/>
      <c r="BL260" s="63"/>
      <c r="BM260" s="63"/>
      <c r="BN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4"/>
      <c r="L261" s="65"/>
      <c r="M261" s="63"/>
      <c r="N261" s="63"/>
      <c r="O261" s="63"/>
      <c r="P261" s="63"/>
      <c r="Q261" s="63"/>
      <c r="R261" s="65"/>
      <c r="S261" s="63"/>
      <c r="T261" s="63"/>
      <c r="U261" s="63"/>
      <c r="V261" s="63"/>
      <c r="W261" s="64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  <c r="BD261" s="63"/>
      <c r="BE261" s="63"/>
      <c r="BF261" s="63"/>
      <c r="BG261" s="63"/>
      <c r="BH261" s="63"/>
      <c r="BI261" s="63"/>
      <c r="BJ261" s="63"/>
      <c r="BK261" s="63"/>
      <c r="BL261" s="63"/>
      <c r="BM261" s="63"/>
      <c r="BN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4"/>
      <c r="L262" s="65"/>
      <c r="M262" s="63"/>
      <c r="N262" s="63"/>
      <c r="O262" s="63"/>
      <c r="P262" s="63"/>
      <c r="Q262" s="63"/>
      <c r="R262" s="65"/>
      <c r="S262" s="63"/>
      <c r="T262" s="63"/>
      <c r="U262" s="63"/>
      <c r="V262" s="63"/>
      <c r="W262" s="64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  <c r="BA262" s="63"/>
      <c r="BB262" s="63"/>
      <c r="BC262" s="63"/>
      <c r="BD262" s="63"/>
      <c r="BE262" s="63"/>
      <c r="BF262" s="63"/>
      <c r="BG262" s="63"/>
      <c r="BH262" s="63"/>
      <c r="BI262" s="63"/>
      <c r="BJ262" s="63"/>
      <c r="BK262" s="63"/>
      <c r="BL262" s="63"/>
      <c r="BM262" s="63"/>
      <c r="BN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4"/>
      <c r="L263" s="65"/>
      <c r="M263" s="63"/>
      <c r="N263" s="63"/>
      <c r="O263" s="63"/>
      <c r="P263" s="63"/>
      <c r="Q263" s="63"/>
      <c r="R263" s="65"/>
      <c r="S263" s="63"/>
      <c r="T263" s="63"/>
      <c r="U263" s="63"/>
      <c r="V263" s="63"/>
      <c r="W263" s="64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  <c r="BC263" s="63"/>
      <c r="BD263" s="63"/>
      <c r="BE263" s="63"/>
      <c r="BF263" s="63"/>
      <c r="BG263" s="63"/>
      <c r="BH263" s="63"/>
      <c r="BI263" s="63"/>
      <c r="BJ263" s="63"/>
      <c r="BK263" s="63"/>
      <c r="BL263" s="63"/>
      <c r="BM263" s="63"/>
      <c r="BN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4"/>
      <c r="L264" s="65"/>
      <c r="M264" s="63"/>
      <c r="N264" s="63"/>
      <c r="O264" s="63"/>
      <c r="P264" s="63"/>
      <c r="Q264" s="63"/>
      <c r="R264" s="65"/>
      <c r="S264" s="63"/>
      <c r="T264" s="63"/>
      <c r="U264" s="63"/>
      <c r="V264" s="63"/>
      <c r="W264" s="64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  <c r="AY264" s="63"/>
      <c r="AZ264" s="63"/>
      <c r="BA264" s="63"/>
      <c r="BB264" s="63"/>
      <c r="BC264" s="63"/>
      <c r="BD264" s="63"/>
      <c r="BE264" s="63"/>
      <c r="BF264" s="63"/>
      <c r="BG264" s="63"/>
      <c r="BH264" s="63"/>
      <c r="BI264" s="63"/>
      <c r="BJ264" s="63"/>
      <c r="BK264" s="63"/>
      <c r="BL264" s="63"/>
      <c r="BM264" s="63"/>
      <c r="BN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4"/>
      <c r="L265" s="65"/>
      <c r="M265" s="63"/>
      <c r="N265" s="63"/>
      <c r="O265" s="63"/>
      <c r="P265" s="63"/>
      <c r="Q265" s="63"/>
      <c r="R265" s="65"/>
      <c r="S265" s="63"/>
      <c r="T265" s="63"/>
      <c r="U265" s="63"/>
      <c r="V265" s="63"/>
      <c r="W265" s="64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  <c r="BC265" s="63"/>
      <c r="BD265" s="63"/>
      <c r="BE265" s="63"/>
      <c r="BF265" s="63"/>
      <c r="BG265" s="63"/>
      <c r="BH265" s="63"/>
      <c r="BI265" s="63"/>
      <c r="BJ265" s="63"/>
      <c r="BK265" s="63"/>
      <c r="BL265" s="63"/>
      <c r="BM265" s="63"/>
      <c r="BN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4"/>
      <c r="L266" s="65"/>
      <c r="M266" s="63"/>
      <c r="N266" s="63"/>
      <c r="O266" s="63"/>
      <c r="P266" s="63"/>
      <c r="Q266" s="63"/>
      <c r="R266" s="65"/>
      <c r="S266" s="63"/>
      <c r="T266" s="63"/>
      <c r="U266" s="63"/>
      <c r="V266" s="63"/>
      <c r="W266" s="64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  <c r="BB266" s="63"/>
      <c r="BC266" s="63"/>
      <c r="BD266" s="63"/>
      <c r="BE266" s="63"/>
      <c r="BF266" s="63"/>
      <c r="BG266" s="63"/>
      <c r="BH266" s="63"/>
      <c r="BI266" s="63"/>
      <c r="BJ266" s="63"/>
      <c r="BK266" s="63"/>
      <c r="BL266" s="63"/>
      <c r="BM266" s="63"/>
      <c r="BN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4"/>
      <c r="L267" s="65"/>
      <c r="M267" s="63"/>
      <c r="N267" s="63"/>
      <c r="O267" s="63"/>
      <c r="P267" s="63"/>
      <c r="Q267" s="63"/>
      <c r="R267" s="65"/>
      <c r="S267" s="63"/>
      <c r="T267" s="63"/>
      <c r="U267" s="63"/>
      <c r="V267" s="63"/>
      <c r="W267" s="64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  <c r="BC267" s="63"/>
      <c r="BD267" s="63"/>
      <c r="BE267" s="63"/>
      <c r="BF267" s="63"/>
      <c r="BG267" s="63"/>
      <c r="BH267" s="63"/>
      <c r="BI267" s="63"/>
      <c r="BJ267" s="63"/>
      <c r="BK267" s="63"/>
      <c r="BL267" s="63"/>
      <c r="BM267" s="63"/>
      <c r="BN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4"/>
      <c r="L268" s="65"/>
      <c r="M268" s="63"/>
      <c r="N268" s="63"/>
      <c r="O268" s="63"/>
      <c r="P268" s="63"/>
      <c r="Q268" s="63"/>
      <c r="R268" s="65"/>
      <c r="S268" s="63"/>
      <c r="T268" s="63"/>
      <c r="U268" s="63"/>
      <c r="V268" s="63"/>
      <c r="W268" s="64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  <c r="BB268" s="63"/>
      <c r="BC268" s="63"/>
      <c r="BD268" s="63"/>
      <c r="BE268" s="63"/>
      <c r="BF268" s="63"/>
      <c r="BG268" s="63"/>
      <c r="BH268" s="63"/>
      <c r="BI268" s="63"/>
      <c r="BJ268" s="63"/>
      <c r="BK268" s="63"/>
      <c r="BL268" s="63"/>
      <c r="BM268" s="63"/>
      <c r="BN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4"/>
      <c r="L269" s="65"/>
      <c r="M269" s="63"/>
      <c r="N269" s="63"/>
      <c r="O269" s="63"/>
      <c r="P269" s="63"/>
      <c r="Q269" s="63"/>
      <c r="R269" s="65"/>
      <c r="S269" s="63"/>
      <c r="T269" s="63"/>
      <c r="U269" s="63"/>
      <c r="V269" s="63"/>
      <c r="W269" s="64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/>
      <c r="BD269" s="63"/>
      <c r="BE269" s="63"/>
      <c r="BF269" s="63"/>
      <c r="BG269" s="63"/>
      <c r="BH269" s="63"/>
      <c r="BI269" s="63"/>
      <c r="BJ269" s="63"/>
      <c r="BK269" s="63"/>
      <c r="BL269" s="63"/>
      <c r="BM269" s="63"/>
      <c r="BN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4"/>
      <c r="L270" s="65"/>
      <c r="M270" s="63"/>
      <c r="N270" s="63"/>
      <c r="O270" s="63"/>
      <c r="P270" s="63"/>
      <c r="Q270" s="63"/>
      <c r="R270" s="65"/>
      <c r="S270" s="63"/>
      <c r="T270" s="63"/>
      <c r="U270" s="63"/>
      <c r="V270" s="63"/>
      <c r="W270" s="64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  <c r="BD270" s="63"/>
      <c r="BE270" s="63"/>
      <c r="BF270" s="63"/>
      <c r="BG270" s="63"/>
      <c r="BH270" s="63"/>
      <c r="BI270" s="63"/>
      <c r="BJ270" s="63"/>
      <c r="BK270" s="63"/>
      <c r="BL270" s="63"/>
      <c r="BM270" s="63"/>
      <c r="BN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4"/>
      <c r="L271" s="65"/>
      <c r="M271" s="63"/>
      <c r="N271" s="63"/>
      <c r="O271" s="63"/>
      <c r="P271" s="63"/>
      <c r="Q271" s="63"/>
      <c r="R271" s="65"/>
      <c r="S271" s="63"/>
      <c r="T271" s="63"/>
      <c r="U271" s="63"/>
      <c r="V271" s="63"/>
      <c r="W271" s="64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/>
      <c r="BD271" s="63"/>
      <c r="BE271" s="63"/>
      <c r="BF271" s="63"/>
      <c r="BG271" s="63"/>
      <c r="BH271" s="63"/>
      <c r="BI271" s="63"/>
      <c r="BJ271" s="63"/>
      <c r="BK271" s="63"/>
      <c r="BL271" s="63"/>
      <c r="BM271" s="63"/>
      <c r="BN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4"/>
      <c r="L272" s="65"/>
      <c r="M272" s="63"/>
      <c r="N272" s="63"/>
      <c r="O272" s="63"/>
      <c r="P272" s="63"/>
      <c r="Q272" s="63"/>
      <c r="R272" s="65"/>
      <c r="S272" s="63"/>
      <c r="T272" s="63"/>
      <c r="U272" s="63"/>
      <c r="V272" s="63"/>
      <c r="W272" s="64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  <c r="BC272" s="63"/>
      <c r="BD272" s="63"/>
      <c r="BE272" s="63"/>
      <c r="BF272" s="63"/>
      <c r="BG272" s="63"/>
      <c r="BH272" s="63"/>
      <c r="BI272" s="63"/>
      <c r="BJ272" s="63"/>
      <c r="BK272" s="63"/>
      <c r="BL272" s="63"/>
      <c r="BM272" s="63"/>
      <c r="BN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4"/>
      <c r="L273" s="65"/>
      <c r="M273" s="63"/>
      <c r="N273" s="63"/>
      <c r="O273" s="63"/>
      <c r="P273" s="63"/>
      <c r="Q273" s="63"/>
      <c r="R273" s="65"/>
      <c r="S273" s="63"/>
      <c r="T273" s="63"/>
      <c r="U273" s="63"/>
      <c r="V273" s="63"/>
      <c r="W273" s="64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/>
      <c r="BD273" s="63"/>
      <c r="BE273" s="63"/>
      <c r="BF273" s="63"/>
      <c r="BG273" s="63"/>
      <c r="BH273" s="63"/>
      <c r="BI273" s="63"/>
      <c r="BJ273" s="63"/>
      <c r="BK273" s="63"/>
      <c r="BL273" s="63"/>
      <c r="BM273" s="63"/>
      <c r="BN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4"/>
      <c r="L274" s="65"/>
      <c r="M274" s="63"/>
      <c r="N274" s="63"/>
      <c r="O274" s="63"/>
      <c r="P274" s="63"/>
      <c r="Q274" s="63"/>
      <c r="R274" s="65"/>
      <c r="S274" s="63"/>
      <c r="T274" s="63"/>
      <c r="U274" s="63"/>
      <c r="V274" s="63"/>
      <c r="W274" s="64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  <c r="BC274" s="63"/>
      <c r="BD274" s="63"/>
      <c r="BE274" s="63"/>
      <c r="BF274" s="63"/>
      <c r="BG274" s="63"/>
      <c r="BH274" s="63"/>
      <c r="BI274" s="63"/>
      <c r="BJ274" s="63"/>
      <c r="BK274" s="63"/>
      <c r="BL274" s="63"/>
      <c r="BM274" s="63"/>
      <c r="BN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4"/>
      <c r="L275" s="65"/>
      <c r="M275" s="63"/>
      <c r="N275" s="63"/>
      <c r="O275" s="63"/>
      <c r="P275" s="63"/>
      <c r="Q275" s="63"/>
      <c r="R275" s="65"/>
      <c r="S275" s="63"/>
      <c r="T275" s="63"/>
      <c r="U275" s="63"/>
      <c r="V275" s="63"/>
      <c r="W275" s="64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63"/>
      <c r="BD275" s="63"/>
      <c r="BE275" s="63"/>
      <c r="BF275" s="63"/>
      <c r="BG275" s="63"/>
      <c r="BH275" s="63"/>
      <c r="BI275" s="63"/>
      <c r="BJ275" s="63"/>
      <c r="BK275" s="63"/>
      <c r="BL275" s="63"/>
      <c r="BM275" s="63"/>
      <c r="BN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4"/>
      <c r="L276" s="65"/>
      <c r="M276" s="63"/>
      <c r="N276" s="63"/>
      <c r="O276" s="63"/>
      <c r="P276" s="63"/>
      <c r="Q276" s="63"/>
      <c r="R276" s="65"/>
      <c r="S276" s="63"/>
      <c r="T276" s="63"/>
      <c r="U276" s="63"/>
      <c r="V276" s="63"/>
      <c r="W276" s="64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  <c r="BC276" s="63"/>
      <c r="BD276" s="63"/>
      <c r="BE276" s="63"/>
      <c r="BF276" s="63"/>
      <c r="BG276" s="63"/>
      <c r="BH276" s="63"/>
      <c r="BI276" s="63"/>
      <c r="BJ276" s="63"/>
      <c r="BK276" s="63"/>
      <c r="BL276" s="63"/>
      <c r="BM276" s="63"/>
      <c r="BN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4"/>
      <c r="L277" s="65"/>
      <c r="M277" s="63"/>
      <c r="N277" s="63"/>
      <c r="O277" s="63"/>
      <c r="P277" s="63"/>
      <c r="Q277" s="63"/>
      <c r="R277" s="65"/>
      <c r="S277" s="63"/>
      <c r="T277" s="63"/>
      <c r="U277" s="63"/>
      <c r="V277" s="63"/>
      <c r="W277" s="64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/>
      <c r="BD277" s="63"/>
      <c r="BE277" s="63"/>
      <c r="BF277" s="63"/>
      <c r="BG277" s="63"/>
      <c r="BH277" s="63"/>
      <c r="BI277" s="63"/>
      <c r="BJ277" s="63"/>
      <c r="BK277" s="63"/>
      <c r="BL277" s="63"/>
      <c r="BM277" s="63"/>
      <c r="BN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4"/>
      <c r="L278" s="65"/>
      <c r="M278" s="63"/>
      <c r="N278" s="63"/>
      <c r="O278" s="63"/>
      <c r="P278" s="63"/>
      <c r="Q278" s="63"/>
      <c r="R278" s="65"/>
      <c r="S278" s="63"/>
      <c r="T278" s="63"/>
      <c r="U278" s="63"/>
      <c r="V278" s="63"/>
      <c r="W278" s="64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  <c r="BC278" s="63"/>
      <c r="BD278" s="63"/>
      <c r="BE278" s="63"/>
      <c r="BF278" s="63"/>
      <c r="BG278" s="63"/>
      <c r="BH278" s="63"/>
      <c r="BI278" s="63"/>
      <c r="BJ278" s="63"/>
      <c r="BK278" s="63"/>
      <c r="BL278" s="63"/>
      <c r="BM278" s="63"/>
      <c r="BN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4"/>
      <c r="L279" s="65"/>
      <c r="M279" s="63"/>
      <c r="N279" s="63"/>
      <c r="O279" s="63"/>
      <c r="P279" s="63"/>
      <c r="Q279" s="63"/>
      <c r="R279" s="65"/>
      <c r="S279" s="63"/>
      <c r="T279" s="63"/>
      <c r="U279" s="63"/>
      <c r="V279" s="63"/>
      <c r="W279" s="64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  <c r="BC279" s="63"/>
      <c r="BD279" s="63"/>
      <c r="BE279" s="63"/>
      <c r="BF279" s="63"/>
      <c r="BG279" s="63"/>
      <c r="BH279" s="63"/>
      <c r="BI279" s="63"/>
      <c r="BJ279" s="63"/>
      <c r="BK279" s="63"/>
      <c r="BL279" s="63"/>
      <c r="BM279" s="63"/>
      <c r="BN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4"/>
      <c r="L280" s="65"/>
      <c r="M280" s="63"/>
      <c r="N280" s="63"/>
      <c r="O280" s="63"/>
      <c r="P280" s="63"/>
      <c r="Q280" s="63"/>
      <c r="R280" s="65"/>
      <c r="S280" s="63"/>
      <c r="T280" s="63"/>
      <c r="U280" s="63"/>
      <c r="V280" s="63"/>
      <c r="W280" s="64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3"/>
      <c r="BB280" s="63"/>
      <c r="BC280" s="63"/>
      <c r="BD280" s="63"/>
      <c r="BE280" s="63"/>
      <c r="BF280" s="63"/>
      <c r="BG280" s="63"/>
      <c r="BH280" s="63"/>
      <c r="BI280" s="63"/>
      <c r="BJ280" s="63"/>
      <c r="BK280" s="63"/>
      <c r="BL280" s="63"/>
      <c r="BM280" s="63"/>
      <c r="BN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4"/>
      <c r="L281" s="65"/>
      <c r="M281" s="63"/>
      <c r="N281" s="63"/>
      <c r="O281" s="63"/>
      <c r="P281" s="63"/>
      <c r="Q281" s="63"/>
      <c r="R281" s="65"/>
      <c r="S281" s="63"/>
      <c r="T281" s="63"/>
      <c r="U281" s="63"/>
      <c r="V281" s="63"/>
      <c r="W281" s="64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63"/>
      <c r="BD281" s="63"/>
      <c r="BE281" s="63"/>
      <c r="BF281" s="63"/>
      <c r="BG281" s="63"/>
      <c r="BH281" s="63"/>
      <c r="BI281" s="63"/>
      <c r="BJ281" s="63"/>
      <c r="BK281" s="63"/>
      <c r="BL281" s="63"/>
      <c r="BM281" s="63"/>
      <c r="BN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4"/>
      <c r="L282" s="65"/>
      <c r="M282" s="63"/>
      <c r="N282" s="63"/>
      <c r="O282" s="63"/>
      <c r="P282" s="63"/>
      <c r="Q282" s="63"/>
      <c r="R282" s="65"/>
      <c r="S282" s="63"/>
      <c r="T282" s="63"/>
      <c r="U282" s="63"/>
      <c r="V282" s="63"/>
      <c r="W282" s="64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  <c r="BC282" s="63"/>
      <c r="BD282" s="63"/>
      <c r="BE282" s="63"/>
      <c r="BF282" s="63"/>
      <c r="BG282" s="63"/>
      <c r="BH282" s="63"/>
      <c r="BI282" s="63"/>
      <c r="BJ282" s="63"/>
      <c r="BK282" s="63"/>
      <c r="BL282" s="63"/>
      <c r="BM282" s="63"/>
      <c r="BN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4"/>
      <c r="L283" s="65"/>
      <c r="M283" s="63"/>
      <c r="N283" s="63"/>
      <c r="O283" s="63"/>
      <c r="P283" s="63"/>
      <c r="Q283" s="63"/>
      <c r="R283" s="65"/>
      <c r="S283" s="63"/>
      <c r="T283" s="63"/>
      <c r="U283" s="63"/>
      <c r="V283" s="63"/>
      <c r="W283" s="64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  <c r="BB283" s="63"/>
      <c r="BC283" s="63"/>
      <c r="BD283" s="63"/>
      <c r="BE283" s="63"/>
      <c r="BF283" s="63"/>
      <c r="BG283" s="63"/>
      <c r="BH283" s="63"/>
      <c r="BI283" s="63"/>
      <c r="BJ283" s="63"/>
      <c r="BK283" s="63"/>
      <c r="BL283" s="63"/>
      <c r="BM283" s="63"/>
      <c r="BN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4"/>
      <c r="L284" s="65"/>
      <c r="M284" s="63"/>
      <c r="N284" s="63"/>
      <c r="O284" s="63"/>
      <c r="P284" s="63"/>
      <c r="Q284" s="63"/>
      <c r="R284" s="65"/>
      <c r="S284" s="63"/>
      <c r="T284" s="63"/>
      <c r="U284" s="63"/>
      <c r="V284" s="63"/>
      <c r="W284" s="64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3"/>
      <c r="AX284" s="63"/>
      <c r="AY284" s="63"/>
      <c r="AZ284" s="63"/>
      <c r="BA284" s="63"/>
      <c r="BB284" s="63"/>
      <c r="BC284" s="63"/>
      <c r="BD284" s="63"/>
      <c r="BE284" s="63"/>
      <c r="BF284" s="63"/>
      <c r="BG284" s="63"/>
      <c r="BH284" s="63"/>
      <c r="BI284" s="63"/>
      <c r="BJ284" s="63"/>
      <c r="BK284" s="63"/>
      <c r="BL284" s="63"/>
      <c r="BM284" s="63"/>
      <c r="BN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4"/>
      <c r="L285" s="65"/>
      <c r="M285" s="63"/>
      <c r="N285" s="63"/>
      <c r="O285" s="63"/>
      <c r="P285" s="63"/>
      <c r="Q285" s="63"/>
      <c r="R285" s="65"/>
      <c r="S285" s="63"/>
      <c r="T285" s="63"/>
      <c r="U285" s="63"/>
      <c r="V285" s="63"/>
      <c r="W285" s="64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  <c r="BC285" s="63"/>
      <c r="BD285" s="63"/>
      <c r="BE285" s="63"/>
      <c r="BF285" s="63"/>
      <c r="BG285" s="63"/>
      <c r="BH285" s="63"/>
      <c r="BI285" s="63"/>
      <c r="BJ285" s="63"/>
      <c r="BK285" s="63"/>
      <c r="BL285" s="63"/>
      <c r="BM285" s="63"/>
      <c r="BN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4"/>
      <c r="L286" s="65"/>
      <c r="M286" s="63"/>
      <c r="N286" s="63"/>
      <c r="O286" s="63"/>
      <c r="P286" s="63"/>
      <c r="Q286" s="63"/>
      <c r="R286" s="65"/>
      <c r="S286" s="63"/>
      <c r="T286" s="63"/>
      <c r="U286" s="63"/>
      <c r="V286" s="63"/>
      <c r="W286" s="64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3"/>
      <c r="AX286" s="63"/>
      <c r="AY286" s="63"/>
      <c r="AZ286" s="63"/>
      <c r="BA286" s="63"/>
      <c r="BB286" s="63"/>
      <c r="BC286" s="63"/>
      <c r="BD286" s="63"/>
      <c r="BE286" s="63"/>
      <c r="BF286" s="63"/>
      <c r="BG286" s="63"/>
      <c r="BH286" s="63"/>
      <c r="BI286" s="63"/>
      <c r="BJ286" s="63"/>
      <c r="BK286" s="63"/>
      <c r="BL286" s="63"/>
      <c r="BM286" s="63"/>
      <c r="BN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4"/>
      <c r="L287" s="65"/>
      <c r="M287" s="63"/>
      <c r="N287" s="63"/>
      <c r="O287" s="63"/>
      <c r="P287" s="63"/>
      <c r="Q287" s="63"/>
      <c r="R287" s="65"/>
      <c r="S287" s="63"/>
      <c r="T287" s="63"/>
      <c r="U287" s="63"/>
      <c r="V287" s="63"/>
      <c r="W287" s="64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  <c r="BC287" s="63"/>
      <c r="BD287" s="63"/>
      <c r="BE287" s="63"/>
      <c r="BF287" s="63"/>
      <c r="BG287" s="63"/>
      <c r="BH287" s="63"/>
      <c r="BI287" s="63"/>
      <c r="BJ287" s="63"/>
      <c r="BK287" s="63"/>
      <c r="BL287" s="63"/>
      <c r="BM287" s="63"/>
      <c r="BN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4"/>
      <c r="L288" s="65"/>
      <c r="M288" s="63"/>
      <c r="N288" s="63"/>
      <c r="O288" s="63"/>
      <c r="P288" s="63"/>
      <c r="Q288" s="63"/>
      <c r="R288" s="65"/>
      <c r="S288" s="63"/>
      <c r="T288" s="63"/>
      <c r="U288" s="63"/>
      <c r="V288" s="63"/>
      <c r="W288" s="64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3"/>
      <c r="AX288" s="63"/>
      <c r="AY288" s="63"/>
      <c r="AZ288" s="63"/>
      <c r="BA288" s="63"/>
      <c r="BB288" s="63"/>
      <c r="BC288" s="63"/>
      <c r="BD288" s="63"/>
      <c r="BE288" s="63"/>
      <c r="BF288" s="63"/>
      <c r="BG288" s="63"/>
      <c r="BH288" s="63"/>
      <c r="BI288" s="63"/>
      <c r="BJ288" s="63"/>
      <c r="BK288" s="63"/>
      <c r="BL288" s="63"/>
      <c r="BM288" s="63"/>
      <c r="BN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4"/>
      <c r="L289" s="65"/>
      <c r="M289" s="63"/>
      <c r="N289" s="63"/>
      <c r="O289" s="63"/>
      <c r="P289" s="63"/>
      <c r="Q289" s="63"/>
      <c r="R289" s="65"/>
      <c r="S289" s="63"/>
      <c r="T289" s="63"/>
      <c r="U289" s="63"/>
      <c r="V289" s="63"/>
      <c r="W289" s="64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  <c r="BB289" s="63"/>
      <c r="BC289" s="63"/>
      <c r="BD289" s="63"/>
      <c r="BE289" s="63"/>
      <c r="BF289" s="63"/>
      <c r="BG289" s="63"/>
      <c r="BH289" s="63"/>
      <c r="BI289" s="63"/>
      <c r="BJ289" s="63"/>
      <c r="BK289" s="63"/>
      <c r="BL289" s="63"/>
      <c r="BM289" s="63"/>
      <c r="BN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4"/>
      <c r="L290" s="65"/>
      <c r="M290" s="63"/>
      <c r="N290" s="63"/>
      <c r="O290" s="63"/>
      <c r="P290" s="63"/>
      <c r="Q290" s="63"/>
      <c r="R290" s="65"/>
      <c r="S290" s="63"/>
      <c r="T290" s="63"/>
      <c r="U290" s="63"/>
      <c r="V290" s="63"/>
      <c r="W290" s="64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  <c r="BA290" s="63"/>
      <c r="BB290" s="63"/>
      <c r="BC290" s="63"/>
      <c r="BD290" s="63"/>
      <c r="BE290" s="63"/>
      <c r="BF290" s="63"/>
      <c r="BG290" s="63"/>
      <c r="BH290" s="63"/>
      <c r="BI290" s="63"/>
      <c r="BJ290" s="63"/>
      <c r="BK290" s="63"/>
      <c r="BL290" s="63"/>
      <c r="BM290" s="63"/>
      <c r="BN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4"/>
      <c r="L291" s="65"/>
      <c r="M291" s="63"/>
      <c r="N291" s="63"/>
      <c r="O291" s="63"/>
      <c r="P291" s="63"/>
      <c r="Q291" s="63"/>
      <c r="R291" s="65"/>
      <c r="S291" s="63"/>
      <c r="T291" s="63"/>
      <c r="U291" s="63"/>
      <c r="V291" s="63"/>
      <c r="W291" s="64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63"/>
      <c r="BD291" s="63"/>
      <c r="BE291" s="63"/>
      <c r="BF291" s="63"/>
      <c r="BG291" s="63"/>
      <c r="BH291" s="63"/>
      <c r="BI291" s="63"/>
      <c r="BJ291" s="63"/>
      <c r="BK291" s="63"/>
      <c r="BL291" s="63"/>
      <c r="BM291" s="63"/>
      <c r="BN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4"/>
      <c r="L292" s="65"/>
      <c r="M292" s="63"/>
      <c r="N292" s="63"/>
      <c r="O292" s="63"/>
      <c r="P292" s="63"/>
      <c r="Q292" s="63"/>
      <c r="R292" s="65"/>
      <c r="S292" s="63"/>
      <c r="T292" s="63"/>
      <c r="U292" s="63"/>
      <c r="V292" s="63"/>
      <c r="W292" s="64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  <c r="BC292" s="63"/>
      <c r="BD292" s="63"/>
      <c r="BE292" s="63"/>
      <c r="BF292" s="63"/>
      <c r="BG292" s="63"/>
      <c r="BH292" s="63"/>
      <c r="BI292" s="63"/>
      <c r="BJ292" s="63"/>
      <c r="BK292" s="63"/>
      <c r="BL292" s="63"/>
      <c r="BM292" s="63"/>
      <c r="BN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4"/>
      <c r="L293" s="65"/>
      <c r="M293" s="63"/>
      <c r="N293" s="63"/>
      <c r="O293" s="63"/>
      <c r="P293" s="63"/>
      <c r="Q293" s="63"/>
      <c r="R293" s="65"/>
      <c r="S293" s="63"/>
      <c r="T293" s="63"/>
      <c r="U293" s="63"/>
      <c r="V293" s="63"/>
      <c r="W293" s="64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63"/>
      <c r="BD293" s="63"/>
      <c r="BE293" s="63"/>
      <c r="BF293" s="63"/>
      <c r="BG293" s="63"/>
      <c r="BH293" s="63"/>
      <c r="BI293" s="63"/>
      <c r="BJ293" s="63"/>
      <c r="BK293" s="63"/>
      <c r="BL293" s="63"/>
      <c r="BM293" s="63"/>
      <c r="BN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4"/>
      <c r="L294" s="65"/>
      <c r="M294" s="63"/>
      <c r="N294" s="63"/>
      <c r="O294" s="63"/>
      <c r="P294" s="63"/>
      <c r="Q294" s="63"/>
      <c r="R294" s="65"/>
      <c r="S294" s="63"/>
      <c r="T294" s="63"/>
      <c r="U294" s="63"/>
      <c r="V294" s="63"/>
      <c r="W294" s="64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63"/>
      <c r="BD294" s="63"/>
      <c r="BE294" s="63"/>
      <c r="BF294" s="63"/>
      <c r="BG294" s="63"/>
      <c r="BH294" s="63"/>
      <c r="BI294" s="63"/>
      <c r="BJ294" s="63"/>
      <c r="BK294" s="63"/>
      <c r="BL294" s="63"/>
      <c r="BM294" s="63"/>
      <c r="BN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4"/>
      <c r="L295" s="65"/>
      <c r="M295" s="63"/>
      <c r="N295" s="63"/>
      <c r="O295" s="63"/>
      <c r="P295" s="63"/>
      <c r="Q295" s="63"/>
      <c r="R295" s="65"/>
      <c r="S295" s="63"/>
      <c r="T295" s="63"/>
      <c r="U295" s="63"/>
      <c r="V295" s="63"/>
      <c r="W295" s="64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  <c r="BC295" s="63"/>
      <c r="BD295" s="63"/>
      <c r="BE295" s="63"/>
      <c r="BF295" s="63"/>
      <c r="BG295" s="63"/>
      <c r="BH295" s="63"/>
      <c r="BI295" s="63"/>
      <c r="BJ295" s="63"/>
      <c r="BK295" s="63"/>
      <c r="BL295" s="63"/>
      <c r="BM295" s="63"/>
      <c r="BN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4"/>
      <c r="L296" s="65"/>
      <c r="M296" s="63"/>
      <c r="N296" s="63"/>
      <c r="O296" s="63"/>
      <c r="P296" s="63"/>
      <c r="Q296" s="63"/>
      <c r="R296" s="65"/>
      <c r="S296" s="63"/>
      <c r="T296" s="63"/>
      <c r="U296" s="63"/>
      <c r="V296" s="63"/>
      <c r="W296" s="64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3"/>
      <c r="BA296" s="63"/>
      <c r="BB296" s="63"/>
      <c r="BC296" s="63"/>
      <c r="BD296" s="63"/>
      <c r="BE296" s="63"/>
      <c r="BF296" s="63"/>
      <c r="BG296" s="63"/>
      <c r="BH296" s="63"/>
      <c r="BI296" s="63"/>
      <c r="BJ296" s="63"/>
      <c r="BK296" s="63"/>
      <c r="BL296" s="63"/>
      <c r="BM296" s="63"/>
      <c r="BN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4"/>
      <c r="L297" s="65"/>
      <c r="M297" s="63"/>
      <c r="N297" s="63"/>
      <c r="O297" s="63"/>
      <c r="P297" s="63"/>
      <c r="Q297" s="63"/>
      <c r="R297" s="65"/>
      <c r="S297" s="63"/>
      <c r="T297" s="63"/>
      <c r="U297" s="63"/>
      <c r="V297" s="63"/>
      <c r="W297" s="64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  <c r="BC297" s="63"/>
      <c r="BD297" s="63"/>
      <c r="BE297" s="63"/>
      <c r="BF297" s="63"/>
      <c r="BG297" s="63"/>
      <c r="BH297" s="63"/>
      <c r="BI297" s="63"/>
      <c r="BJ297" s="63"/>
      <c r="BK297" s="63"/>
      <c r="BL297" s="63"/>
      <c r="BM297" s="63"/>
      <c r="BN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4"/>
      <c r="L298" s="65"/>
      <c r="M298" s="63"/>
      <c r="N298" s="63"/>
      <c r="O298" s="63"/>
      <c r="P298" s="63"/>
      <c r="Q298" s="63"/>
      <c r="R298" s="65"/>
      <c r="S298" s="63"/>
      <c r="T298" s="63"/>
      <c r="U298" s="63"/>
      <c r="V298" s="63"/>
      <c r="W298" s="64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  <c r="BA298" s="63"/>
      <c r="BB298" s="63"/>
      <c r="BC298" s="63"/>
      <c r="BD298" s="63"/>
      <c r="BE298" s="63"/>
      <c r="BF298" s="63"/>
      <c r="BG298" s="63"/>
      <c r="BH298" s="63"/>
      <c r="BI298" s="63"/>
      <c r="BJ298" s="63"/>
      <c r="BK298" s="63"/>
      <c r="BL298" s="63"/>
      <c r="BM298" s="63"/>
      <c r="BN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4"/>
      <c r="L299" s="65"/>
      <c r="M299" s="63"/>
      <c r="N299" s="63"/>
      <c r="O299" s="63"/>
      <c r="P299" s="63"/>
      <c r="Q299" s="63"/>
      <c r="R299" s="65"/>
      <c r="S299" s="63"/>
      <c r="T299" s="63"/>
      <c r="U299" s="63"/>
      <c r="V299" s="63"/>
      <c r="W299" s="64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63"/>
      <c r="BD299" s="63"/>
      <c r="BE299" s="63"/>
      <c r="BF299" s="63"/>
      <c r="BG299" s="63"/>
      <c r="BH299" s="63"/>
      <c r="BI299" s="63"/>
      <c r="BJ299" s="63"/>
      <c r="BK299" s="63"/>
      <c r="BL299" s="63"/>
      <c r="BM299" s="63"/>
      <c r="BN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4"/>
      <c r="L300" s="65"/>
      <c r="M300" s="63"/>
      <c r="N300" s="63"/>
      <c r="O300" s="63"/>
      <c r="P300" s="63"/>
      <c r="Q300" s="63"/>
      <c r="R300" s="65"/>
      <c r="S300" s="63"/>
      <c r="T300" s="63"/>
      <c r="U300" s="63"/>
      <c r="V300" s="63"/>
      <c r="W300" s="64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  <c r="AY300" s="63"/>
      <c r="AZ300" s="63"/>
      <c r="BA300" s="63"/>
      <c r="BB300" s="63"/>
      <c r="BC300" s="63"/>
      <c r="BD300" s="63"/>
      <c r="BE300" s="63"/>
      <c r="BF300" s="63"/>
      <c r="BG300" s="63"/>
      <c r="BH300" s="63"/>
      <c r="BI300" s="63"/>
      <c r="BJ300" s="63"/>
      <c r="BK300" s="63"/>
      <c r="BL300" s="63"/>
      <c r="BM300" s="63"/>
      <c r="BN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4"/>
      <c r="L301" s="65"/>
      <c r="M301" s="63"/>
      <c r="N301" s="63"/>
      <c r="O301" s="63"/>
      <c r="P301" s="63"/>
      <c r="Q301" s="63"/>
      <c r="R301" s="65"/>
      <c r="S301" s="63"/>
      <c r="T301" s="63"/>
      <c r="U301" s="63"/>
      <c r="V301" s="63"/>
      <c r="W301" s="64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63"/>
      <c r="BD301" s="63"/>
      <c r="BE301" s="63"/>
      <c r="BF301" s="63"/>
      <c r="BG301" s="63"/>
      <c r="BH301" s="63"/>
      <c r="BI301" s="63"/>
      <c r="BJ301" s="63"/>
      <c r="BK301" s="63"/>
      <c r="BL301" s="63"/>
      <c r="BM301" s="63"/>
      <c r="BN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4"/>
      <c r="L302" s="65"/>
      <c r="M302" s="63"/>
      <c r="N302" s="63"/>
      <c r="O302" s="63"/>
      <c r="P302" s="63"/>
      <c r="Q302" s="63"/>
      <c r="R302" s="65"/>
      <c r="S302" s="63"/>
      <c r="T302" s="63"/>
      <c r="U302" s="63"/>
      <c r="V302" s="63"/>
      <c r="W302" s="64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3"/>
      <c r="AX302" s="63"/>
      <c r="AY302" s="63"/>
      <c r="AZ302" s="63"/>
      <c r="BA302" s="63"/>
      <c r="BB302" s="63"/>
      <c r="BC302" s="63"/>
      <c r="BD302" s="63"/>
      <c r="BE302" s="63"/>
      <c r="BF302" s="63"/>
      <c r="BG302" s="63"/>
      <c r="BH302" s="63"/>
      <c r="BI302" s="63"/>
      <c r="BJ302" s="63"/>
      <c r="BK302" s="63"/>
      <c r="BL302" s="63"/>
      <c r="BM302" s="63"/>
      <c r="BN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4"/>
      <c r="L303" s="65"/>
      <c r="M303" s="63"/>
      <c r="N303" s="63"/>
      <c r="O303" s="63"/>
      <c r="P303" s="63"/>
      <c r="Q303" s="63"/>
      <c r="R303" s="65"/>
      <c r="S303" s="63"/>
      <c r="T303" s="63"/>
      <c r="U303" s="63"/>
      <c r="V303" s="63"/>
      <c r="W303" s="64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  <c r="BC303" s="63"/>
      <c r="BD303" s="63"/>
      <c r="BE303" s="63"/>
      <c r="BF303" s="63"/>
      <c r="BG303" s="63"/>
      <c r="BH303" s="63"/>
      <c r="BI303" s="63"/>
      <c r="BJ303" s="63"/>
      <c r="BK303" s="63"/>
      <c r="BL303" s="63"/>
      <c r="BM303" s="63"/>
      <c r="BN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4"/>
      <c r="L304" s="65"/>
      <c r="M304" s="63"/>
      <c r="N304" s="63"/>
      <c r="O304" s="63"/>
      <c r="P304" s="63"/>
      <c r="Q304" s="63"/>
      <c r="R304" s="65"/>
      <c r="S304" s="63"/>
      <c r="T304" s="63"/>
      <c r="U304" s="63"/>
      <c r="V304" s="63"/>
      <c r="W304" s="64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  <c r="AY304" s="63"/>
      <c r="AZ304" s="63"/>
      <c r="BA304" s="63"/>
      <c r="BB304" s="63"/>
      <c r="BC304" s="63"/>
      <c r="BD304" s="63"/>
      <c r="BE304" s="63"/>
      <c r="BF304" s="63"/>
      <c r="BG304" s="63"/>
      <c r="BH304" s="63"/>
      <c r="BI304" s="63"/>
      <c r="BJ304" s="63"/>
      <c r="BK304" s="63"/>
      <c r="BL304" s="63"/>
      <c r="BM304" s="63"/>
      <c r="BN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4"/>
      <c r="L305" s="65"/>
      <c r="M305" s="63"/>
      <c r="N305" s="63"/>
      <c r="O305" s="63"/>
      <c r="P305" s="63"/>
      <c r="Q305" s="63"/>
      <c r="R305" s="65"/>
      <c r="S305" s="63"/>
      <c r="T305" s="63"/>
      <c r="U305" s="63"/>
      <c r="V305" s="63"/>
      <c r="W305" s="64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  <c r="BC305" s="63"/>
      <c r="BD305" s="63"/>
      <c r="BE305" s="63"/>
      <c r="BF305" s="63"/>
      <c r="BG305" s="63"/>
      <c r="BH305" s="63"/>
      <c r="BI305" s="63"/>
      <c r="BJ305" s="63"/>
      <c r="BK305" s="63"/>
      <c r="BL305" s="63"/>
      <c r="BM305" s="63"/>
      <c r="BN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4"/>
      <c r="L306" s="65"/>
      <c r="M306" s="63"/>
      <c r="N306" s="63"/>
      <c r="O306" s="63"/>
      <c r="P306" s="63"/>
      <c r="Q306" s="63"/>
      <c r="R306" s="65"/>
      <c r="S306" s="63"/>
      <c r="T306" s="63"/>
      <c r="U306" s="63"/>
      <c r="V306" s="63"/>
      <c r="W306" s="64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  <c r="BC306" s="63"/>
      <c r="BD306" s="63"/>
      <c r="BE306" s="63"/>
      <c r="BF306" s="63"/>
      <c r="BG306" s="63"/>
      <c r="BH306" s="63"/>
      <c r="BI306" s="63"/>
      <c r="BJ306" s="63"/>
      <c r="BK306" s="63"/>
      <c r="BL306" s="63"/>
      <c r="BM306" s="63"/>
      <c r="BN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4"/>
      <c r="L307" s="65"/>
      <c r="M307" s="63"/>
      <c r="N307" s="63"/>
      <c r="O307" s="63"/>
      <c r="P307" s="63"/>
      <c r="Q307" s="63"/>
      <c r="R307" s="65"/>
      <c r="S307" s="63"/>
      <c r="T307" s="63"/>
      <c r="U307" s="63"/>
      <c r="V307" s="63"/>
      <c r="W307" s="64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  <c r="BC307" s="63"/>
      <c r="BD307" s="63"/>
      <c r="BE307" s="63"/>
      <c r="BF307" s="63"/>
      <c r="BG307" s="63"/>
      <c r="BH307" s="63"/>
      <c r="BI307" s="63"/>
      <c r="BJ307" s="63"/>
      <c r="BK307" s="63"/>
      <c r="BL307" s="63"/>
      <c r="BM307" s="63"/>
      <c r="BN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4"/>
      <c r="L308" s="65"/>
      <c r="M308" s="63"/>
      <c r="N308" s="63"/>
      <c r="O308" s="63"/>
      <c r="P308" s="63"/>
      <c r="Q308" s="63"/>
      <c r="R308" s="65"/>
      <c r="S308" s="63"/>
      <c r="T308" s="63"/>
      <c r="U308" s="63"/>
      <c r="V308" s="63"/>
      <c r="W308" s="64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  <c r="BA308" s="63"/>
      <c r="BB308" s="63"/>
      <c r="BC308" s="63"/>
      <c r="BD308" s="63"/>
      <c r="BE308" s="63"/>
      <c r="BF308" s="63"/>
      <c r="BG308" s="63"/>
      <c r="BH308" s="63"/>
      <c r="BI308" s="63"/>
      <c r="BJ308" s="63"/>
      <c r="BK308" s="63"/>
      <c r="BL308" s="63"/>
      <c r="BM308" s="63"/>
      <c r="BN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4"/>
      <c r="L309" s="65"/>
      <c r="M309" s="63"/>
      <c r="N309" s="63"/>
      <c r="O309" s="63"/>
      <c r="P309" s="63"/>
      <c r="Q309" s="63"/>
      <c r="R309" s="65"/>
      <c r="S309" s="63"/>
      <c r="T309" s="63"/>
      <c r="U309" s="63"/>
      <c r="V309" s="63"/>
      <c r="W309" s="64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  <c r="BB309" s="63"/>
      <c r="BC309" s="63"/>
      <c r="BD309" s="63"/>
      <c r="BE309" s="63"/>
      <c r="BF309" s="63"/>
      <c r="BG309" s="63"/>
      <c r="BH309" s="63"/>
      <c r="BI309" s="63"/>
      <c r="BJ309" s="63"/>
      <c r="BK309" s="63"/>
      <c r="BL309" s="63"/>
      <c r="BM309" s="63"/>
      <c r="BN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4"/>
      <c r="L310" s="65"/>
      <c r="M310" s="63"/>
      <c r="N310" s="63"/>
      <c r="O310" s="63"/>
      <c r="P310" s="63"/>
      <c r="Q310" s="63"/>
      <c r="R310" s="65"/>
      <c r="S310" s="63"/>
      <c r="T310" s="63"/>
      <c r="U310" s="63"/>
      <c r="V310" s="63"/>
      <c r="W310" s="64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3"/>
      <c r="AX310" s="63"/>
      <c r="AY310" s="63"/>
      <c r="AZ310" s="63"/>
      <c r="BA310" s="63"/>
      <c r="BB310" s="63"/>
      <c r="BC310" s="63"/>
      <c r="BD310" s="63"/>
      <c r="BE310" s="63"/>
      <c r="BF310" s="63"/>
      <c r="BG310" s="63"/>
      <c r="BH310" s="63"/>
      <c r="BI310" s="63"/>
      <c r="BJ310" s="63"/>
      <c r="BK310" s="63"/>
      <c r="BL310" s="63"/>
      <c r="BM310" s="63"/>
      <c r="BN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4"/>
      <c r="L311" s="65"/>
      <c r="M311" s="63"/>
      <c r="N311" s="63"/>
      <c r="O311" s="63"/>
      <c r="P311" s="63"/>
      <c r="Q311" s="63"/>
      <c r="R311" s="65"/>
      <c r="S311" s="63"/>
      <c r="T311" s="63"/>
      <c r="U311" s="63"/>
      <c r="V311" s="63"/>
      <c r="W311" s="64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  <c r="BC311" s="63"/>
      <c r="BD311" s="63"/>
      <c r="BE311" s="63"/>
      <c r="BF311" s="63"/>
      <c r="BG311" s="63"/>
      <c r="BH311" s="63"/>
      <c r="BI311" s="63"/>
      <c r="BJ311" s="63"/>
      <c r="BK311" s="63"/>
      <c r="BL311" s="63"/>
      <c r="BM311" s="63"/>
      <c r="BN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4"/>
      <c r="L312" s="65"/>
      <c r="M312" s="63"/>
      <c r="N312" s="63"/>
      <c r="O312" s="63"/>
      <c r="P312" s="63"/>
      <c r="Q312" s="63"/>
      <c r="R312" s="65"/>
      <c r="S312" s="63"/>
      <c r="T312" s="63"/>
      <c r="U312" s="63"/>
      <c r="V312" s="63"/>
      <c r="W312" s="64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3"/>
      <c r="AX312" s="63"/>
      <c r="AY312" s="63"/>
      <c r="AZ312" s="63"/>
      <c r="BA312" s="63"/>
      <c r="BB312" s="63"/>
      <c r="BC312" s="63"/>
      <c r="BD312" s="63"/>
      <c r="BE312" s="63"/>
      <c r="BF312" s="63"/>
      <c r="BG312" s="63"/>
      <c r="BH312" s="63"/>
      <c r="BI312" s="63"/>
      <c r="BJ312" s="63"/>
      <c r="BK312" s="63"/>
      <c r="BL312" s="63"/>
      <c r="BM312" s="63"/>
      <c r="BN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4"/>
      <c r="L313" s="65"/>
      <c r="M313" s="63"/>
      <c r="N313" s="63"/>
      <c r="O313" s="63"/>
      <c r="P313" s="63"/>
      <c r="Q313" s="63"/>
      <c r="R313" s="65"/>
      <c r="S313" s="63"/>
      <c r="T313" s="63"/>
      <c r="U313" s="63"/>
      <c r="V313" s="63"/>
      <c r="W313" s="64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  <c r="BB313" s="63"/>
      <c r="BC313" s="63"/>
      <c r="BD313" s="63"/>
      <c r="BE313" s="63"/>
      <c r="BF313" s="63"/>
      <c r="BG313" s="63"/>
      <c r="BH313" s="63"/>
      <c r="BI313" s="63"/>
      <c r="BJ313" s="63"/>
      <c r="BK313" s="63"/>
      <c r="BL313" s="63"/>
      <c r="BM313" s="63"/>
      <c r="BN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4"/>
      <c r="L314" s="65"/>
      <c r="M314" s="63"/>
      <c r="N314" s="63"/>
      <c r="O314" s="63"/>
      <c r="P314" s="63"/>
      <c r="Q314" s="63"/>
      <c r="R314" s="65"/>
      <c r="S314" s="63"/>
      <c r="T314" s="63"/>
      <c r="U314" s="63"/>
      <c r="V314" s="63"/>
      <c r="W314" s="64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3"/>
      <c r="AX314" s="63"/>
      <c r="AY314" s="63"/>
      <c r="AZ314" s="63"/>
      <c r="BA314" s="63"/>
      <c r="BB314" s="63"/>
      <c r="BC314" s="63"/>
      <c r="BD314" s="63"/>
      <c r="BE314" s="63"/>
      <c r="BF314" s="63"/>
      <c r="BG314" s="63"/>
      <c r="BH314" s="63"/>
      <c r="BI314" s="63"/>
      <c r="BJ314" s="63"/>
      <c r="BK314" s="63"/>
      <c r="BL314" s="63"/>
      <c r="BM314" s="63"/>
      <c r="BN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4"/>
      <c r="L315" s="65"/>
      <c r="M315" s="63"/>
      <c r="N315" s="63"/>
      <c r="O315" s="63"/>
      <c r="P315" s="63"/>
      <c r="Q315" s="63"/>
      <c r="R315" s="65"/>
      <c r="S315" s="63"/>
      <c r="T315" s="63"/>
      <c r="U315" s="63"/>
      <c r="V315" s="63"/>
      <c r="W315" s="64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63"/>
      <c r="BD315" s="63"/>
      <c r="BE315" s="63"/>
      <c r="BF315" s="63"/>
      <c r="BG315" s="63"/>
      <c r="BH315" s="63"/>
      <c r="BI315" s="63"/>
      <c r="BJ315" s="63"/>
      <c r="BK315" s="63"/>
      <c r="BL315" s="63"/>
      <c r="BM315" s="63"/>
      <c r="BN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4"/>
      <c r="L316" s="65"/>
      <c r="M316" s="63"/>
      <c r="N316" s="63"/>
      <c r="O316" s="63"/>
      <c r="P316" s="63"/>
      <c r="Q316" s="63"/>
      <c r="R316" s="65"/>
      <c r="S316" s="63"/>
      <c r="T316" s="63"/>
      <c r="U316" s="63"/>
      <c r="V316" s="63"/>
      <c r="W316" s="64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  <c r="BC316" s="63"/>
      <c r="BD316" s="63"/>
      <c r="BE316" s="63"/>
      <c r="BF316" s="63"/>
      <c r="BG316" s="63"/>
      <c r="BH316" s="63"/>
      <c r="BI316" s="63"/>
      <c r="BJ316" s="63"/>
      <c r="BK316" s="63"/>
      <c r="BL316" s="63"/>
      <c r="BM316" s="63"/>
      <c r="BN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4"/>
      <c r="L317" s="65"/>
      <c r="M317" s="63"/>
      <c r="N317" s="63"/>
      <c r="O317" s="63"/>
      <c r="P317" s="63"/>
      <c r="Q317" s="63"/>
      <c r="R317" s="65"/>
      <c r="S317" s="63"/>
      <c r="T317" s="63"/>
      <c r="U317" s="63"/>
      <c r="V317" s="63"/>
      <c r="W317" s="64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  <c r="BC317" s="63"/>
      <c r="BD317" s="63"/>
      <c r="BE317" s="63"/>
      <c r="BF317" s="63"/>
      <c r="BG317" s="63"/>
      <c r="BH317" s="63"/>
      <c r="BI317" s="63"/>
      <c r="BJ317" s="63"/>
      <c r="BK317" s="63"/>
      <c r="BL317" s="63"/>
      <c r="BM317" s="63"/>
      <c r="BN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4"/>
      <c r="L318" s="65"/>
      <c r="M318" s="63"/>
      <c r="N318" s="63"/>
      <c r="O318" s="63"/>
      <c r="P318" s="63"/>
      <c r="Q318" s="63"/>
      <c r="R318" s="65"/>
      <c r="S318" s="63"/>
      <c r="T318" s="63"/>
      <c r="U318" s="63"/>
      <c r="V318" s="63"/>
      <c r="W318" s="64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63"/>
      <c r="BD318" s="63"/>
      <c r="BE318" s="63"/>
      <c r="BF318" s="63"/>
      <c r="BG318" s="63"/>
      <c r="BH318" s="63"/>
      <c r="BI318" s="63"/>
      <c r="BJ318" s="63"/>
      <c r="BK318" s="63"/>
      <c r="BL318" s="63"/>
      <c r="BM318" s="63"/>
      <c r="BN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4"/>
      <c r="L319" s="65"/>
      <c r="M319" s="63"/>
      <c r="N319" s="63"/>
      <c r="O319" s="63"/>
      <c r="P319" s="63"/>
      <c r="Q319" s="63"/>
      <c r="R319" s="65"/>
      <c r="S319" s="63"/>
      <c r="T319" s="63"/>
      <c r="U319" s="63"/>
      <c r="V319" s="63"/>
      <c r="W319" s="64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/>
      <c r="BD319" s="63"/>
      <c r="BE319" s="63"/>
      <c r="BF319" s="63"/>
      <c r="BG319" s="63"/>
      <c r="BH319" s="63"/>
      <c r="BI319" s="63"/>
      <c r="BJ319" s="63"/>
      <c r="BK319" s="63"/>
      <c r="BL319" s="63"/>
      <c r="BM319" s="63"/>
      <c r="BN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4"/>
      <c r="L320" s="65"/>
      <c r="M320" s="63"/>
      <c r="N320" s="63"/>
      <c r="O320" s="63"/>
      <c r="P320" s="63"/>
      <c r="Q320" s="63"/>
      <c r="R320" s="65"/>
      <c r="S320" s="63"/>
      <c r="T320" s="63"/>
      <c r="U320" s="63"/>
      <c r="V320" s="63"/>
      <c r="W320" s="64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  <c r="BC320" s="63"/>
      <c r="BD320" s="63"/>
      <c r="BE320" s="63"/>
      <c r="BF320" s="63"/>
      <c r="BG320" s="63"/>
      <c r="BH320" s="63"/>
      <c r="BI320" s="63"/>
      <c r="BJ320" s="63"/>
      <c r="BK320" s="63"/>
      <c r="BL320" s="63"/>
      <c r="BM320" s="63"/>
      <c r="BN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4"/>
      <c r="L321" s="65"/>
      <c r="M321" s="63"/>
      <c r="N321" s="63"/>
      <c r="O321" s="63"/>
      <c r="P321" s="63"/>
      <c r="Q321" s="63"/>
      <c r="R321" s="65"/>
      <c r="S321" s="63"/>
      <c r="T321" s="63"/>
      <c r="U321" s="63"/>
      <c r="V321" s="63"/>
      <c r="W321" s="64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63"/>
      <c r="BD321" s="63"/>
      <c r="BE321" s="63"/>
      <c r="BF321" s="63"/>
      <c r="BG321" s="63"/>
      <c r="BH321" s="63"/>
      <c r="BI321" s="63"/>
      <c r="BJ321" s="63"/>
      <c r="BK321" s="63"/>
      <c r="BL321" s="63"/>
      <c r="BM321" s="63"/>
      <c r="BN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4"/>
      <c r="L322" s="65"/>
      <c r="M322" s="63"/>
      <c r="N322" s="63"/>
      <c r="O322" s="63"/>
      <c r="P322" s="63"/>
      <c r="Q322" s="63"/>
      <c r="R322" s="65"/>
      <c r="S322" s="63"/>
      <c r="T322" s="63"/>
      <c r="U322" s="63"/>
      <c r="V322" s="63"/>
      <c r="W322" s="64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63"/>
      <c r="BD322" s="63"/>
      <c r="BE322" s="63"/>
      <c r="BF322" s="63"/>
      <c r="BG322" s="63"/>
      <c r="BH322" s="63"/>
      <c r="BI322" s="63"/>
      <c r="BJ322" s="63"/>
      <c r="BK322" s="63"/>
      <c r="BL322" s="63"/>
      <c r="BM322" s="63"/>
      <c r="BN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4"/>
      <c r="L323" s="65"/>
      <c r="M323" s="63"/>
      <c r="N323" s="63"/>
      <c r="O323" s="63"/>
      <c r="P323" s="63"/>
      <c r="Q323" s="63"/>
      <c r="R323" s="65"/>
      <c r="S323" s="63"/>
      <c r="T323" s="63"/>
      <c r="U323" s="63"/>
      <c r="V323" s="63"/>
      <c r="W323" s="64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63"/>
      <c r="BD323" s="63"/>
      <c r="BE323" s="63"/>
      <c r="BF323" s="63"/>
      <c r="BG323" s="63"/>
      <c r="BH323" s="63"/>
      <c r="BI323" s="63"/>
      <c r="BJ323" s="63"/>
      <c r="BK323" s="63"/>
      <c r="BL323" s="63"/>
      <c r="BM323" s="63"/>
      <c r="BN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4"/>
      <c r="L324" s="65"/>
      <c r="M324" s="63"/>
      <c r="N324" s="63"/>
      <c r="O324" s="63"/>
      <c r="P324" s="63"/>
      <c r="Q324" s="63"/>
      <c r="R324" s="65"/>
      <c r="S324" s="63"/>
      <c r="T324" s="63"/>
      <c r="U324" s="63"/>
      <c r="V324" s="63"/>
      <c r="W324" s="64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3"/>
      <c r="AX324" s="63"/>
      <c r="AY324" s="63"/>
      <c r="AZ324" s="63"/>
      <c r="BA324" s="63"/>
      <c r="BB324" s="63"/>
      <c r="BC324" s="63"/>
      <c r="BD324" s="63"/>
      <c r="BE324" s="63"/>
      <c r="BF324" s="63"/>
      <c r="BG324" s="63"/>
      <c r="BH324" s="63"/>
      <c r="BI324" s="63"/>
      <c r="BJ324" s="63"/>
      <c r="BK324" s="63"/>
      <c r="BL324" s="63"/>
      <c r="BM324" s="63"/>
      <c r="BN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4"/>
      <c r="L325" s="65"/>
      <c r="M325" s="63"/>
      <c r="N325" s="63"/>
      <c r="O325" s="63"/>
      <c r="P325" s="63"/>
      <c r="Q325" s="63"/>
      <c r="R325" s="65"/>
      <c r="S325" s="63"/>
      <c r="T325" s="63"/>
      <c r="U325" s="63"/>
      <c r="V325" s="63"/>
      <c r="W325" s="64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  <c r="BC325" s="63"/>
      <c r="BD325" s="63"/>
      <c r="BE325" s="63"/>
      <c r="BF325" s="63"/>
      <c r="BG325" s="63"/>
      <c r="BH325" s="63"/>
      <c r="BI325" s="63"/>
      <c r="BJ325" s="63"/>
      <c r="BK325" s="63"/>
      <c r="BL325" s="63"/>
      <c r="BM325" s="63"/>
      <c r="BN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4"/>
      <c r="L326" s="65"/>
      <c r="M326" s="63"/>
      <c r="N326" s="63"/>
      <c r="O326" s="63"/>
      <c r="P326" s="63"/>
      <c r="Q326" s="63"/>
      <c r="R326" s="65"/>
      <c r="S326" s="63"/>
      <c r="T326" s="63"/>
      <c r="U326" s="63"/>
      <c r="V326" s="63"/>
      <c r="W326" s="64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  <c r="BA326" s="63"/>
      <c r="BB326" s="63"/>
      <c r="BC326" s="63"/>
      <c r="BD326" s="63"/>
      <c r="BE326" s="63"/>
      <c r="BF326" s="63"/>
      <c r="BG326" s="63"/>
      <c r="BH326" s="63"/>
      <c r="BI326" s="63"/>
      <c r="BJ326" s="63"/>
      <c r="BK326" s="63"/>
      <c r="BL326" s="63"/>
      <c r="BM326" s="63"/>
      <c r="BN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4"/>
      <c r="L327" s="65"/>
      <c r="M327" s="63"/>
      <c r="N327" s="63"/>
      <c r="O327" s="63"/>
      <c r="P327" s="63"/>
      <c r="Q327" s="63"/>
      <c r="R327" s="65"/>
      <c r="S327" s="63"/>
      <c r="T327" s="63"/>
      <c r="U327" s="63"/>
      <c r="V327" s="63"/>
      <c r="W327" s="64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  <c r="BB327" s="63"/>
      <c r="BC327" s="63"/>
      <c r="BD327" s="63"/>
      <c r="BE327" s="63"/>
      <c r="BF327" s="63"/>
      <c r="BG327" s="63"/>
      <c r="BH327" s="63"/>
      <c r="BI327" s="63"/>
      <c r="BJ327" s="63"/>
      <c r="BK327" s="63"/>
      <c r="BL327" s="63"/>
      <c r="BM327" s="63"/>
      <c r="BN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4"/>
      <c r="L328" s="65"/>
      <c r="M328" s="63"/>
      <c r="N328" s="63"/>
      <c r="O328" s="63"/>
      <c r="P328" s="63"/>
      <c r="Q328" s="63"/>
      <c r="R328" s="65"/>
      <c r="S328" s="63"/>
      <c r="T328" s="63"/>
      <c r="U328" s="63"/>
      <c r="V328" s="63"/>
      <c r="W328" s="64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  <c r="AY328" s="63"/>
      <c r="AZ328" s="63"/>
      <c r="BA328" s="63"/>
      <c r="BB328" s="63"/>
      <c r="BC328" s="63"/>
      <c r="BD328" s="63"/>
      <c r="BE328" s="63"/>
      <c r="BF328" s="63"/>
      <c r="BG328" s="63"/>
      <c r="BH328" s="63"/>
      <c r="BI328" s="63"/>
      <c r="BJ328" s="63"/>
      <c r="BK328" s="63"/>
      <c r="BL328" s="63"/>
      <c r="BM328" s="63"/>
      <c r="BN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4"/>
      <c r="L329" s="65"/>
      <c r="M329" s="63"/>
      <c r="N329" s="63"/>
      <c r="O329" s="63"/>
      <c r="P329" s="63"/>
      <c r="Q329" s="63"/>
      <c r="R329" s="65"/>
      <c r="S329" s="63"/>
      <c r="T329" s="63"/>
      <c r="U329" s="63"/>
      <c r="V329" s="63"/>
      <c r="W329" s="64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63"/>
      <c r="BD329" s="63"/>
      <c r="BE329" s="63"/>
      <c r="BF329" s="63"/>
      <c r="BG329" s="63"/>
      <c r="BH329" s="63"/>
      <c r="BI329" s="63"/>
      <c r="BJ329" s="63"/>
      <c r="BK329" s="63"/>
      <c r="BL329" s="63"/>
      <c r="BM329" s="63"/>
      <c r="BN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4"/>
      <c r="L330" s="65"/>
      <c r="M330" s="63"/>
      <c r="N330" s="63"/>
      <c r="O330" s="63"/>
      <c r="P330" s="63"/>
      <c r="Q330" s="63"/>
      <c r="R330" s="65"/>
      <c r="S330" s="63"/>
      <c r="T330" s="63"/>
      <c r="U330" s="63"/>
      <c r="V330" s="63"/>
      <c r="W330" s="64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  <c r="BD330" s="63"/>
      <c r="BE330" s="63"/>
      <c r="BF330" s="63"/>
      <c r="BG330" s="63"/>
      <c r="BH330" s="63"/>
      <c r="BI330" s="63"/>
      <c r="BJ330" s="63"/>
      <c r="BK330" s="63"/>
      <c r="BL330" s="63"/>
      <c r="BM330" s="63"/>
      <c r="BN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4"/>
      <c r="L331" s="65"/>
      <c r="M331" s="63"/>
      <c r="N331" s="63"/>
      <c r="O331" s="63"/>
      <c r="P331" s="63"/>
      <c r="Q331" s="63"/>
      <c r="R331" s="65"/>
      <c r="S331" s="63"/>
      <c r="T331" s="63"/>
      <c r="U331" s="63"/>
      <c r="V331" s="63"/>
      <c r="W331" s="64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  <c r="BC331" s="63"/>
      <c r="BD331" s="63"/>
      <c r="BE331" s="63"/>
      <c r="BF331" s="63"/>
      <c r="BG331" s="63"/>
      <c r="BH331" s="63"/>
      <c r="BI331" s="63"/>
      <c r="BJ331" s="63"/>
      <c r="BK331" s="63"/>
      <c r="BL331" s="63"/>
      <c r="BM331" s="63"/>
      <c r="BN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4"/>
      <c r="L332" s="65"/>
      <c r="M332" s="63"/>
      <c r="N332" s="63"/>
      <c r="O332" s="63"/>
      <c r="P332" s="63"/>
      <c r="Q332" s="63"/>
      <c r="R332" s="65"/>
      <c r="S332" s="63"/>
      <c r="T332" s="63"/>
      <c r="U332" s="63"/>
      <c r="V332" s="63"/>
      <c r="W332" s="64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  <c r="BB332" s="63"/>
      <c r="BC332" s="63"/>
      <c r="BD332" s="63"/>
      <c r="BE332" s="63"/>
      <c r="BF332" s="63"/>
      <c r="BG332" s="63"/>
      <c r="BH332" s="63"/>
      <c r="BI332" s="63"/>
      <c r="BJ332" s="63"/>
      <c r="BK332" s="63"/>
      <c r="BL332" s="63"/>
      <c r="BM332" s="63"/>
      <c r="BN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4"/>
      <c r="L333" s="65"/>
      <c r="M333" s="63"/>
      <c r="N333" s="63"/>
      <c r="O333" s="63"/>
      <c r="P333" s="63"/>
      <c r="Q333" s="63"/>
      <c r="R333" s="65"/>
      <c r="S333" s="63"/>
      <c r="T333" s="63"/>
      <c r="U333" s="63"/>
      <c r="V333" s="63"/>
      <c r="W333" s="64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  <c r="BC333" s="63"/>
      <c r="BD333" s="63"/>
      <c r="BE333" s="63"/>
      <c r="BF333" s="63"/>
      <c r="BG333" s="63"/>
      <c r="BH333" s="63"/>
      <c r="BI333" s="63"/>
      <c r="BJ333" s="63"/>
      <c r="BK333" s="63"/>
      <c r="BL333" s="63"/>
      <c r="BM333" s="63"/>
      <c r="BN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4"/>
      <c r="L334" s="65"/>
      <c r="M334" s="63"/>
      <c r="N334" s="63"/>
      <c r="O334" s="63"/>
      <c r="P334" s="63"/>
      <c r="Q334" s="63"/>
      <c r="R334" s="65"/>
      <c r="S334" s="63"/>
      <c r="T334" s="63"/>
      <c r="U334" s="63"/>
      <c r="V334" s="63"/>
      <c r="W334" s="64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  <c r="BC334" s="63"/>
      <c r="BD334" s="63"/>
      <c r="BE334" s="63"/>
      <c r="BF334" s="63"/>
      <c r="BG334" s="63"/>
      <c r="BH334" s="63"/>
      <c r="BI334" s="63"/>
      <c r="BJ334" s="63"/>
      <c r="BK334" s="63"/>
      <c r="BL334" s="63"/>
      <c r="BM334" s="63"/>
      <c r="BN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4"/>
      <c r="L335" s="65"/>
      <c r="M335" s="63"/>
      <c r="N335" s="63"/>
      <c r="O335" s="63"/>
      <c r="P335" s="63"/>
      <c r="Q335" s="63"/>
      <c r="R335" s="65"/>
      <c r="S335" s="63"/>
      <c r="T335" s="63"/>
      <c r="U335" s="63"/>
      <c r="V335" s="63"/>
      <c r="W335" s="64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  <c r="BC335" s="63"/>
      <c r="BD335" s="63"/>
      <c r="BE335" s="63"/>
      <c r="BF335" s="63"/>
      <c r="BG335" s="63"/>
      <c r="BH335" s="63"/>
      <c r="BI335" s="63"/>
      <c r="BJ335" s="63"/>
      <c r="BK335" s="63"/>
      <c r="BL335" s="63"/>
      <c r="BM335" s="63"/>
      <c r="BN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4"/>
      <c r="L336" s="65"/>
      <c r="M336" s="63"/>
      <c r="N336" s="63"/>
      <c r="O336" s="63"/>
      <c r="P336" s="63"/>
      <c r="Q336" s="63"/>
      <c r="R336" s="65"/>
      <c r="S336" s="63"/>
      <c r="T336" s="63"/>
      <c r="U336" s="63"/>
      <c r="V336" s="63"/>
      <c r="W336" s="64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3"/>
      <c r="AX336" s="63"/>
      <c r="AY336" s="63"/>
      <c r="AZ336" s="63"/>
      <c r="BA336" s="63"/>
      <c r="BB336" s="63"/>
      <c r="BC336" s="63"/>
      <c r="BD336" s="63"/>
      <c r="BE336" s="63"/>
      <c r="BF336" s="63"/>
      <c r="BG336" s="63"/>
      <c r="BH336" s="63"/>
      <c r="BI336" s="63"/>
      <c r="BJ336" s="63"/>
      <c r="BK336" s="63"/>
      <c r="BL336" s="63"/>
      <c r="BM336" s="63"/>
      <c r="BN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4"/>
      <c r="L337" s="65"/>
      <c r="M337" s="63"/>
      <c r="N337" s="63"/>
      <c r="O337" s="63"/>
      <c r="P337" s="63"/>
      <c r="Q337" s="63"/>
      <c r="R337" s="65"/>
      <c r="S337" s="63"/>
      <c r="T337" s="63"/>
      <c r="U337" s="63"/>
      <c r="V337" s="63"/>
      <c r="W337" s="64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3"/>
      <c r="AX337" s="63"/>
      <c r="AY337" s="63"/>
      <c r="AZ337" s="63"/>
      <c r="BA337" s="63"/>
      <c r="BB337" s="63"/>
      <c r="BC337" s="63"/>
      <c r="BD337" s="63"/>
      <c r="BE337" s="63"/>
      <c r="BF337" s="63"/>
      <c r="BG337" s="63"/>
      <c r="BH337" s="63"/>
      <c r="BI337" s="63"/>
      <c r="BJ337" s="63"/>
      <c r="BK337" s="63"/>
      <c r="BL337" s="63"/>
      <c r="BM337" s="63"/>
      <c r="BN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4"/>
      <c r="L338" s="65"/>
      <c r="M338" s="63"/>
      <c r="N338" s="63"/>
      <c r="O338" s="63"/>
      <c r="P338" s="63"/>
      <c r="Q338" s="63"/>
      <c r="R338" s="65"/>
      <c r="S338" s="63"/>
      <c r="T338" s="63"/>
      <c r="U338" s="63"/>
      <c r="V338" s="63"/>
      <c r="W338" s="64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3"/>
      <c r="AX338" s="63"/>
      <c r="AY338" s="63"/>
      <c r="AZ338" s="63"/>
      <c r="BA338" s="63"/>
      <c r="BB338" s="63"/>
      <c r="BC338" s="63"/>
      <c r="BD338" s="63"/>
      <c r="BE338" s="63"/>
      <c r="BF338" s="63"/>
      <c r="BG338" s="63"/>
      <c r="BH338" s="63"/>
      <c r="BI338" s="63"/>
      <c r="BJ338" s="63"/>
      <c r="BK338" s="63"/>
      <c r="BL338" s="63"/>
      <c r="BM338" s="63"/>
      <c r="BN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4"/>
      <c r="L339" s="65"/>
      <c r="M339" s="63"/>
      <c r="N339" s="63"/>
      <c r="O339" s="63"/>
      <c r="P339" s="63"/>
      <c r="Q339" s="63"/>
      <c r="R339" s="65"/>
      <c r="S339" s="63"/>
      <c r="T339" s="63"/>
      <c r="U339" s="63"/>
      <c r="V339" s="63"/>
      <c r="W339" s="64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  <c r="BB339" s="63"/>
      <c r="BC339" s="63"/>
      <c r="BD339" s="63"/>
      <c r="BE339" s="63"/>
      <c r="BF339" s="63"/>
      <c r="BG339" s="63"/>
      <c r="BH339" s="63"/>
      <c r="BI339" s="63"/>
      <c r="BJ339" s="63"/>
      <c r="BK339" s="63"/>
      <c r="BL339" s="63"/>
      <c r="BM339" s="63"/>
      <c r="BN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4"/>
      <c r="L340" s="65"/>
      <c r="M340" s="63"/>
      <c r="N340" s="63"/>
      <c r="O340" s="63"/>
      <c r="P340" s="63"/>
      <c r="Q340" s="63"/>
      <c r="R340" s="65"/>
      <c r="S340" s="63"/>
      <c r="T340" s="63"/>
      <c r="U340" s="63"/>
      <c r="V340" s="63"/>
      <c r="W340" s="64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  <c r="AY340" s="63"/>
      <c r="AZ340" s="63"/>
      <c r="BA340" s="63"/>
      <c r="BB340" s="63"/>
      <c r="BC340" s="63"/>
      <c r="BD340" s="63"/>
      <c r="BE340" s="63"/>
      <c r="BF340" s="63"/>
      <c r="BG340" s="63"/>
      <c r="BH340" s="63"/>
      <c r="BI340" s="63"/>
      <c r="BJ340" s="63"/>
      <c r="BK340" s="63"/>
      <c r="BL340" s="63"/>
      <c r="BM340" s="63"/>
      <c r="BN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4"/>
      <c r="L341" s="65"/>
      <c r="M341" s="63"/>
      <c r="N341" s="63"/>
      <c r="O341" s="63"/>
      <c r="P341" s="63"/>
      <c r="Q341" s="63"/>
      <c r="R341" s="65"/>
      <c r="S341" s="63"/>
      <c r="T341" s="63"/>
      <c r="U341" s="63"/>
      <c r="V341" s="63"/>
      <c r="W341" s="64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  <c r="BC341" s="63"/>
      <c r="BD341" s="63"/>
      <c r="BE341" s="63"/>
      <c r="BF341" s="63"/>
      <c r="BG341" s="63"/>
      <c r="BH341" s="63"/>
      <c r="BI341" s="63"/>
      <c r="BJ341" s="63"/>
      <c r="BK341" s="63"/>
      <c r="BL341" s="63"/>
      <c r="BM341" s="63"/>
      <c r="BN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4"/>
      <c r="L342" s="65"/>
      <c r="M342" s="63"/>
      <c r="N342" s="63"/>
      <c r="O342" s="63"/>
      <c r="P342" s="63"/>
      <c r="Q342" s="63"/>
      <c r="R342" s="65"/>
      <c r="S342" s="63"/>
      <c r="T342" s="63"/>
      <c r="U342" s="63"/>
      <c r="V342" s="63"/>
      <c r="W342" s="64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  <c r="BC342" s="63"/>
      <c r="BD342" s="63"/>
      <c r="BE342" s="63"/>
      <c r="BF342" s="63"/>
      <c r="BG342" s="63"/>
      <c r="BH342" s="63"/>
      <c r="BI342" s="63"/>
      <c r="BJ342" s="63"/>
      <c r="BK342" s="63"/>
      <c r="BL342" s="63"/>
      <c r="BM342" s="63"/>
      <c r="BN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4"/>
      <c r="L343" s="65"/>
      <c r="M343" s="63"/>
      <c r="N343" s="63"/>
      <c r="O343" s="63"/>
      <c r="P343" s="63"/>
      <c r="Q343" s="63"/>
      <c r="R343" s="65"/>
      <c r="S343" s="63"/>
      <c r="T343" s="63"/>
      <c r="U343" s="63"/>
      <c r="V343" s="63"/>
      <c r="W343" s="64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3"/>
      <c r="BB343" s="63"/>
      <c r="BC343" s="63"/>
      <c r="BD343" s="63"/>
      <c r="BE343" s="63"/>
      <c r="BF343" s="63"/>
      <c r="BG343" s="63"/>
      <c r="BH343" s="63"/>
      <c r="BI343" s="63"/>
      <c r="BJ343" s="63"/>
      <c r="BK343" s="63"/>
      <c r="BL343" s="63"/>
      <c r="BM343" s="63"/>
      <c r="BN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4"/>
      <c r="L344" s="65"/>
      <c r="M344" s="63"/>
      <c r="N344" s="63"/>
      <c r="O344" s="63"/>
      <c r="P344" s="63"/>
      <c r="Q344" s="63"/>
      <c r="R344" s="65"/>
      <c r="S344" s="63"/>
      <c r="T344" s="63"/>
      <c r="U344" s="63"/>
      <c r="V344" s="63"/>
      <c r="W344" s="64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AW344" s="63"/>
      <c r="AX344" s="63"/>
      <c r="AY344" s="63"/>
      <c r="AZ344" s="63"/>
      <c r="BA344" s="63"/>
      <c r="BB344" s="63"/>
      <c r="BC344" s="63"/>
      <c r="BD344" s="63"/>
      <c r="BE344" s="63"/>
      <c r="BF344" s="63"/>
      <c r="BG344" s="63"/>
      <c r="BH344" s="63"/>
      <c r="BI344" s="63"/>
      <c r="BJ344" s="63"/>
      <c r="BK344" s="63"/>
      <c r="BL344" s="63"/>
      <c r="BM344" s="63"/>
      <c r="BN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4"/>
      <c r="L345" s="65"/>
      <c r="M345" s="63"/>
      <c r="N345" s="63"/>
      <c r="O345" s="63"/>
      <c r="P345" s="63"/>
      <c r="Q345" s="63"/>
      <c r="R345" s="65"/>
      <c r="S345" s="63"/>
      <c r="T345" s="63"/>
      <c r="U345" s="63"/>
      <c r="V345" s="63"/>
      <c r="W345" s="64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  <c r="BB345" s="63"/>
      <c r="BC345" s="63"/>
      <c r="BD345" s="63"/>
      <c r="BE345" s="63"/>
      <c r="BF345" s="63"/>
      <c r="BG345" s="63"/>
      <c r="BH345" s="63"/>
      <c r="BI345" s="63"/>
      <c r="BJ345" s="63"/>
      <c r="BK345" s="63"/>
      <c r="BL345" s="63"/>
      <c r="BM345" s="63"/>
      <c r="BN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4"/>
      <c r="L346" s="65"/>
      <c r="M346" s="63"/>
      <c r="N346" s="63"/>
      <c r="O346" s="63"/>
      <c r="P346" s="63"/>
      <c r="Q346" s="63"/>
      <c r="R346" s="65"/>
      <c r="S346" s="63"/>
      <c r="T346" s="63"/>
      <c r="U346" s="63"/>
      <c r="V346" s="63"/>
      <c r="W346" s="64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3"/>
      <c r="AX346" s="63"/>
      <c r="AY346" s="63"/>
      <c r="AZ346" s="63"/>
      <c r="BA346" s="63"/>
      <c r="BB346" s="63"/>
      <c r="BC346" s="63"/>
      <c r="BD346" s="63"/>
      <c r="BE346" s="63"/>
      <c r="BF346" s="63"/>
      <c r="BG346" s="63"/>
      <c r="BH346" s="63"/>
      <c r="BI346" s="63"/>
      <c r="BJ346" s="63"/>
      <c r="BK346" s="63"/>
      <c r="BL346" s="63"/>
      <c r="BM346" s="63"/>
      <c r="BN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4"/>
      <c r="L347" s="65"/>
      <c r="M347" s="63"/>
      <c r="N347" s="63"/>
      <c r="O347" s="63"/>
      <c r="P347" s="63"/>
      <c r="Q347" s="63"/>
      <c r="R347" s="65"/>
      <c r="S347" s="63"/>
      <c r="T347" s="63"/>
      <c r="U347" s="63"/>
      <c r="V347" s="63"/>
      <c r="W347" s="64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  <c r="BC347" s="63"/>
      <c r="BD347" s="63"/>
      <c r="BE347" s="63"/>
      <c r="BF347" s="63"/>
      <c r="BG347" s="63"/>
      <c r="BH347" s="63"/>
      <c r="BI347" s="63"/>
      <c r="BJ347" s="63"/>
      <c r="BK347" s="63"/>
      <c r="BL347" s="63"/>
      <c r="BM347" s="63"/>
      <c r="BN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4"/>
      <c r="L348" s="65"/>
      <c r="M348" s="63"/>
      <c r="N348" s="63"/>
      <c r="O348" s="63"/>
      <c r="P348" s="63"/>
      <c r="Q348" s="63"/>
      <c r="R348" s="65"/>
      <c r="S348" s="63"/>
      <c r="T348" s="63"/>
      <c r="U348" s="63"/>
      <c r="V348" s="63"/>
      <c r="W348" s="64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3"/>
      <c r="AX348" s="63"/>
      <c r="AY348" s="63"/>
      <c r="AZ348" s="63"/>
      <c r="BA348" s="63"/>
      <c r="BB348" s="63"/>
      <c r="BC348" s="63"/>
      <c r="BD348" s="63"/>
      <c r="BE348" s="63"/>
      <c r="BF348" s="63"/>
      <c r="BG348" s="63"/>
      <c r="BH348" s="63"/>
      <c r="BI348" s="63"/>
      <c r="BJ348" s="63"/>
      <c r="BK348" s="63"/>
      <c r="BL348" s="63"/>
      <c r="BM348" s="63"/>
      <c r="BN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4"/>
      <c r="L349" s="65"/>
      <c r="M349" s="63"/>
      <c r="N349" s="63"/>
      <c r="O349" s="63"/>
      <c r="P349" s="63"/>
      <c r="Q349" s="63"/>
      <c r="R349" s="65"/>
      <c r="S349" s="63"/>
      <c r="T349" s="63"/>
      <c r="U349" s="63"/>
      <c r="V349" s="63"/>
      <c r="W349" s="64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  <c r="BB349" s="63"/>
      <c r="BC349" s="63"/>
      <c r="BD349" s="63"/>
      <c r="BE349" s="63"/>
      <c r="BF349" s="63"/>
      <c r="BG349" s="63"/>
      <c r="BH349" s="63"/>
      <c r="BI349" s="63"/>
      <c r="BJ349" s="63"/>
      <c r="BK349" s="63"/>
      <c r="BL349" s="63"/>
      <c r="BM349" s="63"/>
      <c r="BN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4"/>
      <c r="L350" s="65"/>
      <c r="M350" s="63"/>
      <c r="N350" s="63"/>
      <c r="O350" s="63"/>
      <c r="P350" s="63"/>
      <c r="Q350" s="63"/>
      <c r="R350" s="65"/>
      <c r="S350" s="63"/>
      <c r="T350" s="63"/>
      <c r="U350" s="63"/>
      <c r="V350" s="63"/>
      <c r="W350" s="64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  <c r="BB350" s="63"/>
      <c r="BC350" s="63"/>
      <c r="BD350" s="63"/>
      <c r="BE350" s="63"/>
      <c r="BF350" s="63"/>
      <c r="BG350" s="63"/>
      <c r="BH350" s="63"/>
      <c r="BI350" s="63"/>
      <c r="BJ350" s="63"/>
      <c r="BK350" s="63"/>
      <c r="BL350" s="63"/>
      <c r="BM350" s="63"/>
      <c r="BN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4"/>
      <c r="L351" s="65"/>
      <c r="M351" s="63"/>
      <c r="N351" s="63"/>
      <c r="O351" s="63"/>
      <c r="P351" s="63"/>
      <c r="Q351" s="63"/>
      <c r="R351" s="65"/>
      <c r="S351" s="63"/>
      <c r="T351" s="63"/>
      <c r="U351" s="63"/>
      <c r="V351" s="63"/>
      <c r="W351" s="64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63"/>
      <c r="BD351" s="63"/>
      <c r="BE351" s="63"/>
      <c r="BF351" s="63"/>
      <c r="BG351" s="63"/>
      <c r="BH351" s="63"/>
      <c r="BI351" s="63"/>
      <c r="BJ351" s="63"/>
      <c r="BK351" s="63"/>
      <c r="BL351" s="63"/>
      <c r="BM351" s="63"/>
      <c r="BN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4"/>
      <c r="L352" s="65"/>
      <c r="M352" s="63"/>
      <c r="N352" s="63"/>
      <c r="O352" s="63"/>
      <c r="P352" s="63"/>
      <c r="Q352" s="63"/>
      <c r="R352" s="65"/>
      <c r="S352" s="63"/>
      <c r="T352" s="63"/>
      <c r="U352" s="63"/>
      <c r="V352" s="63"/>
      <c r="W352" s="64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  <c r="BB352" s="63"/>
      <c r="BC352" s="63"/>
      <c r="BD352" s="63"/>
      <c r="BE352" s="63"/>
      <c r="BF352" s="63"/>
      <c r="BG352" s="63"/>
      <c r="BH352" s="63"/>
      <c r="BI352" s="63"/>
      <c r="BJ352" s="63"/>
      <c r="BK352" s="63"/>
      <c r="BL352" s="63"/>
      <c r="BM352" s="63"/>
      <c r="BN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4"/>
      <c r="L353" s="65"/>
      <c r="M353" s="63"/>
      <c r="N353" s="63"/>
      <c r="O353" s="63"/>
      <c r="P353" s="63"/>
      <c r="Q353" s="63"/>
      <c r="R353" s="65"/>
      <c r="S353" s="63"/>
      <c r="T353" s="63"/>
      <c r="U353" s="63"/>
      <c r="V353" s="63"/>
      <c r="W353" s="64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63"/>
      <c r="BD353" s="63"/>
      <c r="BE353" s="63"/>
      <c r="BF353" s="63"/>
      <c r="BG353" s="63"/>
      <c r="BH353" s="63"/>
      <c r="BI353" s="63"/>
      <c r="BJ353" s="63"/>
      <c r="BK353" s="63"/>
      <c r="BL353" s="63"/>
      <c r="BM353" s="63"/>
      <c r="BN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4"/>
      <c r="L354" s="65"/>
      <c r="M354" s="63"/>
      <c r="N354" s="63"/>
      <c r="O354" s="63"/>
      <c r="P354" s="63"/>
      <c r="Q354" s="63"/>
      <c r="R354" s="65"/>
      <c r="S354" s="63"/>
      <c r="T354" s="63"/>
      <c r="U354" s="63"/>
      <c r="V354" s="63"/>
      <c r="W354" s="64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63"/>
      <c r="BD354" s="63"/>
      <c r="BE354" s="63"/>
      <c r="BF354" s="63"/>
      <c r="BG354" s="63"/>
      <c r="BH354" s="63"/>
      <c r="BI354" s="63"/>
      <c r="BJ354" s="63"/>
      <c r="BK354" s="63"/>
      <c r="BL354" s="63"/>
      <c r="BM354" s="63"/>
      <c r="BN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4"/>
      <c r="L355" s="65"/>
      <c r="M355" s="63"/>
      <c r="N355" s="63"/>
      <c r="O355" s="63"/>
      <c r="P355" s="63"/>
      <c r="Q355" s="63"/>
      <c r="R355" s="65"/>
      <c r="S355" s="63"/>
      <c r="T355" s="63"/>
      <c r="U355" s="63"/>
      <c r="V355" s="63"/>
      <c r="W355" s="64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  <c r="BC355" s="63"/>
      <c r="BD355" s="63"/>
      <c r="BE355" s="63"/>
      <c r="BF355" s="63"/>
      <c r="BG355" s="63"/>
      <c r="BH355" s="63"/>
      <c r="BI355" s="63"/>
      <c r="BJ355" s="63"/>
      <c r="BK355" s="63"/>
      <c r="BL355" s="63"/>
      <c r="BM355" s="63"/>
      <c r="BN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4"/>
      <c r="L356" s="65"/>
      <c r="M356" s="63"/>
      <c r="N356" s="63"/>
      <c r="O356" s="63"/>
      <c r="P356" s="63"/>
      <c r="Q356" s="63"/>
      <c r="R356" s="65"/>
      <c r="S356" s="63"/>
      <c r="T356" s="63"/>
      <c r="U356" s="63"/>
      <c r="V356" s="63"/>
      <c r="W356" s="64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  <c r="BC356" s="63"/>
      <c r="BD356" s="63"/>
      <c r="BE356" s="63"/>
      <c r="BF356" s="63"/>
      <c r="BG356" s="63"/>
      <c r="BH356" s="63"/>
      <c r="BI356" s="63"/>
      <c r="BJ356" s="63"/>
      <c r="BK356" s="63"/>
      <c r="BL356" s="63"/>
      <c r="BM356" s="63"/>
      <c r="BN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4"/>
      <c r="L357" s="65"/>
      <c r="M357" s="63"/>
      <c r="N357" s="63"/>
      <c r="O357" s="63"/>
      <c r="P357" s="63"/>
      <c r="Q357" s="63"/>
      <c r="R357" s="65"/>
      <c r="S357" s="63"/>
      <c r="T357" s="63"/>
      <c r="U357" s="63"/>
      <c r="V357" s="63"/>
      <c r="W357" s="64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63"/>
      <c r="BD357" s="63"/>
      <c r="BE357" s="63"/>
      <c r="BF357" s="63"/>
      <c r="BG357" s="63"/>
      <c r="BH357" s="63"/>
      <c r="BI357" s="63"/>
      <c r="BJ357" s="63"/>
      <c r="BK357" s="63"/>
      <c r="BL357" s="63"/>
      <c r="BM357" s="63"/>
      <c r="BN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4"/>
      <c r="L358" s="65"/>
      <c r="M358" s="63"/>
      <c r="N358" s="63"/>
      <c r="O358" s="63"/>
      <c r="P358" s="63"/>
      <c r="Q358" s="63"/>
      <c r="R358" s="65"/>
      <c r="S358" s="63"/>
      <c r="T358" s="63"/>
      <c r="U358" s="63"/>
      <c r="V358" s="63"/>
      <c r="W358" s="64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  <c r="BC358" s="63"/>
      <c r="BD358" s="63"/>
      <c r="BE358" s="63"/>
      <c r="BF358" s="63"/>
      <c r="BG358" s="63"/>
      <c r="BH358" s="63"/>
      <c r="BI358" s="63"/>
      <c r="BJ358" s="63"/>
      <c r="BK358" s="63"/>
      <c r="BL358" s="63"/>
      <c r="BM358" s="63"/>
      <c r="BN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4"/>
      <c r="L359" s="65"/>
      <c r="M359" s="63"/>
      <c r="N359" s="63"/>
      <c r="O359" s="63"/>
      <c r="P359" s="63"/>
      <c r="Q359" s="63"/>
      <c r="R359" s="65"/>
      <c r="S359" s="63"/>
      <c r="T359" s="63"/>
      <c r="U359" s="63"/>
      <c r="V359" s="63"/>
      <c r="W359" s="64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  <c r="BC359" s="63"/>
      <c r="BD359" s="63"/>
      <c r="BE359" s="63"/>
      <c r="BF359" s="63"/>
      <c r="BG359" s="63"/>
      <c r="BH359" s="63"/>
      <c r="BI359" s="63"/>
      <c r="BJ359" s="63"/>
      <c r="BK359" s="63"/>
      <c r="BL359" s="63"/>
      <c r="BM359" s="63"/>
      <c r="BN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4"/>
      <c r="L360" s="65"/>
      <c r="M360" s="63"/>
      <c r="N360" s="63"/>
      <c r="O360" s="63"/>
      <c r="P360" s="63"/>
      <c r="Q360" s="63"/>
      <c r="R360" s="65"/>
      <c r="S360" s="63"/>
      <c r="T360" s="63"/>
      <c r="U360" s="63"/>
      <c r="V360" s="63"/>
      <c r="W360" s="64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  <c r="BC360" s="63"/>
      <c r="BD360" s="63"/>
      <c r="BE360" s="63"/>
      <c r="BF360" s="63"/>
      <c r="BG360" s="63"/>
      <c r="BH360" s="63"/>
      <c r="BI360" s="63"/>
      <c r="BJ360" s="63"/>
      <c r="BK360" s="63"/>
      <c r="BL360" s="63"/>
      <c r="BM360" s="63"/>
      <c r="BN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4"/>
      <c r="L361" s="65"/>
      <c r="M361" s="63"/>
      <c r="N361" s="63"/>
      <c r="O361" s="63"/>
      <c r="P361" s="63"/>
      <c r="Q361" s="63"/>
      <c r="R361" s="65"/>
      <c r="S361" s="63"/>
      <c r="T361" s="63"/>
      <c r="U361" s="63"/>
      <c r="V361" s="63"/>
      <c r="W361" s="64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63"/>
      <c r="BD361" s="63"/>
      <c r="BE361" s="63"/>
      <c r="BF361" s="63"/>
      <c r="BG361" s="63"/>
      <c r="BH361" s="63"/>
      <c r="BI361" s="63"/>
      <c r="BJ361" s="63"/>
      <c r="BK361" s="63"/>
      <c r="BL361" s="63"/>
      <c r="BM361" s="63"/>
      <c r="BN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4"/>
      <c r="L362" s="65"/>
      <c r="M362" s="63"/>
      <c r="N362" s="63"/>
      <c r="O362" s="63"/>
      <c r="P362" s="63"/>
      <c r="Q362" s="63"/>
      <c r="R362" s="65"/>
      <c r="S362" s="63"/>
      <c r="T362" s="63"/>
      <c r="U362" s="63"/>
      <c r="V362" s="63"/>
      <c r="W362" s="64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3"/>
      <c r="BB362" s="63"/>
      <c r="BC362" s="63"/>
      <c r="BD362" s="63"/>
      <c r="BE362" s="63"/>
      <c r="BF362" s="63"/>
      <c r="BG362" s="63"/>
      <c r="BH362" s="63"/>
      <c r="BI362" s="63"/>
      <c r="BJ362" s="63"/>
      <c r="BK362" s="63"/>
      <c r="BL362" s="63"/>
      <c r="BM362" s="63"/>
      <c r="BN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4"/>
      <c r="L363" s="65"/>
      <c r="M363" s="63"/>
      <c r="N363" s="63"/>
      <c r="O363" s="63"/>
      <c r="P363" s="63"/>
      <c r="Q363" s="63"/>
      <c r="R363" s="65"/>
      <c r="S363" s="63"/>
      <c r="T363" s="63"/>
      <c r="U363" s="63"/>
      <c r="V363" s="63"/>
      <c r="W363" s="64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  <c r="BC363" s="63"/>
      <c r="BD363" s="63"/>
      <c r="BE363" s="63"/>
      <c r="BF363" s="63"/>
      <c r="BG363" s="63"/>
      <c r="BH363" s="63"/>
      <c r="BI363" s="63"/>
      <c r="BJ363" s="63"/>
      <c r="BK363" s="63"/>
      <c r="BL363" s="63"/>
      <c r="BM363" s="63"/>
      <c r="BN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4"/>
      <c r="L364" s="65"/>
      <c r="M364" s="63"/>
      <c r="N364" s="63"/>
      <c r="O364" s="63"/>
      <c r="P364" s="63"/>
      <c r="Q364" s="63"/>
      <c r="R364" s="65"/>
      <c r="S364" s="63"/>
      <c r="T364" s="63"/>
      <c r="U364" s="63"/>
      <c r="V364" s="63"/>
      <c r="W364" s="64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  <c r="BC364" s="63"/>
      <c r="BD364" s="63"/>
      <c r="BE364" s="63"/>
      <c r="BF364" s="63"/>
      <c r="BG364" s="63"/>
      <c r="BH364" s="63"/>
      <c r="BI364" s="63"/>
      <c r="BJ364" s="63"/>
      <c r="BK364" s="63"/>
      <c r="BL364" s="63"/>
      <c r="BM364" s="63"/>
      <c r="BN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4"/>
      <c r="L365" s="65"/>
      <c r="M365" s="63"/>
      <c r="N365" s="63"/>
      <c r="O365" s="63"/>
      <c r="P365" s="63"/>
      <c r="Q365" s="63"/>
      <c r="R365" s="65"/>
      <c r="S365" s="63"/>
      <c r="T365" s="63"/>
      <c r="U365" s="63"/>
      <c r="V365" s="63"/>
      <c r="W365" s="64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63"/>
      <c r="BD365" s="63"/>
      <c r="BE365" s="63"/>
      <c r="BF365" s="63"/>
      <c r="BG365" s="63"/>
      <c r="BH365" s="63"/>
      <c r="BI365" s="63"/>
      <c r="BJ365" s="63"/>
      <c r="BK365" s="63"/>
      <c r="BL365" s="63"/>
      <c r="BM365" s="63"/>
      <c r="BN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4"/>
      <c r="L366" s="65"/>
      <c r="M366" s="63"/>
      <c r="N366" s="63"/>
      <c r="O366" s="63"/>
      <c r="P366" s="63"/>
      <c r="Q366" s="63"/>
      <c r="R366" s="65"/>
      <c r="S366" s="63"/>
      <c r="T366" s="63"/>
      <c r="U366" s="63"/>
      <c r="V366" s="63"/>
      <c r="W366" s="64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  <c r="BD366" s="63"/>
      <c r="BE366" s="63"/>
      <c r="BF366" s="63"/>
      <c r="BG366" s="63"/>
      <c r="BH366" s="63"/>
      <c r="BI366" s="63"/>
      <c r="BJ366" s="63"/>
      <c r="BK366" s="63"/>
      <c r="BL366" s="63"/>
      <c r="BM366" s="63"/>
      <c r="BN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4"/>
      <c r="L367" s="65"/>
      <c r="M367" s="63"/>
      <c r="N367" s="63"/>
      <c r="O367" s="63"/>
      <c r="P367" s="63"/>
      <c r="Q367" s="63"/>
      <c r="R367" s="65"/>
      <c r="S367" s="63"/>
      <c r="T367" s="63"/>
      <c r="U367" s="63"/>
      <c r="V367" s="63"/>
      <c r="W367" s="64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63"/>
      <c r="BD367" s="63"/>
      <c r="BE367" s="63"/>
      <c r="BF367" s="63"/>
      <c r="BG367" s="63"/>
      <c r="BH367" s="63"/>
      <c r="BI367" s="63"/>
      <c r="BJ367" s="63"/>
      <c r="BK367" s="63"/>
      <c r="BL367" s="63"/>
      <c r="BM367" s="63"/>
      <c r="BN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4"/>
      <c r="L368" s="65"/>
      <c r="M368" s="63"/>
      <c r="N368" s="63"/>
      <c r="O368" s="63"/>
      <c r="P368" s="63"/>
      <c r="Q368" s="63"/>
      <c r="R368" s="65"/>
      <c r="S368" s="63"/>
      <c r="T368" s="63"/>
      <c r="U368" s="63"/>
      <c r="V368" s="63"/>
      <c r="W368" s="64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  <c r="BB368" s="63"/>
      <c r="BC368" s="63"/>
      <c r="BD368" s="63"/>
      <c r="BE368" s="63"/>
      <c r="BF368" s="63"/>
      <c r="BG368" s="63"/>
      <c r="BH368" s="63"/>
      <c r="BI368" s="63"/>
      <c r="BJ368" s="63"/>
      <c r="BK368" s="63"/>
      <c r="BL368" s="63"/>
      <c r="BM368" s="63"/>
      <c r="BN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4"/>
      <c r="L369" s="65"/>
      <c r="M369" s="63"/>
      <c r="N369" s="63"/>
      <c r="O369" s="63"/>
      <c r="P369" s="63"/>
      <c r="Q369" s="63"/>
      <c r="R369" s="65"/>
      <c r="S369" s="63"/>
      <c r="T369" s="63"/>
      <c r="U369" s="63"/>
      <c r="V369" s="63"/>
      <c r="W369" s="64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63"/>
      <c r="BD369" s="63"/>
      <c r="BE369" s="63"/>
      <c r="BF369" s="63"/>
      <c r="BG369" s="63"/>
      <c r="BH369" s="63"/>
      <c r="BI369" s="63"/>
      <c r="BJ369" s="63"/>
      <c r="BK369" s="63"/>
      <c r="BL369" s="63"/>
      <c r="BM369" s="63"/>
      <c r="BN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4"/>
      <c r="L370" s="65"/>
      <c r="M370" s="63"/>
      <c r="N370" s="63"/>
      <c r="O370" s="63"/>
      <c r="P370" s="63"/>
      <c r="Q370" s="63"/>
      <c r="R370" s="65"/>
      <c r="S370" s="63"/>
      <c r="T370" s="63"/>
      <c r="U370" s="63"/>
      <c r="V370" s="63"/>
      <c r="W370" s="64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  <c r="BC370" s="63"/>
      <c r="BD370" s="63"/>
      <c r="BE370" s="63"/>
      <c r="BF370" s="63"/>
      <c r="BG370" s="63"/>
      <c r="BH370" s="63"/>
      <c r="BI370" s="63"/>
      <c r="BJ370" s="63"/>
      <c r="BK370" s="63"/>
      <c r="BL370" s="63"/>
      <c r="BM370" s="63"/>
      <c r="BN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4"/>
      <c r="L371" s="65"/>
      <c r="M371" s="63"/>
      <c r="N371" s="63"/>
      <c r="O371" s="63"/>
      <c r="P371" s="63"/>
      <c r="Q371" s="63"/>
      <c r="R371" s="65"/>
      <c r="S371" s="63"/>
      <c r="T371" s="63"/>
      <c r="U371" s="63"/>
      <c r="V371" s="63"/>
      <c r="W371" s="64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  <c r="BD371" s="63"/>
      <c r="BE371" s="63"/>
      <c r="BF371" s="63"/>
      <c r="BG371" s="63"/>
      <c r="BH371" s="63"/>
      <c r="BI371" s="63"/>
      <c r="BJ371" s="63"/>
      <c r="BK371" s="63"/>
      <c r="BL371" s="63"/>
      <c r="BM371" s="63"/>
      <c r="BN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4"/>
      <c r="L372" s="65"/>
      <c r="M372" s="63"/>
      <c r="N372" s="63"/>
      <c r="O372" s="63"/>
      <c r="P372" s="63"/>
      <c r="Q372" s="63"/>
      <c r="R372" s="65"/>
      <c r="S372" s="63"/>
      <c r="T372" s="63"/>
      <c r="U372" s="63"/>
      <c r="V372" s="63"/>
      <c r="W372" s="64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3"/>
      <c r="AX372" s="63"/>
      <c r="AY372" s="63"/>
      <c r="AZ372" s="63"/>
      <c r="BA372" s="63"/>
      <c r="BB372" s="63"/>
      <c r="BC372" s="63"/>
      <c r="BD372" s="63"/>
      <c r="BE372" s="63"/>
      <c r="BF372" s="63"/>
      <c r="BG372" s="63"/>
      <c r="BH372" s="63"/>
      <c r="BI372" s="63"/>
      <c r="BJ372" s="63"/>
      <c r="BK372" s="63"/>
      <c r="BL372" s="63"/>
      <c r="BM372" s="63"/>
      <c r="BN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4"/>
      <c r="L373" s="65"/>
      <c r="M373" s="63"/>
      <c r="N373" s="63"/>
      <c r="O373" s="63"/>
      <c r="P373" s="63"/>
      <c r="Q373" s="63"/>
      <c r="R373" s="65"/>
      <c r="S373" s="63"/>
      <c r="T373" s="63"/>
      <c r="U373" s="63"/>
      <c r="V373" s="63"/>
      <c r="W373" s="64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  <c r="BC373" s="63"/>
      <c r="BD373" s="63"/>
      <c r="BE373" s="63"/>
      <c r="BF373" s="63"/>
      <c r="BG373" s="63"/>
      <c r="BH373" s="63"/>
      <c r="BI373" s="63"/>
      <c r="BJ373" s="63"/>
      <c r="BK373" s="63"/>
      <c r="BL373" s="63"/>
      <c r="BM373" s="63"/>
      <c r="BN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4"/>
      <c r="L374" s="65"/>
      <c r="M374" s="63"/>
      <c r="N374" s="63"/>
      <c r="O374" s="63"/>
      <c r="P374" s="63"/>
      <c r="Q374" s="63"/>
      <c r="R374" s="65"/>
      <c r="S374" s="63"/>
      <c r="T374" s="63"/>
      <c r="U374" s="63"/>
      <c r="V374" s="63"/>
      <c r="W374" s="64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  <c r="BA374" s="63"/>
      <c r="BB374" s="63"/>
      <c r="BC374" s="63"/>
      <c r="BD374" s="63"/>
      <c r="BE374" s="63"/>
      <c r="BF374" s="63"/>
      <c r="BG374" s="63"/>
      <c r="BH374" s="63"/>
      <c r="BI374" s="63"/>
      <c r="BJ374" s="63"/>
      <c r="BK374" s="63"/>
      <c r="BL374" s="63"/>
      <c r="BM374" s="63"/>
      <c r="BN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4"/>
      <c r="L375" s="65"/>
      <c r="M375" s="63"/>
      <c r="N375" s="63"/>
      <c r="O375" s="63"/>
      <c r="P375" s="63"/>
      <c r="Q375" s="63"/>
      <c r="R375" s="65"/>
      <c r="S375" s="63"/>
      <c r="T375" s="63"/>
      <c r="U375" s="63"/>
      <c r="V375" s="63"/>
      <c r="W375" s="64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  <c r="BC375" s="63"/>
      <c r="BD375" s="63"/>
      <c r="BE375" s="63"/>
      <c r="BF375" s="63"/>
      <c r="BG375" s="63"/>
      <c r="BH375" s="63"/>
      <c r="BI375" s="63"/>
      <c r="BJ375" s="63"/>
      <c r="BK375" s="63"/>
      <c r="BL375" s="63"/>
      <c r="BM375" s="63"/>
      <c r="BN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4"/>
      <c r="L376" s="65"/>
      <c r="M376" s="63"/>
      <c r="N376" s="63"/>
      <c r="O376" s="63"/>
      <c r="P376" s="63"/>
      <c r="Q376" s="63"/>
      <c r="R376" s="65"/>
      <c r="S376" s="63"/>
      <c r="T376" s="63"/>
      <c r="U376" s="63"/>
      <c r="V376" s="63"/>
      <c r="W376" s="64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3"/>
      <c r="AX376" s="63"/>
      <c r="AY376" s="63"/>
      <c r="AZ376" s="63"/>
      <c r="BA376" s="63"/>
      <c r="BB376" s="63"/>
      <c r="BC376" s="63"/>
      <c r="BD376" s="63"/>
      <c r="BE376" s="63"/>
      <c r="BF376" s="63"/>
      <c r="BG376" s="63"/>
      <c r="BH376" s="63"/>
      <c r="BI376" s="63"/>
      <c r="BJ376" s="63"/>
      <c r="BK376" s="63"/>
      <c r="BL376" s="63"/>
      <c r="BM376" s="63"/>
      <c r="BN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4"/>
      <c r="L377" s="65"/>
      <c r="M377" s="63"/>
      <c r="N377" s="63"/>
      <c r="O377" s="63"/>
      <c r="P377" s="63"/>
      <c r="Q377" s="63"/>
      <c r="R377" s="65"/>
      <c r="S377" s="63"/>
      <c r="T377" s="63"/>
      <c r="U377" s="63"/>
      <c r="V377" s="63"/>
      <c r="W377" s="64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  <c r="BD377" s="63"/>
      <c r="BE377" s="63"/>
      <c r="BF377" s="63"/>
      <c r="BG377" s="63"/>
      <c r="BH377" s="63"/>
      <c r="BI377" s="63"/>
      <c r="BJ377" s="63"/>
      <c r="BK377" s="63"/>
      <c r="BL377" s="63"/>
      <c r="BM377" s="63"/>
      <c r="BN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4"/>
      <c r="L378" s="65"/>
      <c r="M378" s="63"/>
      <c r="N378" s="63"/>
      <c r="O378" s="63"/>
      <c r="P378" s="63"/>
      <c r="Q378" s="63"/>
      <c r="R378" s="65"/>
      <c r="S378" s="63"/>
      <c r="T378" s="63"/>
      <c r="U378" s="63"/>
      <c r="V378" s="63"/>
      <c r="W378" s="64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  <c r="BD378" s="63"/>
      <c r="BE378" s="63"/>
      <c r="BF378" s="63"/>
      <c r="BG378" s="63"/>
      <c r="BH378" s="63"/>
      <c r="BI378" s="63"/>
      <c r="BJ378" s="63"/>
      <c r="BK378" s="63"/>
      <c r="BL378" s="63"/>
      <c r="BM378" s="63"/>
      <c r="BN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4"/>
      <c r="L379" s="65"/>
      <c r="M379" s="63"/>
      <c r="N379" s="63"/>
      <c r="O379" s="63"/>
      <c r="P379" s="63"/>
      <c r="Q379" s="63"/>
      <c r="R379" s="65"/>
      <c r="S379" s="63"/>
      <c r="T379" s="63"/>
      <c r="U379" s="63"/>
      <c r="V379" s="63"/>
      <c r="W379" s="64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63"/>
      <c r="BD379" s="63"/>
      <c r="BE379" s="63"/>
      <c r="BF379" s="63"/>
      <c r="BG379" s="63"/>
      <c r="BH379" s="63"/>
      <c r="BI379" s="63"/>
      <c r="BJ379" s="63"/>
      <c r="BK379" s="63"/>
      <c r="BL379" s="63"/>
      <c r="BM379" s="63"/>
      <c r="BN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4"/>
      <c r="L380" s="65"/>
      <c r="M380" s="63"/>
      <c r="N380" s="63"/>
      <c r="O380" s="63"/>
      <c r="P380" s="63"/>
      <c r="Q380" s="63"/>
      <c r="R380" s="65"/>
      <c r="S380" s="63"/>
      <c r="T380" s="63"/>
      <c r="U380" s="63"/>
      <c r="V380" s="63"/>
      <c r="W380" s="64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3"/>
      <c r="BB380" s="63"/>
      <c r="BC380" s="63"/>
      <c r="BD380" s="63"/>
      <c r="BE380" s="63"/>
      <c r="BF380" s="63"/>
      <c r="BG380" s="63"/>
      <c r="BH380" s="63"/>
      <c r="BI380" s="63"/>
      <c r="BJ380" s="63"/>
      <c r="BK380" s="63"/>
      <c r="BL380" s="63"/>
      <c r="BM380" s="63"/>
      <c r="BN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4"/>
      <c r="L381" s="65"/>
      <c r="M381" s="63"/>
      <c r="N381" s="63"/>
      <c r="O381" s="63"/>
      <c r="P381" s="63"/>
      <c r="Q381" s="63"/>
      <c r="R381" s="65"/>
      <c r="S381" s="63"/>
      <c r="T381" s="63"/>
      <c r="U381" s="63"/>
      <c r="V381" s="63"/>
      <c r="W381" s="64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63"/>
      <c r="BD381" s="63"/>
      <c r="BE381" s="63"/>
      <c r="BF381" s="63"/>
      <c r="BG381" s="63"/>
      <c r="BH381" s="63"/>
      <c r="BI381" s="63"/>
      <c r="BJ381" s="63"/>
      <c r="BK381" s="63"/>
      <c r="BL381" s="63"/>
      <c r="BM381" s="63"/>
      <c r="BN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4"/>
      <c r="L382" s="65"/>
      <c r="M382" s="63"/>
      <c r="N382" s="63"/>
      <c r="O382" s="63"/>
      <c r="P382" s="63"/>
      <c r="Q382" s="63"/>
      <c r="R382" s="65"/>
      <c r="S382" s="63"/>
      <c r="T382" s="63"/>
      <c r="U382" s="63"/>
      <c r="V382" s="63"/>
      <c r="W382" s="64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  <c r="BB382" s="63"/>
      <c r="BC382" s="63"/>
      <c r="BD382" s="63"/>
      <c r="BE382" s="63"/>
      <c r="BF382" s="63"/>
      <c r="BG382" s="63"/>
      <c r="BH382" s="63"/>
      <c r="BI382" s="63"/>
      <c r="BJ382" s="63"/>
      <c r="BK382" s="63"/>
      <c r="BL382" s="63"/>
      <c r="BM382" s="63"/>
      <c r="BN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4"/>
      <c r="L383" s="65"/>
      <c r="M383" s="63"/>
      <c r="N383" s="63"/>
      <c r="O383" s="63"/>
      <c r="P383" s="63"/>
      <c r="Q383" s="63"/>
      <c r="R383" s="65"/>
      <c r="S383" s="63"/>
      <c r="T383" s="63"/>
      <c r="U383" s="63"/>
      <c r="V383" s="63"/>
      <c r="W383" s="64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63"/>
      <c r="BD383" s="63"/>
      <c r="BE383" s="63"/>
      <c r="BF383" s="63"/>
      <c r="BG383" s="63"/>
      <c r="BH383" s="63"/>
      <c r="BI383" s="63"/>
      <c r="BJ383" s="63"/>
      <c r="BK383" s="63"/>
      <c r="BL383" s="63"/>
      <c r="BM383" s="63"/>
      <c r="BN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4"/>
      <c r="L384" s="65"/>
      <c r="M384" s="63"/>
      <c r="N384" s="63"/>
      <c r="O384" s="63"/>
      <c r="P384" s="63"/>
      <c r="Q384" s="63"/>
      <c r="R384" s="65"/>
      <c r="S384" s="63"/>
      <c r="T384" s="63"/>
      <c r="U384" s="63"/>
      <c r="V384" s="63"/>
      <c r="W384" s="64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63"/>
      <c r="BD384" s="63"/>
      <c r="BE384" s="63"/>
      <c r="BF384" s="63"/>
      <c r="BG384" s="63"/>
      <c r="BH384" s="63"/>
      <c r="BI384" s="63"/>
      <c r="BJ384" s="63"/>
      <c r="BK384" s="63"/>
      <c r="BL384" s="63"/>
      <c r="BM384" s="63"/>
      <c r="BN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4"/>
      <c r="L385" s="65"/>
      <c r="M385" s="63"/>
      <c r="N385" s="63"/>
      <c r="O385" s="63"/>
      <c r="P385" s="63"/>
      <c r="Q385" s="63"/>
      <c r="R385" s="65"/>
      <c r="S385" s="63"/>
      <c r="T385" s="63"/>
      <c r="U385" s="63"/>
      <c r="V385" s="63"/>
      <c r="W385" s="64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  <c r="BD385" s="63"/>
      <c r="BE385" s="63"/>
      <c r="BF385" s="63"/>
      <c r="BG385" s="63"/>
      <c r="BH385" s="63"/>
      <c r="BI385" s="63"/>
      <c r="BJ385" s="63"/>
      <c r="BK385" s="63"/>
      <c r="BL385" s="63"/>
      <c r="BM385" s="63"/>
      <c r="BN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4"/>
      <c r="L386" s="65"/>
      <c r="M386" s="63"/>
      <c r="N386" s="63"/>
      <c r="O386" s="63"/>
      <c r="P386" s="63"/>
      <c r="Q386" s="63"/>
      <c r="R386" s="65"/>
      <c r="S386" s="63"/>
      <c r="T386" s="63"/>
      <c r="U386" s="63"/>
      <c r="V386" s="63"/>
      <c r="W386" s="64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63"/>
      <c r="BD386" s="63"/>
      <c r="BE386" s="63"/>
      <c r="BF386" s="63"/>
      <c r="BG386" s="63"/>
      <c r="BH386" s="63"/>
      <c r="BI386" s="63"/>
      <c r="BJ386" s="63"/>
      <c r="BK386" s="63"/>
      <c r="BL386" s="63"/>
      <c r="BM386" s="63"/>
      <c r="BN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4"/>
      <c r="L387" s="65"/>
      <c r="M387" s="63"/>
      <c r="N387" s="63"/>
      <c r="O387" s="63"/>
      <c r="P387" s="63"/>
      <c r="Q387" s="63"/>
      <c r="R387" s="65"/>
      <c r="S387" s="63"/>
      <c r="T387" s="63"/>
      <c r="U387" s="63"/>
      <c r="V387" s="63"/>
      <c r="W387" s="64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63"/>
      <c r="BD387" s="63"/>
      <c r="BE387" s="63"/>
      <c r="BF387" s="63"/>
      <c r="BG387" s="63"/>
      <c r="BH387" s="63"/>
      <c r="BI387" s="63"/>
      <c r="BJ387" s="63"/>
      <c r="BK387" s="63"/>
      <c r="BL387" s="63"/>
      <c r="BM387" s="63"/>
      <c r="BN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4"/>
      <c r="L388" s="65"/>
      <c r="M388" s="63"/>
      <c r="N388" s="63"/>
      <c r="O388" s="63"/>
      <c r="P388" s="63"/>
      <c r="Q388" s="63"/>
      <c r="R388" s="65"/>
      <c r="S388" s="63"/>
      <c r="T388" s="63"/>
      <c r="U388" s="63"/>
      <c r="V388" s="63"/>
      <c r="W388" s="64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  <c r="BC388" s="63"/>
      <c r="BD388" s="63"/>
      <c r="BE388" s="63"/>
      <c r="BF388" s="63"/>
      <c r="BG388" s="63"/>
      <c r="BH388" s="63"/>
      <c r="BI388" s="63"/>
      <c r="BJ388" s="63"/>
      <c r="BK388" s="63"/>
      <c r="BL388" s="63"/>
      <c r="BM388" s="63"/>
      <c r="BN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4"/>
      <c r="L389" s="65"/>
      <c r="M389" s="63"/>
      <c r="N389" s="63"/>
      <c r="O389" s="63"/>
      <c r="P389" s="63"/>
      <c r="Q389" s="63"/>
      <c r="R389" s="65"/>
      <c r="S389" s="63"/>
      <c r="T389" s="63"/>
      <c r="U389" s="63"/>
      <c r="V389" s="63"/>
      <c r="W389" s="64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63"/>
      <c r="BD389" s="63"/>
      <c r="BE389" s="63"/>
      <c r="BF389" s="63"/>
      <c r="BG389" s="63"/>
      <c r="BH389" s="63"/>
      <c r="BI389" s="63"/>
      <c r="BJ389" s="63"/>
      <c r="BK389" s="63"/>
      <c r="BL389" s="63"/>
      <c r="BM389" s="63"/>
      <c r="BN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4"/>
      <c r="L390" s="65"/>
      <c r="M390" s="63"/>
      <c r="N390" s="63"/>
      <c r="O390" s="63"/>
      <c r="P390" s="63"/>
      <c r="Q390" s="63"/>
      <c r="R390" s="65"/>
      <c r="S390" s="63"/>
      <c r="T390" s="63"/>
      <c r="U390" s="63"/>
      <c r="V390" s="63"/>
      <c r="W390" s="64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63"/>
      <c r="BD390" s="63"/>
      <c r="BE390" s="63"/>
      <c r="BF390" s="63"/>
      <c r="BG390" s="63"/>
      <c r="BH390" s="63"/>
      <c r="BI390" s="63"/>
      <c r="BJ390" s="63"/>
      <c r="BK390" s="63"/>
      <c r="BL390" s="63"/>
      <c r="BM390" s="63"/>
      <c r="BN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4"/>
      <c r="L391" s="65"/>
      <c r="M391" s="63"/>
      <c r="N391" s="63"/>
      <c r="O391" s="63"/>
      <c r="P391" s="63"/>
      <c r="Q391" s="63"/>
      <c r="R391" s="65"/>
      <c r="S391" s="63"/>
      <c r="T391" s="63"/>
      <c r="U391" s="63"/>
      <c r="V391" s="63"/>
      <c r="W391" s="64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63"/>
      <c r="BD391" s="63"/>
      <c r="BE391" s="63"/>
      <c r="BF391" s="63"/>
      <c r="BG391" s="63"/>
      <c r="BH391" s="63"/>
      <c r="BI391" s="63"/>
      <c r="BJ391" s="63"/>
      <c r="BK391" s="63"/>
      <c r="BL391" s="63"/>
      <c r="BM391" s="63"/>
      <c r="BN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4"/>
      <c r="L392" s="65"/>
      <c r="M392" s="63"/>
      <c r="N392" s="63"/>
      <c r="O392" s="63"/>
      <c r="P392" s="63"/>
      <c r="Q392" s="63"/>
      <c r="R392" s="65"/>
      <c r="S392" s="63"/>
      <c r="T392" s="63"/>
      <c r="U392" s="63"/>
      <c r="V392" s="63"/>
      <c r="W392" s="64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3"/>
      <c r="AX392" s="63"/>
      <c r="AY392" s="63"/>
      <c r="AZ392" s="63"/>
      <c r="BA392" s="63"/>
      <c r="BB392" s="63"/>
      <c r="BC392" s="63"/>
      <c r="BD392" s="63"/>
      <c r="BE392" s="63"/>
      <c r="BF392" s="63"/>
      <c r="BG392" s="63"/>
      <c r="BH392" s="63"/>
      <c r="BI392" s="63"/>
      <c r="BJ392" s="63"/>
      <c r="BK392" s="63"/>
      <c r="BL392" s="63"/>
      <c r="BM392" s="63"/>
      <c r="BN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4"/>
      <c r="L393" s="65"/>
      <c r="M393" s="63"/>
      <c r="N393" s="63"/>
      <c r="O393" s="63"/>
      <c r="P393" s="63"/>
      <c r="Q393" s="63"/>
      <c r="R393" s="65"/>
      <c r="S393" s="63"/>
      <c r="T393" s="63"/>
      <c r="U393" s="63"/>
      <c r="V393" s="63"/>
      <c r="W393" s="64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63"/>
      <c r="BD393" s="63"/>
      <c r="BE393" s="63"/>
      <c r="BF393" s="63"/>
      <c r="BG393" s="63"/>
      <c r="BH393" s="63"/>
      <c r="BI393" s="63"/>
      <c r="BJ393" s="63"/>
      <c r="BK393" s="63"/>
      <c r="BL393" s="63"/>
      <c r="BM393" s="63"/>
      <c r="BN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4"/>
      <c r="L394" s="65"/>
      <c r="M394" s="63"/>
      <c r="N394" s="63"/>
      <c r="O394" s="63"/>
      <c r="P394" s="63"/>
      <c r="Q394" s="63"/>
      <c r="R394" s="65"/>
      <c r="S394" s="63"/>
      <c r="T394" s="63"/>
      <c r="U394" s="63"/>
      <c r="V394" s="63"/>
      <c r="W394" s="64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63"/>
      <c r="BD394" s="63"/>
      <c r="BE394" s="63"/>
      <c r="BF394" s="63"/>
      <c r="BG394" s="63"/>
      <c r="BH394" s="63"/>
      <c r="BI394" s="63"/>
      <c r="BJ394" s="63"/>
      <c r="BK394" s="63"/>
      <c r="BL394" s="63"/>
      <c r="BM394" s="63"/>
      <c r="BN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4"/>
      <c r="L395" s="65"/>
      <c r="M395" s="63"/>
      <c r="N395" s="63"/>
      <c r="O395" s="63"/>
      <c r="P395" s="63"/>
      <c r="Q395" s="63"/>
      <c r="R395" s="65"/>
      <c r="S395" s="63"/>
      <c r="T395" s="63"/>
      <c r="U395" s="63"/>
      <c r="V395" s="63"/>
      <c r="W395" s="64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  <c r="BD395" s="63"/>
      <c r="BE395" s="63"/>
      <c r="BF395" s="63"/>
      <c r="BG395" s="63"/>
      <c r="BH395" s="63"/>
      <c r="BI395" s="63"/>
      <c r="BJ395" s="63"/>
      <c r="BK395" s="63"/>
      <c r="BL395" s="63"/>
      <c r="BM395" s="63"/>
      <c r="BN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4"/>
      <c r="L396" s="65"/>
      <c r="M396" s="63"/>
      <c r="N396" s="63"/>
      <c r="O396" s="63"/>
      <c r="P396" s="63"/>
      <c r="Q396" s="63"/>
      <c r="R396" s="65"/>
      <c r="S396" s="63"/>
      <c r="T396" s="63"/>
      <c r="U396" s="63"/>
      <c r="V396" s="63"/>
      <c r="W396" s="64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  <c r="BB396" s="63"/>
      <c r="BC396" s="63"/>
      <c r="BD396" s="63"/>
      <c r="BE396" s="63"/>
      <c r="BF396" s="63"/>
      <c r="BG396" s="63"/>
      <c r="BH396" s="63"/>
      <c r="BI396" s="63"/>
      <c r="BJ396" s="63"/>
      <c r="BK396" s="63"/>
      <c r="BL396" s="63"/>
      <c r="BM396" s="63"/>
      <c r="BN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4"/>
      <c r="L397" s="65"/>
      <c r="M397" s="63"/>
      <c r="N397" s="63"/>
      <c r="O397" s="63"/>
      <c r="P397" s="63"/>
      <c r="Q397" s="63"/>
      <c r="R397" s="65"/>
      <c r="S397" s="63"/>
      <c r="T397" s="63"/>
      <c r="U397" s="63"/>
      <c r="V397" s="63"/>
      <c r="W397" s="64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  <c r="BD397" s="63"/>
      <c r="BE397" s="63"/>
      <c r="BF397" s="63"/>
      <c r="BG397" s="63"/>
      <c r="BH397" s="63"/>
      <c r="BI397" s="63"/>
      <c r="BJ397" s="63"/>
      <c r="BK397" s="63"/>
      <c r="BL397" s="63"/>
      <c r="BM397" s="63"/>
      <c r="BN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4"/>
      <c r="L398" s="65"/>
      <c r="M398" s="63"/>
      <c r="N398" s="63"/>
      <c r="O398" s="63"/>
      <c r="P398" s="63"/>
      <c r="Q398" s="63"/>
      <c r="R398" s="65"/>
      <c r="S398" s="63"/>
      <c r="T398" s="63"/>
      <c r="U398" s="63"/>
      <c r="V398" s="63"/>
      <c r="W398" s="64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63"/>
      <c r="BD398" s="63"/>
      <c r="BE398" s="63"/>
      <c r="BF398" s="63"/>
      <c r="BG398" s="63"/>
      <c r="BH398" s="63"/>
      <c r="BI398" s="63"/>
      <c r="BJ398" s="63"/>
      <c r="BK398" s="63"/>
      <c r="BL398" s="63"/>
      <c r="BM398" s="63"/>
      <c r="BN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4"/>
      <c r="L399" s="65"/>
      <c r="M399" s="63"/>
      <c r="N399" s="63"/>
      <c r="O399" s="63"/>
      <c r="P399" s="63"/>
      <c r="Q399" s="63"/>
      <c r="R399" s="65"/>
      <c r="S399" s="63"/>
      <c r="T399" s="63"/>
      <c r="U399" s="63"/>
      <c r="V399" s="63"/>
      <c r="W399" s="64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  <c r="BD399" s="63"/>
      <c r="BE399" s="63"/>
      <c r="BF399" s="63"/>
      <c r="BG399" s="63"/>
      <c r="BH399" s="63"/>
      <c r="BI399" s="63"/>
      <c r="BJ399" s="63"/>
      <c r="BK399" s="63"/>
      <c r="BL399" s="63"/>
      <c r="BM399" s="63"/>
      <c r="BN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4"/>
      <c r="L400" s="65"/>
      <c r="M400" s="63"/>
      <c r="N400" s="63"/>
      <c r="O400" s="63"/>
      <c r="P400" s="63"/>
      <c r="Q400" s="63"/>
      <c r="R400" s="65"/>
      <c r="S400" s="63"/>
      <c r="T400" s="63"/>
      <c r="U400" s="63"/>
      <c r="V400" s="63"/>
      <c r="W400" s="64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63"/>
      <c r="BD400" s="63"/>
      <c r="BE400" s="63"/>
      <c r="BF400" s="63"/>
      <c r="BG400" s="63"/>
      <c r="BH400" s="63"/>
      <c r="BI400" s="63"/>
      <c r="BJ400" s="63"/>
      <c r="BK400" s="63"/>
      <c r="BL400" s="63"/>
      <c r="BM400" s="63"/>
      <c r="BN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4"/>
      <c r="L401" s="65"/>
      <c r="M401" s="63"/>
      <c r="N401" s="63"/>
      <c r="O401" s="63"/>
      <c r="P401" s="63"/>
      <c r="Q401" s="63"/>
      <c r="R401" s="65"/>
      <c r="S401" s="63"/>
      <c r="T401" s="63"/>
      <c r="U401" s="63"/>
      <c r="V401" s="63"/>
      <c r="W401" s="64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63"/>
      <c r="BF401" s="63"/>
      <c r="BG401" s="63"/>
      <c r="BH401" s="63"/>
      <c r="BI401" s="63"/>
      <c r="BJ401" s="63"/>
      <c r="BK401" s="63"/>
      <c r="BL401" s="63"/>
      <c r="BM401" s="63"/>
      <c r="BN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4"/>
      <c r="L402" s="65"/>
      <c r="M402" s="63"/>
      <c r="N402" s="63"/>
      <c r="O402" s="63"/>
      <c r="P402" s="63"/>
      <c r="Q402" s="63"/>
      <c r="R402" s="65"/>
      <c r="S402" s="63"/>
      <c r="T402" s="63"/>
      <c r="U402" s="63"/>
      <c r="V402" s="63"/>
      <c r="W402" s="64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63"/>
      <c r="BF402" s="63"/>
      <c r="BG402" s="63"/>
      <c r="BH402" s="63"/>
      <c r="BI402" s="63"/>
      <c r="BJ402" s="63"/>
      <c r="BK402" s="63"/>
      <c r="BL402" s="63"/>
      <c r="BM402" s="63"/>
      <c r="BN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4"/>
      <c r="L403" s="65"/>
      <c r="M403" s="63"/>
      <c r="N403" s="63"/>
      <c r="O403" s="63"/>
      <c r="P403" s="63"/>
      <c r="Q403" s="63"/>
      <c r="R403" s="65"/>
      <c r="S403" s="63"/>
      <c r="T403" s="63"/>
      <c r="U403" s="63"/>
      <c r="V403" s="63"/>
      <c r="W403" s="64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  <c r="BD403" s="63"/>
      <c r="BE403" s="63"/>
      <c r="BF403" s="63"/>
      <c r="BG403" s="63"/>
      <c r="BH403" s="63"/>
      <c r="BI403" s="63"/>
      <c r="BJ403" s="63"/>
      <c r="BK403" s="63"/>
      <c r="BL403" s="63"/>
      <c r="BM403" s="63"/>
      <c r="BN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4"/>
      <c r="L404" s="65"/>
      <c r="M404" s="63"/>
      <c r="N404" s="63"/>
      <c r="O404" s="63"/>
      <c r="P404" s="63"/>
      <c r="Q404" s="63"/>
      <c r="R404" s="65"/>
      <c r="S404" s="63"/>
      <c r="T404" s="63"/>
      <c r="U404" s="63"/>
      <c r="V404" s="63"/>
      <c r="W404" s="64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63"/>
      <c r="BD404" s="63"/>
      <c r="BE404" s="63"/>
      <c r="BF404" s="63"/>
      <c r="BG404" s="63"/>
      <c r="BH404" s="63"/>
      <c r="BI404" s="63"/>
      <c r="BJ404" s="63"/>
      <c r="BK404" s="63"/>
      <c r="BL404" s="63"/>
      <c r="BM404" s="63"/>
      <c r="BN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4"/>
      <c r="L405" s="65"/>
      <c r="M405" s="63"/>
      <c r="N405" s="63"/>
      <c r="O405" s="63"/>
      <c r="P405" s="63"/>
      <c r="Q405" s="63"/>
      <c r="R405" s="65"/>
      <c r="S405" s="63"/>
      <c r="T405" s="63"/>
      <c r="U405" s="63"/>
      <c r="V405" s="63"/>
      <c r="W405" s="64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  <c r="BD405" s="63"/>
      <c r="BE405" s="63"/>
      <c r="BF405" s="63"/>
      <c r="BG405" s="63"/>
      <c r="BH405" s="63"/>
      <c r="BI405" s="63"/>
      <c r="BJ405" s="63"/>
      <c r="BK405" s="63"/>
      <c r="BL405" s="63"/>
      <c r="BM405" s="63"/>
      <c r="BN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4"/>
      <c r="L406" s="65"/>
      <c r="M406" s="63"/>
      <c r="N406" s="63"/>
      <c r="O406" s="63"/>
      <c r="P406" s="63"/>
      <c r="Q406" s="63"/>
      <c r="R406" s="65"/>
      <c r="S406" s="63"/>
      <c r="T406" s="63"/>
      <c r="U406" s="63"/>
      <c r="V406" s="63"/>
      <c r="W406" s="64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  <c r="BB406" s="63"/>
      <c r="BC406" s="63"/>
      <c r="BD406" s="63"/>
      <c r="BE406" s="63"/>
      <c r="BF406" s="63"/>
      <c r="BG406" s="63"/>
      <c r="BH406" s="63"/>
      <c r="BI406" s="63"/>
      <c r="BJ406" s="63"/>
      <c r="BK406" s="63"/>
      <c r="BL406" s="63"/>
      <c r="BM406" s="63"/>
      <c r="BN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4"/>
      <c r="L407" s="65"/>
      <c r="M407" s="63"/>
      <c r="N407" s="63"/>
      <c r="O407" s="63"/>
      <c r="P407" s="63"/>
      <c r="Q407" s="63"/>
      <c r="R407" s="65"/>
      <c r="S407" s="63"/>
      <c r="T407" s="63"/>
      <c r="U407" s="63"/>
      <c r="V407" s="63"/>
      <c r="W407" s="64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/>
      <c r="BE407" s="63"/>
      <c r="BF407" s="63"/>
      <c r="BG407" s="63"/>
      <c r="BH407" s="63"/>
      <c r="BI407" s="63"/>
      <c r="BJ407" s="63"/>
      <c r="BK407" s="63"/>
      <c r="BL407" s="63"/>
      <c r="BM407" s="63"/>
      <c r="BN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4"/>
      <c r="L408" s="65"/>
      <c r="M408" s="63"/>
      <c r="N408" s="63"/>
      <c r="O408" s="63"/>
      <c r="P408" s="63"/>
      <c r="Q408" s="63"/>
      <c r="R408" s="65"/>
      <c r="S408" s="63"/>
      <c r="T408" s="63"/>
      <c r="U408" s="63"/>
      <c r="V408" s="63"/>
      <c r="W408" s="64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63"/>
      <c r="BD408" s="63"/>
      <c r="BE408" s="63"/>
      <c r="BF408" s="63"/>
      <c r="BG408" s="63"/>
      <c r="BH408" s="63"/>
      <c r="BI408" s="63"/>
      <c r="BJ408" s="63"/>
      <c r="BK408" s="63"/>
      <c r="BL408" s="63"/>
      <c r="BM408" s="63"/>
      <c r="BN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4"/>
      <c r="L409" s="65"/>
      <c r="M409" s="63"/>
      <c r="N409" s="63"/>
      <c r="O409" s="63"/>
      <c r="P409" s="63"/>
      <c r="Q409" s="63"/>
      <c r="R409" s="65"/>
      <c r="S409" s="63"/>
      <c r="T409" s="63"/>
      <c r="U409" s="63"/>
      <c r="V409" s="63"/>
      <c r="W409" s="64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  <c r="BD409" s="63"/>
      <c r="BE409" s="63"/>
      <c r="BF409" s="63"/>
      <c r="BG409" s="63"/>
      <c r="BH409" s="63"/>
      <c r="BI409" s="63"/>
      <c r="BJ409" s="63"/>
      <c r="BK409" s="63"/>
      <c r="BL409" s="63"/>
      <c r="BM409" s="63"/>
      <c r="BN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4"/>
      <c r="L410" s="65"/>
      <c r="M410" s="63"/>
      <c r="N410" s="63"/>
      <c r="O410" s="63"/>
      <c r="P410" s="63"/>
      <c r="Q410" s="63"/>
      <c r="R410" s="65"/>
      <c r="S410" s="63"/>
      <c r="T410" s="63"/>
      <c r="U410" s="63"/>
      <c r="V410" s="63"/>
      <c r="W410" s="64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63"/>
      <c r="BD410" s="63"/>
      <c r="BE410" s="63"/>
      <c r="BF410" s="63"/>
      <c r="BG410" s="63"/>
      <c r="BH410" s="63"/>
      <c r="BI410" s="63"/>
      <c r="BJ410" s="63"/>
      <c r="BK410" s="63"/>
      <c r="BL410" s="63"/>
      <c r="BM410" s="63"/>
      <c r="BN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4"/>
      <c r="L411" s="65"/>
      <c r="M411" s="63"/>
      <c r="N411" s="63"/>
      <c r="O411" s="63"/>
      <c r="P411" s="63"/>
      <c r="Q411" s="63"/>
      <c r="R411" s="65"/>
      <c r="S411" s="63"/>
      <c r="T411" s="63"/>
      <c r="U411" s="63"/>
      <c r="V411" s="63"/>
      <c r="W411" s="64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63"/>
      <c r="BD411" s="63"/>
      <c r="BE411" s="63"/>
      <c r="BF411" s="63"/>
      <c r="BG411" s="63"/>
      <c r="BH411" s="63"/>
      <c r="BI411" s="63"/>
      <c r="BJ411" s="63"/>
      <c r="BK411" s="63"/>
      <c r="BL411" s="63"/>
      <c r="BM411" s="63"/>
      <c r="BN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4"/>
      <c r="L412" s="65"/>
      <c r="M412" s="63"/>
      <c r="N412" s="63"/>
      <c r="O412" s="63"/>
      <c r="P412" s="63"/>
      <c r="Q412" s="63"/>
      <c r="R412" s="65"/>
      <c r="S412" s="63"/>
      <c r="T412" s="63"/>
      <c r="U412" s="63"/>
      <c r="V412" s="63"/>
      <c r="W412" s="64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4"/>
      <c r="L413" s="65"/>
      <c r="M413" s="63"/>
      <c r="N413" s="63"/>
      <c r="O413" s="63"/>
      <c r="P413" s="63"/>
      <c r="Q413" s="63"/>
      <c r="R413" s="65"/>
      <c r="S413" s="63"/>
      <c r="T413" s="63"/>
      <c r="U413" s="63"/>
      <c r="V413" s="63"/>
      <c r="W413" s="64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  <c r="BD413" s="63"/>
      <c r="BE413" s="63"/>
      <c r="BF413" s="63"/>
      <c r="BG413" s="63"/>
      <c r="BH413" s="63"/>
      <c r="BI413" s="63"/>
      <c r="BJ413" s="63"/>
      <c r="BK413" s="63"/>
      <c r="BL413" s="63"/>
      <c r="BM413" s="63"/>
      <c r="BN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4"/>
      <c r="L414" s="65"/>
      <c r="M414" s="63"/>
      <c r="N414" s="63"/>
      <c r="O414" s="63"/>
      <c r="P414" s="63"/>
      <c r="Q414" s="63"/>
      <c r="R414" s="65"/>
      <c r="S414" s="63"/>
      <c r="T414" s="63"/>
      <c r="U414" s="63"/>
      <c r="V414" s="63"/>
      <c r="W414" s="64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/>
      <c r="BE414" s="63"/>
      <c r="BF414" s="63"/>
      <c r="BG414" s="63"/>
      <c r="BH414" s="63"/>
      <c r="BI414" s="63"/>
      <c r="BJ414" s="63"/>
      <c r="BK414" s="63"/>
      <c r="BL414" s="63"/>
      <c r="BM414" s="63"/>
      <c r="BN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4"/>
      <c r="L415" s="65"/>
      <c r="M415" s="63"/>
      <c r="N415" s="63"/>
      <c r="O415" s="63"/>
      <c r="P415" s="63"/>
      <c r="Q415" s="63"/>
      <c r="R415" s="65"/>
      <c r="S415" s="63"/>
      <c r="T415" s="63"/>
      <c r="U415" s="63"/>
      <c r="V415" s="63"/>
      <c r="W415" s="64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  <c r="BD415" s="63"/>
      <c r="BE415" s="63"/>
      <c r="BF415" s="63"/>
      <c r="BG415" s="63"/>
      <c r="BH415" s="63"/>
      <c r="BI415" s="63"/>
      <c r="BJ415" s="63"/>
      <c r="BK415" s="63"/>
      <c r="BL415" s="63"/>
      <c r="BM415" s="63"/>
      <c r="BN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4"/>
      <c r="L416" s="65"/>
      <c r="M416" s="63"/>
      <c r="N416" s="63"/>
      <c r="O416" s="63"/>
      <c r="P416" s="63"/>
      <c r="Q416" s="63"/>
      <c r="R416" s="65"/>
      <c r="S416" s="63"/>
      <c r="T416" s="63"/>
      <c r="U416" s="63"/>
      <c r="V416" s="63"/>
      <c r="W416" s="64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63"/>
      <c r="BD416" s="63"/>
      <c r="BE416" s="63"/>
      <c r="BF416" s="63"/>
      <c r="BG416" s="63"/>
      <c r="BH416" s="63"/>
      <c r="BI416" s="63"/>
      <c r="BJ416" s="63"/>
      <c r="BK416" s="63"/>
      <c r="BL416" s="63"/>
      <c r="BM416" s="63"/>
      <c r="BN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4"/>
      <c r="L417" s="65"/>
      <c r="M417" s="63"/>
      <c r="N417" s="63"/>
      <c r="O417" s="63"/>
      <c r="P417" s="63"/>
      <c r="Q417" s="63"/>
      <c r="R417" s="65"/>
      <c r="S417" s="63"/>
      <c r="T417" s="63"/>
      <c r="U417" s="63"/>
      <c r="V417" s="63"/>
      <c r="W417" s="64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63"/>
      <c r="BD417" s="63"/>
      <c r="BE417" s="63"/>
      <c r="BF417" s="63"/>
      <c r="BG417" s="63"/>
      <c r="BH417" s="63"/>
      <c r="BI417" s="63"/>
      <c r="BJ417" s="63"/>
      <c r="BK417" s="63"/>
      <c r="BL417" s="63"/>
      <c r="BM417" s="63"/>
      <c r="BN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4"/>
      <c r="L418" s="65"/>
      <c r="M418" s="63"/>
      <c r="N418" s="63"/>
      <c r="O418" s="63"/>
      <c r="P418" s="63"/>
      <c r="Q418" s="63"/>
      <c r="R418" s="65"/>
      <c r="S418" s="63"/>
      <c r="T418" s="63"/>
      <c r="U418" s="63"/>
      <c r="V418" s="63"/>
      <c r="W418" s="64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  <c r="BB418" s="63"/>
      <c r="BC418" s="63"/>
      <c r="BD418" s="63"/>
      <c r="BE418" s="63"/>
      <c r="BF418" s="63"/>
      <c r="BG418" s="63"/>
      <c r="BH418" s="63"/>
      <c r="BI418" s="63"/>
      <c r="BJ418" s="63"/>
      <c r="BK418" s="63"/>
      <c r="BL418" s="63"/>
      <c r="BM418" s="63"/>
      <c r="BN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4"/>
      <c r="L419" s="65"/>
      <c r="M419" s="63"/>
      <c r="N419" s="63"/>
      <c r="O419" s="63"/>
      <c r="P419" s="63"/>
      <c r="Q419" s="63"/>
      <c r="R419" s="65"/>
      <c r="S419" s="63"/>
      <c r="T419" s="63"/>
      <c r="U419" s="63"/>
      <c r="V419" s="63"/>
      <c r="W419" s="64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  <c r="BC419" s="63"/>
      <c r="BD419" s="63"/>
      <c r="BE419" s="63"/>
      <c r="BF419" s="63"/>
      <c r="BG419" s="63"/>
      <c r="BH419" s="63"/>
      <c r="BI419" s="63"/>
      <c r="BJ419" s="63"/>
      <c r="BK419" s="63"/>
      <c r="BL419" s="63"/>
      <c r="BM419" s="63"/>
      <c r="BN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4"/>
      <c r="L420" s="65"/>
      <c r="M420" s="63"/>
      <c r="N420" s="63"/>
      <c r="O420" s="63"/>
      <c r="P420" s="63"/>
      <c r="Q420" s="63"/>
      <c r="R420" s="65"/>
      <c r="S420" s="63"/>
      <c r="T420" s="63"/>
      <c r="U420" s="63"/>
      <c r="V420" s="63"/>
      <c r="W420" s="64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63"/>
      <c r="BD420" s="63"/>
      <c r="BE420" s="63"/>
      <c r="BF420" s="63"/>
      <c r="BG420" s="63"/>
      <c r="BH420" s="63"/>
      <c r="BI420" s="63"/>
      <c r="BJ420" s="63"/>
      <c r="BK420" s="63"/>
      <c r="BL420" s="63"/>
      <c r="BM420" s="63"/>
      <c r="BN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4"/>
      <c r="L421" s="65"/>
      <c r="M421" s="63"/>
      <c r="N421" s="63"/>
      <c r="O421" s="63"/>
      <c r="P421" s="63"/>
      <c r="Q421" s="63"/>
      <c r="R421" s="65"/>
      <c r="S421" s="63"/>
      <c r="T421" s="63"/>
      <c r="U421" s="63"/>
      <c r="V421" s="63"/>
      <c r="W421" s="64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  <c r="BD421" s="63"/>
      <c r="BE421" s="63"/>
      <c r="BF421" s="63"/>
      <c r="BG421" s="63"/>
      <c r="BH421" s="63"/>
      <c r="BI421" s="63"/>
      <c r="BJ421" s="63"/>
      <c r="BK421" s="63"/>
      <c r="BL421" s="63"/>
      <c r="BM421" s="63"/>
      <c r="BN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4"/>
      <c r="L422" s="65"/>
      <c r="M422" s="63"/>
      <c r="N422" s="63"/>
      <c r="O422" s="63"/>
      <c r="P422" s="63"/>
      <c r="Q422" s="63"/>
      <c r="R422" s="65"/>
      <c r="S422" s="63"/>
      <c r="T422" s="63"/>
      <c r="U422" s="63"/>
      <c r="V422" s="63"/>
      <c r="W422" s="64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63"/>
      <c r="BD422" s="63"/>
      <c r="BE422" s="63"/>
      <c r="BF422" s="63"/>
      <c r="BG422" s="63"/>
      <c r="BH422" s="63"/>
      <c r="BI422" s="63"/>
      <c r="BJ422" s="63"/>
      <c r="BK422" s="63"/>
      <c r="BL422" s="63"/>
      <c r="BM422" s="63"/>
      <c r="BN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4"/>
      <c r="L423" s="65"/>
      <c r="M423" s="63"/>
      <c r="N423" s="63"/>
      <c r="O423" s="63"/>
      <c r="P423" s="63"/>
      <c r="Q423" s="63"/>
      <c r="R423" s="65"/>
      <c r="S423" s="63"/>
      <c r="T423" s="63"/>
      <c r="U423" s="63"/>
      <c r="V423" s="63"/>
      <c r="W423" s="64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  <c r="BD423" s="63"/>
      <c r="BE423" s="63"/>
      <c r="BF423" s="63"/>
      <c r="BG423" s="63"/>
      <c r="BH423" s="63"/>
      <c r="BI423" s="63"/>
      <c r="BJ423" s="63"/>
      <c r="BK423" s="63"/>
      <c r="BL423" s="63"/>
      <c r="BM423" s="63"/>
      <c r="BN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4"/>
      <c r="L424" s="65"/>
      <c r="M424" s="63"/>
      <c r="N424" s="63"/>
      <c r="O424" s="63"/>
      <c r="P424" s="63"/>
      <c r="Q424" s="63"/>
      <c r="R424" s="65"/>
      <c r="S424" s="63"/>
      <c r="T424" s="63"/>
      <c r="U424" s="63"/>
      <c r="V424" s="63"/>
      <c r="W424" s="64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63"/>
      <c r="BD424" s="63"/>
      <c r="BE424" s="63"/>
      <c r="BF424" s="63"/>
      <c r="BG424" s="63"/>
      <c r="BH424" s="63"/>
      <c r="BI424" s="63"/>
      <c r="BJ424" s="63"/>
      <c r="BK424" s="63"/>
      <c r="BL424" s="63"/>
      <c r="BM424" s="63"/>
      <c r="BN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4"/>
      <c r="L425" s="65"/>
      <c r="M425" s="63"/>
      <c r="N425" s="63"/>
      <c r="O425" s="63"/>
      <c r="P425" s="63"/>
      <c r="Q425" s="63"/>
      <c r="R425" s="65"/>
      <c r="S425" s="63"/>
      <c r="T425" s="63"/>
      <c r="U425" s="63"/>
      <c r="V425" s="63"/>
      <c r="W425" s="64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  <c r="BD425" s="63"/>
      <c r="BE425" s="63"/>
      <c r="BF425" s="63"/>
      <c r="BG425" s="63"/>
      <c r="BH425" s="63"/>
      <c r="BI425" s="63"/>
      <c r="BJ425" s="63"/>
      <c r="BK425" s="63"/>
      <c r="BL425" s="63"/>
      <c r="BM425" s="63"/>
      <c r="BN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4"/>
      <c r="L426" s="65"/>
      <c r="M426" s="63"/>
      <c r="N426" s="63"/>
      <c r="O426" s="63"/>
      <c r="P426" s="63"/>
      <c r="Q426" s="63"/>
      <c r="R426" s="65"/>
      <c r="S426" s="63"/>
      <c r="T426" s="63"/>
      <c r="U426" s="63"/>
      <c r="V426" s="63"/>
      <c r="W426" s="64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/>
      <c r="BE426" s="63"/>
      <c r="BF426" s="63"/>
      <c r="BG426" s="63"/>
      <c r="BH426" s="63"/>
      <c r="BI426" s="63"/>
      <c r="BJ426" s="63"/>
      <c r="BK426" s="63"/>
      <c r="BL426" s="63"/>
      <c r="BM426" s="63"/>
      <c r="BN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4"/>
      <c r="L427" s="65"/>
      <c r="M427" s="63"/>
      <c r="N427" s="63"/>
      <c r="O427" s="63"/>
      <c r="P427" s="63"/>
      <c r="Q427" s="63"/>
      <c r="R427" s="65"/>
      <c r="S427" s="63"/>
      <c r="T427" s="63"/>
      <c r="U427" s="63"/>
      <c r="V427" s="63"/>
      <c r="W427" s="64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/>
      <c r="BE427" s="63"/>
      <c r="BF427" s="63"/>
      <c r="BG427" s="63"/>
      <c r="BH427" s="63"/>
      <c r="BI427" s="63"/>
      <c r="BJ427" s="63"/>
      <c r="BK427" s="63"/>
      <c r="BL427" s="63"/>
      <c r="BM427" s="63"/>
      <c r="BN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4"/>
      <c r="L428" s="65"/>
      <c r="M428" s="63"/>
      <c r="N428" s="63"/>
      <c r="O428" s="63"/>
      <c r="P428" s="63"/>
      <c r="Q428" s="63"/>
      <c r="R428" s="65"/>
      <c r="S428" s="63"/>
      <c r="T428" s="63"/>
      <c r="U428" s="63"/>
      <c r="V428" s="63"/>
      <c r="W428" s="64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63"/>
      <c r="BD428" s="63"/>
      <c r="BE428" s="63"/>
      <c r="BF428" s="63"/>
      <c r="BG428" s="63"/>
      <c r="BH428" s="63"/>
      <c r="BI428" s="63"/>
      <c r="BJ428" s="63"/>
      <c r="BK428" s="63"/>
      <c r="BL428" s="63"/>
      <c r="BM428" s="63"/>
      <c r="BN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4"/>
      <c r="L429" s="65"/>
      <c r="M429" s="63"/>
      <c r="N429" s="63"/>
      <c r="O429" s="63"/>
      <c r="P429" s="63"/>
      <c r="Q429" s="63"/>
      <c r="R429" s="65"/>
      <c r="S429" s="63"/>
      <c r="T429" s="63"/>
      <c r="U429" s="63"/>
      <c r="V429" s="63"/>
      <c r="W429" s="64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63"/>
      <c r="BD429" s="63"/>
      <c r="BE429" s="63"/>
      <c r="BF429" s="63"/>
      <c r="BG429" s="63"/>
      <c r="BH429" s="63"/>
      <c r="BI429" s="63"/>
      <c r="BJ429" s="63"/>
      <c r="BK429" s="63"/>
      <c r="BL429" s="63"/>
      <c r="BM429" s="63"/>
      <c r="BN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4"/>
      <c r="L430" s="65"/>
      <c r="M430" s="63"/>
      <c r="N430" s="63"/>
      <c r="O430" s="63"/>
      <c r="P430" s="63"/>
      <c r="Q430" s="63"/>
      <c r="R430" s="65"/>
      <c r="S430" s="63"/>
      <c r="T430" s="63"/>
      <c r="U430" s="63"/>
      <c r="V430" s="63"/>
      <c r="W430" s="64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63"/>
      <c r="BD430" s="63"/>
      <c r="BE430" s="63"/>
      <c r="BF430" s="63"/>
      <c r="BG430" s="63"/>
      <c r="BH430" s="63"/>
      <c r="BI430" s="63"/>
      <c r="BJ430" s="63"/>
      <c r="BK430" s="63"/>
      <c r="BL430" s="63"/>
      <c r="BM430" s="63"/>
      <c r="BN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4"/>
      <c r="L431" s="65"/>
      <c r="M431" s="63"/>
      <c r="N431" s="63"/>
      <c r="O431" s="63"/>
      <c r="P431" s="63"/>
      <c r="Q431" s="63"/>
      <c r="R431" s="65"/>
      <c r="S431" s="63"/>
      <c r="T431" s="63"/>
      <c r="U431" s="63"/>
      <c r="V431" s="63"/>
      <c r="W431" s="64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/>
      <c r="BE431" s="63"/>
      <c r="BF431" s="63"/>
      <c r="BG431" s="63"/>
      <c r="BH431" s="63"/>
      <c r="BI431" s="63"/>
      <c r="BJ431" s="63"/>
      <c r="BK431" s="63"/>
      <c r="BL431" s="63"/>
      <c r="BM431" s="63"/>
      <c r="BN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4"/>
      <c r="L432" s="65"/>
      <c r="M432" s="63"/>
      <c r="N432" s="63"/>
      <c r="O432" s="63"/>
      <c r="P432" s="63"/>
      <c r="Q432" s="63"/>
      <c r="R432" s="65"/>
      <c r="S432" s="63"/>
      <c r="T432" s="63"/>
      <c r="U432" s="63"/>
      <c r="V432" s="63"/>
      <c r="W432" s="64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63"/>
      <c r="BD432" s="63"/>
      <c r="BE432" s="63"/>
      <c r="BF432" s="63"/>
      <c r="BG432" s="63"/>
      <c r="BH432" s="63"/>
      <c r="BI432" s="63"/>
      <c r="BJ432" s="63"/>
      <c r="BK432" s="63"/>
      <c r="BL432" s="63"/>
      <c r="BM432" s="63"/>
      <c r="BN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4"/>
      <c r="L433" s="65"/>
      <c r="M433" s="63"/>
      <c r="N433" s="63"/>
      <c r="O433" s="63"/>
      <c r="P433" s="63"/>
      <c r="Q433" s="63"/>
      <c r="R433" s="65"/>
      <c r="S433" s="63"/>
      <c r="T433" s="63"/>
      <c r="U433" s="63"/>
      <c r="V433" s="63"/>
      <c r="W433" s="64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  <c r="BD433" s="63"/>
      <c r="BE433" s="63"/>
      <c r="BF433" s="63"/>
      <c r="BG433" s="63"/>
      <c r="BH433" s="63"/>
      <c r="BI433" s="63"/>
      <c r="BJ433" s="63"/>
      <c r="BK433" s="63"/>
      <c r="BL433" s="63"/>
      <c r="BM433" s="63"/>
      <c r="BN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4"/>
      <c r="L434" s="65"/>
      <c r="M434" s="63"/>
      <c r="N434" s="63"/>
      <c r="O434" s="63"/>
      <c r="P434" s="63"/>
      <c r="Q434" s="63"/>
      <c r="R434" s="65"/>
      <c r="S434" s="63"/>
      <c r="T434" s="63"/>
      <c r="U434" s="63"/>
      <c r="V434" s="63"/>
      <c r="W434" s="64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63"/>
      <c r="BD434" s="63"/>
      <c r="BE434" s="63"/>
      <c r="BF434" s="63"/>
      <c r="BG434" s="63"/>
      <c r="BH434" s="63"/>
      <c r="BI434" s="63"/>
      <c r="BJ434" s="63"/>
      <c r="BK434" s="63"/>
      <c r="BL434" s="63"/>
      <c r="BM434" s="63"/>
      <c r="BN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4"/>
      <c r="L435" s="65"/>
      <c r="M435" s="63"/>
      <c r="N435" s="63"/>
      <c r="O435" s="63"/>
      <c r="P435" s="63"/>
      <c r="Q435" s="63"/>
      <c r="R435" s="65"/>
      <c r="S435" s="63"/>
      <c r="T435" s="63"/>
      <c r="U435" s="63"/>
      <c r="V435" s="63"/>
      <c r="W435" s="64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  <c r="BD435" s="63"/>
      <c r="BE435" s="63"/>
      <c r="BF435" s="63"/>
      <c r="BG435" s="63"/>
      <c r="BH435" s="63"/>
      <c r="BI435" s="63"/>
      <c r="BJ435" s="63"/>
      <c r="BK435" s="63"/>
      <c r="BL435" s="63"/>
      <c r="BM435" s="63"/>
      <c r="BN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4"/>
      <c r="L436" s="65"/>
      <c r="M436" s="63"/>
      <c r="N436" s="63"/>
      <c r="O436" s="63"/>
      <c r="P436" s="63"/>
      <c r="Q436" s="63"/>
      <c r="R436" s="65"/>
      <c r="S436" s="63"/>
      <c r="T436" s="63"/>
      <c r="U436" s="63"/>
      <c r="V436" s="63"/>
      <c r="W436" s="64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63"/>
      <c r="BD436" s="63"/>
      <c r="BE436" s="63"/>
      <c r="BF436" s="63"/>
      <c r="BG436" s="63"/>
      <c r="BH436" s="63"/>
      <c r="BI436" s="63"/>
      <c r="BJ436" s="63"/>
      <c r="BK436" s="63"/>
      <c r="BL436" s="63"/>
      <c r="BM436" s="63"/>
      <c r="BN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4"/>
      <c r="L437" s="65"/>
      <c r="M437" s="63"/>
      <c r="N437" s="63"/>
      <c r="O437" s="63"/>
      <c r="P437" s="63"/>
      <c r="Q437" s="63"/>
      <c r="R437" s="65"/>
      <c r="S437" s="63"/>
      <c r="T437" s="63"/>
      <c r="U437" s="63"/>
      <c r="V437" s="63"/>
      <c r="W437" s="64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  <c r="BD437" s="63"/>
      <c r="BE437" s="63"/>
      <c r="BF437" s="63"/>
      <c r="BG437" s="63"/>
      <c r="BH437" s="63"/>
      <c r="BI437" s="63"/>
      <c r="BJ437" s="63"/>
      <c r="BK437" s="63"/>
      <c r="BL437" s="63"/>
      <c r="BM437" s="63"/>
      <c r="BN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4"/>
      <c r="L438" s="65"/>
      <c r="M438" s="63"/>
      <c r="N438" s="63"/>
      <c r="O438" s="63"/>
      <c r="P438" s="63"/>
      <c r="Q438" s="63"/>
      <c r="R438" s="65"/>
      <c r="S438" s="63"/>
      <c r="T438" s="63"/>
      <c r="U438" s="63"/>
      <c r="V438" s="63"/>
      <c r="W438" s="64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/>
      <c r="BE438" s="63"/>
      <c r="BF438" s="63"/>
      <c r="BG438" s="63"/>
      <c r="BH438" s="63"/>
      <c r="BI438" s="63"/>
      <c r="BJ438" s="63"/>
      <c r="BK438" s="63"/>
      <c r="BL438" s="63"/>
      <c r="BM438" s="63"/>
      <c r="BN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4"/>
      <c r="L439" s="65"/>
      <c r="M439" s="63"/>
      <c r="N439" s="63"/>
      <c r="O439" s="63"/>
      <c r="P439" s="63"/>
      <c r="Q439" s="63"/>
      <c r="R439" s="65"/>
      <c r="S439" s="63"/>
      <c r="T439" s="63"/>
      <c r="U439" s="63"/>
      <c r="V439" s="63"/>
      <c r="W439" s="64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63"/>
      <c r="BD439" s="63"/>
      <c r="BE439" s="63"/>
      <c r="BF439" s="63"/>
      <c r="BG439" s="63"/>
      <c r="BH439" s="63"/>
      <c r="BI439" s="63"/>
      <c r="BJ439" s="63"/>
      <c r="BK439" s="63"/>
      <c r="BL439" s="63"/>
      <c r="BM439" s="63"/>
      <c r="BN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4"/>
      <c r="L440" s="65"/>
      <c r="M440" s="63"/>
      <c r="N440" s="63"/>
      <c r="O440" s="63"/>
      <c r="P440" s="63"/>
      <c r="Q440" s="63"/>
      <c r="R440" s="65"/>
      <c r="S440" s="63"/>
      <c r="T440" s="63"/>
      <c r="U440" s="63"/>
      <c r="V440" s="63"/>
      <c r="W440" s="64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63"/>
      <c r="BD440" s="63"/>
      <c r="BE440" s="63"/>
      <c r="BF440" s="63"/>
      <c r="BG440" s="63"/>
      <c r="BH440" s="63"/>
      <c r="BI440" s="63"/>
      <c r="BJ440" s="63"/>
      <c r="BK440" s="63"/>
      <c r="BL440" s="63"/>
      <c r="BM440" s="63"/>
      <c r="BN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4"/>
      <c r="L441" s="65"/>
      <c r="M441" s="63"/>
      <c r="N441" s="63"/>
      <c r="O441" s="63"/>
      <c r="P441" s="63"/>
      <c r="Q441" s="63"/>
      <c r="R441" s="65"/>
      <c r="S441" s="63"/>
      <c r="T441" s="63"/>
      <c r="U441" s="63"/>
      <c r="V441" s="63"/>
      <c r="W441" s="64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  <c r="BD441" s="63"/>
      <c r="BE441" s="63"/>
      <c r="BF441" s="63"/>
      <c r="BG441" s="63"/>
      <c r="BH441" s="63"/>
      <c r="BI441" s="63"/>
      <c r="BJ441" s="63"/>
      <c r="BK441" s="63"/>
      <c r="BL441" s="63"/>
      <c r="BM441" s="63"/>
      <c r="BN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4"/>
      <c r="L442" s="65"/>
      <c r="M442" s="63"/>
      <c r="N442" s="63"/>
      <c r="O442" s="63"/>
      <c r="P442" s="63"/>
      <c r="Q442" s="63"/>
      <c r="R442" s="65"/>
      <c r="S442" s="63"/>
      <c r="T442" s="63"/>
      <c r="U442" s="63"/>
      <c r="V442" s="63"/>
      <c r="W442" s="64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63"/>
      <c r="BD442" s="63"/>
      <c r="BE442" s="63"/>
      <c r="BF442" s="63"/>
      <c r="BG442" s="63"/>
      <c r="BH442" s="63"/>
      <c r="BI442" s="63"/>
      <c r="BJ442" s="63"/>
      <c r="BK442" s="63"/>
      <c r="BL442" s="63"/>
      <c r="BM442" s="63"/>
      <c r="BN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4"/>
      <c r="L443" s="65"/>
      <c r="M443" s="63"/>
      <c r="N443" s="63"/>
      <c r="O443" s="63"/>
      <c r="P443" s="63"/>
      <c r="Q443" s="63"/>
      <c r="R443" s="65"/>
      <c r="S443" s="63"/>
      <c r="T443" s="63"/>
      <c r="U443" s="63"/>
      <c r="V443" s="63"/>
      <c r="W443" s="64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  <c r="BD443" s="63"/>
      <c r="BE443" s="63"/>
      <c r="BF443" s="63"/>
      <c r="BG443" s="63"/>
      <c r="BH443" s="63"/>
      <c r="BI443" s="63"/>
      <c r="BJ443" s="63"/>
      <c r="BK443" s="63"/>
      <c r="BL443" s="63"/>
      <c r="BM443" s="63"/>
      <c r="BN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4"/>
      <c r="L444" s="65"/>
      <c r="M444" s="63"/>
      <c r="N444" s="63"/>
      <c r="O444" s="63"/>
      <c r="P444" s="63"/>
      <c r="Q444" s="63"/>
      <c r="R444" s="65"/>
      <c r="S444" s="63"/>
      <c r="T444" s="63"/>
      <c r="U444" s="63"/>
      <c r="V444" s="63"/>
      <c r="W444" s="64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63"/>
      <c r="BD444" s="63"/>
      <c r="BE444" s="63"/>
      <c r="BF444" s="63"/>
      <c r="BG444" s="63"/>
      <c r="BH444" s="63"/>
      <c r="BI444" s="63"/>
      <c r="BJ444" s="63"/>
      <c r="BK444" s="63"/>
      <c r="BL444" s="63"/>
      <c r="BM444" s="63"/>
      <c r="BN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4"/>
      <c r="L445" s="65"/>
      <c r="M445" s="63"/>
      <c r="N445" s="63"/>
      <c r="O445" s="63"/>
      <c r="P445" s="63"/>
      <c r="Q445" s="63"/>
      <c r="R445" s="65"/>
      <c r="S445" s="63"/>
      <c r="T445" s="63"/>
      <c r="U445" s="63"/>
      <c r="V445" s="63"/>
      <c r="W445" s="64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63"/>
      <c r="BD445" s="63"/>
      <c r="BE445" s="63"/>
      <c r="BF445" s="63"/>
      <c r="BG445" s="63"/>
      <c r="BH445" s="63"/>
      <c r="BI445" s="63"/>
      <c r="BJ445" s="63"/>
      <c r="BK445" s="63"/>
      <c r="BL445" s="63"/>
      <c r="BM445" s="63"/>
      <c r="BN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4"/>
      <c r="L446" s="65"/>
      <c r="M446" s="63"/>
      <c r="N446" s="63"/>
      <c r="O446" s="63"/>
      <c r="P446" s="63"/>
      <c r="Q446" s="63"/>
      <c r="R446" s="65"/>
      <c r="S446" s="63"/>
      <c r="T446" s="63"/>
      <c r="U446" s="63"/>
      <c r="V446" s="63"/>
      <c r="W446" s="64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63"/>
      <c r="BD446" s="63"/>
      <c r="BE446" s="63"/>
      <c r="BF446" s="63"/>
      <c r="BG446" s="63"/>
      <c r="BH446" s="63"/>
      <c r="BI446" s="63"/>
      <c r="BJ446" s="63"/>
      <c r="BK446" s="63"/>
      <c r="BL446" s="63"/>
      <c r="BM446" s="63"/>
      <c r="BN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4"/>
      <c r="L447" s="65"/>
      <c r="M447" s="63"/>
      <c r="N447" s="63"/>
      <c r="O447" s="63"/>
      <c r="P447" s="63"/>
      <c r="Q447" s="63"/>
      <c r="R447" s="65"/>
      <c r="S447" s="63"/>
      <c r="T447" s="63"/>
      <c r="U447" s="63"/>
      <c r="V447" s="63"/>
      <c r="W447" s="64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63"/>
      <c r="BD447" s="63"/>
      <c r="BE447" s="63"/>
      <c r="BF447" s="63"/>
      <c r="BG447" s="63"/>
      <c r="BH447" s="63"/>
      <c r="BI447" s="63"/>
      <c r="BJ447" s="63"/>
      <c r="BK447" s="63"/>
      <c r="BL447" s="63"/>
      <c r="BM447" s="63"/>
      <c r="BN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4"/>
      <c r="L448" s="65"/>
      <c r="M448" s="63"/>
      <c r="N448" s="63"/>
      <c r="O448" s="63"/>
      <c r="P448" s="63"/>
      <c r="Q448" s="63"/>
      <c r="R448" s="65"/>
      <c r="S448" s="63"/>
      <c r="T448" s="63"/>
      <c r="U448" s="63"/>
      <c r="V448" s="63"/>
      <c r="W448" s="64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63"/>
      <c r="BD448" s="63"/>
      <c r="BE448" s="63"/>
      <c r="BF448" s="63"/>
      <c r="BG448" s="63"/>
      <c r="BH448" s="63"/>
      <c r="BI448" s="63"/>
      <c r="BJ448" s="63"/>
      <c r="BK448" s="63"/>
      <c r="BL448" s="63"/>
      <c r="BM448" s="63"/>
      <c r="BN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4"/>
      <c r="L449" s="65"/>
      <c r="M449" s="63"/>
      <c r="N449" s="63"/>
      <c r="O449" s="63"/>
      <c r="P449" s="63"/>
      <c r="Q449" s="63"/>
      <c r="R449" s="65"/>
      <c r="S449" s="63"/>
      <c r="T449" s="63"/>
      <c r="U449" s="63"/>
      <c r="V449" s="63"/>
      <c r="W449" s="64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3"/>
      <c r="AX449" s="63"/>
      <c r="AY449" s="63"/>
      <c r="AZ449" s="63"/>
      <c r="BA449" s="63"/>
      <c r="BB449" s="63"/>
      <c r="BC449" s="63"/>
      <c r="BD449" s="63"/>
      <c r="BE449" s="63"/>
      <c r="BF449" s="63"/>
      <c r="BG449" s="63"/>
      <c r="BH449" s="63"/>
      <c r="BI449" s="63"/>
      <c r="BJ449" s="63"/>
      <c r="BK449" s="63"/>
      <c r="BL449" s="63"/>
      <c r="BM449" s="63"/>
      <c r="BN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4"/>
      <c r="L450" s="65"/>
      <c r="M450" s="63"/>
      <c r="N450" s="63"/>
      <c r="O450" s="63"/>
      <c r="P450" s="63"/>
      <c r="Q450" s="63"/>
      <c r="R450" s="65"/>
      <c r="S450" s="63"/>
      <c r="T450" s="63"/>
      <c r="U450" s="63"/>
      <c r="V450" s="63"/>
      <c r="W450" s="64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/>
      <c r="BE450" s="63"/>
      <c r="BF450" s="63"/>
      <c r="BG450" s="63"/>
      <c r="BH450" s="63"/>
      <c r="BI450" s="63"/>
      <c r="BJ450" s="63"/>
      <c r="BK450" s="63"/>
      <c r="BL450" s="63"/>
      <c r="BM450" s="63"/>
      <c r="BN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4"/>
      <c r="L451" s="65"/>
      <c r="M451" s="63"/>
      <c r="N451" s="63"/>
      <c r="O451" s="63"/>
      <c r="P451" s="63"/>
      <c r="Q451" s="63"/>
      <c r="R451" s="65"/>
      <c r="S451" s="63"/>
      <c r="T451" s="63"/>
      <c r="U451" s="63"/>
      <c r="V451" s="63"/>
      <c r="W451" s="64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63"/>
      <c r="BD451" s="63"/>
      <c r="BE451" s="63"/>
      <c r="BF451" s="63"/>
      <c r="BG451" s="63"/>
      <c r="BH451" s="63"/>
      <c r="BI451" s="63"/>
      <c r="BJ451" s="63"/>
      <c r="BK451" s="63"/>
      <c r="BL451" s="63"/>
      <c r="BM451" s="63"/>
      <c r="BN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4"/>
      <c r="L452" s="65"/>
      <c r="M452" s="63"/>
      <c r="N452" s="63"/>
      <c r="O452" s="63"/>
      <c r="P452" s="63"/>
      <c r="Q452" s="63"/>
      <c r="R452" s="65"/>
      <c r="S452" s="63"/>
      <c r="T452" s="63"/>
      <c r="U452" s="63"/>
      <c r="V452" s="63"/>
      <c r="W452" s="64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63"/>
      <c r="BD452" s="63"/>
      <c r="BE452" s="63"/>
      <c r="BF452" s="63"/>
      <c r="BG452" s="63"/>
      <c r="BH452" s="63"/>
      <c r="BI452" s="63"/>
      <c r="BJ452" s="63"/>
      <c r="BK452" s="63"/>
      <c r="BL452" s="63"/>
      <c r="BM452" s="63"/>
      <c r="BN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4"/>
      <c r="L453" s="65"/>
      <c r="M453" s="63"/>
      <c r="N453" s="63"/>
      <c r="O453" s="63"/>
      <c r="P453" s="63"/>
      <c r="Q453" s="63"/>
      <c r="R453" s="65"/>
      <c r="S453" s="63"/>
      <c r="T453" s="63"/>
      <c r="U453" s="63"/>
      <c r="V453" s="63"/>
      <c r="W453" s="64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3"/>
      <c r="AX453" s="63"/>
      <c r="AY453" s="63"/>
      <c r="AZ453" s="63"/>
      <c r="BA453" s="63"/>
      <c r="BB453" s="63"/>
      <c r="BC453" s="63"/>
      <c r="BD453" s="63"/>
      <c r="BE453" s="63"/>
      <c r="BF453" s="63"/>
      <c r="BG453" s="63"/>
      <c r="BH453" s="63"/>
      <c r="BI453" s="63"/>
      <c r="BJ453" s="63"/>
      <c r="BK453" s="63"/>
      <c r="BL453" s="63"/>
      <c r="BM453" s="63"/>
      <c r="BN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4"/>
      <c r="L454" s="65"/>
      <c r="M454" s="63"/>
      <c r="N454" s="63"/>
      <c r="O454" s="63"/>
      <c r="P454" s="63"/>
      <c r="Q454" s="63"/>
      <c r="R454" s="65"/>
      <c r="S454" s="63"/>
      <c r="T454" s="63"/>
      <c r="U454" s="63"/>
      <c r="V454" s="63"/>
      <c r="W454" s="64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/>
      <c r="AY454" s="63"/>
      <c r="AZ454" s="63"/>
      <c r="BA454" s="63"/>
      <c r="BB454" s="63"/>
      <c r="BC454" s="63"/>
      <c r="BD454" s="63"/>
      <c r="BE454" s="63"/>
      <c r="BF454" s="63"/>
      <c r="BG454" s="63"/>
      <c r="BH454" s="63"/>
      <c r="BI454" s="63"/>
      <c r="BJ454" s="63"/>
      <c r="BK454" s="63"/>
      <c r="BL454" s="63"/>
      <c r="BM454" s="63"/>
      <c r="BN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4"/>
      <c r="L455" s="65"/>
      <c r="M455" s="63"/>
      <c r="N455" s="63"/>
      <c r="O455" s="63"/>
      <c r="P455" s="63"/>
      <c r="Q455" s="63"/>
      <c r="R455" s="65"/>
      <c r="S455" s="63"/>
      <c r="T455" s="63"/>
      <c r="U455" s="63"/>
      <c r="V455" s="63"/>
      <c r="W455" s="64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  <c r="BC455" s="63"/>
      <c r="BD455" s="63"/>
      <c r="BE455" s="63"/>
      <c r="BF455" s="63"/>
      <c r="BG455" s="63"/>
      <c r="BH455" s="63"/>
      <c r="BI455" s="63"/>
      <c r="BJ455" s="63"/>
      <c r="BK455" s="63"/>
      <c r="BL455" s="63"/>
      <c r="BM455" s="63"/>
      <c r="BN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4"/>
      <c r="L456" s="65"/>
      <c r="M456" s="63"/>
      <c r="N456" s="63"/>
      <c r="O456" s="63"/>
      <c r="P456" s="63"/>
      <c r="Q456" s="63"/>
      <c r="R456" s="65"/>
      <c r="S456" s="63"/>
      <c r="T456" s="63"/>
      <c r="U456" s="63"/>
      <c r="V456" s="63"/>
      <c r="W456" s="64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  <c r="BB456" s="63"/>
      <c r="BC456" s="63"/>
      <c r="BD456" s="63"/>
      <c r="BE456" s="63"/>
      <c r="BF456" s="63"/>
      <c r="BG456" s="63"/>
      <c r="BH456" s="63"/>
      <c r="BI456" s="63"/>
      <c r="BJ456" s="63"/>
      <c r="BK456" s="63"/>
      <c r="BL456" s="63"/>
      <c r="BM456" s="63"/>
      <c r="BN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4"/>
      <c r="L457" s="65"/>
      <c r="M457" s="63"/>
      <c r="N457" s="63"/>
      <c r="O457" s="63"/>
      <c r="P457" s="63"/>
      <c r="Q457" s="63"/>
      <c r="R457" s="65"/>
      <c r="S457" s="63"/>
      <c r="T457" s="63"/>
      <c r="U457" s="63"/>
      <c r="V457" s="63"/>
      <c r="W457" s="64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  <c r="BB457" s="63"/>
      <c r="BC457" s="63"/>
      <c r="BD457" s="63"/>
      <c r="BE457" s="63"/>
      <c r="BF457" s="63"/>
      <c r="BG457" s="63"/>
      <c r="BH457" s="63"/>
      <c r="BI457" s="63"/>
      <c r="BJ457" s="63"/>
      <c r="BK457" s="63"/>
      <c r="BL457" s="63"/>
      <c r="BM457" s="63"/>
      <c r="BN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4"/>
      <c r="L458" s="65"/>
      <c r="M458" s="63"/>
      <c r="N458" s="63"/>
      <c r="O458" s="63"/>
      <c r="P458" s="63"/>
      <c r="Q458" s="63"/>
      <c r="R458" s="65"/>
      <c r="S458" s="63"/>
      <c r="T458" s="63"/>
      <c r="U458" s="63"/>
      <c r="V458" s="63"/>
      <c r="W458" s="64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63"/>
      <c r="BD458" s="63"/>
      <c r="BE458" s="63"/>
      <c r="BF458" s="63"/>
      <c r="BG458" s="63"/>
      <c r="BH458" s="63"/>
      <c r="BI458" s="63"/>
      <c r="BJ458" s="63"/>
      <c r="BK458" s="63"/>
      <c r="BL458" s="63"/>
      <c r="BM458" s="63"/>
      <c r="BN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4"/>
      <c r="L459" s="65"/>
      <c r="M459" s="63"/>
      <c r="N459" s="63"/>
      <c r="O459" s="63"/>
      <c r="P459" s="63"/>
      <c r="Q459" s="63"/>
      <c r="R459" s="65"/>
      <c r="S459" s="63"/>
      <c r="T459" s="63"/>
      <c r="U459" s="63"/>
      <c r="V459" s="63"/>
      <c r="W459" s="64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63"/>
      <c r="BD459" s="63"/>
      <c r="BE459" s="63"/>
      <c r="BF459" s="63"/>
      <c r="BG459" s="63"/>
      <c r="BH459" s="63"/>
      <c r="BI459" s="63"/>
      <c r="BJ459" s="63"/>
      <c r="BK459" s="63"/>
      <c r="BL459" s="63"/>
      <c r="BM459" s="63"/>
      <c r="BN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4"/>
      <c r="L460" s="65"/>
      <c r="M460" s="63"/>
      <c r="N460" s="63"/>
      <c r="O460" s="63"/>
      <c r="P460" s="63"/>
      <c r="Q460" s="63"/>
      <c r="R460" s="65"/>
      <c r="S460" s="63"/>
      <c r="T460" s="63"/>
      <c r="U460" s="63"/>
      <c r="V460" s="63"/>
      <c r="W460" s="64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3"/>
      <c r="BB460" s="63"/>
      <c r="BC460" s="63"/>
      <c r="BD460" s="63"/>
      <c r="BE460" s="63"/>
      <c r="BF460" s="63"/>
      <c r="BG460" s="63"/>
      <c r="BH460" s="63"/>
      <c r="BI460" s="63"/>
      <c r="BJ460" s="63"/>
      <c r="BK460" s="63"/>
      <c r="BL460" s="63"/>
      <c r="BM460" s="63"/>
      <c r="BN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4"/>
      <c r="L461" s="65"/>
      <c r="M461" s="63"/>
      <c r="N461" s="63"/>
      <c r="O461" s="63"/>
      <c r="P461" s="63"/>
      <c r="Q461" s="63"/>
      <c r="R461" s="65"/>
      <c r="S461" s="63"/>
      <c r="T461" s="63"/>
      <c r="U461" s="63"/>
      <c r="V461" s="63"/>
      <c r="W461" s="64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63"/>
      <c r="BD461" s="63"/>
      <c r="BE461" s="63"/>
      <c r="BF461" s="63"/>
      <c r="BG461" s="63"/>
      <c r="BH461" s="63"/>
      <c r="BI461" s="63"/>
      <c r="BJ461" s="63"/>
      <c r="BK461" s="63"/>
      <c r="BL461" s="63"/>
      <c r="BM461" s="63"/>
      <c r="BN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4"/>
      <c r="L462" s="65"/>
      <c r="M462" s="63"/>
      <c r="N462" s="63"/>
      <c r="O462" s="63"/>
      <c r="P462" s="63"/>
      <c r="Q462" s="63"/>
      <c r="R462" s="65"/>
      <c r="S462" s="63"/>
      <c r="T462" s="63"/>
      <c r="U462" s="63"/>
      <c r="V462" s="63"/>
      <c r="W462" s="64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/>
      <c r="BE462" s="63"/>
      <c r="BF462" s="63"/>
      <c r="BG462" s="63"/>
      <c r="BH462" s="63"/>
      <c r="BI462" s="63"/>
      <c r="BJ462" s="63"/>
      <c r="BK462" s="63"/>
      <c r="BL462" s="63"/>
      <c r="BM462" s="63"/>
      <c r="BN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4"/>
      <c r="L463" s="65"/>
      <c r="M463" s="63"/>
      <c r="N463" s="63"/>
      <c r="O463" s="63"/>
      <c r="P463" s="63"/>
      <c r="Q463" s="63"/>
      <c r="R463" s="65"/>
      <c r="S463" s="63"/>
      <c r="T463" s="63"/>
      <c r="U463" s="63"/>
      <c r="V463" s="63"/>
      <c r="W463" s="64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  <c r="BC463" s="63"/>
      <c r="BD463" s="63"/>
      <c r="BE463" s="63"/>
      <c r="BF463" s="63"/>
      <c r="BG463" s="63"/>
      <c r="BH463" s="63"/>
      <c r="BI463" s="63"/>
      <c r="BJ463" s="63"/>
      <c r="BK463" s="63"/>
      <c r="BL463" s="63"/>
      <c r="BM463" s="63"/>
      <c r="BN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4"/>
      <c r="L464" s="65"/>
      <c r="M464" s="63"/>
      <c r="N464" s="63"/>
      <c r="O464" s="63"/>
      <c r="P464" s="63"/>
      <c r="Q464" s="63"/>
      <c r="R464" s="65"/>
      <c r="S464" s="63"/>
      <c r="T464" s="63"/>
      <c r="U464" s="63"/>
      <c r="V464" s="63"/>
      <c r="W464" s="64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  <c r="BB464" s="63"/>
      <c r="BC464" s="63"/>
      <c r="BD464" s="63"/>
      <c r="BE464" s="63"/>
      <c r="BF464" s="63"/>
      <c r="BG464" s="63"/>
      <c r="BH464" s="63"/>
      <c r="BI464" s="63"/>
      <c r="BJ464" s="63"/>
      <c r="BK464" s="63"/>
      <c r="BL464" s="63"/>
      <c r="BM464" s="63"/>
      <c r="BN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4"/>
      <c r="L465" s="65"/>
      <c r="M465" s="63"/>
      <c r="N465" s="63"/>
      <c r="O465" s="63"/>
      <c r="P465" s="63"/>
      <c r="Q465" s="63"/>
      <c r="R465" s="65"/>
      <c r="S465" s="63"/>
      <c r="T465" s="63"/>
      <c r="U465" s="63"/>
      <c r="V465" s="63"/>
      <c r="W465" s="64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63"/>
      <c r="BD465" s="63"/>
      <c r="BE465" s="63"/>
      <c r="BF465" s="63"/>
      <c r="BG465" s="63"/>
      <c r="BH465" s="63"/>
      <c r="BI465" s="63"/>
      <c r="BJ465" s="63"/>
      <c r="BK465" s="63"/>
      <c r="BL465" s="63"/>
      <c r="BM465" s="63"/>
      <c r="BN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4"/>
      <c r="L466" s="65"/>
      <c r="M466" s="63"/>
      <c r="N466" s="63"/>
      <c r="O466" s="63"/>
      <c r="P466" s="63"/>
      <c r="Q466" s="63"/>
      <c r="R466" s="65"/>
      <c r="S466" s="63"/>
      <c r="T466" s="63"/>
      <c r="U466" s="63"/>
      <c r="V466" s="63"/>
      <c r="W466" s="64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63"/>
      <c r="BD466" s="63"/>
      <c r="BE466" s="63"/>
      <c r="BF466" s="63"/>
      <c r="BG466" s="63"/>
      <c r="BH466" s="63"/>
      <c r="BI466" s="63"/>
      <c r="BJ466" s="63"/>
      <c r="BK466" s="63"/>
      <c r="BL466" s="63"/>
      <c r="BM466" s="63"/>
      <c r="BN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4"/>
      <c r="L467" s="65"/>
      <c r="M467" s="63"/>
      <c r="N467" s="63"/>
      <c r="O467" s="63"/>
      <c r="P467" s="63"/>
      <c r="Q467" s="63"/>
      <c r="R467" s="65"/>
      <c r="S467" s="63"/>
      <c r="T467" s="63"/>
      <c r="U467" s="63"/>
      <c r="V467" s="63"/>
      <c r="W467" s="64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  <c r="BB467" s="63"/>
      <c r="BC467" s="63"/>
      <c r="BD467" s="63"/>
      <c r="BE467" s="63"/>
      <c r="BF467" s="63"/>
      <c r="BG467" s="63"/>
      <c r="BH467" s="63"/>
      <c r="BI467" s="63"/>
      <c r="BJ467" s="63"/>
      <c r="BK467" s="63"/>
      <c r="BL467" s="63"/>
      <c r="BM467" s="63"/>
      <c r="BN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4"/>
      <c r="L468" s="65"/>
      <c r="M468" s="63"/>
      <c r="N468" s="63"/>
      <c r="O468" s="63"/>
      <c r="P468" s="63"/>
      <c r="Q468" s="63"/>
      <c r="R468" s="65"/>
      <c r="S468" s="63"/>
      <c r="T468" s="63"/>
      <c r="U468" s="63"/>
      <c r="V468" s="63"/>
      <c r="W468" s="64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  <c r="BD468" s="63"/>
      <c r="BE468" s="63"/>
      <c r="BF468" s="63"/>
      <c r="BG468" s="63"/>
      <c r="BH468" s="63"/>
      <c r="BI468" s="63"/>
      <c r="BJ468" s="63"/>
      <c r="BK468" s="63"/>
      <c r="BL468" s="63"/>
      <c r="BM468" s="63"/>
      <c r="BN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4"/>
      <c r="L469" s="65"/>
      <c r="M469" s="63"/>
      <c r="N469" s="63"/>
      <c r="O469" s="63"/>
      <c r="P469" s="63"/>
      <c r="Q469" s="63"/>
      <c r="R469" s="65"/>
      <c r="S469" s="63"/>
      <c r="T469" s="63"/>
      <c r="U469" s="63"/>
      <c r="V469" s="63"/>
      <c r="W469" s="64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63"/>
      <c r="BD469" s="63"/>
      <c r="BE469" s="63"/>
      <c r="BF469" s="63"/>
      <c r="BG469" s="63"/>
      <c r="BH469" s="63"/>
      <c r="BI469" s="63"/>
      <c r="BJ469" s="63"/>
      <c r="BK469" s="63"/>
      <c r="BL469" s="63"/>
      <c r="BM469" s="63"/>
      <c r="BN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4"/>
      <c r="L470" s="65"/>
      <c r="M470" s="63"/>
      <c r="N470" s="63"/>
      <c r="O470" s="63"/>
      <c r="P470" s="63"/>
      <c r="Q470" s="63"/>
      <c r="R470" s="65"/>
      <c r="S470" s="63"/>
      <c r="T470" s="63"/>
      <c r="U470" s="63"/>
      <c r="V470" s="63"/>
      <c r="W470" s="64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  <c r="BB470" s="63"/>
      <c r="BC470" s="63"/>
      <c r="BD470" s="63"/>
      <c r="BE470" s="63"/>
      <c r="BF470" s="63"/>
      <c r="BG470" s="63"/>
      <c r="BH470" s="63"/>
      <c r="BI470" s="63"/>
      <c r="BJ470" s="63"/>
      <c r="BK470" s="63"/>
      <c r="BL470" s="63"/>
      <c r="BM470" s="63"/>
      <c r="BN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4"/>
      <c r="L471" s="65"/>
      <c r="M471" s="63"/>
      <c r="N471" s="63"/>
      <c r="O471" s="63"/>
      <c r="P471" s="63"/>
      <c r="Q471" s="63"/>
      <c r="R471" s="65"/>
      <c r="S471" s="63"/>
      <c r="T471" s="63"/>
      <c r="U471" s="63"/>
      <c r="V471" s="63"/>
      <c r="W471" s="64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  <c r="BC471" s="63"/>
      <c r="BD471" s="63"/>
      <c r="BE471" s="63"/>
      <c r="BF471" s="63"/>
      <c r="BG471" s="63"/>
      <c r="BH471" s="63"/>
      <c r="BI471" s="63"/>
      <c r="BJ471" s="63"/>
      <c r="BK471" s="63"/>
      <c r="BL471" s="63"/>
      <c r="BM471" s="63"/>
      <c r="BN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4"/>
      <c r="L472" s="65"/>
      <c r="M472" s="63"/>
      <c r="N472" s="63"/>
      <c r="O472" s="63"/>
      <c r="P472" s="63"/>
      <c r="Q472" s="63"/>
      <c r="R472" s="65"/>
      <c r="S472" s="63"/>
      <c r="T472" s="63"/>
      <c r="U472" s="63"/>
      <c r="V472" s="63"/>
      <c r="W472" s="64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  <c r="BB472" s="63"/>
      <c r="BC472" s="63"/>
      <c r="BD472" s="63"/>
      <c r="BE472" s="63"/>
      <c r="BF472" s="63"/>
      <c r="BG472" s="63"/>
      <c r="BH472" s="63"/>
      <c r="BI472" s="63"/>
      <c r="BJ472" s="63"/>
      <c r="BK472" s="63"/>
      <c r="BL472" s="63"/>
      <c r="BM472" s="63"/>
      <c r="BN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4"/>
      <c r="L473" s="65"/>
      <c r="M473" s="63"/>
      <c r="N473" s="63"/>
      <c r="O473" s="63"/>
      <c r="P473" s="63"/>
      <c r="Q473" s="63"/>
      <c r="R473" s="65"/>
      <c r="S473" s="63"/>
      <c r="T473" s="63"/>
      <c r="U473" s="63"/>
      <c r="V473" s="63"/>
      <c r="W473" s="64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63"/>
      <c r="BD473" s="63"/>
      <c r="BE473" s="63"/>
      <c r="BF473" s="63"/>
      <c r="BG473" s="63"/>
      <c r="BH473" s="63"/>
      <c r="BI473" s="63"/>
      <c r="BJ473" s="63"/>
      <c r="BK473" s="63"/>
      <c r="BL473" s="63"/>
      <c r="BM473" s="63"/>
      <c r="BN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4"/>
      <c r="L474" s="65"/>
      <c r="M474" s="63"/>
      <c r="N474" s="63"/>
      <c r="O474" s="63"/>
      <c r="P474" s="63"/>
      <c r="Q474" s="63"/>
      <c r="R474" s="65"/>
      <c r="S474" s="63"/>
      <c r="T474" s="63"/>
      <c r="U474" s="63"/>
      <c r="V474" s="63"/>
      <c r="W474" s="64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63"/>
      <c r="BF474" s="63"/>
      <c r="BG474" s="63"/>
      <c r="BH474" s="63"/>
      <c r="BI474" s="63"/>
      <c r="BJ474" s="63"/>
      <c r="BK474" s="63"/>
      <c r="BL474" s="63"/>
      <c r="BM474" s="63"/>
      <c r="BN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4"/>
      <c r="L475" s="65"/>
      <c r="M475" s="63"/>
      <c r="N475" s="63"/>
      <c r="O475" s="63"/>
      <c r="P475" s="63"/>
      <c r="Q475" s="63"/>
      <c r="R475" s="65"/>
      <c r="S475" s="63"/>
      <c r="T475" s="63"/>
      <c r="U475" s="63"/>
      <c r="V475" s="63"/>
      <c r="W475" s="64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/>
      <c r="AY475" s="63"/>
      <c r="AZ475" s="63"/>
      <c r="BA475" s="63"/>
      <c r="BB475" s="63"/>
      <c r="BC475" s="63"/>
      <c r="BD475" s="63"/>
      <c r="BE475" s="63"/>
      <c r="BF475" s="63"/>
      <c r="BG475" s="63"/>
      <c r="BH475" s="63"/>
      <c r="BI475" s="63"/>
      <c r="BJ475" s="63"/>
      <c r="BK475" s="63"/>
      <c r="BL475" s="63"/>
      <c r="BM475" s="63"/>
      <c r="BN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4"/>
      <c r="L476" s="65"/>
      <c r="M476" s="63"/>
      <c r="N476" s="63"/>
      <c r="O476" s="63"/>
      <c r="P476" s="63"/>
      <c r="Q476" s="63"/>
      <c r="R476" s="65"/>
      <c r="S476" s="63"/>
      <c r="T476" s="63"/>
      <c r="U476" s="63"/>
      <c r="V476" s="63"/>
      <c r="W476" s="64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63"/>
      <c r="BD476" s="63"/>
      <c r="BE476" s="63"/>
      <c r="BF476" s="63"/>
      <c r="BG476" s="63"/>
      <c r="BH476" s="63"/>
      <c r="BI476" s="63"/>
      <c r="BJ476" s="63"/>
      <c r="BK476" s="63"/>
      <c r="BL476" s="63"/>
      <c r="BM476" s="63"/>
      <c r="BN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4"/>
      <c r="L477" s="65"/>
      <c r="M477" s="63"/>
      <c r="N477" s="63"/>
      <c r="O477" s="63"/>
      <c r="P477" s="63"/>
      <c r="Q477" s="63"/>
      <c r="R477" s="65"/>
      <c r="S477" s="63"/>
      <c r="T477" s="63"/>
      <c r="U477" s="63"/>
      <c r="V477" s="63"/>
      <c r="W477" s="64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  <c r="BD477" s="63"/>
      <c r="BE477" s="63"/>
      <c r="BF477" s="63"/>
      <c r="BG477" s="63"/>
      <c r="BH477" s="63"/>
      <c r="BI477" s="63"/>
      <c r="BJ477" s="63"/>
      <c r="BK477" s="63"/>
      <c r="BL477" s="63"/>
      <c r="BM477" s="63"/>
      <c r="BN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4"/>
      <c r="L478" s="65"/>
      <c r="M478" s="63"/>
      <c r="N478" s="63"/>
      <c r="O478" s="63"/>
      <c r="P478" s="63"/>
      <c r="Q478" s="63"/>
      <c r="R478" s="65"/>
      <c r="S478" s="63"/>
      <c r="T478" s="63"/>
      <c r="U478" s="63"/>
      <c r="V478" s="63"/>
      <c r="W478" s="64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  <c r="BB478" s="63"/>
      <c r="BC478" s="63"/>
      <c r="BD478" s="63"/>
      <c r="BE478" s="63"/>
      <c r="BF478" s="63"/>
      <c r="BG478" s="63"/>
      <c r="BH478" s="63"/>
      <c r="BI478" s="63"/>
      <c r="BJ478" s="63"/>
      <c r="BK478" s="63"/>
      <c r="BL478" s="63"/>
      <c r="BM478" s="63"/>
      <c r="BN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4"/>
      <c r="L479" s="65"/>
      <c r="M479" s="63"/>
      <c r="N479" s="63"/>
      <c r="O479" s="63"/>
      <c r="P479" s="63"/>
      <c r="Q479" s="63"/>
      <c r="R479" s="65"/>
      <c r="S479" s="63"/>
      <c r="T479" s="63"/>
      <c r="U479" s="63"/>
      <c r="V479" s="63"/>
      <c r="W479" s="64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  <c r="BB479" s="63"/>
      <c r="BC479" s="63"/>
      <c r="BD479" s="63"/>
      <c r="BE479" s="63"/>
      <c r="BF479" s="63"/>
      <c r="BG479" s="63"/>
      <c r="BH479" s="63"/>
      <c r="BI479" s="63"/>
      <c r="BJ479" s="63"/>
      <c r="BK479" s="63"/>
      <c r="BL479" s="63"/>
      <c r="BM479" s="63"/>
      <c r="BN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4"/>
      <c r="L480" s="65"/>
      <c r="M480" s="63"/>
      <c r="N480" s="63"/>
      <c r="O480" s="63"/>
      <c r="P480" s="63"/>
      <c r="Q480" s="63"/>
      <c r="R480" s="65"/>
      <c r="S480" s="63"/>
      <c r="T480" s="63"/>
      <c r="U480" s="63"/>
      <c r="V480" s="63"/>
      <c r="W480" s="64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63"/>
      <c r="BD480" s="63"/>
      <c r="BE480" s="63"/>
      <c r="BF480" s="63"/>
      <c r="BG480" s="63"/>
      <c r="BH480" s="63"/>
      <c r="BI480" s="63"/>
      <c r="BJ480" s="63"/>
      <c r="BK480" s="63"/>
      <c r="BL480" s="63"/>
      <c r="BM480" s="63"/>
      <c r="BN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4"/>
      <c r="L481" s="65"/>
      <c r="M481" s="63"/>
      <c r="N481" s="63"/>
      <c r="O481" s="63"/>
      <c r="P481" s="63"/>
      <c r="Q481" s="63"/>
      <c r="R481" s="65"/>
      <c r="S481" s="63"/>
      <c r="T481" s="63"/>
      <c r="U481" s="63"/>
      <c r="V481" s="63"/>
      <c r="W481" s="64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63"/>
      <c r="BD481" s="63"/>
      <c r="BE481" s="63"/>
      <c r="BF481" s="63"/>
      <c r="BG481" s="63"/>
      <c r="BH481" s="63"/>
      <c r="BI481" s="63"/>
      <c r="BJ481" s="63"/>
      <c r="BK481" s="63"/>
      <c r="BL481" s="63"/>
      <c r="BM481" s="63"/>
      <c r="BN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4"/>
      <c r="L482" s="65"/>
      <c r="M482" s="63"/>
      <c r="N482" s="63"/>
      <c r="O482" s="63"/>
      <c r="P482" s="63"/>
      <c r="Q482" s="63"/>
      <c r="R482" s="65"/>
      <c r="S482" s="63"/>
      <c r="T482" s="63"/>
      <c r="U482" s="63"/>
      <c r="V482" s="63"/>
      <c r="W482" s="64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/>
      <c r="AY482" s="63"/>
      <c r="AZ482" s="63"/>
      <c r="BA482" s="63"/>
      <c r="BB482" s="63"/>
      <c r="BC482" s="63"/>
      <c r="BD482" s="63"/>
      <c r="BE482" s="63"/>
      <c r="BF482" s="63"/>
      <c r="BG482" s="63"/>
      <c r="BH482" s="63"/>
      <c r="BI482" s="63"/>
      <c r="BJ482" s="63"/>
      <c r="BK482" s="63"/>
      <c r="BL482" s="63"/>
      <c r="BM482" s="63"/>
      <c r="BN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4"/>
      <c r="L483" s="65"/>
      <c r="M483" s="63"/>
      <c r="N483" s="63"/>
      <c r="O483" s="63"/>
      <c r="P483" s="63"/>
      <c r="Q483" s="63"/>
      <c r="R483" s="65"/>
      <c r="S483" s="63"/>
      <c r="T483" s="63"/>
      <c r="U483" s="63"/>
      <c r="V483" s="63"/>
      <c r="W483" s="64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63"/>
      <c r="BD483" s="63"/>
      <c r="BE483" s="63"/>
      <c r="BF483" s="63"/>
      <c r="BG483" s="63"/>
      <c r="BH483" s="63"/>
      <c r="BI483" s="63"/>
      <c r="BJ483" s="63"/>
      <c r="BK483" s="63"/>
      <c r="BL483" s="63"/>
      <c r="BM483" s="63"/>
      <c r="BN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4"/>
      <c r="L484" s="65"/>
      <c r="M484" s="63"/>
      <c r="N484" s="63"/>
      <c r="O484" s="63"/>
      <c r="P484" s="63"/>
      <c r="Q484" s="63"/>
      <c r="R484" s="65"/>
      <c r="S484" s="63"/>
      <c r="T484" s="63"/>
      <c r="U484" s="63"/>
      <c r="V484" s="63"/>
      <c r="W484" s="64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63"/>
      <c r="BD484" s="63"/>
      <c r="BE484" s="63"/>
      <c r="BF484" s="63"/>
      <c r="BG484" s="63"/>
      <c r="BH484" s="63"/>
      <c r="BI484" s="63"/>
      <c r="BJ484" s="63"/>
      <c r="BK484" s="63"/>
      <c r="BL484" s="63"/>
      <c r="BM484" s="63"/>
      <c r="BN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4"/>
      <c r="L485" s="65"/>
      <c r="M485" s="63"/>
      <c r="N485" s="63"/>
      <c r="O485" s="63"/>
      <c r="P485" s="63"/>
      <c r="Q485" s="63"/>
      <c r="R485" s="65"/>
      <c r="S485" s="63"/>
      <c r="T485" s="63"/>
      <c r="U485" s="63"/>
      <c r="V485" s="63"/>
      <c r="W485" s="64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  <c r="BC485" s="63"/>
      <c r="BD485" s="63"/>
      <c r="BE485" s="63"/>
      <c r="BF485" s="63"/>
      <c r="BG485" s="63"/>
      <c r="BH485" s="63"/>
      <c r="BI485" s="63"/>
      <c r="BJ485" s="63"/>
      <c r="BK485" s="63"/>
      <c r="BL485" s="63"/>
      <c r="BM485" s="63"/>
      <c r="BN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4"/>
      <c r="L486" s="65"/>
      <c r="M486" s="63"/>
      <c r="N486" s="63"/>
      <c r="O486" s="63"/>
      <c r="P486" s="63"/>
      <c r="Q486" s="63"/>
      <c r="R486" s="65"/>
      <c r="S486" s="63"/>
      <c r="T486" s="63"/>
      <c r="U486" s="63"/>
      <c r="V486" s="63"/>
      <c r="W486" s="64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  <c r="BD486" s="63"/>
      <c r="BE486" s="63"/>
      <c r="BF486" s="63"/>
      <c r="BG486" s="63"/>
      <c r="BH486" s="63"/>
      <c r="BI486" s="63"/>
      <c r="BJ486" s="63"/>
      <c r="BK486" s="63"/>
      <c r="BL486" s="63"/>
      <c r="BM486" s="63"/>
      <c r="BN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4"/>
      <c r="L487" s="65"/>
      <c r="M487" s="63"/>
      <c r="N487" s="63"/>
      <c r="O487" s="63"/>
      <c r="P487" s="63"/>
      <c r="Q487" s="63"/>
      <c r="R487" s="65"/>
      <c r="S487" s="63"/>
      <c r="T487" s="63"/>
      <c r="U487" s="63"/>
      <c r="V487" s="63"/>
      <c r="W487" s="64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  <c r="BB487" s="63"/>
      <c r="BC487" s="63"/>
      <c r="BD487" s="63"/>
      <c r="BE487" s="63"/>
      <c r="BF487" s="63"/>
      <c r="BG487" s="63"/>
      <c r="BH487" s="63"/>
      <c r="BI487" s="63"/>
      <c r="BJ487" s="63"/>
      <c r="BK487" s="63"/>
      <c r="BL487" s="63"/>
      <c r="BM487" s="63"/>
      <c r="BN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4"/>
      <c r="L488" s="65"/>
      <c r="M488" s="63"/>
      <c r="N488" s="63"/>
      <c r="O488" s="63"/>
      <c r="P488" s="63"/>
      <c r="Q488" s="63"/>
      <c r="R488" s="65"/>
      <c r="S488" s="63"/>
      <c r="T488" s="63"/>
      <c r="U488" s="63"/>
      <c r="V488" s="63"/>
      <c r="W488" s="64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63"/>
      <c r="BD488" s="63"/>
      <c r="BE488" s="63"/>
      <c r="BF488" s="63"/>
      <c r="BG488" s="63"/>
      <c r="BH488" s="63"/>
      <c r="BI488" s="63"/>
      <c r="BJ488" s="63"/>
      <c r="BK488" s="63"/>
      <c r="BL488" s="63"/>
      <c r="BM488" s="63"/>
      <c r="BN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4"/>
      <c r="L489" s="65"/>
      <c r="M489" s="63"/>
      <c r="N489" s="63"/>
      <c r="O489" s="63"/>
      <c r="P489" s="63"/>
      <c r="Q489" s="63"/>
      <c r="R489" s="65"/>
      <c r="S489" s="63"/>
      <c r="T489" s="63"/>
      <c r="U489" s="63"/>
      <c r="V489" s="63"/>
      <c r="W489" s="64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63"/>
      <c r="BD489" s="63"/>
      <c r="BE489" s="63"/>
      <c r="BF489" s="63"/>
      <c r="BG489" s="63"/>
      <c r="BH489" s="63"/>
      <c r="BI489" s="63"/>
      <c r="BJ489" s="63"/>
      <c r="BK489" s="63"/>
      <c r="BL489" s="63"/>
      <c r="BM489" s="63"/>
      <c r="BN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4"/>
      <c r="L490" s="65"/>
      <c r="M490" s="63"/>
      <c r="N490" s="63"/>
      <c r="O490" s="63"/>
      <c r="P490" s="63"/>
      <c r="Q490" s="63"/>
      <c r="R490" s="65"/>
      <c r="S490" s="63"/>
      <c r="T490" s="63"/>
      <c r="U490" s="63"/>
      <c r="V490" s="63"/>
      <c r="W490" s="64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  <c r="BB490" s="63"/>
      <c r="BC490" s="63"/>
      <c r="BD490" s="63"/>
      <c r="BE490" s="63"/>
      <c r="BF490" s="63"/>
      <c r="BG490" s="63"/>
      <c r="BH490" s="63"/>
      <c r="BI490" s="63"/>
      <c r="BJ490" s="63"/>
      <c r="BK490" s="63"/>
      <c r="BL490" s="63"/>
      <c r="BM490" s="63"/>
      <c r="BN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4"/>
      <c r="L491" s="65"/>
      <c r="M491" s="63"/>
      <c r="N491" s="63"/>
      <c r="O491" s="63"/>
      <c r="P491" s="63"/>
      <c r="Q491" s="63"/>
      <c r="R491" s="65"/>
      <c r="S491" s="63"/>
      <c r="T491" s="63"/>
      <c r="U491" s="63"/>
      <c r="V491" s="63"/>
      <c r="W491" s="64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63"/>
      <c r="BD491" s="63"/>
      <c r="BE491" s="63"/>
      <c r="BF491" s="63"/>
      <c r="BG491" s="63"/>
      <c r="BH491" s="63"/>
      <c r="BI491" s="63"/>
      <c r="BJ491" s="63"/>
      <c r="BK491" s="63"/>
      <c r="BL491" s="63"/>
      <c r="BM491" s="63"/>
      <c r="BN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4"/>
      <c r="L492" s="65"/>
      <c r="M492" s="63"/>
      <c r="N492" s="63"/>
      <c r="O492" s="63"/>
      <c r="P492" s="63"/>
      <c r="Q492" s="63"/>
      <c r="R492" s="65"/>
      <c r="S492" s="63"/>
      <c r="T492" s="63"/>
      <c r="U492" s="63"/>
      <c r="V492" s="63"/>
      <c r="W492" s="64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63"/>
      <c r="BD492" s="63"/>
      <c r="BE492" s="63"/>
      <c r="BF492" s="63"/>
      <c r="BG492" s="63"/>
      <c r="BH492" s="63"/>
      <c r="BI492" s="63"/>
      <c r="BJ492" s="63"/>
      <c r="BK492" s="63"/>
      <c r="BL492" s="63"/>
      <c r="BM492" s="63"/>
      <c r="BN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4"/>
      <c r="L493" s="65"/>
      <c r="M493" s="63"/>
      <c r="N493" s="63"/>
      <c r="O493" s="63"/>
      <c r="P493" s="63"/>
      <c r="Q493" s="63"/>
      <c r="R493" s="65"/>
      <c r="S493" s="63"/>
      <c r="T493" s="63"/>
      <c r="U493" s="63"/>
      <c r="V493" s="63"/>
      <c r="W493" s="64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  <c r="BC493" s="63"/>
      <c r="BD493" s="63"/>
      <c r="BE493" s="63"/>
      <c r="BF493" s="63"/>
      <c r="BG493" s="63"/>
      <c r="BH493" s="63"/>
      <c r="BI493" s="63"/>
      <c r="BJ493" s="63"/>
      <c r="BK493" s="63"/>
      <c r="BL493" s="63"/>
      <c r="BM493" s="63"/>
      <c r="BN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4"/>
      <c r="L494" s="65"/>
      <c r="M494" s="63"/>
      <c r="N494" s="63"/>
      <c r="O494" s="63"/>
      <c r="P494" s="63"/>
      <c r="Q494" s="63"/>
      <c r="R494" s="65"/>
      <c r="S494" s="63"/>
      <c r="T494" s="63"/>
      <c r="U494" s="63"/>
      <c r="V494" s="63"/>
      <c r="W494" s="64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63"/>
      <c r="AY494" s="63"/>
      <c r="AZ494" s="63"/>
      <c r="BA494" s="63"/>
      <c r="BB494" s="63"/>
      <c r="BC494" s="63"/>
      <c r="BD494" s="63"/>
      <c r="BE494" s="63"/>
      <c r="BF494" s="63"/>
      <c r="BG494" s="63"/>
      <c r="BH494" s="63"/>
      <c r="BI494" s="63"/>
      <c r="BJ494" s="63"/>
      <c r="BK494" s="63"/>
      <c r="BL494" s="63"/>
      <c r="BM494" s="63"/>
      <c r="BN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4"/>
      <c r="L495" s="65"/>
      <c r="M495" s="63"/>
      <c r="N495" s="63"/>
      <c r="O495" s="63"/>
      <c r="P495" s="63"/>
      <c r="Q495" s="63"/>
      <c r="R495" s="65"/>
      <c r="S495" s="63"/>
      <c r="T495" s="63"/>
      <c r="U495" s="63"/>
      <c r="V495" s="63"/>
      <c r="W495" s="64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  <c r="BB495" s="63"/>
      <c r="BC495" s="63"/>
      <c r="BD495" s="63"/>
      <c r="BE495" s="63"/>
      <c r="BF495" s="63"/>
      <c r="BG495" s="63"/>
      <c r="BH495" s="63"/>
      <c r="BI495" s="63"/>
      <c r="BJ495" s="63"/>
      <c r="BK495" s="63"/>
      <c r="BL495" s="63"/>
      <c r="BM495" s="63"/>
      <c r="BN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4"/>
      <c r="L496" s="65"/>
      <c r="M496" s="63"/>
      <c r="N496" s="63"/>
      <c r="O496" s="63"/>
      <c r="P496" s="63"/>
      <c r="Q496" s="63"/>
      <c r="R496" s="65"/>
      <c r="S496" s="63"/>
      <c r="T496" s="63"/>
      <c r="U496" s="63"/>
      <c r="V496" s="63"/>
      <c r="W496" s="64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3"/>
      <c r="BB496" s="63"/>
      <c r="BC496" s="63"/>
      <c r="BD496" s="63"/>
      <c r="BE496" s="63"/>
      <c r="BF496" s="63"/>
      <c r="BG496" s="63"/>
      <c r="BH496" s="63"/>
      <c r="BI496" s="63"/>
      <c r="BJ496" s="63"/>
      <c r="BK496" s="63"/>
      <c r="BL496" s="63"/>
      <c r="BM496" s="63"/>
      <c r="BN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4"/>
      <c r="L497" s="65"/>
      <c r="M497" s="63"/>
      <c r="N497" s="63"/>
      <c r="O497" s="63"/>
      <c r="P497" s="63"/>
      <c r="Q497" s="63"/>
      <c r="R497" s="65"/>
      <c r="S497" s="63"/>
      <c r="T497" s="63"/>
      <c r="U497" s="63"/>
      <c r="V497" s="63"/>
      <c r="W497" s="64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3"/>
      <c r="BB497" s="63"/>
      <c r="BC497" s="63"/>
      <c r="BD497" s="63"/>
      <c r="BE497" s="63"/>
      <c r="BF497" s="63"/>
      <c r="BG497" s="63"/>
      <c r="BH497" s="63"/>
      <c r="BI497" s="63"/>
      <c r="BJ497" s="63"/>
      <c r="BK497" s="63"/>
      <c r="BL497" s="63"/>
      <c r="BM497" s="63"/>
      <c r="BN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4"/>
      <c r="L498" s="65"/>
      <c r="M498" s="63"/>
      <c r="N498" s="63"/>
      <c r="O498" s="63"/>
      <c r="P498" s="63"/>
      <c r="Q498" s="63"/>
      <c r="R498" s="65"/>
      <c r="S498" s="63"/>
      <c r="T498" s="63"/>
      <c r="U498" s="63"/>
      <c r="V498" s="63"/>
      <c r="W498" s="64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  <c r="BD498" s="63"/>
      <c r="BE498" s="63"/>
      <c r="BF498" s="63"/>
      <c r="BG498" s="63"/>
      <c r="BH498" s="63"/>
      <c r="BI498" s="63"/>
      <c r="BJ498" s="63"/>
      <c r="BK498" s="63"/>
      <c r="BL498" s="63"/>
      <c r="BM498" s="63"/>
      <c r="BN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4"/>
      <c r="L499" s="65"/>
      <c r="M499" s="63"/>
      <c r="N499" s="63"/>
      <c r="O499" s="63"/>
      <c r="P499" s="63"/>
      <c r="Q499" s="63"/>
      <c r="R499" s="65"/>
      <c r="S499" s="63"/>
      <c r="T499" s="63"/>
      <c r="U499" s="63"/>
      <c r="V499" s="63"/>
      <c r="W499" s="64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63"/>
      <c r="AY499" s="63"/>
      <c r="AZ499" s="63"/>
      <c r="BA499" s="63"/>
      <c r="BB499" s="63"/>
      <c r="BC499" s="63"/>
      <c r="BD499" s="63"/>
      <c r="BE499" s="63"/>
      <c r="BF499" s="63"/>
      <c r="BG499" s="63"/>
      <c r="BH499" s="63"/>
      <c r="BI499" s="63"/>
      <c r="BJ499" s="63"/>
      <c r="BK499" s="63"/>
      <c r="BL499" s="63"/>
      <c r="BM499" s="63"/>
      <c r="BN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4"/>
      <c r="L500" s="65"/>
      <c r="M500" s="63"/>
      <c r="N500" s="63"/>
      <c r="O500" s="63"/>
      <c r="P500" s="63"/>
      <c r="Q500" s="63"/>
      <c r="R500" s="65"/>
      <c r="S500" s="63"/>
      <c r="T500" s="63"/>
      <c r="U500" s="63"/>
      <c r="V500" s="63"/>
      <c r="W500" s="64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  <c r="BB500" s="63"/>
      <c r="BC500" s="63"/>
      <c r="BD500" s="63"/>
      <c r="BE500" s="63"/>
      <c r="BF500" s="63"/>
      <c r="BG500" s="63"/>
      <c r="BH500" s="63"/>
      <c r="BI500" s="63"/>
      <c r="BJ500" s="63"/>
      <c r="BK500" s="63"/>
      <c r="BL500" s="63"/>
      <c r="BM500" s="63"/>
      <c r="BN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4"/>
      <c r="L501" s="65"/>
      <c r="M501" s="63"/>
      <c r="N501" s="63"/>
      <c r="O501" s="63"/>
      <c r="P501" s="63"/>
      <c r="Q501" s="63"/>
      <c r="R501" s="65"/>
      <c r="S501" s="63"/>
      <c r="T501" s="63"/>
      <c r="U501" s="63"/>
      <c r="V501" s="63"/>
      <c r="W501" s="64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  <c r="BC501" s="63"/>
      <c r="BD501" s="63"/>
      <c r="BE501" s="63"/>
      <c r="BF501" s="63"/>
      <c r="BG501" s="63"/>
      <c r="BH501" s="63"/>
      <c r="BI501" s="63"/>
      <c r="BJ501" s="63"/>
      <c r="BK501" s="63"/>
      <c r="BL501" s="63"/>
      <c r="BM501" s="63"/>
      <c r="BN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4"/>
      <c r="L502" s="65"/>
      <c r="M502" s="63"/>
      <c r="N502" s="63"/>
      <c r="O502" s="63"/>
      <c r="P502" s="63"/>
      <c r="Q502" s="63"/>
      <c r="R502" s="65"/>
      <c r="S502" s="63"/>
      <c r="T502" s="63"/>
      <c r="U502" s="63"/>
      <c r="V502" s="63"/>
      <c r="W502" s="64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  <c r="BB502" s="63"/>
      <c r="BC502" s="63"/>
      <c r="BD502" s="63"/>
      <c r="BE502" s="63"/>
      <c r="BF502" s="63"/>
      <c r="BG502" s="63"/>
      <c r="BH502" s="63"/>
      <c r="BI502" s="63"/>
      <c r="BJ502" s="63"/>
      <c r="BK502" s="63"/>
      <c r="BL502" s="63"/>
      <c r="BM502" s="63"/>
      <c r="BN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4"/>
      <c r="L503" s="65"/>
      <c r="M503" s="63"/>
      <c r="N503" s="63"/>
      <c r="O503" s="63"/>
      <c r="P503" s="63"/>
      <c r="Q503" s="63"/>
      <c r="R503" s="65"/>
      <c r="S503" s="63"/>
      <c r="T503" s="63"/>
      <c r="U503" s="63"/>
      <c r="V503" s="63"/>
      <c r="W503" s="64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  <c r="BB503" s="63"/>
      <c r="BC503" s="63"/>
      <c r="BD503" s="63"/>
      <c r="BE503" s="63"/>
      <c r="BF503" s="63"/>
      <c r="BG503" s="63"/>
      <c r="BH503" s="63"/>
      <c r="BI503" s="63"/>
      <c r="BJ503" s="63"/>
      <c r="BK503" s="63"/>
      <c r="BL503" s="63"/>
      <c r="BM503" s="63"/>
      <c r="BN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4"/>
      <c r="L504" s="65"/>
      <c r="M504" s="63"/>
      <c r="N504" s="63"/>
      <c r="O504" s="63"/>
      <c r="P504" s="63"/>
      <c r="Q504" s="63"/>
      <c r="R504" s="65"/>
      <c r="S504" s="63"/>
      <c r="T504" s="63"/>
      <c r="U504" s="63"/>
      <c r="V504" s="63"/>
      <c r="W504" s="64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  <c r="BC504" s="63"/>
      <c r="BD504" s="63"/>
      <c r="BE504" s="63"/>
      <c r="BF504" s="63"/>
      <c r="BG504" s="63"/>
      <c r="BH504" s="63"/>
      <c r="BI504" s="63"/>
      <c r="BJ504" s="63"/>
      <c r="BK504" s="63"/>
      <c r="BL504" s="63"/>
      <c r="BM504" s="63"/>
      <c r="BN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4"/>
      <c r="L505" s="65"/>
      <c r="M505" s="63"/>
      <c r="N505" s="63"/>
      <c r="O505" s="63"/>
      <c r="P505" s="63"/>
      <c r="Q505" s="63"/>
      <c r="R505" s="65"/>
      <c r="S505" s="63"/>
      <c r="T505" s="63"/>
      <c r="U505" s="63"/>
      <c r="V505" s="63"/>
      <c r="W505" s="64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3"/>
      <c r="BB505" s="63"/>
      <c r="BC505" s="63"/>
      <c r="BD505" s="63"/>
      <c r="BE505" s="63"/>
      <c r="BF505" s="63"/>
      <c r="BG505" s="63"/>
      <c r="BH505" s="63"/>
      <c r="BI505" s="63"/>
      <c r="BJ505" s="63"/>
      <c r="BK505" s="63"/>
      <c r="BL505" s="63"/>
      <c r="BM505" s="63"/>
      <c r="BN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4"/>
      <c r="L506" s="65"/>
      <c r="M506" s="63"/>
      <c r="N506" s="63"/>
      <c r="O506" s="63"/>
      <c r="P506" s="63"/>
      <c r="Q506" s="63"/>
      <c r="R506" s="65"/>
      <c r="S506" s="63"/>
      <c r="T506" s="63"/>
      <c r="U506" s="63"/>
      <c r="V506" s="63"/>
      <c r="W506" s="64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  <c r="BC506" s="63"/>
      <c r="BD506" s="63"/>
      <c r="BE506" s="63"/>
      <c r="BF506" s="63"/>
      <c r="BG506" s="63"/>
      <c r="BH506" s="63"/>
      <c r="BI506" s="63"/>
      <c r="BJ506" s="63"/>
      <c r="BK506" s="63"/>
      <c r="BL506" s="63"/>
      <c r="BM506" s="63"/>
      <c r="BN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4"/>
      <c r="L507" s="65"/>
      <c r="M507" s="63"/>
      <c r="N507" s="63"/>
      <c r="O507" s="63"/>
      <c r="P507" s="63"/>
      <c r="Q507" s="63"/>
      <c r="R507" s="65"/>
      <c r="S507" s="63"/>
      <c r="T507" s="63"/>
      <c r="U507" s="63"/>
      <c r="V507" s="63"/>
      <c r="W507" s="64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  <c r="BC507" s="63"/>
      <c r="BD507" s="63"/>
      <c r="BE507" s="63"/>
      <c r="BF507" s="63"/>
      <c r="BG507" s="63"/>
      <c r="BH507" s="63"/>
      <c r="BI507" s="63"/>
      <c r="BJ507" s="63"/>
      <c r="BK507" s="63"/>
      <c r="BL507" s="63"/>
      <c r="BM507" s="63"/>
      <c r="BN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4"/>
      <c r="L508" s="65"/>
      <c r="M508" s="63"/>
      <c r="N508" s="63"/>
      <c r="O508" s="63"/>
      <c r="P508" s="63"/>
      <c r="Q508" s="63"/>
      <c r="R508" s="65"/>
      <c r="S508" s="63"/>
      <c r="T508" s="63"/>
      <c r="U508" s="63"/>
      <c r="V508" s="63"/>
      <c r="W508" s="64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  <c r="BC508" s="63"/>
      <c r="BD508" s="63"/>
      <c r="BE508" s="63"/>
      <c r="BF508" s="63"/>
      <c r="BG508" s="63"/>
      <c r="BH508" s="63"/>
      <c r="BI508" s="63"/>
      <c r="BJ508" s="63"/>
      <c r="BK508" s="63"/>
      <c r="BL508" s="63"/>
      <c r="BM508" s="63"/>
      <c r="BN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4"/>
      <c r="L509" s="65"/>
      <c r="M509" s="63"/>
      <c r="N509" s="63"/>
      <c r="O509" s="63"/>
      <c r="P509" s="63"/>
      <c r="Q509" s="63"/>
      <c r="R509" s="65"/>
      <c r="S509" s="63"/>
      <c r="T509" s="63"/>
      <c r="U509" s="63"/>
      <c r="V509" s="63"/>
      <c r="W509" s="64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  <c r="BC509" s="63"/>
      <c r="BD509" s="63"/>
      <c r="BE509" s="63"/>
      <c r="BF509" s="63"/>
      <c r="BG509" s="63"/>
      <c r="BH509" s="63"/>
      <c r="BI509" s="63"/>
      <c r="BJ509" s="63"/>
      <c r="BK509" s="63"/>
      <c r="BL509" s="63"/>
      <c r="BM509" s="63"/>
      <c r="BN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4"/>
      <c r="L510" s="65"/>
      <c r="M510" s="63"/>
      <c r="N510" s="63"/>
      <c r="O510" s="63"/>
      <c r="P510" s="63"/>
      <c r="Q510" s="63"/>
      <c r="R510" s="65"/>
      <c r="S510" s="63"/>
      <c r="T510" s="63"/>
      <c r="U510" s="63"/>
      <c r="V510" s="63"/>
      <c r="W510" s="64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  <c r="BD510" s="63"/>
      <c r="BE510" s="63"/>
      <c r="BF510" s="63"/>
      <c r="BG510" s="63"/>
      <c r="BH510" s="63"/>
      <c r="BI510" s="63"/>
      <c r="BJ510" s="63"/>
      <c r="BK510" s="63"/>
      <c r="BL510" s="63"/>
      <c r="BM510" s="63"/>
      <c r="BN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4"/>
      <c r="L511" s="65"/>
      <c r="M511" s="63"/>
      <c r="N511" s="63"/>
      <c r="O511" s="63"/>
      <c r="P511" s="63"/>
      <c r="Q511" s="63"/>
      <c r="R511" s="65"/>
      <c r="S511" s="63"/>
      <c r="T511" s="63"/>
      <c r="U511" s="63"/>
      <c r="V511" s="63"/>
      <c r="W511" s="64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63"/>
      <c r="BD511" s="63"/>
      <c r="BE511" s="63"/>
      <c r="BF511" s="63"/>
      <c r="BG511" s="63"/>
      <c r="BH511" s="63"/>
      <c r="BI511" s="63"/>
      <c r="BJ511" s="63"/>
      <c r="BK511" s="63"/>
      <c r="BL511" s="63"/>
      <c r="BM511" s="63"/>
      <c r="BN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4"/>
      <c r="L512" s="65"/>
      <c r="M512" s="63"/>
      <c r="N512" s="63"/>
      <c r="O512" s="63"/>
      <c r="P512" s="63"/>
      <c r="Q512" s="63"/>
      <c r="R512" s="65"/>
      <c r="S512" s="63"/>
      <c r="T512" s="63"/>
      <c r="U512" s="63"/>
      <c r="V512" s="63"/>
      <c r="W512" s="64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  <c r="AY512" s="63"/>
      <c r="AZ512" s="63"/>
      <c r="BA512" s="63"/>
      <c r="BB512" s="63"/>
      <c r="BC512" s="63"/>
      <c r="BD512" s="63"/>
      <c r="BE512" s="63"/>
      <c r="BF512" s="63"/>
      <c r="BG512" s="63"/>
      <c r="BH512" s="63"/>
      <c r="BI512" s="63"/>
      <c r="BJ512" s="63"/>
      <c r="BK512" s="63"/>
      <c r="BL512" s="63"/>
      <c r="BM512" s="63"/>
      <c r="BN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4"/>
      <c r="L513" s="65"/>
      <c r="M513" s="63"/>
      <c r="N513" s="63"/>
      <c r="O513" s="63"/>
      <c r="P513" s="63"/>
      <c r="Q513" s="63"/>
      <c r="R513" s="65"/>
      <c r="S513" s="63"/>
      <c r="T513" s="63"/>
      <c r="U513" s="63"/>
      <c r="V513" s="63"/>
      <c r="W513" s="64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63"/>
      <c r="BD513" s="63"/>
      <c r="BE513" s="63"/>
      <c r="BF513" s="63"/>
      <c r="BG513" s="63"/>
      <c r="BH513" s="63"/>
      <c r="BI513" s="63"/>
      <c r="BJ513" s="63"/>
      <c r="BK513" s="63"/>
      <c r="BL513" s="63"/>
      <c r="BM513" s="63"/>
      <c r="BN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4"/>
      <c r="L514" s="65"/>
      <c r="M514" s="63"/>
      <c r="N514" s="63"/>
      <c r="O514" s="63"/>
      <c r="P514" s="63"/>
      <c r="Q514" s="63"/>
      <c r="R514" s="65"/>
      <c r="S514" s="63"/>
      <c r="T514" s="63"/>
      <c r="U514" s="63"/>
      <c r="V514" s="63"/>
      <c r="W514" s="64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  <c r="BC514" s="63"/>
      <c r="BD514" s="63"/>
      <c r="BE514" s="63"/>
      <c r="BF514" s="63"/>
      <c r="BG514" s="63"/>
      <c r="BH514" s="63"/>
      <c r="BI514" s="63"/>
      <c r="BJ514" s="63"/>
      <c r="BK514" s="63"/>
      <c r="BL514" s="63"/>
      <c r="BM514" s="63"/>
      <c r="BN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4"/>
      <c r="L515" s="65"/>
      <c r="M515" s="63"/>
      <c r="N515" s="63"/>
      <c r="O515" s="63"/>
      <c r="P515" s="63"/>
      <c r="Q515" s="63"/>
      <c r="R515" s="65"/>
      <c r="S515" s="63"/>
      <c r="T515" s="63"/>
      <c r="U515" s="63"/>
      <c r="V515" s="63"/>
      <c r="W515" s="64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  <c r="BC515" s="63"/>
      <c r="BD515" s="63"/>
      <c r="BE515" s="63"/>
      <c r="BF515" s="63"/>
      <c r="BG515" s="63"/>
      <c r="BH515" s="63"/>
      <c r="BI515" s="63"/>
      <c r="BJ515" s="63"/>
      <c r="BK515" s="63"/>
      <c r="BL515" s="63"/>
      <c r="BM515" s="63"/>
      <c r="BN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4"/>
      <c r="L516" s="65"/>
      <c r="M516" s="63"/>
      <c r="N516" s="63"/>
      <c r="O516" s="63"/>
      <c r="P516" s="63"/>
      <c r="Q516" s="63"/>
      <c r="R516" s="65"/>
      <c r="S516" s="63"/>
      <c r="T516" s="63"/>
      <c r="U516" s="63"/>
      <c r="V516" s="63"/>
      <c r="W516" s="64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  <c r="AY516" s="63"/>
      <c r="AZ516" s="63"/>
      <c r="BA516" s="63"/>
      <c r="BB516" s="63"/>
      <c r="BC516" s="63"/>
      <c r="BD516" s="63"/>
      <c r="BE516" s="63"/>
      <c r="BF516" s="63"/>
      <c r="BG516" s="63"/>
      <c r="BH516" s="63"/>
      <c r="BI516" s="63"/>
      <c r="BJ516" s="63"/>
      <c r="BK516" s="63"/>
      <c r="BL516" s="63"/>
      <c r="BM516" s="63"/>
      <c r="BN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4"/>
      <c r="L517" s="65"/>
      <c r="M517" s="63"/>
      <c r="N517" s="63"/>
      <c r="O517" s="63"/>
      <c r="P517" s="63"/>
      <c r="Q517" s="63"/>
      <c r="R517" s="65"/>
      <c r="S517" s="63"/>
      <c r="T517" s="63"/>
      <c r="U517" s="63"/>
      <c r="V517" s="63"/>
      <c r="W517" s="64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  <c r="BC517" s="63"/>
      <c r="BD517" s="63"/>
      <c r="BE517" s="63"/>
      <c r="BF517" s="63"/>
      <c r="BG517" s="63"/>
      <c r="BH517" s="63"/>
      <c r="BI517" s="63"/>
      <c r="BJ517" s="63"/>
      <c r="BK517" s="63"/>
      <c r="BL517" s="63"/>
      <c r="BM517" s="63"/>
      <c r="BN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4"/>
      <c r="L518" s="65"/>
      <c r="M518" s="63"/>
      <c r="N518" s="63"/>
      <c r="O518" s="63"/>
      <c r="P518" s="63"/>
      <c r="Q518" s="63"/>
      <c r="R518" s="65"/>
      <c r="S518" s="63"/>
      <c r="T518" s="63"/>
      <c r="U518" s="63"/>
      <c r="V518" s="63"/>
      <c r="W518" s="64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  <c r="BB518" s="63"/>
      <c r="BC518" s="63"/>
      <c r="BD518" s="63"/>
      <c r="BE518" s="63"/>
      <c r="BF518" s="63"/>
      <c r="BG518" s="63"/>
      <c r="BH518" s="63"/>
      <c r="BI518" s="63"/>
      <c r="BJ518" s="63"/>
      <c r="BK518" s="63"/>
      <c r="BL518" s="63"/>
      <c r="BM518" s="63"/>
      <c r="BN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4"/>
      <c r="L519" s="65"/>
      <c r="M519" s="63"/>
      <c r="N519" s="63"/>
      <c r="O519" s="63"/>
      <c r="P519" s="63"/>
      <c r="Q519" s="63"/>
      <c r="R519" s="65"/>
      <c r="S519" s="63"/>
      <c r="T519" s="63"/>
      <c r="U519" s="63"/>
      <c r="V519" s="63"/>
      <c r="W519" s="64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  <c r="AY519" s="63"/>
      <c r="AZ519" s="63"/>
      <c r="BA519" s="63"/>
      <c r="BB519" s="63"/>
      <c r="BC519" s="63"/>
      <c r="BD519" s="63"/>
      <c r="BE519" s="63"/>
      <c r="BF519" s="63"/>
      <c r="BG519" s="63"/>
      <c r="BH519" s="63"/>
      <c r="BI519" s="63"/>
      <c r="BJ519" s="63"/>
      <c r="BK519" s="63"/>
      <c r="BL519" s="63"/>
      <c r="BM519" s="63"/>
      <c r="BN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4"/>
      <c r="L520" s="65"/>
      <c r="M520" s="63"/>
      <c r="N520" s="63"/>
      <c r="O520" s="63"/>
      <c r="P520" s="63"/>
      <c r="Q520" s="63"/>
      <c r="R520" s="65"/>
      <c r="S520" s="63"/>
      <c r="T520" s="63"/>
      <c r="U520" s="63"/>
      <c r="V520" s="63"/>
      <c r="W520" s="64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  <c r="AY520" s="63"/>
      <c r="AZ520" s="63"/>
      <c r="BA520" s="63"/>
      <c r="BB520" s="63"/>
      <c r="BC520" s="63"/>
      <c r="BD520" s="63"/>
      <c r="BE520" s="63"/>
      <c r="BF520" s="63"/>
      <c r="BG520" s="63"/>
      <c r="BH520" s="63"/>
      <c r="BI520" s="63"/>
      <c r="BJ520" s="63"/>
      <c r="BK520" s="63"/>
      <c r="BL520" s="63"/>
      <c r="BM520" s="63"/>
      <c r="BN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4"/>
      <c r="L521" s="65"/>
      <c r="M521" s="63"/>
      <c r="N521" s="63"/>
      <c r="O521" s="63"/>
      <c r="P521" s="63"/>
      <c r="Q521" s="63"/>
      <c r="R521" s="65"/>
      <c r="S521" s="63"/>
      <c r="T521" s="63"/>
      <c r="U521" s="63"/>
      <c r="V521" s="63"/>
      <c r="W521" s="64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  <c r="BC521" s="63"/>
      <c r="BD521" s="63"/>
      <c r="BE521" s="63"/>
      <c r="BF521" s="63"/>
      <c r="BG521" s="63"/>
      <c r="BH521" s="63"/>
      <c r="BI521" s="63"/>
      <c r="BJ521" s="63"/>
      <c r="BK521" s="63"/>
      <c r="BL521" s="63"/>
      <c r="BM521" s="63"/>
      <c r="BN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4"/>
      <c r="L522" s="65"/>
      <c r="M522" s="63"/>
      <c r="N522" s="63"/>
      <c r="O522" s="63"/>
      <c r="P522" s="63"/>
      <c r="Q522" s="63"/>
      <c r="R522" s="65"/>
      <c r="S522" s="63"/>
      <c r="T522" s="63"/>
      <c r="U522" s="63"/>
      <c r="V522" s="63"/>
      <c r="W522" s="64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/>
      <c r="BD522" s="63"/>
      <c r="BE522" s="63"/>
      <c r="BF522" s="63"/>
      <c r="BG522" s="63"/>
      <c r="BH522" s="63"/>
      <c r="BI522" s="63"/>
      <c r="BJ522" s="63"/>
      <c r="BK522" s="63"/>
      <c r="BL522" s="63"/>
      <c r="BM522" s="63"/>
      <c r="BN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4"/>
      <c r="L523" s="65"/>
      <c r="M523" s="63"/>
      <c r="N523" s="63"/>
      <c r="O523" s="63"/>
      <c r="P523" s="63"/>
      <c r="Q523" s="63"/>
      <c r="R523" s="65"/>
      <c r="S523" s="63"/>
      <c r="T523" s="63"/>
      <c r="U523" s="63"/>
      <c r="V523" s="63"/>
      <c r="W523" s="64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  <c r="BC523" s="63"/>
      <c r="BD523" s="63"/>
      <c r="BE523" s="63"/>
      <c r="BF523" s="63"/>
      <c r="BG523" s="63"/>
      <c r="BH523" s="63"/>
      <c r="BI523" s="63"/>
      <c r="BJ523" s="63"/>
      <c r="BK523" s="63"/>
      <c r="BL523" s="63"/>
      <c r="BM523" s="63"/>
      <c r="BN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4"/>
      <c r="L524" s="65"/>
      <c r="M524" s="63"/>
      <c r="N524" s="63"/>
      <c r="O524" s="63"/>
      <c r="P524" s="63"/>
      <c r="Q524" s="63"/>
      <c r="R524" s="65"/>
      <c r="S524" s="63"/>
      <c r="T524" s="63"/>
      <c r="U524" s="63"/>
      <c r="V524" s="63"/>
      <c r="W524" s="64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  <c r="BC524" s="63"/>
      <c r="BD524" s="63"/>
      <c r="BE524" s="63"/>
      <c r="BF524" s="63"/>
      <c r="BG524" s="63"/>
      <c r="BH524" s="63"/>
      <c r="BI524" s="63"/>
      <c r="BJ524" s="63"/>
      <c r="BK524" s="63"/>
      <c r="BL524" s="63"/>
      <c r="BM524" s="63"/>
      <c r="BN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4"/>
      <c r="L525" s="65"/>
      <c r="M525" s="63"/>
      <c r="N525" s="63"/>
      <c r="O525" s="63"/>
      <c r="P525" s="63"/>
      <c r="Q525" s="63"/>
      <c r="R525" s="65"/>
      <c r="S525" s="63"/>
      <c r="T525" s="63"/>
      <c r="U525" s="63"/>
      <c r="V525" s="63"/>
      <c r="W525" s="64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  <c r="BC525" s="63"/>
      <c r="BD525" s="63"/>
      <c r="BE525" s="63"/>
      <c r="BF525" s="63"/>
      <c r="BG525" s="63"/>
      <c r="BH525" s="63"/>
      <c r="BI525" s="63"/>
      <c r="BJ525" s="63"/>
      <c r="BK525" s="63"/>
      <c r="BL525" s="63"/>
      <c r="BM525" s="63"/>
      <c r="BN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4"/>
      <c r="L526" s="65"/>
      <c r="M526" s="63"/>
      <c r="N526" s="63"/>
      <c r="O526" s="63"/>
      <c r="P526" s="63"/>
      <c r="Q526" s="63"/>
      <c r="R526" s="65"/>
      <c r="S526" s="63"/>
      <c r="T526" s="63"/>
      <c r="U526" s="63"/>
      <c r="V526" s="63"/>
      <c r="W526" s="64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  <c r="BB526" s="63"/>
      <c r="BC526" s="63"/>
      <c r="BD526" s="63"/>
      <c r="BE526" s="63"/>
      <c r="BF526" s="63"/>
      <c r="BG526" s="63"/>
      <c r="BH526" s="63"/>
      <c r="BI526" s="63"/>
      <c r="BJ526" s="63"/>
      <c r="BK526" s="63"/>
      <c r="BL526" s="63"/>
      <c r="BM526" s="63"/>
      <c r="BN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4"/>
      <c r="L527" s="65"/>
      <c r="M527" s="63"/>
      <c r="N527" s="63"/>
      <c r="O527" s="63"/>
      <c r="P527" s="63"/>
      <c r="Q527" s="63"/>
      <c r="R527" s="65"/>
      <c r="S527" s="63"/>
      <c r="T527" s="63"/>
      <c r="U527" s="63"/>
      <c r="V527" s="63"/>
      <c r="W527" s="64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  <c r="BC527" s="63"/>
      <c r="BD527" s="63"/>
      <c r="BE527" s="63"/>
      <c r="BF527" s="63"/>
      <c r="BG527" s="63"/>
      <c r="BH527" s="63"/>
      <c r="BI527" s="63"/>
      <c r="BJ527" s="63"/>
      <c r="BK527" s="63"/>
      <c r="BL527" s="63"/>
      <c r="BM527" s="63"/>
      <c r="BN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4"/>
      <c r="L528" s="65"/>
      <c r="M528" s="63"/>
      <c r="N528" s="63"/>
      <c r="O528" s="63"/>
      <c r="P528" s="63"/>
      <c r="Q528" s="63"/>
      <c r="R528" s="65"/>
      <c r="S528" s="63"/>
      <c r="T528" s="63"/>
      <c r="U528" s="63"/>
      <c r="V528" s="63"/>
      <c r="W528" s="64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  <c r="BC528" s="63"/>
      <c r="BD528" s="63"/>
      <c r="BE528" s="63"/>
      <c r="BF528" s="63"/>
      <c r="BG528" s="63"/>
      <c r="BH528" s="63"/>
      <c r="BI528" s="63"/>
      <c r="BJ528" s="63"/>
      <c r="BK528" s="63"/>
      <c r="BL528" s="63"/>
      <c r="BM528" s="63"/>
      <c r="BN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4"/>
      <c r="L529" s="65"/>
      <c r="M529" s="63"/>
      <c r="N529" s="63"/>
      <c r="O529" s="63"/>
      <c r="P529" s="63"/>
      <c r="Q529" s="63"/>
      <c r="R529" s="65"/>
      <c r="S529" s="63"/>
      <c r="T529" s="63"/>
      <c r="U529" s="63"/>
      <c r="V529" s="63"/>
      <c r="W529" s="64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  <c r="BC529" s="63"/>
      <c r="BD529" s="63"/>
      <c r="BE529" s="63"/>
      <c r="BF529" s="63"/>
      <c r="BG529" s="63"/>
      <c r="BH529" s="63"/>
      <c r="BI529" s="63"/>
      <c r="BJ529" s="63"/>
      <c r="BK529" s="63"/>
      <c r="BL529" s="63"/>
      <c r="BM529" s="63"/>
      <c r="BN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4"/>
      <c r="L530" s="65"/>
      <c r="M530" s="63"/>
      <c r="N530" s="63"/>
      <c r="O530" s="63"/>
      <c r="P530" s="63"/>
      <c r="Q530" s="63"/>
      <c r="R530" s="65"/>
      <c r="S530" s="63"/>
      <c r="T530" s="63"/>
      <c r="U530" s="63"/>
      <c r="V530" s="63"/>
      <c r="W530" s="64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  <c r="BC530" s="63"/>
      <c r="BD530" s="63"/>
      <c r="BE530" s="63"/>
      <c r="BF530" s="63"/>
      <c r="BG530" s="63"/>
      <c r="BH530" s="63"/>
      <c r="BI530" s="63"/>
      <c r="BJ530" s="63"/>
      <c r="BK530" s="63"/>
      <c r="BL530" s="63"/>
      <c r="BM530" s="63"/>
      <c r="BN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4"/>
      <c r="L531" s="65"/>
      <c r="M531" s="63"/>
      <c r="N531" s="63"/>
      <c r="O531" s="63"/>
      <c r="P531" s="63"/>
      <c r="Q531" s="63"/>
      <c r="R531" s="65"/>
      <c r="S531" s="63"/>
      <c r="T531" s="63"/>
      <c r="U531" s="63"/>
      <c r="V531" s="63"/>
      <c r="W531" s="64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  <c r="BC531" s="63"/>
      <c r="BD531" s="63"/>
      <c r="BE531" s="63"/>
      <c r="BF531" s="63"/>
      <c r="BG531" s="63"/>
      <c r="BH531" s="63"/>
      <c r="BI531" s="63"/>
      <c r="BJ531" s="63"/>
      <c r="BK531" s="63"/>
      <c r="BL531" s="63"/>
      <c r="BM531" s="63"/>
      <c r="BN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4"/>
      <c r="L532" s="65"/>
      <c r="M532" s="63"/>
      <c r="N532" s="63"/>
      <c r="O532" s="63"/>
      <c r="P532" s="63"/>
      <c r="Q532" s="63"/>
      <c r="R532" s="65"/>
      <c r="S532" s="63"/>
      <c r="T532" s="63"/>
      <c r="U532" s="63"/>
      <c r="V532" s="63"/>
      <c r="W532" s="64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  <c r="BC532" s="63"/>
      <c r="BD532" s="63"/>
      <c r="BE532" s="63"/>
      <c r="BF532" s="63"/>
      <c r="BG532" s="63"/>
      <c r="BH532" s="63"/>
      <c r="BI532" s="63"/>
      <c r="BJ532" s="63"/>
      <c r="BK532" s="63"/>
      <c r="BL532" s="63"/>
      <c r="BM532" s="63"/>
      <c r="BN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4"/>
      <c r="L533" s="65"/>
      <c r="M533" s="63"/>
      <c r="N533" s="63"/>
      <c r="O533" s="63"/>
      <c r="P533" s="63"/>
      <c r="Q533" s="63"/>
      <c r="R533" s="65"/>
      <c r="S533" s="63"/>
      <c r="T533" s="63"/>
      <c r="U533" s="63"/>
      <c r="V533" s="63"/>
      <c r="W533" s="64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  <c r="BC533" s="63"/>
      <c r="BD533" s="63"/>
      <c r="BE533" s="63"/>
      <c r="BF533" s="63"/>
      <c r="BG533" s="63"/>
      <c r="BH533" s="63"/>
      <c r="BI533" s="63"/>
      <c r="BJ533" s="63"/>
      <c r="BK533" s="63"/>
      <c r="BL533" s="63"/>
      <c r="BM533" s="63"/>
      <c r="BN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4"/>
      <c r="L534" s="65"/>
      <c r="M534" s="63"/>
      <c r="N534" s="63"/>
      <c r="O534" s="63"/>
      <c r="P534" s="63"/>
      <c r="Q534" s="63"/>
      <c r="R534" s="65"/>
      <c r="S534" s="63"/>
      <c r="T534" s="63"/>
      <c r="U534" s="63"/>
      <c r="V534" s="63"/>
      <c r="W534" s="64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/>
      <c r="BD534" s="63"/>
      <c r="BE534" s="63"/>
      <c r="BF534" s="63"/>
      <c r="BG534" s="63"/>
      <c r="BH534" s="63"/>
      <c r="BI534" s="63"/>
      <c r="BJ534" s="63"/>
      <c r="BK534" s="63"/>
      <c r="BL534" s="63"/>
      <c r="BM534" s="63"/>
      <c r="BN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4"/>
      <c r="L535" s="65"/>
      <c r="M535" s="63"/>
      <c r="N535" s="63"/>
      <c r="O535" s="63"/>
      <c r="P535" s="63"/>
      <c r="Q535" s="63"/>
      <c r="R535" s="65"/>
      <c r="S535" s="63"/>
      <c r="T535" s="63"/>
      <c r="U535" s="63"/>
      <c r="V535" s="63"/>
      <c r="W535" s="64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  <c r="BC535" s="63"/>
      <c r="BD535" s="63"/>
      <c r="BE535" s="63"/>
      <c r="BF535" s="63"/>
      <c r="BG535" s="63"/>
      <c r="BH535" s="63"/>
      <c r="BI535" s="63"/>
      <c r="BJ535" s="63"/>
      <c r="BK535" s="63"/>
      <c r="BL535" s="63"/>
      <c r="BM535" s="63"/>
      <c r="BN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4"/>
      <c r="L536" s="65"/>
      <c r="M536" s="63"/>
      <c r="N536" s="63"/>
      <c r="O536" s="63"/>
      <c r="P536" s="63"/>
      <c r="Q536" s="63"/>
      <c r="R536" s="65"/>
      <c r="S536" s="63"/>
      <c r="T536" s="63"/>
      <c r="U536" s="63"/>
      <c r="V536" s="63"/>
      <c r="W536" s="64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  <c r="BC536" s="63"/>
      <c r="BD536" s="63"/>
      <c r="BE536" s="63"/>
      <c r="BF536" s="63"/>
      <c r="BG536" s="63"/>
      <c r="BH536" s="63"/>
      <c r="BI536" s="63"/>
      <c r="BJ536" s="63"/>
      <c r="BK536" s="63"/>
      <c r="BL536" s="63"/>
      <c r="BM536" s="63"/>
      <c r="BN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4"/>
      <c r="L537" s="65"/>
      <c r="M537" s="63"/>
      <c r="N537" s="63"/>
      <c r="O537" s="63"/>
      <c r="P537" s="63"/>
      <c r="Q537" s="63"/>
      <c r="R537" s="65"/>
      <c r="S537" s="63"/>
      <c r="T537" s="63"/>
      <c r="U537" s="63"/>
      <c r="V537" s="63"/>
      <c r="W537" s="64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  <c r="BC537" s="63"/>
      <c r="BD537" s="63"/>
      <c r="BE537" s="63"/>
      <c r="BF537" s="63"/>
      <c r="BG537" s="63"/>
      <c r="BH537" s="63"/>
      <c r="BI537" s="63"/>
      <c r="BJ537" s="63"/>
      <c r="BK537" s="63"/>
      <c r="BL537" s="63"/>
      <c r="BM537" s="63"/>
      <c r="BN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4"/>
      <c r="L538" s="65"/>
      <c r="M538" s="63"/>
      <c r="N538" s="63"/>
      <c r="O538" s="63"/>
      <c r="P538" s="63"/>
      <c r="Q538" s="63"/>
      <c r="R538" s="65"/>
      <c r="S538" s="63"/>
      <c r="T538" s="63"/>
      <c r="U538" s="63"/>
      <c r="V538" s="63"/>
      <c r="W538" s="64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  <c r="BC538" s="63"/>
      <c r="BD538" s="63"/>
      <c r="BE538" s="63"/>
      <c r="BF538" s="63"/>
      <c r="BG538" s="63"/>
      <c r="BH538" s="63"/>
      <c r="BI538" s="63"/>
      <c r="BJ538" s="63"/>
      <c r="BK538" s="63"/>
      <c r="BL538" s="63"/>
      <c r="BM538" s="63"/>
      <c r="BN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4"/>
      <c r="L539" s="65"/>
      <c r="M539" s="63"/>
      <c r="N539" s="63"/>
      <c r="O539" s="63"/>
      <c r="P539" s="63"/>
      <c r="Q539" s="63"/>
      <c r="R539" s="65"/>
      <c r="S539" s="63"/>
      <c r="T539" s="63"/>
      <c r="U539" s="63"/>
      <c r="V539" s="63"/>
      <c r="W539" s="64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  <c r="BC539" s="63"/>
      <c r="BD539" s="63"/>
      <c r="BE539" s="63"/>
      <c r="BF539" s="63"/>
      <c r="BG539" s="63"/>
      <c r="BH539" s="63"/>
      <c r="BI539" s="63"/>
      <c r="BJ539" s="63"/>
      <c r="BK539" s="63"/>
      <c r="BL539" s="63"/>
      <c r="BM539" s="63"/>
      <c r="BN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4"/>
      <c r="L540" s="65"/>
      <c r="M540" s="63"/>
      <c r="N540" s="63"/>
      <c r="O540" s="63"/>
      <c r="P540" s="63"/>
      <c r="Q540" s="63"/>
      <c r="R540" s="65"/>
      <c r="S540" s="63"/>
      <c r="T540" s="63"/>
      <c r="U540" s="63"/>
      <c r="V540" s="63"/>
      <c r="W540" s="64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  <c r="BC540" s="63"/>
      <c r="BD540" s="63"/>
      <c r="BE540" s="63"/>
      <c r="BF540" s="63"/>
      <c r="BG540" s="63"/>
      <c r="BH540" s="63"/>
      <c r="BI540" s="63"/>
      <c r="BJ540" s="63"/>
      <c r="BK540" s="63"/>
      <c r="BL540" s="63"/>
      <c r="BM540" s="63"/>
      <c r="BN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4"/>
      <c r="L541" s="65"/>
      <c r="M541" s="63"/>
      <c r="N541" s="63"/>
      <c r="O541" s="63"/>
      <c r="P541" s="63"/>
      <c r="Q541" s="63"/>
      <c r="R541" s="65"/>
      <c r="S541" s="63"/>
      <c r="T541" s="63"/>
      <c r="U541" s="63"/>
      <c r="V541" s="63"/>
      <c r="W541" s="64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  <c r="BC541" s="63"/>
      <c r="BD541" s="63"/>
      <c r="BE541" s="63"/>
      <c r="BF541" s="63"/>
      <c r="BG541" s="63"/>
      <c r="BH541" s="63"/>
      <c r="BI541" s="63"/>
      <c r="BJ541" s="63"/>
      <c r="BK541" s="63"/>
      <c r="BL541" s="63"/>
      <c r="BM541" s="63"/>
      <c r="BN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4"/>
      <c r="L542" s="65"/>
      <c r="M542" s="63"/>
      <c r="N542" s="63"/>
      <c r="O542" s="63"/>
      <c r="P542" s="63"/>
      <c r="Q542" s="63"/>
      <c r="R542" s="65"/>
      <c r="S542" s="63"/>
      <c r="T542" s="63"/>
      <c r="U542" s="63"/>
      <c r="V542" s="63"/>
      <c r="W542" s="64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3"/>
      <c r="AX542" s="63"/>
      <c r="AY542" s="63"/>
      <c r="AZ542" s="63"/>
      <c r="BA542" s="63"/>
      <c r="BB542" s="63"/>
      <c r="BC542" s="63"/>
      <c r="BD542" s="63"/>
      <c r="BE542" s="63"/>
      <c r="BF542" s="63"/>
      <c r="BG542" s="63"/>
      <c r="BH542" s="63"/>
      <c r="BI542" s="63"/>
      <c r="BJ542" s="63"/>
      <c r="BK542" s="63"/>
      <c r="BL542" s="63"/>
      <c r="BM542" s="63"/>
      <c r="BN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4"/>
      <c r="L543" s="65"/>
      <c r="M543" s="63"/>
      <c r="N543" s="63"/>
      <c r="O543" s="63"/>
      <c r="P543" s="63"/>
      <c r="Q543" s="63"/>
      <c r="R543" s="65"/>
      <c r="S543" s="63"/>
      <c r="T543" s="63"/>
      <c r="U543" s="63"/>
      <c r="V543" s="63"/>
      <c r="W543" s="64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  <c r="BC543" s="63"/>
      <c r="BD543" s="63"/>
      <c r="BE543" s="63"/>
      <c r="BF543" s="63"/>
      <c r="BG543" s="63"/>
      <c r="BH543" s="63"/>
      <c r="BI543" s="63"/>
      <c r="BJ543" s="63"/>
      <c r="BK543" s="63"/>
      <c r="BL543" s="63"/>
      <c r="BM543" s="63"/>
      <c r="BN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4"/>
      <c r="L544" s="65"/>
      <c r="M544" s="63"/>
      <c r="N544" s="63"/>
      <c r="O544" s="63"/>
      <c r="P544" s="63"/>
      <c r="Q544" s="63"/>
      <c r="R544" s="65"/>
      <c r="S544" s="63"/>
      <c r="T544" s="63"/>
      <c r="U544" s="63"/>
      <c r="V544" s="63"/>
      <c r="W544" s="64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3"/>
      <c r="AX544" s="63"/>
      <c r="AY544" s="63"/>
      <c r="AZ544" s="63"/>
      <c r="BA544" s="63"/>
      <c r="BB544" s="63"/>
      <c r="BC544" s="63"/>
      <c r="BD544" s="63"/>
      <c r="BE544" s="63"/>
      <c r="BF544" s="63"/>
      <c r="BG544" s="63"/>
      <c r="BH544" s="63"/>
      <c r="BI544" s="63"/>
      <c r="BJ544" s="63"/>
      <c r="BK544" s="63"/>
      <c r="BL544" s="63"/>
      <c r="BM544" s="63"/>
      <c r="BN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4"/>
      <c r="L545" s="65"/>
      <c r="M545" s="63"/>
      <c r="N545" s="63"/>
      <c r="O545" s="63"/>
      <c r="P545" s="63"/>
      <c r="Q545" s="63"/>
      <c r="R545" s="65"/>
      <c r="S545" s="63"/>
      <c r="T545" s="63"/>
      <c r="U545" s="63"/>
      <c r="V545" s="63"/>
      <c r="W545" s="64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3"/>
      <c r="AX545" s="63"/>
      <c r="AY545" s="63"/>
      <c r="AZ545" s="63"/>
      <c r="BA545" s="63"/>
      <c r="BB545" s="63"/>
      <c r="BC545" s="63"/>
      <c r="BD545" s="63"/>
      <c r="BE545" s="63"/>
      <c r="BF545" s="63"/>
      <c r="BG545" s="63"/>
      <c r="BH545" s="63"/>
      <c r="BI545" s="63"/>
      <c r="BJ545" s="63"/>
      <c r="BK545" s="63"/>
      <c r="BL545" s="63"/>
      <c r="BM545" s="63"/>
      <c r="BN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4"/>
      <c r="L546" s="65"/>
      <c r="M546" s="63"/>
      <c r="N546" s="63"/>
      <c r="O546" s="63"/>
      <c r="P546" s="63"/>
      <c r="Q546" s="63"/>
      <c r="R546" s="65"/>
      <c r="S546" s="63"/>
      <c r="T546" s="63"/>
      <c r="U546" s="63"/>
      <c r="V546" s="63"/>
      <c r="W546" s="64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/>
      <c r="BD546" s="63"/>
      <c r="BE546" s="63"/>
      <c r="BF546" s="63"/>
      <c r="BG546" s="63"/>
      <c r="BH546" s="63"/>
      <c r="BI546" s="63"/>
      <c r="BJ546" s="63"/>
      <c r="BK546" s="63"/>
      <c r="BL546" s="63"/>
      <c r="BM546" s="63"/>
      <c r="BN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4"/>
      <c r="L547" s="65"/>
      <c r="M547" s="63"/>
      <c r="N547" s="63"/>
      <c r="O547" s="63"/>
      <c r="P547" s="63"/>
      <c r="Q547" s="63"/>
      <c r="R547" s="65"/>
      <c r="S547" s="63"/>
      <c r="T547" s="63"/>
      <c r="U547" s="63"/>
      <c r="V547" s="63"/>
      <c r="W547" s="64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3"/>
      <c r="AX547" s="63"/>
      <c r="AY547" s="63"/>
      <c r="AZ547" s="63"/>
      <c r="BA547" s="63"/>
      <c r="BB547" s="63"/>
      <c r="BC547" s="63"/>
      <c r="BD547" s="63"/>
      <c r="BE547" s="63"/>
      <c r="BF547" s="63"/>
      <c r="BG547" s="63"/>
      <c r="BH547" s="63"/>
      <c r="BI547" s="63"/>
      <c r="BJ547" s="63"/>
      <c r="BK547" s="63"/>
      <c r="BL547" s="63"/>
      <c r="BM547" s="63"/>
      <c r="BN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4"/>
      <c r="L548" s="65"/>
      <c r="M548" s="63"/>
      <c r="N548" s="63"/>
      <c r="O548" s="63"/>
      <c r="P548" s="63"/>
      <c r="Q548" s="63"/>
      <c r="R548" s="65"/>
      <c r="S548" s="63"/>
      <c r="T548" s="63"/>
      <c r="U548" s="63"/>
      <c r="V548" s="63"/>
      <c r="W548" s="64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63"/>
      <c r="BD548" s="63"/>
      <c r="BE548" s="63"/>
      <c r="BF548" s="63"/>
      <c r="BG548" s="63"/>
      <c r="BH548" s="63"/>
      <c r="BI548" s="63"/>
      <c r="BJ548" s="63"/>
      <c r="BK548" s="63"/>
      <c r="BL548" s="63"/>
      <c r="BM548" s="63"/>
      <c r="BN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4"/>
      <c r="L549" s="65"/>
      <c r="M549" s="63"/>
      <c r="N549" s="63"/>
      <c r="O549" s="63"/>
      <c r="P549" s="63"/>
      <c r="Q549" s="63"/>
      <c r="R549" s="65"/>
      <c r="S549" s="63"/>
      <c r="T549" s="63"/>
      <c r="U549" s="63"/>
      <c r="V549" s="63"/>
      <c r="W549" s="64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  <c r="AY549" s="63"/>
      <c r="AZ549" s="63"/>
      <c r="BA549" s="63"/>
      <c r="BB549" s="63"/>
      <c r="BC549" s="63"/>
      <c r="BD549" s="63"/>
      <c r="BE549" s="63"/>
      <c r="BF549" s="63"/>
      <c r="BG549" s="63"/>
      <c r="BH549" s="63"/>
      <c r="BI549" s="63"/>
      <c r="BJ549" s="63"/>
      <c r="BK549" s="63"/>
      <c r="BL549" s="63"/>
      <c r="BM549" s="63"/>
      <c r="BN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4"/>
      <c r="L550" s="65"/>
      <c r="M550" s="63"/>
      <c r="N550" s="63"/>
      <c r="O550" s="63"/>
      <c r="P550" s="63"/>
      <c r="Q550" s="63"/>
      <c r="R550" s="65"/>
      <c r="S550" s="63"/>
      <c r="T550" s="63"/>
      <c r="U550" s="63"/>
      <c r="V550" s="63"/>
      <c r="W550" s="64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  <c r="BC550" s="63"/>
      <c r="BD550" s="63"/>
      <c r="BE550" s="63"/>
      <c r="BF550" s="63"/>
      <c r="BG550" s="63"/>
      <c r="BH550" s="63"/>
      <c r="BI550" s="63"/>
      <c r="BJ550" s="63"/>
      <c r="BK550" s="63"/>
      <c r="BL550" s="63"/>
      <c r="BM550" s="63"/>
      <c r="BN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4"/>
      <c r="L551" s="65"/>
      <c r="M551" s="63"/>
      <c r="N551" s="63"/>
      <c r="O551" s="63"/>
      <c r="P551" s="63"/>
      <c r="Q551" s="63"/>
      <c r="R551" s="65"/>
      <c r="S551" s="63"/>
      <c r="T551" s="63"/>
      <c r="U551" s="63"/>
      <c r="V551" s="63"/>
      <c r="W551" s="64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  <c r="BC551" s="63"/>
      <c r="BD551" s="63"/>
      <c r="BE551" s="63"/>
      <c r="BF551" s="63"/>
      <c r="BG551" s="63"/>
      <c r="BH551" s="63"/>
      <c r="BI551" s="63"/>
      <c r="BJ551" s="63"/>
      <c r="BK551" s="63"/>
      <c r="BL551" s="63"/>
      <c r="BM551" s="63"/>
      <c r="BN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4"/>
      <c r="L552" s="65"/>
      <c r="M552" s="63"/>
      <c r="N552" s="63"/>
      <c r="O552" s="63"/>
      <c r="P552" s="63"/>
      <c r="Q552" s="63"/>
      <c r="R552" s="65"/>
      <c r="S552" s="63"/>
      <c r="T552" s="63"/>
      <c r="U552" s="63"/>
      <c r="V552" s="63"/>
      <c r="W552" s="64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63"/>
      <c r="BD552" s="63"/>
      <c r="BE552" s="63"/>
      <c r="BF552" s="63"/>
      <c r="BG552" s="63"/>
      <c r="BH552" s="63"/>
      <c r="BI552" s="63"/>
      <c r="BJ552" s="63"/>
      <c r="BK552" s="63"/>
      <c r="BL552" s="63"/>
      <c r="BM552" s="63"/>
      <c r="BN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4"/>
      <c r="L553" s="65"/>
      <c r="M553" s="63"/>
      <c r="N553" s="63"/>
      <c r="O553" s="63"/>
      <c r="P553" s="63"/>
      <c r="Q553" s="63"/>
      <c r="R553" s="65"/>
      <c r="S553" s="63"/>
      <c r="T553" s="63"/>
      <c r="U553" s="63"/>
      <c r="V553" s="63"/>
      <c r="W553" s="64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  <c r="BC553" s="63"/>
      <c r="BD553" s="63"/>
      <c r="BE553" s="63"/>
      <c r="BF553" s="63"/>
      <c r="BG553" s="63"/>
      <c r="BH553" s="63"/>
      <c r="BI553" s="63"/>
      <c r="BJ553" s="63"/>
      <c r="BK553" s="63"/>
      <c r="BL553" s="63"/>
      <c r="BM553" s="63"/>
      <c r="BN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4"/>
      <c r="L554" s="65"/>
      <c r="M554" s="63"/>
      <c r="N554" s="63"/>
      <c r="O554" s="63"/>
      <c r="P554" s="63"/>
      <c r="Q554" s="63"/>
      <c r="R554" s="65"/>
      <c r="S554" s="63"/>
      <c r="T554" s="63"/>
      <c r="U554" s="63"/>
      <c r="V554" s="63"/>
      <c r="W554" s="64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/>
      <c r="AY554" s="63"/>
      <c r="AZ554" s="63"/>
      <c r="BA554" s="63"/>
      <c r="BB554" s="63"/>
      <c r="BC554" s="63"/>
      <c r="BD554" s="63"/>
      <c r="BE554" s="63"/>
      <c r="BF554" s="63"/>
      <c r="BG554" s="63"/>
      <c r="BH554" s="63"/>
      <c r="BI554" s="63"/>
      <c r="BJ554" s="63"/>
      <c r="BK554" s="63"/>
      <c r="BL554" s="63"/>
      <c r="BM554" s="63"/>
      <c r="BN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4"/>
      <c r="L555" s="65"/>
      <c r="M555" s="63"/>
      <c r="N555" s="63"/>
      <c r="O555" s="63"/>
      <c r="P555" s="63"/>
      <c r="Q555" s="63"/>
      <c r="R555" s="65"/>
      <c r="S555" s="63"/>
      <c r="T555" s="63"/>
      <c r="U555" s="63"/>
      <c r="V555" s="63"/>
      <c r="W555" s="64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/>
      <c r="AY555" s="63"/>
      <c r="AZ555" s="63"/>
      <c r="BA555" s="63"/>
      <c r="BB555" s="63"/>
      <c r="BC555" s="63"/>
      <c r="BD555" s="63"/>
      <c r="BE555" s="63"/>
      <c r="BF555" s="63"/>
      <c r="BG555" s="63"/>
      <c r="BH555" s="63"/>
      <c r="BI555" s="63"/>
      <c r="BJ555" s="63"/>
      <c r="BK555" s="63"/>
      <c r="BL555" s="63"/>
      <c r="BM555" s="63"/>
      <c r="BN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4"/>
      <c r="L556" s="65"/>
      <c r="M556" s="63"/>
      <c r="N556" s="63"/>
      <c r="O556" s="63"/>
      <c r="P556" s="63"/>
      <c r="Q556" s="63"/>
      <c r="R556" s="65"/>
      <c r="S556" s="63"/>
      <c r="T556" s="63"/>
      <c r="U556" s="63"/>
      <c r="V556" s="63"/>
      <c r="W556" s="64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  <c r="BC556" s="63"/>
      <c r="BD556" s="63"/>
      <c r="BE556" s="63"/>
      <c r="BF556" s="63"/>
      <c r="BG556" s="63"/>
      <c r="BH556" s="63"/>
      <c r="BI556" s="63"/>
      <c r="BJ556" s="63"/>
      <c r="BK556" s="63"/>
      <c r="BL556" s="63"/>
      <c r="BM556" s="63"/>
      <c r="BN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4"/>
      <c r="L557" s="65"/>
      <c r="M557" s="63"/>
      <c r="N557" s="63"/>
      <c r="O557" s="63"/>
      <c r="P557" s="63"/>
      <c r="Q557" s="63"/>
      <c r="R557" s="65"/>
      <c r="S557" s="63"/>
      <c r="T557" s="63"/>
      <c r="U557" s="63"/>
      <c r="V557" s="63"/>
      <c r="W557" s="64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63"/>
      <c r="BD557" s="63"/>
      <c r="BE557" s="63"/>
      <c r="BF557" s="63"/>
      <c r="BG557" s="63"/>
      <c r="BH557" s="63"/>
      <c r="BI557" s="63"/>
      <c r="BJ557" s="63"/>
      <c r="BK557" s="63"/>
      <c r="BL557" s="63"/>
      <c r="BM557" s="63"/>
      <c r="BN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4"/>
      <c r="L558" s="65"/>
      <c r="M558" s="63"/>
      <c r="N558" s="63"/>
      <c r="O558" s="63"/>
      <c r="P558" s="63"/>
      <c r="Q558" s="63"/>
      <c r="R558" s="65"/>
      <c r="S558" s="63"/>
      <c r="T558" s="63"/>
      <c r="U558" s="63"/>
      <c r="V558" s="63"/>
      <c r="W558" s="64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  <c r="BD558" s="63"/>
      <c r="BE558" s="63"/>
      <c r="BF558" s="63"/>
      <c r="BG558" s="63"/>
      <c r="BH558" s="63"/>
      <c r="BI558" s="63"/>
      <c r="BJ558" s="63"/>
      <c r="BK558" s="63"/>
      <c r="BL558" s="63"/>
      <c r="BM558" s="63"/>
      <c r="BN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4"/>
      <c r="L559" s="65"/>
      <c r="M559" s="63"/>
      <c r="N559" s="63"/>
      <c r="O559" s="63"/>
      <c r="P559" s="63"/>
      <c r="Q559" s="63"/>
      <c r="R559" s="65"/>
      <c r="S559" s="63"/>
      <c r="T559" s="63"/>
      <c r="U559" s="63"/>
      <c r="V559" s="63"/>
      <c r="W559" s="64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/>
      <c r="AY559" s="63"/>
      <c r="AZ559" s="63"/>
      <c r="BA559" s="63"/>
      <c r="BB559" s="63"/>
      <c r="BC559" s="63"/>
      <c r="BD559" s="63"/>
      <c r="BE559" s="63"/>
      <c r="BF559" s="63"/>
      <c r="BG559" s="63"/>
      <c r="BH559" s="63"/>
      <c r="BI559" s="63"/>
      <c r="BJ559" s="63"/>
      <c r="BK559" s="63"/>
      <c r="BL559" s="63"/>
      <c r="BM559" s="63"/>
      <c r="BN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4"/>
      <c r="L560" s="65"/>
      <c r="M560" s="63"/>
      <c r="N560" s="63"/>
      <c r="O560" s="63"/>
      <c r="P560" s="63"/>
      <c r="Q560" s="63"/>
      <c r="R560" s="65"/>
      <c r="S560" s="63"/>
      <c r="T560" s="63"/>
      <c r="U560" s="63"/>
      <c r="V560" s="63"/>
      <c r="W560" s="64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  <c r="BC560" s="63"/>
      <c r="BD560" s="63"/>
      <c r="BE560" s="63"/>
      <c r="BF560" s="63"/>
      <c r="BG560" s="63"/>
      <c r="BH560" s="63"/>
      <c r="BI560" s="63"/>
      <c r="BJ560" s="63"/>
      <c r="BK560" s="63"/>
      <c r="BL560" s="63"/>
      <c r="BM560" s="63"/>
      <c r="BN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4"/>
      <c r="L561" s="65"/>
      <c r="M561" s="63"/>
      <c r="N561" s="63"/>
      <c r="O561" s="63"/>
      <c r="P561" s="63"/>
      <c r="Q561" s="63"/>
      <c r="R561" s="65"/>
      <c r="S561" s="63"/>
      <c r="T561" s="63"/>
      <c r="U561" s="63"/>
      <c r="V561" s="63"/>
      <c r="W561" s="64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/>
      <c r="AY561" s="63"/>
      <c r="AZ561" s="63"/>
      <c r="BA561" s="63"/>
      <c r="BB561" s="63"/>
      <c r="BC561" s="63"/>
      <c r="BD561" s="63"/>
      <c r="BE561" s="63"/>
      <c r="BF561" s="63"/>
      <c r="BG561" s="63"/>
      <c r="BH561" s="63"/>
      <c r="BI561" s="63"/>
      <c r="BJ561" s="63"/>
      <c r="BK561" s="63"/>
      <c r="BL561" s="63"/>
      <c r="BM561" s="63"/>
      <c r="BN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4"/>
      <c r="L562" s="65"/>
      <c r="M562" s="63"/>
      <c r="N562" s="63"/>
      <c r="O562" s="63"/>
      <c r="P562" s="63"/>
      <c r="Q562" s="63"/>
      <c r="R562" s="65"/>
      <c r="S562" s="63"/>
      <c r="T562" s="63"/>
      <c r="U562" s="63"/>
      <c r="V562" s="63"/>
      <c r="W562" s="64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3"/>
      <c r="AX562" s="63"/>
      <c r="AY562" s="63"/>
      <c r="AZ562" s="63"/>
      <c r="BA562" s="63"/>
      <c r="BB562" s="63"/>
      <c r="BC562" s="63"/>
      <c r="BD562" s="63"/>
      <c r="BE562" s="63"/>
      <c r="BF562" s="63"/>
      <c r="BG562" s="63"/>
      <c r="BH562" s="63"/>
      <c r="BI562" s="63"/>
      <c r="BJ562" s="63"/>
      <c r="BK562" s="63"/>
      <c r="BL562" s="63"/>
      <c r="BM562" s="63"/>
      <c r="BN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4"/>
      <c r="L563" s="65"/>
      <c r="M563" s="63"/>
      <c r="N563" s="63"/>
      <c r="O563" s="63"/>
      <c r="P563" s="63"/>
      <c r="Q563" s="63"/>
      <c r="R563" s="65"/>
      <c r="S563" s="63"/>
      <c r="T563" s="63"/>
      <c r="U563" s="63"/>
      <c r="V563" s="63"/>
      <c r="W563" s="64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  <c r="BC563" s="63"/>
      <c r="BD563" s="63"/>
      <c r="BE563" s="63"/>
      <c r="BF563" s="63"/>
      <c r="BG563" s="63"/>
      <c r="BH563" s="63"/>
      <c r="BI563" s="63"/>
      <c r="BJ563" s="63"/>
      <c r="BK563" s="63"/>
      <c r="BL563" s="63"/>
      <c r="BM563" s="63"/>
      <c r="BN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4"/>
      <c r="L564" s="65"/>
      <c r="M564" s="63"/>
      <c r="N564" s="63"/>
      <c r="O564" s="63"/>
      <c r="P564" s="63"/>
      <c r="Q564" s="63"/>
      <c r="R564" s="65"/>
      <c r="S564" s="63"/>
      <c r="T564" s="63"/>
      <c r="U564" s="63"/>
      <c r="V564" s="63"/>
      <c r="W564" s="64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/>
      <c r="AY564" s="63"/>
      <c r="AZ564" s="63"/>
      <c r="BA564" s="63"/>
      <c r="BB564" s="63"/>
      <c r="BC564" s="63"/>
      <c r="BD564" s="63"/>
      <c r="BE564" s="63"/>
      <c r="BF564" s="63"/>
      <c r="BG564" s="63"/>
      <c r="BH564" s="63"/>
      <c r="BI564" s="63"/>
      <c r="BJ564" s="63"/>
      <c r="BK564" s="63"/>
      <c r="BL564" s="63"/>
      <c r="BM564" s="63"/>
      <c r="BN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4"/>
      <c r="L565" s="65"/>
      <c r="M565" s="63"/>
      <c r="N565" s="63"/>
      <c r="O565" s="63"/>
      <c r="P565" s="63"/>
      <c r="Q565" s="63"/>
      <c r="R565" s="65"/>
      <c r="S565" s="63"/>
      <c r="T565" s="63"/>
      <c r="U565" s="63"/>
      <c r="V565" s="63"/>
      <c r="W565" s="64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  <c r="BC565" s="63"/>
      <c r="BD565" s="63"/>
      <c r="BE565" s="63"/>
      <c r="BF565" s="63"/>
      <c r="BG565" s="63"/>
      <c r="BH565" s="63"/>
      <c r="BI565" s="63"/>
      <c r="BJ565" s="63"/>
      <c r="BK565" s="63"/>
      <c r="BL565" s="63"/>
      <c r="BM565" s="63"/>
      <c r="BN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4"/>
      <c r="L566" s="65"/>
      <c r="M566" s="63"/>
      <c r="N566" s="63"/>
      <c r="O566" s="63"/>
      <c r="P566" s="63"/>
      <c r="Q566" s="63"/>
      <c r="R566" s="65"/>
      <c r="S566" s="63"/>
      <c r="T566" s="63"/>
      <c r="U566" s="63"/>
      <c r="V566" s="63"/>
      <c r="W566" s="64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3"/>
      <c r="AX566" s="63"/>
      <c r="AY566" s="63"/>
      <c r="AZ566" s="63"/>
      <c r="BA566" s="63"/>
      <c r="BB566" s="63"/>
      <c r="BC566" s="63"/>
      <c r="BD566" s="63"/>
      <c r="BE566" s="63"/>
      <c r="BF566" s="63"/>
      <c r="BG566" s="63"/>
      <c r="BH566" s="63"/>
      <c r="BI566" s="63"/>
      <c r="BJ566" s="63"/>
      <c r="BK566" s="63"/>
      <c r="BL566" s="63"/>
      <c r="BM566" s="63"/>
      <c r="BN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4"/>
      <c r="L567" s="65"/>
      <c r="M567" s="63"/>
      <c r="N567" s="63"/>
      <c r="O567" s="63"/>
      <c r="P567" s="63"/>
      <c r="Q567" s="63"/>
      <c r="R567" s="65"/>
      <c r="S567" s="63"/>
      <c r="T567" s="63"/>
      <c r="U567" s="63"/>
      <c r="V567" s="63"/>
      <c r="W567" s="64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  <c r="BC567" s="63"/>
      <c r="BD567" s="63"/>
      <c r="BE567" s="63"/>
      <c r="BF567" s="63"/>
      <c r="BG567" s="63"/>
      <c r="BH567" s="63"/>
      <c r="BI567" s="63"/>
      <c r="BJ567" s="63"/>
      <c r="BK567" s="63"/>
      <c r="BL567" s="63"/>
      <c r="BM567" s="63"/>
      <c r="BN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4"/>
      <c r="L568" s="65"/>
      <c r="M568" s="63"/>
      <c r="N568" s="63"/>
      <c r="O568" s="63"/>
      <c r="P568" s="63"/>
      <c r="Q568" s="63"/>
      <c r="R568" s="65"/>
      <c r="S568" s="63"/>
      <c r="T568" s="63"/>
      <c r="U568" s="63"/>
      <c r="V568" s="63"/>
      <c r="W568" s="64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63"/>
      <c r="AY568" s="63"/>
      <c r="AZ568" s="63"/>
      <c r="BA568" s="63"/>
      <c r="BB568" s="63"/>
      <c r="BC568" s="63"/>
      <c r="BD568" s="63"/>
      <c r="BE568" s="63"/>
      <c r="BF568" s="63"/>
      <c r="BG568" s="63"/>
      <c r="BH568" s="63"/>
      <c r="BI568" s="63"/>
      <c r="BJ568" s="63"/>
      <c r="BK568" s="63"/>
      <c r="BL568" s="63"/>
      <c r="BM568" s="63"/>
      <c r="BN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4"/>
      <c r="L569" s="65"/>
      <c r="M569" s="63"/>
      <c r="N569" s="63"/>
      <c r="O569" s="63"/>
      <c r="P569" s="63"/>
      <c r="Q569" s="63"/>
      <c r="R569" s="65"/>
      <c r="S569" s="63"/>
      <c r="T569" s="63"/>
      <c r="U569" s="63"/>
      <c r="V569" s="63"/>
      <c r="W569" s="64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3"/>
      <c r="AX569" s="63"/>
      <c r="AY569" s="63"/>
      <c r="AZ569" s="63"/>
      <c r="BA569" s="63"/>
      <c r="BB569" s="63"/>
      <c r="BC569" s="63"/>
      <c r="BD569" s="63"/>
      <c r="BE569" s="63"/>
      <c r="BF569" s="63"/>
      <c r="BG569" s="63"/>
      <c r="BH569" s="63"/>
      <c r="BI569" s="63"/>
      <c r="BJ569" s="63"/>
      <c r="BK569" s="63"/>
      <c r="BL569" s="63"/>
      <c r="BM569" s="63"/>
      <c r="BN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4"/>
      <c r="L570" s="65"/>
      <c r="M570" s="63"/>
      <c r="N570" s="63"/>
      <c r="O570" s="63"/>
      <c r="P570" s="63"/>
      <c r="Q570" s="63"/>
      <c r="R570" s="65"/>
      <c r="S570" s="63"/>
      <c r="T570" s="63"/>
      <c r="U570" s="63"/>
      <c r="V570" s="63"/>
      <c r="W570" s="64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63"/>
      <c r="AY570" s="63"/>
      <c r="AZ570" s="63"/>
      <c r="BA570" s="63"/>
      <c r="BB570" s="63"/>
      <c r="BC570" s="63"/>
      <c r="BD570" s="63"/>
      <c r="BE570" s="63"/>
      <c r="BF570" s="63"/>
      <c r="BG570" s="63"/>
      <c r="BH570" s="63"/>
      <c r="BI570" s="63"/>
      <c r="BJ570" s="63"/>
      <c r="BK570" s="63"/>
      <c r="BL570" s="63"/>
      <c r="BM570" s="63"/>
      <c r="BN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4"/>
      <c r="L571" s="65"/>
      <c r="M571" s="63"/>
      <c r="N571" s="63"/>
      <c r="O571" s="63"/>
      <c r="P571" s="63"/>
      <c r="Q571" s="63"/>
      <c r="R571" s="65"/>
      <c r="S571" s="63"/>
      <c r="T571" s="63"/>
      <c r="U571" s="63"/>
      <c r="V571" s="63"/>
      <c r="W571" s="64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  <c r="BC571" s="63"/>
      <c r="BD571" s="63"/>
      <c r="BE571" s="63"/>
      <c r="BF571" s="63"/>
      <c r="BG571" s="63"/>
      <c r="BH571" s="63"/>
      <c r="BI571" s="63"/>
      <c r="BJ571" s="63"/>
      <c r="BK571" s="63"/>
      <c r="BL571" s="63"/>
      <c r="BM571" s="63"/>
      <c r="BN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4"/>
      <c r="L572" s="65"/>
      <c r="M572" s="63"/>
      <c r="N572" s="63"/>
      <c r="O572" s="63"/>
      <c r="P572" s="63"/>
      <c r="Q572" s="63"/>
      <c r="R572" s="65"/>
      <c r="S572" s="63"/>
      <c r="T572" s="63"/>
      <c r="U572" s="63"/>
      <c r="V572" s="63"/>
      <c r="W572" s="64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3"/>
      <c r="AX572" s="63"/>
      <c r="AY572" s="63"/>
      <c r="AZ572" s="63"/>
      <c r="BA572" s="63"/>
      <c r="BB572" s="63"/>
      <c r="BC572" s="63"/>
      <c r="BD572" s="63"/>
      <c r="BE572" s="63"/>
      <c r="BF572" s="63"/>
      <c r="BG572" s="63"/>
      <c r="BH572" s="63"/>
      <c r="BI572" s="63"/>
      <c r="BJ572" s="63"/>
      <c r="BK572" s="63"/>
      <c r="BL572" s="63"/>
      <c r="BM572" s="63"/>
      <c r="BN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4"/>
      <c r="L573" s="65"/>
      <c r="M573" s="63"/>
      <c r="N573" s="63"/>
      <c r="O573" s="63"/>
      <c r="P573" s="63"/>
      <c r="Q573" s="63"/>
      <c r="R573" s="65"/>
      <c r="S573" s="63"/>
      <c r="T573" s="63"/>
      <c r="U573" s="63"/>
      <c r="V573" s="63"/>
      <c r="W573" s="64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  <c r="BC573" s="63"/>
      <c r="BD573" s="63"/>
      <c r="BE573" s="63"/>
      <c r="BF573" s="63"/>
      <c r="BG573" s="63"/>
      <c r="BH573" s="63"/>
      <c r="BI573" s="63"/>
      <c r="BJ573" s="63"/>
      <c r="BK573" s="63"/>
      <c r="BL573" s="63"/>
      <c r="BM573" s="63"/>
      <c r="BN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4"/>
      <c r="L574" s="65"/>
      <c r="M574" s="63"/>
      <c r="N574" s="63"/>
      <c r="O574" s="63"/>
      <c r="P574" s="63"/>
      <c r="Q574" s="63"/>
      <c r="R574" s="65"/>
      <c r="S574" s="63"/>
      <c r="T574" s="63"/>
      <c r="U574" s="63"/>
      <c r="V574" s="63"/>
      <c r="W574" s="64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/>
      <c r="AY574" s="63"/>
      <c r="AZ574" s="63"/>
      <c r="BA574" s="63"/>
      <c r="BB574" s="63"/>
      <c r="BC574" s="63"/>
      <c r="BD574" s="63"/>
      <c r="BE574" s="63"/>
      <c r="BF574" s="63"/>
      <c r="BG574" s="63"/>
      <c r="BH574" s="63"/>
      <c r="BI574" s="63"/>
      <c r="BJ574" s="63"/>
      <c r="BK574" s="63"/>
      <c r="BL574" s="63"/>
      <c r="BM574" s="63"/>
      <c r="BN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4"/>
      <c r="L575" s="65"/>
      <c r="M575" s="63"/>
      <c r="N575" s="63"/>
      <c r="O575" s="63"/>
      <c r="P575" s="63"/>
      <c r="Q575" s="63"/>
      <c r="R575" s="65"/>
      <c r="S575" s="63"/>
      <c r="T575" s="63"/>
      <c r="U575" s="63"/>
      <c r="V575" s="63"/>
      <c r="W575" s="64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/>
      <c r="AY575" s="63"/>
      <c r="AZ575" s="63"/>
      <c r="BA575" s="63"/>
      <c r="BB575" s="63"/>
      <c r="BC575" s="63"/>
      <c r="BD575" s="63"/>
      <c r="BE575" s="63"/>
      <c r="BF575" s="63"/>
      <c r="BG575" s="63"/>
      <c r="BH575" s="63"/>
      <c r="BI575" s="63"/>
      <c r="BJ575" s="63"/>
      <c r="BK575" s="63"/>
      <c r="BL575" s="63"/>
      <c r="BM575" s="63"/>
      <c r="BN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4"/>
      <c r="L576" s="65"/>
      <c r="M576" s="63"/>
      <c r="N576" s="63"/>
      <c r="O576" s="63"/>
      <c r="P576" s="63"/>
      <c r="Q576" s="63"/>
      <c r="R576" s="65"/>
      <c r="S576" s="63"/>
      <c r="T576" s="63"/>
      <c r="U576" s="63"/>
      <c r="V576" s="63"/>
      <c r="W576" s="64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3"/>
      <c r="AX576" s="63"/>
      <c r="AY576" s="63"/>
      <c r="AZ576" s="63"/>
      <c r="BA576" s="63"/>
      <c r="BB576" s="63"/>
      <c r="BC576" s="63"/>
      <c r="BD576" s="63"/>
      <c r="BE576" s="63"/>
      <c r="BF576" s="63"/>
      <c r="BG576" s="63"/>
      <c r="BH576" s="63"/>
      <c r="BI576" s="63"/>
      <c r="BJ576" s="63"/>
      <c r="BK576" s="63"/>
      <c r="BL576" s="63"/>
      <c r="BM576" s="63"/>
      <c r="BN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4"/>
      <c r="L577" s="65"/>
      <c r="M577" s="63"/>
      <c r="N577" s="63"/>
      <c r="O577" s="63"/>
      <c r="P577" s="63"/>
      <c r="Q577" s="63"/>
      <c r="R577" s="65"/>
      <c r="S577" s="63"/>
      <c r="T577" s="63"/>
      <c r="U577" s="63"/>
      <c r="V577" s="63"/>
      <c r="W577" s="64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3"/>
      <c r="BB577" s="63"/>
      <c r="BC577" s="63"/>
      <c r="BD577" s="63"/>
      <c r="BE577" s="63"/>
      <c r="BF577" s="63"/>
      <c r="BG577" s="63"/>
      <c r="BH577" s="63"/>
      <c r="BI577" s="63"/>
      <c r="BJ577" s="63"/>
      <c r="BK577" s="63"/>
      <c r="BL577" s="63"/>
      <c r="BM577" s="63"/>
      <c r="BN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4"/>
      <c r="L578" s="65"/>
      <c r="M578" s="63"/>
      <c r="N578" s="63"/>
      <c r="O578" s="63"/>
      <c r="P578" s="63"/>
      <c r="Q578" s="63"/>
      <c r="R578" s="65"/>
      <c r="S578" s="63"/>
      <c r="T578" s="63"/>
      <c r="U578" s="63"/>
      <c r="V578" s="63"/>
      <c r="W578" s="64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  <c r="BC578" s="63"/>
      <c r="BD578" s="63"/>
      <c r="BE578" s="63"/>
      <c r="BF578" s="63"/>
      <c r="BG578" s="63"/>
      <c r="BH578" s="63"/>
      <c r="BI578" s="63"/>
      <c r="BJ578" s="63"/>
      <c r="BK578" s="63"/>
      <c r="BL578" s="63"/>
      <c r="BM578" s="63"/>
      <c r="BN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4"/>
      <c r="L579" s="65"/>
      <c r="M579" s="63"/>
      <c r="N579" s="63"/>
      <c r="O579" s="63"/>
      <c r="P579" s="63"/>
      <c r="Q579" s="63"/>
      <c r="R579" s="65"/>
      <c r="S579" s="63"/>
      <c r="T579" s="63"/>
      <c r="U579" s="63"/>
      <c r="V579" s="63"/>
      <c r="W579" s="64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3"/>
      <c r="AX579" s="63"/>
      <c r="AY579" s="63"/>
      <c r="AZ579" s="63"/>
      <c r="BA579" s="63"/>
      <c r="BB579" s="63"/>
      <c r="BC579" s="63"/>
      <c r="BD579" s="63"/>
      <c r="BE579" s="63"/>
      <c r="BF579" s="63"/>
      <c r="BG579" s="63"/>
      <c r="BH579" s="63"/>
      <c r="BI579" s="63"/>
      <c r="BJ579" s="63"/>
      <c r="BK579" s="63"/>
      <c r="BL579" s="63"/>
      <c r="BM579" s="63"/>
      <c r="BN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4"/>
      <c r="L580" s="65"/>
      <c r="M580" s="63"/>
      <c r="N580" s="63"/>
      <c r="O580" s="63"/>
      <c r="P580" s="63"/>
      <c r="Q580" s="63"/>
      <c r="R580" s="65"/>
      <c r="S580" s="63"/>
      <c r="T580" s="63"/>
      <c r="U580" s="63"/>
      <c r="V580" s="63"/>
      <c r="W580" s="64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  <c r="AY580" s="63"/>
      <c r="AZ580" s="63"/>
      <c r="BA580" s="63"/>
      <c r="BB580" s="63"/>
      <c r="BC580" s="63"/>
      <c r="BD580" s="63"/>
      <c r="BE580" s="63"/>
      <c r="BF580" s="63"/>
      <c r="BG580" s="63"/>
      <c r="BH580" s="63"/>
      <c r="BI580" s="63"/>
      <c r="BJ580" s="63"/>
      <c r="BK580" s="63"/>
      <c r="BL580" s="63"/>
      <c r="BM580" s="63"/>
      <c r="BN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4"/>
      <c r="L581" s="65"/>
      <c r="M581" s="63"/>
      <c r="N581" s="63"/>
      <c r="O581" s="63"/>
      <c r="P581" s="63"/>
      <c r="Q581" s="63"/>
      <c r="R581" s="65"/>
      <c r="S581" s="63"/>
      <c r="T581" s="63"/>
      <c r="U581" s="63"/>
      <c r="V581" s="63"/>
      <c r="W581" s="64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  <c r="AY581" s="63"/>
      <c r="AZ581" s="63"/>
      <c r="BA581" s="63"/>
      <c r="BB581" s="63"/>
      <c r="BC581" s="63"/>
      <c r="BD581" s="63"/>
      <c r="BE581" s="63"/>
      <c r="BF581" s="63"/>
      <c r="BG581" s="63"/>
      <c r="BH581" s="63"/>
      <c r="BI581" s="63"/>
      <c r="BJ581" s="63"/>
      <c r="BK581" s="63"/>
      <c r="BL581" s="63"/>
      <c r="BM581" s="63"/>
      <c r="BN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4"/>
      <c r="L582" s="65"/>
      <c r="M582" s="63"/>
      <c r="N582" s="63"/>
      <c r="O582" s="63"/>
      <c r="P582" s="63"/>
      <c r="Q582" s="63"/>
      <c r="R582" s="65"/>
      <c r="S582" s="63"/>
      <c r="T582" s="63"/>
      <c r="U582" s="63"/>
      <c r="V582" s="63"/>
      <c r="W582" s="64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/>
      <c r="AY582" s="63"/>
      <c r="AZ582" s="63"/>
      <c r="BA582" s="63"/>
      <c r="BB582" s="63"/>
      <c r="BC582" s="63"/>
      <c r="BD582" s="63"/>
      <c r="BE582" s="63"/>
      <c r="BF582" s="63"/>
      <c r="BG582" s="63"/>
      <c r="BH582" s="63"/>
      <c r="BI582" s="63"/>
      <c r="BJ582" s="63"/>
      <c r="BK582" s="63"/>
      <c r="BL582" s="63"/>
      <c r="BM582" s="63"/>
      <c r="BN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4"/>
      <c r="L583" s="65"/>
      <c r="M583" s="63"/>
      <c r="N583" s="63"/>
      <c r="O583" s="63"/>
      <c r="P583" s="63"/>
      <c r="Q583" s="63"/>
      <c r="R583" s="65"/>
      <c r="S583" s="63"/>
      <c r="T583" s="63"/>
      <c r="U583" s="63"/>
      <c r="V583" s="63"/>
      <c r="W583" s="64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3"/>
      <c r="AX583" s="63"/>
      <c r="AY583" s="63"/>
      <c r="AZ583" s="63"/>
      <c r="BA583" s="63"/>
      <c r="BB583" s="63"/>
      <c r="BC583" s="63"/>
      <c r="BD583" s="63"/>
      <c r="BE583" s="63"/>
      <c r="BF583" s="63"/>
      <c r="BG583" s="63"/>
      <c r="BH583" s="63"/>
      <c r="BI583" s="63"/>
      <c r="BJ583" s="63"/>
      <c r="BK583" s="63"/>
      <c r="BL583" s="63"/>
      <c r="BM583" s="63"/>
      <c r="BN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4"/>
      <c r="L584" s="65"/>
      <c r="M584" s="63"/>
      <c r="N584" s="63"/>
      <c r="O584" s="63"/>
      <c r="P584" s="63"/>
      <c r="Q584" s="63"/>
      <c r="R584" s="65"/>
      <c r="S584" s="63"/>
      <c r="T584" s="63"/>
      <c r="U584" s="63"/>
      <c r="V584" s="63"/>
      <c r="W584" s="64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/>
      <c r="AY584" s="63"/>
      <c r="AZ584" s="63"/>
      <c r="BA584" s="63"/>
      <c r="BB584" s="63"/>
      <c r="BC584" s="63"/>
      <c r="BD584" s="63"/>
      <c r="BE584" s="63"/>
      <c r="BF584" s="63"/>
      <c r="BG584" s="63"/>
      <c r="BH584" s="63"/>
      <c r="BI584" s="63"/>
      <c r="BJ584" s="63"/>
      <c r="BK584" s="63"/>
      <c r="BL584" s="63"/>
      <c r="BM584" s="63"/>
      <c r="BN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4"/>
      <c r="L585" s="65"/>
      <c r="M585" s="63"/>
      <c r="N585" s="63"/>
      <c r="O585" s="63"/>
      <c r="P585" s="63"/>
      <c r="Q585" s="63"/>
      <c r="R585" s="65"/>
      <c r="S585" s="63"/>
      <c r="T585" s="63"/>
      <c r="U585" s="63"/>
      <c r="V585" s="63"/>
      <c r="W585" s="64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63"/>
      <c r="AY585" s="63"/>
      <c r="AZ585" s="63"/>
      <c r="BA585" s="63"/>
      <c r="BB585" s="63"/>
      <c r="BC585" s="63"/>
      <c r="BD585" s="63"/>
      <c r="BE585" s="63"/>
      <c r="BF585" s="63"/>
      <c r="BG585" s="63"/>
      <c r="BH585" s="63"/>
      <c r="BI585" s="63"/>
      <c r="BJ585" s="63"/>
      <c r="BK585" s="63"/>
      <c r="BL585" s="63"/>
      <c r="BM585" s="63"/>
      <c r="BN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4"/>
      <c r="L586" s="65"/>
      <c r="M586" s="63"/>
      <c r="N586" s="63"/>
      <c r="O586" s="63"/>
      <c r="P586" s="63"/>
      <c r="Q586" s="63"/>
      <c r="R586" s="65"/>
      <c r="S586" s="63"/>
      <c r="T586" s="63"/>
      <c r="U586" s="63"/>
      <c r="V586" s="63"/>
      <c r="W586" s="64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3"/>
      <c r="BB586" s="63"/>
      <c r="BC586" s="63"/>
      <c r="BD586" s="63"/>
      <c r="BE586" s="63"/>
      <c r="BF586" s="63"/>
      <c r="BG586" s="63"/>
      <c r="BH586" s="63"/>
      <c r="BI586" s="63"/>
      <c r="BJ586" s="63"/>
      <c r="BK586" s="63"/>
      <c r="BL586" s="63"/>
      <c r="BM586" s="63"/>
      <c r="BN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4"/>
      <c r="L587" s="65"/>
      <c r="M587" s="63"/>
      <c r="N587" s="63"/>
      <c r="O587" s="63"/>
      <c r="P587" s="63"/>
      <c r="Q587" s="63"/>
      <c r="R587" s="65"/>
      <c r="S587" s="63"/>
      <c r="T587" s="63"/>
      <c r="U587" s="63"/>
      <c r="V587" s="63"/>
      <c r="W587" s="64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3"/>
      <c r="BB587" s="63"/>
      <c r="BC587" s="63"/>
      <c r="BD587" s="63"/>
      <c r="BE587" s="63"/>
      <c r="BF587" s="63"/>
      <c r="BG587" s="63"/>
      <c r="BH587" s="63"/>
      <c r="BI587" s="63"/>
      <c r="BJ587" s="63"/>
      <c r="BK587" s="63"/>
      <c r="BL587" s="63"/>
      <c r="BM587" s="63"/>
      <c r="BN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4"/>
      <c r="L588" s="65"/>
      <c r="M588" s="63"/>
      <c r="N588" s="63"/>
      <c r="O588" s="63"/>
      <c r="P588" s="63"/>
      <c r="Q588" s="63"/>
      <c r="R588" s="65"/>
      <c r="S588" s="63"/>
      <c r="T588" s="63"/>
      <c r="U588" s="63"/>
      <c r="V588" s="63"/>
      <c r="W588" s="64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63"/>
      <c r="AY588" s="63"/>
      <c r="AZ588" s="63"/>
      <c r="BA588" s="63"/>
      <c r="BB588" s="63"/>
      <c r="BC588" s="63"/>
      <c r="BD588" s="63"/>
      <c r="BE588" s="63"/>
      <c r="BF588" s="63"/>
      <c r="BG588" s="63"/>
      <c r="BH588" s="63"/>
      <c r="BI588" s="63"/>
      <c r="BJ588" s="63"/>
      <c r="BK588" s="63"/>
      <c r="BL588" s="63"/>
      <c r="BM588" s="63"/>
      <c r="BN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4"/>
      <c r="L589" s="65"/>
      <c r="M589" s="63"/>
      <c r="N589" s="63"/>
      <c r="O589" s="63"/>
      <c r="P589" s="63"/>
      <c r="Q589" s="63"/>
      <c r="R589" s="65"/>
      <c r="S589" s="63"/>
      <c r="T589" s="63"/>
      <c r="U589" s="63"/>
      <c r="V589" s="63"/>
      <c r="W589" s="64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63"/>
      <c r="BD589" s="63"/>
      <c r="BE589" s="63"/>
      <c r="BF589" s="63"/>
      <c r="BG589" s="63"/>
      <c r="BH589" s="63"/>
      <c r="BI589" s="63"/>
      <c r="BJ589" s="63"/>
      <c r="BK589" s="63"/>
      <c r="BL589" s="63"/>
      <c r="BM589" s="63"/>
      <c r="BN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4"/>
      <c r="L590" s="65"/>
      <c r="M590" s="63"/>
      <c r="N590" s="63"/>
      <c r="O590" s="63"/>
      <c r="P590" s="63"/>
      <c r="Q590" s="63"/>
      <c r="R590" s="65"/>
      <c r="S590" s="63"/>
      <c r="T590" s="63"/>
      <c r="U590" s="63"/>
      <c r="V590" s="63"/>
      <c r="W590" s="64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/>
      <c r="AY590" s="63"/>
      <c r="AZ590" s="63"/>
      <c r="BA590" s="63"/>
      <c r="BB590" s="63"/>
      <c r="BC590" s="63"/>
      <c r="BD590" s="63"/>
      <c r="BE590" s="63"/>
      <c r="BF590" s="63"/>
      <c r="BG590" s="63"/>
      <c r="BH590" s="63"/>
      <c r="BI590" s="63"/>
      <c r="BJ590" s="63"/>
      <c r="BK590" s="63"/>
      <c r="BL590" s="63"/>
      <c r="BM590" s="63"/>
      <c r="BN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4"/>
      <c r="L591" s="65"/>
      <c r="M591" s="63"/>
      <c r="N591" s="63"/>
      <c r="O591" s="63"/>
      <c r="P591" s="63"/>
      <c r="Q591" s="63"/>
      <c r="R591" s="65"/>
      <c r="S591" s="63"/>
      <c r="T591" s="63"/>
      <c r="U591" s="63"/>
      <c r="V591" s="63"/>
      <c r="W591" s="64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3"/>
      <c r="AX591" s="63"/>
      <c r="AY591" s="63"/>
      <c r="AZ591" s="63"/>
      <c r="BA591" s="63"/>
      <c r="BB591" s="63"/>
      <c r="BC591" s="63"/>
      <c r="BD591" s="63"/>
      <c r="BE591" s="63"/>
      <c r="BF591" s="63"/>
      <c r="BG591" s="63"/>
      <c r="BH591" s="63"/>
      <c r="BI591" s="63"/>
      <c r="BJ591" s="63"/>
      <c r="BK591" s="63"/>
      <c r="BL591" s="63"/>
      <c r="BM591" s="63"/>
      <c r="BN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4"/>
      <c r="L592" s="65"/>
      <c r="M592" s="63"/>
      <c r="N592" s="63"/>
      <c r="O592" s="63"/>
      <c r="P592" s="63"/>
      <c r="Q592" s="63"/>
      <c r="R592" s="65"/>
      <c r="S592" s="63"/>
      <c r="T592" s="63"/>
      <c r="U592" s="63"/>
      <c r="V592" s="63"/>
      <c r="W592" s="64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/>
      <c r="AY592" s="63"/>
      <c r="AZ592" s="63"/>
      <c r="BA592" s="63"/>
      <c r="BB592" s="63"/>
      <c r="BC592" s="63"/>
      <c r="BD592" s="63"/>
      <c r="BE592" s="63"/>
      <c r="BF592" s="63"/>
      <c r="BG592" s="63"/>
      <c r="BH592" s="63"/>
      <c r="BI592" s="63"/>
      <c r="BJ592" s="63"/>
      <c r="BK592" s="63"/>
      <c r="BL592" s="63"/>
      <c r="BM592" s="63"/>
      <c r="BN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4"/>
      <c r="L593" s="65"/>
      <c r="M593" s="63"/>
      <c r="N593" s="63"/>
      <c r="O593" s="63"/>
      <c r="P593" s="63"/>
      <c r="Q593" s="63"/>
      <c r="R593" s="65"/>
      <c r="S593" s="63"/>
      <c r="T593" s="63"/>
      <c r="U593" s="63"/>
      <c r="V593" s="63"/>
      <c r="W593" s="64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3"/>
      <c r="AX593" s="63"/>
      <c r="AY593" s="63"/>
      <c r="AZ593" s="63"/>
      <c r="BA593" s="63"/>
      <c r="BB593" s="63"/>
      <c r="BC593" s="63"/>
      <c r="BD593" s="63"/>
      <c r="BE593" s="63"/>
      <c r="BF593" s="63"/>
      <c r="BG593" s="63"/>
      <c r="BH593" s="63"/>
      <c r="BI593" s="63"/>
      <c r="BJ593" s="63"/>
      <c r="BK593" s="63"/>
      <c r="BL593" s="63"/>
      <c r="BM593" s="63"/>
      <c r="BN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4"/>
      <c r="L594" s="65"/>
      <c r="M594" s="63"/>
      <c r="N594" s="63"/>
      <c r="O594" s="63"/>
      <c r="P594" s="63"/>
      <c r="Q594" s="63"/>
      <c r="R594" s="65"/>
      <c r="S594" s="63"/>
      <c r="T594" s="63"/>
      <c r="U594" s="63"/>
      <c r="V594" s="63"/>
      <c r="W594" s="64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/>
      <c r="AY594" s="63"/>
      <c r="AZ594" s="63"/>
      <c r="BA594" s="63"/>
      <c r="BB594" s="63"/>
      <c r="BC594" s="63"/>
      <c r="BD594" s="63"/>
      <c r="BE594" s="63"/>
      <c r="BF594" s="63"/>
      <c r="BG594" s="63"/>
      <c r="BH594" s="63"/>
      <c r="BI594" s="63"/>
      <c r="BJ594" s="63"/>
      <c r="BK594" s="63"/>
      <c r="BL594" s="63"/>
      <c r="BM594" s="63"/>
      <c r="BN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4"/>
      <c r="L595" s="65"/>
      <c r="M595" s="63"/>
      <c r="N595" s="63"/>
      <c r="O595" s="63"/>
      <c r="P595" s="63"/>
      <c r="Q595" s="63"/>
      <c r="R595" s="65"/>
      <c r="S595" s="63"/>
      <c r="T595" s="63"/>
      <c r="U595" s="63"/>
      <c r="V595" s="63"/>
      <c r="W595" s="64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3"/>
      <c r="BB595" s="63"/>
      <c r="BC595" s="63"/>
      <c r="BD595" s="63"/>
      <c r="BE595" s="63"/>
      <c r="BF595" s="63"/>
      <c r="BG595" s="63"/>
      <c r="BH595" s="63"/>
      <c r="BI595" s="63"/>
      <c r="BJ595" s="63"/>
      <c r="BK595" s="63"/>
      <c r="BL595" s="63"/>
      <c r="BM595" s="63"/>
      <c r="BN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4"/>
      <c r="L596" s="65"/>
      <c r="M596" s="63"/>
      <c r="N596" s="63"/>
      <c r="O596" s="63"/>
      <c r="P596" s="63"/>
      <c r="Q596" s="63"/>
      <c r="R596" s="65"/>
      <c r="S596" s="63"/>
      <c r="T596" s="63"/>
      <c r="U596" s="63"/>
      <c r="V596" s="63"/>
      <c r="W596" s="64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3"/>
      <c r="BB596" s="63"/>
      <c r="BC596" s="63"/>
      <c r="BD596" s="63"/>
      <c r="BE596" s="63"/>
      <c r="BF596" s="63"/>
      <c r="BG596" s="63"/>
      <c r="BH596" s="63"/>
      <c r="BI596" s="63"/>
      <c r="BJ596" s="63"/>
      <c r="BK596" s="63"/>
      <c r="BL596" s="63"/>
      <c r="BM596" s="63"/>
      <c r="BN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4"/>
      <c r="L597" s="65"/>
      <c r="M597" s="63"/>
      <c r="N597" s="63"/>
      <c r="O597" s="63"/>
      <c r="P597" s="63"/>
      <c r="Q597" s="63"/>
      <c r="R597" s="65"/>
      <c r="S597" s="63"/>
      <c r="T597" s="63"/>
      <c r="U597" s="63"/>
      <c r="V597" s="63"/>
      <c r="W597" s="64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  <c r="BC597" s="63"/>
      <c r="BD597" s="63"/>
      <c r="BE597" s="63"/>
      <c r="BF597" s="63"/>
      <c r="BG597" s="63"/>
      <c r="BH597" s="63"/>
      <c r="BI597" s="63"/>
      <c r="BJ597" s="63"/>
      <c r="BK597" s="63"/>
      <c r="BL597" s="63"/>
      <c r="BM597" s="63"/>
      <c r="BN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4"/>
      <c r="L598" s="65"/>
      <c r="M598" s="63"/>
      <c r="N598" s="63"/>
      <c r="O598" s="63"/>
      <c r="P598" s="63"/>
      <c r="Q598" s="63"/>
      <c r="R598" s="65"/>
      <c r="S598" s="63"/>
      <c r="T598" s="63"/>
      <c r="U598" s="63"/>
      <c r="V598" s="63"/>
      <c r="W598" s="64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  <c r="BC598" s="63"/>
      <c r="BD598" s="63"/>
      <c r="BE598" s="63"/>
      <c r="BF598" s="63"/>
      <c r="BG598" s="63"/>
      <c r="BH598" s="63"/>
      <c r="BI598" s="63"/>
      <c r="BJ598" s="63"/>
      <c r="BK598" s="63"/>
      <c r="BL598" s="63"/>
      <c r="BM598" s="63"/>
      <c r="BN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4"/>
      <c r="L599" s="65"/>
      <c r="M599" s="63"/>
      <c r="N599" s="63"/>
      <c r="O599" s="63"/>
      <c r="P599" s="63"/>
      <c r="Q599" s="63"/>
      <c r="R599" s="65"/>
      <c r="S599" s="63"/>
      <c r="T599" s="63"/>
      <c r="U599" s="63"/>
      <c r="V599" s="63"/>
      <c r="W599" s="64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/>
      <c r="AY599" s="63"/>
      <c r="AZ599" s="63"/>
      <c r="BA599" s="63"/>
      <c r="BB599" s="63"/>
      <c r="BC599" s="63"/>
      <c r="BD599" s="63"/>
      <c r="BE599" s="63"/>
      <c r="BF599" s="63"/>
      <c r="BG599" s="63"/>
      <c r="BH599" s="63"/>
      <c r="BI599" s="63"/>
      <c r="BJ599" s="63"/>
      <c r="BK599" s="63"/>
      <c r="BL599" s="63"/>
      <c r="BM599" s="63"/>
      <c r="BN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4"/>
      <c r="L600" s="65"/>
      <c r="M600" s="63"/>
      <c r="N600" s="63"/>
      <c r="O600" s="63"/>
      <c r="P600" s="63"/>
      <c r="Q600" s="63"/>
      <c r="R600" s="65"/>
      <c r="S600" s="63"/>
      <c r="T600" s="63"/>
      <c r="U600" s="63"/>
      <c r="V600" s="63"/>
      <c r="W600" s="64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3"/>
      <c r="AX600" s="63"/>
      <c r="AY600" s="63"/>
      <c r="AZ600" s="63"/>
      <c r="BA600" s="63"/>
      <c r="BB600" s="63"/>
      <c r="BC600" s="63"/>
      <c r="BD600" s="63"/>
      <c r="BE600" s="63"/>
      <c r="BF600" s="63"/>
      <c r="BG600" s="63"/>
      <c r="BH600" s="63"/>
      <c r="BI600" s="63"/>
      <c r="BJ600" s="63"/>
      <c r="BK600" s="63"/>
      <c r="BL600" s="63"/>
      <c r="BM600" s="63"/>
      <c r="BN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4"/>
      <c r="L601" s="65"/>
      <c r="M601" s="63"/>
      <c r="N601" s="63"/>
      <c r="O601" s="63"/>
      <c r="P601" s="63"/>
      <c r="Q601" s="63"/>
      <c r="R601" s="65"/>
      <c r="S601" s="63"/>
      <c r="T601" s="63"/>
      <c r="U601" s="63"/>
      <c r="V601" s="63"/>
      <c r="W601" s="64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/>
      <c r="AY601" s="63"/>
      <c r="AZ601" s="63"/>
      <c r="BA601" s="63"/>
      <c r="BB601" s="63"/>
      <c r="BC601" s="63"/>
      <c r="BD601" s="63"/>
      <c r="BE601" s="63"/>
      <c r="BF601" s="63"/>
      <c r="BG601" s="63"/>
      <c r="BH601" s="63"/>
      <c r="BI601" s="63"/>
      <c r="BJ601" s="63"/>
      <c r="BK601" s="63"/>
      <c r="BL601" s="63"/>
      <c r="BM601" s="63"/>
      <c r="BN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4"/>
      <c r="L602" s="65"/>
      <c r="M602" s="63"/>
      <c r="N602" s="63"/>
      <c r="O602" s="63"/>
      <c r="P602" s="63"/>
      <c r="Q602" s="63"/>
      <c r="R602" s="65"/>
      <c r="S602" s="63"/>
      <c r="T602" s="63"/>
      <c r="U602" s="63"/>
      <c r="V602" s="63"/>
      <c r="W602" s="64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AW602" s="63"/>
      <c r="AX602" s="63"/>
      <c r="AY602" s="63"/>
      <c r="AZ602" s="63"/>
      <c r="BA602" s="63"/>
      <c r="BB602" s="63"/>
      <c r="BC602" s="63"/>
      <c r="BD602" s="63"/>
      <c r="BE602" s="63"/>
      <c r="BF602" s="63"/>
      <c r="BG602" s="63"/>
      <c r="BH602" s="63"/>
      <c r="BI602" s="63"/>
      <c r="BJ602" s="63"/>
      <c r="BK602" s="63"/>
      <c r="BL602" s="63"/>
      <c r="BM602" s="63"/>
      <c r="BN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4"/>
      <c r="L603" s="65"/>
      <c r="M603" s="63"/>
      <c r="N603" s="63"/>
      <c r="O603" s="63"/>
      <c r="P603" s="63"/>
      <c r="Q603" s="63"/>
      <c r="R603" s="65"/>
      <c r="S603" s="63"/>
      <c r="T603" s="63"/>
      <c r="U603" s="63"/>
      <c r="V603" s="63"/>
      <c r="W603" s="64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AW603" s="63"/>
      <c r="AX603" s="63"/>
      <c r="AY603" s="63"/>
      <c r="AZ603" s="63"/>
      <c r="BA603" s="63"/>
      <c r="BB603" s="63"/>
      <c r="BC603" s="63"/>
      <c r="BD603" s="63"/>
      <c r="BE603" s="63"/>
      <c r="BF603" s="63"/>
      <c r="BG603" s="63"/>
      <c r="BH603" s="63"/>
      <c r="BI603" s="63"/>
      <c r="BJ603" s="63"/>
      <c r="BK603" s="63"/>
      <c r="BL603" s="63"/>
      <c r="BM603" s="63"/>
      <c r="BN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4"/>
      <c r="L604" s="65"/>
      <c r="M604" s="63"/>
      <c r="N604" s="63"/>
      <c r="O604" s="63"/>
      <c r="P604" s="63"/>
      <c r="Q604" s="63"/>
      <c r="R604" s="65"/>
      <c r="S604" s="63"/>
      <c r="T604" s="63"/>
      <c r="U604" s="63"/>
      <c r="V604" s="63"/>
      <c r="W604" s="64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3"/>
      <c r="AX604" s="63"/>
      <c r="AY604" s="63"/>
      <c r="AZ604" s="63"/>
      <c r="BA604" s="63"/>
      <c r="BB604" s="63"/>
      <c r="BC604" s="63"/>
      <c r="BD604" s="63"/>
      <c r="BE604" s="63"/>
      <c r="BF604" s="63"/>
      <c r="BG604" s="63"/>
      <c r="BH604" s="63"/>
      <c r="BI604" s="63"/>
      <c r="BJ604" s="63"/>
      <c r="BK604" s="63"/>
      <c r="BL604" s="63"/>
      <c r="BM604" s="63"/>
      <c r="BN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4"/>
      <c r="L605" s="65"/>
      <c r="M605" s="63"/>
      <c r="N605" s="63"/>
      <c r="O605" s="63"/>
      <c r="P605" s="63"/>
      <c r="Q605" s="63"/>
      <c r="R605" s="65"/>
      <c r="S605" s="63"/>
      <c r="T605" s="63"/>
      <c r="U605" s="63"/>
      <c r="V605" s="63"/>
      <c r="W605" s="64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3"/>
      <c r="AX605" s="63"/>
      <c r="AY605" s="63"/>
      <c r="AZ605" s="63"/>
      <c r="BA605" s="63"/>
      <c r="BB605" s="63"/>
      <c r="BC605" s="63"/>
      <c r="BD605" s="63"/>
      <c r="BE605" s="63"/>
      <c r="BF605" s="63"/>
      <c r="BG605" s="63"/>
      <c r="BH605" s="63"/>
      <c r="BI605" s="63"/>
      <c r="BJ605" s="63"/>
      <c r="BK605" s="63"/>
      <c r="BL605" s="63"/>
      <c r="BM605" s="63"/>
      <c r="BN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4"/>
      <c r="L606" s="65"/>
      <c r="M606" s="63"/>
      <c r="N606" s="63"/>
      <c r="O606" s="63"/>
      <c r="P606" s="63"/>
      <c r="Q606" s="63"/>
      <c r="R606" s="65"/>
      <c r="S606" s="63"/>
      <c r="T606" s="63"/>
      <c r="U606" s="63"/>
      <c r="V606" s="63"/>
      <c r="W606" s="64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3"/>
      <c r="AX606" s="63"/>
      <c r="AY606" s="63"/>
      <c r="AZ606" s="63"/>
      <c r="BA606" s="63"/>
      <c r="BB606" s="63"/>
      <c r="BC606" s="63"/>
      <c r="BD606" s="63"/>
      <c r="BE606" s="63"/>
      <c r="BF606" s="63"/>
      <c r="BG606" s="63"/>
      <c r="BH606" s="63"/>
      <c r="BI606" s="63"/>
      <c r="BJ606" s="63"/>
      <c r="BK606" s="63"/>
      <c r="BL606" s="63"/>
      <c r="BM606" s="63"/>
      <c r="BN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4"/>
      <c r="L607" s="65"/>
      <c r="M607" s="63"/>
      <c r="N607" s="63"/>
      <c r="O607" s="63"/>
      <c r="P607" s="63"/>
      <c r="Q607" s="63"/>
      <c r="R607" s="65"/>
      <c r="S607" s="63"/>
      <c r="T607" s="63"/>
      <c r="U607" s="63"/>
      <c r="V607" s="63"/>
      <c r="W607" s="64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3"/>
      <c r="AX607" s="63"/>
      <c r="AY607" s="63"/>
      <c r="AZ607" s="63"/>
      <c r="BA607" s="63"/>
      <c r="BB607" s="63"/>
      <c r="BC607" s="63"/>
      <c r="BD607" s="63"/>
      <c r="BE607" s="63"/>
      <c r="BF607" s="63"/>
      <c r="BG607" s="63"/>
      <c r="BH607" s="63"/>
      <c r="BI607" s="63"/>
      <c r="BJ607" s="63"/>
      <c r="BK607" s="63"/>
      <c r="BL607" s="63"/>
      <c r="BM607" s="63"/>
      <c r="BN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4"/>
      <c r="L608" s="65"/>
      <c r="M608" s="63"/>
      <c r="N608" s="63"/>
      <c r="O608" s="63"/>
      <c r="P608" s="63"/>
      <c r="Q608" s="63"/>
      <c r="R608" s="65"/>
      <c r="S608" s="63"/>
      <c r="T608" s="63"/>
      <c r="U608" s="63"/>
      <c r="V608" s="63"/>
      <c r="W608" s="64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AW608" s="63"/>
      <c r="AX608" s="63"/>
      <c r="AY608" s="63"/>
      <c r="AZ608" s="63"/>
      <c r="BA608" s="63"/>
      <c r="BB608" s="63"/>
      <c r="BC608" s="63"/>
      <c r="BD608" s="63"/>
      <c r="BE608" s="63"/>
      <c r="BF608" s="63"/>
      <c r="BG608" s="63"/>
      <c r="BH608" s="63"/>
      <c r="BI608" s="63"/>
      <c r="BJ608" s="63"/>
      <c r="BK608" s="63"/>
      <c r="BL608" s="63"/>
      <c r="BM608" s="63"/>
      <c r="BN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4"/>
      <c r="L609" s="65"/>
      <c r="M609" s="63"/>
      <c r="N609" s="63"/>
      <c r="O609" s="63"/>
      <c r="P609" s="63"/>
      <c r="Q609" s="63"/>
      <c r="R609" s="65"/>
      <c r="S609" s="63"/>
      <c r="T609" s="63"/>
      <c r="U609" s="63"/>
      <c r="V609" s="63"/>
      <c r="W609" s="64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3"/>
      <c r="AX609" s="63"/>
      <c r="AY609" s="63"/>
      <c r="AZ609" s="63"/>
      <c r="BA609" s="63"/>
      <c r="BB609" s="63"/>
      <c r="BC609" s="63"/>
      <c r="BD609" s="63"/>
      <c r="BE609" s="63"/>
      <c r="BF609" s="63"/>
      <c r="BG609" s="63"/>
      <c r="BH609" s="63"/>
      <c r="BI609" s="63"/>
      <c r="BJ609" s="63"/>
      <c r="BK609" s="63"/>
      <c r="BL609" s="63"/>
      <c r="BM609" s="63"/>
      <c r="BN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4"/>
      <c r="L610" s="65"/>
      <c r="M610" s="63"/>
      <c r="N610" s="63"/>
      <c r="O610" s="63"/>
      <c r="P610" s="63"/>
      <c r="Q610" s="63"/>
      <c r="R610" s="65"/>
      <c r="S610" s="63"/>
      <c r="T610" s="63"/>
      <c r="U610" s="63"/>
      <c r="V610" s="63"/>
      <c r="W610" s="64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AW610" s="63"/>
      <c r="AX610" s="63"/>
      <c r="AY610" s="63"/>
      <c r="AZ610" s="63"/>
      <c r="BA610" s="63"/>
      <c r="BB610" s="63"/>
      <c r="BC610" s="63"/>
      <c r="BD610" s="63"/>
      <c r="BE610" s="63"/>
      <c r="BF610" s="63"/>
      <c r="BG610" s="63"/>
      <c r="BH610" s="63"/>
      <c r="BI610" s="63"/>
      <c r="BJ610" s="63"/>
      <c r="BK610" s="63"/>
      <c r="BL610" s="63"/>
      <c r="BM610" s="63"/>
      <c r="BN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4"/>
      <c r="L611" s="65"/>
      <c r="M611" s="63"/>
      <c r="N611" s="63"/>
      <c r="O611" s="63"/>
      <c r="P611" s="63"/>
      <c r="Q611" s="63"/>
      <c r="R611" s="65"/>
      <c r="S611" s="63"/>
      <c r="T611" s="63"/>
      <c r="U611" s="63"/>
      <c r="V611" s="63"/>
      <c r="W611" s="64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3"/>
      <c r="AX611" s="63"/>
      <c r="AY611" s="63"/>
      <c r="AZ611" s="63"/>
      <c r="BA611" s="63"/>
      <c r="BB611" s="63"/>
      <c r="BC611" s="63"/>
      <c r="BD611" s="63"/>
      <c r="BE611" s="63"/>
      <c r="BF611" s="63"/>
      <c r="BG611" s="63"/>
      <c r="BH611" s="63"/>
      <c r="BI611" s="63"/>
      <c r="BJ611" s="63"/>
      <c r="BK611" s="63"/>
      <c r="BL611" s="63"/>
      <c r="BM611" s="63"/>
      <c r="BN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4"/>
      <c r="L612" s="65"/>
      <c r="M612" s="63"/>
      <c r="N612" s="63"/>
      <c r="O612" s="63"/>
      <c r="P612" s="63"/>
      <c r="Q612" s="63"/>
      <c r="R612" s="65"/>
      <c r="S612" s="63"/>
      <c r="T612" s="63"/>
      <c r="U612" s="63"/>
      <c r="V612" s="63"/>
      <c r="W612" s="64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3"/>
      <c r="AX612" s="63"/>
      <c r="AY612" s="63"/>
      <c r="AZ612" s="63"/>
      <c r="BA612" s="63"/>
      <c r="BB612" s="63"/>
      <c r="BC612" s="63"/>
      <c r="BD612" s="63"/>
      <c r="BE612" s="63"/>
      <c r="BF612" s="63"/>
      <c r="BG612" s="63"/>
      <c r="BH612" s="63"/>
      <c r="BI612" s="63"/>
      <c r="BJ612" s="63"/>
      <c r="BK612" s="63"/>
      <c r="BL612" s="63"/>
      <c r="BM612" s="63"/>
      <c r="BN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4"/>
      <c r="L613" s="65"/>
      <c r="M613" s="63"/>
      <c r="N613" s="63"/>
      <c r="O613" s="63"/>
      <c r="P613" s="63"/>
      <c r="Q613" s="63"/>
      <c r="R613" s="65"/>
      <c r="S613" s="63"/>
      <c r="T613" s="63"/>
      <c r="U613" s="63"/>
      <c r="V613" s="63"/>
      <c r="W613" s="64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3"/>
      <c r="AX613" s="63"/>
      <c r="AY613" s="63"/>
      <c r="AZ613" s="63"/>
      <c r="BA613" s="63"/>
      <c r="BB613" s="63"/>
      <c r="BC613" s="63"/>
      <c r="BD613" s="63"/>
      <c r="BE613" s="63"/>
      <c r="BF613" s="63"/>
      <c r="BG613" s="63"/>
      <c r="BH613" s="63"/>
      <c r="BI613" s="63"/>
      <c r="BJ613" s="63"/>
      <c r="BK613" s="63"/>
      <c r="BL613" s="63"/>
      <c r="BM613" s="63"/>
      <c r="BN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4"/>
      <c r="L614" s="65"/>
      <c r="M614" s="63"/>
      <c r="N614" s="63"/>
      <c r="O614" s="63"/>
      <c r="P614" s="63"/>
      <c r="Q614" s="63"/>
      <c r="R614" s="65"/>
      <c r="S614" s="63"/>
      <c r="T614" s="63"/>
      <c r="U614" s="63"/>
      <c r="V614" s="63"/>
      <c r="W614" s="64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3"/>
      <c r="AX614" s="63"/>
      <c r="AY614" s="63"/>
      <c r="AZ614" s="63"/>
      <c r="BA614" s="63"/>
      <c r="BB614" s="63"/>
      <c r="BC614" s="63"/>
      <c r="BD614" s="63"/>
      <c r="BE614" s="63"/>
      <c r="BF614" s="63"/>
      <c r="BG614" s="63"/>
      <c r="BH614" s="63"/>
      <c r="BI614" s="63"/>
      <c r="BJ614" s="63"/>
      <c r="BK614" s="63"/>
      <c r="BL614" s="63"/>
      <c r="BM614" s="63"/>
      <c r="BN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4"/>
      <c r="L615" s="65"/>
      <c r="M615" s="63"/>
      <c r="N615" s="63"/>
      <c r="O615" s="63"/>
      <c r="P615" s="63"/>
      <c r="Q615" s="63"/>
      <c r="R615" s="65"/>
      <c r="S615" s="63"/>
      <c r="T615" s="63"/>
      <c r="U615" s="63"/>
      <c r="V615" s="63"/>
      <c r="W615" s="64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AW615" s="63"/>
      <c r="AX615" s="63"/>
      <c r="AY615" s="63"/>
      <c r="AZ615" s="63"/>
      <c r="BA615" s="63"/>
      <c r="BB615" s="63"/>
      <c r="BC615" s="63"/>
      <c r="BD615" s="63"/>
      <c r="BE615" s="63"/>
      <c r="BF615" s="63"/>
      <c r="BG615" s="63"/>
      <c r="BH615" s="63"/>
      <c r="BI615" s="63"/>
      <c r="BJ615" s="63"/>
      <c r="BK615" s="63"/>
      <c r="BL615" s="63"/>
      <c r="BM615" s="63"/>
      <c r="BN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4"/>
      <c r="L616" s="65"/>
      <c r="M616" s="63"/>
      <c r="N616" s="63"/>
      <c r="O616" s="63"/>
      <c r="P616" s="63"/>
      <c r="Q616" s="63"/>
      <c r="R616" s="65"/>
      <c r="S616" s="63"/>
      <c r="T616" s="63"/>
      <c r="U616" s="63"/>
      <c r="V616" s="63"/>
      <c r="W616" s="64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3"/>
      <c r="AX616" s="63"/>
      <c r="AY616" s="63"/>
      <c r="AZ616" s="63"/>
      <c r="BA616" s="63"/>
      <c r="BB616" s="63"/>
      <c r="BC616" s="63"/>
      <c r="BD616" s="63"/>
      <c r="BE616" s="63"/>
      <c r="BF616" s="63"/>
      <c r="BG616" s="63"/>
      <c r="BH616" s="63"/>
      <c r="BI616" s="63"/>
      <c r="BJ616" s="63"/>
      <c r="BK616" s="63"/>
      <c r="BL616" s="63"/>
      <c r="BM616" s="63"/>
      <c r="BN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4"/>
      <c r="L617" s="65"/>
      <c r="M617" s="63"/>
      <c r="N617" s="63"/>
      <c r="O617" s="63"/>
      <c r="P617" s="63"/>
      <c r="Q617" s="63"/>
      <c r="R617" s="65"/>
      <c r="S617" s="63"/>
      <c r="T617" s="63"/>
      <c r="U617" s="63"/>
      <c r="V617" s="63"/>
      <c r="W617" s="64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3"/>
      <c r="AX617" s="63"/>
      <c r="AY617" s="63"/>
      <c r="AZ617" s="63"/>
      <c r="BA617" s="63"/>
      <c r="BB617" s="63"/>
      <c r="BC617" s="63"/>
      <c r="BD617" s="63"/>
      <c r="BE617" s="63"/>
      <c r="BF617" s="63"/>
      <c r="BG617" s="63"/>
      <c r="BH617" s="63"/>
      <c r="BI617" s="63"/>
      <c r="BJ617" s="63"/>
      <c r="BK617" s="63"/>
      <c r="BL617" s="63"/>
      <c r="BM617" s="63"/>
      <c r="BN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4"/>
      <c r="L618" s="65"/>
      <c r="M618" s="63"/>
      <c r="N618" s="63"/>
      <c r="O618" s="63"/>
      <c r="P618" s="63"/>
      <c r="Q618" s="63"/>
      <c r="R618" s="65"/>
      <c r="S618" s="63"/>
      <c r="T618" s="63"/>
      <c r="U618" s="63"/>
      <c r="V618" s="63"/>
      <c r="W618" s="64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AW618" s="63"/>
      <c r="AX618" s="63"/>
      <c r="AY618" s="63"/>
      <c r="AZ618" s="63"/>
      <c r="BA618" s="63"/>
      <c r="BB618" s="63"/>
      <c r="BC618" s="63"/>
      <c r="BD618" s="63"/>
      <c r="BE618" s="63"/>
      <c r="BF618" s="63"/>
      <c r="BG618" s="63"/>
      <c r="BH618" s="63"/>
      <c r="BI618" s="63"/>
      <c r="BJ618" s="63"/>
      <c r="BK618" s="63"/>
      <c r="BL618" s="63"/>
      <c r="BM618" s="63"/>
      <c r="BN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4"/>
      <c r="L619" s="65"/>
      <c r="M619" s="63"/>
      <c r="N619" s="63"/>
      <c r="O619" s="63"/>
      <c r="P619" s="63"/>
      <c r="Q619" s="63"/>
      <c r="R619" s="65"/>
      <c r="S619" s="63"/>
      <c r="T619" s="63"/>
      <c r="U619" s="63"/>
      <c r="V619" s="63"/>
      <c r="W619" s="64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3"/>
      <c r="AX619" s="63"/>
      <c r="AY619" s="63"/>
      <c r="AZ619" s="63"/>
      <c r="BA619" s="63"/>
      <c r="BB619" s="63"/>
      <c r="BC619" s="63"/>
      <c r="BD619" s="63"/>
      <c r="BE619" s="63"/>
      <c r="BF619" s="63"/>
      <c r="BG619" s="63"/>
      <c r="BH619" s="63"/>
      <c r="BI619" s="63"/>
      <c r="BJ619" s="63"/>
      <c r="BK619" s="63"/>
      <c r="BL619" s="63"/>
      <c r="BM619" s="63"/>
      <c r="BN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4"/>
      <c r="L620" s="65"/>
      <c r="M620" s="63"/>
      <c r="N620" s="63"/>
      <c r="O620" s="63"/>
      <c r="P620" s="63"/>
      <c r="Q620" s="63"/>
      <c r="R620" s="65"/>
      <c r="S620" s="63"/>
      <c r="T620" s="63"/>
      <c r="U620" s="63"/>
      <c r="V620" s="63"/>
      <c r="W620" s="64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AW620" s="63"/>
      <c r="AX620" s="63"/>
      <c r="AY620" s="63"/>
      <c r="AZ620" s="63"/>
      <c r="BA620" s="63"/>
      <c r="BB620" s="63"/>
      <c r="BC620" s="63"/>
      <c r="BD620" s="63"/>
      <c r="BE620" s="63"/>
      <c r="BF620" s="63"/>
      <c r="BG620" s="63"/>
      <c r="BH620" s="63"/>
      <c r="BI620" s="63"/>
      <c r="BJ620" s="63"/>
      <c r="BK620" s="63"/>
      <c r="BL620" s="63"/>
      <c r="BM620" s="63"/>
      <c r="BN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4"/>
      <c r="L621" s="65"/>
      <c r="M621" s="63"/>
      <c r="N621" s="63"/>
      <c r="O621" s="63"/>
      <c r="P621" s="63"/>
      <c r="Q621" s="63"/>
      <c r="R621" s="65"/>
      <c r="S621" s="63"/>
      <c r="T621" s="63"/>
      <c r="U621" s="63"/>
      <c r="V621" s="63"/>
      <c r="W621" s="64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3"/>
      <c r="AX621" s="63"/>
      <c r="AY621" s="63"/>
      <c r="AZ621" s="63"/>
      <c r="BA621" s="63"/>
      <c r="BB621" s="63"/>
      <c r="BC621" s="63"/>
      <c r="BD621" s="63"/>
      <c r="BE621" s="63"/>
      <c r="BF621" s="63"/>
      <c r="BG621" s="63"/>
      <c r="BH621" s="63"/>
      <c r="BI621" s="63"/>
      <c r="BJ621" s="63"/>
      <c r="BK621" s="63"/>
      <c r="BL621" s="63"/>
      <c r="BM621" s="63"/>
      <c r="BN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4"/>
      <c r="L622" s="65"/>
      <c r="M622" s="63"/>
      <c r="N622" s="63"/>
      <c r="O622" s="63"/>
      <c r="P622" s="63"/>
      <c r="Q622" s="63"/>
      <c r="R622" s="65"/>
      <c r="S622" s="63"/>
      <c r="T622" s="63"/>
      <c r="U622" s="63"/>
      <c r="V622" s="63"/>
      <c r="W622" s="64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3"/>
      <c r="AX622" s="63"/>
      <c r="AY622" s="63"/>
      <c r="AZ622" s="63"/>
      <c r="BA622" s="63"/>
      <c r="BB622" s="63"/>
      <c r="BC622" s="63"/>
      <c r="BD622" s="63"/>
      <c r="BE622" s="63"/>
      <c r="BF622" s="63"/>
      <c r="BG622" s="63"/>
      <c r="BH622" s="63"/>
      <c r="BI622" s="63"/>
      <c r="BJ622" s="63"/>
      <c r="BK622" s="63"/>
      <c r="BL622" s="63"/>
      <c r="BM622" s="63"/>
      <c r="BN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4"/>
      <c r="L623" s="65"/>
      <c r="M623" s="63"/>
      <c r="N623" s="63"/>
      <c r="O623" s="63"/>
      <c r="P623" s="63"/>
      <c r="Q623" s="63"/>
      <c r="R623" s="65"/>
      <c r="S623" s="63"/>
      <c r="T623" s="63"/>
      <c r="U623" s="63"/>
      <c r="V623" s="63"/>
      <c r="W623" s="64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3"/>
      <c r="AX623" s="63"/>
      <c r="AY623" s="63"/>
      <c r="AZ623" s="63"/>
      <c r="BA623" s="63"/>
      <c r="BB623" s="63"/>
      <c r="BC623" s="63"/>
      <c r="BD623" s="63"/>
      <c r="BE623" s="63"/>
      <c r="BF623" s="63"/>
      <c r="BG623" s="63"/>
      <c r="BH623" s="63"/>
      <c r="BI623" s="63"/>
      <c r="BJ623" s="63"/>
      <c r="BK623" s="63"/>
      <c r="BL623" s="63"/>
      <c r="BM623" s="63"/>
      <c r="BN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4"/>
      <c r="L624" s="65"/>
      <c r="M624" s="63"/>
      <c r="N624" s="63"/>
      <c r="O624" s="63"/>
      <c r="P624" s="63"/>
      <c r="Q624" s="63"/>
      <c r="R624" s="65"/>
      <c r="S624" s="63"/>
      <c r="T624" s="63"/>
      <c r="U624" s="63"/>
      <c r="V624" s="63"/>
      <c r="W624" s="64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3"/>
      <c r="AX624" s="63"/>
      <c r="AY624" s="63"/>
      <c r="AZ624" s="63"/>
      <c r="BA624" s="63"/>
      <c r="BB624" s="63"/>
      <c r="BC624" s="63"/>
      <c r="BD624" s="63"/>
      <c r="BE624" s="63"/>
      <c r="BF624" s="63"/>
      <c r="BG624" s="63"/>
      <c r="BH624" s="63"/>
      <c r="BI624" s="63"/>
      <c r="BJ624" s="63"/>
      <c r="BK624" s="63"/>
      <c r="BL624" s="63"/>
      <c r="BM624" s="63"/>
      <c r="BN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4"/>
      <c r="L625" s="65"/>
      <c r="M625" s="63"/>
      <c r="N625" s="63"/>
      <c r="O625" s="63"/>
      <c r="P625" s="63"/>
      <c r="Q625" s="63"/>
      <c r="R625" s="65"/>
      <c r="S625" s="63"/>
      <c r="T625" s="63"/>
      <c r="U625" s="63"/>
      <c r="V625" s="63"/>
      <c r="W625" s="64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3"/>
      <c r="AX625" s="63"/>
      <c r="AY625" s="63"/>
      <c r="AZ625" s="63"/>
      <c r="BA625" s="63"/>
      <c r="BB625" s="63"/>
      <c r="BC625" s="63"/>
      <c r="BD625" s="63"/>
      <c r="BE625" s="63"/>
      <c r="BF625" s="63"/>
      <c r="BG625" s="63"/>
      <c r="BH625" s="63"/>
      <c r="BI625" s="63"/>
      <c r="BJ625" s="63"/>
      <c r="BK625" s="63"/>
      <c r="BL625" s="63"/>
      <c r="BM625" s="63"/>
      <c r="BN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4"/>
      <c r="L626" s="65"/>
      <c r="M626" s="63"/>
      <c r="N626" s="63"/>
      <c r="O626" s="63"/>
      <c r="P626" s="63"/>
      <c r="Q626" s="63"/>
      <c r="R626" s="65"/>
      <c r="S626" s="63"/>
      <c r="T626" s="63"/>
      <c r="U626" s="63"/>
      <c r="V626" s="63"/>
      <c r="W626" s="64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3"/>
      <c r="AX626" s="63"/>
      <c r="AY626" s="63"/>
      <c r="AZ626" s="63"/>
      <c r="BA626" s="63"/>
      <c r="BB626" s="63"/>
      <c r="BC626" s="63"/>
      <c r="BD626" s="63"/>
      <c r="BE626" s="63"/>
      <c r="BF626" s="63"/>
      <c r="BG626" s="63"/>
      <c r="BH626" s="63"/>
      <c r="BI626" s="63"/>
      <c r="BJ626" s="63"/>
      <c r="BK626" s="63"/>
      <c r="BL626" s="63"/>
      <c r="BM626" s="63"/>
      <c r="BN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4"/>
      <c r="L627" s="65"/>
      <c r="M627" s="63"/>
      <c r="N627" s="63"/>
      <c r="O627" s="63"/>
      <c r="P627" s="63"/>
      <c r="Q627" s="63"/>
      <c r="R627" s="65"/>
      <c r="S627" s="63"/>
      <c r="T627" s="63"/>
      <c r="U627" s="63"/>
      <c r="V627" s="63"/>
      <c r="W627" s="64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3"/>
      <c r="AX627" s="63"/>
      <c r="AY627" s="63"/>
      <c r="AZ627" s="63"/>
      <c r="BA627" s="63"/>
      <c r="BB627" s="63"/>
      <c r="BC627" s="63"/>
      <c r="BD627" s="63"/>
      <c r="BE627" s="63"/>
      <c r="BF627" s="63"/>
      <c r="BG627" s="63"/>
      <c r="BH627" s="63"/>
      <c r="BI627" s="63"/>
      <c r="BJ627" s="63"/>
      <c r="BK627" s="63"/>
      <c r="BL627" s="63"/>
      <c r="BM627" s="63"/>
      <c r="BN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4"/>
      <c r="L628" s="65"/>
      <c r="M628" s="63"/>
      <c r="N628" s="63"/>
      <c r="O628" s="63"/>
      <c r="P628" s="63"/>
      <c r="Q628" s="63"/>
      <c r="R628" s="65"/>
      <c r="S628" s="63"/>
      <c r="T628" s="63"/>
      <c r="U628" s="63"/>
      <c r="V628" s="63"/>
      <c r="W628" s="64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3"/>
      <c r="AX628" s="63"/>
      <c r="AY628" s="63"/>
      <c r="AZ628" s="63"/>
      <c r="BA628" s="63"/>
      <c r="BB628" s="63"/>
      <c r="BC628" s="63"/>
      <c r="BD628" s="63"/>
      <c r="BE628" s="63"/>
      <c r="BF628" s="63"/>
      <c r="BG628" s="63"/>
      <c r="BH628" s="63"/>
      <c r="BI628" s="63"/>
      <c r="BJ628" s="63"/>
      <c r="BK628" s="63"/>
      <c r="BL628" s="63"/>
      <c r="BM628" s="63"/>
      <c r="BN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4"/>
      <c r="L629" s="65"/>
      <c r="M629" s="63"/>
      <c r="N629" s="63"/>
      <c r="O629" s="63"/>
      <c r="P629" s="63"/>
      <c r="Q629" s="63"/>
      <c r="R629" s="65"/>
      <c r="S629" s="63"/>
      <c r="T629" s="63"/>
      <c r="U629" s="63"/>
      <c r="V629" s="63"/>
      <c r="W629" s="64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3"/>
      <c r="AX629" s="63"/>
      <c r="AY629" s="63"/>
      <c r="AZ629" s="63"/>
      <c r="BA629" s="63"/>
      <c r="BB629" s="63"/>
      <c r="BC629" s="63"/>
      <c r="BD629" s="63"/>
      <c r="BE629" s="63"/>
      <c r="BF629" s="63"/>
      <c r="BG629" s="63"/>
      <c r="BH629" s="63"/>
      <c r="BI629" s="63"/>
      <c r="BJ629" s="63"/>
      <c r="BK629" s="63"/>
      <c r="BL629" s="63"/>
      <c r="BM629" s="63"/>
      <c r="BN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4"/>
      <c r="L630" s="65"/>
      <c r="M630" s="63"/>
      <c r="N630" s="63"/>
      <c r="O630" s="63"/>
      <c r="P630" s="63"/>
      <c r="Q630" s="63"/>
      <c r="R630" s="65"/>
      <c r="S630" s="63"/>
      <c r="T630" s="63"/>
      <c r="U630" s="63"/>
      <c r="V630" s="63"/>
      <c r="W630" s="64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3"/>
      <c r="AX630" s="63"/>
      <c r="AY630" s="63"/>
      <c r="AZ630" s="63"/>
      <c r="BA630" s="63"/>
      <c r="BB630" s="63"/>
      <c r="BC630" s="63"/>
      <c r="BD630" s="63"/>
      <c r="BE630" s="63"/>
      <c r="BF630" s="63"/>
      <c r="BG630" s="63"/>
      <c r="BH630" s="63"/>
      <c r="BI630" s="63"/>
      <c r="BJ630" s="63"/>
      <c r="BK630" s="63"/>
      <c r="BL630" s="63"/>
      <c r="BM630" s="63"/>
      <c r="BN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4"/>
      <c r="L631" s="65"/>
      <c r="M631" s="63"/>
      <c r="N631" s="63"/>
      <c r="O631" s="63"/>
      <c r="P631" s="63"/>
      <c r="Q631" s="63"/>
      <c r="R631" s="65"/>
      <c r="S631" s="63"/>
      <c r="T631" s="63"/>
      <c r="U631" s="63"/>
      <c r="V631" s="63"/>
      <c r="W631" s="64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3"/>
      <c r="AX631" s="63"/>
      <c r="AY631" s="63"/>
      <c r="AZ631" s="63"/>
      <c r="BA631" s="63"/>
      <c r="BB631" s="63"/>
      <c r="BC631" s="63"/>
      <c r="BD631" s="63"/>
      <c r="BE631" s="63"/>
      <c r="BF631" s="63"/>
      <c r="BG631" s="63"/>
      <c r="BH631" s="63"/>
      <c r="BI631" s="63"/>
      <c r="BJ631" s="63"/>
      <c r="BK631" s="63"/>
      <c r="BL631" s="63"/>
      <c r="BM631" s="63"/>
      <c r="BN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4"/>
      <c r="L632" s="65"/>
      <c r="M632" s="63"/>
      <c r="N632" s="63"/>
      <c r="O632" s="63"/>
      <c r="P632" s="63"/>
      <c r="Q632" s="63"/>
      <c r="R632" s="65"/>
      <c r="S632" s="63"/>
      <c r="T632" s="63"/>
      <c r="U632" s="63"/>
      <c r="V632" s="63"/>
      <c r="W632" s="64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AW632" s="63"/>
      <c r="AX632" s="63"/>
      <c r="AY632" s="63"/>
      <c r="AZ632" s="63"/>
      <c r="BA632" s="63"/>
      <c r="BB632" s="63"/>
      <c r="BC632" s="63"/>
      <c r="BD632" s="63"/>
      <c r="BE632" s="63"/>
      <c r="BF632" s="63"/>
      <c r="BG632" s="63"/>
      <c r="BH632" s="63"/>
      <c r="BI632" s="63"/>
      <c r="BJ632" s="63"/>
      <c r="BK632" s="63"/>
      <c r="BL632" s="63"/>
      <c r="BM632" s="63"/>
      <c r="BN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4"/>
      <c r="L633" s="65"/>
      <c r="M633" s="63"/>
      <c r="N633" s="63"/>
      <c r="O633" s="63"/>
      <c r="P633" s="63"/>
      <c r="Q633" s="63"/>
      <c r="R633" s="65"/>
      <c r="S633" s="63"/>
      <c r="T633" s="63"/>
      <c r="U633" s="63"/>
      <c r="V633" s="63"/>
      <c r="W633" s="64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3"/>
      <c r="AX633" s="63"/>
      <c r="AY633" s="63"/>
      <c r="AZ633" s="63"/>
      <c r="BA633" s="63"/>
      <c r="BB633" s="63"/>
      <c r="BC633" s="63"/>
      <c r="BD633" s="63"/>
      <c r="BE633" s="63"/>
      <c r="BF633" s="63"/>
      <c r="BG633" s="63"/>
      <c r="BH633" s="63"/>
      <c r="BI633" s="63"/>
      <c r="BJ633" s="63"/>
      <c r="BK633" s="63"/>
      <c r="BL633" s="63"/>
      <c r="BM633" s="63"/>
      <c r="BN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4"/>
      <c r="L634" s="65"/>
      <c r="M634" s="63"/>
      <c r="N634" s="63"/>
      <c r="O634" s="63"/>
      <c r="P634" s="63"/>
      <c r="Q634" s="63"/>
      <c r="R634" s="65"/>
      <c r="S634" s="63"/>
      <c r="T634" s="63"/>
      <c r="U634" s="63"/>
      <c r="V634" s="63"/>
      <c r="W634" s="64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3"/>
      <c r="AX634" s="63"/>
      <c r="AY634" s="63"/>
      <c r="AZ634" s="63"/>
      <c r="BA634" s="63"/>
      <c r="BB634" s="63"/>
      <c r="BC634" s="63"/>
      <c r="BD634" s="63"/>
      <c r="BE634" s="63"/>
      <c r="BF634" s="63"/>
      <c r="BG634" s="63"/>
      <c r="BH634" s="63"/>
      <c r="BI634" s="63"/>
      <c r="BJ634" s="63"/>
      <c r="BK634" s="63"/>
      <c r="BL634" s="63"/>
      <c r="BM634" s="63"/>
      <c r="BN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4"/>
      <c r="L635" s="65"/>
      <c r="M635" s="63"/>
      <c r="N635" s="63"/>
      <c r="O635" s="63"/>
      <c r="P635" s="63"/>
      <c r="Q635" s="63"/>
      <c r="R635" s="65"/>
      <c r="S635" s="63"/>
      <c r="T635" s="63"/>
      <c r="U635" s="63"/>
      <c r="V635" s="63"/>
      <c r="W635" s="64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3"/>
      <c r="AX635" s="63"/>
      <c r="AY635" s="63"/>
      <c r="AZ635" s="63"/>
      <c r="BA635" s="63"/>
      <c r="BB635" s="63"/>
      <c r="BC635" s="63"/>
      <c r="BD635" s="63"/>
      <c r="BE635" s="63"/>
      <c r="BF635" s="63"/>
      <c r="BG635" s="63"/>
      <c r="BH635" s="63"/>
      <c r="BI635" s="63"/>
      <c r="BJ635" s="63"/>
      <c r="BK635" s="63"/>
      <c r="BL635" s="63"/>
      <c r="BM635" s="63"/>
      <c r="BN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4"/>
      <c r="L636" s="65"/>
      <c r="M636" s="63"/>
      <c r="N636" s="63"/>
      <c r="O636" s="63"/>
      <c r="P636" s="63"/>
      <c r="Q636" s="63"/>
      <c r="R636" s="65"/>
      <c r="S636" s="63"/>
      <c r="T636" s="63"/>
      <c r="U636" s="63"/>
      <c r="V636" s="63"/>
      <c r="W636" s="64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3"/>
      <c r="AX636" s="63"/>
      <c r="AY636" s="63"/>
      <c r="AZ636" s="63"/>
      <c r="BA636" s="63"/>
      <c r="BB636" s="63"/>
      <c r="BC636" s="63"/>
      <c r="BD636" s="63"/>
      <c r="BE636" s="63"/>
      <c r="BF636" s="63"/>
      <c r="BG636" s="63"/>
      <c r="BH636" s="63"/>
      <c r="BI636" s="63"/>
      <c r="BJ636" s="63"/>
      <c r="BK636" s="63"/>
      <c r="BL636" s="63"/>
      <c r="BM636" s="63"/>
      <c r="BN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4"/>
      <c r="L637" s="65"/>
      <c r="M637" s="63"/>
      <c r="N637" s="63"/>
      <c r="O637" s="63"/>
      <c r="P637" s="63"/>
      <c r="Q637" s="63"/>
      <c r="R637" s="65"/>
      <c r="S637" s="63"/>
      <c r="T637" s="63"/>
      <c r="U637" s="63"/>
      <c r="V637" s="63"/>
      <c r="W637" s="64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3"/>
      <c r="AX637" s="63"/>
      <c r="AY637" s="63"/>
      <c r="AZ637" s="63"/>
      <c r="BA637" s="63"/>
      <c r="BB637" s="63"/>
      <c r="BC637" s="63"/>
      <c r="BD637" s="63"/>
      <c r="BE637" s="63"/>
      <c r="BF637" s="63"/>
      <c r="BG637" s="63"/>
      <c r="BH637" s="63"/>
      <c r="BI637" s="63"/>
      <c r="BJ637" s="63"/>
      <c r="BK637" s="63"/>
      <c r="BL637" s="63"/>
      <c r="BM637" s="63"/>
      <c r="BN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4"/>
      <c r="L638" s="65"/>
      <c r="M638" s="63"/>
      <c r="N638" s="63"/>
      <c r="O638" s="63"/>
      <c r="P638" s="63"/>
      <c r="Q638" s="63"/>
      <c r="R638" s="65"/>
      <c r="S638" s="63"/>
      <c r="T638" s="63"/>
      <c r="U638" s="63"/>
      <c r="V638" s="63"/>
      <c r="W638" s="64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3"/>
      <c r="AX638" s="63"/>
      <c r="AY638" s="63"/>
      <c r="AZ638" s="63"/>
      <c r="BA638" s="63"/>
      <c r="BB638" s="63"/>
      <c r="BC638" s="63"/>
      <c r="BD638" s="63"/>
      <c r="BE638" s="63"/>
      <c r="BF638" s="63"/>
      <c r="BG638" s="63"/>
      <c r="BH638" s="63"/>
      <c r="BI638" s="63"/>
      <c r="BJ638" s="63"/>
      <c r="BK638" s="63"/>
      <c r="BL638" s="63"/>
      <c r="BM638" s="63"/>
      <c r="BN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4"/>
      <c r="L639" s="65"/>
      <c r="M639" s="63"/>
      <c r="N639" s="63"/>
      <c r="O639" s="63"/>
      <c r="P639" s="63"/>
      <c r="Q639" s="63"/>
      <c r="R639" s="65"/>
      <c r="S639" s="63"/>
      <c r="T639" s="63"/>
      <c r="U639" s="63"/>
      <c r="V639" s="63"/>
      <c r="W639" s="64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3"/>
      <c r="AX639" s="63"/>
      <c r="AY639" s="63"/>
      <c r="AZ639" s="63"/>
      <c r="BA639" s="63"/>
      <c r="BB639" s="63"/>
      <c r="BC639" s="63"/>
      <c r="BD639" s="63"/>
      <c r="BE639" s="63"/>
      <c r="BF639" s="63"/>
      <c r="BG639" s="63"/>
      <c r="BH639" s="63"/>
      <c r="BI639" s="63"/>
      <c r="BJ639" s="63"/>
      <c r="BK639" s="63"/>
      <c r="BL639" s="63"/>
      <c r="BM639" s="63"/>
      <c r="BN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4"/>
      <c r="L640" s="65"/>
      <c r="M640" s="63"/>
      <c r="N640" s="63"/>
      <c r="O640" s="63"/>
      <c r="P640" s="63"/>
      <c r="Q640" s="63"/>
      <c r="R640" s="65"/>
      <c r="S640" s="63"/>
      <c r="T640" s="63"/>
      <c r="U640" s="63"/>
      <c r="V640" s="63"/>
      <c r="W640" s="64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AW640" s="63"/>
      <c r="AX640" s="63"/>
      <c r="AY640" s="63"/>
      <c r="AZ640" s="63"/>
      <c r="BA640" s="63"/>
      <c r="BB640" s="63"/>
      <c r="BC640" s="63"/>
      <c r="BD640" s="63"/>
      <c r="BE640" s="63"/>
      <c r="BF640" s="63"/>
      <c r="BG640" s="63"/>
      <c r="BH640" s="63"/>
      <c r="BI640" s="63"/>
      <c r="BJ640" s="63"/>
      <c r="BK640" s="63"/>
      <c r="BL640" s="63"/>
      <c r="BM640" s="63"/>
      <c r="BN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4"/>
      <c r="L641" s="65"/>
      <c r="M641" s="63"/>
      <c r="N641" s="63"/>
      <c r="O641" s="63"/>
      <c r="P641" s="63"/>
      <c r="Q641" s="63"/>
      <c r="R641" s="65"/>
      <c r="S641" s="63"/>
      <c r="T641" s="63"/>
      <c r="U641" s="63"/>
      <c r="V641" s="63"/>
      <c r="W641" s="64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3"/>
      <c r="AX641" s="63"/>
      <c r="AY641" s="63"/>
      <c r="AZ641" s="63"/>
      <c r="BA641" s="63"/>
      <c r="BB641" s="63"/>
      <c r="BC641" s="63"/>
      <c r="BD641" s="63"/>
      <c r="BE641" s="63"/>
      <c r="BF641" s="63"/>
      <c r="BG641" s="63"/>
      <c r="BH641" s="63"/>
      <c r="BI641" s="63"/>
      <c r="BJ641" s="63"/>
      <c r="BK641" s="63"/>
      <c r="BL641" s="63"/>
      <c r="BM641" s="63"/>
      <c r="BN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4"/>
      <c r="L642" s="65"/>
      <c r="M642" s="63"/>
      <c r="N642" s="63"/>
      <c r="O642" s="63"/>
      <c r="P642" s="63"/>
      <c r="Q642" s="63"/>
      <c r="R642" s="65"/>
      <c r="S642" s="63"/>
      <c r="T642" s="63"/>
      <c r="U642" s="63"/>
      <c r="V642" s="63"/>
      <c r="W642" s="64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3"/>
      <c r="AX642" s="63"/>
      <c r="AY642" s="63"/>
      <c r="AZ642" s="63"/>
      <c r="BA642" s="63"/>
      <c r="BB642" s="63"/>
      <c r="BC642" s="63"/>
      <c r="BD642" s="63"/>
      <c r="BE642" s="63"/>
      <c r="BF642" s="63"/>
      <c r="BG642" s="63"/>
      <c r="BH642" s="63"/>
      <c r="BI642" s="63"/>
      <c r="BJ642" s="63"/>
      <c r="BK642" s="63"/>
      <c r="BL642" s="63"/>
      <c r="BM642" s="63"/>
      <c r="BN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4"/>
      <c r="L643" s="65"/>
      <c r="M643" s="63"/>
      <c r="N643" s="63"/>
      <c r="O643" s="63"/>
      <c r="P643" s="63"/>
      <c r="Q643" s="63"/>
      <c r="R643" s="65"/>
      <c r="S643" s="63"/>
      <c r="T643" s="63"/>
      <c r="U643" s="63"/>
      <c r="V643" s="63"/>
      <c r="W643" s="64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3"/>
      <c r="AX643" s="63"/>
      <c r="AY643" s="63"/>
      <c r="AZ643" s="63"/>
      <c r="BA643" s="63"/>
      <c r="BB643" s="63"/>
      <c r="BC643" s="63"/>
      <c r="BD643" s="63"/>
      <c r="BE643" s="63"/>
      <c r="BF643" s="63"/>
      <c r="BG643" s="63"/>
      <c r="BH643" s="63"/>
      <c r="BI643" s="63"/>
      <c r="BJ643" s="63"/>
      <c r="BK643" s="63"/>
      <c r="BL643" s="63"/>
      <c r="BM643" s="63"/>
      <c r="BN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4"/>
      <c r="L644" s="65"/>
      <c r="M644" s="63"/>
      <c r="N644" s="63"/>
      <c r="O644" s="63"/>
      <c r="P644" s="63"/>
      <c r="Q644" s="63"/>
      <c r="R644" s="65"/>
      <c r="S644" s="63"/>
      <c r="T644" s="63"/>
      <c r="U644" s="63"/>
      <c r="V644" s="63"/>
      <c r="W644" s="64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3"/>
      <c r="AX644" s="63"/>
      <c r="AY644" s="63"/>
      <c r="AZ644" s="63"/>
      <c r="BA644" s="63"/>
      <c r="BB644" s="63"/>
      <c r="BC644" s="63"/>
      <c r="BD644" s="63"/>
      <c r="BE644" s="63"/>
      <c r="BF644" s="63"/>
      <c r="BG644" s="63"/>
      <c r="BH644" s="63"/>
      <c r="BI644" s="63"/>
      <c r="BJ644" s="63"/>
      <c r="BK644" s="63"/>
      <c r="BL644" s="63"/>
      <c r="BM644" s="63"/>
      <c r="BN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4"/>
      <c r="L645" s="65"/>
      <c r="M645" s="63"/>
      <c r="N645" s="63"/>
      <c r="O645" s="63"/>
      <c r="P645" s="63"/>
      <c r="Q645" s="63"/>
      <c r="R645" s="65"/>
      <c r="S645" s="63"/>
      <c r="T645" s="63"/>
      <c r="U645" s="63"/>
      <c r="V645" s="63"/>
      <c r="W645" s="64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3"/>
      <c r="AX645" s="63"/>
      <c r="AY645" s="63"/>
      <c r="AZ645" s="63"/>
      <c r="BA645" s="63"/>
      <c r="BB645" s="63"/>
      <c r="BC645" s="63"/>
      <c r="BD645" s="63"/>
      <c r="BE645" s="63"/>
      <c r="BF645" s="63"/>
      <c r="BG645" s="63"/>
      <c r="BH645" s="63"/>
      <c r="BI645" s="63"/>
      <c r="BJ645" s="63"/>
      <c r="BK645" s="63"/>
      <c r="BL645" s="63"/>
      <c r="BM645" s="63"/>
      <c r="BN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4"/>
      <c r="L646" s="65"/>
      <c r="M646" s="63"/>
      <c r="N646" s="63"/>
      <c r="O646" s="63"/>
      <c r="P646" s="63"/>
      <c r="Q646" s="63"/>
      <c r="R646" s="65"/>
      <c r="S646" s="63"/>
      <c r="T646" s="63"/>
      <c r="U646" s="63"/>
      <c r="V646" s="63"/>
      <c r="W646" s="64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3"/>
      <c r="AX646" s="63"/>
      <c r="AY646" s="63"/>
      <c r="AZ646" s="63"/>
      <c r="BA646" s="63"/>
      <c r="BB646" s="63"/>
      <c r="BC646" s="63"/>
      <c r="BD646" s="63"/>
      <c r="BE646" s="63"/>
      <c r="BF646" s="63"/>
      <c r="BG646" s="63"/>
      <c r="BH646" s="63"/>
      <c r="BI646" s="63"/>
      <c r="BJ646" s="63"/>
      <c r="BK646" s="63"/>
      <c r="BL646" s="63"/>
      <c r="BM646" s="63"/>
      <c r="BN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4"/>
      <c r="L647" s="65"/>
      <c r="M647" s="63"/>
      <c r="N647" s="63"/>
      <c r="O647" s="63"/>
      <c r="P647" s="63"/>
      <c r="Q647" s="63"/>
      <c r="R647" s="65"/>
      <c r="S647" s="63"/>
      <c r="T647" s="63"/>
      <c r="U647" s="63"/>
      <c r="V647" s="63"/>
      <c r="W647" s="64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3"/>
      <c r="AX647" s="63"/>
      <c r="AY647" s="63"/>
      <c r="AZ647" s="63"/>
      <c r="BA647" s="63"/>
      <c r="BB647" s="63"/>
      <c r="BC647" s="63"/>
      <c r="BD647" s="63"/>
      <c r="BE647" s="63"/>
      <c r="BF647" s="63"/>
      <c r="BG647" s="63"/>
      <c r="BH647" s="63"/>
      <c r="BI647" s="63"/>
      <c r="BJ647" s="63"/>
      <c r="BK647" s="63"/>
      <c r="BL647" s="63"/>
      <c r="BM647" s="63"/>
      <c r="BN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4"/>
      <c r="L648" s="65"/>
      <c r="M648" s="63"/>
      <c r="N648" s="63"/>
      <c r="O648" s="63"/>
      <c r="P648" s="63"/>
      <c r="Q648" s="63"/>
      <c r="R648" s="65"/>
      <c r="S648" s="63"/>
      <c r="T648" s="63"/>
      <c r="U648" s="63"/>
      <c r="V648" s="63"/>
      <c r="W648" s="64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3"/>
      <c r="AX648" s="63"/>
      <c r="AY648" s="63"/>
      <c r="AZ648" s="63"/>
      <c r="BA648" s="63"/>
      <c r="BB648" s="63"/>
      <c r="BC648" s="63"/>
      <c r="BD648" s="63"/>
      <c r="BE648" s="63"/>
      <c r="BF648" s="63"/>
      <c r="BG648" s="63"/>
      <c r="BH648" s="63"/>
      <c r="BI648" s="63"/>
      <c r="BJ648" s="63"/>
      <c r="BK648" s="63"/>
      <c r="BL648" s="63"/>
      <c r="BM648" s="63"/>
      <c r="BN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4"/>
      <c r="L649" s="65"/>
      <c r="M649" s="63"/>
      <c r="N649" s="63"/>
      <c r="O649" s="63"/>
      <c r="P649" s="63"/>
      <c r="Q649" s="63"/>
      <c r="R649" s="65"/>
      <c r="S649" s="63"/>
      <c r="T649" s="63"/>
      <c r="U649" s="63"/>
      <c r="V649" s="63"/>
      <c r="W649" s="64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AW649" s="63"/>
      <c r="AX649" s="63"/>
      <c r="AY649" s="63"/>
      <c r="AZ649" s="63"/>
      <c r="BA649" s="63"/>
      <c r="BB649" s="63"/>
      <c r="BC649" s="63"/>
      <c r="BD649" s="63"/>
      <c r="BE649" s="63"/>
      <c r="BF649" s="63"/>
      <c r="BG649" s="63"/>
      <c r="BH649" s="63"/>
      <c r="BI649" s="63"/>
      <c r="BJ649" s="63"/>
      <c r="BK649" s="63"/>
      <c r="BL649" s="63"/>
      <c r="BM649" s="63"/>
      <c r="BN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4"/>
      <c r="L650" s="65"/>
      <c r="M650" s="63"/>
      <c r="N650" s="63"/>
      <c r="O650" s="63"/>
      <c r="P650" s="63"/>
      <c r="Q650" s="63"/>
      <c r="R650" s="65"/>
      <c r="S650" s="63"/>
      <c r="T650" s="63"/>
      <c r="U650" s="63"/>
      <c r="V650" s="63"/>
      <c r="W650" s="64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3"/>
      <c r="AX650" s="63"/>
      <c r="AY650" s="63"/>
      <c r="AZ650" s="63"/>
      <c r="BA650" s="63"/>
      <c r="BB650" s="63"/>
      <c r="BC650" s="63"/>
      <c r="BD650" s="63"/>
      <c r="BE650" s="63"/>
      <c r="BF650" s="63"/>
      <c r="BG650" s="63"/>
      <c r="BH650" s="63"/>
      <c r="BI650" s="63"/>
      <c r="BJ650" s="63"/>
      <c r="BK650" s="63"/>
      <c r="BL650" s="63"/>
      <c r="BM650" s="63"/>
      <c r="BN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4"/>
      <c r="L651" s="65"/>
      <c r="M651" s="63"/>
      <c r="N651" s="63"/>
      <c r="O651" s="63"/>
      <c r="P651" s="63"/>
      <c r="Q651" s="63"/>
      <c r="R651" s="65"/>
      <c r="S651" s="63"/>
      <c r="T651" s="63"/>
      <c r="U651" s="63"/>
      <c r="V651" s="63"/>
      <c r="W651" s="64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3"/>
      <c r="AX651" s="63"/>
      <c r="AY651" s="63"/>
      <c r="AZ651" s="63"/>
      <c r="BA651" s="63"/>
      <c r="BB651" s="63"/>
      <c r="BC651" s="63"/>
      <c r="BD651" s="63"/>
      <c r="BE651" s="63"/>
      <c r="BF651" s="63"/>
      <c r="BG651" s="63"/>
      <c r="BH651" s="63"/>
      <c r="BI651" s="63"/>
      <c r="BJ651" s="63"/>
      <c r="BK651" s="63"/>
      <c r="BL651" s="63"/>
      <c r="BM651" s="63"/>
      <c r="BN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4"/>
      <c r="L652" s="65"/>
      <c r="M652" s="63"/>
      <c r="N652" s="63"/>
      <c r="O652" s="63"/>
      <c r="P652" s="63"/>
      <c r="Q652" s="63"/>
      <c r="R652" s="65"/>
      <c r="S652" s="63"/>
      <c r="T652" s="63"/>
      <c r="U652" s="63"/>
      <c r="V652" s="63"/>
      <c r="W652" s="64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3"/>
      <c r="AX652" s="63"/>
      <c r="AY652" s="63"/>
      <c r="AZ652" s="63"/>
      <c r="BA652" s="63"/>
      <c r="BB652" s="63"/>
      <c r="BC652" s="63"/>
      <c r="BD652" s="63"/>
      <c r="BE652" s="63"/>
      <c r="BF652" s="63"/>
      <c r="BG652" s="63"/>
      <c r="BH652" s="63"/>
      <c r="BI652" s="63"/>
      <c r="BJ652" s="63"/>
      <c r="BK652" s="63"/>
      <c r="BL652" s="63"/>
      <c r="BM652" s="63"/>
      <c r="BN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4"/>
      <c r="L653" s="65"/>
      <c r="M653" s="63"/>
      <c r="N653" s="63"/>
      <c r="O653" s="63"/>
      <c r="P653" s="63"/>
      <c r="Q653" s="63"/>
      <c r="R653" s="65"/>
      <c r="S653" s="63"/>
      <c r="T653" s="63"/>
      <c r="U653" s="63"/>
      <c r="V653" s="63"/>
      <c r="W653" s="64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3"/>
      <c r="AX653" s="63"/>
      <c r="AY653" s="63"/>
      <c r="AZ653" s="63"/>
      <c r="BA653" s="63"/>
      <c r="BB653" s="63"/>
      <c r="BC653" s="63"/>
      <c r="BD653" s="63"/>
      <c r="BE653" s="63"/>
      <c r="BF653" s="63"/>
      <c r="BG653" s="63"/>
      <c r="BH653" s="63"/>
      <c r="BI653" s="63"/>
      <c r="BJ653" s="63"/>
      <c r="BK653" s="63"/>
      <c r="BL653" s="63"/>
      <c r="BM653" s="63"/>
      <c r="BN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4"/>
      <c r="L654" s="65"/>
      <c r="M654" s="63"/>
      <c r="N654" s="63"/>
      <c r="O654" s="63"/>
      <c r="P654" s="63"/>
      <c r="Q654" s="63"/>
      <c r="R654" s="65"/>
      <c r="S654" s="63"/>
      <c r="T654" s="63"/>
      <c r="U654" s="63"/>
      <c r="V654" s="63"/>
      <c r="W654" s="64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3"/>
      <c r="AX654" s="63"/>
      <c r="AY654" s="63"/>
      <c r="AZ654" s="63"/>
      <c r="BA654" s="63"/>
      <c r="BB654" s="63"/>
      <c r="BC654" s="63"/>
      <c r="BD654" s="63"/>
      <c r="BE654" s="63"/>
      <c r="BF654" s="63"/>
      <c r="BG654" s="63"/>
      <c r="BH654" s="63"/>
      <c r="BI654" s="63"/>
      <c r="BJ654" s="63"/>
      <c r="BK654" s="63"/>
      <c r="BL654" s="63"/>
      <c r="BM654" s="63"/>
      <c r="BN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4"/>
      <c r="L655" s="65"/>
      <c r="M655" s="63"/>
      <c r="N655" s="63"/>
      <c r="O655" s="63"/>
      <c r="P655" s="63"/>
      <c r="Q655" s="63"/>
      <c r="R655" s="65"/>
      <c r="S655" s="63"/>
      <c r="T655" s="63"/>
      <c r="U655" s="63"/>
      <c r="V655" s="63"/>
      <c r="W655" s="64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3"/>
      <c r="AX655" s="63"/>
      <c r="AY655" s="63"/>
      <c r="AZ655" s="63"/>
      <c r="BA655" s="63"/>
      <c r="BB655" s="63"/>
      <c r="BC655" s="63"/>
      <c r="BD655" s="63"/>
      <c r="BE655" s="63"/>
      <c r="BF655" s="63"/>
      <c r="BG655" s="63"/>
      <c r="BH655" s="63"/>
      <c r="BI655" s="63"/>
      <c r="BJ655" s="63"/>
      <c r="BK655" s="63"/>
      <c r="BL655" s="63"/>
      <c r="BM655" s="63"/>
      <c r="BN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4"/>
      <c r="L656" s="65"/>
      <c r="M656" s="63"/>
      <c r="N656" s="63"/>
      <c r="O656" s="63"/>
      <c r="P656" s="63"/>
      <c r="Q656" s="63"/>
      <c r="R656" s="65"/>
      <c r="S656" s="63"/>
      <c r="T656" s="63"/>
      <c r="U656" s="63"/>
      <c r="V656" s="63"/>
      <c r="W656" s="64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3"/>
      <c r="AX656" s="63"/>
      <c r="AY656" s="63"/>
      <c r="AZ656" s="63"/>
      <c r="BA656" s="63"/>
      <c r="BB656" s="63"/>
      <c r="BC656" s="63"/>
      <c r="BD656" s="63"/>
      <c r="BE656" s="63"/>
      <c r="BF656" s="63"/>
      <c r="BG656" s="63"/>
      <c r="BH656" s="63"/>
      <c r="BI656" s="63"/>
      <c r="BJ656" s="63"/>
      <c r="BK656" s="63"/>
      <c r="BL656" s="63"/>
      <c r="BM656" s="63"/>
      <c r="BN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4"/>
      <c r="L657" s="65"/>
      <c r="M657" s="63"/>
      <c r="N657" s="63"/>
      <c r="O657" s="63"/>
      <c r="P657" s="63"/>
      <c r="Q657" s="63"/>
      <c r="R657" s="65"/>
      <c r="S657" s="63"/>
      <c r="T657" s="63"/>
      <c r="U657" s="63"/>
      <c r="V657" s="63"/>
      <c r="W657" s="64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3"/>
      <c r="AX657" s="63"/>
      <c r="AY657" s="63"/>
      <c r="AZ657" s="63"/>
      <c r="BA657" s="63"/>
      <c r="BB657" s="63"/>
      <c r="BC657" s="63"/>
      <c r="BD657" s="63"/>
      <c r="BE657" s="63"/>
      <c r="BF657" s="63"/>
      <c r="BG657" s="63"/>
      <c r="BH657" s="63"/>
      <c r="BI657" s="63"/>
      <c r="BJ657" s="63"/>
      <c r="BK657" s="63"/>
      <c r="BL657" s="63"/>
      <c r="BM657" s="63"/>
      <c r="BN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4"/>
      <c r="L658" s="65"/>
      <c r="M658" s="63"/>
      <c r="N658" s="63"/>
      <c r="O658" s="63"/>
      <c r="P658" s="63"/>
      <c r="Q658" s="63"/>
      <c r="R658" s="65"/>
      <c r="S658" s="63"/>
      <c r="T658" s="63"/>
      <c r="U658" s="63"/>
      <c r="V658" s="63"/>
      <c r="W658" s="64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3"/>
      <c r="AX658" s="63"/>
      <c r="AY658" s="63"/>
      <c r="AZ658" s="63"/>
      <c r="BA658" s="63"/>
      <c r="BB658" s="63"/>
      <c r="BC658" s="63"/>
      <c r="BD658" s="63"/>
      <c r="BE658" s="63"/>
      <c r="BF658" s="63"/>
      <c r="BG658" s="63"/>
      <c r="BH658" s="63"/>
      <c r="BI658" s="63"/>
      <c r="BJ658" s="63"/>
      <c r="BK658" s="63"/>
      <c r="BL658" s="63"/>
      <c r="BM658" s="63"/>
      <c r="BN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4"/>
      <c r="L659" s="65"/>
      <c r="M659" s="63"/>
      <c r="N659" s="63"/>
      <c r="O659" s="63"/>
      <c r="P659" s="63"/>
      <c r="Q659" s="63"/>
      <c r="R659" s="65"/>
      <c r="S659" s="63"/>
      <c r="T659" s="63"/>
      <c r="U659" s="63"/>
      <c r="V659" s="63"/>
      <c r="W659" s="64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3"/>
      <c r="AX659" s="63"/>
      <c r="AY659" s="63"/>
      <c r="AZ659" s="63"/>
      <c r="BA659" s="63"/>
      <c r="BB659" s="63"/>
      <c r="BC659" s="63"/>
      <c r="BD659" s="63"/>
      <c r="BE659" s="63"/>
      <c r="BF659" s="63"/>
      <c r="BG659" s="63"/>
      <c r="BH659" s="63"/>
      <c r="BI659" s="63"/>
      <c r="BJ659" s="63"/>
      <c r="BK659" s="63"/>
      <c r="BL659" s="63"/>
      <c r="BM659" s="63"/>
      <c r="BN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4"/>
      <c r="L660" s="65"/>
      <c r="M660" s="63"/>
      <c r="N660" s="63"/>
      <c r="O660" s="63"/>
      <c r="P660" s="63"/>
      <c r="Q660" s="63"/>
      <c r="R660" s="65"/>
      <c r="S660" s="63"/>
      <c r="T660" s="63"/>
      <c r="U660" s="63"/>
      <c r="V660" s="63"/>
      <c r="W660" s="64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AW660" s="63"/>
      <c r="AX660" s="63"/>
      <c r="AY660" s="63"/>
      <c r="AZ660" s="63"/>
      <c r="BA660" s="63"/>
      <c r="BB660" s="63"/>
      <c r="BC660" s="63"/>
      <c r="BD660" s="63"/>
      <c r="BE660" s="63"/>
      <c r="BF660" s="63"/>
      <c r="BG660" s="63"/>
      <c r="BH660" s="63"/>
      <c r="BI660" s="63"/>
      <c r="BJ660" s="63"/>
      <c r="BK660" s="63"/>
      <c r="BL660" s="63"/>
      <c r="BM660" s="63"/>
      <c r="BN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4"/>
      <c r="L661" s="65"/>
      <c r="M661" s="63"/>
      <c r="N661" s="63"/>
      <c r="O661" s="63"/>
      <c r="P661" s="63"/>
      <c r="Q661" s="63"/>
      <c r="R661" s="65"/>
      <c r="S661" s="63"/>
      <c r="T661" s="63"/>
      <c r="U661" s="63"/>
      <c r="V661" s="63"/>
      <c r="W661" s="64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3"/>
      <c r="AX661" s="63"/>
      <c r="AY661" s="63"/>
      <c r="AZ661" s="63"/>
      <c r="BA661" s="63"/>
      <c r="BB661" s="63"/>
      <c r="BC661" s="63"/>
      <c r="BD661" s="63"/>
      <c r="BE661" s="63"/>
      <c r="BF661" s="63"/>
      <c r="BG661" s="63"/>
      <c r="BH661" s="63"/>
      <c r="BI661" s="63"/>
      <c r="BJ661" s="63"/>
      <c r="BK661" s="63"/>
      <c r="BL661" s="63"/>
      <c r="BM661" s="63"/>
      <c r="BN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4"/>
      <c r="L662" s="65"/>
      <c r="M662" s="63"/>
      <c r="N662" s="63"/>
      <c r="O662" s="63"/>
      <c r="P662" s="63"/>
      <c r="Q662" s="63"/>
      <c r="R662" s="65"/>
      <c r="S662" s="63"/>
      <c r="T662" s="63"/>
      <c r="U662" s="63"/>
      <c r="V662" s="63"/>
      <c r="W662" s="64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3"/>
      <c r="AX662" s="63"/>
      <c r="AY662" s="63"/>
      <c r="AZ662" s="63"/>
      <c r="BA662" s="63"/>
      <c r="BB662" s="63"/>
      <c r="BC662" s="63"/>
      <c r="BD662" s="63"/>
      <c r="BE662" s="63"/>
      <c r="BF662" s="63"/>
      <c r="BG662" s="63"/>
      <c r="BH662" s="63"/>
      <c r="BI662" s="63"/>
      <c r="BJ662" s="63"/>
      <c r="BK662" s="63"/>
      <c r="BL662" s="63"/>
      <c r="BM662" s="63"/>
      <c r="BN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4"/>
      <c r="L663" s="65"/>
      <c r="M663" s="63"/>
      <c r="N663" s="63"/>
      <c r="O663" s="63"/>
      <c r="P663" s="63"/>
      <c r="Q663" s="63"/>
      <c r="R663" s="65"/>
      <c r="S663" s="63"/>
      <c r="T663" s="63"/>
      <c r="U663" s="63"/>
      <c r="V663" s="63"/>
      <c r="W663" s="64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3"/>
      <c r="AX663" s="63"/>
      <c r="AY663" s="63"/>
      <c r="AZ663" s="63"/>
      <c r="BA663" s="63"/>
      <c r="BB663" s="63"/>
      <c r="BC663" s="63"/>
      <c r="BD663" s="63"/>
      <c r="BE663" s="63"/>
      <c r="BF663" s="63"/>
      <c r="BG663" s="63"/>
      <c r="BH663" s="63"/>
      <c r="BI663" s="63"/>
      <c r="BJ663" s="63"/>
      <c r="BK663" s="63"/>
      <c r="BL663" s="63"/>
      <c r="BM663" s="63"/>
      <c r="BN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4"/>
      <c r="L664" s="65"/>
      <c r="M664" s="63"/>
      <c r="N664" s="63"/>
      <c r="O664" s="63"/>
      <c r="P664" s="63"/>
      <c r="Q664" s="63"/>
      <c r="R664" s="65"/>
      <c r="S664" s="63"/>
      <c r="T664" s="63"/>
      <c r="U664" s="63"/>
      <c r="V664" s="63"/>
      <c r="W664" s="64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3"/>
      <c r="AX664" s="63"/>
      <c r="AY664" s="63"/>
      <c r="AZ664" s="63"/>
      <c r="BA664" s="63"/>
      <c r="BB664" s="63"/>
      <c r="BC664" s="63"/>
      <c r="BD664" s="63"/>
      <c r="BE664" s="63"/>
      <c r="BF664" s="63"/>
      <c r="BG664" s="63"/>
      <c r="BH664" s="63"/>
      <c r="BI664" s="63"/>
      <c r="BJ664" s="63"/>
      <c r="BK664" s="63"/>
      <c r="BL664" s="63"/>
      <c r="BM664" s="63"/>
      <c r="BN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4"/>
      <c r="L665" s="65"/>
      <c r="M665" s="63"/>
      <c r="N665" s="63"/>
      <c r="O665" s="63"/>
      <c r="P665" s="63"/>
      <c r="Q665" s="63"/>
      <c r="R665" s="65"/>
      <c r="S665" s="63"/>
      <c r="T665" s="63"/>
      <c r="U665" s="63"/>
      <c r="V665" s="63"/>
      <c r="W665" s="64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AW665" s="63"/>
      <c r="AX665" s="63"/>
      <c r="AY665" s="63"/>
      <c r="AZ665" s="63"/>
      <c r="BA665" s="63"/>
      <c r="BB665" s="63"/>
      <c r="BC665" s="63"/>
      <c r="BD665" s="63"/>
      <c r="BE665" s="63"/>
      <c r="BF665" s="63"/>
      <c r="BG665" s="63"/>
      <c r="BH665" s="63"/>
      <c r="BI665" s="63"/>
      <c r="BJ665" s="63"/>
      <c r="BK665" s="63"/>
      <c r="BL665" s="63"/>
      <c r="BM665" s="63"/>
      <c r="BN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4"/>
      <c r="L666" s="65"/>
      <c r="M666" s="63"/>
      <c r="N666" s="63"/>
      <c r="O666" s="63"/>
      <c r="P666" s="63"/>
      <c r="Q666" s="63"/>
      <c r="R666" s="65"/>
      <c r="S666" s="63"/>
      <c r="T666" s="63"/>
      <c r="U666" s="63"/>
      <c r="V666" s="63"/>
      <c r="W666" s="64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3"/>
      <c r="AX666" s="63"/>
      <c r="AY666" s="63"/>
      <c r="AZ666" s="63"/>
      <c r="BA666" s="63"/>
      <c r="BB666" s="63"/>
      <c r="BC666" s="63"/>
      <c r="BD666" s="63"/>
      <c r="BE666" s="63"/>
      <c r="BF666" s="63"/>
      <c r="BG666" s="63"/>
      <c r="BH666" s="63"/>
      <c r="BI666" s="63"/>
      <c r="BJ666" s="63"/>
      <c r="BK666" s="63"/>
      <c r="BL666" s="63"/>
      <c r="BM666" s="63"/>
      <c r="BN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4"/>
      <c r="L667" s="65"/>
      <c r="M667" s="63"/>
      <c r="N667" s="63"/>
      <c r="O667" s="63"/>
      <c r="P667" s="63"/>
      <c r="Q667" s="63"/>
      <c r="R667" s="65"/>
      <c r="S667" s="63"/>
      <c r="T667" s="63"/>
      <c r="U667" s="63"/>
      <c r="V667" s="63"/>
      <c r="W667" s="64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AW667" s="63"/>
      <c r="AX667" s="63"/>
      <c r="AY667" s="63"/>
      <c r="AZ667" s="63"/>
      <c r="BA667" s="63"/>
      <c r="BB667" s="63"/>
      <c r="BC667" s="63"/>
      <c r="BD667" s="63"/>
      <c r="BE667" s="63"/>
      <c r="BF667" s="63"/>
      <c r="BG667" s="63"/>
      <c r="BH667" s="63"/>
      <c r="BI667" s="63"/>
      <c r="BJ667" s="63"/>
      <c r="BK667" s="63"/>
      <c r="BL667" s="63"/>
      <c r="BM667" s="63"/>
      <c r="BN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4"/>
      <c r="L668" s="65"/>
      <c r="M668" s="63"/>
      <c r="N668" s="63"/>
      <c r="O668" s="63"/>
      <c r="P668" s="63"/>
      <c r="Q668" s="63"/>
      <c r="R668" s="65"/>
      <c r="S668" s="63"/>
      <c r="T668" s="63"/>
      <c r="U668" s="63"/>
      <c r="V668" s="63"/>
      <c r="W668" s="64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3"/>
      <c r="BB668" s="63"/>
      <c r="BC668" s="63"/>
      <c r="BD668" s="63"/>
      <c r="BE668" s="63"/>
      <c r="BF668" s="63"/>
      <c r="BG668" s="63"/>
      <c r="BH668" s="63"/>
      <c r="BI668" s="63"/>
      <c r="BJ668" s="63"/>
      <c r="BK668" s="63"/>
      <c r="BL668" s="63"/>
      <c r="BM668" s="63"/>
      <c r="BN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4"/>
      <c r="L669" s="65"/>
      <c r="M669" s="63"/>
      <c r="N669" s="63"/>
      <c r="O669" s="63"/>
      <c r="P669" s="63"/>
      <c r="Q669" s="63"/>
      <c r="R669" s="65"/>
      <c r="S669" s="63"/>
      <c r="T669" s="63"/>
      <c r="U669" s="63"/>
      <c r="V669" s="63"/>
      <c r="W669" s="64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AW669" s="63"/>
      <c r="AX669" s="63"/>
      <c r="AY669" s="63"/>
      <c r="AZ669" s="63"/>
      <c r="BA669" s="63"/>
      <c r="BB669" s="63"/>
      <c r="BC669" s="63"/>
      <c r="BD669" s="63"/>
      <c r="BE669" s="63"/>
      <c r="BF669" s="63"/>
      <c r="BG669" s="63"/>
      <c r="BH669" s="63"/>
      <c r="BI669" s="63"/>
      <c r="BJ669" s="63"/>
      <c r="BK669" s="63"/>
      <c r="BL669" s="63"/>
      <c r="BM669" s="63"/>
      <c r="BN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4"/>
      <c r="L670" s="65"/>
      <c r="M670" s="63"/>
      <c r="N670" s="63"/>
      <c r="O670" s="63"/>
      <c r="P670" s="63"/>
      <c r="Q670" s="63"/>
      <c r="R670" s="65"/>
      <c r="S670" s="63"/>
      <c r="T670" s="63"/>
      <c r="U670" s="63"/>
      <c r="V670" s="63"/>
      <c r="W670" s="64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3"/>
      <c r="AX670" s="63"/>
      <c r="AY670" s="63"/>
      <c r="AZ670" s="63"/>
      <c r="BA670" s="63"/>
      <c r="BB670" s="63"/>
      <c r="BC670" s="63"/>
      <c r="BD670" s="63"/>
      <c r="BE670" s="63"/>
      <c r="BF670" s="63"/>
      <c r="BG670" s="63"/>
      <c r="BH670" s="63"/>
      <c r="BI670" s="63"/>
      <c r="BJ670" s="63"/>
      <c r="BK670" s="63"/>
      <c r="BL670" s="63"/>
      <c r="BM670" s="63"/>
      <c r="BN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4"/>
      <c r="L671" s="65"/>
      <c r="M671" s="63"/>
      <c r="N671" s="63"/>
      <c r="O671" s="63"/>
      <c r="P671" s="63"/>
      <c r="Q671" s="63"/>
      <c r="R671" s="65"/>
      <c r="S671" s="63"/>
      <c r="T671" s="63"/>
      <c r="U671" s="63"/>
      <c r="V671" s="63"/>
      <c r="W671" s="64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  <c r="BC671" s="63"/>
      <c r="BD671" s="63"/>
      <c r="BE671" s="63"/>
      <c r="BF671" s="63"/>
      <c r="BG671" s="63"/>
      <c r="BH671" s="63"/>
      <c r="BI671" s="63"/>
      <c r="BJ671" s="63"/>
      <c r="BK671" s="63"/>
      <c r="BL671" s="63"/>
      <c r="BM671" s="63"/>
      <c r="BN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4"/>
      <c r="L672" s="65"/>
      <c r="M672" s="63"/>
      <c r="N672" s="63"/>
      <c r="O672" s="63"/>
      <c r="P672" s="63"/>
      <c r="Q672" s="63"/>
      <c r="R672" s="65"/>
      <c r="S672" s="63"/>
      <c r="T672" s="63"/>
      <c r="U672" s="63"/>
      <c r="V672" s="63"/>
      <c r="W672" s="64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3"/>
      <c r="AX672" s="63"/>
      <c r="AY672" s="63"/>
      <c r="AZ672" s="63"/>
      <c r="BA672" s="63"/>
      <c r="BB672" s="63"/>
      <c r="BC672" s="63"/>
      <c r="BD672" s="63"/>
      <c r="BE672" s="63"/>
      <c r="BF672" s="63"/>
      <c r="BG672" s="63"/>
      <c r="BH672" s="63"/>
      <c r="BI672" s="63"/>
      <c r="BJ672" s="63"/>
      <c r="BK672" s="63"/>
      <c r="BL672" s="63"/>
      <c r="BM672" s="63"/>
      <c r="BN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4"/>
      <c r="L673" s="65"/>
      <c r="M673" s="63"/>
      <c r="N673" s="63"/>
      <c r="O673" s="63"/>
      <c r="P673" s="63"/>
      <c r="Q673" s="63"/>
      <c r="R673" s="65"/>
      <c r="S673" s="63"/>
      <c r="T673" s="63"/>
      <c r="U673" s="63"/>
      <c r="V673" s="63"/>
      <c r="W673" s="64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  <c r="BC673" s="63"/>
      <c r="BD673" s="63"/>
      <c r="BE673" s="63"/>
      <c r="BF673" s="63"/>
      <c r="BG673" s="63"/>
      <c r="BH673" s="63"/>
      <c r="BI673" s="63"/>
      <c r="BJ673" s="63"/>
      <c r="BK673" s="63"/>
      <c r="BL673" s="63"/>
      <c r="BM673" s="63"/>
      <c r="BN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4"/>
      <c r="L674" s="65"/>
      <c r="M674" s="63"/>
      <c r="N674" s="63"/>
      <c r="O674" s="63"/>
      <c r="P674" s="63"/>
      <c r="Q674" s="63"/>
      <c r="R674" s="65"/>
      <c r="S674" s="63"/>
      <c r="T674" s="63"/>
      <c r="U674" s="63"/>
      <c r="V674" s="63"/>
      <c r="W674" s="64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  <c r="BC674" s="63"/>
      <c r="BD674" s="63"/>
      <c r="BE674" s="63"/>
      <c r="BF674" s="63"/>
      <c r="BG674" s="63"/>
      <c r="BH674" s="63"/>
      <c r="BI674" s="63"/>
      <c r="BJ674" s="63"/>
      <c r="BK674" s="63"/>
      <c r="BL674" s="63"/>
      <c r="BM674" s="63"/>
      <c r="BN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4"/>
      <c r="L675" s="65"/>
      <c r="M675" s="63"/>
      <c r="N675" s="63"/>
      <c r="O675" s="63"/>
      <c r="P675" s="63"/>
      <c r="Q675" s="63"/>
      <c r="R675" s="65"/>
      <c r="S675" s="63"/>
      <c r="T675" s="63"/>
      <c r="U675" s="63"/>
      <c r="V675" s="63"/>
      <c r="W675" s="64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  <c r="BC675" s="63"/>
      <c r="BD675" s="63"/>
      <c r="BE675" s="63"/>
      <c r="BF675" s="63"/>
      <c r="BG675" s="63"/>
      <c r="BH675" s="63"/>
      <c r="BI675" s="63"/>
      <c r="BJ675" s="63"/>
      <c r="BK675" s="63"/>
      <c r="BL675" s="63"/>
      <c r="BM675" s="63"/>
      <c r="BN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4"/>
      <c r="L676" s="65"/>
      <c r="M676" s="63"/>
      <c r="N676" s="63"/>
      <c r="O676" s="63"/>
      <c r="P676" s="63"/>
      <c r="Q676" s="63"/>
      <c r="R676" s="65"/>
      <c r="S676" s="63"/>
      <c r="T676" s="63"/>
      <c r="U676" s="63"/>
      <c r="V676" s="63"/>
      <c r="W676" s="64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3"/>
      <c r="AX676" s="63"/>
      <c r="AY676" s="63"/>
      <c r="AZ676" s="63"/>
      <c r="BA676" s="63"/>
      <c r="BB676" s="63"/>
      <c r="BC676" s="63"/>
      <c r="BD676" s="63"/>
      <c r="BE676" s="63"/>
      <c r="BF676" s="63"/>
      <c r="BG676" s="63"/>
      <c r="BH676" s="63"/>
      <c r="BI676" s="63"/>
      <c r="BJ676" s="63"/>
      <c r="BK676" s="63"/>
      <c r="BL676" s="63"/>
      <c r="BM676" s="63"/>
      <c r="BN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4"/>
      <c r="L677" s="65"/>
      <c r="M677" s="63"/>
      <c r="N677" s="63"/>
      <c r="O677" s="63"/>
      <c r="P677" s="63"/>
      <c r="Q677" s="63"/>
      <c r="R677" s="65"/>
      <c r="S677" s="63"/>
      <c r="T677" s="63"/>
      <c r="U677" s="63"/>
      <c r="V677" s="63"/>
      <c r="W677" s="64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3"/>
      <c r="AX677" s="63"/>
      <c r="AY677" s="63"/>
      <c r="AZ677" s="63"/>
      <c r="BA677" s="63"/>
      <c r="BB677" s="63"/>
      <c r="BC677" s="63"/>
      <c r="BD677" s="63"/>
      <c r="BE677" s="63"/>
      <c r="BF677" s="63"/>
      <c r="BG677" s="63"/>
      <c r="BH677" s="63"/>
      <c r="BI677" s="63"/>
      <c r="BJ677" s="63"/>
      <c r="BK677" s="63"/>
      <c r="BL677" s="63"/>
      <c r="BM677" s="63"/>
      <c r="BN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4"/>
      <c r="L678" s="65"/>
      <c r="M678" s="63"/>
      <c r="N678" s="63"/>
      <c r="O678" s="63"/>
      <c r="P678" s="63"/>
      <c r="Q678" s="63"/>
      <c r="R678" s="65"/>
      <c r="S678" s="63"/>
      <c r="T678" s="63"/>
      <c r="U678" s="63"/>
      <c r="V678" s="63"/>
      <c r="W678" s="64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3"/>
      <c r="AX678" s="63"/>
      <c r="AY678" s="63"/>
      <c r="AZ678" s="63"/>
      <c r="BA678" s="63"/>
      <c r="BB678" s="63"/>
      <c r="BC678" s="63"/>
      <c r="BD678" s="63"/>
      <c r="BE678" s="63"/>
      <c r="BF678" s="63"/>
      <c r="BG678" s="63"/>
      <c r="BH678" s="63"/>
      <c r="BI678" s="63"/>
      <c r="BJ678" s="63"/>
      <c r="BK678" s="63"/>
      <c r="BL678" s="63"/>
      <c r="BM678" s="63"/>
      <c r="BN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4"/>
      <c r="L679" s="65"/>
      <c r="M679" s="63"/>
      <c r="N679" s="63"/>
      <c r="O679" s="63"/>
      <c r="P679" s="63"/>
      <c r="Q679" s="63"/>
      <c r="R679" s="65"/>
      <c r="S679" s="63"/>
      <c r="T679" s="63"/>
      <c r="U679" s="63"/>
      <c r="V679" s="63"/>
      <c r="W679" s="64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3"/>
      <c r="AX679" s="63"/>
      <c r="AY679" s="63"/>
      <c r="AZ679" s="63"/>
      <c r="BA679" s="63"/>
      <c r="BB679" s="63"/>
      <c r="BC679" s="63"/>
      <c r="BD679" s="63"/>
      <c r="BE679" s="63"/>
      <c r="BF679" s="63"/>
      <c r="BG679" s="63"/>
      <c r="BH679" s="63"/>
      <c r="BI679" s="63"/>
      <c r="BJ679" s="63"/>
      <c r="BK679" s="63"/>
      <c r="BL679" s="63"/>
      <c r="BM679" s="63"/>
      <c r="BN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4"/>
      <c r="L680" s="65"/>
      <c r="M680" s="63"/>
      <c r="N680" s="63"/>
      <c r="O680" s="63"/>
      <c r="P680" s="63"/>
      <c r="Q680" s="63"/>
      <c r="R680" s="65"/>
      <c r="S680" s="63"/>
      <c r="T680" s="63"/>
      <c r="U680" s="63"/>
      <c r="V680" s="63"/>
      <c r="W680" s="64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3"/>
      <c r="AX680" s="63"/>
      <c r="AY680" s="63"/>
      <c r="AZ680" s="63"/>
      <c r="BA680" s="63"/>
      <c r="BB680" s="63"/>
      <c r="BC680" s="63"/>
      <c r="BD680" s="63"/>
      <c r="BE680" s="63"/>
      <c r="BF680" s="63"/>
      <c r="BG680" s="63"/>
      <c r="BH680" s="63"/>
      <c r="BI680" s="63"/>
      <c r="BJ680" s="63"/>
      <c r="BK680" s="63"/>
      <c r="BL680" s="63"/>
      <c r="BM680" s="63"/>
      <c r="BN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4"/>
      <c r="L681" s="65"/>
      <c r="M681" s="63"/>
      <c r="N681" s="63"/>
      <c r="O681" s="63"/>
      <c r="P681" s="63"/>
      <c r="Q681" s="63"/>
      <c r="R681" s="65"/>
      <c r="S681" s="63"/>
      <c r="T681" s="63"/>
      <c r="U681" s="63"/>
      <c r="V681" s="63"/>
      <c r="W681" s="64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3"/>
      <c r="AX681" s="63"/>
      <c r="AY681" s="63"/>
      <c r="AZ681" s="63"/>
      <c r="BA681" s="63"/>
      <c r="BB681" s="63"/>
      <c r="BC681" s="63"/>
      <c r="BD681" s="63"/>
      <c r="BE681" s="63"/>
      <c r="BF681" s="63"/>
      <c r="BG681" s="63"/>
      <c r="BH681" s="63"/>
      <c r="BI681" s="63"/>
      <c r="BJ681" s="63"/>
      <c r="BK681" s="63"/>
      <c r="BL681" s="63"/>
      <c r="BM681" s="63"/>
      <c r="BN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4"/>
      <c r="L682" s="65"/>
      <c r="M682" s="63"/>
      <c r="N682" s="63"/>
      <c r="O682" s="63"/>
      <c r="P682" s="63"/>
      <c r="Q682" s="63"/>
      <c r="R682" s="65"/>
      <c r="S682" s="63"/>
      <c r="T682" s="63"/>
      <c r="U682" s="63"/>
      <c r="V682" s="63"/>
      <c r="W682" s="64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3"/>
      <c r="AX682" s="63"/>
      <c r="AY682" s="63"/>
      <c r="AZ682" s="63"/>
      <c r="BA682" s="63"/>
      <c r="BB682" s="63"/>
      <c r="BC682" s="63"/>
      <c r="BD682" s="63"/>
      <c r="BE682" s="63"/>
      <c r="BF682" s="63"/>
      <c r="BG682" s="63"/>
      <c r="BH682" s="63"/>
      <c r="BI682" s="63"/>
      <c r="BJ682" s="63"/>
      <c r="BK682" s="63"/>
      <c r="BL682" s="63"/>
      <c r="BM682" s="63"/>
      <c r="BN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4"/>
      <c r="L683" s="65"/>
      <c r="M683" s="63"/>
      <c r="N683" s="63"/>
      <c r="O683" s="63"/>
      <c r="P683" s="63"/>
      <c r="Q683" s="63"/>
      <c r="R683" s="65"/>
      <c r="S683" s="63"/>
      <c r="T683" s="63"/>
      <c r="U683" s="63"/>
      <c r="V683" s="63"/>
      <c r="W683" s="64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3"/>
      <c r="AX683" s="63"/>
      <c r="AY683" s="63"/>
      <c r="AZ683" s="63"/>
      <c r="BA683" s="63"/>
      <c r="BB683" s="63"/>
      <c r="BC683" s="63"/>
      <c r="BD683" s="63"/>
      <c r="BE683" s="63"/>
      <c r="BF683" s="63"/>
      <c r="BG683" s="63"/>
      <c r="BH683" s="63"/>
      <c r="BI683" s="63"/>
      <c r="BJ683" s="63"/>
      <c r="BK683" s="63"/>
      <c r="BL683" s="63"/>
      <c r="BM683" s="63"/>
      <c r="BN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4"/>
      <c r="L684" s="65"/>
      <c r="M684" s="63"/>
      <c r="N684" s="63"/>
      <c r="O684" s="63"/>
      <c r="P684" s="63"/>
      <c r="Q684" s="63"/>
      <c r="R684" s="65"/>
      <c r="S684" s="63"/>
      <c r="T684" s="63"/>
      <c r="U684" s="63"/>
      <c r="V684" s="63"/>
      <c r="W684" s="64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3"/>
      <c r="AX684" s="63"/>
      <c r="AY684" s="63"/>
      <c r="AZ684" s="63"/>
      <c r="BA684" s="63"/>
      <c r="BB684" s="63"/>
      <c r="BC684" s="63"/>
      <c r="BD684" s="63"/>
      <c r="BE684" s="63"/>
      <c r="BF684" s="63"/>
      <c r="BG684" s="63"/>
      <c r="BH684" s="63"/>
      <c r="BI684" s="63"/>
      <c r="BJ684" s="63"/>
      <c r="BK684" s="63"/>
      <c r="BL684" s="63"/>
      <c r="BM684" s="63"/>
      <c r="BN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4"/>
      <c r="L685" s="65"/>
      <c r="M685" s="63"/>
      <c r="N685" s="63"/>
      <c r="O685" s="63"/>
      <c r="P685" s="63"/>
      <c r="Q685" s="63"/>
      <c r="R685" s="65"/>
      <c r="S685" s="63"/>
      <c r="T685" s="63"/>
      <c r="U685" s="63"/>
      <c r="V685" s="63"/>
      <c r="W685" s="64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AW685" s="63"/>
      <c r="AX685" s="63"/>
      <c r="AY685" s="63"/>
      <c r="AZ685" s="63"/>
      <c r="BA685" s="63"/>
      <c r="BB685" s="63"/>
      <c r="BC685" s="63"/>
      <c r="BD685" s="63"/>
      <c r="BE685" s="63"/>
      <c r="BF685" s="63"/>
      <c r="BG685" s="63"/>
      <c r="BH685" s="63"/>
      <c r="BI685" s="63"/>
      <c r="BJ685" s="63"/>
      <c r="BK685" s="63"/>
      <c r="BL685" s="63"/>
      <c r="BM685" s="63"/>
      <c r="BN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4"/>
      <c r="L686" s="65"/>
      <c r="M686" s="63"/>
      <c r="N686" s="63"/>
      <c r="O686" s="63"/>
      <c r="P686" s="63"/>
      <c r="Q686" s="63"/>
      <c r="R686" s="65"/>
      <c r="S686" s="63"/>
      <c r="T686" s="63"/>
      <c r="U686" s="63"/>
      <c r="V686" s="63"/>
      <c r="W686" s="64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3"/>
      <c r="BB686" s="63"/>
      <c r="BC686" s="63"/>
      <c r="BD686" s="63"/>
      <c r="BE686" s="63"/>
      <c r="BF686" s="63"/>
      <c r="BG686" s="63"/>
      <c r="BH686" s="63"/>
      <c r="BI686" s="63"/>
      <c r="BJ686" s="63"/>
      <c r="BK686" s="63"/>
      <c r="BL686" s="63"/>
      <c r="BM686" s="63"/>
      <c r="BN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4"/>
      <c r="L687" s="65"/>
      <c r="M687" s="63"/>
      <c r="N687" s="63"/>
      <c r="O687" s="63"/>
      <c r="P687" s="63"/>
      <c r="Q687" s="63"/>
      <c r="R687" s="65"/>
      <c r="S687" s="63"/>
      <c r="T687" s="63"/>
      <c r="U687" s="63"/>
      <c r="V687" s="63"/>
      <c r="W687" s="64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3"/>
      <c r="AX687" s="63"/>
      <c r="AY687" s="63"/>
      <c r="AZ687" s="63"/>
      <c r="BA687" s="63"/>
      <c r="BB687" s="63"/>
      <c r="BC687" s="63"/>
      <c r="BD687" s="63"/>
      <c r="BE687" s="63"/>
      <c r="BF687" s="63"/>
      <c r="BG687" s="63"/>
      <c r="BH687" s="63"/>
      <c r="BI687" s="63"/>
      <c r="BJ687" s="63"/>
      <c r="BK687" s="63"/>
      <c r="BL687" s="63"/>
      <c r="BM687" s="63"/>
      <c r="BN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4"/>
      <c r="L688" s="65"/>
      <c r="M688" s="63"/>
      <c r="N688" s="63"/>
      <c r="O688" s="63"/>
      <c r="P688" s="63"/>
      <c r="Q688" s="63"/>
      <c r="R688" s="65"/>
      <c r="S688" s="63"/>
      <c r="T688" s="63"/>
      <c r="U688" s="63"/>
      <c r="V688" s="63"/>
      <c r="W688" s="64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3"/>
      <c r="AX688" s="63"/>
      <c r="AY688" s="63"/>
      <c r="AZ688" s="63"/>
      <c r="BA688" s="63"/>
      <c r="BB688" s="63"/>
      <c r="BC688" s="63"/>
      <c r="BD688" s="63"/>
      <c r="BE688" s="63"/>
      <c r="BF688" s="63"/>
      <c r="BG688" s="63"/>
      <c r="BH688" s="63"/>
      <c r="BI688" s="63"/>
      <c r="BJ688" s="63"/>
      <c r="BK688" s="63"/>
      <c r="BL688" s="63"/>
      <c r="BM688" s="63"/>
      <c r="BN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4"/>
      <c r="L689" s="65"/>
      <c r="M689" s="63"/>
      <c r="N689" s="63"/>
      <c r="O689" s="63"/>
      <c r="P689" s="63"/>
      <c r="Q689" s="63"/>
      <c r="R689" s="65"/>
      <c r="S689" s="63"/>
      <c r="T689" s="63"/>
      <c r="U689" s="63"/>
      <c r="V689" s="63"/>
      <c r="W689" s="64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3"/>
      <c r="AX689" s="63"/>
      <c r="AY689" s="63"/>
      <c r="AZ689" s="63"/>
      <c r="BA689" s="63"/>
      <c r="BB689" s="63"/>
      <c r="BC689" s="63"/>
      <c r="BD689" s="63"/>
      <c r="BE689" s="63"/>
      <c r="BF689" s="63"/>
      <c r="BG689" s="63"/>
      <c r="BH689" s="63"/>
      <c r="BI689" s="63"/>
      <c r="BJ689" s="63"/>
      <c r="BK689" s="63"/>
      <c r="BL689" s="63"/>
      <c r="BM689" s="63"/>
      <c r="BN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4"/>
      <c r="L690" s="65"/>
      <c r="M690" s="63"/>
      <c r="N690" s="63"/>
      <c r="O690" s="63"/>
      <c r="P690" s="63"/>
      <c r="Q690" s="63"/>
      <c r="R690" s="65"/>
      <c r="S690" s="63"/>
      <c r="T690" s="63"/>
      <c r="U690" s="63"/>
      <c r="V690" s="63"/>
      <c r="W690" s="64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3"/>
      <c r="AX690" s="63"/>
      <c r="AY690" s="63"/>
      <c r="AZ690" s="63"/>
      <c r="BA690" s="63"/>
      <c r="BB690" s="63"/>
      <c r="BC690" s="63"/>
      <c r="BD690" s="63"/>
      <c r="BE690" s="63"/>
      <c r="BF690" s="63"/>
      <c r="BG690" s="63"/>
      <c r="BH690" s="63"/>
      <c r="BI690" s="63"/>
      <c r="BJ690" s="63"/>
      <c r="BK690" s="63"/>
      <c r="BL690" s="63"/>
      <c r="BM690" s="63"/>
      <c r="BN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4"/>
      <c r="L691" s="65"/>
      <c r="M691" s="63"/>
      <c r="N691" s="63"/>
      <c r="O691" s="63"/>
      <c r="P691" s="63"/>
      <c r="Q691" s="63"/>
      <c r="R691" s="65"/>
      <c r="S691" s="63"/>
      <c r="T691" s="63"/>
      <c r="U691" s="63"/>
      <c r="V691" s="63"/>
      <c r="W691" s="64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3"/>
      <c r="AX691" s="63"/>
      <c r="AY691" s="63"/>
      <c r="AZ691" s="63"/>
      <c r="BA691" s="63"/>
      <c r="BB691" s="63"/>
      <c r="BC691" s="63"/>
      <c r="BD691" s="63"/>
      <c r="BE691" s="63"/>
      <c r="BF691" s="63"/>
      <c r="BG691" s="63"/>
      <c r="BH691" s="63"/>
      <c r="BI691" s="63"/>
      <c r="BJ691" s="63"/>
      <c r="BK691" s="63"/>
      <c r="BL691" s="63"/>
      <c r="BM691" s="63"/>
      <c r="BN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4"/>
      <c r="L692" s="65"/>
      <c r="M692" s="63"/>
      <c r="N692" s="63"/>
      <c r="O692" s="63"/>
      <c r="P692" s="63"/>
      <c r="Q692" s="63"/>
      <c r="R692" s="65"/>
      <c r="S692" s="63"/>
      <c r="T692" s="63"/>
      <c r="U692" s="63"/>
      <c r="V692" s="63"/>
      <c r="W692" s="64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3"/>
      <c r="AX692" s="63"/>
      <c r="AY692" s="63"/>
      <c r="AZ692" s="63"/>
      <c r="BA692" s="63"/>
      <c r="BB692" s="63"/>
      <c r="BC692" s="63"/>
      <c r="BD692" s="63"/>
      <c r="BE692" s="63"/>
      <c r="BF692" s="63"/>
      <c r="BG692" s="63"/>
      <c r="BH692" s="63"/>
      <c r="BI692" s="63"/>
      <c r="BJ692" s="63"/>
      <c r="BK692" s="63"/>
      <c r="BL692" s="63"/>
      <c r="BM692" s="63"/>
      <c r="BN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4"/>
      <c r="L693" s="65"/>
      <c r="M693" s="63"/>
      <c r="N693" s="63"/>
      <c r="O693" s="63"/>
      <c r="P693" s="63"/>
      <c r="Q693" s="63"/>
      <c r="R693" s="65"/>
      <c r="S693" s="63"/>
      <c r="T693" s="63"/>
      <c r="U693" s="63"/>
      <c r="V693" s="63"/>
      <c r="W693" s="64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3"/>
      <c r="AX693" s="63"/>
      <c r="AY693" s="63"/>
      <c r="AZ693" s="63"/>
      <c r="BA693" s="63"/>
      <c r="BB693" s="63"/>
      <c r="BC693" s="63"/>
      <c r="BD693" s="63"/>
      <c r="BE693" s="63"/>
      <c r="BF693" s="63"/>
      <c r="BG693" s="63"/>
      <c r="BH693" s="63"/>
      <c r="BI693" s="63"/>
      <c r="BJ693" s="63"/>
      <c r="BK693" s="63"/>
      <c r="BL693" s="63"/>
      <c r="BM693" s="63"/>
      <c r="BN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4"/>
      <c r="L694" s="65"/>
      <c r="M694" s="63"/>
      <c r="N694" s="63"/>
      <c r="O694" s="63"/>
      <c r="P694" s="63"/>
      <c r="Q694" s="63"/>
      <c r="R694" s="65"/>
      <c r="S694" s="63"/>
      <c r="T694" s="63"/>
      <c r="U694" s="63"/>
      <c r="V694" s="63"/>
      <c r="W694" s="64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3"/>
      <c r="AX694" s="63"/>
      <c r="AY694" s="63"/>
      <c r="AZ694" s="63"/>
      <c r="BA694" s="63"/>
      <c r="BB694" s="63"/>
      <c r="BC694" s="63"/>
      <c r="BD694" s="63"/>
      <c r="BE694" s="63"/>
      <c r="BF694" s="63"/>
      <c r="BG694" s="63"/>
      <c r="BH694" s="63"/>
      <c r="BI694" s="63"/>
      <c r="BJ694" s="63"/>
      <c r="BK694" s="63"/>
      <c r="BL694" s="63"/>
      <c r="BM694" s="63"/>
      <c r="BN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4"/>
      <c r="L695" s="65"/>
      <c r="M695" s="63"/>
      <c r="N695" s="63"/>
      <c r="O695" s="63"/>
      <c r="P695" s="63"/>
      <c r="Q695" s="63"/>
      <c r="R695" s="65"/>
      <c r="S695" s="63"/>
      <c r="T695" s="63"/>
      <c r="U695" s="63"/>
      <c r="V695" s="63"/>
      <c r="W695" s="64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  <c r="BC695" s="63"/>
      <c r="BD695" s="63"/>
      <c r="BE695" s="63"/>
      <c r="BF695" s="63"/>
      <c r="BG695" s="63"/>
      <c r="BH695" s="63"/>
      <c r="BI695" s="63"/>
      <c r="BJ695" s="63"/>
      <c r="BK695" s="63"/>
      <c r="BL695" s="63"/>
      <c r="BM695" s="63"/>
      <c r="BN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4"/>
      <c r="L696" s="65"/>
      <c r="M696" s="63"/>
      <c r="N696" s="63"/>
      <c r="O696" s="63"/>
      <c r="P696" s="63"/>
      <c r="Q696" s="63"/>
      <c r="R696" s="65"/>
      <c r="S696" s="63"/>
      <c r="T696" s="63"/>
      <c r="U696" s="63"/>
      <c r="V696" s="63"/>
      <c r="W696" s="64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  <c r="BC696" s="63"/>
      <c r="BD696" s="63"/>
      <c r="BE696" s="63"/>
      <c r="BF696" s="63"/>
      <c r="BG696" s="63"/>
      <c r="BH696" s="63"/>
      <c r="BI696" s="63"/>
      <c r="BJ696" s="63"/>
      <c r="BK696" s="63"/>
      <c r="BL696" s="63"/>
      <c r="BM696" s="63"/>
      <c r="BN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4"/>
      <c r="L697" s="65"/>
      <c r="M697" s="63"/>
      <c r="N697" s="63"/>
      <c r="O697" s="63"/>
      <c r="P697" s="63"/>
      <c r="Q697" s="63"/>
      <c r="R697" s="65"/>
      <c r="S697" s="63"/>
      <c r="T697" s="63"/>
      <c r="U697" s="63"/>
      <c r="V697" s="63"/>
      <c r="W697" s="64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3"/>
      <c r="AX697" s="63"/>
      <c r="AY697" s="63"/>
      <c r="AZ697" s="63"/>
      <c r="BA697" s="63"/>
      <c r="BB697" s="63"/>
      <c r="BC697" s="63"/>
      <c r="BD697" s="63"/>
      <c r="BE697" s="63"/>
      <c r="BF697" s="63"/>
      <c r="BG697" s="63"/>
      <c r="BH697" s="63"/>
      <c r="BI697" s="63"/>
      <c r="BJ697" s="63"/>
      <c r="BK697" s="63"/>
      <c r="BL697" s="63"/>
      <c r="BM697" s="63"/>
      <c r="BN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4"/>
      <c r="L698" s="65"/>
      <c r="M698" s="63"/>
      <c r="N698" s="63"/>
      <c r="O698" s="63"/>
      <c r="P698" s="63"/>
      <c r="Q698" s="63"/>
      <c r="R698" s="65"/>
      <c r="S698" s="63"/>
      <c r="T698" s="63"/>
      <c r="U698" s="63"/>
      <c r="V698" s="63"/>
      <c r="W698" s="64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AW698" s="63"/>
      <c r="AX698" s="63"/>
      <c r="AY698" s="63"/>
      <c r="AZ698" s="63"/>
      <c r="BA698" s="63"/>
      <c r="BB698" s="63"/>
      <c r="BC698" s="63"/>
      <c r="BD698" s="63"/>
      <c r="BE698" s="63"/>
      <c r="BF698" s="63"/>
      <c r="BG698" s="63"/>
      <c r="BH698" s="63"/>
      <c r="BI698" s="63"/>
      <c r="BJ698" s="63"/>
      <c r="BK698" s="63"/>
      <c r="BL698" s="63"/>
      <c r="BM698" s="63"/>
      <c r="BN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4"/>
      <c r="L699" s="65"/>
      <c r="M699" s="63"/>
      <c r="N699" s="63"/>
      <c r="O699" s="63"/>
      <c r="P699" s="63"/>
      <c r="Q699" s="63"/>
      <c r="R699" s="65"/>
      <c r="S699" s="63"/>
      <c r="T699" s="63"/>
      <c r="U699" s="63"/>
      <c r="V699" s="63"/>
      <c r="W699" s="64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3"/>
      <c r="AX699" s="63"/>
      <c r="AY699" s="63"/>
      <c r="AZ699" s="63"/>
      <c r="BA699" s="63"/>
      <c r="BB699" s="63"/>
      <c r="BC699" s="63"/>
      <c r="BD699" s="63"/>
      <c r="BE699" s="63"/>
      <c r="BF699" s="63"/>
      <c r="BG699" s="63"/>
      <c r="BH699" s="63"/>
      <c r="BI699" s="63"/>
      <c r="BJ699" s="63"/>
      <c r="BK699" s="63"/>
      <c r="BL699" s="63"/>
      <c r="BM699" s="63"/>
      <c r="BN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4"/>
      <c r="L700" s="65"/>
      <c r="M700" s="63"/>
      <c r="N700" s="63"/>
      <c r="O700" s="63"/>
      <c r="P700" s="63"/>
      <c r="Q700" s="63"/>
      <c r="R700" s="65"/>
      <c r="S700" s="63"/>
      <c r="T700" s="63"/>
      <c r="U700" s="63"/>
      <c r="V700" s="63"/>
      <c r="W700" s="64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AW700" s="63"/>
      <c r="AX700" s="63"/>
      <c r="AY700" s="63"/>
      <c r="AZ700" s="63"/>
      <c r="BA700" s="63"/>
      <c r="BB700" s="63"/>
      <c r="BC700" s="63"/>
      <c r="BD700" s="63"/>
      <c r="BE700" s="63"/>
      <c r="BF700" s="63"/>
      <c r="BG700" s="63"/>
      <c r="BH700" s="63"/>
      <c r="BI700" s="63"/>
      <c r="BJ700" s="63"/>
      <c r="BK700" s="63"/>
      <c r="BL700" s="63"/>
      <c r="BM700" s="63"/>
      <c r="BN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4"/>
      <c r="L701" s="65"/>
      <c r="M701" s="63"/>
      <c r="N701" s="63"/>
      <c r="O701" s="63"/>
      <c r="P701" s="63"/>
      <c r="Q701" s="63"/>
      <c r="R701" s="65"/>
      <c r="S701" s="63"/>
      <c r="T701" s="63"/>
      <c r="U701" s="63"/>
      <c r="V701" s="63"/>
      <c r="W701" s="64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AW701" s="63"/>
      <c r="AX701" s="63"/>
      <c r="AY701" s="63"/>
      <c r="AZ701" s="63"/>
      <c r="BA701" s="63"/>
      <c r="BB701" s="63"/>
      <c r="BC701" s="63"/>
      <c r="BD701" s="63"/>
      <c r="BE701" s="63"/>
      <c r="BF701" s="63"/>
      <c r="BG701" s="63"/>
      <c r="BH701" s="63"/>
      <c r="BI701" s="63"/>
      <c r="BJ701" s="63"/>
      <c r="BK701" s="63"/>
      <c r="BL701" s="63"/>
      <c r="BM701" s="63"/>
      <c r="BN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4"/>
      <c r="L702" s="65"/>
      <c r="M702" s="63"/>
      <c r="N702" s="63"/>
      <c r="O702" s="63"/>
      <c r="P702" s="63"/>
      <c r="Q702" s="63"/>
      <c r="R702" s="65"/>
      <c r="S702" s="63"/>
      <c r="T702" s="63"/>
      <c r="U702" s="63"/>
      <c r="V702" s="63"/>
      <c r="W702" s="64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3"/>
      <c r="AX702" s="63"/>
      <c r="AY702" s="63"/>
      <c r="AZ702" s="63"/>
      <c r="BA702" s="63"/>
      <c r="BB702" s="63"/>
      <c r="BC702" s="63"/>
      <c r="BD702" s="63"/>
      <c r="BE702" s="63"/>
      <c r="BF702" s="63"/>
      <c r="BG702" s="63"/>
      <c r="BH702" s="63"/>
      <c r="BI702" s="63"/>
      <c r="BJ702" s="63"/>
      <c r="BK702" s="63"/>
      <c r="BL702" s="63"/>
      <c r="BM702" s="63"/>
      <c r="BN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4"/>
      <c r="L703" s="65"/>
      <c r="M703" s="63"/>
      <c r="N703" s="63"/>
      <c r="O703" s="63"/>
      <c r="P703" s="63"/>
      <c r="Q703" s="63"/>
      <c r="R703" s="65"/>
      <c r="S703" s="63"/>
      <c r="T703" s="63"/>
      <c r="U703" s="63"/>
      <c r="V703" s="63"/>
      <c r="W703" s="64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3"/>
      <c r="AX703" s="63"/>
      <c r="AY703" s="63"/>
      <c r="AZ703" s="63"/>
      <c r="BA703" s="63"/>
      <c r="BB703" s="63"/>
      <c r="BC703" s="63"/>
      <c r="BD703" s="63"/>
      <c r="BE703" s="63"/>
      <c r="BF703" s="63"/>
      <c r="BG703" s="63"/>
      <c r="BH703" s="63"/>
      <c r="BI703" s="63"/>
      <c r="BJ703" s="63"/>
      <c r="BK703" s="63"/>
      <c r="BL703" s="63"/>
      <c r="BM703" s="63"/>
      <c r="BN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4"/>
      <c r="L704" s="65"/>
      <c r="M704" s="63"/>
      <c r="N704" s="63"/>
      <c r="O704" s="63"/>
      <c r="P704" s="63"/>
      <c r="Q704" s="63"/>
      <c r="R704" s="65"/>
      <c r="S704" s="63"/>
      <c r="T704" s="63"/>
      <c r="U704" s="63"/>
      <c r="V704" s="63"/>
      <c r="W704" s="64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3"/>
      <c r="AX704" s="63"/>
      <c r="AY704" s="63"/>
      <c r="AZ704" s="63"/>
      <c r="BA704" s="63"/>
      <c r="BB704" s="63"/>
      <c r="BC704" s="63"/>
      <c r="BD704" s="63"/>
      <c r="BE704" s="63"/>
      <c r="BF704" s="63"/>
      <c r="BG704" s="63"/>
      <c r="BH704" s="63"/>
      <c r="BI704" s="63"/>
      <c r="BJ704" s="63"/>
      <c r="BK704" s="63"/>
      <c r="BL704" s="63"/>
      <c r="BM704" s="63"/>
      <c r="BN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4"/>
      <c r="L705" s="65"/>
      <c r="M705" s="63"/>
      <c r="N705" s="63"/>
      <c r="O705" s="63"/>
      <c r="P705" s="63"/>
      <c r="Q705" s="63"/>
      <c r="R705" s="65"/>
      <c r="S705" s="63"/>
      <c r="T705" s="63"/>
      <c r="U705" s="63"/>
      <c r="V705" s="63"/>
      <c r="W705" s="64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AW705" s="63"/>
      <c r="AX705" s="63"/>
      <c r="AY705" s="63"/>
      <c r="AZ705" s="63"/>
      <c r="BA705" s="63"/>
      <c r="BB705" s="63"/>
      <c r="BC705" s="63"/>
      <c r="BD705" s="63"/>
      <c r="BE705" s="63"/>
      <c r="BF705" s="63"/>
      <c r="BG705" s="63"/>
      <c r="BH705" s="63"/>
      <c r="BI705" s="63"/>
      <c r="BJ705" s="63"/>
      <c r="BK705" s="63"/>
      <c r="BL705" s="63"/>
      <c r="BM705" s="63"/>
      <c r="BN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4"/>
      <c r="L706" s="65"/>
      <c r="M706" s="63"/>
      <c r="N706" s="63"/>
      <c r="O706" s="63"/>
      <c r="P706" s="63"/>
      <c r="Q706" s="63"/>
      <c r="R706" s="65"/>
      <c r="S706" s="63"/>
      <c r="T706" s="63"/>
      <c r="U706" s="63"/>
      <c r="V706" s="63"/>
      <c r="W706" s="64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3"/>
      <c r="AX706" s="63"/>
      <c r="AY706" s="63"/>
      <c r="AZ706" s="63"/>
      <c r="BA706" s="63"/>
      <c r="BB706" s="63"/>
      <c r="BC706" s="63"/>
      <c r="BD706" s="63"/>
      <c r="BE706" s="63"/>
      <c r="BF706" s="63"/>
      <c r="BG706" s="63"/>
      <c r="BH706" s="63"/>
      <c r="BI706" s="63"/>
      <c r="BJ706" s="63"/>
      <c r="BK706" s="63"/>
      <c r="BL706" s="63"/>
      <c r="BM706" s="63"/>
      <c r="BN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4"/>
      <c r="L707" s="65"/>
      <c r="M707" s="63"/>
      <c r="N707" s="63"/>
      <c r="O707" s="63"/>
      <c r="P707" s="63"/>
      <c r="Q707" s="63"/>
      <c r="R707" s="65"/>
      <c r="S707" s="63"/>
      <c r="T707" s="63"/>
      <c r="U707" s="63"/>
      <c r="V707" s="63"/>
      <c r="W707" s="64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AW707" s="63"/>
      <c r="AX707" s="63"/>
      <c r="AY707" s="63"/>
      <c r="AZ707" s="63"/>
      <c r="BA707" s="63"/>
      <c r="BB707" s="63"/>
      <c r="BC707" s="63"/>
      <c r="BD707" s="63"/>
      <c r="BE707" s="63"/>
      <c r="BF707" s="63"/>
      <c r="BG707" s="63"/>
      <c r="BH707" s="63"/>
      <c r="BI707" s="63"/>
      <c r="BJ707" s="63"/>
      <c r="BK707" s="63"/>
      <c r="BL707" s="63"/>
      <c r="BM707" s="63"/>
      <c r="BN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4"/>
      <c r="L708" s="65"/>
      <c r="M708" s="63"/>
      <c r="N708" s="63"/>
      <c r="O708" s="63"/>
      <c r="P708" s="63"/>
      <c r="Q708" s="63"/>
      <c r="R708" s="65"/>
      <c r="S708" s="63"/>
      <c r="T708" s="63"/>
      <c r="U708" s="63"/>
      <c r="V708" s="63"/>
      <c r="W708" s="64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3"/>
      <c r="AX708" s="63"/>
      <c r="AY708" s="63"/>
      <c r="AZ708" s="63"/>
      <c r="BA708" s="63"/>
      <c r="BB708" s="63"/>
      <c r="BC708" s="63"/>
      <c r="BD708" s="63"/>
      <c r="BE708" s="63"/>
      <c r="BF708" s="63"/>
      <c r="BG708" s="63"/>
      <c r="BH708" s="63"/>
      <c r="BI708" s="63"/>
      <c r="BJ708" s="63"/>
      <c r="BK708" s="63"/>
      <c r="BL708" s="63"/>
      <c r="BM708" s="63"/>
      <c r="BN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4"/>
      <c r="L709" s="65"/>
      <c r="M709" s="63"/>
      <c r="N709" s="63"/>
      <c r="O709" s="63"/>
      <c r="P709" s="63"/>
      <c r="Q709" s="63"/>
      <c r="R709" s="65"/>
      <c r="S709" s="63"/>
      <c r="T709" s="63"/>
      <c r="U709" s="63"/>
      <c r="V709" s="63"/>
      <c r="W709" s="64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AW709" s="63"/>
      <c r="AX709" s="63"/>
      <c r="AY709" s="63"/>
      <c r="AZ709" s="63"/>
      <c r="BA709" s="63"/>
      <c r="BB709" s="63"/>
      <c r="BC709" s="63"/>
      <c r="BD709" s="63"/>
      <c r="BE709" s="63"/>
      <c r="BF709" s="63"/>
      <c r="BG709" s="63"/>
      <c r="BH709" s="63"/>
      <c r="BI709" s="63"/>
      <c r="BJ709" s="63"/>
      <c r="BK709" s="63"/>
      <c r="BL709" s="63"/>
      <c r="BM709" s="63"/>
      <c r="BN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4"/>
      <c r="L710" s="65"/>
      <c r="M710" s="63"/>
      <c r="N710" s="63"/>
      <c r="O710" s="63"/>
      <c r="P710" s="63"/>
      <c r="Q710" s="63"/>
      <c r="R710" s="65"/>
      <c r="S710" s="63"/>
      <c r="T710" s="63"/>
      <c r="U710" s="63"/>
      <c r="V710" s="63"/>
      <c r="W710" s="64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AW710" s="63"/>
      <c r="AX710" s="63"/>
      <c r="AY710" s="63"/>
      <c r="AZ710" s="63"/>
      <c r="BA710" s="63"/>
      <c r="BB710" s="63"/>
      <c r="BC710" s="63"/>
      <c r="BD710" s="63"/>
      <c r="BE710" s="63"/>
      <c r="BF710" s="63"/>
      <c r="BG710" s="63"/>
      <c r="BH710" s="63"/>
      <c r="BI710" s="63"/>
      <c r="BJ710" s="63"/>
      <c r="BK710" s="63"/>
      <c r="BL710" s="63"/>
      <c r="BM710" s="63"/>
      <c r="BN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4"/>
      <c r="L711" s="65"/>
      <c r="M711" s="63"/>
      <c r="N711" s="63"/>
      <c r="O711" s="63"/>
      <c r="P711" s="63"/>
      <c r="Q711" s="63"/>
      <c r="R711" s="65"/>
      <c r="S711" s="63"/>
      <c r="T711" s="63"/>
      <c r="U711" s="63"/>
      <c r="V711" s="63"/>
      <c r="W711" s="64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AW711" s="63"/>
      <c r="AX711" s="63"/>
      <c r="AY711" s="63"/>
      <c r="AZ711" s="63"/>
      <c r="BA711" s="63"/>
      <c r="BB711" s="63"/>
      <c r="BC711" s="63"/>
      <c r="BD711" s="63"/>
      <c r="BE711" s="63"/>
      <c r="BF711" s="63"/>
      <c r="BG711" s="63"/>
      <c r="BH711" s="63"/>
      <c r="BI711" s="63"/>
      <c r="BJ711" s="63"/>
      <c r="BK711" s="63"/>
      <c r="BL711" s="63"/>
      <c r="BM711" s="63"/>
      <c r="BN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4"/>
      <c r="L712" s="65"/>
      <c r="M712" s="63"/>
      <c r="N712" s="63"/>
      <c r="O712" s="63"/>
      <c r="P712" s="63"/>
      <c r="Q712" s="63"/>
      <c r="R712" s="65"/>
      <c r="S712" s="63"/>
      <c r="T712" s="63"/>
      <c r="U712" s="63"/>
      <c r="V712" s="63"/>
      <c r="W712" s="64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AW712" s="63"/>
      <c r="AX712" s="63"/>
      <c r="AY712" s="63"/>
      <c r="AZ712" s="63"/>
      <c r="BA712" s="63"/>
      <c r="BB712" s="63"/>
      <c r="BC712" s="63"/>
      <c r="BD712" s="63"/>
      <c r="BE712" s="63"/>
      <c r="BF712" s="63"/>
      <c r="BG712" s="63"/>
      <c r="BH712" s="63"/>
      <c r="BI712" s="63"/>
      <c r="BJ712" s="63"/>
      <c r="BK712" s="63"/>
      <c r="BL712" s="63"/>
      <c r="BM712" s="63"/>
      <c r="BN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4"/>
      <c r="L713" s="65"/>
      <c r="M713" s="63"/>
      <c r="N713" s="63"/>
      <c r="O713" s="63"/>
      <c r="P713" s="63"/>
      <c r="Q713" s="63"/>
      <c r="R713" s="65"/>
      <c r="S713" s="63"/>
      <c r="T713" s="63"/>
      <c r="U713" s="63"/>
      <c r="V713" s="63"/>
      <c r="W713" s="64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3"/>
      <c r="BB713" s="63"/>
      <c r="BC713" s="63"/>
      <c r="BD713" s="63"/>
      <c r="BE713" s="63"/>
      <c r="BF713" s="63"/>
      <c r="BG713" s="63"/>
      <c r="BH713" s="63"/>
      <c r="BI713" s="63"/>
      <c r="BJ713" s="63"/>
      <c r="BK713" s="63"/>
      <c r="BL713" s="63"/>
      <c r="BM713" s="63"/>
      <c r="BN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4"/>
      <c r="L714" s="65"/>
      <c r="M714" s="63"/>
      <c r="N714" s="63"/>
      <c r="O714" s="63"/>
      <c r="P714" s="63"/>
      <c r="Q714" s="63"/>
      <c r="R714" s="65"/>
      <c r="S714" s="63"/>
      <c r="T714" s="63"/>
      <c r="U714" s="63"/>
      <c r="V714" s="63"/>
      <c r="W714" s="64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AW714" s="63"/>
      <c r="AX714" s="63"/>
      <c r="AY714" s="63"/>
      <c r="AZ714" s="63"/>
      <c r="BA714" s="63"/>
      <c r="BB714" s="63"/>
      <c r="BC714" s="63"/>
      <c r="BD714" s="63"/>
      <c r="BE714" s="63"/>
      <c r="BF714" s="63"/>
      <c r="BG714" s="63"/>
      <c r="BH714" s="63"/>
      <c r="BI714" s="63"/>
      <c r="BJ714" s="63"/>
      <c r="BK714" s="63"/>
      <c r="BL714" s="63"/>
      <c r="BM714" s="63"/>
      <c r="BN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4"/>
      <c r="L715" s="65"/>
      <c r="M715" s="63"/>
      <c r="N715" s="63"/>
      <c r="O715" s="63"/>
      <c r="P715" s="63"/>
      <c r="Q715" s="63"/>
      <c r="R715" s="65"/>
      <c r="S715" s="63"/>
      <c r="T715" s="63"/>
      <c r="U715" s="63"/>
      <c r="V715" s="63"/>
      <c r="W715" s="64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3"/>
      <c r="AX715" s="63"/>
      <c r="AY715" s="63"/>
      <c r="AZ715" s="63"/>
      <c r="BA715" s="63"/>
      <c r="BB715" s="63"/>
      <c r="BC715" s="63"/>
      <c r="BD715" s="63"/>
      <c r="BE715" s="63"/>
      <c r="BF715" s="63"/>
      <c r="BG715" s="63"/>
      <c r="BH715" s="63"/>
      <c r="BI715" s="63"/>
      <c r="BJ715" s="63"/>
      <c r="BK715" s="63"/>
      <c r="BL715" s="63"/>
      <c r="BM715" s="63"/>
      <c r="BN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4"/>
      <c r="L716" s="65"/>
      <c r="M716" s="63"/>
      <c r="N716" s="63"/>
      <c r="O716" s="63"/>
      <c r="P716" s="63"/>
      <c r="Q716" s="63"/>
      <c r="R716" s="65"/>
      <c r="S716" s="63"/>
      <c r="T716" s="63"/>
      <c r="U716" s="63"/>
      <c r="V716" s="63"/>
      <c r="W716" s="64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AW716" s="63"/>
      <c r="AX716" s="63"/>
      <c r="AY716" s="63"/>
      <c r="AZ716" s="63"/>
      <c r="BA716" s="63"/>
      <c r="BB716" s="63"/>
      <c r="BC716" s="63"/>
      <c r="BD716" s="63"/>
      <c r="BE716" s="63"/>
      <c r="BF716" s="63"/>
      <c r="BG716" s="63"/>
      <c r="BH716" s="63"/>
      <c r="BI716" s="63"/>
      <c r="BJ716" s="63"/>
      <c r="BK716" s="63"/>
      <c r="BL716" s="63"/>
      <c r="BM716" s="63"/>
      <c r="BN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4"/>
      <c r="L717" s="65"/>
      <c r="M717" s="63"/>
      <c r="N717" s="63"/>
      <c r="O717" s="63"/>
      <c r="P717" s="63"/>
      <c r="Q717" s="63"/>
      <c r="R717" s="65"/>
      <c r="S717" s="63"/>
      <c r="T717" s="63"/>
      <c r="U717" s="63"/>
      <c r="V717" s="63"/>
      <c r="W717" s="64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AW717" s="63"/>
      <c r="AX717" s="63"/>
      <c r="AY717" s="63"/>
      <c r="AZ717" s="63"/>
      <c r="BA717" s="63"/>
      <c r="BB717" s="63"/>
      <c r="BC717" s="63"/>
      <c r="BD717" s="63"/>
      <c r="BE717" s="63"/>
      <c r="BF717" s="63"/>
      <c r="BG717" s="63"/>
      <c r="BH717" s="63"/>
      <c r="BI717" s="63"/>
      <c r="BJ717" s="63"/>
      <c r="BK717" s="63"/>
      <c r="BL717" s="63"/>
      <c r="BM717" s="63"/>
      <c r="BN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4"/>
      <c r="L718" s="65"/>
      <c r="M718" s="63"/>
      <c r="N718" s="63"/>
      <c r="O718" s="63"/>
      <c r="P718" s="63"/>
      <c r="Q718" s="63"/>
      <c r="R718" s="65"/>
      <c r="S718" s="63"/>
      <c r="T718" s="63"/>
      <c r="U718" s="63"/>
      <c r="V718" s="63"/>
      <c r="W718" s="64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AW718" s="63"/>
      <c r="AX718" s="63"/>
      <c r="AY718" s="63"/>
      <c r="AZ718" s="63"/>
      <c r="BA718" s="63"/>
      <c r="BB718" s="63"/>
      <c r="BC718" s="63"/>
      <c r="BD718" s="63"/>
      <c r="BE718" s="63"/>
      <c r="BF718" s="63"/>
      <c r="BG718" s="63"/>
      <c r="BH718" s="63"/>
      <c r="BI718" s="63"/>
      <c r="BJ718" s="63"/>
      <c r="BK718" s="63"/>
      <c r="BL718" s="63"/>
      <c r="BM718" s="63"/>
      <c r="BN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4"/>
      <c r="L719" s="65"/>
      <c r="M719" s="63"/>
      <c r="N719" s="63"/>
      <c r="O719" s="63"/>
      <c r="P719" s="63"/>
      <c r="Q719" s="63"/>
      <c r="R719" s="65"/>
      <c r="S719" s="63"/>
      <c r="T719" s="63"/>
      <c r="U719" s="63"/>
      <c r="V719" s="63"/>
      <c r="W719" s="64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3"/>
      <c r="AX719" s="63"/>
      <c r="AY719" s="63"/>
      <c r="AZ719" s="63"/>
      <c r="BA719" s="63"/>
      <c r="BB719" s="63"/>
      <c r="BC719" s="63"/>
      <c r="BD719" s="63"/>
      <c r="BE719" s="63"/>
      <c r="BF719" s="63"/>
      <c r="BG719" s="63"/>
      <c r="BH719" s="63"/>
      <c r="BI719" s="63"/>
      <c r="BJ719" s="63"/>
      <c r="BK719" s="63"/>
      <c r="BL719" s="63"/>
      <c r="BM719" s="63"/>
      <c r="BN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4"/>
      <c r="L720" s="65"/>
      <c r="M720" s="63"/>
      <c r="N720" s="63"/>
      <c r="O720" s="63"/>
      <c r="P720" s="63"/>
      <c r="Q720" s="63"/>
      <c r="R720" s="65"/>
      <c r="S720" s="63"/>
      <c r="T720" s="63"/>
      <c r="U720" s="63"/>
      <c r="V720" s="63"/>
      <c r="W720" s="64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3"/>
      <c r="AX720" s="63"/>
      <c r="AY720" s="63"/>
      <c r="AZ720" s="63"/>
      <c r="BA720" s="63"/>
      <c r="BB720" s="63"/>
      <c r="BC720" s="63"/>
      <c r="BD720" s="63"/>
      <c r="BE720" s="63"/>
      <c r="BF720" s="63"/>
      <c r="BG720" s="63"/>
      <c r="BH720" s="63"/>
      <c r="BI720" s="63"/>
      <c r="BJ720" s="63"/>
      <c r="BK720" s="63"/>
      <c r="BL720" s="63"/>
      <c r="BM720" s="63"/>
      <c r="BN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4"/>
      <c r="L721" s="65"/>
      <c r="M721" s="63"/>
      <c r="N721" s="63"/>
      <c r="O721" s="63"/>
      <c r="P721" s="63"/>
      <c r="Q721" s="63"/>
      <c r="R721" s="65"/>
      <c r="S721" s="63"/>
      <c r="T721" s="63"/>
      <c r="U721" s="63"/>
      <c r="V721" s="63"/>
      <c r="W721" s="64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3"/>
      <c r="AX721" s="63"/>
      <c r="AY721" s="63"/>
      <c r="AZ721" s="63"/>
      <c r="BA721" s="63"/>
      <c r="BB721" s="63"/>
      <c r="BC721" s="63"/>
      <c r="BD721" s="63"/>
      <c r="BE721" s="63"/>
      <c r="BF721" s="63"/>
      <c r="BG721" s="63"/>
      <c r="BH721" s="63"/>
      <c r="BI721" s="63"/>
      <c r="BJ721" s="63"/>
      <c r="BK721" s="63"/>
      <c r="BL721" s="63"/>
      <c r="BM721" s="63"/>
      <c r="BN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4"/>
      <c r="L722" s="65"/>
      <c r="M722" s="63"/>
      <c r="N722" s="63"/>
      <c r="O722" s="63"/>
      <c r="P722" s="63"/>
      <c r="Q722" s="63"/>
      <c r="R722" s="65"/>
      <c r="S722" s="63"/>
      <c r="T722" s="63"/>
      <c r="U722" s="63"/>
      <c r="V722" s="63"/>
      <c r="W722" s="64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AW722" s="63"/>
      <c r="AX722" s="63"/>
      <c r="AY722" s="63"/>
      <c r="AZ722" s="63"/>
      <c r="BA722" s="63"/>
      <c r="BB722" s="63"/>
      <c r="BC722" s="63"/>
      <c r="BD722" s="63"/>
      <c r="BE722" s="63"/>
      <c r="BF722" s="63"/>
      <c r="BG722" s="63"/>
      <c r="BH722" s="63"/>
      <c r="BI722" s="63"/>
      <c r="BJ722" s="63"/>
      <c r="BK722" s="63"/>
      <c r="BL722" s="63"/>
      <c r="BM722" s="63"/>
      <c r="BN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4"/>
      <c r="L723" s="65"/>
      <c r="M723" s="63"/>
      <c r="N723" s="63"/>
      <c r="O723" s="63"/>
      <c r="P723" s="63"/>
      <c r="Q723" s="63"/>
      <c r="R723" s="65"/>
      <c r="S723" s="63"/>
      <c r="T723" s="63"/>
      <c r="U723" s="63"/>
      <c r="V723" s="63"/>
      <c r="W723" s="64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AW723" s="63"/>
      <c r="AX723" s="63"/>
      <c r="AY723" s="63"/>
      <c r="AZ723" s="63"/>
      <c r="BA723" s="63"/>
      <c r="BB723" s="63"/>
      <c r="BC723" s="63"/>
      <c r="BD723" s="63"/>
      <c r="BE723" s="63"/>
      <c r="BF723" s="63"/>
      <c r="BG723" s="63"/>
      <c r="BH723" s="63"/>
      <c r="BI723" s="63"/>
      <c r="BJ723" s="63"/>
      <c r="BK723" s="63"/>
      <c r="BL723" s="63"/>
      <c r="BM723" s="63"/>
      <c r="BN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4"/>
      <c r="L724" s="65"/>
      <c r="M724" s="63"/>
      <c r="N724" s="63"/>
      <c r="O724" s="63"/>
      <c r="P724" s="63"/>
      <c r="Q724" s="63"/>
      <c r="R724" s="65"/>
      <c r="S724" s="63"/>
      <c r="T724" s="63"/>
      <c r="U724" s="63"/>
      <c r="V724" s="63"/>
      <c r="W724" s="64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AW724" s="63"/>
      <c r="AX724" s="63"/>
      <c r="AY724" s="63"/>
      <c r="AZ724" s="63"/>
      <c r="BA724" s="63"/>
      <c r="BB724" s="63"/>
      <c r="BC724" s="63"/>
      <c r="BD724" s="63"/>
      <c r="BE724" s="63"/>
      <c r="BF724" s="63"/>
      <c r="BG724" s="63"/>
      <c r="BH724" s="63"/>
      <c r="BI724" s="63"/>
      <c r="BJ724" s="63"/>
      <c r="BK724" s="63"/>
      <c r="BL724" s="63"/>
      <c r="BM724" s="63"/>
      <c r="BN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4"/>
      <c r="L725" s="65"/>
      <c r="M725" s="63"/>
      <c r="N725" s="63"/>
      <c r="O725" s="63"/>
      <c r="P725" s="63"/>
      <c r="Q725" s="63"/>
      <c r="R725" s="65"/>
      <c r="S725" s="63"/>
      <c r="T725" s="63"/>
      <c r="U725" s="63"/>
      <c r="V725" s="63"/>
      <c r="W725" s="64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AW725" s="63"/>
      <c r="AX725" s="63"/>
      <c r="AY725" s="63"/>
      <c r="AZ725" s="63"/>
      <c r="BA725" s="63"/>
      <c r="BB725" s="63"/>
      <c r="BC725" s="63"/>
      <c r="BD725" s="63"/>
      <c r="BE725" s="63"/>
      <c r="BF725" s="63"/>
      <c r="BG725" s="63"/>
      <c r="BH725" s="63"/>
      <c r="BI725" s="63"/>
      <c r="BJ725" s="63"/>
      <c r="BK725" s="63"/>
      <c r="BL725" s="63"/>
      <c r="BM725" s="63"/>
      <c r="BN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4"/>
      <c r="L726" s="65"/>
      <c r="M726" s="63"/>
      <c r="N726" s="63"/>
      <c r="O726" s="63"/>
      <c r="P726" s="63"/>
      <c r="Q726" s="63"/>
      <c r="R726" s="65"/>
      <c r="S726" s="63"/>
      <c r="T726" s="63"/>
      <c r="U726" s="63"/>
      <c r="V726" s="63"/>
      <c r="W726" s="64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3"/>
      <c r="AX726" s="63"/>
      <c r="AY726" s="63"/>
      <c r="AZ726" s="63"/>
      <c r="BA726" s="63"/>
      <c r="BB726" s="63"/>
      <c r="BC726" s="63"/>
      <c r="BD726" s="63"/>
      <c r="BE726" s="63"/>
      <c r="BF726" s="63"/>
      <c r="BG726" s="63"/>
      <c r="BH726" s="63"/>
      <c r="BI726" s="63"/>
      <c r="BJ726" s="63"/>
      <c r="BK726" s="63"/>
      <c r="BL726" s="63"/>
      <c r="BM726" s="63"/>
      <c r="BN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4"/>
      <c r="L727" s="65"/>
      <c r="M727" s="63"/>
      <c r="N727" s="63"/>
      <c r="O727" s="63"/>
      <c r="P727" s="63"/>
      <c r="Q727" s="63"/>
      <c r="R727" s="65"/>
      <c r="S727" s="63"/>
      <c r="T727" s="63"/>
      <c r="U727" s="63"/>
      <c r="V727" s="63"/>
      <c r="W727" s="64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AW727" s="63"/>
      <c r="AX727" s="63"/>
      <c r="AY727" s="63"/>
      <c r="AZ727" s="63"/>
      <c r="BA727" s="63"/>
      <c r="BB727" s="63"/>
      <c r="BC727" s="63"/>
      <c r="BD727" s="63"/>
      <c r="BE727" s="63"/>
      <c r="BF727" s="63"/>
      <c r="BG727" s="63"/>
      <c r="BH727" s="63"/>
      <c r="BI727" s="63"/>
      <c r="BJ727" s="63"/>
      <c r="BK727" s="63"/>
      <c r="BL727" s="63"/>
      <c r="BM727" s="63"/>
      <c r="BN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4"/>
      <c r="L728" s="65"/>
      <c r="M728" s="63"/>
      <c r="N728" s="63"/>
      <c r="O728" s="63"/>
      <c r="P728" s="63"/>
      <c r="Q728" s="63"/>
      <c r="R728" s="65"/>
      <c r="S728" s="63"/>
      <c r="T728" s="63"/>
      <c r="U728" s="63"/>
      <c r="V728" s="63"/>
      <c r="W728" s="64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AW728" s="63"/>
      <c r="AX728" s="63"/>
      <c r="AY728" s="63"/>
      <c r="AZ728" s="63"/>
      <c r="BA728" s="63"/>
      <c r="BB728" s="63"/>
      <c r="BC728" s="63"/>
      <c r="BD728" s="63"/>
      <c r="BE728" s="63"/>
      <c r="BF728" s="63"/>
      <c r="BG728" s="63"/>
      <c r="BH728" s="63"/>
      <c r="BI728" s="63"/>
      <c r="BJ728" s="63"/>
      <c r="BK728" s="63"/>
      <c r="BL728" s="63"/>
      <c r="BM728" s="63"/>
      <c r="BN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4"/>
      <c r="L729" s="65"/>
      <c r="M729" s="63"/>
      <c r="N729" s="63"/>
      <c r="O729" s="63"/>
      <c r="P729" s="63"/>
      <c r="Q729" s="63"/>
      <c r="R729" s="65"/>
      <c r="S729" s="63"/>
      <c r="T729" s="63"/>
      <c r="U729" s="63"/>
      <c r="V729" s="63"/>
      <c r="W729" s="64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3"/>
      <c r="AX729" s="63"/>
      <c r="AY729" s="63"/>
      <c r="AZ729" s="63"/>
      <c r="BA729" s="63"/>
      <c r="BB729" s="63"/>
      <c r="BC729" s="63"/>
      <c r="BD729" s="63"/>
      <c r="BE729" s="63"/>
      <c r="BF729" s="63"/>
      <c r="BG729" s="63"/>
      <c r="BH729" s="63"/>
      <c r="BI729" s="63"/>
      <c r="BJ729" s="63"/>
      <c r="BK729" s="63"/>
      <c r="BL729" s="63"/>
      <c r="BM729" s="63"/>
      <c r="BN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4"/>
      <c r="L730" s="65"/>
      <c r="M730" s="63"/>
      <c r="N730" s="63"/>
      <c r="O730" s="63"/>
      <c r="P730" s="63"/>
      <c r="Q730" s="63"/>
      <c r="R730" s="65"/>
      <c r="S730" s="63"/>
      <c r="T730" s="63"/>
      <c r="U730" s="63"/>
      <c r="V730" s="63"/>
      <c r="W730" s="64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AW730" s="63"/>
      <c r="AX730" s="63"/>
      <c r="AY730" s="63"/>
      <c r="AZ730" s="63"/>
      <c r="BA730" s="63"/>
      <c r="BB730" s="63"/>
      <c r="BC730" s="63"/>
      <c r="BD730" s="63"/>
      <c r="BE730" s="63"/>
      <c r="BF730" s="63"/>
      <c r="BG730" s="63"/>
      <c r="BH730" s="63"/>
      <c r="BI730" s="63"/>
      <c r="BJ730" s="63"/>
      <c r="BK730" s="63"/>
      <c r="BL730" s="63"/>
      <c r="BM730" s="63"/>
      <c r="BN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4"/>
      <c r="L731" s="65"/>
      <c r="M731" s="63"/>
      <c r="N731" s="63"/>
      <c r="O731" s="63"/>
      <c r="P731" s="63"/>
      <c r="Q731" s="63"/>
      <c r="R731" s="65"/>
      <c r="S731" s="63"/>
      <c r="T731" s="63"/>
      <c r="U731" s="63"/>
      <c r="V731" s="63"/>
      <c r="W731" s="64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3"/>
      <c r="AX731" s="63"/>
      <c r="AY731" s="63"/>
      <c r="AZ731" s="63"/>
      <c r="BA731" s="63"/>
      <c r="BB731" s="63"/>
      <c r="BC731" s="63"/>
      <c r="BD731" s="63"/>
      <c r="BE731" s="63"/>
      <c r="BF731" s="63"/>
      <c r="BG731" s="63"/>
      <c r="BH731" s="63"/>
      <c r="BI731" s="63"/>
      <c r="BJ731" s="63"/>
      <c r="BK731" s="63"/>
      <c r="BL731" s="63"/>
      <c r="BM731" s="63"/>
      <c r="BN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4"/>
      <c r="L732" s="65"/>
      <c r="M732" s="63"/>
      <c r="N732" s="63"/>
      <c r="O732" s="63"/>
      <c r="P732" s="63"/>
      <c r="Q732" s="63"/>
      <c r="R732" s="65"/>
      <c r="S732" s="63"/>
      <c r="T732" s="63"/>
      <c r="U732" s="63"/>
      <c r="V732" s="63"/>
      <c r="W732" s="64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AW732" s="63"/>
      <c r="AX732" s="63"/>
      <c r="AY732" s="63"/>
      <c r="AZ732" s="63"/>
      <c r="BA732" s="63"/>
      <c r="BB732" s="63"/>
      <c r="BC732" s="63"/>
      <c r="BD732" s="63"/>
      <c r="BE732" s="63"/>
      <c r="BF732" s="63"/>
      <c r="BG732" s="63"/>
      <c r="BH732" s="63"/>
      <c r="BI732" s="63"/>
      <c r="BJ732" s="63"/>
      <c r="BK732" s="63"/>
      <c r="BL732" s="63"/>
      <c r="BM732" s="63"/>
      <c r="BN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4"/>
      <c r="L733" s="65"/>
      <c r="M733" s="63"/>
      <c r="N733" s="63"/>
      <c r="O733" s="63"/>
      <c r="P733" s="63"/>
      <c r="Q733" s="63"/>
      <c r="R733" s="65"/>
      <c r="S733" s="63"/>
      <c r="T733" s="63"/>
      <c r="U733" s="63"/>
      <c r="V733" s="63"/>
      <c r="W733" s="64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3"/>
      <c r="AX733" s="63"/>
      <c r="AY733" s="63"/>
      <c r="AZ733" s="63"/>
      <c r="BA733" s="63"/>
      <c r="BB733" s="63"/>
      <c r="BC733" s="63"/>
      <c r="BD733" s="63"/>
      <c r="BE733" s="63"/>
      <c r="BF733" s="63"/>
      <c r="BG733" s="63"/>
      <c r="BH733" s="63"/>
      <c r="BI733" s="63"/>
      <c r="BJ733" s="63"/>
      <c r="BK733" s="63"/>
      <c r="BL733" s="63"/>
      <c r="BM733" s="63"/>
      <c r="BN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4"/>
      <c r="L734" s="65"/>
      <c r="M734" s="63"/>
      <c r="N734" s="63"/>
      <c r="O734" s="63"/>
      <c r="P734" s="63"/>
      <c r="Q734" s="63"/>
      <c r="R734" s="65"/>
      <c r="S734" s="63"/>
      <c r="T734" s="63"/>
      <c r="U734" s="63"/>
      <c r="V734" s="63"/>
      <c r="W734" s="64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AW734" s="63"/>
      <c r="AX734" s="63"/>
      <c r="AY734" s="63"/>
      <c r="AZ734" s="63"/>
      <c r="BA734" s="63"/>
      <c r="BB734" s="63"/>
      <c r="BC734" s="63"/>
      <c r="BD734" s="63"/>
      <c r="BE734" s="63"/>
      <c r="BF734" s="63"/>
      <c r="BG734" s="63"/>
      <c r="BH734" s="63"/>
      <c r="BI734" s="63"/>
      <c r="BJ734" s="63"/>
      <c r="BK734" s="63"/>
      <c r="BL734" s="63"/>
      <c r="BM734" s="63"/>
      <c r="BN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4"/>
      <c r="L735" s="65"/>
      <c r="M735" s="63"/>
      <c r="N735" s="63"/>
      <c r="O735" s="63"/>
      <c r="P735" s="63"/>
      <c r="Q735" s="63"/>
      <c r="R735" s="65"/>
      <c r="S735" s="63"/>
      <c r="T735" s="63"/>
      <c r="U735" s="63"/>
      <c r="V735" s="63"/>
      <c r="W735" s="64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AW735" s="63"/>
      <c r="AX735" s="63"/>
      <c r="AY735" s="63"/>
      <c r="AZ735" s="63"/>
      <c r="BA735" s="63"/>
      <c r="BB735" s="63"/>
      <c r="BC735" s="63"/>
      <c r="BD735" s="63"/>
      <c r="BE735" s="63"/>
      <c r="BF735" s="63"/>
      <c r="BG735" s="63"/>
      <c r="BH735" s="63"/>
      <c r="BI735" s="63"/>
      <c r="BJ735" s="63"/>
      <c r="BK735" s="63"/>
      <c r="BL735" s="63"/>
      <c r="BM735" s="63"/>
      <c r="BN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4"/>
      <c r="L736" s="65"/>
      <c r="M736" s="63"/>
      <c r="N736" s="63"/>
      <c r="O736" s="63"/>
      <c r="P736" s="63"/>
      <c r="Q736" s="63"/>
      <c r="R736" s="65"/>
      <c r="S736" s="63"/>
      <c r="T736" s="63"/>
      <c r="U736" s="63"/>
      <c r="V736" s="63"/>
      <c r="W736" s="64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AW736" s="63"/>
      <c r="AX736" s="63"/>
      <c r="AY736" s="63"/>
      <c r="AZ736" s="63"/>
      <c r="BA736" s="63"/>
      <c r="BB736" s="63"/>
      <c r="BC736" s="63"/>
      <c r="BD736" s="63"/>
      <c r="BE736" s="63"/>
      <c r="BF736" s="63"/>
      <c r="BG736" s="63"/>
      <c r="BH736" s="63"/>
      <c r="BI736" s="63"/>
      <c r="BJ736" s="63"/>
      <c r="BK736" s="63"/>
      <c r="BL736" s="63"/>
      <c r="BM736" s="63"/>
      <c r="BN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4"/>
      <c r="L737" s="65"/>
      <c r="M737" s="63"/>
      <c r="N737" s="63"/>
      <c r="O737" s="63"/>
      <c r="P737" s="63"/>
      <c r="Q737" s="63"/>
      <c r="R737" s="65"/>
      <c r="S737" s="63"/>
      <c r="T737" s="63"/>
      <c r="U737" s="63"/>
      <c r="V737" s="63"/>
      <c r="W737" s="64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AW737" s="63"/>
      <c r="AX737" s="63"/>
      <c r="AY737" s="63"/>
      <c r="AZ737" s="63"/>
      <c r="BA737" s="63"/>
      <c r="BB737" s="63"/>
      <c r="BC737" s="63"/>
      <c r="BD737" s="63"/>
      <c r="BE737" s="63"/>
      <c r="BF737" s="63"/>
      <c r="BG737" s="63"/>
      <c r="BH737" s="63"/>
      <c r="BI737" s="63"/>
      <c r="BJ737" s="63"/>
      <c r="BK737" s="63"/>
      <c r="BL737" s="63"/>
      <c r="BM737" s="63"/>
      <c r="BN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4"/>
      <c r="L738" s="65"/>
      <c r="M738" s="63"/>
      <c r="N738" s="63"/>
      <c r="O738" s="63"/>
      <c r="P738" s="63"/>
      <c r="Q738" s="63"/>
      <c r="R738" s="65"/>
      <c r="S738" s="63"/>
      <c r="T738" s="63"/>
      <c r="U738" s="63"/>
      <c r="V738" s="63"/>
      <c r="W738" s="64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AW738" s="63"/>
      <c r="AX738" s="63"/>
      <c r="AY738" s="63"/>
      <c r="AZ738" s="63"/>
      <c r="BA738" s="63"/>
      <c r="BB738" s="63"/>
      <c r="BC738" s="63"/>
      <c r="BD738" s="63"/>
      <c r="BE738" s="63"/>
      <c r="BF738" s="63"/>
      <c r="BG738" s="63"/>
      <c r="BH738" s="63"/>
      <c r="BI738" s="63"/>
      <c r="BJ738" s="63"/>
      <c r="BK738" s="63"/>
      <c r="BL738" s="63"/>
      <c r="BM738" s="63"/>
      <c r="BN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4"/>
      <c r="L739" s="65"/>
      <c r="M739" s="63"/>
      <c r="N739" s="63"/>
      <c r="O739" s="63"/>
      <c r="P739" s="63"/>
      <c r="Q739" s="63"/>
      <c r="R739" s="65"/>
      <c r="S739" s="63"/>
      <c r="T739" s="63"/>
      <c r="U739" s="63"/>
      <c r="V739" s="63"/>
      <c r="W739" s="64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AW739" s="63"/>
      <c r="AX739" s="63"/>
      <c r="AY739" s="63"/>
      <c r="AZ739" s="63"/>
      <c r="BA739" s="63"/>
      <c r="BB739" s="63"/>
      <c r="BC739" s="63"/>
      <c r="BD739" s="63"/>
      <c r="BE739" s="63"/>
      <c r="BF739" s="63"/>
      <c r="BG739" s="63"/>
      <c r="BH739" s="63"/>
      <c r="BI739" s="63"/>
      <c r="BJ739" s="63"/>
      <c r="BK739" s="63"/>
      <c r="BL739" s="63"/>
      <c r="BM739" s="63"/>
      <c r="BN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4"/>
      <c r="L740" s="65"/>
      <c r="M740" s="63"/>
      <c r="N740" s="63"/>
      <c r="O740" s="63"/>
      <c r="P740" s="63"/>
      <c r="Q740" s="63"/>
      <c r="R740" s="65"/>
      <c r="S740" s="63"/>
      <c r="T740" s="63"/>
      <c r="U740" s="63"/>
      <c r="V740" s="63"/>
      <c r="W740" s="64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3"/>
      <c r="AX740" s="63"/>
      <c r="AY740" s="63"/>
      <c r="AZ740" s="63"/>
      <c r="BA740" s="63"/>
      <c r="BB740" s="63"/>
      <c r="BC740" s="63"/>
      <c r="BD740" s="63"/>
      <c r="BE740" s="63"/>
      <c r="BF740" s="63"/>
      <c r="BG740" s="63"/>
      <c r="BH740" s="63"/>
      <c r="BI740" s="63"/>
      <c r="BJ740" s="63"/>
      <c r="BK740" s="63"/>
      <c r="BL740" s="63"/>
      <c r="BM740" s="63"/>
      <c r="BN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4"/>
      <c r="L741" s="65"/>
      <c r="M741" s="63"/>
      <c r="N741" s="63"/>
      <c r="O741" s="63"/>
      <c r="P741" s="63"/>
      <c r="Q741" s="63"/>
      <c r="R741" s="65"/>
      <c r="S741" s="63"/>
      <c r="T741" s="63"/>
      <c r="U741" s="63"/>
      <c r="V741" s="63"/>
      <c r="W741" s="64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AW741" s="63"/>
      <c r="AX741" s="63"/>
      <c r="AY741" s="63"/>
      <c r="AZ741" s="63"/>
      <c r="BA741" s="63"/>
      <c r="BB741" s="63"/>
      <c r="BC741" s="63"/>
      <c r="BD741" s="63"/>
      <c r="BE741" s="63"/>
      <c r="BF741" s="63"/>
      <c r="BG741" s="63"/>
      <c r="BH741" s="63"/>
      <c r="BI741" s="63"/>
      <c r="BJ741" s="63"/>
      <c r="BK741" s="63"/>
      <c r="BL741" s="63"/>
      <c r="BM741" s="63"/>
      <c r="BN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4"/>
      <c r="L742" s="65"/>
      <c r="M742" s="63"/>
      <c r="N742" s="63"/>
      <c r="O742" s="63"/>
      <c r="P742" s="63"/>
      <c r="Q742" s="63"/>
      <c r="R742" s="65"/>
      <c r="S742" s="63"/>
      <c r="T742" s="63"/>
      <c r="U742" s="63"/>
      <c r="V742" s="63"/>
      <c r="W742" s="64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AW742" s="63"/>
      <c r="AX742" s="63"/>
      <c r="AY742" s="63"/>
      <c r="AZ742" s="63"/>
      <c r="BA742" s="63"/>
      <c r="BB742" s="63"/>
      <c r="BC742" s="63"/>
      <c r="BD742" s="63"/>
      <c r="BE742" s="63"/>
      <c r="BF742" s="63"/>
      <c r="BG742" s="63"/>
      <c r="BH742" s="63"/>
      <c r="BI742" s="63"/>
      <c r="BJ742" s="63"/>
      <c r="BK742" s="63"/>
      <c r="BL742" s="63"/>
      <c r="BM742" s="63"/>
      <c r="BN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4"/>
      <c r="L743" s="65"/>
      <c r="M743" s="63"/>
      <c r="N743" s="63"/>
      <c r="O743" s="63"/>
      <c r="P743" s="63"/>
      <c r="Q743" s="63"/>
      <c r="R743" s="65"/>
      <c r="S743" s="63"/>
      <c r="T743" s="63"/>
      <c r="U743" s="63"/>
      <c r="V743" s="63"/>
      <c r="W743" s="64"/>
      <c r="X743" s="63"/>
      <c r="Y743" s="63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  <c r="AL743" s="63"/>
      <c r="AM743" s="63"/>
      <c r="AN743" s="63"/>
      <c r="AO743" s="63"/>
      <c r="AP743" s="63"/>
      <c r="AQ743" s="63"/>
      <c r="AR743" s="63"/>
      <c r="AS743" s="63"/>
      <c r="AT743" s="63"/>
      <c r="AU743" s="63"/>
      <c r="AV743" s="63"/>
      <c r="AW743" s="63"/>
      <c r="AX743" s="63"/>
      <c r="AY743" s="63"/>
      <c r="AZ743" s="63"/>
      <c r="BA743" s="63"/>
      <c r="BB743" s="63"/>
      <c r="BC743" s="63"/>
      <c r="BD743" s="63"/>
      <c r="BE743" s="63"/>
      <c r="BF743" s="63"/>
      <c r="BG743" s="63"/>
      <c r="BH743" s="63"/>
      <c r="BI743" s="63"/>
      <c r="BJ743" s="63"/>
      <c r="BK743" s="63"/>
      <c r="BL743" s="63"/>
      <c r="BM743" s="63"/>
      <c r="BN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4"/>
      <c r="L744" s="65"/>
      <c r="M744" s="63"/>
      <c r="N744" s="63"/>
      <c r="O744" s="63"/>
      <c r="P744" s="63"/>
      <c r="Q744" s="63"/>
      <c r="R744" s="65"/>
      <c r="S744" s="63"/>
      <c r="T744" s="63"/>
      <c r="U744" s="63"/>
      <c r="V744" s="63"/>
      <c r="W744" s="64"/>
      <c r="X744" s="63"/>
      <c r="Y744" s="63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  <c r="AL744" s="63"/>
      <c r="AM744" s="63"/>
      <c r="AN744" s="63"/>
      <c r="AO744" s="63"/>
      <c r="AP744" s="63"/>
      <c r="AQ744" s="63"/>
      <c r="AR744" s="63"/>
      <c r="AS744" s="63"/>
      <c r="AT744" s="63"/>
      <c r="AU744" s="63"/>
      <c r="AV744" s="63"/>
      <c r="AW744" s="63"/>
      <c r="AX744" s="63"/>
      <c r="AY744" s="63"/>
      <c r="AZ744" s="63"/>
      <c r="BA744" s="63"/>
      <c r="BB744" s="63"/>
      <c r="BC744" s="63"/>
      <c r="BD744" s="63"/>
      <c r="BE744" s="63"/>
      <c r="BF744" s="63"/>
      <c r="BG744" s="63"/>
      <c r="BH744" s="63"/>
      <c r="BI744" s="63"/>
      <c r="BJ744" s="63"/>
      <c r="BK744" s="63"/>
      <c r="BL744" s="63"/>
      <c r="BM744" s="63"/>
      <c r="BN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4"/>
      <c r="L745" s="65"/>
      <c r="M745" s="63"/>
      <c r="N745" s="63"/>
      <c r="O745" s="63"/>
      <c r="P745" s="63"/>
      <c r="Q745" s="63"/>
      <c r="R745" s="65"/>
      <c r="S745" s="63"/>
      <c r="T745" s="63"/>
      <c r="U745" s="63"/>
      <c r="V745" s="63"/>
      <c r="W745" s="64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AW745" s="63"/>
      <c r="AX745" s="63"/>
      <c r="AY745" s="63"/>
      <c r="AZ745" s="63"/>
      <c r="BA745" s="63"/>
      <c r="BB745" s="63"/>
      <c r="BC745" s="63"/>
      <c r="BD745" s="63"/>
      <c r="BE745" s="63"/>
      <c r="BF745" s="63"/>
      <c r="BG745" s="63"/>
      <c r="BH745" s="63"/>
      <c r="BI745" s="63"/>
      <c r="BJ745" s="63"/>
      <c r="BK745" s="63"/>
      <c r="BL745" s="63"/>
      <c r="BM745" s="63"/>
      <c r="BN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4"/>
      <c r="L746" s="65"/>
      <c r="M746" s="63"/>
      <c r="N746" s="63"/>
      <c r="O746" s="63"/>
      <c r="P746" s="63"/>
      <c r="Q746" s="63"/>
      <c r="R746" s="65"/>
      <c r="S746" s="63"/>
      <c r="T746" s="63"/>
      <c r="U746" s="63"/>
      <c r="V746" s="63"/>
      <c r="W746" s="64"/>
      <c r="X746" s="63"/>
      <c r="Y746" s="63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  <c r="AL746" s="63"/>
      <c r="AM746" s="63"/>
      <c r="AN746" s="63"/>
      <c r="AO746" s="63"/>
      <c r="AP746" s="63"/>
      <c r="AQ746" s="63"/>
      <c r="AR746" s="63"/>
      <c r="AS746" s="63"/>
      <c r="AT746" s="63"/>
      <c r="AU746" s="63"/>
      <c r="AV746" s="63"/>
      <c r="AW746" s="63"/>
      <c r="AX746" s="63"/>
      <c r="AY746" s="63"/>
      <c r="AZ746" s="63"/>
      <c r="BA746" s="63"/>
      <c r="BB746" s="63"/>
      <c r="BC746" s="63"/>
      <c r="BD746" s="63"/>
      <c r="BE746" s="63"/>
      <c r="BF746" s="63"/>
      <c r="BG746" s="63"/>
      <c r="BH746" s="63"/>
      <c r="BI746" s="63"/>
      <c r="BJ746" s="63"/>
      <c r="BK746" s="63"/>
      <c r="BL746" s="63"/>
      <c r="BM746" s="63"/>
      <c r="BN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4"/>
      <c r="L747" s="65"/>
      <c r="M747" s="63"/>
      <c r="N747" s="63"/>
      <c r="O747" s="63"/>
      <c r="P747" s="63"/>
      <c r="Q747" s="63"/>
      <c r="R747" s="65"/>
      <c r="S747" s="63"/>
      <c r="T747" s="63"/>
      <c r="U747" s="63"/>
      <c r="V747" s="63"/>
      <c r="W747" s="64"/>
      <c r="X747" s="63"/>
      <c r="Y747" s="63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  <c r="AL747" s="63"/>
      <c r="AM747" s="63"/>
      <c r="AN747" s="63"/>
      <c r="AO747" s="63"/>
      <c r="AP747" s="63"/>
      <c r="AQ747" s="63"/>
      <c r="AR747" s="63"/>
      <c r="AS747" s="63"/>
      <c r="AT747" s="63"/>
      <c r="AU747" s="63"/>
      <c r="AV747" s="63"/>
      <c r="AW747" s="63"/>
      <c r="AX747" s="63"/>
      <c r="AY747" s="63"/>
      <c r="AZ747" s="63"/>
      <c r="BA747" s="63"/>
      <c r="BB747" s="63"/>
      <c r="BC747" s="63"/>
      <c r="BD747" s="63"/>
      <c r="BE747" s="63"/>
      <c r="BF747" s="63"/>
      <c r="BG747" s="63"/>
      <c r="BH747" s="63"/>
      <c r="BI747" s="63"/>
      <c r="BJ747" s="63"/>
      <c r="BK747" s="63"/>
      <c r="BL747" s="63"/>
      <c r="BM747" s="63"/>
      <c r="BN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4"/>
      <c r="L748" s="65"/>
      <c r="M748" s="63"/>
      <c r="N748" s="63"/>
      <c r="O748" s="63"/>
      <c r="P748" s="63"/>
      <c r="Q748" s="63"/>
      <c r="R748" s="65"/>
      <c r="S748" s="63"/>
      <c r="T748" s="63"/>
      <c r="U748" s="63"/>
      <c r="V748" s="63"/>
      <c r="W748" s="64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AW748" s="63"/>
      <c r="AX748" s="63"/>
      <c r="AY748" s="63"/>
      <c r="AZ748" s="63"/>
      <c r="BA748" s="63"/>
      <c r="BB748" s="63"/>
      <c r="BC748" s="63"/>
      <c r="BD748" s="63"/>
      <c r="BE748" s="63"/>
      <c r="BF748" s="63"/>
      <c r="BG748" s="63"/>
      <c r="BH748" s="63"/>
      <c r="BI748" s="63"/>
      <c r="BJ748" s="63"/>
      <c r="BK748" s="63"/>
      <c r="BL748" s="63"/>
      <c r="BM748" s="63"/>
      <c r="BN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4"/>
      <c r="L749" s="65"/>
      <c r="M749" s="63"/>
      <c r="N749" s="63"/>
      <c r="O749" s="63"/>
      <c r="P749" s="63"/>
      <c r="Q749" s="63"/>
      <c r="R749" s="65"/>
      <c r="S749" s="63"/>
      <c r="T749" s="63"/>
      <c r="U749" s="63"/>
      <c r="V749" s="63"/>
      <c r="W749" s="64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3"/>
      <c r="BB749" s="63"/>
      <c r="BC749" s="63"/>
      <c r="BD749" s="63"/>
      <c r="BE749" s="63"/>
      <c r="BF749" s="63"/>
      <c r="BG749" s="63"/>
      <c r="BH749" s="63"/>
      <c r="BI749" s="63"/>
      <c r="BJ749" s="63"/>
      <c r="BK749" s="63"/>
      <c r="BL749" s="63"/>
      <c r="BM749" s="63"/>
      <c r="BN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4"/>
      <c r="L750" s="65"/>
      <c r="M750" s="63"/>
      <c r="N750" s="63"/>
      <c r="O750" s="63"/>
      <c r="P750" s="63"/>
      <c r="Q750" s="63"/>
      <c r="R750" s="65"/>
      <c r="S750" s="63"/>
      <c r="T750" s="63"/>
      <c r="U750" s="63"/>
      <c r="V750" s="63"/>
      <c r="W750" s="64"/>
      <c r="X750" s="63"/>
      <c r="Y750" s="63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  <c r="AL750" s="63"/>
      <c r="AM750" s="63"/>
      <c r="AN750" s="63"/>
      <c r="AO750" s="63"/>
      <c r="AP750" s="63"/>
      <c r="AQ750" s="63"/>
      <c r="AR750" s="63"/>
      <c r="AS750" s="63"/>
      <c r="AT750" s="63"/>
      <c r="AU750" s="63"/>
      <c r="AV750" s="63"/>
      <c r="AW750" s="63"/>
      <c r="AX750" s="63"/>
      <c r="AY750" s="63"/>
      <c r="AZ750" s="63"/>
      <c r="BA750" s="63"/>
      <c r="BB750" s="63"/>
      <c r="BC750" s="63"/>
      <c r="BD750" s="63"/>
      <c r="BE750" s="63"/>
      <c r="BF750" s="63"/>
      <c r="BG750" s="63"/>
      <c r="BH750" s="63"/>
      <c r="BI750" s="63"/>
      <c r="BJ750" s="63"/>
      <c r="BK750" s="63"/>
      <c r="BL750" s="63"/>
      <c r="BM750" s="63"/>
      <c r="BN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4"/>
      <c r="L751" s="65"/>
      <c r="M751" s="63"/>
      <c r="N751" s="63"/>
      <c r="O751" s="63"/>
      <c r="P751" s="63"/>
      <c r="Q751" s="63"/>
      <c r="R751" s="65"/>
      <c r="S751" s="63"/>
      <c r="T751" s="63"/>
      <c r="U751" s="63"/>
      <c r="V751" s="63"/>
      <c r="W751" s="64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  <c r="AM751" s="63"/>
      <c r="AN751" s="63"/>
      <c r="AO751" s="63"/>
      <c r="AP751" s="63"/>
      <c r="AQ751" s="63"/>
      <c r="AR751" s="63"/>
      <c r="AS751" s="63"/>
      <c r="AT751" s="63"/>
      <c r="AU751" s="63"/>
      <c r="AV751" s="63"/>
      <c r="AW751" s="63"/>
      <c r="AX751" s="63"/>
      <c r="AY751" s="63"/>
      <c r="AZ751" s="63"/>
      <c r="BA751" s="63"/>
      <c r="BB751" s="63"/>
      <c r="BC751" s="63"/>
      <c r="BD751" s="63"/>
      <c r="BE751" s="63"/>
      <c r="BF751" s="63"/>
      <c r="BG751" s="63"/>
      <c r="BH751" s="63"/>
      <c r="BI751" s="63"/>
      <c r="BJ751" s="63"/>
      <c r="BK751" s="63"/>
      <c r="BL751" s="63"/>
      <c r="BM751" s="63"/>
      <c r="BN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4"/>
      <c r="L752" s="65"/>
      <c r="M752" s="63"/>
      <c r="N752" s="63"/>
      <c r="O752" s="63"/>
      <c r="P752" s="63"/>
      <c r="Q752" s="63"/>
      <c r="R752" s="65"/>
      <c r="S752" s="63"/>
      <c r="T752" s="63"/>
      <c r="U752" s="63"/>
      <c r="V752" s="63"/>
      <c r="W752" s="64"/>
      <c r="X752" s="63"/>
      <c r="Y752" s="63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  <c r="AL752" s="63"/>
      <c r="AM752" s="63"/>
      <c r="AN752" s="63"/>
      <c r="AO752" s="63"/>
      <c r="AP752" s="63"/>
      <c r="AQ752" s="63"/>
      <c r="AR752" s="63"/>
      <c r="AS752" s="63"/>
      <c r="AT752" s="63"/>
      <c r="AU752" s="63"/>
      <c r="AV752" s="63"/>
      <c r="AW752" s="63"/>
      <c r="AX752" s="63"/>
      <c r="AY752" s="63"/>
      <c r="AZ752" s="63"/>
      <c r="BA752" s="63"/>
      <c r="BB752" s="63"/>
      <c r="BC752" s="63"/>
      <c r="BD752" s="63"/>
      <c r="BE752" s="63"/>
      <c r="BF752" s="63"/>
      <c r="BG752" s="63"/>
      <c r="BH752" s="63"/>
      <c r="BI752" s="63"/>
      <c r="BJ752" s="63"/>
      <c r="BK752" s="63"/>
      <c r="BL752" s="63"/>
      <c r="BM752" s="63"/>
      <c r="BN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4"/>
      <c r="L753" s="65"/>
      <c r="M753" s="63"/>
      <c r="N753" s="63"/>
      <c r="O753" s="63"/>
      <c r="P753" s="63"/>
      <c r="Q753" s="63"/>
      <c r="R753" s="65"/>
      <c r="S753" s="63"/>
      <c r="T753" s="63"/>
      <c r="U753" s="63"/>
      <c r="V753" s="63"/>
      <c r="W753" s="64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  <c r="AN753" s="63"/>
      <c r="AO753" s="63"/>
      <c r="AP753" s="63"/>
      <c r="AQ753" s="63"/>
      <c r="AR753" s="63"/>
      <c r="AS753" s="63"/>
      <c r="AT753" s="63"/>
      <c r="AU753" s="63"/>
      <c r="AV753" s="63"/>
      <c r="AW753" s="63"/>
      <c r="AX753" s="63"/>
      <c r="AY753" s="63"/>
      <c r="AZ753" s="63"/>
      <c r="BA753" s="63"/>
      <c r="BB753" s="63"/>
      <c r="BC753" s="63"/>
      <c r="BD753" s="63"/>
      <c r="BE753" s="63"/>
      <c r="BF753" s="63"/>
      <c r="BG753" s="63"/>
      <c r="BH753" s="63"/>
      <c r="BI753" s="63"/>
      <c r="BJ753" s="63"/>
      <c r="BK753" s="63"/>
      <c r="BL753" s="63"/>
      <c r="BM753" s="63"/>
      <c r="BN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4"/>
      <c r="L754" s="65"/>
      <c r="M754" s="63"/>
      <c r="N754" s="63"/>
      <c r="O754" s="63"/>
      <c r="P754" s="63"/>
      <c r="Q754" s="63"/>
      <c r="R754" s="65"/>
      <c r="S754" s="63"/>
      <c r="T754" s="63"/>
      <c r="U754" s="63"/>
      <c r="V754" s="63"/>
      <c r="W754" s="64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  <c r="AM754" s="63"/>
      <c r="AN754" s="63"/>
      <c r="AO754" s="63"/>
      <c r="AP754" s="63"/>
      <c r="AQ754" s="63"/>
      <c r="AR754" s="63"/>
      <c r="AS754" s="63"/>
      <c r="AT754" s="63"/>
      <c r="AU754" s="63"/>
      <c r="AV754" s="63"/>
      <c r="AW754" s="63"/>
      <c r="AX754" s="63"/>
      <c r="AY754" s="63"/>
      <c r="AZ754" s="63"/>
      <c r="BA754" s="63"/>
      <c r="BB754" s="63"/>
      <c r="BC754" s="63"/>
      <c r="BD754" s="63"/>
      <c r="BE754" s="63"/>
      <c r="BF754" s="63"/>
      <c r="BG754" s="63"/>
      <c r="BH754" s="63"/>
      <c r="BI754" s="63"/>
      <c r="BJ754" s="63"/>
      <c r="BK754" s="63"/>
      <c r="BL754" s="63"/>
      <c r="BM754" s="63"/>
      <c r="BN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4"/>
      <c r="L755" s="65"/>
      <c r="M755" s="63"/>
      <c r="N755" s="63"/>
      <c r="O755" s="63"/>
      <c r="P755" s="63"/>
      <c r="Q755" s="63"/>
      <c r="R755" s="65"/>
      <c r="S755" s="63"/>
      <c r="T755" s="63"/>
      <c r="U755" s="63"/>
      <c r="V755" s="63"/>
      <c r="W755" s="64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  <c r="AM755" s="63"/>
      <c r="AN755" s="63"/>
      <c r="AO755" s="63"/>
      <c r="AP755" s="63"/>
      <c r="AQ755" s="63"/>
      <c r="AR755" s="63"/>
      <c r="AS755" s="63"/>
      <c r="AT755" s="63"/>
      <c r="AU755" s="63"/>
      <c r="AV755" s="63"/>
      <c r="AW755" s="63"/>
      <c r="AX755" s="63"/>
      <c r="AY755" s="63"/>
      <c r="AZ755" s="63"/>
      <c r="BA755" s="63"/>
      <c r="BB755" s="63"/>
      <c r="BC755" s="63"/>
      <c r="BD755" s="63"/>
      <c r="BE755" s="63"/>
      <c r="BF755" s="63"/>
      <c r="BG755" s="63"/>
      <c r="BH755" s="63"/>
      <c r="BI755" s="63"/>
      <c r="BJ755" s="63"/>
      <c r="BK755" s="63"/>
      <c r="BL755" s="63"/>
      <c r="BM755" s="63"/>
      <c r="BN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4"/>
      <c r="L756" s="65"/>
      <c r="M756" s="63"/>
      <c r="N756" s="63"/>
      <c r="O756" s="63"/>
      <c r="P756" s="63"/>
      <c r="Q756" s="63"/>
      <c r="R756" s="65"/>
      <c r="S756" s="63"/>
      <c r="T756" s="63"/>
      <c r="U756" s="63"/>
      <c r="V756" s="63"/>
      <c r="W756" s="64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  <c r="AM756" s="63"/>
      <c r="AN756" s="63"/>
      <c r="AO756" s="63"/>
      <c r="AP756" s="63"/>
      <c r="AQ756" s="63"/>
      <c r="AR756" s="63"/>
      <c r="AS756" s="63"/>
      <c r="AT756" s="63"/>
      <c r="AU756" s="63"/>
      <c r="AV756" s="63"/>
      <c r="AW756" s="63"/>
      <c r="AX756" s="63"/>
      <c r="AY756" s="63"/>
      <c r="AZ756" s="63"/>
      <c r="BA756" s="63"/>
      <c r="BB756" s="63"/>
      <c r="BC756" s="63"/>
      <c r="BD756" s="63"/>
      <c r="BE756" s="63"/>
      <c r="BF756" s="63"/>
      <c r="BG756" s="63"/>
      <c r="BH756" s="63"/>
      <c r="BI756" s="63"/>
      <c r="BJ756" s="63"/>
      <c r="BK756" s="63"/>
      <c r="BL756" s="63"/>
      <c r="BM756" s="63"/>
      <c r="BN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4"/>
      <c r="L757" s="65"/>
      <c r="M757" s="63"/>
      <c r="N757" s="63"/>
      <c r="O757" s="63"/>
      <c r="P757" s="63"/>
      <c r="Q757" s="63"/>
      <c r="R757" s="65"/>
      <c r="S757" s="63"/>
      <c r="T757" s="63"/>
      <c r="U757" s="63"/>
      <c r="V757" s="63"/>
      <c r="W757" s="64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  <c r="AM757" s="63"/>
      <c r="AN757" s="63"/>
      <c r="AO757" s="63"/>
      <c r="AP757" s="63"/>
      <c r="AQ757" s="63"/>
      <c r="AR757" s="63"/>
      <c r="AS757" s="63"/>
      <c r="AT757" s="63"/>
      <c r="AU757" s="63"/>
      <c r="AV757" s="63"/>
      <c r="AW757" s="63"/>
      <c r="AX757" s="63"/>
      <c r="AY757" s="63"/>
      <c r="AZ757" s="63"/>
      <c r="BA757" s="63"/>
      <c r="BB757" s="63"/>
      <c r="BC757" s="63"/>
      <c r="BD757" s="63"/>
      <c r="BE757" s="63"/>
      <c r="BF757" s="63"/>
      <c r="BG757" s="63"/>
      <c r="BH757" s="63"/>
      <c r="BI757" s="63"/>
      <c r="BJ757" s="63"/>
      <c r="BK757" s="63"/>
      <c r="BL757" s="63"/>
      <c r="BM757" s="63"/>
      <c r="BN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4"/>
      <c r="L758" s="65"/>
      <c r="M758" s="63"/>
      <c r="N758" s="63"/>
      <c r="O758" s="63"/>
      <c r="P758" s="63"/>
      <c r="Q758" s="63"/>
      <c r="R758" s="65"/>
      <c r="S758" s="63"/>
      <c r="T758" s="63"/>
      <c r="U758" s="63"/>
      <c r="V758" s="63"/>
      <c r="W758" s="64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  <c r="AM758" s="63"/>
      <c r="AN758" s="63"/>
      <c r="AO758" s="63"/>
      <c r="AP758" s="63"/>
      <c r="AQ758" s="63"/>
      <c r="AR758" s="63"/>
      <c r="AS758" s="63"/>
      <c r="AT758" s="63"/>
      <c r="AU758" s="63"/>
      <c r="AV758" s="63"/>
      <c r="AW758" s="63"/>
      <c r="AX758" s="63"/>
      <c r="AY758" s="63"/>
      <c r="AZ758" s="63"/>
      <c r="BA758" s="63"/>
      <c r="BB758" s="63"/>
      <c r="BC758" s="63"/>
      <c r="BD758" s="63"/>
      <c r="BE758" s="63"/>
      <c r="BF758" s="63"/>
      <c r="BG758" s="63"/>
      <c r="BH758" s="63"/>
      <c r="BI758" s="63"/>
      <c r="BJ758" s="63"/>
      <c r="BK758" s="63"/>
      <c r="BL758" s="63"/>
      <c r="BM758" s="63"/>
      <c r="BN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4"/>
      <c r="L759" s="65"/>
      <c r="M759" s="63"/>
      <c r="N759" s="63"/>
      <c r="O759" s="63"/>
      <c r="P759" s="63"/>
      <c r="Q759" s="63"/>
      <c r="R759" s="65"/>
      <c r="S759" s="63"/>
      <c r="T759" s="63"/>
      <c r="U759" s="63"/>
      <c r="V759" s="63"/>
      <c r="W759" s="64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  <c r="AM759" s="63"/>
      <c r="AN759" s="63"/>
      <c r="AO759" s="63"/>
      <c r="AP759" s="63"/>
      <c r="AQ759" s="63"/>
      <c r="AR759" s="63"/>
      <c r="AS759" s="63"/>
      <c r="AT759" s="63"/>
      <c r="AU759" s="63"/>
      <c r="AV759" s="63"/>
      <c r="AW759" s="63"/>
      <c r="AX759" s="63"/>
      <c r="AY759" s="63"/>
      <c r="AZ759" s="63"/>
      <c r="BA759" s="63"/>
      <c r="BB759" s="63"/>
      <c r="BC759" s="63"/>
      <c r="BD759" s="63"/>
      <c r="BE759" s="63"/>
      <c r="BF759" s="63"/>
      <c r="BG759" s="63"/>
      <c r="BH759" s="63"/>
      <c r="BI759" s="63"/>
      <c r="BJ759" s="63"/>
      <c r="BK759" s="63"/>
      <c r="BL759" s="63"/>
      <c r="BM759" s="63"/>
      <c r="BN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4"/>
      <c r="L760" s="65"/>
      <c r="M760" s="63"/>
      <c r="N760" s="63"/>
      <c r="O760" s="63"/>
      <c r="P760" s="63"/>
      <c r="Q760" s="63"/>
      <c r="R760" s="65"/>
      <c r="S760" s="63"/>
      <c r="T760" s="63"/>
      <c r="U760" s="63"/>
      <c r="V760" s="63"/>
      <c r="W760" s="64"/>
      <c r="X760" s="63"/>
      <c r="Y760" s="63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  <c r="AL760" s="63"/>
      <c r="AM760" s="63"/>
      <c r="AN760" s="63"/>
      <c r="AO760" s="63"/>
      <c r="AP760" s="63"/>
      <c r="AQ760" s="63"/>
      <c r="AR760" s="63"/>
      <c r="AS760" s="63"/>
      <c r="AT760" s="63"/>
      <c r="AU760" s="63"/>
      <c r="AV760" s="63"/>
      <c r="AW760" s="63"/>
      <c r="AX760" s="63"/>
      <c r="AY760" s="63"/>
      <c r="AZ760" s="63"/>
      <c r="BA760" s="63"/>
      <c r="BB760" s="63"/>
      <c r="BC760" s="63"/>
      <c r="BD760" s="63"/>
      <c r="BE760" s="63"/>
      <c r="BF760" s="63"/>
      <c r="BG760" s="63"/>
      <c r="BH760" s="63"/>
      <c r="BI760" s="63"/>
      <c r="BJ760" s="63"/>
      <c r="BK760" s="63"/>
      <c r="BL760" s="63"/>
      <c r="BM760" s="63"/>
      <c r="BN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4"/>
      <c r="L761" s="65"/>
      <c r="M761" s="63"/>
      <c r="N761" s="63"/>
      <c r="O761" s="63"/>
      <c r="P761" s="63"/>
      <c r="Q761" s="63"/>
      <c r="R761" s="65"/>
      <c r="S761" s="63"/>
      <c r="T761" s="63"/>
      <c r="U761" s="63"/>
      <c r="V761" s="63"/>
      <c r="W761" s="64"/>
      <c r="X761" s="63"/>
      <c r="Y761" s="63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  <c r="AL761" s="63"/>
      <c r="AM761" s="63"/>
      <c r="AN761" s="63"/>
      <c r="AO761" s="63"/>
      <c r="AP761" s="63"/>
      <c r="AQ761" s="63"/>
      <c r="AR761" s="63"/>
      <c r="AS761" s="63"/>
      <c r="AT761" s="63"/>
      <c r="AU761" s="63"/>
      <c r="AV761" s="63"/>
      <c r="AW761" s="63"/>
      <c r="AX761" s="63"/>
      <c r="AY761" s="63"/>
      <c r="AZ761" s="63"/>
      <c r="BA761" s="63"/>
      <c r="BB761" s="63"/>
      <c r="BC761" s="63"/>
      <c r="BD761" s="63"/>
      <c r="BE761" s="63"/>
      <c r="BF761" s="63"/>
      <c r="BG761" s="63"/>
      <c r="BH761" s="63"/>
      <c r="BI761" s="63"/>
      <c r="BJ761" s="63"/>
      <c r="BK761" s="63"/>
      <c r="BL761" s="63"/>
      <c r="BM761" s="63"/>
      <c r="BN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4"/>
      <c r="L762" s="65"/>
      <c r="M762" s="63"/>
      <c r="N762" s="63"/>
      <c r="O762" s="63"/>
      <c r="P762" s="63"/>
      <c r="Q762" s="63"/>
      <c r="R762" s="65"/>
      <c r="S762" s="63"/>
      <c r="T762" s="63"/>
      <c r="U762" s="63"/>
      <c r="V762" s="63"/>
      <c r="W762" s="64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  <c r="AM762" s="63"/>
      <c r="AN762" s="63"/>
      <c r="AO762" s="63"/>
      <c r="AP762" s="63"/>
      <c r="AQ762" s="63"/>
      <c r="AR762" s="63"/>
      <c r="AS762" s="63"/>
      <c r="AT762" s="63"/>
      <c r="AU762" s="63"/>
      <c r="AV762" s="63"/>
      <c r="AW762" s="63"/>
      <c r="AX762" s="63"/>
      <c r="AY762" s="63"/>
      <c r="AZ762" s="63"/>
      <c r="BA762" s="63"/>
      <c r="BB762" s="63"/>
      <c r="BC762" s="63"/>
      <c r="BD762" s="63"/>
      <c r="BE762" s="63"/>
      <c r="BF762" s="63"/>
      <c r="BG762" s="63"/>
      <c r="BH762" s="63"/>
      <c r="BI762" s="63"/>
      <c r="BJ762" s="63"/>
      <c r="BK762" s="63"/>
      <c r="BL762" s="63"/>
      <c r="BM762" s="63"/>
      <c r="BN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4"/>
      <c r="L763" s="65"/>
      <c r="M763" s="63"/>
      <c r="N763" s="63"/>
      <c r="O763" s="63"/>
      <c r="P763" s="63"/>
      <c r="Q763" s="63"/>
      <c r="R763" s="65"/>
      <c r="S763" s="63"/>
      <c r="T763" s="63"/>
      <c r="U763" s="63"/>
      <c r="V763" s="63"/>
      <c r="W763" s="64"/>
      <c r="X763" s="63"/>
      <c r="Y763" s="63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  <c r="AL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AW763" s="63"/>
      <c r="AX763" s="63"/>
      <c r="AY763" s="63"/>
      <c r="AZ763" s="63"/>
      <c r="BA763" s="63"/>
      <c r="BB763" s="63"/>
      <c r="BC763" s="63"/>
      <c r="BD763" s="63"/>
      <c r="BE763" s="63"/>
      <c r="BF763" s="63"/>
      <c r="BG763" s="63"/>
      <c r="BH763" s="63"/>
      <c r="BI763" s="63"/>
      <c r="BJ763" s="63"/>
      <c r="BK763" s="63"/>
      <c r="BL763" s="63"/>
      <c r="BM763" s="63"/>
      <c r="BN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4"/>
      <c r="L764" s="65"/>
      <c r="M764" s="63"/>
      <c r="N764" s="63"/>
      <c r="O764" s="63"/>
      <c r="P764" s="63"/>
      <c r="Q764" s="63"/>
      <c r="R764" s="65"/>
      <c r="S764" s="63"/>
      <c r="T764" s="63"/>
      <c r="U764" s="63"/>
      <c r="V764" s="63"/>
      <c r="W764" s="64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  <c r="AM764" s="63"/>
      <c r="AN764" s="63"/>
      <c r="AO764" s="63"/>
      <c r="AP764" s="63"/>
      <c r="AQ764" s="63"/>
      <c r="AR764" s="63"/>
      <c r="AS764" s="63"/>
      <c r="AT764" s="63"/>
      <c r="AU764" s="63"/>
      <c r="AV764" s="63"/>
      <c r="AW764" s="63"/>
      <c r="AX764" s="63"/>
      <c r="AY764" s="63"/>
      <c r="AZ764" s="63"/>
      <c r="BA764" s="63"/>
      <c r="BB764" s="63"/>
      <c r="BC764" s="63"/>
      <c r="BD764" s="63"/>
      <c r="BE764" s="63"/>
      <c r="BF764" s="63"/>
      <c r="BG764" s="63"/>
      <c r="BH764" s="63"/>
      <c r="BI764" s="63"/>
      <c r="BJ764" s="63"/>
      <c r="BK764" s="63"/>
      <c r="BL764" s="63"/>
      <c r="BM764" s="63"/>
      <c r="BN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4"/>
      <c r="L765" s="65"/>
      <c r="M765" s="63"/>
      <c r="N765" s="63"/>
      <c r="O765" s="63"/>
      <c r="P765" s="63"/>
      <c r="Q765" s="63"/>
      <c r="R765" s="65"/>
      <c r="S765" s="63"/>
      <c r="T765" s="63"/>
      <c r="U765" s="63"/>
      <c r="V765" s="63"/>
      <c r="W765" s="64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AW765" s="63"/>
      <c r="AX765" s="63"/>
      <c r="AY765" s="63"/>
      <c r="AZ765" s="63"/>
      <c r="BA765" s="63"/>
      <c r="BB765" s="63"/>
      <c r="BC765" s="63"/>
      <c r="BD765" s="63"/>
      <c r="BE765" s="63"/>
      <c r="BF765" s="63"/>
      <c r="BG765" s="63"/>
      <c r="BH765" s="63"/>
      <c r="BI765" s="63"/>
      <c r="BJ765" s="63"/>
      <c r="BK765" s="63"/>
      <c r="BL765" s="63"/>
      <c r="BM765" s="63"/>
      <c r="BN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4"/>
      <c r="L766" s="65"/>
      <c r="M766" s="63"/>
      <c r="N766" s="63"/>
      <c r="O766" s="63"/>
      <c r="P766" s="63"/>
      <c r="Q766" s="63"/>
      <c r="R766" s="65"/>
      <c r="S766" s="63"/>
      <c r="T766" s="63"/>
      <c r="U766" s="63"/>
      <c r="V766" s="63"/>
      <c r="W766" s="64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  <c r="AM766" s="63"/>
      <c r="AN766" s="63"/>
      <c r="AO766" s="63"/>
      <c r="AP766" s="63"/>
      <c r="AQ766" s="63"/>
      <c r="AR766" s="63"/>
      <c r="AS766" s="63"/>
      <c r="AT766" s="63"/>
      <c r="AU766" s="63"/>
      <c r="AV766" s="63"/>
      <c r="AW766" s="63"/>
      <c r="AX766" s="63"/>
      <c r="AY766" s="63"/>
      <c r="AZ766" s="63"/>
      <c r="BA766" s="63"/>
      <c r="BB766" s="63"/>
      <c r="BC766" s="63"/>
      <c r="BD766" s="63"/>
      <c r="BE766" s="63"/>
      <c r="BF766" s="63"/>
      <c r="BG766" s="63"/>
      <c r="BH766" s="63"/>
      <c r="BI766" s="63"/>
      <c r="BJ766" s="63"/>
      <c r="BK766" s="63"/>
      <c r="BL766" s="63"/>
      <c r="BM766" s="63"/>
      <c r="BN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4"/>
      <c r="L767" s="65"/>
      <c r="M767" s="63"/>
      <c r="N767" s="63"/>
      <c r="O767" s="63"/>
      <c r="P767" s="63"/>
      <c r="Q767" s="63"/>
      <c r="R767" s="65"/>
      <c r="S767" s="63"/>
      <c r="T767" s="63"/>
      <c r="U767" s="63"/>
      <c r="V767" s="63"/>
      <c r="W767" s="64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  <c r="AM767" s="63"/>
      <c r="AN767" s="63"/>
      <c r="AO767" s="63"/>
      <c r="AP767" s="63"/>
      <c r="AQ767" s="63"/>
      <c r="AR767" s="63"/>
      <c r="AS767" s="63"/>
      <c r="AT767" s="63"/>
      <c r="AU767" s="63"/>
      <c r="AV767" s="63"/>
      <c r="AW767" s="63"/>
      <c r="AX767" s="63"/>
      <c r="AY767" s="63"/>
      <c r="AZ767" s="63"/>
      <c r="BA767" s="63"/>
      <c r="BB767" s="63"/>
      <c r="BC767" s="63"/>
      <c r="BD767" s="63"/>
      <c r="BE767" s="63"/>
      <c r="BF767" s="63"/>
      <c r="BG767" s="63"/>
      <c r="BH767" s="63"/>
      <c r="BI767" s="63"/>
      <c r="BJ767" s="63"/>
      <c r="BK767" s="63"/>
      <c r="BL767" s="63"/>
      <c r="BM767" s="63"/>
      <c r="BN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4"/>
      <c r="L768" s="65"/>
      <c r="M768" s="63"/>
      <c r="N768" s="63"/>
      <c r="O768" s="63"/>
      <c r="P768" s="63"/>
      <c r="Q768" s="63"/>
      <c r="R768" s="65"/>
      <c r="S768" s="63"/>
      <c r="T768" s="63"/>
      <c r="U768" s="63"/>
      <c r="V768" s="63"/>
      <c r="W768" s="64"/>
      <c r="X768" s="63"/>
      <c r="Y768" s="63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  <c r="AL768" s="63"/>
      <c r="AM768" s="63"/>
      <c r="AN768" s="63"/>
      <c r="AO768" s="63"/>
      <c r="AP768" s="63"/>
      <c r="AQ768" s="63"/>
      <c r="AR768" s="63"/>
      <c r="AS768" s="63"/>
      <c r="AT768" s="63"/>
      <c r="AU768" s="63"/>
      <c r="AV768" s="63"/>
      <c r="AW768" s="63"/>
      <c r="AX768" s="63"/>
      <c r="AY768" s="63"/>
      <c r="AZ768" s="63"/>
      <c r="BA768" s="63"/>
      <c r="BB768" s="63"/>
      <c r="BC768" s="63"/>
      <c r="BD768" s="63"/>
      <c r="BE768" s="63"/>
      <c r="BF768" s="63"/>
      <c r="BG768" s="63"/>
      <c r="BH768" s="63"/>
      <c r="BI768" s="63"/>
      <c r="BJ768" s="63"/>
      <c r="BK768" s="63"/>
      <c r="BL768" s="63"/>
      <c r="BM768" s="63"/>
      <c r="BN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4"/>
      <c r="L769" s="65"/>
      <c r="M769" s="63"/>
      <c r="N769" s="63"/>
      <c r="O769" s="63"/>
      <c r="P769" s="63"/>
      <c r="Q769" s="63"/>
      <c r="R769" s="65"/>
      <c r="S769" s="63"/>
      <c r="T769" s="63"/>
      <c r="U769" s="63"/>
      <c r="V769" s="63"/>
      <c r="W769" s="64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  <c r="AM769" s="63"/>
      <c r="AN769" s="63"/>
      <c r="AO769" s="63"/>
      <c r="AP769" s="63"/>
      <c r="AQ769" s="63"/>
      <c r="AR769" s="63"/>
      <c r="AS769" s="63"/>
      <c r="AT769" s="63"/>
      <c r="AU769" s="63"/>
      <c r="AV769" s="63"/>
      <c r="AW769" s="63"/>
      <c r="AX769" s="63"/>
      <c r="AY769" s="63"/>
      <c r="AZ769" s="63"/>
      <c r="BA769" s="63"/>
      <c r="BB769" s="63"/>
      <c r="BC769" s="63"/>
      <c r="BD769" s="63"/>
      <c r="BE769" s="63"/>
      <c r="BF769" s="63"/>
      <c r="BG769" s="63"/>
      <c r="BH769" s="63"/>
      <c r="BI769" s="63"/>
      <c r="BJ769" s="63"/>
      <c r="BK769" s="63"/>
      <c r="BL769" s="63"/>
      <c r="BM769" s="63"/>
      <c r="BN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4"/>
      <c r="L770" s="65"/>
      <c r="M770" s="63"/>
      <c r="N770" s="63"/>
      <c r="O770" s="63"/>
      <c r="P770" s="63"/>
      <c r="Q770" s="63"/>
      <c r="R770" s="65"/>
      <c r="S770" s="63"/>
      <c r="T770" s="63"/>
      <c r="U770" s="63"/>
      <c r="V770" s="63"/>
      <c r="W770" s="64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  <c r="AM770" s="63"/>
      <c r="AN770" s="63"/>
      <c r="AO770" s="63"/>
      <c r="AP770" s="63"/>
      <c r="AQ770" s="63"/>
      <c r="AR770" s="63"/>
      <c r="AS770" s="63"/>
      <c r="AT770" s="63"/>
      <c r="AU770" s="63"/>
      <c r="AV770" s="63"/>
      <c r="AW770" s="63"/>
      <c r="AX770" s="63"/>
      <c r="AY770" s="63"/>
      <c r="AZ770" s="63"/>
      <c r="BA770" s="63"/>
      <c r="BB770" s="63"/>
      <c r="BC770" s="63"/>
      <c r="BD770" s="63"/>
      <c r="BE770" s="63"/>
      <c r="BF770" s="63"/>
      <c r="BG770" s="63"/>
      <c r="BH770" s="63"/>
      <c r="BI770" s="63"/>
      <c r="BJ770" s="63"/>
      <c r="BK770" s="63"/>
      <c r="BL770" s="63"/>
      <c r="BM770" s="63"/>
      <c r="BN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4"/>
      <c r="L771" s="65"/>
      <c r="M771" s="63"/>
      <c r="N771" s="63"/>
      <c r="O771" s="63"/>
      <c r="P771" s="63"/>
      <c r="Q771" s="63"/>
      <c r="R771" s="65"/>
      <c r="S771" s="63"/>
      <c r="T771" s="63"/>
      <c r="U771" s="63"/>
      <c r="V771" s="63"/>
      <c r="W771" s="64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  <c r="AN771" s="63"/>
      <c r="AO771" s="63"/>
      <c r="AP771" s="63"/>
      <c r="AQ771" s="63"/>
      <c r="AR771" s="63"/>
      <c r="AS771" s="63"/>
      <c r="AT771" s="63"/>
      <c r="AU771" s="63"/>
      <c r="AV771" s="63"/>
      <c r="AW771" s="63"/>
      <c r="AX771" s="63"/>
      <c r="AY771" s="63"/>
      <c r="AZ771" s="63"/>
      <c r="BA771" s="63"/>
      <c r="BB771" s="63"/>
      <c r="BC771" s="63"/>
      <c r="BD771" s="63"/>
      <c r="BE771" s="63"/>
      <c r="BF771" s="63"/>
      <c r="BG771" s="63"/>
      <c r="BH771" s="63"/>
      <c r="BI771" s="63"/>
      <c r="BJ771" s="63"/>
      <c r="BK771" s="63"/>
      <c r="BL771" s="63"/>
      <c r="BM771" s="63"/>
      <c r="BN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4"/>
      <c r="L772" s="65"/>
      <c r="M772" s="63"/>
      <c r="N772" s="63"/>
      <c r="O772" s="63"/>
      <c r="P772" s="63"/>
      <c r="Q772" s="63"/>
      <c r="R772" s="65"/>
      <c r="S772" s="63"/>
      <c r="T772" s="63"/>
      <c r="U772" s="63"/>
      <c r="V772" s="63"/>
      <c r="W772" s="64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  <c r="AM772" s="63"/>
      <c r="AN772" s="63"/>
      <c r="AO772" s="63"/>
      <c r="AP772" s="63"/>
      <c r="AQ772" s="63"/>
      <c r="AR772" s="63"/>
      <c r="AS772" s="63"/>
      <c r="AT772" s="63"/>
      <c r="AU772" s="63"/>
      <c r="AV772" s="63"/>
      <c r="AW772" s="63"/>
      <c r="AX772" s="63"/>
      <c r="AY772" s="63"/>
      <c r="AZ772" s="63"/>
      <c r="BA772" s="63"/>
      <c r="BB772" s="63"/>
      <c r="BC772" s="63"/>
      <c r="BD772" s="63"/>
      <c r="BE772" s="63"/>
      <c r="BF772" s="63"/>
      <c r="BG772" s="63"/>
      <c r="BH772" s="63"/>
      <c r="BI772" s="63"/>
      <c r="BJ772" s="63"/>
      <c r="BK772" s="63"/>
      <c r="BL772" s="63"/>
      <c r="BM772" s="63"/>
      <c r="BN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4"/>
      <c r="L773" s="65"/>
      <c r="M773" s="63"/>
      <c r="N773" s="63"/>
      <c r="O773" s="63"/>
      <c r="P773" s="63"/>
      <c r="Q773" s="63"/>
      <c r="R773" s="65"/>
      <c r="S773" s="63"/>
      <c r="T773" s="63"/>
      <c r="U773" s="63"/>
      <c r="V773" s="63"/>
      <c r="W773" s="64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  <c r="AM773" s="63"/>
      <c r="AN773" s="63"/>
      <c r="AO773" s="63"/>
      <c r="AP773" s="63"/>
      <c r="AQ773" s="63"/>
      <c r="AR773" s="63"/>
      <c r="AS773" s="63"/>
      <c r="AT773" s="63"/>
      <c r="AU773" s="63"/>
      <c r="AV773" s="63"/>
      <c r="AW773" s="63"/>
      <c r="AX773" s="63"/>
      <c r="AY773" s="63"/>
      <c r="AZ773" s="63"/>
      <c r="BA773" s="63"/>
      <c r="BB773" s="63"/>
      <c r="BC773" s="63"/>
      <c r="BD773" s="63"/>
      <c r="BE773" s="63"/>
      <c r="BF773" s="63"/>
      <c r="BG773" s="63"/>
      <c r="BH773" s="63"/>
      <c r="BI773" s="63"/>
      <c r="BJ773" s="63"/>
      <c r="BK773" s="63"/>
      <c r="BL773" s="63"/>
      <c r="BM773" s="63"/>
      <c r="BN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4"/>
      <c r="L774" s="65"/>
      <c r="M774" s="63"/>
      <c r="N774" s="63"/>
      <c r="O774" s="63"/>
      <c r="P774" s="63"/>
      <c r="Q774" s="63"/>
      <c r="R774" s="65"/>
      <c r="S774" s="63"/>
      <c r="T774" s="63"/>
      <c r="U774" s="63"/>
      <c r="V774" s="63"/>
      <c r="W774" s="64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  <c r="AM774" s="63"/>
      <c r="AN774" s="63"/>
      <c r="AO774" s="63"/>
      <c r="AP774" s="63"/>
      <c r="AQ774" s="63"/>
      <c r="AR774" s="63"/>
      <c r="AS774" s="63"/>
      <c r="AT774" s="63"/>
      <c r="AU774" s="63"/>
      <c r="AV774" s="63"/>
      <c r="AW774" s="63"/>
      <c r="AX774" s="63"/>
      <c r="AY774" s="63"/>
      <c r="AZ774" s="63"/>
      <c r="BA774" s="63"/>
      <c r="BB774" s="63"/>
      <c r="BC774" s="63"/>
      <c r="BD774" s="63"/>
      <c r="BE774" s="63"/>
      <c r="BF774" s="63"/>
      <c r="BG774" s="63"/>
      <c r="BH774" s="63"/>
      <c r="BI774" s="63"/>
      <c r="BJ774" s="63"/>
      <c r="BK774" s="63"/>
      <c r="BL774" s="63"/>
      <c r="BM774" s="63"/>
      <c r="BN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4"/>
      <c r="L775" s="65"/>
      <c r="M775" s="63"/>
      <c r="N775" s="63"/>
      <c r="O775" s="63"/>
      <c r="P775" s="63"/>
      <c r="Q775" s="63"/>
      <c r="R775" s="65"/>
      <c r="S775" s="63"/>
      <c r="T775" s="63"/>
      <c r="U775" s="63"/>
      <c r="V775" s="63"/>
      <c r="W775" s="64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  <c r="AM775" s="63"/>
      <c r="AN775" s="63"/>
      <c r="AO775" s="63"/>
      <c r="AP775" s="63"/>
      <c r="AQ775" s="63"/>
      <c r="AR775" s="63"/>
      <c r="AS775" s="63"/>
      <c r="AT775" s="63"/>
      <c r="AU775" s="63"/>
      <c r="AV775" s="63"/>
      <c r="AW775" s="63"/>
      <c r="AX775" s="63"/>
      <c r="AY775" s="63"/>
      <c r="AZ775" s="63"/>
      <c r="BA775" s="63"/>
      <c r="BB775" s="63"/>
      <c r="BC775" s="63"/>
      <c r="BD775" s="63"/>
      <c r="BE775" s="63"/>
      <c r="BF775" s="63"/>
      <c r="BG775" s="63"/>
      <c r="BH775" s="63"/>
      <c r="BI775" s="63"/>
      <c r="BJ775" s="63"/>
      <c r="BK775" s="63"/>
      <c r="BL775" s="63"/>
      <c r="BM775" s="63"/>
      <c r="BN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4"/>
      <c r="L776" s="65"/>
      <c r="M776" s="63"/>
      <c r="N776" s="63"/>
      <c r="O776" s="63"/>
      <c r="P776" s="63"/>
      <c r="Q776" s="63"/>
      <c r="R776" s="65"/>
      <c r="S776" s="63"/>
      <c r="T776" s="63"/>
      <c r="U776" s="63"/>
      <c r="V776" s="63"/>
      <c r="W776" s="64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AW776" s="63"/>
      <c r="AX776" s="63"/>
      <c r="AY776" s="63"/>
      <c r="AZ776" s="63"/>
      <c r="BA776" s="63"/>
      <c r="BB776" s="63"/>
      <c r="BC776" s="63"/>
      <c r="BD776" s="63"/>
      <c r="BE776" s="63"/>
      <c r="BF776" s="63"/>
      <c r="BG776" s="63"/>
      <c r="BH776" s="63"/>
      <c r="BI776" s="63"/>
      <c r="BJ776" s="63"/>
      <c r="BK776" s="63"/>
      <c r="BL776" s="63"/>
      <c r="BM776" s="63"/>
      <c r="BN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4"/>
      <c r="L777" s="65"/>
      <c r="M777" s="63"/>
      <c r="N777" s="63"/>
      <c r="O777" s="63"/>
      <c r="P777" s="63"/>
      <c r="Q777" s="63"/>
      <c r="R777" s="65"/>
      <c r="S777" s="63"/>
      <c r="T777" s="63"/>
      <c r="U777" s="63"/>
      <c r="V777" s="63"/>
      <c r="W777" s="64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  <c r="AM777" s="63"/>
      <c r="AN777" s="63"/>
      <c r="AO777" s="63"/>
      <c r="AP777" s="63"/>
      <c r="AQ777" s="63"/>
      <c r="AR777" s="63"/>
      <c r="AS777" s="63"/>
      <c r="AT777" s="63"/>
      <c r="AU777" s="63"/>
      <c r="AV777" s="63"/>
      <c r="AW777" s="63"/>
      <c r="AX777" s="63"/>
      <c r="AY777" s="63"/>
      <c r="AZ777" s="63"/>
      <c r="BA777" s="63"/>
      <c r="BB777" s="63"/>
      <c r="BC777" s="63"/>
      <c r="BD777" s="63"/>
      <c r="BE777" s="63"/>
      <c r="BF777" s="63"/>
      <c r="BG777" s="63"/>
      <c r="BH777" s="63"/>
      <c r="BI777" s="63"/>
      <c r="BJ777" s="63"/>
      <c r="BK777" s="63"/>
      <c r="BL777" s="63"/>
      <c r="BM777" s="63"/>
      <c r="BN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4"/>
      <c r="L778" s="65"/>
      <c r="M778" s="63"/>
      <c r="N778" s="63"/>
      <c r="O778" s="63"/>
      <c r="P778" s="63"/>
      <c r="Q778" s="63"/>
      <c r="R778" s="65"/>
      <c r="S778" s="63"/>
      <c r="T778" s="63"/>
      <c r="U778" s="63"/>
      <c r="V778" s="63"/>
      <c r="W778" s="64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AW778" s="63"/>
      <c r="AX778" s="63"/>
      <c r="AY778" s="63"/>
      <c r="AZ778" s="63"/>
      <c r="BA778" s="63"/>
      <c r="BB778" s="63"/>
      <c r="BC778" s="63"/>
      <c r="BD778" s="63"/>
      <c r="BE778" s="63"/>
      <c r="BF778" s="63"/>
      <c r="BG778" s="63"/>
      <c r="BH778" s="63"/>
      <c r="BI778" s="63"/>
      <c r="BJ778" s="63"/>
      <c r="BK778" s="63"/>
      <c r="BL778" s="63"/>
      <c r="BM778" s="63"/>
      <c r="BN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4"/>
      <c r="L779" s="65"/>
      <c r="M779" s="63"/>
      <c r="N779" s="63"/>
      <c r="O779" s="63"/>
      <c r="P779" s="63"/>
      <c r="Q779" s="63"/>
      <c r="R779" s="65"/>
      <c r="S779" s="63"/>
      <c r="T779" s="63"/>
      <c r="U779" s="63"/>
      <c r="V779" s="63"/>
      <c r="W779" s="64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  <c r="AM779" s="63"/>
      <c r="AN779" s="63"/>
      <c r="AO779" s="63"/>
      <c r="AP779" s="63"/>
      <c r="AQ779" s="63"/>
      <c r="AR779" s="63"/>
      <c r="AS779" s="63"/>
      <c r="AT779" s="63"/>
      <c r="AU779" s="63"/>
      <c r="AV779" s="63"/>
      <c r="AW779" s="63"/>
      <c r="AX779" s="63"/>
      <c r="AY779" s="63"/>
      <c r="AZ779" s="63"/>
      <c r="BA779" s="63"/>
      <c r="BB779" s="63"/>
      <c r="BC779" s="63"/>
      <c r="BD779" s="63"/>
      <c r="BE779" s="63"/>
      <c r="BF779" s="63"/>
      <c r="BG779" s="63"/>
      <c r="BH779" s="63"/>
      <c r="BI779" s="63"/>
      <c r="BJ779" s="63"/>
      <c r="BK779" s="63"/>
      <c r="BL779" s="63"/>
      <c r="BM779" s="63"/>
      <c r="BN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4"/>
      <c r="L780" s="65"/>
      <c r="M780" s="63"/>
      <c r="N780" s="63"/>
      <c r="O780" s="63"/>
      <c r="P780" s="63"/>
      <c r="Q780" s="63"/>
      <c r="R780" s="65"/>
      <c r="S780" s="63"/>
      <c r="T780" s="63"/>
      <c r="U780" s="63"/>
      <c r="V780" s="63"/>
      <c r="W780" s="64"/>
      <c r="X780" s="63"/>
      <c r="Y780" s="63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  <c r="AL780" s="63"/>
      <c r="AM780" s="63"/>
      <c r="AN780" s="63"/>
      <c r="AO780" s="63"/>
      <c r="AP780" s="63"/>
      <c r="AQ780" s="63"/>
      <c r="AR780" s="63"/>
      <c r="AS780" s="63"/>
      <c r="AT780" s="63"/>
      <c r="AU780" s="63"/>
      <c r="AV780" s="63"/>
      <c r="AW780" s="63"/>
      <c r="AX780" s="63"/>
      <c r="AY780" s="63"/>
      <c r="AZ780" s="63"/>
      <c r="BA780" s="63"/>
      <c r="BB780" s="63"/>
      <c r="BC780" s="63"/>
      <c r="BD780" s="63"/>
      <c r="BE780" s="63"/>
      <c r="BF780" s="63"/>
      <c r="BG780" s="63"/>
      <c r="BH780" s="63"/>
      <c r="BI780" s="63"/>
      <c r="BJ780" s="63"/>
      <c r="BK780" s="63"/>
      <c r="BL780" s="63"/>
      <c r="BM780" s="63"/>
      <c r="BN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4"/>
      <c r="L781" s="65"/>
      <c r="M781" s="63"/>
      <c r="N781" s="63"/>
      <c r="O781" s="63"/>
      <c r="P781" s="63"/>
      <c r="Q781" s="63"/>
      <c r="R781" s="65"/>
      <c r="S781" s="63"/>
      <c r="T781" s="63"/>
      <c r="U781" s="63"/>
      <c r="V781" s="63"/>
      <c r="W781" s="64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  <c r="AM781" s="63"/>
      <c r="AN781" s="63"/>
      <c r="AO781" s="63"/>
      <c r="AP781" s="63"/>
      <c r="AQ781" s="63"/>
      <c r="AR781" s="63"/>
      <c r="AS781" s="63"/>
      <c r="AT781" s="63"/>
      <c r="AU781" s="63"/>
      <c r="AV781" s="63"/>
      <c r="AW781" s="63"/>
      <c r="AX781" s="63"/>
      <c r="AY781" s="63"/>
      <c r="AZ781" s="63"/>
      <c r="BA781" s="63"/>
      <c r="BB781" s="63"/>
      <c r="BC781" s="63"/>
      <c r="BD781" s="63"/>
      <c r="BE781" s="63"/>
      <c r="BF781" s="63"/>
      <c r="BG781" s="63"/>
      <c r="BH781" s="63"/>
      <c r="BI781" s="63"/>
      <c r="BJ781" s="63"/>
      <c r="BK781" s="63"/>
      <c r="BL781" s="63"/>
      <c r="BM781" s="63"/>
      <c r="BN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4"/>
      <c r="L782" s="65"/>
      <c r="M782" s="63"/>
      <c r="N782" s="63"/>
      <c r="O782" s="63"/>
      <c r="P782" s="63"/>
      <c r="Q782" s="63"/>
      <c r="R782" s="65"/>
      <c r="S782" s="63"/>
      <c r="T782" s="63"/>
      <c r="U782" s="63"/>
      <c r="V782" s="63"/>
      <c r="W782" s="64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  <c r="AM782" s="63"/>
      <c r="AN782" s="63"/>
      <c r="AO782" s="63"/>
      <c r="AP782" s="63"/>
      <c r="AQ782" s="63"/>
      <c r="AR782" s="63"/>
      <c r="AS782" s="63"/>
      <c r="AT782" s="63"/>
      <c r="AU782" s="63"/>
      <c r="AV782" s="63"/>
      <c r="AW782" s="63"/>
      <c r="AX782" s="63"/>
      <c r="AY782" s="63"/>
      <c r="AZ782" s="63"/>
      <c r="BA782" s="63"/>
      <c r="BB782" s="63"/>
      <c r="BC782" s="63"/>
      <c r="BD782" s="63"/>
      <c r="BE782" s="63"/>
      <c r="BF782" s="63"/>
      <c r="BG782" s="63"/>
      <c r="BH782" s="63"/>
      <c r="BI782" s="63"/>
      <c r="BJ782" s="63"/>
      <c r="BK782" s="63"/>
      <c r="BL782" s="63"/>
      <c r="BM782" s="63"/>
      <c r="BN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4"/>
      <c r="L783" s="65"/>
      <c r="M783" s="63"/>
      <c r="N783" s="63"/>
      <c r="O783" s="63"/>
      <c r="P783" s="63"/>
      <c r="Q783" s="63"/>
      <c r="R783" s="65"/>
      <c r="S783" s="63"/>
      <c r="T783" s="63"/>
      <c r="U783" s="63"/>
      <c r="V783" s="63"/>
      <c r="W783" s="64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AW783" s="63"/>
      <c r="AX783" s="63"/>
      <c r="AY783" s="63"/>
      <c r="AZ783" s="63"/>
      <c r="BA783" s="63"/>
      <c r="BB783" s="63"/>
      <c r="BC783" s="63"/>
      <c r="BD783" s="63"/>
      <c r="BE783" s="63"/>
      <c r="BF783" s="63"/>
      <c r="BG783" s="63"/>
      <c r="BH783" s="63"/>
      <c r="BI783" s="63"/>
      <c r="BJ783" s="63"/>
      <c r="BK783" s="63"/>
      <c r="BL783" s="63"/>
      <c r="BM783" s="63"/>
      <c r="BN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4"/>
      <c r="L784" s="65"/>
      <c r="M784" s="63"/>
      <c r="N784" s="63"/>
      <c r="O784" s="63"/>
      <c r="P784" s="63"/>
      <c r="Q784" s="63"/>
      <c r="R784" s="65"/>
      <c r="S784" s="63"/>
      <c r="T784" s="63"/>
      <c r="U784" s="63"/>
      <c r="V784" s="63"/>
      <c r="W784" s="64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  <c r="AM784" s="63"/>
      <c r="AN784" s="63"/>
      <c r="AO784" s="63"/>
      <c r="AP784" s="63"/>
      <c r="AQ784" s="63"/>
      <c r="AR784" s="63"/>
      <c r="AS784" s="63"/>
      <c r="AT784" s="63"/>
      <c r="AU784" s="63"/>
      <c r="AV784" s="63"/>
      <c r="AW784" s="63"/>
      <c r="AX784" s="63"/>
      <c r="AY784" s="63"/>
      <c r="AZ784" s="63"/>
      <c r="BA784" s="63"/>
      <c r="BB784" s="63"/>
      <c r="BC784" s="63"/>
      <c r="BD784" s="63"/>
      <c r="BE784" s="63"/>
      <c r="BF784" s="63"/>
      <c r="BG784" s="63"/>
      <c r="BH784" s="63"/>
      <c r="BI784" s="63"/>
      <c r="BJ784" s="63"/>
      <c r="BK784" s="63"/>
      <c r="BL784" s="63"/>
      <c r="BM784" s="63"/>
      <c r="BN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4"/>
      <c r="L785" s="65"/>
      <c r="M785" s="63"/>
      <c r="N785" s="63"/>
      <c r="O785" s="63"/>
      <c r="P785" s="63"/>
      <c r="Q785" s="63"/>
      <c r="R785" s="65"/>
      <c r="S785" s="63"/>
      <c r="T785" s="63"/>
      <c r="U785" s="63"/>
      <c r="V785" s="63"/>
      <c r="W785" s="64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AW785" s="63"/>
      <c r="AX785" s="63"/>
      <c r="AY785" s="63"/>
      <c r="AZ785" s="63"/>
      <c r="BA785" s="63"/>
      <c r="BB785" s="63"/>
      <c r="BC785" s="63"/>
      <c r="BD785" s="63"/>
      <c r="BE785" s="63"/>
      <c r="BF785" s="63"/>
      <c r="BG785" s="63"/>
      <c r="BH785" s="63"/>
      <c r="BI785" s="63"/>
      <c r="BJ785" s="63"/>
      <c r="BK785" s="63"/>
      <c r="BL785" s="63"/>
      <c r="BM785" s="63"/>
      <c r="BN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4"/>
      <c r="L786" s="65"/>
      <c r="M786" s="63"/>
      <c r="N786" s="63"/>
      <c r="O786" s="63"/>
      <c r="P786" s="63"/>
      <c r="Q786" s="63"/>
      <c r="R786" s="65"/>
      <c r="S786" s="63"/>
      <c r="T786" s="63"/>
      <c r="U786" s="63"/>
      <c r="V786" s="63"/>
      <c r="W786" s="64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  <c r="AN786" s="63"/>
      <c r="AO786" s="63"/>
      <c r="AP786" s="63"/>
      <c r="AQ786" s="63"/>
      <c r="AR786" s="63"/>
      <c r="AS786" s="63"/>
      <c r="AT786" s="63"/>
      <c r="AU786" s="63"/>
      <c r="AV786" s="63"/>
      <c r="AW786" s="63"/>
      <c r="AX786" s="63"/>
      <c r="AY786" s="63"/>
      <c r="AZ786" s="63"/>
      <c r="BA786" s="63"/>
      <c r="BB786" s="63"/>
      <c r="BC786" s="63"/>
      <c r="BD786" s="63"/>
      <c r="BE786" s="63"/>
      <c r="BF786" s="63"/>
      <c r="BG786" s="63"/>
      <c r="BH786" s="63"/>
      <c r="BI786" s="63"/>
      <c r="BJ786" s="63"/>
      <c r="BK786" s="63"/>
      <c r="BL786" s="63"/>
      <c r="BM786" s="63"/>
      <c r="BN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4"/>
      <c r="L787" s="65"/>
      <c r="M787" s="63"/>
      <c r="N787" s="63"/>
      <c r="O787" s="63"/>
      <c r="P787" s="63"/>
      <c r="Q787" s="63"/>
      <c r="R787" s="65"/>
      <c r="S787" s="63"/>
      <c r="T787" s="63"/>
      <c r="U787" s="63"/>
      <c r="V787" s="63"/>
      <c r="W787" s="64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AW787" s="63"/>
      <c r="AX787" s="63"/>
      <c r="AY787" s="63"/>
      <c r="AZ787" s="63"/>
      <c r="BA787" s="63"/>
      <c r="BB787" s="63"/>
      <c r="BC787" s="63"/>
      <c r="BD787" s="63"/>
      <c r="BE787" s="63"/>
      <c r="BF787" s="63"/>
      <c r="BG787" s="63"/>
      <c r="BH787" s="63"/>
      <c r="BI787" s="63"/>
      <c r="BJ787" s="63"/>
      <c r="BK787" s="63"/>
      <c r="BL787" s="63"/>
      <c r="BM787" s="63"/>
      <c r="BN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4"/>
      <c r="L788" s="65"/>
      <c r="M788" s="63"/>
      <c r="N788" s="63"/>
      <c r="O788" s="63"/>
      <c r="P788" s="63"/>
      <c r="Q788" s="63"/>
      <c r="R788" s="65"/>
      <c r="S788" s="63"/>
      <c r="T788" s="63"/>
      <c r="U788" s="63"/>
      <c r="V788" s="63"/>
      <c r="W788" s="64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  <c r="AN788" s="63"/>
      <c r="AO788" s="63"/>
      <c r="AP788" s="63"/>
      <c r="AQ788" s="63"/>
      <c r="AR788" s="63"/>
      <c r="AS788" s="63"/>
      <c r="AT788" s="63"/>
      <c r="AU788" s="63"/>
      <c r="AV788" s="63"/>
      <c r="AW788" s="63"/>
      <c r="AX788" s="63"/>
      <c r="AY788" s="63"/>
      <c r="AZ788" s="63"/>
      <c r="BA788" s="63"/>
      <c r="BB788" s="63"/>
      <c r="BC788" s="63"/>
      <c r="BD788" s="63"/>
      <c r="BE788" s="63"/>
      <c r="BF788" s="63"/>
      <c r="BG788" s="63"/>
      <c r="BH788" s="63"/>
      <c r="BI788" s="63"/>
      <c r="BJ788" s="63"/>
      <c r="BK788" s="63"/>
      <c r="BL788" s="63"/>
      <c r="BM788" s="63"/>
      <c r="BN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4"/>
      <c r="L789" s="65"/>
      <c r="M789" s="63"/>
      <c r="N789" s="63"/>
      <c r="O789" s="63"/>
      <c r="P789" s="63"/>
      <c r="Q789" s="63"/>
      <c r="R789" s="65"/>
      <c r="S789" s="63"/>
      <c r="T789" s="63"/>
      <c r="U789" s="63"/>
      <c r="V789" s="63"/>
      <c r="W789" s="64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  <c r="AO789" s="63"/>
      <c r="AP789" s="63"/>
      <c r="AQ789" s="63"/>
      <c r="AR789" s="63"/>
      <c r="AS789" s="63"/>
      <c r="AT789" s="63"/>
      <c r="AU789" s="63"/>
      <c r="AV789" s="63"/>
      <c r="AW789" s="63"/>
      <c r="AX789" s="63"/>
      <c r="AY789" s="63"/>
      <c r="AZ789" s="63"/>
      <c r="BA789" s="63"/>
      <c r="BB789" s="63"/>
      <c r="BC789" s="63"/>
      <c r="BD789" s="63"/>
      <c r="BE789" s="63"/>
      <c r="BF789" s="63"/>
      <c r="BG789" s="63"/>
      <c r="BH789" s="63"/>
      <c r="BI789" s="63"/>
      <c r="BJ789" s="63"/>
      <c r="BK789" s="63"/>
      <c r="BL789" s="63"/>
      <c r="BM789" s="63"/>
      <c r="BN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4"/>
      <c r="L790" s="65"/>
      <c r="M790" s="63"/>
      <c r="N790" s="63"/>
      <c r="O790" s="63"/>
      <c r="P790" s="63"/>
      <c r="Q790" s="63"/>
      <c r="R790" s="65"/>
      <c r="S790" s="63"/>
      <c r="T790" s="63"/>
      <c r="U790" s="63"/>
      <c r="V790" s="63"/>
      <c r="W790" s="64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  <c r="AN790" s="63"/>
      <c r="AO790" s="63"/>
      <c r="AP790" s="63"/>
      <c r="AQ790" s="63"/>
      <c r="AR790" s="63"/>
      <c r="AS790" s="63"/>
      <c r="AT790" s="63"/>
      <c r="AU790" s="63"/>
      <c r="AV790" s="63"/>
      <c r="AW790" s="63"/>
      <c r="AX790" s="63"/>
      <c r="AY790" s="63"/>
      <c r="AZ790" s="63"/>
      <c r="BA790" s="63"/>
      <c r="BB790" s="63"/>
      <c r="BC790" s="63"/>
      <c r="BD790" s="63"/>
      <c r="BE790" s="63"/>
      <c r="BF790" s="63"/>
      <c r="BG790" s="63"/>
      <c r="BH790" s="63"/>
      <c r="BI790" s="63"/>
      <c r="BJ790" s="63"/>
      <c r="BK790" s="63"/>
      <c r="BL790" s="63"/>
      <c r="BM790" s="63"/>
      <c r="BN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4"/>
      <c r="L791" s="65"/>
      <c r="M791" s="63"/>
      <c r="N791" s="63"/>
      <c r="O791" s="63"/>
      <c r="P791" s="63"/>
      <c r="Q791" s="63"/>
      <c r="R791" s="65"/>
      <c r="S791" s="63"/>
      <c r="T791" s="63"/>
      <c r="U791" s="63"/>
      <c r="V791" s="63"/>
      <c r="W791" s="64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  <c r="AN791" s="63"/>
      <c r="AO791" s="63"/>
      <c r="AP791" s="63"/>
      <c r="AQ791" s="63"/>
      <c r="AR791" s="63"/>
      <c r="AS791" s="63"/>
      <c r="AT791" s="63"/>
      <c r="AU791" s="63"/>
      <c r="AV791" s="63"/>
      <c r="AW791" s="63"/>
      <c r="AX791" s="63"/>
      <c r="AY791" s="63"/>
      <c r="AZ791" s="63"/>
      <c r="BA791" s="63"/>
      <c r="BB791" s="63"/>
      <c r="BC791" s="63"/>
      <c r="BD791" s="63"/>
      <c r="BE791" s="63"/>
      <c r="BF791" s="63"/>
      <c r="BG791" s="63"/>
      <c r="BH791" s="63"/>
      <c r="BI791" s="63"/>
      <c r="BJ791" s="63"/>
      <c r="BK791" s="63"/>
      <c r="BL791" s="63"/>
      <c r="BM791" s="63"/>
      <c r="BN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4"/>
      <c r="L792" s="65"/>
      <c r="M792" s="63"/>
      <c r="N792" s="63"/>
      <c r="O792" s="63"/>
      <c r="P792" s="63"/>
      <c r="Q792" s="63"/>
      <c r="R792" s="65"/>
      <c r="S792" s="63"/>
      <c r="T792" s="63"/>
      <c r="U792" s="63"/>
      <c r="V792" s="63"/>
      <c r="W792" s="64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  <c r="AN792" s="63"/>
      <c r="AO792" s="63"/>
      <c r="AP792" s="63"/>
      <c r="AQ792" s="63"/>
      <c r="AR792" s="63"/>
      <c r="AS792" s="63"/>
      <c r="AT792" s="63"/>
      <c r="AU792" s="63"/>
      <c r="AV792" s="63"/>
      <c r="AW792" s="63"/>
      <c r="AX792" s="63"/>
      <c r="AY792" s="63"/>
      <c r="AZ792" s="63"/>
      <c r="BA792" s="63"/>
      <c r="BB792" s="63"/>
      <c r="BC792" s="63"/>
      <c r="BD792" s="63"/>
      <c r="BE792" s="63"/>
      <c r="BF792" s="63"/>
      <c r="BG792" s="63"/>
      <c r="BH792" s="63"/>
      <c r="BI792" s="63"/>
      <c r="BJ792" s="63"/>
      <c r="BK792" s="63"/>
      <c r="BL792" s="63"/>
      <c r="BM792" s="63"/>
      <c r="BN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4"/>
      <c r="L793" s="65"/>
      <c r="M793" s="63"/>
      <c r="N793" s="63"/>
      <c r="O793" s="63"/>
      <c r="P793" s="63"/>
      <c r="Q793" s="63"/>
      <c r="R793" s="65"/>
      <c r="S793" s="63"/>
      <c r="T793" s="63"/>
      <c r="U793" s="63"/>
      <c r="V793" s="63"/>
      <c r="W793" s="64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  <c r="AN793" s="63"/>
      <c r="AO793" s="63"/>
      <c r="AP793" s="63"/>
      <c r="AQ793" s="63"/>
      <c r="AR793" s="63"/>
      <c r="AS793" s="63"/>
      <c r="AT793" s="63"/>
      <c r="AU793" s="63"/>
      <c r="AV793" s="63"/>
      <c r="AW793" s="63"/>
      <c r="AX793" s="63"/>
      <c r="AY793" s="63"/>
      <c r="AZ793" s="63"/>
      <c r="BA793" s="63"/>
      <c r="BB793" s="63"/>
      <c r="BC793" s="63"/>
      <c r="BD793" s="63"/>
      <c r="BE793" s="63"/>
      <c r="BF793" s="63"/>
      <c r="BG793" s="63"/>
      <c r="BH793" s="63"/>
      <c r="BI793" s="63"/>
      <c r="BJ793" s="63"/>
      <c r="BK793" s="63"/>
      <c r="BL793" s="63"/>
      <c r="BM793" s="63"/>
      <c r="BN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4"/>
      <c r="L794" s="65"/>
      <c r="M794" s="63"/>
      <c r="N794" s="63"/>
      <c r="O794" s="63"/>
      <c r="P794" s="63"/>
      <c r="Q794" s="63"/>
      <c r="R794" s="65"/>
      <c r="S794" s="63"/>
      <c r="T794" s="63"/>
      <c r="U794" s="63"/>
      <c r="V794" s="63"/>
      <c r="W794" s="64"/>
      <c r="X794" s="63"/>
      <c r="Y794" s="63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  <c r="AL794" s="63"/>
      <c r="AM794" s="63"/>
      <c r="AN794" s="63"/>
      <c r="AO794" s="63"/>
      <c r="AP794" s="63"/>
      <c r="AQ794" s="63"/>
      <c r="AR794" s="63"/>
      <c r="AS794" s="63"/>
      <c r="AT794" s="63"/>
      <c r="AU794" s="63"/>
      <c r="AV794" s="63"/>
      <c r="AW794" s="63"/>
      <c r="AX794" s="63"/>
      <c r="AY794" s="63"/>
      <c r="AZ794" s="63"/>
      <c r="BA794" s="63"/>
      <c r="BB794" s="63"/>
      <c r="BC794" s="63"/>
      <c r="BD794" s="63"/>
      <c r="BE794" s="63"/>
      <c r="BF794" s="63"/>
      <c r="BG794" s="63"/>
      <c r="BH794" s="63"/>
      <c r="BI794" s="63"/>
      <c r="BJ794" s="63"/>
      <c r="BK794" s="63"/>
      <c r="BL794" s="63"/>
      <c r="BM794" s="63"/>
      <c r="BN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4"/>
      <c r="L795" s="65"/>
      <c r="M795" s="63"/>
      <c r="N795" s="63"/>
      <c r="O795" s="63"/>
      <c r="P795" s="63"/>
      <c r="Q795" s="63"/>
      <c r="R795" s="65"/>
      <c r="S795" s="63"/>
      <c r="T795" s="63"/>
      <c r="U795" s="63"/>
      <c r="V795" s="63"/>
      <c r="W795" s="64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  <c r="AM795" s="63"/>
      <c r="AN795" s="63"/>
      <c r="AO795" s="63"/>
      <c r="AP795" s="63"/>
      <c r="AQ795" s="63"/>
      <c r="AR795" s="63"/>
      <c r="AS795" s="63"/>
      <c r="AT795" s="63"/>
      <c r="AU795" s="63"/>
      <c r="AV795" s="63"/>
      <c r="AW795" s="63"/>
      <c r="AX795" s="63"/>
      <c r="AY795" s="63"/>
      <c r="AZ795" s="63"/>
      <c r="BA795" s="63"/>
      <c r="BB795" s="63"/>
      <c r="BC795" s="63"/>
      <c r="BD795" s="63"/>
      <c r="BE795" s="63"/>
      <c r="BF795" s="63"/>
      <c r="BG795" s="63"/>
      <c r="BH795" s="63"/>
      <c r="BI795" s="63"/>
      <c r="BJ795" s="63"/>
      <c r="BK795" s="63"/>
      <c r="BL795" s="63"/>
      <c r="BM795" s="63"/>
      <c r="BN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4"/>
      <c r="L796" s="65"/>
      <c r="M796" s="63"/>
      <c r="N796" s="63"/>
      <c r="O796" s="63"/>
      <c r="P796" s="63"/>
      <c r="Q796" s="63"/>
      <c r="R796" s="65"/>
      <c r="S796" s="63"/>
      <c r="T796" s="63"/>
      <c r="U796" s="63"/>
      <c r="V796" s="63"/>
      <c r="W796" s="64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  <c r="AM796" s="63"/>
      <c r="AN796" s="63"/>
      <c r="AO796" s="63"/>
      <c r="AP796" s="63"/>
      <c r="AQ796" s="63"/>
      <c r="AR796" s="63"/>
      <c r="AS796" s="63"/>
      <c r="AT796" s="63"/>
      <c r="AU796" s="63"/>
      <c r="AV796" s="63"/>
      <c r="AW796" s="63"/>
      <c r="AX796" s="63"/>
      <c r="AY796" s="63"/>
      <c r="AZ796" s="63"/>
      <c r="BA796" s="63"/>
      <c r="BB796" s="63"/>
      <c r="BC796" s="63"/>
      <c r="BD796" s="63"/>
      <c r="BE796" s="63"/>
      <c r="BF796" s="63"/>
      <c r="BG796" s="63"/>
      <c r="BH796" s="63"/>
      <c r="BI796" s="63"/>
      <c r="BJ796" s="63"/>
      <c r="BK796" s="63"/>
      <c r="BL796" s="63"/>
      <c r="BM796" s="63"/>
      <c r="BN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4"/>
      <c r="L797" s="65"/>
      <c r="M797" s="63"/>
      <c r="N797" s="63"/>
      <c r="O797" s="63"/>
      <c r="P797" s="63"/>
      <c r="Q797" s="63"/>
      <c r="R797" s="65"/>
      <c r="S797" s="63"/>
      <c r="T797" s="63"/>
      <c r="U797" s="63"/>
      <c r="V797" s="63"/>
      <c r="W797" s="64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  <c r="AM797" s="63"/>
      <c r="AN797" s="63"/>
      <c r="AO797" s="63"/>
      <c r="AP797" s="63"/>
      <c r="AQ797" s="63"/>
      <c r="AR797" s="63"/>
      <c r="AS797" s="63"/>
      <c r="AT797" s="63"/>
      <c r="AU797" s="63"/>
      <c r="AV797" s="63"/>
      <c r="AW797" s="63"/>
      <c r="AX797" s="63"/>
      <c r="AY797" s="63"/>
      <c r="AZ797" s="63"/>
      <c r="BA797" s="63"/>
      <c r="BB797" s="63"/>
      <c r="BC797" s="63"/>
      <c r="BD797" s="63"/>
      <c r="BE797" s="63"/>
      <c r="BF797" s="63"/>
      <c r="BG797" s="63"/>
      <c r="BH797" s="63"/>
      <c r="BI797" s="63"/>
      <c r="BJ797" s="63"/>
      <c r="BK797" s="63"/>
      <c r="BL797" s="63"/>
      <c r="BM797" s="63"/>
      <c r="BN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4"/>
      <c r="L798" s="65"/>
      <c r="M798" s="63"/>
      <c r="N798" s="63"/>
      <c r="O798" s="63"/>
      <c r="P798" s="63"/>
      <c r="Q798" s="63"/>
      <c r="R798" s="65"/>
      <c r="S798" s="63"/>
      <c r="T798" s="63"/>
      <c r="U798" s="63"/>
      <c r="V798" s="63"/>
      <c r="W798" s="64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63"/>
      <c r="AM798" s="63"/>
      <c r="AN798" s="63"/>
      <c r="AO798" s="63"/>
      <c r="AP798" s="63"/>
      <c r="AQ798" s="63"/>
      <c r="AR798" s="63"/>
      <c r="AS798" s="63"/>
      <c r="AT798" s="63"/>
      <c r="AU798" s="63"/>
      <c r="AV798" s="63"/>
      <c r="AW798" s="63"/>
      <c r="AX798" s="63"/>
      <c r="AY798" s="63"/>
      <c r="AZ798" s="63"/>
      <c r="BA798" s="63"/>
      <c r="BB798" s="63"/>
      <c r="BC798" s="63"/>
      <c r="BD798" s="63"/>
      <c r="BE798" s="63"/>
      <c r="BF798" s="63"/>
      <c r="BG798" s="63"/>
      <c r="BH798" s="63"/>
      <c r="BI798" s="63"/>
      <c r="BJ798" s="63"/>
      <c r="BK798" s="63"/>
      <c r="BL798" s="63"/>
      <c r="BM798" s="63"/>
      <c r="BN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4"/>
      <c r="L799" s="65"/>
      <c r="M799" s="63"/>
      <c r="N799" s="63"/>
      <c r="O799" s="63"/>
      <c r="P799" s="63"/>
      <c r="Q799" s="63"/>
      <c r="R799" s="65"/>
      <c r="S799" s="63"/>
      <c r="T799" s="63"/>
      <c r="U799" s="63"/>
      <c r="V799" s="63"/>
      <c r="W799" s="64"/>
      <c r="X799" s="63"/>
      <c r="Y799" s="63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  <c r="AL799" s="63"/>
      <c r="AM799" s="63"/>
      <c r="AN799" s="63"/>
      <c r="AO799" s="63"/>
      <c r="AP799" s="63"/>
      <c r="AQ799" s="63"/>
      <c r="AR799" s="63"/>
      <c r="AS799" s="63"/>
      <c r="AT799" s="63"/>
      <c r="AU799" s="63"/>
      <c r="AV799" s="63"/>
      <c r="AW799" s="63"/>
      <c r="AX799" s="63"/>
      <c r="AY799" s="63"/>
      <c r="AZ799" s="63"/>
      <c r="BA799" s="63"/>
      <c r="BB799" s="63"/>
      <c r="BC799" s="63"/>
      <c r="BD799" s="63"/>
      <c r="BE799" s="63"/>
      <c r="BF799" s="63"/>
      <c r="BG799" s="63"/>
      <c r="BH799" s="63"/>
      <c r="BI799" s="63"/>
      <c r="BJ799" s="63"/>
      <c r="BK799" s="63"/>
      <c r="BL799" s="63"/>
      <c r="BM799" s="63"/>
      <c r="BN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4"/>
      <c r="L800" s="65"/>
      <c r="M800" s="63"/>
      <c r="N800" s="63"/>
      <c r="O800" s="63"/>
      <c r="P800" s="63"/>
      <c r="Q800" s="63"/>
      <c r="R800" s="65"/>
      <c r="S800" s="63"/>
      <c r="T800" s="63"/>
      <c r="U800" s="63"/>
      <c r="V800" s="63"/>
      <c r="W800" s="64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AW800" s="63"/>
      <c r="AX800" s="63"/>
      <c r="AY800" s="63"/>
      <c r="AZ800" s="63"/>
      <c r="BA800" s="63"/>
      <c r="BB800" s="63"/>
      <c r="BC800" s="63"/>
      <c r="BD800" s="63"/>
      <c r="BE800" s="63"/>
      <c r="BF800" s="63"/>
      <c r="BG800" s="63"/>
      <c r="BH800" s="63"/>
      <c r="BI800" s="63"/>
      <c r="BJ800" s="63"/>
      <c r="BK800" s="63"/>
      <c r="BL800" s="63"/>
      <c r="BM800" s="63"/>
      <c r="BN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4"/>
      <c r="L801" s="65"/>
      <c r="M801" s="63"/>
      <c r="N801" s="63"/>
      <c r="O801" s="63"/>
      <c r="P801" s="63"/>
      <c r="Q801" s="63"/>
      <c r="R801" s="65"/>
      <c r="S801" s="63"/>
      <c r="T801" s="63"/>
      <c r="U801" s="63"/>
      <c r="V801" s="63"/>
      <c r="W801" s="64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  <c r="AN801" s="63"/>
      <c r="AO801" s="63"/>
      <c r="AP801" s="63"/>
      <c r="AQ801" s="63"/>
      <c r="AR801" s="63"/>
      <c r="AS801" s="63"/>
      <c r="AT801" s="63"/>
      <c r="AU801" s="63"/>
      <c r="AV801" s="63"/>
      <c r="AW801" s="63"/>
      <c r="AX801" s="63"/>
      <c r="AY801" s="63"/>
      <c r="AZ801" s="63"/>
      <c r="BA801" s="63"/>
      <c r="BB801" s="63"/>
      <c r="BC801" s="63"/>
      <c r="BD801" s="63"/>
      <c r="BE801" s="63"/>
      <c r="BF801" s="63"/>
      <c r="BG801" s="63"/>
      <c r="BH801" s="63"/>
      <c r="BI801" s="63"/>
      <c r="BJ801" s="63"/>
      <c r="BK801" s="63"/>
      <c r="BL801" s="63"/>
      <c r="BM801" s="63"/>
      <c r="BN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4"/>
      <c r="L802" s="65"/>
      <c r="M802" s="63"/>
      <c r="N802" s="63"/>
      <c r="O802" s="63"/>
      <c r="P802" s="63"/>
      <c r="Q802" s="63"/>
      <c r="R802" s="65"/>
      <c r="S802" s="63"/>
      <c r="T802" s="63"/>
      <c r="U802" s="63"/>
      <c r="V802" s="63"/>
      <c r="W802" s="64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AW802" s="63"/>
      <c r="AX802" s="63"/>
      <c r="AY802" s="63"/>
      <c r="AZ802" s="63"/>
      <c r="BA802" s="63"/>
      <c r="BB802" s="63"/>
      <c r="BC802" s="63"/>
      <c r="BD802" s="63"/>
      <c r="BE802" s="63"/>
      <c r="BF802" s="63"/>
      <c r="BG802" s="63"/>
      <c r="BH802" s="63"/>
      <c r="BI802" s="63"/>
      <c r="BJ802" s="63"/>
      <c r="BK802" s="63"/>
      <c r="BL802" s="63"/>
      <c r="BM802" s="63"/>
      <c r="BN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4"/>
      <c r="L803" s="65"/>
      <c r="M803" s="63"/>
      <c r="N803" s="63"/>
      <c r="O803" s="63"/>
      <c r="P803" s="63"/>
      <c r="Q803" s="63"/>
      <c r="R803" s="65"/>
      <c r="S803" s="63"/>
      <c r="T803" s="63"/>
      <c r="U803" s="63"/>
      <c r="V803" s="63"/>
      <c r="W803" s="64"/>
      <c r="X803" s="63"/>
      <c r="Y803" s="63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  <c r="AL803" s="63"/>
      <c r="AM803" s="63"/>
      <c r="AN803" s="63"/>
      <c r="AO803" s="63"/>
      <c r="AP803" s="63"/>
      <c r="AQ803" s="63"/>
      <c r="AR803" s="63"/>
      <c r="AS803" s="63"/>
      <c r="AT803" s="63"/>
      <c r="AU803" s="63"/>
      <c r="AV803" s="63"/>
      <c r="AW803" s="63"/>
      <c r="AX803" s="63"/>
      <c r="AY803" s="63"/>
      <c r="AZ803" s="63"/>
      <c r="BA803" s="63"/>
      <c r="BB803" s="63"/>
      <c r="BC803" s="63"/>
      <c r="BD803" s="63"/>
      <c r="BE803" s="63"/>
      <c r="BF803" s="63"/>
      <c r="BG803" s="63"/>
      <c r="BH803" s="63"/>
      <c r="BI803" s="63"/>
      <c r="BJ803" s="63"/>
      <c r="BK803" s="63"/>
      <c r="BL803" s="63"/>
      <c r="BM803" s="63"/>
      <c r="BN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4"/>
      <c r="L804" s="65"/>
      <c r="M804" s="63"/>
      <c r="N804" s="63"/>
      <c r="O804" s="63"/>
      <c r="P804" s="63"/>
      <c r="Q804" s="63"/>
      <c r="R804" s="65"/>
      <c r="S804" s="63"/>
      <c r="T804" s="63"/>
      <c r="U804" s="63"/>
      <c r="V804" s="63"/>
      <c r="W804" s="64"/>
      <c r="X804" s="63"/>
      <c r="Y804" s="63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  <c r="AL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AW804" s="63"/>
      <c r="AX804" s="63"/>
      <c r="AY804" s="63"/>
      <c r="AZ804" s="63"/>
      <c r="BA804" s="63"/>
      <c r="BB804" s="63"/>
      <c r="BC804" s="63"/>
      <c r="BD804" s="63"/>
      <c r="BE804" s="63"/>
      <c r="BF804" s="63"/>
      <c r="BG804" s="63"/>
      <c r="BH804" s="63"/>
      <c r="BI804" s="63"/>
      <c r="BJ804" s="63"/>
      <c r="BK804" s="63"/>
      <c r="BL804" s="63"/>
      <c r="BM804" s="63"/>
      <c r="BN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4"/>
      <c r="L805" s="65"/>
      <c r="M805" s="63"/>
      <c r="N805" s="63"/>
      <c r="O805" s="63"/>
      <c r="P805" s="63"/>
      <c r="Q805" s="63"/>
      <c r="R805" s="65"/>
      <c r="S805" s="63"/>
      <c r="T805" s="63"/>
      <c r="U805" s="63"/>
      <c r="V805" s="63"/>
      <c r="W805" s="64"/>
      <c r="X805" s="63"/>
      <c r="Y805" s="63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  <c r="AL805" s="63"/>
      <c r="AM805" s="63"/>
      <c r="AN805" s="63"/>
      <c r="AO805" s="63"/>
      <c r="AP805" s="63"/>
      <c r="AQ805" s="63"/>
      <c r="AR805" s="63"/>
      <c r="AS805" s="63"/>
      <c r="AT805" s="63"/>
      <c r="AU805" s="63"/>
      <c r="AV805" s="63"/>
      <c r="AW805" s="63"/>
      <c r="AX805" s="63"/>
      <c r="AY805" s="63"/>
      <c r="AZ805" s="63"/>
      <c r="BA805" s="63"/>
      <c r="BB805" s="63"/>
      <c r="BC805" s="63"/>
      <c r="BD805" s="63"/>
      <c r="BE805" s="63"/>
      <c r="BF805" s="63"/>
      <c r="BG805" s="63"/>
      <c r="BH805" s="63"/>
      <c r="BI805" s="63"/>
      <c r="BJ805" s="63"/>
      <c r="BK805" s="63"/>
      <c r="BL805" s="63"/>
      <c r="BM805" s="63"/>
      <c r="BN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4"/>
      <c r="L806" s="65"/>
      <c r="M806" s="63"/>
      <c r="N806" s="63"/>
      <c r="O806" s="63"/>
      <c r="P806" s="63"/>
      <c r="Q806" s="63"/>
      <c r="R806" s="65"/>
      <c r="S806" s="63"/>
      <c r="T806" s="63"/>
      <c r="U806" s="63"/>
      <c r="V806" s="63"/>
      <c r="W806" s="64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63"/>
      <c r="AM806" s="63"/>
      <c r="AN806" s="63"/>
      <c r="AO806" s="63"/>
      <c r="AP806" s="63"/>
      <c r="AQ806" s="63"/>
      <c r="AR806" s="63"/>
      <c r="AS806" s="63"/>
      <c r="AT806" s="63"/>
      <c r="AU806" s="63"/>
      <c r="AV806" s="63"/>
      <c r="AW806" s="63"/>
      <c r="AX806" s="63"/>
      <c r="AY806" s="63"/>
      <c r="AZ806" s="63"/>
      <c r="BA806" s="63"/>
      <c r="BB806" s="63"/>
      <c r="BC806" s="63"/>
      <c r="BD806" s="63"/>
      <c r="BE806" s="63"/>
      <c r="BF806" s="63"/>
      <c r="BG806" s="63"/>
      <c r="BH806" s="63"/>
      <c r="BI806" s="63"/>
      <c r="BJ806" s="63"/>
      <c r="BK806" s="63"/>
      <c r="BL806" s="63"/>
      <c r="BM806" s="63"/>
      <c r="BN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4"/>
      <c r="L807" s="65"/>
      <c r="M807" s="63"/>
      <c r="N807" s="63"/>
      <c r="O807" s="63"/>
      <c r="P807" s="63"/>
      <c r="Q807" s="63"/>
      <c r="R807" s="65"/>
      <c r="S807" s="63"/>
      <c r="T807" s="63"/>
      <c r="U807" s="63"/>
      <c r="V807" s="63"/>
      <c r="W807" s="64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  <c r="AN807" s="63"/>
      <c r="AO807" s="63"/>
      <c r="AP807" s="63"/>
      <c r="AQ807" s="63"/>
      <c r="AR807" s="63"/>
      <c r="AS807" s="63"/>
      <c r="AT807" s="63"/>
      <c r="AU807" s="63"/>
      <c r="AV807" s="63"/>
      <c r="AW807" s="63"/>
      <c r="AX807" s="63"/>
      <c r="AY807" s="63"/>
      <c r="AZ807" s="63"/>
      <c r="BA807" s="63"/>
      <c r="BB807" s="63"/>
      <c r="BC807" s="63"/>
      <c r="BD807" s="63"/>
      <c r="BE807" s="63"/>
      <c r="BF807" s="63"/>
      <c r="BG807" s="63"/>
      <c r="BH807" s="63"/>
      <c r="BI807" s="63"/>
      <c r="BJ807" s="63"/>
      <c r="BK807" s="63"/>
      <c r="BL807" s="63"/>
      <c r="BM807" s="63"/>
      <c r="BN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4"/>
      <c r="L808" s="65"/>
      <c r="M808" s="63"/>
      <c r="N808" s="63"/>
      <c r="O808" s="63"/>
      <c r="P808" s="63"/>
      <c r="Q808" s="63"/>
      <c r="R808" s="65"/>
      <c r="S808" s="63"/>
      <c r="T808" s="63"/>
      <c r="U808" s="63"/>
      <c r="V808" s="63"/>
      <c r="W808" s="64"/>
      <c r="X808" s="63"/>
      <c r="Y808" s="63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  <c r="AL808" s="63"/>
      <c r="AM808" s="63"/>
      <c r="AN808" s="63"/>
      <c r="AO808" s="63"/>
      <c r="AP808" s="63"/>
      <c r="AQ808" s="63"/>
      <c r="AR808" s="63"/>
      <c r="AS808" s="63"/>
      <c r="AT808" s="63"/>
      <c r="AU808" s="63"/>
      <c r="AV808" s="63"/>
      <c r="AW808" s="63"/>
      <c r="AX808" s="63"/>
      <c r="AY808" s="63"/>
      <c r="AZ808" s="63"/>
      <c r="BA808" s="63"/>
      <c r="BB808" s="63"/>
      <c r="BC808" s="63"/>
      <c r="BD808" s="63"/>
      <c r="BE808" s="63"/>
      <c r="BF808" s="63"/>
      <c r="BG808" s="63"/>
      <c r="BH808" s="63"/>
      <c r="BI808" s="63"/>
      <c r="BJ808" s="63"/>
      <c r="BK808" s="63"/>
      <c r="BL808" s="63"/>
      <c r="BM808" s="63"/>
      <c r="BN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4"/>
      <c r="L809" s="65"/>
      <c r="M809" s="63"/>
      <c r="N809" s="63"/>
      <c r="O809" s="63"/>
      <c r="P809" s="63"/>
      <c r="Q809" s="63"/>
      <c r="R809" s="65"/>
      <c r="S809" s="63"/>
      <c r="T809" s="63"/>
      <c r="U809" s="63"/>
      <c r="V809" s="63"/>
      <c r="W809" s="64"/>
      <c r="X809" s="63"/>
      <c r="Y809" s="63"/>
      <c r="Z809" s="63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  <c r="AL809" s="63"/>
      <c r="AM809" s="63"/>
      <c r="AN809" s="63"/>
      <c r="AO809" s="63"/>
      <c r="AP809" s="63"/>
      <c r="AQ809" s="63"/>
      <c r="AR809" s="63"/>
      <c r="AS809" s="63"/>
      <c r="AT809" s="63"/>
      <c r="AU809" s="63"/>
      <c r="AV809" s="63"/>
      <c r="AW809" s="63"/>
      <c r="AX809" s="63"/>
      <c r="AY809" s="63"/>
      <c r="AZ809" s="63"/>
      <c r="BA809" s="63"/>
      <c r="BB809" s="63"/>
      <c r="BC809" s="63"/>
      <c r="BD809" s="63"/>
      <c r="BE809" s="63"/>
      <c r="BF809" s="63"/>
      <c r="BG809" s="63"/>
      <c r="BH809" s="63"/>
      <c r="BI809" s="63"/>
      <c r="BJ809" s="63"/>
      <c r="BK809" s="63"/>
      <c r="BL809" s="63"/>
      <c r="BM809" s="63"/>
      <c r="BN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4"/>
      <c r="L810" s="65"/>
      <c r="M810" s="63"/>
      <c r="N810" s="63"/>
      <c r="O810" s="63"/>
      <c r="P810" s="63"/>
      <c r="Q810" s="63"/>
      <c r="R810" s="65"/>
      <c r="S810" s="63"/>
      <c r="T810" s="63"/>
      <c r="U810" s="63"/>
      <c r="V810" s="63"/>
      <c r="W810" s="64"/>
      <c r="X810" s="63"/>
      <c r="Y810" s="63"/>
      <c r="Z810" s="63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  <c r="AL810" s="63"/>
      <c r="AM810" s="63"/>
      <c r="AN810" s="63"/>
      <c r="AO810" s="63"/>
      <c r="AP810" s="63"/>
      <c r="AQ810" s="63"/>
      <c r="AR810" s="63"/>
      <c r="AS810" s="63"/>
      <c r="AT810" s="63"/>
      <c r="AU810" s="63"/>
      <c r="AV810" s="63"/>
      <c r="AW810" s="63"/>
      <c r="AX810" s="63"/>
      <c r="AY810" s="63"/>
      <c r="AZ810" s="63"/>
      <c r="BA810" s="63"/>
      <c r="BB810" s="63"/>
      <c r="BC810" s="63"/>
      <c r="BD810" s="63"/>
      <c r="BE810" s="63"/>
      <c r="BF810" s="63"/>
      <c r="BG810" s="63"/>
      <c r="BH810" s="63"/>
      <c r="BI810" s="63"/>
      <c r="BJ810" s="63"/>
      <c r="BK810" s="63"/>
      <c r="BL810" s="63"/>
      <c r="BM810" s="63"/>
      <c r="BN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4"/>
      <c r="L811" s="65"/>
      <c r="M811" s="63"/>
      <c r="N811" s="63"/>
      <c r="O811" s="63"/>
      <c r="P811" s="63"/>
      <c r="Q811" s="63"/>
      <c r="R811" s="65"/>
      <c r="S811" s="63"/>
      <c r="T811" s="63"/>
      <c r="U811" s="63"/>
      <c r="V811" s="63"/>
      <c r="W811" s="64"/>
      <c r="X811" s="63"/>
      <c r="Y811" s="63"/>
      <c r="Z811" s="63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  <c r="AL811" s="63"/>
      <c r="AM811" s="63"/>
      <c r="AN811" s="63"/>
      <c r="AO811" s="63"/>
      <c r="AP811" s="63"/>
      <c r="AQ811" s="63"/>
      <c r="AR811" s="63"/>
      <c r="AS811" s="63"/>
      <c r="AT811" s="63"/>
      <c r="AU811" s="63"/>
      <c r="AV811" s="63"/>
      <c r="AW811" s="63"/>
      <c r="AX811" s="63"/>
      <c r="AY811" s="63"/>
      <c r="AZ811" s="63"/>
      <c r="BA811" s="63"/>
      <c r="BB811" s="63"/>
      <c r="BC811" s="63"/>
      <c r="BD811" s="63"/>
      <c r="BE811" s="63"/>
      <c r="BF811" s="63"/>
      <c r="BG811" s="63"/>
      <c r="BH811" s="63"/>
      <c r="BI811" s="63"/>
      <c r="BJ811" s="63"/>
      <c r="BK811" s="63"/>
      <c r="BL811" s="63"/>
      <c r="BM811" s="63"/>
      <c r="BN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4"/>
      <c r="L812" s="65"/>
      <c r="M812" s="63"/>
      <c r="N812" s="63"/>
      <c r="O812" s="63"/>
      <c r="P812" s="63"/>
      <c r="Q812" s="63"/>
      <c r="R812" s="65"/>
      <c r="S812" s="63"/>
      <c r="T812" s="63"/>
      <c r="U812" s="63"/>
      <c r="V812" s="63"/>
      <c r="W812" s="64"/>
      <c r="X812" s="63"/>
      <c r="Y812" s="63"/>
      <c r="Z812" s="63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  <c r="AL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AW812" s="63"/>
      <c r="AX812" s="63"/>
      <c r="AY812" s="63"/>
      <c r="AZ812" s="63"/>
      <c r="BA812" s="63"/>
      <c r="BB812" s="63"/>
      <c r="BC812" s="63"/>
      <c r="BD812" s="63"/>
      <c r="BE812" s="63"/>
      <c r="BF812" s="63"/>
      <c r="BG812" s="63"/>
      <c r="BH812" s="63"/>
      <c r="BI812" s="63"/>
      <c r="BJ812" s="63"/>
      <c r="BK812" s="63"/>
      <c r="BL812" s="63"/>
      <c r="BM812" s="63"/>
      <c r="BN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4"/>
      <c r="L813" s="65"/>
      <c r="M813" s="63"/>
      <c r="N813" s="63"/>
      <c r="O813" s="63"/>
      <c r="P813" s="63"/>
      <c r="Q813" s="63"/>
      <c r="R813" s="65"/>
      <c r="S813" s="63"/>
      <c r="T813" s="63"/>
      <c r="U813" s="63"/>
      <c r="V813" s="63"/>
      <c r="W813" s="64"/>
      <c r="X813" s="63"/>
      <c r="Y813" s="63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  <c r="BB813" s="63"/>
      <c r="BC813" s="63"/>
      <c r="BD813" s="63"/>
      <c r="BE813" s="63"/>
      <c r="BF813" s="63"/>
      <c r="BG813" s="63"/>
      <c r="BH813" s="63"/>
      <c r="BI813" s="63"/>
      <c r="BJ813" s="63"/>
      <c r="BK813" s="63"/>
      <c r="BL813" s="63"/>
      <c r="BM813" s="63"/>
      <c r="BN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4"/>
      <c r="L814" s="65"/>
      <c r="M814" s="63"/>
      <c r="N814" s="63"/>
      <c r="O814" s="63"/>
      <c r="P814" s="63"/>
      <c r="Q814" s="63"/>
      <c r="R814" s="65"/>
      <c r="S814" s="63"/>
      <c r="T814" s="63"/>
      <c r="U814" s="63"/>
      <c r="V814" s="63"/>
      <c r="W814" s="64"/>
      <c r="X814" s="63"/>
      <c r="Y814" s="63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  <c r="AL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AW814" s="63"/>
      <c r="AX814" s="63"/>
      <c r="AY814" s="63"/>
      <c r="AZ814" s="63"/>
      <c r="BA814" s="63"/>
      <c r="BB814" s="63"/>
      <c r="BC814" s="63"/>
      <c r="BD814" s="63"/>
      <c r="BE814" s="63"/>
      <c r="BF814" s="63"/>
      <c r="BG814" s="63"/>
      <c r="BH814" s="63"/>
      <c r="BI814" s="63"/>
      <c r="BJ814" s="63"/>
      <c r="BK814" s="63"/>
      <c r="BL814" s="63"/>
      <c r="BM814" s="63"/>
      <c r="BN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4"/>
      <c r="L815" s="65"/>
      <c r="M815" s="63"/>
      <c r="N815" s="63"/>
      <c r="O815" s="63"/>
      <c r="P815" s="63"/>
      <c r="Q815" s="63"/>
      <c r="R815" s="65"/>
      <c r="S815" s="63"/>
      <c r="T815" s="63"/>
      <c r="U815" s="63"/>
      <c r="V815" s="63"/>
      <c r="W815" s="64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  <c r="BB815" s="63"/>
      <c r="BC815" s="63"/>
      <c r="BD815" s="63"/>
      <c r="BE815" s="63"/>
      <c r="BF815" s="63"/>
      <c r="BG815" s="63"/>
      <c r="BH815" s="63"/>
      <c r="BI815" s="63"/>
      <c r="BJ815" s="63"/>
      <c r="BK815" s="63"/>
      <c r="BL815" s="63"/>
      <c r="BM815" s="63"/>
      <c r="BN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4"/>
      <c r="L816" s="65"/>
      <c r="M816" s="63"/>
      <c r="N816" s="63"/>
      <c r="O816" s="63"/>
      <c r="P816" s="63"/>
      <c r="Q816" s="63"/>
      <c r="R816" s="65"/>
      <c r="S816" s="63"/>
      <c r="T816" s="63"/>
      <c r="U816" s="63"/>
      <c r="V816" s="63"/>
      <c r="W816" s="64"/>
      <c r="X816" s="63"/>
      <c r="Y816" s="63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  <c r="AL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AW816" s="63"/>
      <c r="AX816" s="63"/>
      <c r="AY816" s="63"/>
      <c r="AZ816" s="63"/>
      <c r="BA816" s="63"/>
      <c r="BB816" s="63"/>
      <c r="BC816" s="63"/>
      <c r="BD816" s="63"/>
      <c r="BE816" s="63"/>
      <c r="BF816" s="63"/>
      <c r="BG816" s="63"/>
      <c r="BH816" s="63"/>
      <c r="BI816" s="63"/>
      <c r="BJ816" s="63"/>
      <c r="BK816" s="63"/>
      <c r="BL816" s="63"/>
      <c r="BM816" s="63"/>
      <c r="BN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4"/>
      <c r="L817" s="65"/>
      <c r="M817" s="63"/>
      <c r="N817" s="63"/>
      <c r="O817" s="63"/>
      <c r="P817" s="63"/>
      <c r="Q817" s="63"/>
      <c r="R817" s="65"/>
      <c r="S817" s="63"/>
      <c r="T817" s="63"/>
      <c r="U817" s="63"/>
      <c r="V817" s="63"/>
      <c r="W817" s="64"/>
      <c r="X817" s="63"/>
      <c r="Y817" s="63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  <c r="AL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AW817" s="63"/>
      <c r="AX817" s="63"/>
      <c r="AY817" s="63"/>
      <c r="AZ817" s="63"/>
      <c r="BA817" s="63"/>
      <c r="BB817" s="63"/>
      <c r="BC817" s="63"/>
      <c r="BD817" s="63"/>
      <c r="BE817" s="63"/>
      <c r="BF817" s="63"/>
      <c r="BG817" s="63"/>
      <c r="BH817" s="63"/>
      <c r="BI817" s="63"/>
      <c r="BJ817" s="63"/>
      <c r="BK817" s="63"/>
      <c r="BL817" s="63"/>
      <c r="BM817" s="63"/>
      <c r="BN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4"/>
      <c r="L818" s="65"/>
      <c r="M818" s="63"/>
      <c r="N818" s="63"/>
      <c r="O818" s="63"/>
      <c r="P818" s="63"/>
      <c r="Q818" s="63"/>
      <c r="R818" s="65"/>
      <c r="S818" s="63"/>
      <c r="T818" s="63"/>
      <c r="U818" s="63"/>
      <c r="V818" s="63"/>
      <c r="W818" s="64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AW818" s="63"/>
      <c r="AX818" s="63"/>
      <c r="AY818" s="63"/>
      <c r="AZ818" s="63"/>
      <c r="BA818" s="63"/>
      <c r="BB818" s="63"/>
      <c r="BC818" s="63"/>
      <c r="BD818" s="63"/>
      <c r="BE818" s="63"/>
      <c r="BF818" s="63"/>
      <c r="BG818" s="63"/>
      <c r="BH818" s="63"/>
      <c r="BI818" s="63"/>
      <c r="BJ818" s="63"/>
      <c r="BK818" s="63"/>
      <c r="BL818" s="63"/>
      <c r="BM818" s="63"/>
      <c r="BN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4"/>
      <c r="L819" s="65"/>
      <c r="M819" s="63"/>
      <c r="N819" s="63"/>
      <c r="O819" s="63"/>
      <c r="P819" s="63"/>
      <c r="Q819" s="63"/>
      <c r="R819" s="65"/>
      <c r="S819" s="63"/>
      <c r="T819" s="63"/>
      <c r="U819" s="63"/>
      <c r="V819" s="63"/>
      <c r="W819" s="64"/>
      <c r="X819" s="63"/>
      <c r="Y819" s="63"/>
      <c r="Z819" s="63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  <c r="AL819" s="63"/>
      <c r="AM819" s="63"/>
      <c r="AN819" s="63"/>
      <c r="AO819" s="63"/>
      <c r="AP819" s="63"/>
      <c r="AQ819" s="63"/>
      <c r="AR819" s="63"/>
      <c r="AS819" s="63"/>
      <c r="AT819" s="63"/>
      <c r="AU819" s="63"/>
      <c r="AV819" s="63"/>
      <c r="AW819" s="63"/>
      <c r="AX819" s="63"/>
      <c r="AY819" s="63"/>
      <c r="AZ819" s="63"/>
      <c r="BA819" s="63"/>
      <c r="BB819" s="63"/>
      <c r="BC819" s="63"/>
      <c r="BD819" s="63"/>
      <c r="BE819" s="63"/>
      <c r="BF819" s="63"/>
      <c r="BG819" s="63"/>
      <c r="BH819" s="63"/>
      <c r="BI819" s="63"/>
      <c r="BJ819" s="63"/>
      <c r="BK819" s="63"/>
      <c r="BL819" s="63"/>
      <c r="BM819" s="63"/>
      <c r="BN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4"/>
      <c r="L820" s="65"/>
      <c r="M820" s="63"/>
      <c r="N820" s="63"/>
      <c r="O820" s="63"/>
      <c r="P820" s="63"/>
      <c r="Q820" s="63"/>
      <c r="R820" s="65"/>
      <c r="S820" s="63"/>
      <c r="T820" s="63"/>
      <c r="U820" s="63"/>
      <c r="V820" s="63"/>
      <c r="W820" s="64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  <c r="BB820" s="63"/>
      <c r="BC820" s="63"/>
      <c r="BD820" s="63"/>
      <c r="BE820" s="63"/>
      <c r="BF820" s="63"/>
      <c r="BG820" s="63"/>
      <c r="BH820" s="63"/>
      <c r="BI820" s="63"/>
      <c r="BJ820" s="63"/>
      <c r="BK820" s="63"/>
      <c r="BL820" s="63"/>
      <c r="BM820" s="63"/>
      <c r="BN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4"/>
      <c r="L821" s="65"/>
      <c r="M821" s="63"/>
      <c r="N821" s="63"/>
      <c r="O821" s="63"/>
      <c r="P821" s="63"/>
      <c r="Q821" s="63"/>
      <c r="R821" s="65"/>
      <c r="S821" s="63"/>
      <c r="T821" s="63"/>
      <c r="U821" s="63"/>
      <c r="V821" s="63"/>
      <c r="W821" s="64"/>
      <c r="X821" s="63"/>
      <c r="Y821" s="63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  <c r="AL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AW821" s="63"/>
      <c r="AX821" s="63"/>
      <c r="AY821" s="63"/>
      <c r="AZ821" s="63"/>
      <c r="BA821" s="63"/>
      <c r="BB821" s="63"/>
      <c r="BC821" s="63"/>
      <c r="BD821" s="63"/>
      <c r="BE821" s="63"/>
      <c r="BF821" s="63"/>
      <c r="BG821" s="63"/>
      <c r="BH821" s="63"/>
      <c r="BI821" s="63"/>
      <c r="BJ821" s="63"/>
      <c r="BK821" s="63"/>
      <c r="BL821" s="63"/>
      <c r="BM821" s="63"/>
      <c r="BN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4"/>
      <c r="L822" s="65"/>
      <c r="M822" s="63"/>
      <c r="N822" s="63"/>
      <c r="O822" s="63"/>
      <c r="P822" s="63"/>
      <c r="Q822" s="63"/>
      <c r="R822" s="65"/>
      <c r="S822" s="63"/>
      <c r="T822" s="63"/>
      <c r="U822" s="63"/>
      <c r="V822" s="63"/>
      <c r="W822" s="64"/>
      <c r="X822" s="63"/>
      <c r="Y822" s="63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  <c r="AL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AW822" s="63"/>
      <c r="AX822" s="63"/>
      <c r="AY822" s="63"/>
      <c r="AZ822" s="63"/>
      <c r="BA822" s="63"/>
      <c r="BB822" s="63"/>
      <c r="BC822" s="63"/>
      <c r="BD822" s="63"/>
      <c r="BE822" s="63"/>
      <c r="BF822" s="63"/>
      <c r="BG822" s="63"/>
      <c r="BH822" s="63"/>
      <c r="BI822" s="63"/>
      <c r="BJ822" s="63"/>
      <c r="BK822" s="63"/>
      <c r="BL822" s="63"/>
      <c r="BM822" s="63"/>
      <c r="BN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4"/>
      <c r="L823" s="65"/>
      <c r="M823" s="63"/>
      <c r="N823" s="63"/>
      <c r="O823" s="63"/>
      <c r="P823" s="63"/>
      <c r="Q823" s="63"/>
      <c r="R823" s="65"/>
      <c r="S823" s="63"/>
      <c r="T823" s="63"/>
      <c r="U823" s="63"/>
      <c r="V823" s="63"/>
      <c r="W823" s="64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  <c r="AM823" s="63"/>
      <c r="AN823" s="63"/>
      <c r="AO823" s="63"/>
      <c r="AP823" s="63"/>
      <c r="AQ823" s="63"/>
      <c r="AR823" s="63"/>
      <c r="AS823" s="63"/>
      <c r="AT823" s="63"/>
      <c r="AU823" s="63"/>
      <c r="AV823" s="63"/>
      <c r="AW823" s="63"/>
      <c r="AX823" s="63"/>
      <c r="AY823" s="63"/>
      <c r="AZ823" s="63"/>
      <c r="BA823" s="63"/>
      <c r="BB823" s="63"/>
      <c r="BC823" s="63"/>
      <c r="BD823" s="63"/>
      <c r="BE823" s="63"/>
      <c r="BF823" s="63"/>
      <c r="BG823" s="63"/>
      <c r="BH823" s="63"/>
      <c r="BI823" s="63"/>
      <c r="BJ823" s="63"/>
      <c r="BK823" s="63"/>
      <c r="BL823" s="63"/>
      <c r="BM823" s="63"/>
      <c r="BN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4"/>
      <c r="L824" s="65"/>
      <c r="M824" s="63"/>
      <c r="N824" s="63"/>
      <c r="O824" s="63"/>
      <c r="P824" s="63"/>
      <c r="Q824" s="63"/>
      <c r="R824" s="65"/>
      <c r="S824" s="63"/>
      <c r="T824" s="63"/>
      <c r="U824" s="63"/>
      <c r="V824" s="63"/>
      <c r="W824" s="64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AW824" s="63"/>
      <c r="AX824" s="63"/>
      <c r="AY824" s="63"/>
      <c r="AZ824" s="63"/>
      <c r="BA824" s="63"/>
      <c r="BB824" s="63"/>
      <c r="BC824" s="63"/>
      <c r="BD824" s="63"/>
      <c r="BE824" s="63"/>
      <c r="BF824" s="63"/>
      <c r="BG824" s="63"/>
      <c r="BH824" s="63"/>
      <c r="BI824" s="63"/>
      <c r="BJ824" s="63"/>
      <c r="BK824" s="63"/>
      <c r="BL824" s="63"/>
      <c r="BM824" s="63"/>
      <c r="BN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4"/>
      <c r="L825" s="65"/>
      <c r="M825" s="63"/>
      <c r="N825" s="63"/>
      <c r="O825" s="63"/>
      <c r="P825" s="63"/>
      <c r="Q825" s="63"/>
      <c r="R825" s="65"/>
      <c r="S825" s="63"/>
      <c r="T825" s="63"/>
      <c r="U825" s="63"/>
      <c r="V825" s="63"/>
      <c r="W825" s="64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AW825" s="63"/>
      <c r="AX825" s="63"/>
      <c r="AY825" s="63"/>
      <c r="AZ825" s="63"/>
      <c r="BA825" s="63"/>
      <c r="BB825" s="63"/>
      <c r="BC825" s="63"/>
      <c r="BD825" s="63"/>
      <c r="BE825" s="63"/>
      <c r="BF825" s="63"/>
      <c r="BG825" s="63"/>
      <c r="BH825" s="63"/>
      <c r="BI825" s="63"/>
      <c r="BJ825" s="63"/>
      <c r="BK825" s="63"/>
      <c r="BL825" s="63"/>
      <c r="BM825" s="63"/>
      <c r="BN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4"/>
      <c r="L826" s="65"/>
      <c r="M826" s="63"/>
      <c r="N826" s="63"/>
      <c r="O826" s="63"/>
      <c r="P826" s="63"/>
      <c r="Q826" s="63"/>
      <c r="R826" s="65"/>
      <c r="S826" s="63"/>
      <c r="T826" s="63"/>
      <c r="U826" s="63"/>
      <c r="V826" s="63"/>
      <c r="W826" s="64"/>
      <c r="X826" s="63"/>
      <c r="Y826" s="63"/>
      <c r="Z826" s="63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  <c r="AL826" s="63"/>
      <c r="AM826" s="63"/>
      <c r="AN826" s="63"/>
      <c r="AO826" s="63"/>
      <c r="AP826" s="63"/>
      <c r="AQ826" s="63"/>
      <c r="AR826" s="63"/>
      <c r="AS826" s="63"/>
      <c r="AT826" s="63"/>
      <c r="AU826" s="63"/>
      <c r="AV826" s="63"/>
      <c r="AW826" s="63"/>
      <c r="AX826" s="63"/>
      <c r="AY826" s="63"/>
      <c r="AZ826" s="63"/>
      <c r="BA826" s="63"/>
      <c r="BB826" s="63"/>
      <c r="BC826" s="63"/>
      <c r="BD826" s="63"/>
      <c r="BE826" s="63"/>
      <c r="BF826" s="63"/>
      <c r="BG826" s="63"/>
      <c r="BH826" s="63"/>
      <c r="BI826" s="63"/>
      <c r="BJ826" s="63"/>
      <c r="BK826" s="63"/>
      <c r="BL826" s="63"/>
      <c r="BM826" s="63"/>
      <c r="BN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4"/>
      <c r="L827" s="65"/>
      <c r="M827" s="63"/>
      <c r="N827" s="63"/>
      <c r="O827" s="63"/>
      <c r="P827" s="63"/>
      <c r="Q827" s="63"/>
      <c r="R827" s="65"/>
      <c r="S827" s="63"/>
      <c r="T827" s="63"/>
      <c r="U827" s="63"/>
      <c r="V827" s="63"/>
      <c r="W827" s="64"/>
      <c r="X827" s="63"/>
      <c r="Y827" s="63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  <c r="AL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AW827" s="63"/>
      <c r="AX827" s="63"/>
      <c r="AY827" s="63"/>
      <c r="AZ827" s="63"/>
      <c r="BA827" s="63"/>
      <c r="BB827" s="63"/>
      <c r="BC827" s="63"/>
      <c r="BD827" s="63"/>
      <c r="BE827" s="63"/>
      <c r="BF827" s="63"/>
      <c r="BG827" s="63"/>
      <c r="BH827" s="63"/>
      <c r="BI827" s="63"/>
      <c r="BJ827" s="63"/>
      <c r="BK827" s="63"/>
      <c r="BL827" s="63"/>
      <c r="BM827" s="63"/>
      <c r="BN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4"/>
      <c r="L828" s="65"/>
      <c r="M828" s="63"/>
      <c r="N828" s="63"/>
      <c r="O828" s="63"/>
      <c r="P828" s="63"/>
      <c r="Q828" s="63"/>
      <c r="R828" s="65"/>
      <c r="S828" s="63"/>
      <c r="T828" s="63"/>
      <c r="U828" s="63"/>
      <c r="V828" s="63"/>
      <c r="W828" s="64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AW828" s="63"/>
      <c r="AX828" s="63"/>
      <c r="AY828" s="63"/>
      <c r="AZ828" s="63"/>
      <c r="BA828" s="63"/>
      <c r="BB828" s="63"/>
      <c r="BC828" s="63"/>
      <c r="BD828" s="63"/>
      <c r="BE828" s="63"/>
      <c r="BF828" s="63"/>
      <c r="BG828" s="63"/>
      <c r="BH828" s="63"/>
      <c r="BI828" s="63"/>
      <c r="BJ828" s="63"/>
      <c r="BK828" s="63"/>
      <c r="BL828" s="63"/>
      <c r="BM828" s="63"/>
      <c r="BN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4"/>
      <c r="L829" s="65"/>
      <c r="M829" s="63"/>
      <c r="N829" s="63"/>
      <c r="O829" s="63"/>
      <c r="P829" s="63"/>
      <c r="Q829" s="63"/>
      <c r="R829" s="65"/>
      <c r="S829" s="63"/>
      <c r="T829" s="63"/>
      <c r="U829" s="63"/>
      <c r="V829" s="63"/>
      <c r="W829" s="64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  <c r="AL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AW829" s="63"/>
      <c r="AX829" s="63"/>
      <c r="AY829" s="63"/>
      <c r="AZ829" s="63"/>
      <c r="BA829" s="63"/>
      <c r="BB829" s="63"/>
      <c r="BC829" s="63"/>
      <c r="BD829" s="63"/>
      <c r="BE829" s="63"/>
      <c r="BF829" s="63"/>
      <c r="BG829" s="63"/>
      <c r="BH829" s="63"/>
      <c r="BI829" s="63"/>
      <c r="BJ829" s="63"/>
      <c r="BK829" s="63"/>
      <c r="BL829" s="63"/>
      <c r="BM829" s="63"/>
      <c r="BN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4"/>
      <c r="L830" s="65"/>
      <c r="M830" s="63"/>
      <c r="N830" s="63"/>
      <c r="O830" s="63"/>
      <c r="P830" s="63"/>
      <c r="Q830" s="63"/>
      <c r="R830" s="65"/>
      <c r="S830" s="63"/>
      <c r="T830" s="63"/>
      <c r="U830" s="63"/>
      <c r="V830" s="63"/>
      <c r="W830" s="64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  <c r="AL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AW830" s="63"/>
      <c r="AX830" s="63"/>
      <c r="AY830" s="63"/>
      <c r="AZ830" s="63"/>
      <c r="BA830" s="63"/>
      <c r="BB830" s="63"/>
      <c r="BC830" s="63"/>
      <c r="BD830" s="63"/>
      <c r="BE830" s="63"/>
      <c r="BF830" s="63"/>
      <c r="BG830" s="63"/>
      <c r="BH830" s="63"/>
      <c r="BI830" s="63"/>
      <c r="BJ830" s="63"/>
      <c r="BK830" s="63"/>
      <c r="BL830" s="63"/>
      <c r="BM830" s="63"/>
      <c r="BN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4"/>
      <c r="L831" s="65"/>
      <c r="M831" s="63"/>
      <c r="N831" s="63"/>
      <c r="O831" s="63"/>
      <c r="P831" s="63"/>
      <c r="Q831" s="63"/>
      <c r="R831" s="65"/>
      <c r="S831" s="63"/>
      <c r="T831" s="63"/>
      <c r="U831" s="63"/>
      <c r="V831" s="63"/>
      <c r="W831" s="64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  <c r="AL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AW831" s="63"/>
      <c r="AX831" s="63"/>
      <c r="AY831" s="63"/>
      <c r="AZ831" s="63"/>
      <c r="BA831" s="63"/>
      <c r="BB831" s="63"/>
      <c r="BC831" s="63"/>
      <c r="BD831" s="63"/>
      <c r="BE831" s="63"/>
      <c r="BF831" s="63"/>
      <c r="BG831" s="63"/>
      <c r="BH831" s="63"/>
      <c r="BI831" s="63"/>
      <c r="BJ831" s="63"/>
      <c r="BK831" s="63"/>
      <c r="BL831" s="63"/>
      <c r="BM831" s="63"/>
      <c r="BN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4"/>
      <c r="L832" s="65"/>
      <c r="M832" s="63"/>
      <c r="N832" s="63"/>
      <c r="O832" s="63"/>
      <c r="P832" s="63"/>
      <c r="Q832" s="63"/>
      <c r="R832" s="65"/>
      <c r="S832" s="63"/>
      <c r="T832" s="63"/>
      <c r="U832" s="63"/>
      <c r="V832" s="63"/>
      <c r="W832" s="64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  <c r="BB832" s="63"/>
      <c r="BC832" s="63"/>
      <c r="BD832" s="63"/>
      <c r="BE832" s="63"/>
      <c r="BF832" s="63"/>
      <c r="BG832" s="63"/>
      <c r="BH832" s="63"/>
      <c r="BI832" s="63"/>
      <c r="BJ832" s="63"/>
      <c r="BK832" s="63"/>
      <c r="BL832" s="63"/>
      <c r="BM832" s="63"/>
      <c r="BN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4"/>
      <c r="L833" s="65"/>
      <c r="M833" s="63"/>
      <c r="N833" s="63"/>
      <c r="O833" s="63"/>
      <c r="P833" s="63"/>
      <c r="Q833" s="63"/>
      <c r="R833" s="65"/>
      <c r="S833" s="63"/>
      <c r="T833" s="63"/>
      <c r="U833" s="63"/>
      <c r="V833" s="63"/>
      <c r="W833" s="64"/>
      <c r="X833" s="63"/>
      <c r="Y833" s="63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  <c r="AL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AW833" s="63"/>
      <c r="AX833" s="63"/>
      <c r="AY833" s="63"/>
      <c r="AZ833" s="63"/>
      <c r="BA833" s="63"/>
      <c r="BB833" s="63"/>
      <c r="BC833" s="63"/>
      <c r="BD833" s="63"/>
      <c r="BE833" s="63"/>
      <c r="BF833" s="63"/>
      <c r="BG833" s="63"/>
      <c r="BH833" s="63"/>
      <c r="BI833" s="63"/>
      <c r="BJ833" s="63"/>
      <c r="BK833" s="63"/>
      <c r="BL833" s="63"/>
      <c r="BM833" s="63"/>
      <c r="BN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4"/>
      <c r="L834" s="65"/>
      <c r="M834" s="63"/>
      <c r="N834" s="63"/>
      <c r="O834" s="63"/>
      <c r="P834" s="63"/>
      <c r="Q834" s="63"/>
      <c r="R834" s="65"/>
      <c r="S834" s="63"/>
      <c r="T834" s="63"/>
      <c r="U834" s="63"/>
      <c r="V834" s="63"/>
      <c r="W834" s="64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  <c r="BB834" s="63"/>
      <c r="BC834" s="63"/>
      <c r="BD834" s="63"/>
      <c r="BE834" s="63"/>
      <c r="BF834" s="63"/>
      <c r="BG834" s="63"/>
      <c r="BH834" s="63"/>
      <c r="BI834" s="63"/>
      <c r="BJ834" s="63"/>
      <c r="BK834" s="63"/>
      <c r="BL834" s="63"/>
      <c r="BM834" s="63"/>
      <c r="BN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4"/>
      <c r="L835" s="65"/>
      <c r="M835" s="63"/>
      <c r="N835" s="63"/>
      <c r="O835" s="63"/>
      <c r="P835" s="63"/>
      <c r="Q835" s="63"/>
      <c r="R835" s="65"/>
      <c r="S835" s="63"/>
      <c r="T835" s="63"/>
      <c r="U835" s="63"/>
      <c r="V835" s="63"/>
      <c r="W835" s="64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AW835" s="63"/>
      <c r="AX835" s="63"/>
      <c r="AY835" s="63"/>
      <c r="AZ835" s="63"/>
      <c r="BA835" s="63"/>
      <c r="BB835" s="63"/>
      <c r="BC835" s="63"/>
      <c r="BD835" s="63"/>
      <c r="BE835" s="63"/>
      <c r="BF835" s="63"/>
      <c r="BG835" s="63"/>
      <c r="BH835" s="63"/>
      <c r="BI835" s="63"/>
      <c r="BJ835" s="63"/>
      <c r="BK835" s="63"/>
      <c r="BL835" s="63"/>
      <c r="BM835" s="63"/>
      <c r="BN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4"/>
      <c r="L836" s="65"/>
      <c r="M836" s="63"/>
      <c r="N836" s="63"/>
      <c r="O836" s="63"/>
      <c r="P836" s="63"/>
      <c r="Q836" s="63"/>
      <c r="R836" s="65"/>
      <c r="S836" s="63"/>
      <c r="T836" s="63"/>
      <c r="U836" s="63"/>
      <c r="V836" s="63"/>
      <c r="W836" s="64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AW836" s="63"/>
      <c r="AX836" s="63"/>
      <c r="AY836" s="63"/>
      <c r="AZ836" s="63"/>
      <c r="BA836" s="63"/>
      <c r="BB836" s="63"/>
      <c r="BC836" s="63"/>
      <c r="BD836" s="63"/>
      <c r="BE836" s="63"/>
      <c r="BF836" s="63"/>
      <c r="BG836" s="63"/>
      <c r="BH836" s="63"/>
      <c r="BI836" s="63"/>
      <c r="BJ836" s="63"/>
      <c r="BK836" s="63"/>
      <c r="BL836" s="63"/>
      <c r="BM836" s="63"/>
      <c r="BN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4"/>
      <c r="L837" s="65"/>
      <c r="M837" s="63"/>
      <c r="N837" s="63"/>
      <c r="O837" s="63"/>
      <c r="P837" s="63"/>
      <c r="Q837" s="63"/>
      <c r="R837" s="65"/>
      <c r="S837" s="63"/>
      <c r="T837" s="63"/>
      <c r="U837" s="63"/>
      <c r="V837" s="63"/>
      <c r="W837" s="64"/>
      <c r="X837" s="63"/>
      <c r="Y837" s="63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AW837" s="63"/>
      <c r="AX837" s="63"/>
      <c r="AY837" s="63"/>
      <c r="AZ837" s="63"/>
      <c r="BA837" s="63"/>
      <c r="BB837" s="63"/>
      <c r="BC837" s="63"/>
      <c r="BD837" s="63"/>
      <c r="BE837" s="63"/>
      <c r="BF837" s="63"/>
      <c r="BG837" s="63"/>
      <c r="BH837" s="63"/>
      <c r="BI837" s="63"/>
      <c r="BJ837" s="63"/>
      <c r="BK837" s="63"/>
      <c r="BL837" s="63"/>
      <c r="BM837" s="63"/>
      <c r="BN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4"/>
      <c r="L838" s="65"/>
      <c r="M838" s="63"/>
      <c r="N838" s="63"/>
      <c r="O838" s="63"/>
      <c r="P838" s="63"/>
      <c r="Q838" s="63"/>
      <c r="R838" s="65"/>
      <c r="S838" s="63"/>
      <c r="T838" s="63"/>
      <c r="U838" s="63"/>
      <c r="V838" s="63"/>
      <c r="W838" s="64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3"/>
      <c r="BB838" s="63"/>
      <c r="BC838" s="63"/>
      <c r="BD838" s="63"/>
      <c r="BE838" s="63"/>
      <c r="BF838" s="63"/>
      <c r="BG838" s="63"/>
      <c r="BH838" s="63"/>
      <c r="BI838" s="63"/>
      <c r="BJ838" s="63"/>
      <c r="BK838" s="63"/>
      <c r="BL838" s="63"/>
      <c r="BM838" s="63"/>
      <c r="BN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4"/>
      <c r="L839" s="65"/>
      <c r="M839" s="63"/>
      <c r="N839" s="63"/>
      <c r="O839" s="63"/>
      <c r="P839" s="63"/>
      <c r="Q839" s="63"/>
      <c r="R839" s="65"/>
      <c r="S839" s="63"/>
      <c r="T839" s="63"/>
      <c r="U839" s="63"/>
      <c r="V839" s="63"/>
      <c r="W839" s="64"/>
      <c r="X839" s="63"/>
      <c r="Y839" s="63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3"/>
      <c r="BB839" s="63"/>
      <c r="BC839" s="63"/>
      <c r="BD839" s="63"/>
      <c r="BE839" s="63"/>
      <c r="BF839" s="63"/>
      <c r="BG839" s="63"/>
      <c r="BH839" s="63"/>
      <c r="BI839" s="63"/>
      <c r="BJ839" s="63"/>
      <c r="BK839" s="63"/>
      <c r="BL839" s="63"/>
      <c r="BM839" s="63"/>
      <c r="BN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4"/>
      <c r="L840" s="65"/>
      <c r="M840" s="63"/>
      <c r="N840" s="63"/>
      <c r="O840" s="63"/>
      <c r="P840" s="63"/>
      <c r="Q840" s="63"/>
      <c r="R840" s="65"/>
      <c r="S840" s="63"/>
      <c r="T840" s="63"/>
      <c r="U840" s="63"/>
      <c r="V840" s="63"/>
      <c r="W840" s="64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AW840" s="63"/>
      <c r="AX840" s="63"/>
      <c r="AY840" s="63"/>
      <c r="AZ840" s="63"/>
      <c r="BA840" s="63"/>
      <c r="BB840" s="63"/>
      <c r="BC840" s="63"/>
      <c r="BD840" s="63"/>
      <c r="BE840" s="63"/>
      <c r="BF840" s="63"/>
      <c r="BG840" s="63"/>
      <c r="BH840" s="63"/>
      <c r="BI840" s="63"/>
      <c r="BJ840" s="63"/>
      <c r="BK840" s="63"/>
      <c r="BL840" s="63"/>
      <c r="BM840" s="63"/>
      <c r="BN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4"/>
      <c r="L841" s="65"/>
      <c r="M841" s="63"/>
      <c r="N841" s="63"/>
      <c r="O841" s="63"/>
      <c r="P841" s="63"/>
      <c r="Q841" s="63"/>
      <c r="R841" s="65"/>
      <c r="S841" s="63"/>
      <c r="T841" s="63"/>
      <c r="U841" s="63"/>
      <c r="V841" s="63"/>
      <c r="W841" s="64"/>
      <c r="X841" s="63"/>
      <c r="Y841" s="63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AW841" s="63"/>
      <c r="AX841" s="63"/>
      <c r="AY841" s="63"/>
      <c r="AZ841" s="63"/>
      <c r="BA841" s="63"/>
      <c r="BB841" s="63"/>
      <c r="BC841" s="63"/>
      <c r="BD841" s="63"/>
      <c r="BE841" s="63"/>
      <c r="BF841" s="63"/>
      <c r="BG841" s="63"/>
      <c r="BH841" s="63"/>
      <c r="BI841" s="63"/>
      <c r="BJ841" s="63"/>
      <c r="BK841" s="63"/>
      <c r="BL841" s="63"/>
      <c r="BM841" s="63"/>
      <c r="BN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4"/>
      <c r="L842" s="65"/>
      <c r="M842" s="63"/>
      <c r="N842" s="63"/>
      <c r="O842" s="63"/>
      <c r="P842" s="63"/>
      <c r="Q842" s="63"/>
      <c r="R842" s="65"/>
      <c r="S842" s="63"/>
      <c r="T842" s="63"/>
      <c r="U842" s="63"/>
      <c r="V842" s="63"/>
      <c r="W842" s="64"/>
      <c r="X842" s="63"/>
      <c r="Y842" s="63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  <c r="AL842" s="63"/>
      <c r="AM842" s="63"/>
      <c r="AN842" s="63"/>
      <c r="AO842" s="63"/>
      <c r="AP842" s="63"/>
      <c r="AQ842" s="63"/>
      <c r="AR842" s="63"/>
      <c r="AS842" s="63"/>
      <c r="AT842" s="63"/>
      <c r="AU842" s="63"/>
      <c r="AV842" s="63"/>
      <c r="AW842" s="63"/>
      <c r="AX842" s="63"/>
      <c r="AY842" s="63"/>
      <c r="AZ842" s="63"/>
      <c r="BA842" s="63"/>
      <c r="BB842" s="63"/>
      <c r="BC842" s="63"/>
      <c r="BD842" s="63"/>
      <c r="BE842" s="63"/>
      <c r="BF842" s="63"/>
      <c r="BG842" s="63"/>
      <c r="BH842" s="63"/>
      <c r="BI842" s="63"/>
      <c r="BJ842" s="63"/>
      <c r="BK842" s="63"/>
      <c r="BL842" s="63"/>
      <c r="BM842" s="63"/>
      <c r="BN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4"/>
      <c r="L843" s="65"/>
      <c r="M843" s="63"/>
      <c r="N843" s="63"/>
      <c r="O843" s="63"/>
      <c r="P843" s="63"/>
      <c r="Q843" s="63"/>
      <c r="R843" s="65"/>
      <c r="S843" s="63"/>
      <c r="T843" s="63"/>
      <c r="U843" s="63"/>
      <c r="V843" s="63"/>
      <c r="W843" s="64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 s="63"/>
      <c r="BC843" s="63"/>
      <c r="BD843" s="63"/>
      <c r="BE843" s="63"/>
      <c r="BF843" s="63"/>
      <c r="BG843" s="63"/>
      <c r="BH843" s="63"/>
      <c r="BI843" s="63"/>
      <c r="BJ843" s="63"/>
      <c r="BK843" s="63"/>
      <c r="BL843" s="63"/>
      <c r="BM843" s="63"/>
      <c r="BN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4"/>
      <c r="L844" s="65"/>
      <c r="M844" s="63"/>
      <c r="N844" s="63"/>
      <c r="O844" s="63"/>
      <c r="P844" s="63"/>
      <c r="Q844" s="63"/>
      <c r="R844" s="65"/>
      <c r="S844" s="63"/>
      <c r="T844" s="63"/>
      <c r="U844" s="63"/>
      <c r="V844" s="63"/>
      <c r="W844" s="64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AW844" s="63"/>
      <c r="AX844" s="63"/>
      <c r="AY844" s="63"/>
      <c r="AZ844" s="63"/>
      <c r="BA844" s="63"/>
      <c r="BB844" s="63"/>
      <c r="BC844" s="63"/>
      <c r="BD844" s="63"/>
      <c r="BE844" s="63"/>
      <c r="BF844" s="63"/>
      <c r="BG844" s="63"/>
      <c r="BH844" s="63"/>
      <c r="BI844" s="63"/>
      <c r="BJ844" s="63"/>
      <c r="BK844" s="63"/>
      <c r="BL844" s="63"/>
      <c r="BM844" s="63"/>
      <c r="BN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4"/>
      <c r="L845" s="65"/>
      <c r="M845" s="63"/>
      <c r="N845" s="63"/>
      <c r="O845" s="63"/>
      <c r="P845" s="63"/>
      <c r="Q845" s="63"/>
      <c r="R845" s="65"/>
      <c r="S845" s="63"/>
      <c r="T845" s="63"/>
      <c r="U845" s="63"/>
      <c r="V845" s="63"/>
      <c r="W845" s="64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AW845" s="63"/>
      <c r="AX845" s="63"/>
      <c r="AY845" s="63"/>
      <c r="AZ845" s="63"/>
      <c r="BA845" s="63"/>
      <c r="BB845" s="63"/>
      <c r="BC845" s="63"/>
      <c r="BD845" s="63"/>
      <c r="BE845" s="63"/>
      <c r="BF845" s="63"/>
      <c r="BG845" s="63"/>
      <c r="BH845" s="63"/>
      <c r="BI845" s="63"/>
      <c r="BJ845" s="63"/>
      <c r="BK845" s="63"/>
      <c r="BL845" s="63"/>
      <c r="BM845" s="63"/>
      <c r="BN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4"/>
      <c r="L846" s="65"/>
      <c r="M846" s="63"/>
      <c r="N846" s="63"/>
      <c r="O846" s="63"/>
      <c r="P846" s="63"/>
      <c r="Q846" s="63"/>
      <c r="R846" s="65"/>
      <c r="S846" s="63"/>
      <c r="T846" s="63"/>
      <c r="U846" s="63"/>
      <c r="V846" s="63"/>
      <c r="W846" s="64"/>
      <c r="X846" s="63"/>
      <c r="Y846" s="63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  <c r="AL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AW846" s="63"/>
      <c r="AX846" s="63"/>
      <c r="AY846" s="63"/>
      <c r="AZ846" s="63"/>
      <c r="BA846" s="63"/>
      <c r="BB846" s="63"/>
      <c r="BC846" s="63"/>
      <c r="BD846" s="63"/>
      <c r="BE846" s="63"/>
      <c r="BF846" s="63"/>
      <c r="BG846" s="63"/>
      <c r="BH846" s="63"/>
      <c r="BI846" s="63"/>
      <c r="BJ846" s="63"/>
      <c r="BK846" s="63"/>
      <c r="BL846" s="63"/>
      <c r="BM846" s="63"/>
      <c r="BN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4"/>
      <c r="L847" s="65"/>
      <c r="M847" s="63"/>
      <c r="N847" s="63"/>
      <c r="O847" s="63"/>
      <c r="P847" s="63"/>
      <c r="Q847" s="63"/>
      <c r="R847" s="65"/>
      <c r="S847" s="63"/>
      <c r="T847" s="63"/>
      <c r="U847" s="63"/>
      <c r="V847" s="63"/>
      <c r="W847" s="64"/>
      <c r="X847" s="63"/>
      <c r="Y847" s="63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  <c r="AL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AW847" s="63"/>
      <c r="AX847" s="63"/>
      <c r="AY847" s="63"/>
      <c r="AZ847" s="63"/>
      <c r="BA847" s="63"/>
      <c r="BB847" s="63"/>
      <c r="BC847" s="63"/>
      <c r="BD847" s="63"/>
      <c r="BE847" s="63"/>
      <c r="BF847" s="63"/>
      <c r="BG847" s="63"/>
      <c r="BH847" s="63"/>
      <c r="BI847" s="63"/>
      <c r="BJ847" s="63"/>
      <c r="BK847" s="63"/>
      <c r="BL847" s="63"/>
      <c r="BM847" s="63"/>
      <c r="BN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4"/>
      <c r="L848" s="65"/>
      <c r="M848" s="63"/>
      <c r="N848" s="63"/>
      <c r="O848" s="63"/>
      <c r="P848" s="63"/>
      <c r="Q848" s="63"/>
      <c r="R848" s="65"/>
      <c r="S848" s="63"/>
      <c r="T848" s="63"/>
      <c r="U848" s="63"/>
      <c r="V848" s="63"/>
      <c r="W848" s="64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AW848" s="63"/>
      <c r="AX848" s="63"/>
      <c r="AY848" s="63"/>
      <c r="AZ848" s="63"/>
      <c r="BA848" s="63"/>
      <c r="BB848" s="63"/>
      <c r="BC848" s="63"/>
      <c r="BD848" s="63"/>
      <c r="BE848" s="63"/>
      <c r="BF848" s="63"/>
      <c r="BG848" s="63"/>
      <c r="BH848" s="63"/>
      <c r="BI848" s="63"/>
      <c r="BJ848" s="63"/>
      <c r="BK848" s="63"/>
      <c r="BL848" s="63"/>
      <c r="BM848" s="63"/>
      <c r="BN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4"/>
      <c r="L849" s="65"/>
      <c r="M849" s="63"/>
      <c r="N849" s="63"/>
      <c r="O849" s="63"/>
      <c r="P849" s="63"/>
      <c r="Q849" s="63"/>
      <c r="R849" s="65"/>
      <c r="S849" s="63"/>
      <c r="T849" s="63"/>
      <c r="U849" s="63"/>
      <c r="V849" s="63"/>
      <c r="W849" s="64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AW849" s="63"/>
      <c r="AX849" s="63"/>
      <c r="AY849" s="63"/>
      <c r="AZ849" s="63"/>
      <c r="BA849" s="63"/>
      <c r="BB849" s="63"/>
      <c r="BC849" s="63"/>
      <c r="BD849" s="63"/>
      <c r="BE849" s="63"/>
      <c r="BF849" s="63"/>
      <c r="BG849" s="63"/>
      <c r="BH849" s="63"/>
      <c r="BI849" s="63"/>
      <c r="BJ849" s="63"/>
      <c r="BK849" s="63"/>
      <c r="BL849" s="63"/>
      <c r="BM849" s="63"/>
      <c r="BN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4"/>
      <c r="L850" s="65"/>
      <c r="M850" s="63"/>
      <c r="N850" s="63"/>
      <c r="O850" s="63"/>
      <c r="P850" s="63"/>
      <c r="Q850" s="63"/>
      <c r="R850" s="65"/>
      <c r="S850" s="63"/>
      <c r="T850" s="63"/>
      <c r="U850" s="63"/>
      <c r="V850" s="63"/>
      <c r="W850" s="64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AW850" s="63"/>
      <c r="AX850" s="63"/>
      <c r="AY850" s="63"/>
      <c r="AZ850" s="63"/>
      <c r="BA850" s="63"/>
      <c r="BB850" s="63"/>
      <c r="BC850" s="63"/>
      <c r="BD850" s="63"/>
      <c r="BE850" s="63"/>
      <c r="BF850" s="63"/>
      <c r="BG850" s="63"/>
      <c r="BH850" s="63"/>
      <c r="BI850" s="63"/>
      <c r="BJ850" s="63"/>
      <c r="BK850" s="63"/>
      <c r="BL850" s="63"/>
      <c r="BM850" s="63"/>
      <c r="BN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4"/>
      <c r="L851" s="65"/>
      <c r="M851" s="63"/>
      <c r="N851" s="63"/>
      <c r="O851" s="63"/>
      <c r="P851" s="63"/>
      <c r="Q851" s="63"/>
      <c r="R851" s="65"/>
      <c r="S851" s="63"/>
      <c r="T851" s="63"/>
      <c r="U851" s="63"/>
      <c r="V851" s="63"/>
      <c r="W851" s="64"/>
      <c r="X851" s="63"/>
      <c r="Y851" s="63"/>
      <c r="Z851" s="63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  <c r="AL851" s="63"/>
      <c r="AM851" s="63"/>
      <c r="AN851" s="63"/>
      <c r="AO851" s="63"/>
      <c r="AP851" s="63"/>
      <c r="AQ851" s="63"/>
      <c r="AR851" s="63"/>
      <c r="AS851" s="63"/>
      <c r="AT851" s="63"/>
      <c r="AU851" s="63"/>
      <c r="AV851" s="63"/>
      <c r="AW851" s="63"/>
      <c r="AX851" s="63"/>
      <c r="AY851" s="63"/>
      <c r="AZ851" s="63"/>
      <c r="BA851" s="63"/>
      <c r="BB851" s="63"/>
      <c r="BC851" s="63"/>
      <c r="BD851" s="63"/>
      <c r="BE851" s="63"/>
      <c r="BF851" s="63"/>
      <c r="BG851" s="63"/>
      <c r="BH851" s="63"/>
      <c r="BI851" s="63"/>
      <c r="BJ851" s="63"/>
      <c r="BK851" s="63"/>
      <c r="BL851" s="63"/>
      <c r="BM851" s="63"/>
      <c r="BN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4"/>
      <c r="L852" s="65"/>
      <c r="M852" s="63"/>
      <c r="N852" s="63"/>
      <c r="O852" s="63"/>
      <c r="P852" s="63"/>
      <c r="Q852" s="63"/>
      <c r="R852" s="65"/>
      <c r="S852" s="63"/>
      <c r="T852" s="63"/>
      <c r="U852" s="63"/>
      <c r="V852" s="63"/>
      <c r="W852" s="64"/>
      <c r="X852" s="63"/>
      <c r="Y852" s="63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  <c r="AL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AW852" s="63"/>
      <c r="AX852" s="63"/>
      <c r="AY852" s="63"/>
      <c r="AZ852" s="63"/>
      <c r="BA852" s="63"/>
      <c r="BB852" s="63"/>
      <c r="BC852" s="63"/>
      <c r="BD852" s="63"/>
      <c r="BE852" s="63"/>
      <c r="BF852" s="63"/>
      <c r="BG852" s="63"/>
      <c r="BH852" s="63"/>
      <c r="BI852" s="63"/>
      <c r="BJ852" s="63"/>
      <c r="BK852" s="63"/>
      <c r="BL852" s="63"/>
      <c r="BM852" s="63"/>
      <c r="BN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4"/>
      <c r="L853" s="65"/>
      <c r="M853" s="63"/>
      <c r="N853" s="63"/>
      <c r="O853" s="63"/>
      <c r="P853" s="63"/>
      <c r="Q853" s="63"/>
      <c r="R853" s="65"/>
      <c r="S853" s="63"/>
      <c r="T853" s="63"/>
      <c r="U853" s="63"/>
      <c r="V853" s="63"/>
      <c r="W853" s="64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AW853" s="63"/>
      <c r="AX853" s="63"/>
      <c r="AY853" s="63"/>
      <c r="AZ853" s="63"/>
      <c r="BA853" s="63"/>
      <c r="BB853" s="63"/>
      <c r="BC853" s="63"/>
      <c r="BD853" s="63"/>
      <c r="BE853" s="63"/>
      <c r="BF853" s="63"/>
      <c r="BG853" s="63"/>
      <c r="BH853" s="63"/>
      <c r="BI853" s="63"/>
      <c r="BJ853" s="63"/>
      <c r="BK853" s="63"/>
      <c r="BL853" s="63"/>
      <c r="BM853" s="63"/>
      <c r="BN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4"/>
      <c r="L854" s="65"/>
      <c r="M854" s="63"/>
      <c r="N854" s="63"/>
      <c r="O854" s="63"/>
      <c r="P854" s="63"/>
      <c r="Q854" s="63"/>
      <c r="R854" s="65"/>
      <c r="S854" s="63"/>
      <c r="T854" s="63"/>
      <c r="U854" s="63"/>
      <c r="V854" s="63"/>
      <c r="W854" s="64"/>
      <c r="X854" s="63"/>
      <c r="Y854" s="63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  <c r="AL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AW854" s="63"/>
      <c r="AX854" s="63"/>
      <c r="AY854" s="63"/>
      <c r="AZ854" s="63"/>
      <c r="BA854" s="63"/>
      <c r="BB854" s="63"/>
      <c r="BC854" s="63"/>
      <c r="BD854" s="63"/>
      <c r="BE854" s="63"/>
      <c r="BF854" s="63"/>
      <c r="BG854" s="63"/>
      <c r="BH854" s="63"/>
      <c r="BI854" s="63"/>
      <c r="BJ854" s="63"/>
      <c r="BK854" s="63"/>
      <c r="BL854" s="63"/>
      <c r="BM854" s="63"/>
      <c r="BN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4"/>
      <c r="L855" s="65"/>
      <c r="M855" s="63"/>
      <c r="N855" s="63"/>
      <c r="O855" s="63"/>
      <c r="P855" s="63"/>
      <c r="Q855" s="63"/>
      <c r="R855" s="65"/>
      <c r="S855" s="63"/>
      <c r="T855" s="63"/>
      <c r="U855" s="63"/>
      <c r="V855" s="63"/>
      <c r="W855" s="64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AW855" s="63"/>
      <c r="AX855" s="63"/>
      <c r="AY855" s="63"/>
      <c r="AZ855" s="63"/>
      <c r="BA855" s="63"/>
      <c r="BB855" s="63"/>
      <c r="BC855" s="63"/>
      <c r="BD855" s="63"/>
      <c r="BE855" s="63"/>
      <c r="BF855" s="63"/>
      <c r="BG855" s="63"/>
      <c r="BH855" s="63"/>
      <c r="BI855" s="63"/>
      <c r="BJ855" s="63"/>
      <c r="BK855" s="63"/>
      <c r="BL855" s="63"/>
      <c r="BM855" s="63"/>
      <c r="BN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4"/>
      <c r="L856" s="65"/>
      <c r="M856" s="63"/>
      <c r="N856" s="63"/>
      <c r="O856" s="63"/>
      <c r="P856" s="63"/>
      <c r="Q856" s="63"/>
      <c r="R856" s="65"/>
      <c r="S856" s="63"/>
      <c r="T856" s="63"/>
      <c r="U856" s="63"/>
      <c r="V856" s="63"/>
      <c r="W856" s="64"/>
      <c r="X856" s="63"/>
      <c r="Y856" s="63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  <c r="AL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AW856" s="63"/>
      <c r="AX856" s="63"/>
      <c r="AY856" s="63"/>
      <c r="AZ856" s="63"/>
      <c r="BA856" s="63"/>
      <c r="BB856" s="63"/>
      <c r="BC856" s="63"/>
      <c r="BD856" s="63"/>
      <c r="BE856" s="63"/>
      <c r="BF856" s="63"/>
      <c r="BG856" s="63"/>
      <c r="BH856" s="63"/>
      <c r="BI856" s="63"/>
      <c r="BJ856" s="63"/>
      <c r="BK856" s="63"/>
      <c r="BL856" s="63"/>
      <c r="BM856" s="63"/>
      <c r="BN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4"/>
      <c r="L857" s="65"/>
      <c r="M857" s="63"/>
      <c r="N857" s="63"/>
      <c r="O857" s="63"/>
      <c r="P857" s="63"/>
      <c r="Q857" s="63"/>
      <c r="R857" s="65"/>
      <c r="S857" s="63"/>
      <c r="T857" s="63"/>
      <c r="U857" s="63"/>
      <c r="V857" s="63"/>
      <c r="W857" s="64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3"/>
      <c r="BB857" s="63"/>
      <c r="BC857" s="63"/>
      <c r="BD857" s="63"/>
      <c r="BE857" s="63"/>
      <c r="BF857" s="63"/>
      <c r="BG857" s="63"/>
      <c r="BH857" s="63"/>
      <c r="BI857" s="63"/>
      <c r="BJ857" s="63"/>
      <c r="BK857" s="63"/>
      <c r="BL857" s="63"/>
      <c r="BM857" s="63"/>
      <c r="BN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4"/>
      <c r="L858" s="65"/>
      <c r="M858" s="63"/>
      <c r="N858" s="63"/>
      <c r="O858" s="63"/>
      <c r="P858" s="63"/>
      <c r="Q858" s="63"/>
      <c r="R858" s="65"/>
      <c r="S858" s="63"/>
      <c r="T858" s="63"/>
      <c r="U858" s="63"/>
      <c r="V858" s="63"/>
      <c r="W858" s="64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AW858" s="63"/>
      <c r="AX858" s="63"/>
      <c r="AY858" s="63"/>
      <c r="AZ858" s="63"/>
      <c r="BA858" s="63"/>
      <c r="BB858" s="63"/>
      <c r="BC858" s="63"/>
      <c r="BD858" s="63"/>
      <c r="BE858" s="63"/>
      <c r="BF858" s="63"/>
      <c r="BG858" s="63"/>
      <c r="BH858" s="63"/>
      <c r="BI858" s="63"/>
      <c r="BJ858" s="63"/>
      <c r="BK858" s="63"/>
      <c r="BL858" s="63"/>
      <c r="BM858" s="63"/>
      <c r="BN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4"/>
      <c r="L859" s="65"/>
      <c r="M859" s="63"/>
      <c r="N859" s="63"/>
      <c r="O859" s="63"/>
      <c r="P859" s="63"/>
      <c r="Q859" s="63"/>
      <c r="R859" s="65"/>
      <c r="S859" s="63"/>
      <c r="T859" s="63"/>
      <c r="U859" s="63"/>
      <c r="V859" s="63"/>
      <c r="W859" s="64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AW859" s="63"/>
      <c r="AX859" s="63"/>
      <c r="AY859" s="63"/>
      <c r="AZ859" s="63"/>
      <c r="BA859" s="63"/>
      <c r="BB859" s="63"/>
      <c r="BC859" s="63"/>
      <c r="BD859" s="63"/>
      <c r="BE859" s="63"/>
      <c r="BF859" s="63"/>
      <c r="BG859" s="63"/>
      <c r="BH859" s="63"/>
      <c r="BI859" s="63"/>
      <c r="BJ859" s="63"/>
      <c r="BK859" s="63"/>
      <c r="BL859" s="63"/>
      <c r="BM859" s="63"/>
      <c r="BN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4"/>
      <c r="L860" s="65"/>
      <c r="M860" s="63"/>
      <c r="N860" s="63"/>
      <c r="O860" s="63"/>
      <c r="P860" s="63"/>
      <c r="Q860" s="63"/>
      <c r="R860" s="65"/>
      <c r="S860" s="63"/>
      <c r="T860" s="63"/>
      <c r="U860" s="63"/>
      <c r="V860" s="63"/>
      <c r="W860" s="64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AW860" s="63"/>
      <c r="AX860" s="63"/>
      <c r="AY860" s="63"/>
      <c r="AZ860" s="63"/>
      <c r="BA860" s="63"/>
      <c r="BB860" s="63"/>
      <c r="BC860" s="63"/>
      <c r="BD860" s="63"/>
      <c r="BE860" s="63"/>
      <c r="BF860" s="63"/>
      <c r="BG860" s="63"/>
      <c r="BH860" s="63"/>
      <c r="BI860" s="63"/>
      <c r="BJ860" s="63"/>
      <c r="BK860" s="63"/>
      <c r="BL860" s="63"/>
      <c r="BM860" s="63"/>
      <c r="BN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4"/>
      <c r="L861" s="65"/>
      <c r="M861" s="63"/>
      <c r="N861" s="63"/>
      <c r="O861" s="63"/>
      <c r="P861" s="63"/>
      <c r="Q861" s="63"/>
      <c r="R861" s="65"/>
      <c r="S861" s="63"/>
      <c r="T861" s="63"/>
      <c r="U861" s="63"/>
      <c r="V861" s="63"/>
      <c r="W861" s="64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AW861" s="63"/>
      <c r="AX861" s="63"/>
      <c r="AY861" s="63"/>
      <c r="AZ861" s="63"/>
      <c r="BA861" s="63"/>
      <c r="BB861" s="63"/>
      <c r="BC861" s="63"/>
      <c r="BD861" s="63"/>
      <c r="BE861" s="63"/>
      <c r="BF861" s="63"/>
      <c r="BG861" s="63"/>
      <c r="BH861" s="63"/>
      <c r="BI861" s="63"/>
      <c r="BJ861" s="63"/>
      <c r="BK861" s="63"/>
      <c r="BL861" s="63"/>
      <c r="BM861" s="63"/>
      <c r="BN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4"/>
      <c r="L862" s="65"/>
      <c r="M862" s="63"/>
      <c r="N862" s="63"/>
      <c r="O862" s="63"/>
      <c r="P862" s="63"/>
      <c r="Q862" s="63"/>
      <c r="R862" s="65"/>
      <c r="S862" s="63"/>
      <c r="T862" s="63"/>
      <c r="U862" s="63"/>
      <c r="V862" s="63"/>
      <c r="W862" s="64"/>
      <c r="X862" s="63"/>
      <c r="Y862" s="63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  <c r="AL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AW862" s="63"/>
      <c r="AX862" s="63"/>
      <c r="AY862" s="63"/>
      <c r="AZ862" s="63"/>
      <c r="BA862" s="63"/>
      <c r="BB862" s="63"/>
      <c r="BC862" s="63"/>
      <c r="BD862" s="63"/>
      <c r="BE862" s="63"/>
      <c r="BF862" s="63"/>
      <c r="BG862" s="63"/>
      <c r="BH862" s="63"/>
      <c r="BI862" s="63"/>
      <c r="BJ862" s="63"/>
      <c r="BK862" s="63"/>
      <c r="BL862" s="63"/>
      <c r="BM862" s="63"/>
      <c r="BN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4"/>
      <c r="L863" s="65"/>
      <c r="M863" s="63"/>
      <c r="N863" s="63"/>
      <c r="O863" s="63"/>
      <c r="P863" s="63"/>
      <c r="Q863" s="63"/>
      <c r="R863" s="65"/>
      <c r="S863" s="63"/>
      <c r="T863" s="63"/>
      <c r="U863" s="63"/>
      <c r="V863" s="63"/>
      <c r="W863" s="64"/>
      <c r="X863" s="63"/>
      <c r="Y863" s="63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  <c r="AL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AW863" s="63"/>
      <c r="AX863" s="63"/>
      <c r="AY863" s="63"/>
      <c r="AZ863" s="63"/>
      <c r="BA863" s="63"/>
      <c r="BB863" s="63"/>
      <c r="BC863" s="63"/>
      <c r="BD863" s="63"/>
      <c r="BE863" s="63"/>
      <c r="BF863" s="63"/>
      <c r="BG863" s="63"/>
      <c r="BH863" s="63"/>
      <c r="BI863" s="63"/>
      <c r="BJ863" s="63"/>
      <c r="BK863" s="63"/>
      <c r="BL863" s="63"/>
      <c r="BM863" s="63"/>
      <c r="BN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4"/>
      <c r="L864" s="65"/>
      <c r="M864" s="63"/>
      <c r="N864" s="63"/>
      <c r="O864" s="63"/>
      <c r="P864" s="63"/>
      <c r="Q864" s="63"/>
      <c r="R864" s="65"/>
      <c r="S864" s="63"/>
      <c r="T864" s="63"/>
      <c r="U864" s="63"/>
      <c r="V864" s="63"/>
      <c r="W864" s="64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AW864" s="63"/>
      <c r="AX864" s="63"/>
      <c r="AY864" s="63"/>
      <c r="AZ864" s="63"/>
      <c r="BA864" s="63"/>
      <c r="BB864" s="63"/>
      <c r="BC864" s="63"/>
      <c r="BD864" s="63"/>
      <c r="BE864" s="63"/>
      <c r="BF864" s="63"/>
      <c r="BG864" s="63"/>
      <c r="BH864" s="63"/>
      <c r="BI864" s="63"/>
      <c r="BJ864" s="63"/>
      <c r="BK864" s="63"/>
      <c r="BL864" s="63"/>
      <c r="BM864" s="63"/>
      <c r="BN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4"/>
      <c r="L865" s="65"/>
      <c r="M865" s="63"/>
      <c r="N865" s="63"/>
      <c r="O865" s="63"/>
      <c r="P865" s="63"/>
      <c r="Q865" s="63"/>
      <c r="R865" s="65"/>
      <c r="S865" s="63"/>
      <c r="T865" s="63"/>
      <c r="U865" s="63"/>
      <c r="V865" s="63"/>
      <c r="W865" s="64"/>
      <c r="X865" s="63"/>
      <c r="Y865" s="63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  <c r="AL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AW865" s="63"/>
      <c r="AX865" s="63"/>
      <c r="AY865" s="63"/>
      <c r="AZ865" s="63"/>
      <c r="BA865" s="63"/>
      <c r="BB865" s="63"/>
      <c r="BC865" s="63"/>
      <c r="BD865" s="63"/>
      <c r="BE865" s="63"/>
      <c r="BF865" s="63"/>
      <c r="BG865" s="63"/>
      <c r="BH865" s="63"/>
      <c r="BI865" s="63"/>
      <c r="BJ865" s="63"/>
      <c r="BK865" s="63"/>
      <c r="BL865" s="63"/>
      <c r="BM865" s="63"/>
      <c r="BN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4"/>
      <c r="L866" s="65"/>
      <c r="M866" s="63"/>
      <c r="N866" s="63"/>
      <c r="O866" s="63"/>
      <c r="P866" s="63"/>
      <c r="Q866" s="63"/>
      <c r="R866" s="65"/>
      <c r="S866" s="63"/>
      <c r="T866" s="63"/>
      <c r="U866" s="63"/>
      <c r="V866" s="63"/>
      <c r="W866" s="64"/>
      <c r="X866" s="63"/>
      <c r="Y866" s="63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  <c r="AL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AW866" s="63"/>
      <c r="AX866" s="63"/>
      <c r="AY866" s="63"/>
      <c r="AZ866" s="63"/>
      <c r="BA866" s="63"/>
      <c r="BB866" s="63"/>
      <c r="BC866" s="63"/>
      <c r="BD866" s="63"/>
      <c r="BE866" s="63"/>
      <c r="BF866" s="63"/>
      <c r="BG866" s="63"/>
      <c r="BH866" s="63"/>
      <c r="BI866" s="63"/>
      <c r="BJ866" s="63"/>
      <c r="BK866" s="63"/>
      <c r="BL866" s="63"/>
      <c r="BM866" s="63"/>
      <c r="BN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4"/>
      <c r="L867" s="65"/>
      <c r="M867" s="63"/>
      <c r="N867" s="63"/>
      <c r="O867" s="63"/>
      <c r="P867" s="63"/>
      <c r="Q867" s="63"/>
      <c r="R867" s="65"/>
      <c r="S867" s="63"/>
      <c r="T867" s="63"/>
      <c r="U867" s="63"/>
      <c r="V867" s="63"/>
      <c r="W867" s="64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AW867" s="63"/>
      <c r="AX867" s="63"/>
      <c r="AY867" s="63"/>
      <c r="AZ867" s="63"/>
      <c r="BA867" s="63"/>
      <c r="BB867" s="63"/>
      <c r="BC867" s="63"/>
      <c r="BD867" s="63"/>
      <c r="BE867" s="63"/>
      <c r="BF867" s="63"/>
      <c r="BG867" s="63"/>
      <c r="BH867" s="63"/>
      <c r="BI867" s="63"/>
      <c r="BJ867" s="63"/>
      <c r="BK867" s="63"/>
      <c r="BL867" s="63"/>
      <c r="BM867" s="63"/>
      <c r="BN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4"/>
      <c r="L868" s="65"/>
      <c r="M868" s="63"/>
      <c r="N868" s="63"/>
      <c r="O868" s="63"/>
      <c r="P868" s="63"/>
      <c r="Q868" s="63"/>
      <c r="R868" s="65"/>
      <c r="S868" s="63"/>
      <c r="T868" s="63"/>
      <c r="U868" s="63"/>
      <c r="V868" s="63"/>
      <c r="W868" s="64"/>
      <c r="X868" s="63"/>
      <c r="Y868" s="63"/>
      <c r="Z868" s="63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  <c r="AL868" s="63"/>
      <c r="AM868" s="63"/>
      <c r="AN868" s="63"/>
      <c r="AO868" s="63"/>
      <c r="AP868" s="63"/>
      <c r="AQ868" s="63"/>
      <c r="AR868" s="63"/>
      <c r="AS868" s="63"/>
      <c r="AT868" s="63"/>
      <c r="AU868" s="63"/>
      <c r="AV868" s="63"/>
      <c r="AW868" s="63"/>
      <c r="AX868" s="63"/>
      <c r="AY868" s="63"/>
      <c r="AZ868" s="63"/>
      <c r="BA868" s="63"/>
      <c r="BB868" s="63"/>
      <c r="BC868" s="63"/>
      <c r="BD868" s="63"/>
      <c r="BE868" s="63"/>
      <c r="BF868" s="63"/>
      <c r="BG868" s="63"/>
      <c r="BH868" s="63"/>
      <c r="BI868" s="63"/>
      <c r="BJ868" s="63"/>
      <c r="BK868" s="63"/>
      <c r="BL868" s="63"/>
      <c r="BM868" s="63"/>
      <c r="BN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4"/>
      <c r="L869" s="65"/>
      <c r="M869" s="63"/>
      <c r="N869" s="63"/>
      <c r="O869" s="63"/>
      <c r="P869" s="63"/>
      <c r="Q869" s="63"/>
      <c r="R869" s="65"/>
      <c r="S869" s="63"/>
      <c r="T869" s="63"/>
      <c r="U869" s="63"/>
      <c r="V869" s="63"/>
      <c r="W869" s="64"/>
      <c r="X869" s="63"/>
      <c r="Y869" s="63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  <c r="AL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AW869" s="63"/>
      <c r="AX869" s="63"/>
      <c r="AY869" s="63"/>
      <c r="AZ869" s="63"/>
      <c r="BA869" s="63"/>
      <c r="BB869" s="63"/>
      <c r="BC869" s="63"/>
      <c r="BD869" s="63"/>
      <c r="BE869" s="63"/>
      <c r="BF869" s="63"/>
      <c r="BG869" s="63"/>
      <c r="BH869" s="63"/>
      <c r="BI869" s="63"/>
      <c r="BJ869" s="63"/>
      <c r="BK869" s="63"/>
      <c r="BL869" s="63"/>
      <c r="BM869" s="63"/>
      <c r="BN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4"/>
      <c r="L870" s="65"/>
      <c r="M870" s="63"/>
      <c r="N870" s="63"/>
      <c r="O870" s="63"/>
      <c r="P870" s="63"/>
      <c r="Q870" s="63"/>
      <c r="R870" s="65"/>
      <c r="S870" s="63"/>
      <c r="T870" s="63"/>
      <c r="U870" s="63"/>
      <c r="V870" s="63"/>
      <c r="W870" s="64"/>
      <c r="X870" s="63"/>
      <c r="Y870" s="63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  <c r="AL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AW870" s="63"/>
      <c r="AX870" s="63"/>
      <c r="AY870" s="63"/>
      <c r="AZ870" s="63"/>
      <c r="BA870" s="63"/>
      <c r="BB870" s="63"/>
      <c r="BC870" s="63"/>
      <c r="BD870" s="63"/>
      <c r="BE870" s="63"/>
      <c r="BF870" s="63"/>
      <c r="BG870" s="63"/>
      <c r="BH870" s="63"/>
      <c r="BI870" s="63"/>
      <c r="BJ870" s="63"/>
      <c r="BK870" s="63"/>
      <c r="BL870" s="63"/>
      <c r="BM870" s="63"/>
      <c r="BN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4"/>
      <c r="L871" s="65"/>
      <c r="M871" s="63"/>
      <c r="N871" s="63"/>
      <c r="O871" s="63"/>
      <c r="P871" s="63"/>
      <c r="Q871" s="63"/>
      <c r="R871" s="65"/>
      <c r="S871" s="63"/>
      <c r="T871" s="63"/>
      <c r="U871" s="63"/>
      <c r="V871" s="63"/>
      <c r="W871" s="64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AW871" s="63"/>
      <c r="AX871" s="63"/>
      <c r="AY871" s="63"/>
      <c r="AZ871" s="63"/>
      <c r="BA871" s="63"/>
      <c r="BB871" s="63"/>
      <c r="BC871" s="63"/>
      <c r="BD871" s="63"/>
      <c r="BE871" s="63"/>
      <c r="BF871" s="63"/>
      <c r="BG871" s="63"/>
      <c r="BH871" s="63"/>
      <c r="BI871" s="63"/>
      <c r="BJ871" s="63"/>
      <c r="BK871" s="63"/>
      <c r="BL871" s="63"/>
      <c r="BM871" s="63"/>
      <c r="BN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4"/>
      <c r="L872" s="65"/>
      <c r="M872" s="63"/>
      <c r="N872" s="63"/>
      <c r="O872" s="63"/>
      <c r="P872" s="63"/>
      <c r="Q872" s="63"/>
      <c r="R872" s="65"/>
      <c r="S872" s="63"/>
      <c r="T872" s="63"/>
      <c r="U872" s="63"/>
      <c r="V872" s="63"/>
      <c r="W872" s="64"/>
      <c r="X872" s="63"/>
      <c r="Y872" s="63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  <c r="AL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AW872" s="63"/>
      <c r="AX872" s="63"/>
      <c r="AY872" s="63"/>
      <c r="AZ872" s="63"/>
      <c r="BA872" s="63"/>
      <c r="BB872" s="63"/>
      <c r="BC872" s="63"/>
      <c r="BD872" s="63"/>
      <c r="BE872" s="63"/>
      <c r="BF872" s="63"/>
      <c r="BG872" s="63"/>
      <c r="BH872" s="63"/>
      <c r="BI872" s="63"/>
      <c r="BJ872" s="63"/>
      <c r="BK872" s="63"/>
      <c r="BL872" s="63"/>
      <c r="BM872" s="63"/>
      <c r="BN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4"/>
      <c r="L873" s="65"/>
      <c r="M873" s="63"/>
      <c r="N873" s="63"/>
      <c r="O873" s="63"/>
      <c r="P873" s="63"/>
      <c r="Q873" s="63"/>
      <c r="R873" s="65"/>
      <c r="S873" s="63"/>
      <c r="T873" s="63"/>
      <c r="U873" s="63"/>
      <c r="V873" s="63"/>
      <c r="W873" s="64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AW873" s="63"/>
      <c r="AX873" s="63"/>
      <c r="AY873" s="63"/>
      <c r="AZ873" s="63"/>
      <c r="BA873" s="63"/>
      <c r="BB873" s="63"/>
      <c r="BC873" s="63"/>
      <c r="BD873" s="63"/>
      <c r="BE873" s="63"/>
      <c r="BF873" s="63"/>
      <c r="BG873" s="63"/>
      <c r="BH873" s="63"/>
      <c r="BI873" s="63"/>
      <c r="BJ873" s="63"/>
      <c r="BK873" s="63"/>
      <c r="BL873" s="63"/>
      <c r="BM873" s="63"/>
      <c r="BN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4"/>
      <c r="L874" s="65"/>
      <c r="M874" s="63"/>
      <c r="N874" s="63"/>
      <c r="O874" s="63"/>
      <c r="P874" s="63"/>
      <c r="Q874" s="63"/>
      <c r="R874" s="65"/>
      <c r="S874" s="63"/>
      <c r="T874" s="63"/>
      <c r="U874" s="63"/>
      <c r="V874" s="63"/>
      <c r="W874" s="64"/>
      <c r="X874" s="63"/>
      <c r="Y874" s="63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  <c r="AL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AW874" s="63"/>
      <c r="AX874" s="63"/>
      <c r="AY874" s="63"/>
      <c r="AZ874" s="63"/>
      <c r="BA874" s="63"/>
      <c r="BB874" s="63"/>
      <c r="BC874" s="63"/>
      <c r="BD874" s="63"/>
      <c r="BE874" s="63"/>
      <c r="BF874" s="63"/>
      <c r="BG874" s="63"/>
      <c r="BH874" s="63"/>
      <c r="BI874" s="63"/>
      <c r="BJ874" s="63"/>
      <c r="BK874" s="63"/>
      <c r="BL874" s="63"/>
      <c r="BM874" s="63"/>
      <c r="BN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4"/>
      <c r="L875" s="65"/>
      <c r="M875" s="63"/>
      <c r="N875" s="63"/>
      <c r="O875" s="63"/>
      <c r="P875" s="63"/>
      <c r="Q875" s="63"/>
      <c r="R875" s="65"/>
      <c r="S875" s="63"/>
      <c r="T875" s="63"/>
      <c r="U875" s="63"/>
      <c r="V875" s="63"/>
      <c r="W875" s="64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AW875" s="63"/>
      <c r="AX875" s="63"/>
      <c r="AY875" s="63"/>
      <c r="AZ875" s="63"/>
      <c r="BA875" s="63"/>
      <c r="BB875" s="63"/>
      <c r="BC875" s="63"/>
      <c r="BD875" s="63"/>
      <c r="BE875" s="63"/>
      <c r="BF875" s="63"/>
      <c r="BG875" s="63"/>
      <c r="BH875" s="63"/>
      <c r="BI875" s="63"/>
      <c r="BJ875" s="63"/>
      <c r="BK875" s="63"/>
      <c r="BL875" s="63"/>
      <c r="BM875" s="63"/>
      <c r="BN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4"/>
      <c r="L876" s="65"/>
      <c r="M876" s="63"/>
      <c r="N876" s="63"/>
      <c r="O876" s="63"/>
      <c r="P876" s="63"/>
      <c r="Q876" s="63"/>
      <c r="R876" s="65"/>
      <c r="S876" s="63"/>
      <c r="T876" s="63"/>
      <c r="U876" s="63"/>
      <c r="V876" s="63"/>
      <c r="W876" s="64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  <c r="AN876" s="63"/>
      <c r="AO876" s="63"/>
      <c r="AP876" s="63"/>
      <c r="AQ876" s="63"/>
      <c r="AR876" s="63"/>
      <c r="AS876" s="63"/>
      <c r="AT876" s="63"/>
      <c r="AU876" s="63"/>
      <c r="AV876" s="63"/>
      <c r="AW876" s="63"/>
      <c r="AX876" s="63"/>
      <c r="AY876" s="63"/>
      <c r="AZ876" s="63"/>
      <c r="BA876" s="63"/>
      <c r="BB876" s="63"/>
      <c r="BC876" s="63"/>
      <c r="BD876" s="63"/>
      <c r="BE876" s="63"/>
      <c r="BF876" s="63"/>
      <c r="BG876" s="63"/>
      <c r="BH876" s="63"/>
      <c r="BI876" s="63"/>
      <c r="BJ876" s="63"/>
      <c r="BK876" s="63"/>
      <c r="BL876" s="63"/>
      <c r="BM876" s="63"/>
      <c r="BN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4"/>
      <c r="L877" s="65"/>
      <c r="M877" s="63"/>
      <c r="N877" s="63"/>
      <c r="O877" s="63"/>
      <c r="P877" s="63"/>
      <c r="Q877" s="63"/>
      <c r="R877" s="65"/>
      <c r="S877" s="63"/>
      <c r="T877" s="63"/>
      <c r="U877" s="63"/>
      <c r="V877" s="63"/>
      <c r="W877" s="64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AW877" s="63"/>
      <c r="AX877" s="63"/>
      <c r="AY877" s="63"/>
      <c r="AZ877" s="63"/>
      <c r="BA877" s="63"/>
      <c r="BB877" s="63"/>
      <c r="BC877" s="63"/>
      <c r="BD877" s="63"/>
      <c r="BE877" s="63"/>
      <c r="BF877" s="63"/>
      <c r="BG877" s="63"/>
      <c r="BH877" s="63"/>
      <c r="BI877" s="63"/>
      <c r="BJ877" s="63"/>
      <c r="BK877" s="63"/>
      <c r="BL877" s="63"/>
      <c r="BM877" s="63"/>
      <c r="BN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4"/>
      <c r="L878" s="65"/>
      <c r="M878" s="63"/>
      <c r="N878" s="63"/>
      <c r="O878" s="63"/>
      <c r="P878" s="63"/>
      <c r="Q878" s="63"/>
      <c r="R878" s="65"/>
      <c r="S878" s="63"/>
      <c r="T878" s="63"/>
      <c r="U878" s="63"/>
      <c r="V878" s="63"/>
      <c r="W878" s="64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AW878" s="63"/>
      <c r="AX878" s="63"/>
      <c r="AY878" s="63"/>
      <c r="AZ878" s="63"/>
      <c r="BA878" s="63"/>
      <c r="BB878" s="63"/>
      <c r="BC878" s="63"/>
      <c r="BD878" s="63"/>
      <c r="BE878" s="63"/>
      <c r="BF878" s="63"/>
      <c r="BG878" s="63"/>
      <c r="BH878" s="63"/>
      <c r="BI878" s="63"/>
      <c r="BJ878" s="63"/>
      <c r="BK878" s="63"/>
      <c r="BL878" s="63"/>
      <c r="BM878" s="63"/>
      <c r="BN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4"/>
      <c r="L879" s="65"/>
      <c r="M879" s="63"/>
      <c r="N879" s="63"/>
      <c r="O879" s="63"/>
      <c r="P879" s="63"/>
      <c r="Q879" s="63"/>
      <c r="R879" s="65"/>
      <c r="S879" s="63"/>
      <c r="T879" s="63"/>
      <c r="U879" s="63"/>
      <c r="V879" s="63"/>
      <c r="W879" s="64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AW879" s="63"/>
      <c r="AX879" s="63"/>
      <c r="AY879" s="63"/>
      <c r="AZ879" s="63"/>
      <c r="BA879" s="63"/>
      <c r="BB879" s="63"/>
      <c r="BC879" s="63"/>
      <c r="BD879" s="63"/>
      <c r="BE879" s="63"/>
      <c r="BF879" s="63"/>
      <c r="BG879" s="63"/>
      <c r="BH879" s="63"/>
      <c r="BI879" s="63"/>
      <c r="BJ879" s="63"/>
      <c r="BK879" s="63"/>
      <c r="BL879" s="63"/>
      <c r="BM879" s="63"/>
      <c r="BN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4"/>
      <c r="L880" s="65"/>
      <c r="M880" s="63"/>
      <c r="N880" s="63"/>
      <c r="O880" s="63"/>
      <c r="P880" s="63"/>
      <c r="Q880" s="63"/>
      <c r="R880" s="65"/>
      <c r="S880" s="63"/>
      <c r="T880" s="63"/>
      <c r="U880" s="63"/>
      <c r="V880" s="63"/>
      <c r="W880" s="64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AW880" s="63"/>
      <c r="AX880" s="63"/>
      <c r="AY880" s="63"/>
      <c r="AZ880" s="63"/>
      <c r="BA880" s="63"/>
      <c r="BB880" s="63"/>
      <c r="BC880" s="63"/>
      <c r="BD880" s="63"/>
      <c r="BE880" s="63"/>
      <c r="BF880" s="63"/>
      <c r="BG880" s="63"/>
      <c r="BH880" s="63"/>
      <c r="BI880" s="63"/>
      <c r="BJ880" s="63"/>
      <c r="BK880" s="63"/>
      <c r="BL880" s="63"/>
      <c r="BM880" s="63"/>
      <c r="BN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4"/>
      <c r="L881" s="65"/>
      <c r="M881" s="63"/>
      <c r="N881" s="63"/>
      <c r="O881" s="63"/>
      <c r="P881" s="63"/>
      <c r="Q881" s="63"/>
      <c r="R881" s="65"/>
      <c r="S881" s="63"/>
      <c r="T881" s="63"/>
      <c r="U881" s="63"/>
      <c r="V881" s="63"/>
      <c r="W881" s="64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AW881" s="63"/>
      <c r="AX881" s="63"/>
      <c r="AY881" s="63"/>
      <c r="AZ881" s="63"/>
      <c r="BA881" s="63"/>
      <c r="BB881" s="63"/>
      <c r="BC881" s="63"/>
      <c r="BD881" s="63"/>
      <c r="BE881" s="63"/>
      <c r="BF881" s="63"/>
      <c r="BG881" s="63"/>
      <c r="BH881" s="63"/>
      <c r="BI881" s="63"/>
      <c r="BJ881" s="63"/>
      <c r="BK881" s="63"/>
      <c r="BL881" s="63"/>
      <c r="BM881" s="63"/>
      <c r="BN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4"/>
      <c r="L882" s="65"/>
      <c r="M882" s="63"/>
      <c r="N882" s="63"/>
      <c r="O882" s="63"/>
      <c r="P882" s="63"/>
      <c r="Q882" s="63"/>
      <c r="R882" s="65"/>
      <c r="S882" s="63"/>
      <c r="T882" s="63"/>
      <c r="U882" s="63"/>
      <c r="V882" s="63"/>
      <c r="W882" s="64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  <c r="AN882" s="63"/>
      <c r="AO882" s="63"/>
      <c r="AP882" s="63"/>
      <c r="AQ882" s="63"/>
      <c r="AR882" s="63"/>
      <c r="AS882" s="63"/>
      <c r="AT882" s="63"/>
      <c r="AU882" s="63"/>
      <c r="AV882" s="63"/>
      <c r="AW882" s="63"/>
      <c r="AX882" s="63"/>
      <c r="AY882" s="63"/>
      <c r="AZ882" s="63"/>
      <c r="BA882" s="63"/>
      <c r="BB882" s="63"/>
      <c r="BC882" s="63"/>
      <c r="BD882" s="63"/>
      <c r="BE882" s="63"/>
      <c r="BF882" s="63"/>
      <c r="BG882" s="63"/>
      <c r="BH882" s="63"/>
      <c r="BI882" s="63"/>
      <c r="BJ882" s="63"/>
      <c r="BK882" s="63"/>
      <c r="BL882" s="63"/>
      <c r="BM882" s="63"/>
      <c r="BN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4"/>
      <c r="L883" s="65"/>
      <c r="M883" s="63"/>
      <c r="N883" s="63"/>
      <c r="O883" s="63"/>
      <c r="P883" s="63"/>
      <c r="Q883" s="63"/>
      <c r="R883" s="65"/>
      <c r="S883" s="63"/>
      <c r="T883" s="63"/>
      <c r="U883" s="63"/>
      <c r="V883" s="63"/>
      <c r="W883" s="64"/>
      <c r="X883" s="63"/>
      <c r="Y883" s="63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  <c r="AL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AW883" s="63"/>
      <c r="AX883" s="63"/>
      <c r="AY883" s="63"/>
      <c r="AZ883" s="63"/>
      <c r="BA883" s="63"/>
      <c r="BB883" s="63"/>
      <c r="BC883" s="63"/>
      <c r="BD883" s="63"/>
      <c r="BE883" s="63"/>
      <c r="BF883" s="63"/>
      <c r="BG883" s="63"/>
      <c r="BH883" s="63"/>
      <c r="BI883" s="63"/>
      <c r="BJ883" s="63"/>
      <c r="BK883" s="63"/>
      <c r="BL883" s="63"/>
      <c r="BM883" s="63"/>
      <c r="BN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4"/>
      <c r="L884" s="65"/>
      <c r="M884" s="63"/>
      <c r="N884" s="63"/>
      <c r="O884" s="63"/>
      <c r="P884" s="63"/>
      <c r="Q884" s="63"/>
      <c r="R884" s="65"/>
      <c r="S884" s="63"/>
      <c r="T884" s="63"/>
      <c r="U884" s="63"/>
      <c r="V884" s="63"/>
      <c r="W884" s="64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  <c r="BB884" s="63"/>
      <c r="BC884" s="63"/>
      <c r="BD884" s="63"/>
      <c r="BE884" s="63"/>
      <c r="BF884" s="63"/>
      <c r="BG884" s="63"/>
      <c r="BH884" s="63"/>
      <c r="BI884" s="63"/>
      <c r="BJ884" s="63"/>
      <c r="BK884" s="63"/>
      <c r="BL884" s="63"/>
      <c r="BM884" s="63"/>
      <c r="BN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4"/>
      <c r="L885" s="65"/>
      <c r="M885" s="63"/>
      <c r="N885" s="63"/>
      <c r="O885" s="63"/>
      <c r="P885" s="63"/>
      <c r="Q885" s="63"/>
      <c r="R885" s="65"/>
      <c r="S885" s="63"/>
      <c r="T885" s="63"/>
      <c r="U885" s="63"/>
      <c r="V885" s="63"/>
      <c r="W885" s="64"/>
      <c r="X885" s="63"/>
      <c r="Y885" s="63"/>
      <c r="Z885" s="63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  <c r="AL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AW885" s="63"/>
      <c r="AX885" s="63"/>
      <c r="AY885" s="63"/>
      <c r="AZ885" s="63"/>
      <c r="BA885" s="63"/>
      <c r="BB885" s="63"/>
      <c r="BC885" s="63"/>
      <c r="BD885" s="63"/>
      <c r="BE885" s="63"/>
      <c r="BF885" s="63"/>
      <c r="BG885" s="63"/>
      <c r="BH885" s="63"/>
      <c r="BI885" s="63"/>
      <c r="BJ885" s="63"/>
      <c r="BK885" s="63"/>
      <c r="BL885" s="63"/>
      <c r="BM885" s="63"/>
      <c r="BN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4"/>
      <c r="L886" s="65"/>
      <c r="M886" s="63"/>
      <c r="N886" s="63"/>
      <c r="O886" s="63"/>
      <c r="P886" s="63"/>
      <c r="Q886" s="63"/>
      <c r="R886" s="65"/>
      <c r="S886" s="63"/>
      <c r="T886" s="63"/>
      <c r="U886" s="63"/>
      <c r="V886" s="63"/>
      <c r="W886" s="64"/>
      <c r="X886" s="63"/>
      <c r="Y886" s="63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AW886" s="63"/>
      <c r="AX886" s="63"/>
      <c r="AY886" s="63"/>
      <c r="AZ886" s="63"/>
      <c r="BA886" s="63"/>
      <c r="BB886" s="63"/>
      <c r="BC886" s="63"/>
      <c r="BD886" s="63"/>
      <c r="BE886" s="63"/>
      <c r="BF886" s="63"/>
      <c r="BG886" s="63"/>
      <c r="BH886" s="63"/>
      <c r="BI886" s="63"/>
      <c r="BJ886" s="63"/>
      <c r="BK886" s="63"/>
      <c r="BL886" s="63"/>
      <c r="BM886" s="63"/>
      <c r="BN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4"/>
      <c r="L887" s="65"/>
      <c r="M887" s="63"/>
      <c r="N887" s="63"/>
      <c r="O887" s="63"/>
      <c r="P887" s="63"/>
      <c r="Q887" s="63"/>
      <c r="R887" s="65"/>
      <c r="S887" s="63"/>
      <c r="T887" s="63"/>
      <c r="U887" s="63"/>
      <c r="V887" s="63"/>
      <c r="W887" s="64"/>
      <c r="X887" s="63"/>
      <c r="Y887" s="63"/>
      <c r="Z887" s="63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  <c r="AL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AW887" s="63"/>
      <c r="AX887" s="63"/>
      <c r="AY887" s="63"/>
      <c r="AZ887" s="63"/>
      <c r="BA887" s="63"/>
      <c r="BB887" s="63"/>
      <c r="BC887" s="63"/>
      <c r="BD887" s="63"/>
      <c r="BE887" s="63"/>
      <c r="BF887" s="63"/>
      <c r="BG887" s="63"/>
      <c r="BH887" s="63"/>
      <c r="BI887" s="63"/>
      <c r="BJ887" s="63"/>
      <c r="BK887" s="63"/>
      <c r="BL887" s="63"/>
      <c r="BM887" s="63"/>
      <c r="BN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4"/>
      <c r="L888" s="65"/>
      <c r="M888" s="63"/>
      <c r="N888" s="63"/>
      <c r="O888" s="63"/>
      <c r="P888" s="63"/>
      <c r="Q888" s="63"/>
      <c r="R888" s="65"/>
      <c r="S888" s="63"/>
      <c r="T888" s="63"/>
      <c r="U888" s="63"/>
      <c r="V888" s="63"/>
      <c r="W888" s="64"/>
      <c r="X888" s="63"/>
      <c r="Y888" s="63"/>
      <c r="Z888" s="63"/>
      <c r="AA888" s="63"/>
      <c r="AB888" s="63"/>
      <c r="AC888" s="63"/>
      <c r="AD888" s="63"/>
      <c r="AE888" s="63"/>
      <c r="AF888" s="63"/>
      <c r="AG888" s="63"/>
      <c r="AH888" s="63"/>
      <c r="AI888" s="63"/>
      <c r="AJ888" s="63"/>
      <c r="AK888" s="63"/>
      <c r="AL888" s="63"/>
      <c r="AM888" s="63"/>
      <c r="AN888" s="63"/>
      <c r="AO888" s="63"/>
      <c r="AP888" s="63"/>
      <c r="AQ888" s="63"/>
      <c r="AR888" s="63"/>
      <c r="AS888" s="63"/>
      <c r="AT888" s="63"/>
      <c r="AU888" s="63"/>
      <c r="AV888" s="63"/>
      <c r="AW888" s="63"/>
      <c r="AX888" s="63"/>
      <c r="AY888" s="63"/>
      <c r="AZ888" s="63"/>
      <c r="BA888" s="63"/>
      <c r="BB888" s="63"/>
      <c r="BC888" s="63"/>
      <c r="BD888" s="63"/>
      <c r="BE888" s="63"/>
      <c r="BF888" s="63"/>
      <c r="BG888" s="63"/>
      <c r="BH888" s="63"/>
      <c r="BI888" s="63"/>
      <c r="BJ888" s="63"/>
      <c r="BK888" s="63"/>
      <c r="BL888" s="63"/>
      <c r="BM888" s="63"/>
      <c r="BN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4"/>
      <c r="L889" s="65"/>
      <c r="M889" s="63"/>
      <c r="N889" s="63"/>
      <c r="O889" s="63"/>
      <c r="P889" s="63"/>
      <c r="Q889" s="63"/>
      <c r="R889" s="65"/>
      <c r="S889" s="63"/>
      <c r="T889" s="63"/>
      <c r="U889" s="63"/>
      <c r="V889" s="63"/>
      <c r="W889" s="64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AW889" s="63"/>
      <c r="AX889" s="63"/>
      <c r="AY889" s="63"/>
      <c r="AZ889" s="63"/>
      <c r="BA889" s="63"/>
      <c r="BB889" s="63"/>
      <c r="BC889" s="63"/>
      <c r="BD889" s="63"/>
      <c r="BE889" s="63"/>
      <c r="BF889" s="63"/>
      <c r="BG889" s="63"/>
      <c r="BH889" s="63"/>
      <c r="BI889" s="63"/>
      <c r="BJ889" s="63"/>
      <c r="BK889" s="63"/>
      <c r="BL889" s="63"/>
      <c r="BM889" s="63"/>
      <c r="BN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4"/>
      <c r="L890" s="65"/>
      <c r="M890" s="63"/>
      <c r="N890" s="63"/>
      <c r="O890" s="63"/>
      <c r="P890" s="63"/>
      <c r="Q890" s="63"/>
      <c r="R890" s="65"/>
      <c r="S890" s="63"/>
      <c r="T890" s="63"/>
      <c r="U890" s="63"/>
      <c r="V890" s="63"/>
      <c r="W890" s="64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  <c r="AN890" s="63"/>
      <c r="AO890" s="63"/>
      <c r="AP890" s="63"/>
      <c r="AQ890" s="63"/>
      <c r="AR890" s="63"/>
      <c r="AS890" s="63"/>
      <c r="AT890" s="63"/>
      <c r="AU890" s="63"/>
      <c r="AV890" s="63"/>
      <c r="AW890" s="63"/>
      <c r="AX890" s="63"/>
      <c r="AY890" s="63"/>
      <c r="AZ890" s="63"/>
      <c r="BA890" s="63"/>
      <c r="BB890" s="63"/>
      <c r="BC890" s="63"/>
      <c r="BD890" s="63"/>
      <c r="BE890" s="63"/>
      <c r="BF890" s="63"/>
      <c r="BG890" s="63"/>
      <c r="BH890" s="63"/>
      <c r="BI890" s="63"/>
      <c r="BJ890" s="63"/>
      <c r="BK890" s="63"/>
      <c r="BL890" s="63"/>
      <c r="BM890" s="63"/>
      <c r="BN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4"/>
      <c r="L891" s="65"/>
      <c r="M891" s="63"/>
      <c r="N891" s="63"/>
      <c r="O891" s="63"/>
      <c r="P891" s="63"/>
      <c r="Q891" s="63"/>
      <c r="R891" s="65"/>
      <c r="S891" s="63"/>
      <c r="T891" s="63"/>
      <c r="U891" s="63"/>
      <c r="V891" s="63"/>
      <c r="W891" s="64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AW891" s="63"/>
      <c r="AX891" s="63"/>
      <c r="AY891" s="63"/>
      <c r="AZ891" s="63"/>
      <c r="BA891" s="63"/>
      <c r="BB891" s="63"/>
      <c r="BC891" s="63"/>
      <c r="BD891" s="63"/>
      <c r="BE891" s="63"/>
      <c r="BF891" s="63"/>
      <c r="BG891" s="63"/>
      <c r="BH891" s="63"/>
      <c r="BI891" s="63"/>
      <c r="BJ891" s="63"/>
      <c r="BK891" s="63"/>
      <c r="BL891" s="63"/>
      <c r="BM891" s="63"/>
      <c r="BN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4"/>
      <c r="L892" s="65"/>
      <c r="M892" s="63"/>
      <c r="N892" s="63"/>
      <c r="O892" s="63"/>
      <c r="P892" s="63"/>
      <c r="Q892" s="63"/>
      <c r="R892" s="65"/>
      <c r="S892" s="63"/>
      <c r="T892" s="63"/>
      <c r="U892" s="63"/>
      <c r="V892" s="63"/>
      <c r="W892" s="64"/>
      <c r="X892" s="63"/>
      <c r="Y892" s="63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AW892" s="63"/>
      <c r="AX892" s="63"/>
      <c r="AY892" s="63"/>
      <c r="AZ892" s="63"/>
      <c r="BA892" s="63"/>
      <c r="BB892" s="63"/>
      <c r="BC892" s="63"/>
      <c r="BD892" s="63"/>
      <c r="BE892" s="63"/>
      <c r="BF892" s="63"/>
      <c r="BG892" s="63"/>
      <c r="BH892" s="63"/>
      <c r="BI892" s="63"/>
      <c r="BJ892" s="63"/>
      <c r="BK892" s="63"/>
      <c r="BL892" s="63"/>
      <c r="BM892" s="63"/>
      <c r="BN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4"/>
      <c r="L893" s="65"/>
      <c r="M893" s="63"/>
      <c r="N893" s="63"/>
      <c r="O893" s="63"/>
      <c r="P893" s="63"/>
      <c r="Q893" s="63"/>
      <c r="R893" s="65"/>
      <c r="S893" s="63"/>
      <c r="T893" s="63"/>
      <c r="U893" s="63"/>
      <c r="V893" s="63"/>
      <c r="W893" s="64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AW893" s="63"/>
      <c r="AX893" s="63"/>
      <c r="AY893" s="63"/>
      <c r="AZ893" s="63"/>
      <c r="BA893" s="63"/>
      <c r="BB893" s="63"/>
      <c r="BC893" s="63"/>
      <c r="BD893" s="63"/>
      <c r="BE893" s="63"/>
      <c r="BF893" s="63"/>
      <c r="BG893" s="63"/>
      <c r="BH893" s="63"/>
      <c r="BI893" s="63"/>
      <c r="BJ893" s="63"/>
      <c r="BK893" s="63"/>
      <c r="BL893" s="63"/>
      <c r="BM893" s="63"/>
      <c r="BN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4"/>
      <c r="L894" s="65"/>
      <c r="M894" s="63"/>
      <c r="N894" s="63"/>
      <c r="O894" s="63"/>
      <c r="P894" s="63"/>
      <c r="Q894" s="63"/>
      <c r="R894" s="65"/>
      <c r="S894" s="63"/>
      <c r="T894" s="63"/>
      <c r="U894" s="63"/>
      <c r="V894" s="63"/>
      <c r="W894" s="64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AW894" s="63"/>
      <c r="AX894" s="63"/>
      <c r="AY894" s="63"/>
      <c r="AZ894" s="63"/>
      <c r="BA894" s="63"/>
      <c r="BB894" s="63"/>
      <c r="BC894" s="63"/>
      <c r="BD894" s="63"/>
      <c r="BE894" s="63"/>
      <c r="BF894" s="63"/>
      <c r="BG894" s="63"/>
      <c r="BH894" s="63"/>
      <c r="BI894" s="63"/>
      <c r="BJ894" s="63"/>
      <c r="BK894" s="63"/>
      <c r="BL894" s="63"/>
      <c r="BM894" s="63"/>
      <c r="BN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4"/>
      <c r="L895" s="65"/>
      <c r="M895" s="63"/>
      <c r="N895" s="63"/>
      <c r="O895" s="63"/>
      <c r="P895" s="63"/>
      <c r="Q895" s="63"/>
      <c r="R895" s="65"/>
      <c r="S895" s="63"/>
      <c r="T895" s="63"/>
      <c r="U895" s="63"/>
      <c r="V895" s="63"/>
      <c r="W895" s="64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AW895" s="63"/>
      <c r="AX895" s="63"/>
      <c r="AY895" s="63"/>
      <c r="AZ895" s="63"/>
      <c r="BA895" s="63"/>
      <c r="BB895" s="63"/>
      <c r="BC895" s="63"/>
      <c r="BD895" s="63"/>
      <c r="BE895" s="63"/>
      <c r="BF895" s="63"/>
      <c r="BG895" s="63"/>
      <c r="BH895" s="63"/>
      <c r="BI895" s="63"/>
      <c r="BJ895" s="63"/>
      <c r="BK895" s="63"/>
      <c r="BL895" s="63"/>
      <c r="BM895" s="63"/>
      <c r="BN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4"/>
      <c r="L896" s="65"/>
      <c r="M896" s="63"/>
      <c r="N896" s="63"/>
      <c r="O896" s="63"/>
      <c r="P896" s="63"/>
      <c r="Q896" s="63"/>
      <c r="R896" s="65"/>
      <c r="S896" s="63"/>
      <c r="T896" s="63"/>
      <c r="U896" s="63"/>
      <c r="V896" s="63"/>
      <c r="W896" s="64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  <c r="BB896" s="63"/>
      <c r="BC896" s="63"/>
      <c r="BD896" s="63"/>
      <c r="BE896" s="63"/>
      <c r="BF896" s="63"/>
      <c r="BG896" s="63"/>
      <c r="BH896" s="63"/>
      <c r="BI896" s="63"/>
      <c r="BJ896" s="63"/>
      <c r="BK896" s="63"/>
      <c r="BL896" s="63"/>
      <c r="BM896" s="63"/>
      <c r="BN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4"/>
      <c r="L897" s="65"/>
      <c r="M897" s="63"/>
      <c r="N897" s="63"/>
      <c r="O897" s="63"/>
      <c r="P897" s="63"/>
      <c r="Q897" s="63"/>
      <c r="R897" s="65"/>
      <c r="S897" s="63"/>
      <c r="T897" s="63"/>
      <c r="U897" s="63"/>
      <c r="V897" s="63"/>
      <c r="W897" s="64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AW897" s="63"/>
      <c r="AX897" s="63"/>
      <c r="AY897" s="63"/>
      <c r="AZ897" s="63"/>
      <c r="BA897" s="63"/>
      <c r="BB897" s="63"/>
      <c r="BC897" s="63"/>
      <c r="BD897" s="63"/>
      <c r="BE897" s="63"/>
      <c r="BF897" s="63"/>
      <c r="BG897" s="63"/>
      <c r="BH897" s="63"/>
      <c r="BI897" s="63"/>
      <c r="BJ897" s="63"/>
      <c r="BK897" s="63"/>
      <c r="BL897" s="63"/>
      <c r="BM897" s="63"/>
      <c r="BN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4"/>
      <c r="L898" s="65"/>
      <c r="M898" s="63"/>
      <c r="N898" s="63"/>
      <c r="O898" s="63"/>
      <c r="P898" s="63"/>
      <c r="Q898" s="63"/>
      <c r="R898" s="65"/>
      <c r="S898" s="63"/>
      <c r="T898" s="63"/>
      <c r="U898" s="63"/>
      <c r="V898" s="63"/>
      <c r="W898" s="64"/>
      <c r="X898" s="63"/>
      <c r="Y898" s="63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AW898" s="63"/>
      <c r="AX898" s="63"/>
      <c r="AY898" s="63"/>
      <c r="AZ898" s="63"/>
      <c r="BA898" s="63"/>
      <c r="BB898" s="63"/>
      <c r="BC898" s="63"/>
      <c r="BD898" s="63"/>
      <c r="BE898" s="63"/>
      <c r="BF898" s="63"/>
      <c r="BG898" s="63"/>
      <c r="BH898" s="63"/>
      <c r="BI898" s="63"/>
      <c r="BJ898" s="63"/>
      <c r="BK898" s="63"/>
      <c r="BL898" s="63"/>
      <c r="BM898" s="63"/>
      <c r="BN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4"/>
      <c r="L899" s="65"/>
      <c r="M899" s="63"/>
      <c r="N899" s="63"/>
      <c r="O899" s="63"/>
      <c r="P899" s="63"/>
      <c r="Q899" s="63"/>
      <c r="R899" s="65"/>
      <c r="S899" s="63"/>
      <c r="T899" s="63"/>
      <c r="U899" s="63"/>
      <c r="V899" s="63"/>
      <c r="W899" s="64"/>
      <c r="X899" s="63"/>
      <c r="Y899" s="63"/>
      <c r="Z899" s="63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  <c r="AL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AW899" s="63"/>
      <c r="AX899" s="63"/>
      <c r="AY899" s="63"/>
      <c r="AZ899" s="63"/>
      <c r="BA899" s="63"/>
      <c r="BB899" s="63"/>
      <c r="BC899" s="63"/>
      <c r="BD899" s="63"/>
      <c r="BE899" s="63"/>
      <c r="BF899" s="63"/>
      <c r="BG899" s="63"/>
      <c r="BH899" s="63"/>
      <c r="BI899" s="63"/>
      <c r="BJ899" s="63"/>
      <c r="BK899" s="63"/>
      <c r="BL899" s="63"/>
      <c r="BM899" s="63"/>
      <c r="BN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4"/>
      <c r="L900" s="65"/>
      <c r="M900" s="63"/>
      <c r="N900" s="63"/>
      <c r="O900" s="63"/>
      <c r="P900" s="63"/>
      <c r="Q900" s="63"/>
      <c r="R900" s="65"/>
      <c r="S900" s="63"/>
      <c r="T900" s="63"/>
      <c r="U900" s="63"/>
      <c r="V900" s="63"/>
      <c r="W900" s="64"/>
      <c r="X900" s="63"/>
      <c r="Y900" s="63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AW900" s="63"/>
      <c r="AX900" s="63"/>
      <c r="AY900" s="63"/>
      <c r="AZ900" s="63"/>
      <c r="BA900" s="63"/>
      <c r="BB900" s="63"/>
      <c r="BC900" s="63"/>
      <c r="BD900" s="63"/>
      <c r="BE900" s="63"/>
      <c r="BF900" s="63"/>
      <c r="BG900" s="63"/>
      <c r="BH900" s="63"/>
      <c r="BI900" s="63"/>
      <c r="BJ900" s="63"/>
      <c r="BK900" s="63"/>
      <c r="BL900" s="63"/>
      <c r="BM900" s="63"/>
      <c r="BN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4"/>
      <c r="L901" s="65"/>
      <c r="M901" s="63"/>
      <c r="N901" s="63"/>
      <c r="O901" s="63"/>
      <c r="P901" s="63"/>
      <c r="Q901" s="63"/>
      <c r="R901" s="65"/>
      <c r="S901" s="63"/>
      <c r="T901" s="63"/>
      <c r="U901" s="63"/>
      <c r="V901" s="63"/>
      <c r="W901" s="64"/>
      <c r="X901" s="63"/>
      <c r="Y901" s="63"/>
      <c r="Z901" s="63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  <c r="AL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AW901" s="63"/>
      <c r="AX901" s="63"/>
      <c r="AY901" s="63"/>
      <c r="AZ901" s="63"/>
      <c r="BA901" s="63"/>
      <c r="BB901" s="63"/>
      <c r="BC901" s="63"/>
      <c r="BD901" s="63"/>
      <c r="BE901" s="63"/>
      <c r="BF901" s="63"/>
      <c r="BG901" s="63"/>
      <c r="BH901" s="63"/>
      <c r="BI901" s="63"/>
      <c r="BJ901" s="63"/>
      <c r="BK901" s="63"/>
      <c r="BL901" s="63"/>
      <c r="BM901" s="63"/>
      <c r="BN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4"/>
      <c r="L902" s="65"/>
      <c r="M902" s="63"/>
      <c r="N902" s="63"/>
      <c r="O902" s="63"/>
      <c r="P902" s="63"/>
      <c r="Q902" s="63"/>
      <c r="R902" s="65"/>
      <c r="S902" s="63"/>
      <c r="T902" s="63"/>
      <c r="U902" s="63"/>
      <c r="V902" s="63"/>
      <c r="W902" s="64"/>
      <c r="X902" s="63"/>
      <c r="Y902" s="63"/>
      <c r="Z902" s="63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  <c r="AL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AW902" s="63"/>
      <c r="AX902" s="63"/>
      <c r="AY902" s="63"/>
      <c r="AZ902" s="63"/>
      <c r="BA902" s="63"/>
      <c r="BB902" s="63"/>
      <c r="BC902" s="63"/>
      <c r="BD902" s="63"/>
      <c r="BE902" s="63"/>
      <c r="BF902" s="63"/>
      <c r="BG902" s="63"/>
      <c r="BH902" s="63"/>
      <c r="BI902" s="63"/>
      <c r="BJ902" s="63"/>
      <c r="BK902" s="63"/>
      <c r="BL902" s="63"/>
      <c r="BM902" s="63"/>
      <c r="BN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4"/>
      <c r="L903" s="65"/>
      <c r="M903" s="63"/>
      <c r="N903" s="63"/>
      <c r="O903" s="63"/>
      <c r="P903" s="63"/>
      <c r="Q903" s="63"/>
      <c r="R903" s="65"/>
      <c r="S903" s="63"/>
      <c r="T903" s="63"/>
      <c r="U903" s="63"/>
      <c r="V903" s="63"/>
      <c r="W903" s="64"/>
      <c r="X903" s="63"/>
      <c r="Y903" s="63"/>
      <c r="Z903" s="63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  <c r="AL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AW903" s="63"/>
      <c r="AX903" s="63"/>
      <c r="AY903" s="63"/>
      <c r="AZ903" s="63"/>
      <c r="BA903" s="63"/>
      <c r="BB903" s="63"/>
      <c r="BC903" s="63"/>
      <c r="BD903" s="63"/>
      <c r="BE903" s="63"/>
      <c r="BF903" s="63"/>
      <c r="BG903" s="63"/>
      <c r="BH903" s="63"/>
      <c r="BI903" s="63"/>
      <c r="BJ903" s="63"/>
      <c r="BK903" s="63"/>
      <c r="BL903" s="63"/>
      <c r="BM903" s="63"/>
      <c r="BN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4"/>
      <c r="L904" s="65"/>
      <c r="M904" s="63"/>
      <c r="N904" s="63"/>
      <c r="O904" s="63"/>
      <c r="P904" s="63"/>
      <c r="Q904" s="63"/>
      <c r="R904" s="65"/>
      <c r="S904" s="63"/>
      <c r="T904" s="63"/>
      <c r="U904" s="63"/>
      <c r="V904" s="63"/>
      <c r="W904" s="64"/>
      <c r="X904" s="63"/>
      <c r="Y904" s="63"/>
      <c r="Z904" s="63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  <c r="AL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AW904" s="63"/>
      <c r="AX904" s="63"/>
      <c r="AY904" s="63"/>
      <c r="AZ904" s="63"/>
      <c r="BA904" s="63"/>
      <c r="BB904" s="63"/>
      <c r="BC904" s="63"/>
      <c r="BD904" s="63"/>
      <c r="BE904" s="63"/>
      <c r="BF904" s="63"/>
      <c r="BG904" s="63"/>
      <c r="BH904" s="63"/>
      <c r="BI904" s="63"/>
      <c r="BJ904" s="63"/>
      <c r="BK904" s="63"/>
      <c r="BL904" s="63"/>
      <c r="BM904" s="63"/>
      <c r="BN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4"/>
      <c r="L905" s="65"/>
      <c r="M905" s="63"/>
      <c r="N905" s="63"/>
      <c r="O905" s="63"/>
      <c r="P905" s="63"/>
      <c r="Q905" s="63"/>
      <c r="R905" s="65"/>
      <c r="S905" s="63"/>
      <c r="T905" s="63"/>
      <c r="U905" s="63"/>
      <c r="V905" s="63"/>
      <c r="W905" s="64"/>
      <c r="X905" s="63"/>
      <c r="Y905" s="63"/>
      <c r="Z905" s="63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  <c r="AL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AW905" s="63"/>
      <c r="AX905" s="63"/>
      <c r="AY905" s="63"/>
      <c r="AZ905" s="63"/>
      <c r="BA905" s="63"/>
      <c r="BB905" s="63"/>
      <c r="BC905" s="63"/>
      <c r="BD905" s="63"/>
      <c r="BE905" s="63"/>
      <c r="BF905" s="63"/>
      <c r="BG905" s="63"/>
      <c r="BH905" s="63"/>
      <c r="BI905" s="63"/>
      <c r="BJ905" s="63"/>
      <c r="BK905" s="63"/>
      <c r="BL905" s="63"/>
      <c r="BM905" s="63"/>
      <c r="BN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4"/>
      <c r="L906" s="65"/>
      <c r="M906" s="63"/>
      <c r="N906" s="63"/>
      <c r="O906" s="63"/>
      <c r="P906" s="63"/>
      <c r="Q906" s="63"/>
      <c r="R906" s="65"/>
      <c r="S906" s="63"/>
      <c r="T906" s="63"/>
      <c r="U906" s="63"/>
      <c r="V906" s="63"/>
      <c r="W906" s="64"/>
      <c r="X906" s="63"/>
      <c r="Y906" s="63"/>
      <c r="Z906" s="63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  <c r="AL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AW906" s="63"/>
      <c r="AX906" s="63"/>
      <c r="AY906" s="63"/>
      <c r="AZ906" s="63"/>
      <c r="BA906" s="63"/>
      <c r="BB906" s="63"/>
      <c r="BC906" s="63"/>
      <c r="BD906" s="63"/>
      <c r="BE906" s="63"/>
      <c r="BF906" s="63"/>
      <c r="BG906" s="63"/>
      <c r="BH906" s="63"/>
      <c r="BI906" s="63"/>
      <c r="BJ906" s="63"/>
      <c r="BK906" s="63"/>
      <c r="BL906" s="63"/>
      <c r="BM906" s="63"/>
      <c r="BN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4"/>
      <c r="L907" s="65"/>
      <c r="M907" s="63"/>
      <c r="N907" s="63"/>
      <c r="O907" s="63"/>
      <c r="P907" s="63"/>
      <c r="Q907" s="63"/>
      <c r="R907" s="65"/>
      <c r="S907" s="63"/>
      <c r="T907" s="63"/>
      <c r="U907" s="63"/>
      <c r="V907" s="63"/>
      <c r="W907" s="64"/>
      <c r="X907" s="63"/>
      <c r="Y907" s="63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AW907" s="63"/>
      <c r="AX907" s="63"/>
      <c r="AY907" s="63"/>
      <c r="AZ907" s="63"/>
      <c r="BA907" s="63"/>
      <c r="BB907" s="63"/>
      <c r="BC907" s="63"/>
      <c r="BD907" s="63"/>
      <c r="BE907" s="63"/>
      <c r="BF907" s="63"/>
      <c r="BG907" s="63"/>
      <c r="BH907" s="63"/>
      <c r="BI907" s="63"/>
      <c r="BJ907" s="63"/>
      <c r="BK907" s="63"/>
      <c r="BL907" s="63"/>
      <c r="BM907" s="63"/>
      <c r="BN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4"/>
      <c r="L908" s="65"/>
      <c r="M908" s="63"/>
      <c r="N908" s="63"/>
      <c r="O908" s="63"/>
      <c r="P908" s="63"/>
      <c r="Q908" s="63"/>
      <c r="R908" s="65"/>
      <c r="S908" s="63"/>
      <c r="T908" s="63"/>
      <c r="U908" s="63"/>
      <c r="V908" s="63"/>
      <c r="W908" s="64"/>
      <c r="X908" s="63"/>
      <c r="Y908" s="63"/>
      <c r="Z908" s="63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  <c r="AL908" s="63"/>
      <c r="AM908" s="63"/>
      <c r="AN908" s="63"/>
      <c r="AO908" s="63"/>
      <c r="AP908" s="63"/>
      <c r="AQ908" s="63"/>
      <c r="AR908" s="63"/>
      <c r="AS908" s="63"/>
      <c r="AT908" s="63"/>
      <c r="AU908" s="63"/>
      <c r="AV908" s="63"/>
      <c r="AW908" s="63"/>
      <c r="AX908" s="63"/>
      <c r="AY908" s="63"/>
      <c r="AZ908" s="63"/>
      <c r="BA908" s="63"/>
      <c r="BB908" s="63"/>
      <c r="BC908" s="63"/>
      <c r="BD908" s="63"/>
      <c r="BE908" s="63"/>
      <c r="BF908" s="63"/>
      <c r="BG908" s="63"/>
      <c r="BH908" s="63"/>
      <c r="BI908" s="63"/>
      <c r="BJ908" s="63"/>
      <c r="BK908" s="63"/>
      <c r="BL908" s="63"/>
      <c r="BM908" s="63"/>
      <c r="BN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4"/>
      <c r="L909" s="65"/>
      <c r="M909" s="63"/>
      <c r="N909" s="63"/>
      <c r="O909" s="63"/>
      <c r="P909" s="63"/>
      <c r="Q909" s="63"/>
      <c r="R909" s="65"/>
      <c r="S909" s="63"/>
      <c r="T909" s="63"/>
      <c r="U909" s="63"/>
      <c r="V909" s="63"/>
      <c r="W909" s="64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  <c r="BB909" s="63"/>
      <c r="BC909" s="63"/>
      <c r="BD909" s="63"/>
      <c r="BE909" s="63"/>
      <c r="BF909" s="63"/>
      <c r="BG909" s="63"/>
      <c r="BH909" s="63"/>
      <c r="BI909" s="63"/>
      <c r="BJ909" s="63"/>
      <c r="BK909" s="63"/>
      <c r="BL909" s="63"/>
      <c r="BM909" s="63"/>
      <c r="BN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4"/>
      <c r="L910" s="65"/>
      <c r="M910" s="63"/>
      <c r="N910" s="63"/>
      <c r="O910" s="63"/>
      <c r="P910" s="63"/>
      <c r="Q910" s="63"/>
      <c r="R910" s="65"/>
      <c r="S910" s="63"/>
      <c r="T910" s="63"/>
      <c r="U910" s="63"/>
      <c r="V910" s="63"/>
      <c r="W910" s="64"/>
      <c r="X910" s="63"/>
      <c r="Y910" s="63"/>
      <c r="Z910" s="63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  <c r="AL910" s="63"/>
      <c r="AM910" s="63"/>
      <c r="AN910" s="63"/>
      <c r="AO910" s="63"/>
      <c r="AP910" s="63"/>
      <c r="AQ910" s="63"/>
      <c r="AR910" s="63"/>
      <c r="AS910" s="63"/>
      <c r="AT910" s="63"/>
      <c r="AU910" s="63"/>
      <c r="AV910" s="63"/>
      <c r="AW910" s="63"/>
      <c r="AX910" s="63"/>
      <c r="AY910" s="63"/>
      <c r="AZ910" s="63"/>
      <c r="BA910" s="63"/>
      <c r="BB910" s="63"/>
      <c r="BC910" s="63"/>
      <c r="BD910" s="63"/>
      <c r="BE910" s="63"/>
      <c r="BF910" s="63"/>
      <c r="BG910" s="63"/>
      <c r="BH910" s="63"/>
      <c r="BI910" s="63"/>
      <c r="BJ910" s="63"/>
      <c r="BK910" s="63"/>
      <c r="BL910" s="63"/>
      <c r="BM910" s="63"/>
      <c r="BN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4"/>
      <c r="L911" s="65"/>
      <c r="M911" s="63"/>
      <c r="N911" s="63"/>
      <c r="O911" s="63"/>
      <c r="P911" s="63"/>
      <c r="Q911" s="63"/>
      <c r="R911" s="65"/>
      <c r="S911" s="63"/>
      <c r="T911" s="63"/>
      <c r="U911" s="63"/>
      <c r="V911" s="63"/>
      <c r="W911" s="64"/>
      <c r="X911" s="63"/>
      <c r="Y911" s="63"/>
      <c r="Z911" s="63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  <c r="AL911" s="63"/>
      <c r="AM911" s="63"/>
      <c r="AN911" s="63"/>
      <c r="AO911" s="63"/>
      <c r="AP911" s="63"/>
      <c r="AQ911" s="63"/>
      <c r="AR911" s="63"/>
      <c r="AS911" s="63"/>
      <c r="AT911" s="63"/>
      <c r="AU911" s="63"/>
      <c r="AV911" s="63"/>
      <c r="AW911" s="63"/>
      <c r="AX911" s="63"/>
      <c r="AY911" s="63"/>
      <c r="AZ911" s="63"/>
      <c r="BA911" s="63"/>
      <c r="BB911" s="63"/>
      <c r="BC911" s="63"/>
      <c r="BD911" s="63"/>
      <c r="BE911" s="63"/>
      <c r="BF911" s="63"/>
      <c r="BG911" s="63"/>
      <c r="BH911" s="63"/>
      <c r="BI911" s="63"/>
      <c r="BJ911" s="63"/>
      <c r="BK911" s="63"/>
      <c r="BL911" s="63"/>
      <c r="BM911" s="63"/>
      <c r="BN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4"/>
      <c r="L912" s="65"/>
      <c r="M912" s="63"/>
      <c r="N912" s="63"/>
      <c r="O912" s="63"/>
      <c r="P912" s="63"/>
      <c r="Q912" s="63"/>
      <c r="R912" s="65"/>
      <c r="S912" s="63"/>
      <c r="T912" s="63"/>
      <c r="U912" s="63"/>
      <c r="V912" s="63"/>
      <c r="W912" s="64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  <c r="AU912" s="63"/>
      <c r="AV912" s="63"/>
      <c r="AW912" s="63"/>
      <c r="AX912" s="63"/>
      <c r="AY912" s="63"/>
      <c r="AZ912" s="63"/>
      <c r="BA912" s="63"/>
      <c r="BB912" s="63"/>
      <c r="BC912" s="63"/>
      <c r="BD912" s="63"/>
      <c r="BE912" s="63"/>
      <c r="BF912" s="63"/>
      <c r="BG912" s="63"/>
      <c r="BH912" s="63"/>
      <c r="BI912" s="63"/>
      <c r="BJ912" s="63"/>
      <c r="BK912" s="63"/>
      <c r="BL912" s="63"/>
      <c r="BM912" s="63"/>
      <c r="BN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4"/>
      <c r="L913" s="65"/>
      <c r="M913" s="63"/>
      <c r="N913" s="63"/>
      <c r="O913" s="63"/>
      <c r="P913" s="63"/>
      <c r="Q913" s="63"/>
      <c r="R913" s="65"/>
      <c r="S913" s="63"/>
      <c r="T913" s="63"/>
      <c r="U913" s="63"/>
      <c r="V913" s="63"/>
      <c r="W913" s="64"/>
      <c r="X913" s="63"/>
      <c r="Y913" s="63"/>
      <c r="Z913" s="63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3"/>
      <c r="AX913" s="63"/>
      <c r="AY913" s="63"/>
      <c r="AZ913" s="63"/>
      <c r="BA913" s="63"/>
      <c r="BB913" s="63"/>
      <c r="BC913" s="63"/>
      <c r="BD913" s="63"/>
      <c r="BE913" s="63"/>
      <c r="BF913" s="63"/>
      <c r="BG913" s="63"/>
      <c r="BH913" s="63"/>
      <c r="BI913" s="63"/>
      <c r="BJ913" s="63"/>
      <c r="BK913" s="63"/>
      <c r="BL913" s="63"/>
      <c r="BM913" s="63"/>
      <c r="BN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4"/>
      <c r="L914" s="65"/>
      <c r="M914" s="63"/>
      <c r="N914" s="63"/>
      <c r="O914" s="63"/>
      <c r="P914" s="63"/>
      <c r="Q914" s="63"/>
      <c r="R914" s="65"/>
      <c r="S914" s="63"/>
      <c r="T914" s="63"/>
      <c r="U914" s="63"/>
      <c r="V914" s="63"/>
      <c r="W914" s="64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  <c r="AU914" s="63"/>
      <c r="AV914" s="63"/>
      <c r="AW914" s="63"/>
      <c r="AX914" s="63"/>
      <c r="AY914" s="63"/>
      <c r="AZ914" s="63"/>
      <c r="BA914" s="63"/>
      <c r="BB914" s="63"/>
      <c r="BC914" s="63"/>
      <c r="BD914" s="63"/>
      <c r="BE914" s="63"/>
      <c r="BF914" s="63"/>
      <c r="BG914" s="63"/>
      <c r="BH914" s="63"/>
      <c r="BI914" s="63"/>
      <c r="BJ914" s="63"/>
      <c r="BK914" s="63"/>
      <c r="BL914" s="63"/>
      <c r="BM914" s="63"/>
      <c r="BN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4"/>
      <c r="L915" s="65"/>
      <c r="M915" s="63"/>
      <c r="N915" s="63"/>
      <c r="O915" s="63"/>
      <c r="P915" s="63"/>
      <c r="Q915" s="63"/>
      <c r="R915" s="65"/>
      <c r="S915" s="63"/>
      <c r="T915" s="63"/>
      <c r="U915" s="63"/>
      <c r="V915" s="63"/>
      <c r="W915" s="64"/>
      <c r="X915" s="63"/>
      <c r="Y915" s="63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  <c r="AL915" s="63"/>
      <c r="AM915" s="63"/>
      <c r="AN915" s="63"/>
      <c r="AO915" s="63"/>
      <c r="AP915" s="63"/>
      <c r="AQ915" s="63"/>
      <c r="AR915" s="63"/>
      <c r="AS915" s="63"/>
      <c r="AT915" s="63"/>
      <c r="AU915" s="63"/>
      <c r="AV915" s="63"/>
      <c r="AW915" s="63"/>
      <c r="AX915" s="63"/>
      <c r="AY915" s="63"/>
      <c r="AZ915" s="63"/>
      <c r="BA915" s="63"/>
      <c r="BB915" s="63"/>
      <c r="BC915" s="63"/>
      <c r="BD915" s="63"/>
      <c r="BE915" s="63"/>
      <c r="BF915" s="63"/>
      <c r="BG915" s="63"/>
      <c r="BH915" s="63"/>
      <c r="BI915" s="63"/>
      <c r="BJ915" s="63"/>
      <c r="BK915" s="63"/>
      <c r="BL915" s="63"/>
      <c r="BM915" s="63"/>
      <c r="BN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4"/>
      <c r="L916" s="65"/>
      <c r="M916" s="63"/>
      <c r="N916" s="63"/>
      <c r="O916" s="63"/>
      <c r="P916" s="63"/>
      <c r="Q916" s="63"/>
      <c r="R916" s="65"/>
      <c r="S916" s="63"/>
      <c r="T916" s="63"/>
      <c r="U916" s="63"/>
      <c r="V916" s="63"/>
      <c r="W916" s="64"/>
      <c r="X916" s="63"/>
      <c r="Y916" s="63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  <c r="AL916" s="63"/>
      <c r="AM916" s="63"/>
      <c r="AN916" s="63"/>
      <c r="AO916" s="63"/>
      <c r="AP916" s="63"/>
      <c r="AQ916" s="63"/>
      <c r="AR916" s="63"/>
      <c r="AS916" s="63"/>
      <c r="AT916" s="63"/>
      <c r="AU916" s="63"/>
      <c r="AV916" s="63"/>
      <c r="AW916" s="63"/>
      <c r="AX916" s="63"/>
      <c r="AY916" s="63"/>
      <c r="AZ916" s="63"/>
      <c r="BA916" s="63"/>
      <c r="BB916" s="63"/>
      <c r="BC916" s="63"/>
      <c r="BD916" s="63"/>
      <c r="BE916" s="63"/>
      <c r="BF916" s="63"/>
      <c r="BG916" s="63"/>
      <c r="BH916" s="63"/>
      <c r="BI916" s="63"/>
      <c r="BJ916" s="63"/>
      <c r="BK916" s="63"/>
      <c r="BL916" s="63"/>
      <c r="BM916" s="63"/>
      <c r="BN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4"/>
      <c r="L917" s="65"/>
      <c r="M917" s="63"/>
      <c r="N917" s="63"/>
      <c r="O917" s="63"/>
      <c r="P917" s="63"/>
      <c r="Q917" s="63"/>
      <c r="R917" s="65"/>
      <c r="S917" s="63"/>
      <c r="T917" s="63"/>
      <c r="U917" s="63"/>
      <c r="V917" s="63"/>
      <c r="W917" s="64"/>
      <c r="X917" s="63"/>
      <c r="Y917" s="63"/>
      <c r="Z917" s="63"/>
      <c r="AA917" s="63"/>
      <c r="AB917" s="63"/>
      <c r="AC917" s="63"/>
      <c r="AD917" s="63"/>
      <c r="AE917" s="63"/>
      <c r="AF917" s="63"/>
      <c r="AG917" s="63"/>
      <c r="AH917" s="63"/>
      <c r="AI917" s="63"/>
      <c r="AJ917" s="63"/>
      <c r="AK917" s="63"/>
      <c r="AL917" s="63"/>
      <c r="AM917" s="63"/>
      <c r="AN917" s="63"/>
      <c r="AO917" s="63"/>
      <c r="AP917" s="63"/>
      <c r="AQ917" s="63"/>
      <c r="AR917" s="63"/>
      <c r="AS917" s="63"/>
      <c r="AT917" s="63"/>
      <c r="AU917" s="63"/>
      <c r="AV917" s="63"/>
      <c r="AW917" s="63"/>
      <c r="AX917" s="63"/>
      <c r="AY917" s="63"/>
      <c r="AZ917" s="63"/>
      <c r="BA917" s="63"/>
      <c r="BB917" s="63"/>
      <c r="BC917" s="63"/>
      <c r="BD917" s="63"/>
      <c r="BE917" s="63"/>
      <c r="BF917" s="63"/>
      <c r="BG917" s="63"/>
      <c r="BH917" s="63"/>
      <c r="BI917" s="63"/>
      <c r="BJ917" s="63"/>
      <c r="BK917" s="63"/>
      <c r="BL917" s="63"/>
      <c r="BM917" s="63"/>
      <c r="BN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4"/>
      <c r="L918" s="65"/>
      <c r="M918" s="63"/>
      <c r="N918" s="63"/>
      <c r="O918" s="63"/>
      <c r="P918" s="63"/>
      <c r="Q918" s="63"/>
      <c r="R918" s="65"/>
      <c r="S918" s="63"/>
      <c r="T918" s="63"/>
      <c r="U918" s="63"/>
      <c r="V918" s="63"/>
      <c r="W918" s="64"/>
      <c r="X918" s="63"/>
      <c r="Y918" s="63"/>
      <c r="Z918" s="63"/>
      <c r="AA918" s="63"/>
      <c r="AB918" s="63"/>
      <c r="AC918" s="63"/>
      <c r="AD918" s="63"/>
      <c r="AE918" s="63"/>
      <c r="AF918" s="63"/>
      <c r="AG918" s="63"/>
      <c r="AH918" s="63"/>
      <c r="AI918" s="63"/>
      <c r="AJ918" s="63"/>
      <c r="AK918" s="63"/>
      <c r="AL918" s="63"/>
      <c r="AM918" s="63"/>
      <c r="AN918" s="63"/>
      <c r="AO918" s="63"/>
      <c r="AP918" s="63"/>
      <c r="AQ918" s="63"/>
      <c r="AR918" s="63"/>
      <c r="AS918" s="63"/>
      <c r="AT918" s="63"/>
      <c r="AU918" s="63"/>
      <c r="AV918" s="63"/>
      <c r="AW918" s="63"/>
      <c r="AX918" s="63"/>
      <c r="AY918" s="63"/>
      <c r="AZ918" s="63"/>
      <c r="BA918" s="63"/>
      <c r="BB918" s="63"/>
      <c r="BC918" s="63"/>
      <c r="BD918" s="63"/>
      <c r="BE918" s="63"/>
      <c r="BF918" s="63"/>
      <c r="BG918" s="63"/>
      <c r="BH918" s="63"/>
      <c r="BI918" s="63"/>
      <c r="BJ918" s="63"/>
      <c r="BK918" s="63"/>
      <c r="BL918" s="63"/>
      <c r="BM918" s="63"/>
      <c r="BN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4"/>
      <c r="L919" s="65"/>
      <c r="M919" s="63"/>
      <c r="N919" s="63"/>
      <c r="O919" s="63"/>
      <c r="P919" s="63"/>
      <c r="Q919" s="63"/>
      <c r="R919" s="65"/>
      <c r="S919" s="63"/>
      <c r="T919" s="63"/>
      <c r="U919" s="63"/>
      <c r="V919" s="63"/>
      <c r="W919" s="64"/>
      <c r="X919" s="63"/>
      <c r="Y919" s="63"/>
      <c r="Z919" s="63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  <c r="AL919" s="63"/>
      <c r="AM919" s="63"/>
      <c r="AN919" s="63"/>
      <c r="AO919" s="63"/>
      <c r="AP919" s="63"/>
      <c r="AQ919" s="63"/>
      <c r="AR919" s="63"/>
      <c r="AS919" s="63"/>
      <c r="AT919" s="63"/>
      <c r="AU919" s="63"/>
      <c r="AV919" s="63"/>
      <c r="AW919" s="63"/>
      <c r="AX919" s="63"/>
      <c r="AY919" s="63"/>
      <c r="AZ919" s="63"/>
      <c r="BA919" s="63"/>
      <c r="BB919" s="63"/>
      <c r="BC919" s="63"/>
      <c r="BD919" s="63"/>
      <c r="BE919" s="63"/>
      <c r="BF919" s="63"/>
      <c r="BG919" s="63"/>
      <c r="BH919" s="63"/>
      <c r="BI919" s="63"/>
      <c r="BJ919" s="63"/>
      <c r="BK919" s="63"/>
      <c r="BL919" s="63"/>
      <c r="BM919" s="63"/>
      <c r="BN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4"/>
      <c r="L920" s="65"/>
      <c r="M920" s="63"/>
      <c r="N920" s="63"/>
      <c r="O920" s="63"/>
      <c r="P920" s="63"/>
      <c r="Q920" s="63"/>
      <c r="R920" s="65"/>
      <c r="S920" s="63"/>
      <c r="T920" s="63"/>
      <c r="U920" s="63"/>
      <c r="V920" s="63"/>
      <c r="W920" s="64"/>
      <c r="X920" s="63"/>
      <c r="Y920" s="63"/>
      <c r="Z920" s="63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  <c r="AL920" s="63"/>
      <c r="AM920" s="63"/>
      <c r="AN920" s="63"/>
      <c r="AO920" s="63"/>
      <c r="AP920" s="63"/>
      <c r="AQ920" s="63"/>
      <c r="AR920" s="63"/>
      <c r="AS920" s="63"/>
      <c r="AT920" s="63"/>
      <c r="AU920" s="63"/>
      <c r="AV920" s="63"/>
      <c r="AW920" s="63"/>
      <c r="AX920" s="63"/>
      <c r="AY920" s="63"/>
      <c r="AZ920" s="63"/>
      <c r="BA920" s="63"/>
      <c r="BB920" s="63"/>
      <c r="BC920" s="63"/>
      <c r="BD920" s="63"/>
      <c r="BE920" s="63"/>
      <c r="BF920" s="63"/>
      <c r="BG920" s="63"/>
      <c r="BH920" s="63"/>
      <c r="BI920" s="63"/>
      <c r="BJ920" s="63"/>
      <c r="BK920" s="63"/>
      <c r="BL920" s="63"/>
      <c r="BM920" s="63"/>
      <c r="BN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4"/>
      <c r="L921" s="65"/>
      <c r="M921" s="63"/>
      <c r="N921" s="63"/>
      <c r="O921" s="63"/>
      <c r="P921" s="63"/>
      <c r="Q921" s="63"/>
      <c r="R921" s="65"/>
      <c r="S921" s="63"/>
      <c r="T921" s="63"/>
      <c r="U921" s="63"/>
      <c r="V921" s="63"/>
      <c r="W921" s="64"/>
      <c r="X921" s="63"/>
      <c r="Y921" s="63"/>
      <c r="Z921" s="63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  <c r="AL921" s="63"/>
      <c r="AM921" s="63"/>
      <c r="AN921" s="63"/>
      <c r="AO921" s="63"/>
      <c r="AP921" s="63"/>
      <c r="AQ921" s="63"/>
      <c r="AR921" s="63"/>
      <c r="AS921" s="63"/>
      <c r="AT921" s="63"/>
      <c r="AU921" s="63"/>
      <c r="AV921" s="63"/>
      <c r="AW921" s="63"/>
      <c r="AX921" s="63"/>
      <c r="AY921" s="63"/>
      <c r="AZ921" s="63"/>
      <c r="BA921" s="63"/>
      <c r="BB921" s="63"/>
      <c r="BC921" s="63"/>
      <c r="BD921" s="63"/>
      <c r="BE921" s="63"/>
      <c r="BF921" s="63"/>
      <c r="BG921" s="63"/>
      <c r="BH921" s="63"/>
      <c r="BI921" s="63"/>
      <c r="BJ921" s="63"/>
      <c r="BK921" s="63"/>
      <c r="BL921" s="63"/>
      <c r="BM921" s="63"/>
      <c r="BN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4"/>
      <c r="L922" s="65"/>
      <c r="M922" s="63"/>
      <c r="N922" s="63"/>
      <c r="O922" s="63"/>
      <c r="P922" s="63"/>
      <c r="Q922" s="63"/>
      <c r="R922" s="65"/>
      <c r="S922" s="63"/>
      <c r="T922" s="63"/>
      <c r="U922" s="63"/>
      <c r="V922" s="63"/>
      <c r="W922" s="64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  <c r="AL922" s="63"/>
      <c r="AM922" s="63"/>
      <c r="AN922" s="63"/>
      <c r="AO922" s="63"/>
      <c r="AP922" s="63"/>
      <c r="AQ922" s="63"/>
      <c r="AR922" s="63"/>
      <c r="AS922" s="63"/>
      <c r="AT922" s="63"/>
      <c r="AU922" s="63"/>
      <c r="AV922" s="63"/>
      <c r="AW922" s="63"/>
      <c r="AX922" s="63"/>
      <c r="AY922" s="63"/>
      <c r="AZ922" s="63"/>
      <c r="BA922" s="63"/>
      <c r="BB922" s="63"/>
      <c r="BC922" s="63"/>
      <c r="BD922" s="63"/>
      <c r="BE922" s="63"/>
      <c r="BF922" s="63"/>
      <c r="BG922" s="63"/>
      <c r="BH922" s="63"/>
      <c r="BI922" s="63"/>
      <c r="BJ922" s="63"/>
      <c r="BK922" s="63"/>
      <c r="BL922" s="63"/>
      <c r="BM922" s="63"/>
      <c r="BN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4"/>
      <c r="L923" s="65"/>
      <c r="M923" s="63"/>
      <c r="N923" s="63"/>
      <c r="O923" s="63"/>
      <c r="P923" s="63"/>
      <c r="Q923" s="63"/>
      <c r="R923" s="65"/>
      <c r="S923" s="63"/>
      <c r="T923" s="63"/>
      <c r="U923" s="63"/>
      <c r="V923" s="63"/>
      <c r="W923" s="64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  <c r="AM923" s="63"/>
      <c r="AN923" s="63"/>
      <c r="AO923" s="63"/>
      <c r="AP923" s="63"/>
      <c r="AQ923" s="63"/>
      <c r="AR923" s="63"/>
      <c r="AS923" s="63"/>
      <c r="AT923" s="63"/>
      <c r="AU923" s="63"/>
      <c r="AV923" s="63"/>
      <c r="AW923" s="63"/>
      <c r="AX923" s="63"/>
      <c r="AY923" s="63"/>
      <c r="AZ923" s="63"/>
      <c r="BA923" s="63"/>
      <c r="BB923" s="63"/>
      <c r="BC923" s="63"/>
      <c r="BD923" s="63"/>
      <c r="BE923" s="63"/>
      <c r="BF923" s="63"/>
      <c r="BG923" s="63"/>
      <c r="BH923" s="63"/>
      <c r="BI923" s="63"/>
      <c r="BJ923" s="63"/>
      <c r="BK923" s="63"/>
      <c r="BL923" s="63"/>
      <c r="BM923" s="63"/>
      <c r="BN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4"/>
      <c r="L924" s="65"/>
      <c r="M924" s="63"/>
      <c r="N924" s="63"/>
      <c r="O924" s="63"/>
      <c r="P924" s="63"/>
      <c r="Q924" s="63"/>
      <c r="R924" s="65"/>
      <c r="S924" s="63"/>
      <c r="T924" s="63"/>
      <c r="U924" s="63"/>
      <c r="V924" s="63"/>
      <c r="W924" s="64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  <c r="AL924" s="63"/>
      <c r="AM924" s="63"/>
      <c r="AN924" s="63"/>
      <c r="AO924" s="63"/>
      <c r="AP924" s="63"/>
      <c r="AQ924" s="63"/>
      <c r="AR924" s="63"/>
      <c r="AS924" s="63"/>
      <c r="AT924" s="63"/>
      <c r="AU924" s="63"/>
      <c r="AV924" s="63"/>
      <c r="AW924" s="63"/>
      <c r="AX924" s="63"/>
      <c r="AY924" s="63"/>
      <c r="AZ924" s="63"/>
      <c r="BA924" s="63"/>
      <c r="BB924" s="63"/>
      <c r="BC924" s="63"/>
      <c r="BD924" s="63"/>
      <c r="BE924" s="63"/>
      <c r="BF924" s="63"/>
      <c r="BG924" s="63"/>
      <c r="BH924" s="63"/>
      <c r="BI924" s="63"/>
      <c r="BJ924" s="63"/>
      <c r="BK924" s="63"/>
      <c r="BL924" s="63"/>
      <c r="BM924" s="63"/>
      <c r="BN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4"/>
      <c r="L925" s="65"/>
      <c r="M925" s="63"/>
      <c r="N925" s="63"/>
      <c r="O925" s="63"/>
      <c r="P925" s="63"/>
      <c r="Q925" s="63"/>
      <c r="R925" s="65"/>
      <c r="S925" s="63"/>
      <c r="T925" s="63"/>
      <c r="U925" s="63"/>
      <c r="V925" s="63"/>
      <c r="W925" s="64"/>
      <c r="X925" s="63"/>
      <c r="Y925" s="63"/>
      <c r="Z925" s="63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  <c r="AL925" s="63"/>
      <c r="AM925" s="63"/>
      <c r="AN925" s="63"/>
      <c r="AO925" s="63"/>
      <c r="AP925" s="63"/>
      <c r="AQ925" s="63"/>
      <c r="AR925" s="63"/>
      <c r="AS925" s="63"/>
      <c r="AT925" s="63"/>
      <c r="AU925" s="63"/>
      <c r="AV925" s="63"/>
      <c r="AW925" s="63"/>
      <c r="AX925" s="63"/>
      <c r="AY925" s="63"/>
      <c r="AZ925" s="63"/>
      <c r="BA925" s="63"/>
      <c r="BB925" s="63"/>
      <c r="BC925" s="63"/>
      <c r="BD925" s="63"/>
      <c r="BE925" s="63"/>
      <c r="BF925" s="63"/>
      <c r="BG925" s="63"/>
      <c r="BH925" s="63"/>
      <c r="BI925" s="63"/>
      <c r="BJ925" s="63"/>
      <c r="BK925" s="63"/>
      <c r="BL925" s="63"/>
      <c r="BM925" s="63"/>
      <c r="BN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4"/>
      <c r="L926" s="65"/>
      <c r="M926" s="63"/>
      <c r="N926" s="63"/>
      <c r="O926" s="63"/>
      <c r="P926" s="63"/>
      <c r="Q926" s="63"/>
      <c r="R926" s="65"/>
      <c r="S926" s="63"/>
      <c r="T926" s="63"/>
      <c r="U926" s="63"/>
      <c r="V926" s="63"/>
      <c r="W926" s="64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  <c r="AL926" s="63"/>
      <c r="AM926" s="63"/>
      <c r="AN926" s="63"/>
      <c r="AO926" s="63"/>
      <c r="AP926" s="63"/>
      <c r="AQ926" s="63"/>
      <c r="AR926" s="63"/>
      <c r="AS926" s="63"/>
      <c r="AT926" s="63"/>
      <c r="AU926" s="63"/>
      <c r="AV926" s="63"/>
      <c r="AW926" s="63"/>
      <c r="AX926" s="63"/>
      <c r="AY926" s="63"/>
      <c r="AZ926" s="63"/>
      <c r="BA926" s="63"/>
      <c r="BB926" s="63"/>
      <c r="BC926" s="63"/>
      <c r="BD926" s="63"/>
      <c r="BE926" s="63"/>
      <c r="BF926" s="63"/>
      <c r="BG926" s="63"/>
      <c r="BH926" s="63"/>
      <c r="BI926" s="63"/>
      <c r="BJ926" s="63"/>
      <c r="BK926" s="63"/>
      <c r="BL926" s="63"/>
      <c r="BM926" s="63"/>
      <c r="BN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4"/>
      <c r="L927" s="65"/>
      <c r="M927" s="63"/>
      <c r="N927" s="63"/>
      <c r="O927" s="63"/>
      <c r="P927" s="63"/>
      <c r="Q927" s="63"/>
      <c r="R927" s="65"/>
      <c r="S927" s="63"/>
      <c r="T927" s="63"/>
      <c r="U927" s="63"/>
      <c r="V927" s="63"/>
      <c r="W927" s="64"/>
      <c r="X927" s="63"/>
      <c r="Y927" s="63"/>
      <c r="Z927" s="63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  <c r="AL927" s="63"/>
      <c r="AM927" s="63"/>
      <c r="AN927" s="63"/>
      <c r="AO927" s="63"/>
      <c r="AP927" s="63"/>
      <c r="AQ927" s="63"/>
      <c r="AR927" s="63"/>
      <c r="AS927" s="63"/>
      <c r="AT927" s="63"/>
      <c r="AU927" s="63"/>
      <c r="AV927" s="63"/>
      <c r="AW927" s="63"/>
      <c r="AX927" s="63"/>
      <c r="AY927" s="63"/>
      <c r="AZ927" s="63"/>
      <c r="BA927" s="63"/>
      <c r="BB927" s="63"/>
      <c r="BC927" s="63"/>
      <c r="BD927" s="63"/>
      <c r="BE927" s="63"/>
      <c r="BF927" s="63"/>
      <c r="BG927" s="63"/>
      <c r="BH927" s="63"/>
      <c r="BI927" s="63"/>
      <c r="BJ927" s="63"/>
      <c r="BK927" s="63"/>
      <c r="BL927" s="63"/>
      <c r="BM927" s="63"/>
      <c r="BN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4"/>
      <c r="L928" s="65"/>
      <c r="M928" s="63"/>
      <c r="N928" s="63"/>
      <c r="O928" s="63"/>
      <c r="P928" s="63"/>
      <c r="Q928" s="63"/>
      <c r="R928" s="65"/>
      <c r="S928" s="63"/>
      <c r="T928" s="63"/>
      <c r="U928" s="63"/>
      <c r="V928" s="63"/>
      <c r="W928" s="64"/>
      <c r="X928" s="63"/>
      <c r="Y928" s="63"/>
      <c r="Z928" s="63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  <c r="AL928" s="63"/>
      <c r="AM928" s="63"/>
      <c r="AN928" s="63"/>
      <c r="AO928" s="63"/>
      <c r="AP928" s="63"/>
      <c r="AQ928" s="63"/>
      <c r="AR928" s="63"/>
      <c r="AS928" s="63"/>
      <c r="AT928" s="63"/>
      <c r="AU928" s="63"/>
      <c r="AV928" s="63"/>
      <c r="AW928" s="63"/>
      <c r="AX928" s="63"/>
      <c r="AY928" s="63"/>
      <c r="AZ928" s="63"/>
      <c r="BA928" s="63"/>
      <c r="BB928" s="63"/>
      <c r="BC928" s="63"/>
      <c r="BD928" s="63"/>
      <c r="BE928" s="63"/>
      <c r="BF928" s="63"/>
      <c r="BG928" s="63"/>
      <c r="BH928" s="63"/>
      <c r="BI928" s="63"/>
      <c r="BJ928" s="63"/>
      <c r="BK928" s="63"/>
      <c r="BL928" s="63"/>
      <c r="BM928" s="63"/>
      <c r="BN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4"/>
      <c r="L929" s="65"/>
      <c r="M929" s="63"/>
      <c r="N929" s="63"/>
      <c r="O929" s="63"/>
      <c r="P929" s="63"/>
      <c r="Q929" s="63"/>
      <c r="R929" s="65"/>
      <c r="S929" s="63"/>
      <c r="T929" s="63"/>
      <c r="U929" s="63"/>
      <c r="V929" s="63"/>
      <c r="W929" s="64"/>
      <c r="X929" s="63"/>
      <c r="Y929" s="63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  <c r="AL929" s="63"/>
      <c r="AM929" s="63"/>
      <c r="AN929" s="63"/>
      <c r="AO929" s="63"/>
      <c r="AP929" s="63"/>
      <c r="AQ929" s="63"/>
      <c r="AR929" s="63"/>
      <c r="AS929" s="63"/>
      <c r="AT929" s="63"/>
      <c r="AU929" s="63"/>
      <c r="AV929" s="63"/>
      <c r="AW929" s="63"/>
      <c r="AX929" s="63"/>
      <c r="AY929" s="63"/>
      <c r="AZ929" s="63"/>
      <c r="BA929" s="63"/>
      <c r="BB929" s="63"/>
      <c r="BC929" s="63"/>
      <c r="BD929" s="63"/>
      <c r="BE929" s="63"/>
      <c r="BF929" s="63"/>
      <c r="BG929" s="63"/>
      <c r="BH929" s="63"/>
      <c r="BI929" s="63"/>
      <c r="BJ929" s="63"/>
      <c r="BK929" s="63"/>
      <c r="BL929" s="63"/>
      <c r="BM929" s="63"/>
      <c r="BN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4"/>
      <c r="L930" s="65"/>
      <c r="M930" s="63"/>
      <c r="N930" s="63"/>
      <c r="O930" s="63"/>
      <c r="P930" s="63"/>
      <c r="Q930" s="63"/>
      <c r="R930" s="65"/>
      <c r="S930" s="63"/>
      <c r="T930" s="63"/>
      <c r="U930" s="63"/>
      <c r="V930" s="63"/>
      <c r="W930" s="64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  <c r="AM930" s="63"/>
      <c r="AN930" s="63"/>
      <c r="AO930" s="63"/>
      <c r="AP930" s="63"/>
      <c r="AQ930" s="63"/>
      <c r="AR930" s="63"/>
      <c r="AS930" s="63"/>
      <c r="AT930" s="63"/>
      <c r="AU930" s="63"/>
      <c r="AV930" s="63"/>
      <c r="AW930" s="63"/>
      <c r="AX930" s="63"/>
      <c r="AY930" s="63"/>
      <c r="AZ930" s="63"/>
      <c r="BA930" s="63"/>
      <c r="BB930" s="63"/>
      <c r="BC930" s="63"/>
      <c r="BD930" s="63"/>
      <c r="BE930" s="63"/>
      <c r="BF930" s="63"/>
      <c r="BG930" s="63"/>
      <c r="BH930" s="63"/>
      <c r="BI930" s="63"/>
      <c r="BJ930" s="63"/>
      <c r="BK930" s="63"/>
      <c r="BL930" s="63"/>
      <c r="BM930" s="63"/>
      <c r="BN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4"/>
      <c r="L931" s="65"/>
      <c r="M931" s="63"/>
      <c r="N931" s="63"/>
      <c r="O931" s="63"/>
      <c r="P931" s="63"/>
      <c r="Q931" s="63"/>
      <c r="R931" s="65"/>
      <c r="S931" s="63"/>
      <c r="T931" s="63"/>
      <c r="U931" s="63"/>
      <c r="V931" s="63"/>
      <c r="W931" s="64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  <c r="AL931" s="63"/>
      <c r="AM931" s="63"/>
      <c r="AN931" s="63"/>
      <c r="AO931" s="63"/>
      <c r="AP931" s="63"/>
      <c r="AQ931" s="63"/>
      <c r="AR931" s="63"/>
      <c r="AS931" s="63"/>
      <c r="AT931" s="63"/>
      <c r="AU931" s="63"/>
      <c r="AV931" s="63"/>
      <c r="AW931" s="63"/>
      <c r="AX931" s="63"/>
      <c r="AY931" s="63"/>
      <c r="AZ931" s="63"/>
      <c r="BA931" s="63"/>
      <c r="BB931" s="63"/>
      <c r="BC931" s="63"/>
      <c r="BD931" s="63"/>
      <c r="BE931" s="63"/>
      <c r="BF931" s="63"/>
      <c r="BG931" s="63"/>
      <c r="BH931" s="63"/>
      <c r="BI931" s="63"/>
      <c r="BJ931" s="63"/>
      <c r="BK931" s="63"/>
      <c r="BL931" s="63"/>
      <c r="BM931" s="63"/>
      <c r="BN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4"/>
      <c r="L932" s="65"/>
      <c r="M932" s="63"/>
      <c r="N932" s="63"/>
      <c r="O932" s="63"/>
      <c r="P932" s="63"/>
      <c r="Q932" s="63"/>
      <c r="R932" s="65"/>
      <c r="S932" s="63"/>
      <c r="T932" s="63"/>
      <c r="U932" s="63"/>
      <c r="V932" s="63"/>
      <c r="W932" s="64"/>
      <c r="X932" s="63"/>
      <c r="Y932" s="63"/>
      <c r="Z932" s="63"/>
      <c r="AA932" s="63"/>
      <c r="AB932" s="63"/>
      <c r="AC932" s="63"/>
      <c r="AD932" s="63"/>
      <c r="AE932" s="63"/>
      <c r="AF932" s="63"/>
      <c r="AG932" s="63"/>
      <c r="AH932" s="63"/>
      <c r="AI932" s="63"/>
      <c r="AJ932" s="63"/>
      <c r="AK932" s="63"/>
      <c r="AL932" s="63"/>
      <c r="AM932" s="63"/>
      <c r="AN932" s="63"/>
      <c r="AO932" s="63"/>
      <c r="AP932" s="63"/>
      <c r="AQ932" s="63"/>
      <c r="AR932" s="63"/>
      <c r="AS932" s="63"/>
      <c r="AT932" s="63"/>
      <c r="AU932" s="63"/>
      <c r="AV932" s="63"/>
      <c r="AW932" s="63"/>
      <c r="AX932" s="63"/>
      <c r="AY932" s="63"/>
      <c r="AZ932" s="63"/>
      <c r="BA932" s="63"/>
      <c r="BB932" s="63"/>
      <c r="BC932" s="63"/>
      <c r="BD932" s="63"/>
      <c r="BE932" s="63"/>
      <c r="BF932" s="63"/>
      <c r="BG932" s="63"/>
      <c r="BH932" s="63"/>
      <c r="BI932" s="63"/>
      <c r="BJ932" s="63"/>
      <c r="BK932" s="63"/>
      <c r="BL932" s="63"/>
      <c r="BM932" s="63"/>
      <c r="BN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4"/>
      <c r="L933" s="65"/>
      <c r="M933" s="63"/>
      <c r="N933" s="63"/>
      <c r="O933" s="63"/>
      <c r="P933" s="63"/>
      <c r="Q933" s="63"/>
      <c r="R933" s="65"/>
      <c r="S933" s="63"/>
      <c r="T933" s="63"/>
      <c r="U933" s="63"/>
      <c r="V933" s="63"/>
      <c r="W933" s="64"/>
      <c r="X933" s="63"/>
      <c r="Y933" s="63"/>
      <c r="Z933" s="63"/>
      <c r="AA933" s="63"/>
      <c r="AB933" s="63"/>
      <c r="AC933" s="63"/>
      <c r="AD933" s="63"/>
      <c r="AE933" s="63"/>
      <c r="AF933" s="63"/>
      <c r="AG933" s="63"/>
      <c r="AH933" s="63"/>
      <c r="AI933" s="63"/>
      <c r="AJ933" s="63"/>
      <c r="AK933" s="63"/>
      <c r="AL933" s="63"/>
      <c r="AM933" s="63"/>
      <c r="AN933" s="63"/>
      <c r="AO933" s="63"/>
      <c r="AP933" s="63"/>
      <c r="AQ933" s="63"/>
      <c r="AR933" s="63"/>
      <c r="AS933" s="63"/>
      <c r="AT933" s="63"/>
      <c r="AU933" s="63"/>
      <c r="AV933" s="63"/>
      <c r="AW933" s="63"/>
      <c r="AX933" s="63"/>
      <c r="AY933" s="63"/>
      <c r="AZ933" s="63"/>
      <c r="BA933" s="63"/>
      <c r="BB933" s="63"/>
      <c r="BC933" s="63"/>
      <c r="BD933" s="63"/>
      <c r="BE933" s="63"/>
      <c r="BF933" s="63"/>
      <c r="BG933" s="63"/>
      <c r="BH933" s="63"/>
      <c r="BI933" s="63"/>
      <c r="BJ933" s="63"/>
      <c r="BK933" s="63"/>
      <c r="BL933" s="63"/>
      <c r="BM933" s="63"/>
      <c r="BN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4"/>
      <c r="L934" s="65"/>
      <c r="M934" s="63"/>
      <c r="N934" s="63"/>
      <c r="O934" s="63"/>
      <c r="P934" s="63"/>
      <c r="Q934" s="63"/>
      <c r="R934" s="65"/>
      <c r="S934" s="63"/>
      <c r="T934" s="63"/>
      <c r="U934" s="63"/>
      <c r="V934" s="63"/>
      <c r="W934" s="64"/>
      <c r="X934" s="63"/>
      <c r="Y934" s="63"/>
      <c r="Z934" s="63"/>
      <c r="AA934" s="63"/>
      <c r="AB934" s="63"/>
      <c r="AC934" s="63"/>
      <c r="AD934" s="63"/>
      <c r="AE934" s="63"/>
      <c r="AF934" s="63"/>
      <c r="AG934" s="63"/>
      <c r="AH934" s="63"/>
      <c r="AI934" s="63"/>
      <c r="AJ934" s="63"/>
      <c r="AK934" s="63"/>
      <c r="AL934" s="63"/>
      <c r="AM934" s="63"/>
      <c r="AN934" s="63"/>
      <c r="AO934" s="63"/>
      <c r="AP934" s="63"/>
      <c r="AQ934" s="63"/>
      <c r="AR934" s="63"/>
      <c r="AS934" s="63"/>
      <c r="AT934" s="63"/>
      <c r="AU934" s="63"/>
      <c r="AV934" s="63"/>
      <c r="AW934" s="63"/>
      <c r="AX934" s="63"/>
      <c r="AY934" s="63"/>
      <c r="AZ934" s="63"/>
      <c r="BA934" s="63"/>
      <c r="BB934" s="63"/>
      <c r="BC934" s="63"/>
      <c r="BD934" s="63"/>
      <c r="BE934" s="63"/>
      <c r="BF934" s="63"/>
      <c r="BG934" s="63"/>
      <c r="BH934" s="63"/>
      <c r="BI934" s="63"/>
      <c r="BJ934" s="63"/>
      <c r="BK934" s="63"/>
      <c r="BL934" s="63"/>
      <c r="BM934" s="63"/>
      <c r="BN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4"/>
      <c r="L935" s="65"/>
      <c r="M935" s="63"/>
      <c r="N935" s="63"/>
      <c r="O935" s="63"/>
      <c r="P935" s="63"/>
      <c r="Q935" s="63"/>
      <c r="R935" s="65"/>
      <c r="S935" s="63"/>
      <c r="T935" s="63"/>
      <c r="U935" s="63"/>
      <c r="V935" s="63"/>
      <c r="W935" s="64"/>
      <c r="X935" s="63"/>
      <c r="Y935" s="63"/>
      <c r="Z935" s="63"/>
      <c r="AA935" s="63"/>
      <c r="AB935" s="63"/>
      <c r="AC935" s="63"/>
      <c r="AD935" s="63"/>
      <c r="AE935" s="63"/>
      <c r="AF935" s="63"/>
      <c r="AG935" s="63"/>
      <c r="AH935" s="63"/>
      <c r="AI935" s="63"/>
      <c r="AJ935" s="63"/>
      <c r="AK935" s="63"/>
      <c r="AL935" s="63"/>
      <c r="AM935" s="63"/>
      <c r="AN935" s="63"/>
      <c r="AO935" s="63"/>
      <c r="AP935" s="63"/>
      <c r="AQ935" s="63"/>
      <c r="AR935" s="63"/>
      <c r="AS935" s="63"/>
      <c r="AT935" s="63"/>
      <c r="AU935" s="63"/>
      <c r="AV935" s="63"/>
      <c r="AW935" s="63"/>
      <c r="AX935" s="63"/>
      <c r="AY935" s="63"/>
      <c r="AZ935" s="63"/>
      <c r="BA935" s="63"/>
      <c r="BB935" s="63"/>
      <c r="BC935" s="63"/>
      <c r="BD935" s="63"/>
      <c r="BE935" s="63"/>
      <c r="BF935" s="63"/>
      <c r="BG935" s="63"/>
      <c r="BH935" s="63"/>
      <c r="BI935" s="63"/>
      <c r="BJ935" s="63"/>
      <c r="BK935" s="63"/>
      <c r="BL935" s="63"/>
      <c r="BM935" s="63"/>
      <c r="BN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4"/>
      <c r="L936" s="65"/>
      <c r="M936" s="63"/>
      <c r="N936" s="63"/>
      <c r="O936" s="63"/>
      <c r="P936" s="63"/>
      <c r="Q936" s="63"/>
      <c r="R936" s="65"/>
      <c r="S936" s="63"/>
      <c r="T936" s="63"/>
      <c r="U936" s="63"/>
      <c r="V936" s="63"/>
      <c r="W936" s="64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  <c r="AL936" s="63"/>
      <c r="AM936" s="63"/>
      <c r="AN936" s="63"/>
      <c r="AO936" s="63"/>
      <c r="AP936" s="63"/>
      <c r="AQ936" s="63"/>
      <c r="AR936" s="63"/>
      <c r="AS936" s="63"/>
      <c r="AT936" s="63"/>
      <c r="AU936" s="63"/>
      <c r="AV936" s="63"/>
      <c r="AW936" s="63"/>
      <c r="AX936" s="63"/>
      <c r="AY936" s="63"/>
      <c r="AZ936" s="63"/>
      <c r="BA936" s="63"/>
      <c r="BB936" s="63"/>
      <c r="BC936" s="63"/>
      <c r="BD936" s="63"/>
      <c r="BE936" s="63"/>
      <c r="BF936" s="63"/>
      <c r="BG936" s="63"/>
      <c r="BH936" s="63"/>
      <c r="BI936" s="63"/>
      <c r="BJ936" s="63"/>
      <c r="BK936" s="63"/>
      <c r="BL936" s="63"/>
      <c r="BM936" s="63"/>
      <c r="BN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4"/>
      <c r="L937" s="65"/>
      <c r="M937" s="63"/>
      <c r="N937" s="63"/>
      <c r="O937" s="63"/>
      <c r="P937" s="63"/>
      <c r="Q937" s="63"/>
      <c r="R937" s="65"/>
      <c r="S937" s="63"/>
      <c r="T937" s="63"/>
      <c r="U937" s="63"/>
      <c r="V937" s="63"/>
      <c r="W937" s="64"/>
      <c r="X937" s="63"/>
      <c r="Y937" s="63"/>
      <c r="Z937" s="63"/>
      <c r="AA937" s="63"/>
      <c r="AB937" s="63"/>
      <c r="AC937" s="63"/>
      <c r="AD937" s="63"/>
      <c r="AE937" s="63"/>
      <c r="AF937" s="63"/>
      <c r="AG937" s="63"/>
      <c r="AH937" s="63"/>
      <c r="AI937" s="63"/>
      <c r="AJ937" s="63"/>
      <c r="AK937" s="63"/>
      <c r="AL937" s="63"/>
      <c r="AM937" s="63"/>
      <c r="AN937" s="63"/>
      <c r="AO937" s="63"/>
      <c r="AP937" s="63"/>
      <c r="AQ937" s="63"/>
      <c r="AR937" s="63"/>
      <c r="AS937" s="63"/>
      <c r="AT937" s="63"/>
      <c r="AU937" s="63"/>
      <c r="AV937" s="63"/>
      <c r="AW937" s="63"/>
      <c r="AX937" s="63"/>
      <c r="AY937" s="63"/>
      <c r="AZ937" s="63"/>
      <c r="BA937" s="63"/>
      <c r="BB937" s="63"/>
      <c r="BC937" s="63"/>
      <c r="BD937" s="63"/>
      <c r="BE937" s="63"/>
      <c r="BF937" s="63"/>
      <c r="BG937" s="63"/>
      <c r="BH937" s="63"/>
      <c r="BI937" s="63"/>
      <c r="BJ937" s="63"/>
      <c r="BK937" s="63"/>
      <c r="BL937" s="63"/>
      <c r="BM937" s="63"/>
      <c r="BN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4"/>
      <c r="L938" s="65"/>
      <c r="M938" s="63"/>
      <c r="N938" s="63"/>
      <c r="O938" s="63"/>
      <c r="P938" s="63"/>
      <c r="Q938" s="63"/>
      <c r="R938" s="65"/>
      <c r="S938" s="63"/>
      <c r="T938" s="63"/>
      <c r="U938" s="63"/>
      <c r="V938" s="63"/>
      <c r="W938" s="64"/>
      <c r="X938" s="63"/>
      <c r="Y938" s="63"/>
      <c r="Z938" s="63"/>
      <c r="AA938" s="63"/>
      <c r="AB938" s="63"/>
      <c r="AC938" s="63"/>
      <c r="AD938" s="63"/>
      <c r="AE938" s="63"/>
      <c r="AF938" s="63"/>
      <c r="AG938" s="63"/>
      <c r="AH938" s="63"/>
      <c r="AI938" s="63"/>
      <c r="AJ938" s="63"/>
      <c r="AK938" s="63"/>
      <c r="AL938" s="63"/>
      <c r="AM938" s="63"/>
      <c r="AN938" s="63"/>
      <c r="AO938" s="63"/>
      <c r="AP938" s="63"/>
      <c r="AQ938" s="63"/>
      <c r="AR938" s="63"/>
      <c r="AS938" s="63"/>
      <c r="AT938" s="63"/>
      <c r="AU938" s="63"/>
      <c r="AV938" s="63"/>
      <c r="AW938" s="63"/>
      <c r="AX938" s="63"/>
      <c r="AY938" s="63"/>
      <c r="AZ938" s="63"/>
      <c r="BA938" s="63"/>
      <c r="BB938" s="63"/>
      <c r="BC938" s="63"/>
      <c r="BD938" s="63"/>
      <c r="BE938" s="63"/>
      <c r="BF938" s="63"/>
      <c r="BG938" s="63"/>
      <c r="BH938" s="63"/>
      <c r="BI938" s="63"/>
      <c r="BJ938" s="63"/>
      <c r="BK938" s="63"/>
      <c r="BL938" s="63"/>
      <c r="BM938" s="63"/>
      <c r="BN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4"/>
      <c r="L939" s="65"/>
      <c r="M939" s="63"/>
      <c r="N939" s="63"/>
      <c r="O939" s="63"/>
      <c r="P939" s="63"/>
      <c r="Q939" s="63"/>
      <c r="R939" s="65"/>
      <c r="S939" s="63"/>
      <c r="T939" s="63"/>
      <c r="U939" s="63"/>
      <c r="V939" s="63"/>
      <c r="W939" s="64"/>
      <c r="X939" s="63"/>
      <c r="Y939" s="63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  <c r="AL939" s="63"/>
      <c r="AM939" s="63"/>
      <c r="AN939" s="63"/>
      <c r="AO939" s="63"/>
      <c r="AP939" s="63"/>
      <c r="AQ939" s="63"/>
      <c r="AR939" s="63"/>
      <c r="AS939" s="63"/>
      <c r="AT939" s="63"/>
      <c r="AU939" s="63"/>
      <c r="AV939" s="63"/>
      <c r="AW939" s="63"/>
      <c r="AX939" s="63"/>
      <c r="AY939" s="63"/>
      <c r="AZ939" s="63"/>
      <c r="BA939" s="63"/>
      <c r="BB939" s="63"/>
      <c r="BC939" s="63"/>
      <c r="BD939" s="63"/>
      <c r="BE939" s="63"/>
      <c r="BF939" s="63"/>
      <c r="BG939" s="63"/>
      <c r="BH939" s="63"/>
      <c r="BI939" s="63"/>
      <c r="BJ939" s="63"/>
      <c r="BK939" s="63"/>
      <c r="BL939" s="63"/>
      <c r="BM939" s="63"/>
      <c r="BN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4"/>
      <c r="L940" s="65"/>
      <c r="M940" s="63"/>
      <c r="N940" s="63"/>
      <c r="O940" s="63"/>
      <c r="P940" s="63"/>
      <c r="Q940" s="63"/>
      <c r="R940" s="65"/>
      <c r="S940" s="63"/>
      <c r="T940" s="63"/>
      <c r="U940" s="63"/>
      <c r="V940" s="63"/>
      <c r="W940" s="64"/>
      <c r="X940" s="63"/>
      <c r="Y940" s="63"/>
      <c r="Z940" s="63"/>
      <c r="AA940" s="63"/>
      <c r="AB940" s="63"/>
      <c r="AC940" s="63"/>
      <c r="AD940" s="63"/>
      <c r="AE940" s="63"/>
      <c r="AF940" s="63"/>
      <c r="AG940" s="63"/>
      <c r="AH940" s="63"/>
      <c r="AI940" s="63"/>
      <c r="AJ940" s="63"/>
      <c r="AK940" s="63"/>
      <c r="AL940" s="63"/>
      <c r="AM940" s="63"/>
      <c r="AN940" s="63"/>
      <c r="AO940" s="63"/>
      <c r="AP940" s="63"/>
      <c r="AQ940" s="63"/>
      <c r="AR940" s="63"/>
      <c r="AS940" s="63"/>
      <c r="AT940" s="63"/>
      <c r="AU940" s="63"/>
      <c r="AV940" s="63"/>
      <c r="AW940" s="63"/>
      <c r="AX940" s="63"/>
      <c r="AY940" s="63"/>
      <c r="AZ940" s="63"/>
      <c r="BA940" s="63"/>
      <c r="BB940" s="63"/>
      <c r="BC940" s="63"/>
      <c r="BD940" s="63"/>
      <c r="BE940" s="63"/>
      <c r="BF940" s="63"/>
      <c r="BG940" s="63"/>
      <c r="BH940" s="63"/>
      <c r="BI940" s="63"/>
      <c r="BJ940" s="63"/>
      <c r="BK940" s="63"/>
      <c r="BL940" s="63"/>
      <c r="BM940" s="63"/>
      <c r="BN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4"/>
      <c r="L941" s="65"/>
      <c r="M941" s="63"/>
      <c r="N941" s="63"/>
      <c r="O941" s="63"/>
      <c r="P941" s="63"/>
      <c r="Q941" s="63"/>
      <c r="R941" s="65"/>
      <c r="S941" s="63"/>
      <c r="T941" s="63"/>
      <c r="U941" s="63"/>
      <c r="V941" s="63"/>
      <c r="W941" s="64"/>
      <c r="X941" s="63"/>
      <c r="Y941" s="63"/>
      <c r="Z941" s="63"/>
      <c r="AA941" s="63"/>
      <c r="AB941" s="63"/>
      <c r="AC941" s="63"/>
      <c r="AD941" s="63"/>
      <c r="AE941" s="63"/>
      <c r="AF941" s="63"/>
      <c r="AG941" s="63"/>
      <c r="AH941" s="63"/>
      <c r="AI941" s="63"/>
      <c r="AJ941" s="63"/>
      <c r="AK941" s="63"/>
      <c r="AL941" s="63"/>
      <c r="AM941" s="63"/>
      <c r="AN941" s="63"/>
      <c r="AO941" s="63"/>
      <c r="AP941" s="63"/>
      <c r="AQ941" s="63"/>
      <c r="AR941" s="63"/>
      <c r="AS941" s="63"/>
      <c r="AT941" s="63"/>
      <c r="AU941" s="63"/>
      <c r="AV941" s="63"/>
      <c r="AW941" s="63"/>
      <c r="AX941" s="63"/>
      <c r="AY941" s="63"/>
      <c r="AZ941" s="63"/>
      <c r="BA941" s="63"/>
      <c r="BB941" s="63"/>
      <c r="BC941" s="63"/>
      <c r="BD941" s="63"/>
      <c r="BE941" s="63"/>
      <c r="BF941" s="63"/>
      <c r="BG941" s="63"/>
      <c r="BH941" s="63"/>
      <c r="BI941" s="63"/>
      <c r="BJ941" s="63"/>
      <c r="BK941" s="63"/>
      <c r="BL941" s="63"/>
      <c r="BM941" s="63"/>
      <c r="BN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4"/>
      <c r="L942" s="65"/>
      <c r="M942" s="63"/>
      <c r="N942" s="63"/>
      <c r="O942" s="63"/>
      <c r="P942" s="63"/>
      <c r="Q942" s="63"/>
      <c r="R942" s="65"/>
      <c r="S942" s="63"/>
      <c r="T942" s="63"/>
      <c r="U942" s="63"/>
      <c r="V942" s="63"/>
      <c r="W942" s="64"/>
      <c r="X942" s="63"/>
      <c r="Y942" s="63"/>
      <c r="Z942" s="63"/>
      <c r="AA942" s="63"/>
      <c r="AB942" s="63"/>
      <c r="AC942" s="63"/>
      <c r="AD942" s="63"/>
      <c r="AE942" s="63"/>
      <c r="AF942" s="63"/>
      <c r="AG942" s="63"/>
      <c r="AH942" s="63"/>
      <c r="AI942" s="63"/>
      <c r="AJ942" s="63"/>
      <c r="AK942" s="63"/>
      <c r="AL942" s="63"/>
      <c r="AM942" s="63"/>
      <c r="AN942" s="63"/>
      <c r="AO942" s="63"/>
      <c r="AP942" s="63"/>
      <c r="AQ942" s="63"/>
      <c r="AR942" s="63"/>
      <c r="AS942" s="63"/>
      <c r="AT942" s="63"/>
      <c r="AU942" s="63"/>
      <c r="AV942" s="63"/>
      <c r="AW942" s="63"/>
      <c r="AX942" s="63"/>
      <c r="AY942" s="63"/>
      <c r="AZ942" s="63"/>
      <c r="BA942" s="63"/>
      <c r="BB942" s="63"/>
      <c r="BC942" s="63"/>
      <c r="BD942" s="63"/>
      <c r="BE942" s="63"/>
      <c r="BF942" s="63"/>
      <c r="BG942" s="63"/>
      <c r="BH942" s="63"/>
      <c r="BI942" s="63"/>
      <c r="BJ942" s="63"/>
      <c r="BK942" s="63"/>
      <c r="BL942" s="63"/>
      <c r="BM942" s="63"/>
      <c r="BN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4"/>
      <c r="L943" s="65"/>
      <c r="M943" s="63"/>
      <c r="N943" s="63"/>
      <c r="O943" s="63"/>
      <c r="P943" s="63"/>
      <c r="Q943" s="63"/>
      <c r="R943" s="65"/>
      <c r="S943" s="63"/>
      <c r="T943" s="63"/>
      <c r="U943" s="63"/>
      <c r="V943" s="63"/>
      <c r="W943" s="64"/>
      <c r="X943" s="63"/>
      <c r="Y943" s="63"/>
      <c r="Z943" s="63"/>
      <c r="AA943" s="63"/>
      <c r="AB943" s="63"/>
      <c r="AC943" s="63"/>
      <c r="AD943" s="63"/>
      <c r="AE943" s="63"/>
      <c r="AF943" s="63"/>
      <c r="AG943" s="63"/>
      <c r="AH943" s="63"/>
      <c r="AI943" s="63"/>
      <c r="AJ943" s="63"/>
      <c r="AK943" s="63"/>
      <c r="AL943" s="63"/>
      <c r="AM943" s="63"/>
      <c r="AN943" s="63"/>
      <c r="AO943" s="63"/>
      <c r="AP943" s="63"/>
      <c r="AQ943" s="63"/>
      <c r="AR943" s="63"/>
      <c r="AS943" s="63"/>
      <c r="AT943" s="63"/>
      <c r="AU943" s="63"/>
      <c r="AV943" s="63"/>
      <c r="AW943" s="63"/>
      <c r="AX943" s="63"/>
      <c r="AY943" s="63"/>
      <c r="AZ943" s="63"/>
      <c r="BA943" s="63"/>
      <c r="BB943" s="63"/>
      <c r="BC943" s="63"/>
      <c r="BD943" s="63"/>
      <c r="BE943" s="63"/>
      <c r="BF943" s="63"/>
      <c r="BG943" s="63"/>
      <c r="BH943" s="63"/>
      <c r="BI943" s="63"/>
      <c r="BJ943" s="63"/>
      <c r="BK943" s="63"/>
      <c r="BL943" s="63"/>
      <c r="BM943" s="63"/>
      <c r="BN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4"/>
      <c r="L944" s="65"/>
      <c r="M944" s="63"/>
      <c r="N944" s="63"/>
      <c r="O944" s="63"/>
      <c r="P944" s="63"/>
      <c r="Q944" s="63"/>
      <c r="R944" s="65"/>
      <c r="S944" s="63"/>
      <c r="T944" s="63"/>
      <c r="U944" s="63"/>
      <c r="V944" s="63"/>
      <c r="W944" s="64"/>
      <c r="X944" s="63"/>
      <c r="Y944" s="63"/>
      <c r="Z944" s="63"/>
      <c r="AA944" s="63"/>
      <c r="AB944" s="63"/>
      <c r="AC944" s="63"/>
      <c r="AD944" s="63"/>
      <c r="AE944" s="63"/>
      <c r="AF944" s="63"/>
      <c r="AG944" s="63"/>
      <c r="AH944" s="63"/>
      <c r="AI944" s="63"/>
      <c r="AJ944" s="63"/>
      <c r="AK944" s="63"/>
      <c r="AL944" s="63"/>
      <c r="AM944" s="63"/>
      <c r="AN944" s="63"/>
      <c r="AO944" s="63"/>
      <c r="AP944" s="63"/>
      <c r="AQ944" s="63"/>
      <c r="AR944" s="63"/>
      <c r="AS944" s="63"/>
      <c r="AT944" s="63"/>
      <c r="AU944" s="63"/>
      <c r="AV944" s="63"/>
      <c r="AW944" s="63"/>
      <c r="AX944" s="63"/>
      <c r="AY944" s="63"/>
      <c r="AZ944" s="63"/>
      <c r="BA944" s="63"/>
      <c r="BB944" s="63"/>
      <c r="BC944" s="63"/>
      <c r="BD944" s="63"/>
      <c r="BE944" s="63"/>
      <c r="BF944" s="63"/>
      <c r="BG944" s="63"/>
      <c r="BH944" s="63"/>
      <c r="BI944" s="63"/>
      <c r="BJ944" s="63"/>
      <c r="BK944" s="63"/>
      <c r="BL944" s="63"/>
      <c r="BM944" s="63"/>
      <c r="BN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4"/>
      <c r="L945" s="65"/>
      <c r="M945" s="63"/>
      <c r="N945" s="63"/>
      <c r="O945" s="63"/>
      <c r="P945" s="63"/>
      <c r="Q945" s="63"/>
      <c r="R945" s="65"/>
      <c r="S945" s="63"/>
      <c r="T945" s="63"/>
      <c r="U945" s="63"/>
      <c r="V945" s="63"/>
      <c r="W945" s="64"/>
      <c r="X945" s="63"/>
      <c r="Y945" s="63"/>
      <c r="Z945" s="63"/>
      <c r="AA945" s="63"/>
      <c r="AB945" s="63"/>
      <c r="AC945" s="63"/>
      <c r="AD945" s="63"/>
      <c r="AE945" s="63"/>
      <c r="AF945" s="63"/>
      <c r="AG945" s="63"/>
      <c r="AH945" s="63"/>
      <c r="AI945" s="63"/>
      <c r="AJ945" s="63"/>
      <c r="AK945" s="63"/>
      <c r="AL945" s="63"/>
      <c r="AM945" s="63"/>
      <c r="AN945" s="63"/>
      <c r="AO945" s="63"/>
      <c r="AP945" s="63"/>
      <c r="AQ945" s="63"/>
      <c r="AR945" s="63"/>
      <c r="AS945" s="63"/>
      <c r="AT945" s="63"/>
      <c r="AU945" s="63"/>
      <c r="AV945" s="63"/>
      <c r="AW945" s="63"/>
      <c r="AX945" s="63"/>
      <c r="AY945" s="63"/>
      <c r="AZ945" s="63"/>
      <c r="BA945" s="63"/>
      <c r="BB945" s="63"/>
      <c r="BC945" s="63"/>
      <c r="BD945" s="63"/>
      <c r="BE945" s="63"/>
      <c r="BF945" s="63"/>
      <c r="BG945" s="63"/>
      <c r="BH945" s="63"/>
      <c r="BI945" s="63"/>
      <c r="BJ945" s="63"/>
      <c r="BK945" s="63"/>
      <c r="BL945" s="63"/>
      <c r="BM945" s="63"/>
      <c r="BN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4"/>
      <c r="L946" s="65"/>
      <c r="M946" s="63"/>
      <c r="N946" s="63"/>
      <c r="O946" s="63"/>
      <c r="P946" s="63"/>
      <c r="Q946" s="63"/>
      <c r="R946" s="65"/>
      <c r="S946" s="63"/>
      <c r="T946" s="63"/>
      <c r="U946" s="63"/>
      <c r="V946" s="63"/>
      <c r="W946" s="64"/>
      <c r="X946" s="63"/>
      <c r="Y946" s="63"/>
      <c r="Z946" s="63"/>
      <c r="AA946" s="63"/>
      <c r="AB946" s="63"/>
      <c r="AC946" s="63"/>
      <c r="AD946" s="63"/>
      <c r="AE946" s="63"/>
      <c r="AF946" s="63"/>
      <c r="AG946" s="63"/>
      <c r="AH946" s="63"/>
      <c r="AI946" s="63"/>
      <c r="AJ946" s="63"/>
      <c r="AK946" s="63"/>
      <c r="AL946" s="63"/>
      <c r="AM946" s="63"/>
      <c r="AN946" s="63"/>
      <c r="AO946" s="63"/>
      <c r="AP946" s="63"/>
      <c r="AQ946" s="63"/>
      <c r="AR946" s="63"/>
      <c r="AS946" s="63"/>
      <c r="AT946" s="63"/>
      <c r="AU946" s="63"/>
      <c r="AV946" s="63"/>
      <c r="AW946" s="63"/>
      <c r="AX946" s="63"/>
      <c r="AY946" s="63"/>
      <c r="AZ946" s="63"/>
      <c r="BA946" s="63"/>
      <c r="BB946" s="63"/>
      <c r="BC946" s="63"/>
      <c r="BD946" s="63"/>
      <c r="BE946" s="63"/>
      <c r="BF946" s="63"/>
      <c r="BG946" s="63"/>
      <c r="BH946" s="63"/>
      <c r="BI946" s="63"/>
      <c r="BJ946" s="63"/>
      <c r="BK946" s="63"/>
      <c r="BL946" s="63"/>
      <c r="BM946" s="63"/>
      <c r="BN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4"/>
      <c r="L947" s="65"/>
      <c r="M947" s="63"/>
      <c r="N947" s="63"/>
      <c r="O947" s="63"/>
      <c r="P947" s="63"/>
      <c r="Q947" s="63"/>
      <c r="R947" s="65"/>
      <c r="S947" s="63"/>
      <c r="T947" s="63"/>
      <c r="U947" s="63"/>
      <c r="V947" s="63"/>
      <c r="W947" s="64"/>
      <c r="X947" s="63"/>
      <c r="Y947" s="63"/>
      <c r="Z947" s="63"/>
      <c r="AA947" s="63"/>
      <c r="AB947" s="63"/>
      <c r="AC947" s="63"/>
      <c r="AD947" s="63"/>
      <c r="AE947" s="63"/>
      <c r="AF947" s="63"/>
      <c r="AG947" s="63"/>
      <c r="AH947" s="63"/>
      <c r="AI947" s="63"/>
      <c r="AJ947" s="63"/>
      <c r="AK947" s="63"/>
      <c r="AL947" s="63"/>
      <c r="AM947" s="63"/>
      <c r="AN947" s="63"/>
      <c r="AO947" s="63"/>
      <c r="AP947" s="63"/>
      <c r="AQ947" s="63"/>
      <c r="AR947" s="63"/>
      <c r="AS947" s="63"/>
      <c r="AT947" s="63"/>
      <c r="AU947" s="63"/>
      <c r="AV947" s="63"/>
      <c r="AW947" s="63"/>
      <c r="AX947" s="63"/>
      <c r="AY947" s="63"/>
      <c r="AZ947" s="63"/>
      <c r="BA947" s="63"/>
      <c r="BB947" s="63"/>
      <c r="BC947" s="63"/>
      <c r="BD947" s="63"/>
      <c r="BE947" s="63"/>
      <c r="BF947" s="63"/>
      <c r="BG947" s="63"/>
      <c r="BH947" s="63"/>
      <c r="BI947" s="63"/>
      <c r="BJ947" s="63"/>
      <c r="BK947" s="63"/>
      <c r="BL947" s="63"/>
      <c r="BM947" s="63"/>
      <c r="BN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4"/>
      <c r="L948" s="65"/>
      <c r="M948" s="63"/>
      <c r="N948" s="63"/>
      <c r="O948" s="63"/>
      <c r="P948" s="63"/>
      <c r="Q948" s="63"/>
      <c r="R948" s="65"/>
      <c r="S948" s="63"/>
      <c r="T948" s="63"/>
      <c r="U948" s="63"/>
      <c r="V948" s="63"/>
      <c r="W948" s="64"/>
      <c r="X948" s="63"/>
      <c r="Y948" s="63"/>
      <c r="Z948" s="63"/>
      <c r="AA948" s="63"/>
      <c r="AB948" s="63"/>
      <c r="AC948" s="63"/>
      <c r="AD948" s="63"/>
      <c r="AE948" s="63"/>
      <c r="AF948" s="63"/>
      <c r="AG948" s="63"/>
      <c r="AH948" s="63"/>
      <c r="AI948" s="63"/>
      <c r="AJ948" s="63"/>
      <c r="AK948" s="63"/>
      <c r="AL948" s="63"/>
      <c r="AM948" s="63"/>
      <c r="AN948" s="63"/>
      <c r="AO948" s="63"/>
      <c r="AP948" s="63"/>
      <c r="AQ948" s="63"/>
      <c r="AR948" s="63"/>
      <c r="AS948" s="63"/>
      <c r="AT948" s="63"/>
      <c r="AU948" s="63"/>
      <c r="AV948" s="63"/>
      <c r="AW948" s="63"/>
      <c r="AX948" s="63"/>
      <c r="AY948" s="63"/>
      <c r="AZ948" s="63"/>
      <c r="BA948" s="63"/>
      <c r="BB948" s="63"/>
      <c r="BC948" s="63"/>
      <c r="BD948" s="63"/>
      <c r="BE948" s="63"/>
      <c r="BF948" s="63"/>
      <c r="BG948" s="63"/>
      <c r="BH948" s="63"/>
      <c r="BI948" s="63"/>
      <c r="BJ948" s="63"/>
      <c r="BK948" s="63"/>
      <c r="BL948" s="63"/>
      <c r="BM948" s="63"/>
      <c r="BN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4"/>
      <c r="L949" s="65"/>
      <c r="M949" s="63"/>
      <c r="N949" s="63"/>
      <c r="O949" s="63"/>
      <c r="P949" s="63"/>
      <c r="Q949" s="63"/>
      <c r="R949" s="65"/>
      <c r="S949" s="63"/>
      <c r="T949" s="63"/>
      <c r="U949" s="63"/>
      <c r="V949" s="63"/>
      <c r="W949" s="64"/>
      <c r="X949" s="63"/>
      <c r="Y949" s="63"/>
      <c r="Z949" s="63"/>
      <c r="AA949" s="63"/>
      <c r="AB949" s="63"/>
      <c r="AC949" s="63"/>
      <c r="AD949" s="63"/>
      <c r="AE949" s="63"/>
      <c r="AF949" s="63"/>
      <c r="AG949" s="63"/>
      <c r="AH949" s="63"/>
      <c r="AI949" s="63"/>
      <c r="AJ949" s="63"/>
      <c r="AK949" s="63"/>
      <c r="AL949" s="63"/>
      <c r="AM949" s="63"/>
      <c r="AN949" s="63"/>
      <c r="AO949" s="63"/>
      <c r="AP949" s="63"/>
      <c r="AQ949" s="63"/>
      <c r="AR949" s="63"/>
      <c r="AS949" s="63"/>
      <c r="AT949" s="63"/>
      <c r="AU949" s="63"/>
      <c r="AV949" s="63"/>
      <c r="AW949" s="63"/>
      <c r="AX949" s="63"/>
      <c r="AY949" s="63"/>
      <c r="AZ949" s="63"/>
      <c r="BA949" s="63"/>
      <c r="BB949" s="63"/>
      <c r="BC949" s="63"/>
      <c r="BD949" s="63"/>
      <c r="BE949" s="63"/>
      <c r="BF949" s="63"/>
      <c r="BG949" s="63"/>
      <c r="BH949" s="63"/>
      <c r="BI949" s="63"/>
      <c r="BJ949" s="63"/>
      <c r="BK949" s="63"/>
      <c r="BL949" s="63"/>
      <c r="BM949" s="63"/>
      <c r="BN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4"/>
      <c r="L950" s="65"/>
      <c r="M950" s="63"/>
      <c r="N950" s="63"/>
      <c r="O950" s="63"/>
      <c r="P950" s="63"/>
      <c r="Q950" s="63"/>
      <c r="R950" s="65"/>
      <c r="S950" s="63"/>
      <c r="T950" s="63"/>
      <c r="U950" s="63"/>
      <c r="V950" s="63"/>
      <c r="W950" s="64"/>
      <c r="X950" s="63"/>
      <c r="Y950" s="63"/>
      <c r="Z950" s="63"/>
      <c r="AA950" s="63"/>
      <c r="AB950" s="63"/>
      <c r="AC950" s="63"/>
      <c r="AD950" s="63"/>
      <c r="AE950" s="63"/>
      <c r="AF950" s="63"/>
      <c r="AG950" s="63"/>
      <c r="AH950" s="63"/>
      <c r="AI950" s="63"/>
      <c r="AJ950" s="63"/>
      <c r="AK950" s="63"/>
      <c r="AL950" s="63"/>
      <c r="AM950" s="63"/>
      <c r="AN950" s="63"/>
      <c r="AO950" s="63"/>
      <c r="AP950" s="63"/>
      <c r="AQ950" s="63"/>
      <c r="AR950" s="63"/>
      <c r="AS950" s="63"/>
      <c r="AT950" s="63"/>
      <c r="AU950" s="63"/>
      <c r="AV950" s="63"/>
      <c r="AW950" s="63"/>
      <c r="AX950" s="63"/>
      <c r="AY950" s="63"/>
      <c r="AZ950" s="63"/>
      <c r="BA950" s="63"/>
      <c r="BB950" s="63"/>
      <c r="BC950" s="63"/>
      <c r="BD950" s="63"/>
      <c r="BE950" s="63"/>
      <c r="BF950" s="63"/>
      <c r="BG950" s="63"/>
      <c r="BH950" s="63"/>
      <c r="BI950" s="63"/>
      <c r="BJ950" s="63"/>
      <c r="BK950" s="63"/>
      <c r="BL950" s="63"/>
      <c r="BM950" s="63"/>
      <c r="BN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4"/>
      <c r="L951" s="65"/>
      <c r="M951" s="63"/>
      <c r="N951" s="63"/>
      <c r="O951" s="63"/>
      <c r="P951" s="63"/>
      <c r="Q951" s="63"/>
      <c r="R951" s="65"/>
      <c r="S951" s="63"/>
      <c r="T951" s="63"/>
      <c r="U951" s="63"/>
      <c r="V951" s="63"/>
      <c r="W951" s="64"/>
      <c r="X951" s="63"/>
      <c r="Y951" s="63"/>
      <c r="Z951" s="63"/>
      <c r="AA951" s="63"/>
      <c r="AB951" s="63"/>
      <c r="AC951" s="63"/>
      <c r="AD951" s="63"/>
      <c r="AE951" s="63"/>
      <c r="AF951" s="63"/>
      <c r="AG951" s="63"/>
      <c r="AH951" s="63"/>
      <c r="AI951" s="63"/>
      <c r="AJ951" s="63"/>
      <c r="AK951" s="63"/>
      <c r="AL951" s="63"/>
      <c r="AM951" s="63"/>
      <c r="AN951" s="63"/>
      <c r="AO951" s="63"/>
      <c r="AP951" s="63"/>
      <c r="AQ951" s="63"/>
      <c r="AR951" s="63"/>
      <c r="AS951" s="63"/>
      <c r="AT951" s="63"/>
      <c r="AU951" s="63"/>
      <c r="AV951" s="63"/>
      <c r="AW951" s="63"/>
      <c r="AX951" s="63"/>
      <c r="AY951" s="63"/>
      <c r="AZ951" s="63"/>
      <c r="BA951" s="63"/>
      <c r="BB951" s="63"/>
      <c r="BC951" s="63"/>
      <c r="BD951" s="63"/>
      <c r="BE951" s="63"/>
      <c r="BF951" s="63"/>
      <c r="BG951" s="63"/>
      <c r="BH951" s="63"/>
      <c r="BI951" s="63"/>
      <c r="BJ951" s="63"/>
      <c r="BK951" s="63"/>
      <c r="BL951" s="63"/>
      <c r="BM951" s="63"/>
      <c r="BN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4"/>
      <c r="L952" s="65"/>
      <c r="M952" s="63"/>
      <c r="N952" s="63"/>
      <c r="O952" s="63"/>
      <c r="P952" s="63"/>
      <c r="Q952" s="63"/>
      <c r="R952" s="65"/>
      <c r="S952" s="63"/>
      <c r="T952" s="63"/>
      <c r="U952" s="63"/>
      <c r="V952" s="63"/>
      <c r="W952" s="64"/>
      <c r="X952" s="63"/>
      <c r="Y952" s="63"/>
      <c r="Z952" s="63"/>
      <c r="AA952" s="63"/>
      <c r="AB952" s="63"/>
      <c r="AC952" s="63"/>
      <c r="AD952" s="63"/>
      <c r="AE952" s="63"/>
      <c r="AF952" s="63"/>
      <c r="AG952" s="63"/>
      <c r="AH952" s="63"/>
      <c r="AI952" s="63"/>
      <c r="AJ952" s="63"/>
      <c r="AK952" s="63"/>
      <c r="AL952" s="63"/>
      <c r="AM952" s="63"/>
      <c r="AN952" s="63"/>
      <c r="AO952" s="63"/>
      <c r="AP952" s="63"/>
      <c r="AQ952" s="63"/>
      <c r="AR952" s="63"/>
      <c r="AS952" s="63"/>
      <c r="AT952" s="63"/>
      <c r="AU952" s="63"/>
      <c r="AV952" s="63"/>
      <c r="AW952" s="63"/>
      <c r="AX952" s="63"/>
      <c r="AY952" s="63"/>
      <c r="AZ952" s="63"/>
      <c r="BA952" s="63"/>
      <c r="BB952" s="63"/>
      <c r="BC952" s="63"/>
      <c r="BD952" s="63"/>
      <c r="BE952" s="63"/>
      <c r="BF952" s="63"/>
      <c r="BG952" s="63"/>
      <c r="BH952" s="63"/>
      <c r="BI952" s="63"/>
      <c r="BJ952" s="63"/>
      <c r="BK952" s="63"/>
      <c r="BL952" s="63"/>
      <c r="BM952" s="63"/>
      <c r="BN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4"/>
      <c r="L953" s="65"/>
      <c r="M953" s="63"/>
      <c r="N953" s="63"/>
      <c r="O953" s="63"/>
      <c r="P953" s="63"/>
      <c r="Q953" s="63"/>
      <c r="R953" s="65"/>
      <c r="S953" s="63"/>
      <c r="T953" s="63"/>
      <c r="U953" s="63"/>
      <c r="V953" s="63"/>
      <c r="W953" s="64"/>
      <c r="X953" s="63"/>
      <c r="Y953" s="63"/>
      <c r="Z953" s="63"/>
      <c r="AA953" s="63"/>
      <c r="AB953" s="63"/>
      <c r="AC953" s="63"/>
      <c r="AD953" s="63"/>
      <c r="AE953" s="63"/>
      <c r="AF953" s="63"/>
      <c r="AG953" s="63"/>
      <c r="AH953" s="63"/>
      <c r="AI953" s="63"/>
      <c r="AJ953" s="63"/>
      <c r="AK953" s="63"/>
      <c r="AL953" s="63"/>
      <c r="AM953" s="63"/>
      <c r="AN953" s="63"/>
      <c r="AO953" s="63"/>
      <c r="AP953" s="63"/>
      <c r="AQ953" s="63"/>
      <c r="AR953" s="63"/>
      <c r="AS953" s="63"/>
      <c r="AT953" s="63"/>
      <c r="AU953" s="63"/>
      <c r="AV953" s="63"/>
      <c r="AW953" s="63"/>
      <c r="AX953" s="63"/>
      <c r="AY953" s="63"/>
      <c r="AZ953" s="63"/>
      <c r="BA953" s="63"/>
      <c r="BB953" s="63"/>
      <c r="BC953" s="63"/>
      <c r="BD953" s="63"/>
      <c r="BE953" s="63"/>
      <c r="BF953" s="63"/>
      <c r="BG953" s="63"/>
      <c r="BH953" s="63"/>
      <c r="BI953" s="63"/>
      <c r="BJ953" s="63"/>
      <c r="BK953" s="63"/>
      <c r="BL953" s="63"/>
      <c r="BM953" s="63"/>
      <c r="BN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4"/>
      <c r="L954" s="65"/>
      <c r="M954" s="63"/>
      <c r="N954" s="63"/>
      <c r="O954" s="63"/>
      <c r="P954" s="63"/>
      <c r="Q954" s="63"/>
      <c r="R954" s="65"/>
      <c r="S954" s="63"/>
      <c r="T954" s="63"/>
      <c r="U954" s="63"/>
      <c r="V954" s="63"/>
      <c r="W954" s="64"/>
      <c r="X954" s="63"/>
      <c r="Y954" s="63"/>
      <c r="Z954" s="63"/>
      <c r="AA954" s="63"/>
      <c r="AB954" s="63"/>
      <c r="AC954" s="63"/>
      <c r="AD954" s="63"/>
      <c r="AE954" s="63"/>
      <c r="AF954" s="63"/>
      <c r="AG954" s="63"/>
      <c r="AH954" s="63"/>
      <c r="AI954" s="63"/>
      <c r="AJ954" s="63"/>
      <c r="AK954" s="63"/>
      <c r="AL954" s="63"/>
      <c r="AM954" s="63"/>
      <c r="AN954" s="63"/>
      <c r="AO954" s="63"/>
      <c r="AP954" s="63"/>
      <c r="AQ954" s="63"/>
      <c r="AR954" s="63"/>
      <c r="AS954" s="63"/>
      <c r="AT954" s="63"/>
      <c r="AU954" s="63"/>
      <c r="AV954" s="63"/>
      <c r="AW954" s="63"/>
      <c r="AX954" s="63"/>
      <c r="AY954" s="63"/>
      <c r="AZ954" s="63"/>
      <c r="BA954" s="63"/>
      <c r="BB954" s="63"/>
      <c r="BC954" s="63"/>
      <c r="BD954" s="63"/>
      <c r="BE954" s="63"/>
      <c r="BF954" s="63"/>
      <c r="BG954" s="63"/>
      <c r="BH954" s="63"/>
      <c r="BI954" s="63"/>
      <c r="BJ954" s="63"/>
      <c r="BK954" s="63"/>
      <c r="BL954" s="63"/>
      <c r="BM954" s="63"/>
      <c r="BN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4"/>
      <c r="L955" s="65"/>
      <c r="M955" s="63"/>
      <c r="N955" s="63"/>
      <c r="O955" s="63"/>
      <c r="P955" s="63"/>
      <c r="Q955" s="63"/>
      <c r="R955" s="65"/>
      <c r="S955" s="63"/>
      <c r="T955" s="63"/>
      <c r="U955" s="63"/>
      <c r="V955" s="63"/>
      <c r="W955" s="64"/>
      <c r="X955" s="63"/>
      <c r="Y955" s="63"/>
      <c r="Z955" s="63"/>
      <c r="AA955" s="63"/>
      <c r="AB955" s="63"/>
      <c r="AC955" s="63"/>
      <c r="AD955" s="63"/>
      <c r="AE955" s="63"/>
      <c r="AF955" s="63"/>
      <c r="AG955" s="63"/>
      <c r="AH955" s="63"/>
      <c r="AI955" s="63"/>
      <c r="AJ955" s="63"/>
      <c r="AK955" s="63"/>
      <c r="AL955" s="63"/>
      <c r="AM955" s="63"/>
      <c r="AN955" s="63"/>
      <c r="AO955" s="63"/>
      <c r="AP955" s="63"/>
      <c r="AQ955" s="63"/>
      <c r="AR955" s="63"/>
      <c r="AS955" s="63"/>
      <c r="AT955" s="63"/>
      <c r="AU955" s="63"/>
      <c r="AV955" s="63"/>
      <c r="AW955" s="63"/>
      <c r="AX955" s="63"/>
      <c r="AY955" s="63"/>
      <c r="AZ955" s="63"/>
      <c r="BA955" s="63"/>
      <c r="BB955" s="63"/>
      <c r="BC955" s="63"/>
      <c r="BD955" s="63"/>
      <c r="BE955" s="63"/>
      <c r="BF955" s="63"/>
      <c r="BG955" s="63"/>
      <c r="BH955" s="63"/>
      <c r="BI955" s="63"/>
      <c r="BJ955" s="63"/>
      <c r="BK955" s="63"/>
      <c r="BL955" s="63"/>
      <c r="BM955" s="63"/>
      <c r="BN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4"/>
      <c r="L956" s="65"/>
      <c r="M956" s="63"/>
      <c r="N956" s="63"/>
      <c r="O956" s="63"/>
      <c r="P956" s="63"/>
      <c r="Q956" s="63"/>
      <c r="R956" s="65"/>
      <c r="S956" s="63"/>
      <c r="T956" s="63"/>
      <c r="U956" s="63"/>
      <c r="V956" s="63"/>
      <c r="W956" s="64"/>
      <c r="X956" s="63"/>
      <c r="Y956" s="63"/>
      <c r="Z956" s="63"/>
      <c r="AA956" s="63"/>
      <c r="AB956" s="63"/>
      <c r="AC956" s="63"/>
      <c r="AD956" s="63"/>
      <c r="AE956" s="63"/>
      <c r="AF956" s="63"/>
      <c r="AG956" s="63"/>
      <c r="AH956" s="63"/>
      <c r="AI956" s="63"/>
      <c r="AJ956" s="63"/>
      <c r="AK956" s="63"/>
      <c r="AL956" s="63"/>
      <c r="AM956" s="63"/>
      <c r="AN956" s="63"/>
      <c r="AO956" s="63"/>
      <c r="AP956" s="63"/>
      <c r="AQ956" s="63"/>
      <c r="AR956" s="63"/>
      <c r="AS956" s="63"/>
      <c r="AT956" s="63"/>
      <c r="AU956" s="63"/>
      <c r="AV956" s="63"/>
      <c r="AW956" s="63"/>
      <c r="AX956" s="63"/>
      <c r="AY956" s="63"/>
      <c r="AZ956" s="63"/>
      <c r="BA956" s="63"/>
      <c r="BB956" s="63"/>
      <c r="BC956" s="63"/>
      <c r="BD956" s="63"/>
      <c r="BE956" s="63"/>
      <c r="BF956" s="63"/>
      <c r="BG956" s="63"/>
      <c r="BH956" s="63"/>
      <c r="BI956" s="63"/>
      <c r="BJ956" s="63"/>
      <c r="BK956" s="63"/>
      <c r="BL956" s="63"/>
      <c r="BM956" s="63"/>
      <c r="BN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4"/>
      <c r="L957" s="65"/>
      <c r="M957" s="63"/>
      <c r="N957" s="63"/>
      <c r="O957" s="63"/>
      <c r="P957" s="63"/>
      <c r="Q957" s="63"/>
      <c r="R957" s="65"/>
      <c r="S957" s="63"/>
      <c r="T957" s="63"/>
      <c r="U957" s="63"/>
      <c r="V957" s="63"/>
      <c r="W957" s="64"/>
      <c r="X957" s="63"/>
      <c r="Y957" s="63"/>
      <c r="Z957" s="63"/>
      <c r="AA957" s="63"/>
      <c r="AB957" s="63"/>
      <c r="AC957" s="63"/>
      <c r="AD957" s="63"/>
      <c r="AE957" s="63"/>
      <c r="AF957" s="63"/>
      <c r="AG957" s="63"/>
      <c r="AH957" s="63"/>
      <c r="AI957" s="63"/>
      <c r="AJ957" s="63"/>
      <c r="AK957" s="63"/>
      <c r="AL957" s="63"/>
      <c r="AM957" s="63"/>
      <c r="AN957" s="63"/>
      <c r="AO957" s="63"/>
      <c r="AP957" s="63"/>
      <c r="AQ957" s="63"/>
      <c r="AR957" s="63"/>
      <c r="AS957" s="63"/>
      <c r="AT957" s="63"/>
      <c r="AU957" s="63"/>
      <c r="AV957" s="63"/>
      <c r="AW957" s="63"/>
      <c r="AX957" s="63"/>
      <c r="AY957" s="63"/>
      <c r="AZ957" s="63"/>
      <c r="BA957" s="63"/>
      <c r="BB957" s="63"/>
      <c r="BC957" s="63"/>
      <c r="BD957" s="63"/>
      <c r="BE957" s="63"/>
      <c r="BF957" s="63"/>
      <c r="BG957" s="63"/>
      <c r="BH957" s="63"/>
      <c r="BI957" s="63"/>
      <c r="BJ957" s="63"/>
      <c r="BK957" s="63"/>
      <c r="BL957" s="63"/>
      <c r="BM957" s="63"/>
      <c r="BN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4"/>
      <c r="L958" s="65"/>
      <c r="M958" s="63"/>
      <c r="N958" s="63"/>
      <c r="O958" s="63"/>
      <c r="P958" s="63"/>
      <c r="Q958" s="63"/>
      <c r="R958" s="65"/>
      <c r="S958" s="63"/>
      <c r="T958" s="63"/>
      <c r="U958" s="63"/>
      <c r="V958" s="63"/>
      <c r="W958" s="64"/>
      <c r="X958" s="63"/>
      <c r="Y958" s="63"/>
      <c r="Z958" s="63"/>
      <c r="AA958" s="63"/>
      <c r="AB958" s="63"/>
      <c r="AC958" s="63"/>
      <c r="AD958" s="63"/>
      <c r="AE958" s="63"/>
      <c r="AF958" s="63"/>
      <c r="AG958" s="63"/>
      <c r="AH958" s="63"/>
      <c r="AI958" s="63"/>
      <c r="AJ958" s="63"/>
      <c r="AK958" s="63"/>
      <c r="AL958" s="63"/>
      <c r="AM958" s="63"/>
      <c r="AN958" s="63"/>
      <c r="AO958" s="63"/>
      <c r="AP958" s="63"/>
      <c r="AQ958" s="63"/>
      <c r="AR958" s="63"/>
      <c r="AS958" s="63"/>
      <c r="AT958" s="63"/>
      <c r="AU958" s="63"/>
      <c r="AV958" s="63"/>
      <c r="AW958" s="63"/>
      <c r="AX958" s="63"/>
      <c r="AY958" s="63"/>
      <c r="AZ958" s="63"/>
      <c r="BA958" s="63"/>
      <c r="BB958" s="63"/>
      <c r="BC958" s="63"/>
      <c r="BD958" s="63"/>
      <c r="BE958" s="63"/>
      <c r="BF958" s="63"/>
      <c r="BG958" s="63"/>
      <c r="BH958" s="63"/>
      <c r="BI958" s="63"/>
      <c r="BJ958" s="63"/>
      <c r="BK958" s="63"/>
      <c r="BL958" s="63"/>
      <c r="BM958" s="63"/>
      <c r="BN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4"/>
      <c r="L959" s="65"/>
      <c r="M959" s="63"/>
      <c r="N959" s="63"/>
      <c r="O959" s="63"/>
      <c r="P959" s="63"/>
      <c r="Q959" s="63"/>
      <c r="R959" s="65"/>
      <c r="S959" s="63"/>
      <c r="T959" s="63"/>
      <c r="U959" s="63"/>
      <c r="V959" s="63"/>
      <c r="W959" s="64"/>
      <c r="X959" s="63"/>
      <c r="Y959" s="63"/>
      <c r="Z959" s="63"/>
      <c r="AA959" s="63"/>
      <c r="AB959" s="63"/>
      <c r="AC959" s="63"/>
      <c r="AD959" s="63"/>
      <c r="AE959" s="63"/>
      <c r="AF959" s="63"/>
      <c r="AG959" s="63"/>
      <c r="AH959" s="63"/>
      <c r="AI959" s="63"/>
      <c r="AJ959" s="63"/>
      <c r="AK959" s="63"/>
      <c r="AL959" s="63"/>
      <c r="AM959" s="63"/>
      <c r="AN959" s="63"/>
      <c r="AO959" s="63"/>
      <c r="AP959" s="63"/>
      <c r="AQ959" s="63"/>
      <c r="AR959" s="63"/>
      <c r="AS959" s="63"/>
      <c r="AT959" s="63"/>
      <c r="AU959" s="63"/>
      <c r="AV959" s="63"/>
      <c r="AW959" s="63"/>
      <c r="AX959" s="63"/>
      <c r="AY959" s="63"/>
      <c r="AZ959" s="63"/>
      <c r="BA959" s="63"/>
      <c r="BB959" s="63"/>
      <c r="BC959" s="63"/>
      <c r="BD959" s="63"/>
      <c r="BE959" s="63"/>
      <c r="BF959" s="63"/>
      <c r="BG959" s="63"/>
      <c r="BH959" s="63"/>
      <c r="BI959" s="63"/>
      <c r="BJ959" s="63"/>
      <c r="BK959" s="63"/>
      <c r="BL959" s="63"/>
      <c r="BM959" s="63"/>
      <c r="BN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4"/>
      <c r="L960" s="65"/>
      <c r="M960" s="63"/>
      <c r="N960" s="63"/>
      <c r="O960" s="63"/>
      <c r="P960" s="63"/>
      <c r="Q960" s="63"/>
      <c r="R960" s="65"/>
      <c r="S960" s="63"/>
      <c r="T960" s="63"/>
      <c r="U960" s="63"/>
      <c r="V960" s="63"/>
      <c r="W960" s="64"/>
      <c r="X960" s="63"/>
      <c r="Y960" s="63"/>
      <c r="Z960" s="63"/>
      <c r="AA960" s="63"/>
      <c r="AB960" s="63"/>
      <c r="AC960" s="63"/>
      <c r="AD960" s="63"/>
      <c r="AE960" s="63"/>
      <c r="AF960" s="63"/>
      <c r="AG960" s="63"/>
      <c r="AH960" s="63"/>
      <c r="AI960" s="63"/>
      <c r="AJ960" s="63"/>
      <c r="AK960" s="63"/>
      <c r="AL960" s="63"/>
      <c r="AM960" s="63"/>
      <c r="AN960" s="63"/>
      <c r="AO960" s="63"/>
      <c r="AP960" s="63"/>
      <c r="AQ960" s="63"/>
      <c r="AR960" s="63"/>
      <c r="AS960" s="63"/>
      <c r="AT960" s="63"/>
      <c r="AU960" s="63"/>
      <c r="AV960" s="63"/>
      <c r="AW960" s="63"/>
      <c r="AX960" s="63"/>
      <c r="AY960" s="63"/>
      <c r="AZ960" s="63"/>
      <c r="BA960" s="63"/>
      <c r="BB960" s="63"/>
      <c r="BC960" s="63"/>
      <c r="BD960" s="63"/>
      <c r="BE960" s="63"/>
      <c r="BF960" s="63"/>
      <c r="BG960" s="63"/>
      <c r="BH960" s="63"/>
      <c r="BI960" s="63"/>
      <c r="BJ960" s="63"/>
      <c r="BK960" s="63"/>
      <c r="BL960" s="63"/>
      <c r="BM960" s="63"/>
      <c r="BN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4"/>
      <c r="L961" s="65"/>
      <c r="M961" s="63"/>
      <c r="N961" s="63"/>
      <c r="O961" s="63"/>
      <c r="P961" s="63"/>
      <c r="Q961" s="63"/>
      <c r="R961" s="65"/>
      <c r="S961" s="63"/>
      <c r="T961" s="63"/>
      <c r="U961" s="63"/>
      <c r="V961" s="63"/>
      <c r="W961" s="64"/>
      <c r="X961" s="63"/>
      <c r="Y961" s="63"/>
      <c r="Z961" s="63"/>
      <c r="AA961" s="63"/>
      <c r="AB961" s="63"/>
      <c r="AC961" s="63"/>
      <c r="AD961" s="63"/>
      <c r="AE961" s="63"/>
      <c r="AF961" s="63"/>
      <c r="AG961" s="63"/>
      <c r="AH961" s="63"/>
      <c r="AI961" s="63"/>
      <c r="AJ961" s="63"/>
      <c r="AK961" s="63"/>
      <c r="AL961" s="63"/>
      <c r="AM961" s="63"/>
      <c r="AN961" s="63"/>
      <c r="AO961" s="63"/>
      <c r="AP961" s="63"/>
      <c r="AQ961" s="63"/>
      <c r="AR961" s="63"/>
      <c r="AS961" s="63"/>
      <c r="AT961" s="63"/>
      <c r="AU961" s="63"/>
      <c r="AV961" s="63"/>
      <c r="AW961" s="63"/>
      <c r="AX961" s="63"/>
      <c r="AY961" s="63"/>
      <c r="AZ961" s="63"/>
      <c r="BA961" s="63"/>
      <c r="BB961" s="63"/>
      <c r="BC961" s="63"/>
      <c r="BD961" s="63"/>
      <c r="BE961" s="63"/>
      <c r="BF961" s="63"/>
      <c r="BG961" s="63"/>
      <c r="BH961" s="63"/>
      <c r="BI961" s="63"/>
      <c r="BJ961" s="63"/>
      <c r="BK961" s="63"/>
      <c r="BL961" s="63"/>
      <c r="BM961" s="63"/>
      <c r="BN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4"/>
      <c r="L962" s="65"/>
      <c r="M962" s="63"/>
      <c r="N962" s="63"/>
      <c r="O962" s="63"/>
      <c r="P962" s="63"/>
      <c r="Q962" s="63"/>
      <c r="R962" s="65"/>
      <c r="S962" s="63"/>
      <c r="T962" s="63"/>
      <c r="U962" s="63"/>
      <c r="V962" s="63"/>
      <c r="W962" s="64"/>
      <c r="X962" s="63"/>
      <c r="Y962" s="63"/>
      <c r="Z962" s="63"/>
      <c r="AA962" s="63"/>
      <c r="AB962" s="63"/>
      <c r="AC962" s="63"/>
      <c r="AD962" s="63"/>
      <c r="AE962" s="63"/>
      <c r="AF962" s="63"/>
      <c r="AG962" s="63"/>
      <c r="AH962" s="63"/>
      <c r="AI962" s="63"/>
      <c r="AJ962" s="63"/>
      <c r="AK962" s="63"/>
      <c r="AL962" s="63"/>
      <c r="AM962" s="63"/>
      <c r="AN962" s="63"/>
      <c r="AO962" s="63"/>
      <c r="AP962" s="63"/>
      <c r="AQ962" s="63"/>
      <c r="AR962" s="63"/>
      <c r="AS962" s="63"/>
      <c r="AT962" s="63"/>
      <c r="AU962" s="63"/>
      <c r="AV962" s="63"/>
      <c r="AW962" s="63"/>
      <c r="AX962" s="63"/>
      <c r="AY962" s="63"/>
      <c r="AZ962" s="63"/>
      <c r="BA962" s="63"/>
      <c r="BB962" s="63"/>
      <c r="BC962" s="63"/>
      <c r="BD962" s="63"/>
      <c r="BE962" s="63"/>
      <c r="BF962" s="63"/>
      <c r="BG962" s="63"/>
      <c r="BH962" s="63"/>
      <c r="BI962" s="63"/>
      <c r="BJ962" s="63"/>
      <c r="BK962" s="63"/>
      <c r="BL962" s="63"/>
      <c r="BM962" s="63"/>
      <c r="BN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4"/>
      <c r="L963" s="65"/>
      <c r="M963" s="63"/>
      <c r="N963" s="63"/>
      <c r="O963" s="63"/>
      <c r="P963" s="63"/>
      <c r="Q963" s="63"/>
      <c r="R963" s="65"/>
      <c r="S963" s="63"/>
      <c r="T963" s="63"/>
      <c r="U963" s="63"/>
      <c r="V963" s="63"/>
      <c r="W963" s="64"/>
      <c r="X963" s="63"/>
      <c r="Y963" s="63"/>
      <c r="Z963" s="63"/>
      <c r="AA963" s="63"/>
      <c r="AB963" s="63"/>
      <c r="AC963" s="63"/>
      <c r="AD963" s="63"/>
      <c r="AE963" s="63"/>
      <c r="AF963" s="63"/>
      <c r="AG963" s="63"/>
      <c r="AH963" s="63"/>
      <c r="AI963" s="63"/>
      <c r="AJ963" s="63"/>
      <c r="AK963" s="63"/>
      <c r="AL963" s="63"/>
      <c r="AM963" s="63"/>
      <c r="AN963" s="63"/>
      <c r="AO963" s="63"/>
      <c r="AP963" s="63"/>
      <c r="AQ963" s="63"/>
      <c r="AR963" s="63"/>
      <c r="AS963" s="63"/>
      <c r="AT963" s="63"/>
      <c r="AU963" s="63"/>
      <c r="AV963" s="63"/>
      <c r="AW963" s="63"/>
      <c r="AX963" s="63"/>
      <c r="AY963" s="63"/>
      <c r="AZ963" s="63"/>
      <c r="BA963" s="63"/>
      <c r="BB963" s="63"/>
      <c r="BC963" s="63"/>
      <c r="BD963" s="63"/>
      <c r="BE963" s="63"/>
      <c r="BF963" s="63"/>
      <c r="BG963" s="63"/>
      <c r="BH963" s="63"/>
      <c r="BI963" s="63"/>
      <c r="BJ963" s="63"/>
      <c r="BK963" s="63"/>
      <c r="BL963" s="63"/>
      <c r="BM963" s="63"/>
      <c r="BN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4"/>
      <c r="L964" s="65"/>
      <c r="M964" s="63"/>
      <c r="N964" s="63"/>
      <c r="O964" s="63"/>
      <c r="P964" s="63"/>
      <c r="Q964" s="63"/>
      <c r="R964" s="65"/>
      <c r="S964" s="63"/>
      <c r="T964" s="63"/>
      <c r="U964" s="63"/>
      <c r="V964" s="63"/>
      <c r="W964" s="64"/>
      <c r="X964" s="63"/>
      <c r="Y964" s="63"/>
      <c r="Z964" s="63"/>
      <c r="AA964" s="63"/>
      <c r="AB964" s="63"/>
      <c r="AC964" s="63"/>
      <c r="AD964" s="63"/>
      <c r="AE964" s="63"/>
      <c r="AF964" s="63"/>
      <c r="AG964" s="63"/>
      <c r="AH964" s="63"/>
      <c r="AI964" s="63"/>
      <c r="AJ964" s="63"/>
      <c r="AK964" s="63"/>
      <c r="AL964" s="63"/>
      <c r="AM964" s="63"/>
      <c r="AN964" s="63"/>
      <c r="AO964" s="63"/>
      <c r="AP964" s="63"/>
      <c r="AQ964" s="63"/>
      <c r="AR964" s="63"/>
      <c r="AS964" s="63"/>
      <c r="AT964" s="63"/>
      <c r="AU964" s="63"/>
      <c r="AV964" s="63"/>
      <c r="AW964" s="63"/>
      <c r="AX964" s="63"/>
      <c r="AY964" s="63"/>
      <c r="AZ964" s="63"/>
      <c r="BA964" s="63"/>
      <c r="BB964" s="63"/>
      <c r="BC964" s="63"/>
      <c r="BD964" s="63"/>
      <c r="BE964" s="63"/>
      <c r="BF964" s="63"/>
      <c r="BG964" s="63"/>
      <c r="BH964" s="63"/>
      <c r="BI964" s="63"/>
      <c r="BJ964" s="63"/>
      <c r="BK964" s="63"/>
      <c r="BL964" s="63"/>
      <c r="BM964" s="63"/>
      <c r="BN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4"/>
      <c r="L965" s="65"/>
      <c r="M965" s="63"/>
      <c r="N965" s="63"/>
      <c r="O965" s="63"/>
      <c r="P965" s="63"/>
      <c r="Q965" s="63"/>
      <c r="R965" s="65"/>
      <c r="S965" s="63"/>
      <c r="T965" s="63"/>
      <c r="U965" s="63"/>
      <c r="V965" s="63"/>
      <c r="W965" s="64"/>
      <c r="X965" s="63"/>
      <c r="Y965" s="63"/>
      <c r="Z965" s="63"/>
      <c r="AA965" s="63"/>
      <c r="AB965" s="63"/>
      <c r="AC965" s="63"/>
      <c r="AD965" s="63"/>
      <c r="AE965" s="63"/>
      <c r="AF965" s="63"/>
      <c r="AG965" s="63"/>
      <c r="AH965" s="63"/>
      <c r="AI965" s="63"/>
      <c r="AJ965" s="63"/>
      <c r="AK965" s="63"/>
      <c r="AL965" s="63"/>
      <c r="AM965" s="63"/>
      <c r="AN965" s="63"/>
      <c r="AO965" s="63"/>
      <c r="AP965" s="63"/>
      <c r="AQ965" s="63"/>
      <c r="AR965" s="63"/>
      <c r="AS965" s="63"/>
      <c r="AT965" s="63"/>
      <c r="AU965" s="63"/>
      <c r="AV965" s="63"/>
      <c r="AW965" s="63"/>
      <c r="AX965" s="63"/>
      <c r="AY965" s="63"/>
      <c r="AZ965" s="63"/>
      <c r="BA965" s="63"/>
      <c r="BB965" s="63"/>
      <c r="BC965" s="63"/>
      <c r="BD965" s="63"/>
      <c r="BE965" s="63"/>
      <c r="BF965" s="63"/>
      <c r="BG965" s="63"/>
      <c r="BH965" s="63"/>
      <c r="BI965" s="63"/>
      <c r="BJ965" s="63"/>
      <c r="BK965" s="63"/>
      <c r="BL965" s="63"/>
      <c r="BM965" s="63"/>
      <c r="BN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4"/>
      <c r="L966" s="65"/>
      <c r="M966" s="63"/>
      <c r="N966" s="63"/>
      <c r="O966" s="63"/>
      <c r="P966" s="63"/>
      <c r="Q966" s="63"/>
      <c r="R966" s="65"/>
      <c r="S966" s="63"/>
      <c r="T966" s="63"/>
      <c r="U966" s="63"/>
      <c r="V966" s="63"/>
      <c r="W966" s="64"/>
      <c r="X966" s="63"/>
      <c r="Y966" s="63"/>
      <c r="Z966" s="63"/>
      <c r="AA966" s="63"/>
      <c r="AB966" s="63"/>
      <c r="AC966" s="63"/>
      <c r="AD966" s="63"/>
      <c r="AE966" s="63"/>
      <c r="AF966" s="63"/>
      <c r="AG966" s="63"/>
      <c r="AH966" s="63"/>
      <c r="AI966" s="63"/>
      <c r="AJ966" s="63"/>
      <c r="AK966" s="63"/>
      <c r="AL966" s="63"/>
      <c r="AM966" s="63"/>
      <c r="AN966" s="63"/>
      <c r="AO966" s="63"/>
      <c r="AP966" s="63"/>
      <c r="AQ966" s="63"/>
      <c r="AR966" s="63"/>
      <c r="AS966" s="63"/>
      <c r="AT966" s="63"/>
      <c r="AU966" s="63"/>
      <c r="AV966" s="63"/>
      <c r="AW966" s="63"/>
      <c r="AX966" s="63"/>
      <c r="AY966" s="63"/>
      <c r="AZ966" s="63"/>
      <c r="BA966" s="63"/>
      <c r="BB966" s="63"/>
      <c r="BC966" s="63"/>
      <c r="BD966" s="63"/>
      <c r="BE966" s="63"/>
      <c r="BF966" s="63"/>
      <c r="BG966" s="63"/>
      <c r="BH966" s="63"/>
      <c r="BI966" s="63"/>
      <c r="BJ966" s="63"/>
      <c r="BK966" s="63"/>
      <c r="BL966" s="63"/>
      <c r="BM966" s="63"/>
      <c r="BN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4"/>
      <c r="L967" s="65"/>
      <c r="M967" s="63"/>
      <c r="N967" s="63"/>
      <c r="O967" s="63"/>
      <c r="P967" s="63"/>
      <c r="Q967" s="63"/>
      <c r="R967" s="65"/>
      <c r="S967" s="63"/>
      <c r="T967" s="63"/>
      <c r="U967" s="63"/>
      <c r="V967" s="63"/>
      <c r="W967" s="64"/>
      <c r="X967" s="63"/>
      <c r="Y967" s="63"/>
      <c r="Z967" s="63"/>
      <c r="AA967" s="63"/>
      <c r="AB967" s="63"/>
      <c r="AC967" s="63"/>
      <c r="AD967" s="63"/>
      <c r="AE967" s="63"/>
      <c r="AF967" s="63"/>
      <c r="AG967" s="63"/>
      <c r="AH967" s="63"/>
      <c r="AI967" s="63"/>
      <c r="AJ967" s="63"/>
      <c r="AK967" s="63"/>
      <c r="AL967" s="63"/>
      <c r="AM967" s="63"/>
      <c r="AN967" s="63"/>
      <c r="AO967" s="63"/>
      <c r="AP967" s="63"/>
      <c r="AQ967" s="63"/>
      <c r="AR967" s="63"/>
      <c r="AS967" s="63"/>
      <c r="AT967" s="63"/>
      <c r="AU967" s="63"/>
      <c r="AV967" s="63"/>
      <c r="AW967" s="63"/>
      <c r="AX967" s="63"/>
      <c r="AY967" s="63"/>
      <c r="AZ967" s="63"/>
      <c r="BA967" s="63"/>
      <c r="BB967" s="63"/>
      <c r="BC967" s="63"/>
      <c r="BD967" s="63"/>
      <c r="BE967" s="63"/>
      <c r="BF967" s="63"/>
      <c r="BG967" s="63"/>
      <c r="BH967" s="63"/>
      <c r="BI967" s="63"/>
      <c r="BJ967" s="63"/>
      <c r="BK967" s="63"/>
      <c r="BL967" s="63"/>
      <c r="BM967" s="63"/>
      <c r="BN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4"/>
      <c r="L968" s="65"/>
      <c r="M968" s="63"/>
      <c r="N968" s="63"/>
      <c r="O968" s="63"/>
      <c r="P968" s="63"/>
      <c r="Q968" s="63"/>
      <c r="R968" s="65"/>
      <c r="S968" s="63"/>
      <c r="T968" s="63"/>
      <c r="U968" s="63"/>
      <c r="V968" s="63"/>
      <c r="W968" s="64"/>
      <c r="X968" s="63"/>
      <c r="Y968" s="63"/>
      <c r="Z968" s="63"/>
      <c r="AA968" s="63"/>
      <c r="AB968" s="63"/>
      <c r="AC968" s="63"/>
      <c r="AD968" s="63"/>
      <c r="AE968" s="63"/>
      <c r="AF968" s="63"/>
      <c r="AG968" s="63"/>
      <c r="AH968" s="63"/>
      <c r="AI968" s="63"/>
      <c r="AJ968" s="63"/>
      <c r="AK968" s="63"/>
      <c r="AL968" s="63"/>
      <c r="AM968" s="63"/>
      <c r="AN968" s="63"/>
      <c r="AO968" s="63"/>
      <c r="AP968" s="63"/>
      <c r="AQ968" s="63"/>
      <c r="AR968" s="63"/>
      <c r="AS968" s="63"/>
      <c r="AT968" s="63"/>
      <c r="AU968" s="63"/>
      <c r="AV968" s="63"/>
      <c r="AW968" s="63"/>
      <c r="AX968" s="63"/>
      <c r="AY968" s="63"/>
      <c r="AZ968" s="63"/>
      <c r="BA968" s="63"/>
      <c r="BB968" s="63"/>
      <c r="BC968" s="63"/>
      <c r="BD968" s="63"/>
      <c r="BE968" s="63"/>
      <c r="BF968" s="63"/>
      <c r="BG968" s="63"/>
      <c r="BH968" s="63"/>
      <c r="BI968" s="63"/>
      <c r="BJ968" s="63"/>
      <c r="BK968" s="63"/>
      <c r="BL968" s="63"/>
      <c r="BM968" s="63"/>
      <c r="BN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4"/>
      <c r="L969" s="65"/>
      <c r="M969" s="63"/>
      <c r="N969" s="63"/>
      <c r="O969" s="63"/>
      <c r="P969" s="63"/>
      <c r="Q969" s="63"/>
      <c r="R969" s="65"/>
      <c r="S969" s="63"/>
      <c r="T969" s="63"/>
      <c r="U969" s="63"/>
      <c r="V969" s="63"/>
      <c r="W969" s="64"/>
      <c r="X969" s="63"/>
      <c r="Y969" s="63"/>
      <c r="Z969" s="63"/>
      <c r="AA969" s="63"/>
      <c r="AB969" s="63"/>
      <c r="AC969" s="63"/>
      <c r="AD969" s="63"/>
      <c r="AE969" s="63"/>
      <c r="AF969" s="63"/>
      <c r="AG969" s="63"/>
      <c r="AH969" s="63"/>
      <c r="AI969" s="63"/>
      <c r="AJ969" s="63"/>
      <c r="AK969" s="63"/>
      <c r="AL969" s="63"/>
      <c r="AM969" s="63"/>
      <c r="AN969" s="63"/>
      <c r="AO969" s="63"/>
      <c r="AP969" s="63"/>
      <c r="AQ969" s="63"/>
      <c r="AR969" s="63"/>
      <c r="AS969" s="63"/>
      <c r="AT969" s="63"/>
      <c r="AU969" s="63"/>
      <c r="AV969" s="63"/>
      <c r="AW969" s="63"/>
      <c r="AX969" s="63"/>
      <c r="AY969" s="63"/>
      <c r="AZ969" s="63"/>
      <c r="BA969" s="63"/>
      <c r="BB969" s="63"/>
      <c r="BC969" s="63"/>
      <c r="BD969" s="63"/>
      <c r="BE969" s="63"/>
      <c r="BF969" s="63"/>
      <c r="BG969" s="63"/>
      <c r="BH969" s="63"/>
      <c r="BI969" s="63"/>
      <c r="BJ969" s="63"/>
      <c r="BK969" s="63"/>
      <c r="BL969" s="63"/>
      <c r="BM969" s="63"/>
      <c r="BN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4"/>
      <c r="L970" s="65"/>
      <c r="M970" s="63"/>
      <c r="N970" s="63"/>
      <c r="O970" s="63"/>
      <c r="P970" s="63"/>
      <c r="Q970" s="63"/>
      <c r="R970" s="65"/>
      <c r="S970" s="63"/>
      <c r="T970" s="63"/>
      <c r="U970" s="63"/>
      <c r="V970" s="63"/>
      <c r="W970" s="64"/>
      <c r="X970" s="63"/>
      <c r="Y970" s="63"/>
      <c r="Z970" s="63"/>
      <c r="AA970" s="63"/>
      <c r="AB970" s="63"/>
      <c r="AC970" s="63"/>
      <c r="AD970" s="63"/>
      <c r="AE970" s="63"/>
      <c r="AF970" s="63"/>
      <c r="AG970" s="63"/>
      <c r="AH970" s="63"/>
      <c r="AI970" s="63"/>
      <c r="AJ970" s="63"/>
      <c r="AK970" s="63"/>
      <c r="AL970" s="63"/>
      <c r="AM970" s="63"/>
      <c r="AN970" s="63"/>
      <c r="AO970" s="63"/>
      <c r="AP970" s="63"/>
      <c r="AQ970" s="63"/>
      <c r="AR970" s="63"/>
      <c r="AS970" s="63"/>
      <c r="AT970" s="63"/>
      <c r="AU970" s="63"/>
      <c r="AV970" s="63"/>
      <c r="AW970" s="63"/>
      <c r="AX970" s="63"/>
      <c r="AY970" s="63"/>
      <c r="AZ970" s="63"/>
      <c r="BA970" s="63"/>
      <c r="BB970" s="63"/>
      <c r="BC970" s="63"/>
      <c r="BD970" s="63"/>
      <c r="BE970" s="63"/>
      <c r="BF970" s="63"/>
      <c r="BG970" s="63"/>
      <c r="BH970" s="63"/>
      <c r="BI970" s="63"/>
      <c r="BJ970" s="63"/>
      <c r="BK970" s="63"/>
      <c r="BL970" s="63"/>
      <c r="BM970" s="63"/>
      <c r="BN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4"/>
      <c r="L971" s="65"/>
      <c r="M971" s="63"/>
      <c r="N971" s="63"/>
      <c r="O971" s="63"/>
      <c r="P971" s="63"/>
      <c r="Q971" s="63"/>
      <c r="R971" s="65"/>
      <c r="S971" s="63"/>
      <c r="T971" s="63"/>
      <c r="U971" s="63"/>
      <c r="V971" s="63"/>
      <c r="W971" s="64"/>
      <c r="X971" s="63"/>
      <c r="Y971" s="63"/>
      <c r="Z971" s="63"/>
      <c r="AA971" s="63"/>
      <c r="AB971" s="63"/>
      <c r="AC971" s="63"/>
      <c r="AD971" s="63"/>
      <c r="AE971" s="63"/>
      <c r="AF971" s="63"/>
      <c r="AG971" s="63"/>
      <c r="AH971" s="63"/>
      <c r="AI971" s="63"/>
      <c r="AJ971" s="63"/>
      <c r="AK971" s="63"/>
      <c r="AL971" s="63"/>
      <c r="AM971" s="63"/>
      <c r="AN971" s="63"/>
      <c r="AO971" s="63"/>
      <c r="AP971" s="63"/>
      <c r="AQ971" s="63"/>
      <c r="AR971" s="63"/>
      <c r="AS971" s="63"/>
      <c r="AT971" s="63"/>
      <c r="AU971" s="63"/>
      <c r="AV971" s="63"/>
      <c r="AW971" s="63"/>
      <c r="AX971" s="63"/>
      <c r="AY971" s="63"/>
      <c r="AZ971" s="63"/>
      <c r="BA971" s="63"/>
      <c r="BB971" s="63"/>
      <c r="BC971" s="63"/>
      <c r="BD971" s="63"/>
      <c r="BE971" s="63"/>
      <c r="BF971" s="63"/>
      <c r="BG971" s="63"/>
      <c r="BH971" s="63"/>
      <c r="BI971" s="63"/>
      <c r="BJ971" s="63"/>
      <c r="BK971" s="63"/>
      <c r="BL971" s="63"/>
      <c r="BM971" s="63"/>
      <c r="BN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4"/>
      <c r="L972" s="65"/>
      <c r="M972" s="63"/>
      <c r="N972" s="63"/>
      <c r="O972" s="63"/>
      <c r="P972" s="63"/>
      <c r="Q972" s="63"/>
      <c r="R972" s="65"/>
      <c r="S972" s="63"/>
      <c r="T972" s="63"/>
      <c r="U972" s="63"/>
      <c r="V972" s="63"/>
      <c r="W972" s="64"/>
      <c r="X972" s="63"/>
      <c r="Y972" s="63"/>
      <c r="Z972" s="63"/>
      <c r="AA972" s="63"/>
      <c r="AB972" s="63"/>
      <c r="AC972" s="63"/>
      <c r="AD972" s="63"/>
      <c r="AE972" s="63"/>
      <c r="AF972" s="63"/>
      <c r="AG972" s="63"/>
      <c r="AH972" s="63"/>
      <c r="AI972" s="63"/>
      <c r="AJ972" s="63"/>
      <c r="AK972" s="63"/>
      <c r="AL972" s="63"/>
      <c r="AM972" s="63"/>
      <c r="AN972" s="63"/>
      <c r="AO972" s="63"/>
      <c r="AP972" s="63"/>
      <c r="AQ972" s="63"/>
      <c r="AR972" s="63"/>
      <c r="AS972" s="63"/>
      <c r="AT972" s="63"/>
      <c r="AU972" s="63"/>
      <c r="AV972" s="63"/>
      <c r="AW972" s="63"/>
      <c r="AX972" s="63"/>
      <c r="AY972" s="63"/>
      <c r="AZ972" s="63"/>
      <c r="BA972" s="63"/>
      <c r="BB972" s="63"/>
      <c r="BC972" s="63"/>
      <c r="BD972" s="63"/>
      <c r="BE972" s="63"/>
      <c r="BF972" s="63"/>
      <c r="BG972" s="63"/>
      <c r="BH972" s="63"/>
      <c r="BI972" s="63"/>
      <c r="BJ972" s="63"/>
      <c r="BK972" s="63"/>
      <c r="BL972" s="63"/>
      <c r="BM972" s="63"/>
      <c r="BN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4"/>
      <c r="L973" s="65"/>
      <c r="M973" s="63"/>
      <c r="N973" s="63"/>
      <c r="O973" s="63"/>
      <c r="P973" s="63"/>
      <c r="Q973" s="63"/>
      <c r="R973" s="65"/>
      <c r="S973" s="63"/>
      <c r="T973" s="63"/>
      <c r="U973" s="63"/>
      <c r="V973" s="63"/>
      <c r="W973" s="64"/>
      <c r="X973" s="63"/>
      <c r="Y973" s="63"/>
      <c r="Z973" s="63"/>
      <c r="AA973" s="63"/>
      <c r="AB973" s="63"/>
      <c r="AC973" s="63"/>
      <c r="AD973" s="63"/>
      <c r="AE973" s="63"/>
      <c r="AF973" s="63"/>
      <c r="AG973" s="63"/>
      <c r="AH973" s="63"/>
      <c r="AI973" s="63"/>
      <c r="AJ973" s="63"/>
      <c r="AK973" s="63"/>
      <c r="AL973" s="63"/>
      <c r="AM973" s="63"/>
      <c r="AN973" s="63"/>
      <c r="AO973" s="63"/>
      <c r="AP973" s="63"/>
      <c r="AQ973" s="63"/>
      <c r="AR973" s="63"/>
      <c r="AS973" s="63"/>
      <c r="AT973" s="63"/>
      <c r="AU973" s="63"/>
      <c r="AV973" s="63"/>
      <c r="AW973" s="63"/>
      <c r="AX973" s="63"/>
      <c r="AY973" s="63"/>
      <c r="AZ973" s="63"/>
      <c r="BA973" s="63"/>
      <c r="BB973" s="63"/>
      <c r="BC973" s="63"/>
      <c r="BD973" s="63"/>
      <c r="BE973" s="63"/>
      <c r="BF973" s="63"/>
      <c r="BG973" s="63"/>
      <c r="BH973" s="63"/>
      <c r="BI973" s="63"/>
      <c r="BJ973" s="63"/>
      <c r="BK973" s="63"/>
      <c r="BL973" s="63"/>
      <c r="BM973" s="63"/>
      <c r="BN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4"/>
      <c r="L974" s="65"/>
      <c r="M974" s="63"/>
      <c r="N974" s="63"/>
      <c r="O974" s="63"/>
      <c r="P974" s="63"/>
      <c r="Q974" s="63"/>
      <c r="R974" s="65"/>
      <c r="S974" s="63"/>
      <c r="T974" s="63"/>
      <c r="U974" s="63"/>
      <c r="V974" s="63"/>
      <c r="W974" s="64"/>
      <c r="X974" s="63"/>
      <c r="Y974" s="63"/>
      <c r="Z974" s="63"/>
      <c r="AA974" s="63"/>
      <c r="AB974" s="63"/>
      <c r="AC974" s="63"/>
      <c r="AD974" s="63"/>
      <c r="AE974" s="63"/>
      <c r="AF974" s="63"/>
      <c r="AG974" s="63"/>
      <c r="AH974" s="63"/>
      <c r="AI974" s="63"/>
      <c r="AJ974" s="63"/>
      <c r="AK974" s="63"/>
      <c r="AL974" s="63"/>
      <c r="AM974" s="63"/>
      <c r="AN974" s="63"/>
      <c r="AO974" s="63"/>
      <c r="AP974" s="63"/>
      <c r="AQ974" s="63"/>
      <c r="AR974" s="63"/>
      <c r="AS974" s="63"/>
      <c r="AT974" s="63"/>
      <c r="AU974" s="63"/>
      <c r="AV974" s="63"/>
      <c r="AW974" s="63"/>
      <c r="AX974" s="63"/>
      <c r="AY974" s="63"/>
      <c r="AZ974" s="63"/>
      <c r="BA974" s="63"/>
      <c r="BB974" s="63"/>
      <c r="BC974" s="63"/>
      <c r="BD974" s="63"/>
      <c r="BE974" s="63"/>
      <c r="BF974" s="63"/>
      <c r="BG974" s="63"/>
      <c r="BH974" s="63"/>
      <c r="BI974" s="63"/>
      <c r="BJ974" s="63"/>
      <c r="BK974" s="63"/>
      <c r="BL974" s="63"/>
      <c r="BM974" s="63"/>
      <c r="BN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4"/>
      <c r="L975" s="65"/>
      <c r="M975" s="63"/>
      <c r="N975" s="63"/>
      <c r="O975" s="63"/>
      <c r="P975" s="63"/>
      <c r="Q975" s="63"/>
      <c r="R975" s="65"/>
      <c r="S975" s="63"/>
      <c r="T975" s="63"/>
      <c r="U975" s="63"/>
      <c r="V975" s="63"/>
      <c r="W975" s="64"/>
      <c r="X975" s="63"/>
      <c r="Y975" s="63"/>
      <c r="Z975" s="63"/>
      <c r="AA975" s="63"/>
      <c r="AB975" s="63"/>
      <c r="AC975" s="63"/>
      <c r="AD975" s="63"/>
      <c r="AE975" s="63"/>
      <c r="AF975" s="63"/>
      <c r="AG975" s="63"/>
      <c r="AH975" s="63"/>
      <c r="AI975" s="63"/>
      <c r="AJ975" s="63"/>
      <c r="AK975" s="63"/>
      <c r="AL975" s="63"/>
      <c r="AM975" s="63"/>
      <c r="AN975" s="63"/>
      <c r="AO975" s="63"/>
      <c r="AP975" s="63"/>
      <c r="AQ975" s="63"/>
      <c r="AR975" s="63"/>
      <c r="AS975" s="63"/>
      <c r="AT975" s="63"/>
      <c r="AU975" s="63"/>
      <c r="AV975" s="63"/>
      <c r="AW975" s="63"/>
      <c r="AX975" s="63"/>
      <c r="AY975" s="63"/>
      <c r="AZ975" s="63"/>
      <c r="BA975" s="63"/>
      <c r="BB975" s="63"/>
      <c r="BC975" s="63"/>
      <c r="BD975" s="63"/>
      <c r="BE975" s="63"/>
      <c r="BF975" s="63"/>
      <c r="BG975" s="63"/>
      <c r="BH975" s="63"/>
      <c r="BI975" s="63"/>
      <c r="BJ975" s="63"/>
      <c r="BK975" s="63"/>
      <c r="BL975" s="63"/>
      <c r="BM975" s="63"/>
      <c r="BN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4"/>
      <c r="L976" s="65"/>
      <c r="M976" s="63"/>
      <c r="N976" s="63"/>
      <c r="O976" s="63"/>
      <c r="P976" s="63"/>
      <c r="Q976" s="63"/>
      <c r="R976" s="65"/>
      <c r="S976" s="63"/>
      <c r="T976" s="63"/>
      <c r="U976" s="63"/>
      <c r="V976" s="63"/>
      <c r="W976" s="64"/>
      <c r="X976" s="63"/>
      <c r="Y976" s="63"/>
      <c r="Z976" s="63"/>
      <c r="AA976" s="63"/>
      <c r="AB976" s="63"/>
      <c r="AC976" s="63"/>
      <c r="AD976" s="63"/>
      <c r="AE976" s="63"/>
      <c r="AF976" s="63"/>
      <c r="AG976" s="63"/>
      <c r="AH976" s="63"/>
      <c r="AI976" s="63"/>
      <c r="AJ976" s="63"/>
      <c r="AK976" s="63"/>
      <c r="AL976" s="63"/>
      <c r="AM976" s="63"/>
      <c r="AN976" s="63"/>
      <c r="AO976" s="63"/>
      <c r="AP976" s="63"/>
      <c r="AQ976" s="63"/>
      <c r="AR976" s="63"/>
      <c r="AS976" s="63"/>
      <c r="AT976" s="63"/>
      <c r="AU976" s="63"/>
      <c r="AV976" s="63"/>
      <c r="AW976" s="63"/>
      <c r="AX976" s="63"/>
      <c r="AY976" s="63"/>
      <c r="AZ976" s="63"/>
      <c r="BA976" s="63"/>
      <c r="BB976" s="63"/>
      <c r="BC976" s="63"/>
      <c r="BD976" s="63"/>
      <c r="BE976" s="63"/>
      <c r="BF976" s="63"/>
      <c r="BG976" s="63"/>
      <c r="BH976" s="63"/>
      <c r="BI976" s="63"/>
      <c r="BJ976" s="63"/>
      <c r="BK976" s="63"/>
      <c r="BL976" s="63"/>
      <c r="BM976" s="63"/>
      <c r="BN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4"/>
      <c r="L977" s="65"/>
      <c r="M977" s="63"/>
      <c r="N977" s="63"/>
      <c r="O977" s="63"/>
      <c r="P977" s="63"/>
      <c r="Q977" s="63"/>
      <c r="R977" s="65"/>
      <c r="S977" s="63"/>
      <c r="T977" s="63"/>
      <c r="U977" s="63"/>
      <c r="V977" s="63"/>
      <c r="W977" s="64"/>
      <c r="X977" s="63"/>
      <c r="Y977" s="63"/>
      <c r="Z977" s="63"/>
      <c r="AA977" s="63"/>
      <c r="AB977" s="63"/>
      <c r="AC977" s="63"/>
      <c r="AD977" s="63"/>
      <c r="AE977" s="63"/>
      <c r="AF977" s="63"/>
      <c r="AG977" s="63"/>
      <c r="AH977" s="63"/>
      <c r="AI977" s="63"/>
      <c r="AJ977" s="63"/>
      <c r="AK977" s="63"/>
      <c r="AL977" s="63"/>
      <c r="AM977" s="63"/>
      <c r="AN977" s="63"/>
      <c r="AO977" s="63"/>
      <c r="AP977" s="63"/>
      <c r="AQ977" s="63"/>
      <c r="AR977" s="63"/>
      <c r="AS977" s="63"/>
      <c r="AT977" s="63"/>
      <c r="AU977" s="63"/>
      <c r="AV977" s="63"/>
      <c r="AW977" s="63"/>
      <c r="AX977" s="63"/>
      <c r="AY977" s="63"/>
      <c r="AZ977" s="63"/>
      <c r="BA977" s="63"/>
      <c r="BB977" s="63"/>
      <c r="BC977" s="63"/>
      <c r="BD977" s="63"/>
      <c r="BE977" s="63"/>
      <c r="BF977" s="63"/>
      <c r="BG977" s="63"/>
      <c r="BH977" s="63"/>
      <c r="BI977" s="63"/>
      <c r="BJ977" s="63"/>
      <c r="BK977" s="63"/>
      <c r="BL977" s="63"/>
      <c r="BM977" s="63"/>
      <c r="BN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4"/>
      <c r="L978" s="65"/>
      <c r="M978" s="63"/>
      <c r="N978" s="63"/>
      <c r="O978" s="63"/>
      <c r="P978" s="63"/>
      <c r="Q978" s="63"/>
      <c r="R978" s="65"/>
      <c r="S978" s="63"/>
      <c r="T978" s="63"/>
      <c r="U978" s="63"/>
      <c r="V978" s="63"/>
      <c r="W978" s="64"/>
      <c r="X978" s="63"/>
      <c r="Y978" s="63"/>
      <c r="Z978" s="63"/>
      <c r="AA978" s="63"/>
      <c r="AB978" s="63"/>
      <c r="AC978" s="63"/>
      <c r="AD978" s="63"/>
      <c r="AE978" s="63"/>
      <c r="AF978" s="63"/>
      <c r="AG978" s="63"/>
      <c r="AH978" s="63"/>
      <c r="AI978" s="63"/>
      <c r="AJ978" s="63"/>
      <c r="AK978" s="63"/>
      <c r="AL978" s="63"/>
      <c r="AM978" s="63"/>
      <c r="AN978" s="63"/>
      <c r="AO978" s="63"/>
      <c r="AP978" s="63"/>
      <c r="AQ978" s="63"/>
      <c r="AR978" s="63"/>
      <c r="AS978" s="63"/>
      <c r="AT978" s="63"/>
      <c r="AU978" s="63"/>
      <c r="AV978" s="63"/>
      <c r="AW978" s="63"/>
      <c r="AX978" s="63"/>
      <c r="AY978" s="63"/>
      <c r="AZ978" s="63"/>
      <c r="BA978" s="63"/>
      <c r="BB978" s="63"/>
      <c r="BC978" s="63"/>
      <c r="BD978" s="63"/>
      <c r="BE978" s="63"/>
      <c r="BF978" s="63"/>
      <c r="BG978" s="63"/>
      <c r="BH978" s="63"/>
      <c r="BI978" s="63"/>
      <c r="BJ978" s="63"/>
      <c r="BK978" s="63"/>
      <c r="BL978" s="63"/>
      <c r="BM978" s="63"/>
      <c r="BN978" s="63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4"/>
      <c r="L979" s="65"/>
      <c r="M979" s="63"/>
      <c r="N979" s="63"/>
      <c r="O979" s="63"/>
      <c r="P979" s="63"/>
      <c r="Q979" s="63"/>
      <c r="R979" s="65"/>
      <c r="S979" s="63"/>
      <c r="T979" s="63"/>
      <c r="U979" s="63"/>
      <c r="V979" s="63"/>
      <c r="W979" s="64"/>
      <c r="X979" s="63"/>
      <c r="Y979" s="63"/>
      <c r="Z979" s="63"/>
      <c r="AA979" s="63"/>
      <c r="AB979" s="63"/>
      <c r="AC979" s="63"/>
      <c r="AD979" s="63"/>
      <c r="AE979" s="63"/>
      <c r="AF979" s="63"/>
      <c r="AG979" s="63"/>
      <c r="AH979" s="63"/>
      <c r="AI979" s="63"/>
      <c r="AJ979" s="63"/>
      <c r="AK979" s="63"/>
      <c r="AL979" s="63"/>
      <c r="AM979" s="63"/>
      <c r="AN979" s="63"/>
      <c r="AO979" s="63"/>
      <c r="AP979" s="63"/>
      <c r="AQ979" s="63"/>
      <c r="AR979" s="63"/>
      <c r="AS979" s="63"/>
      <c r="AT979" s="63"/>
      <c r="AU979" s="63"/>
      <c r="AV979" s="63"/>
      <c r="AW979" s="63"/>
      <c r="AX979" s="63"/>
      <c r="AY979" s="63"/>
      <c r="AZ979" s="63"/>
      <c r="BA979" s="63"/>
      <c r="BB979" s="63"/>
      <c r="BC979" s="63"/>
      <c r="BD979" s="63"/>
      <c r="BE979" s="63"/>
      <c r="BF979" s="63"/>
      <c r="BG979" s="63"/>
      <c r="BH979" s="63"/>
      <c r="BI979" s="63"/>
      <c r="BJ979" s="63"/>
      <c r="BK979" s="63"/>
      <c r="BL979" s="63"/>
      <c r="BM979" s="63"/>
      <c r="BN979" s="63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4"/>
      <c r="L980" s="65"/>
      <c r="M980" s="63"/>
      <c r="N980" s="63"/>
      <c r="O980" s="63"/>
      <c r="P980" s="63"/>
      <c r="Q980" s="63"/>
      <c r="R980" s="65"/>
      <c r="S980" s="63"/>
      <c r="T980" s="63"/>
      <c r="U980" s="63"/>
      <c r="V980" s="63"/>
      <c r="W980" s="64"/>
      <c r="X980" s="63"/>
      <c r="Y980" s="63"/>
      <c r="Z980" s="63"/>
      <c r="AA980" s="63"/>
      <c r="AB980" s="63"/>
      <c r="AC980" s="63"/>
      <c r="AD980" s="63"/>
      <c r="AE980" s="63"/>
      <c r="AF980" s="63"/>
      <c r="AG980" s="63"/>
      <c r="AH980" s="63"/>
      <c r="AI980" s="63"/>
      <c r="AJ980" s="63"/>
      <c r="AK980" s="63"/>
      <c r="AL980" s="63"/>
      <c r="AM980" s="63"/>
      <c r="AN980" s="63"/>
      <c r="AO980" s="63"/>
      <c r="AP980" s="63"/>
      <c r="AQ980" s="63"/>
      <c r="AR980" s="63"/>
      <c r="AS980" s="63"/>
      <c r="AT980" s="63"/>
      <c r="AU980" s="63"/>
      <c r="AV980" s="63"/>
      <c r="AW980" s="63"/>
      <c r="AX980" s="63"/>
      <c r="AY980" s="63"/>
      <c r="AZ980" s="63"/>
      <c r="BA980" s="63"/>
      <c r="BB980" s="63"/>
      <c r="BC980" s="63"/>
      <c r="BD980" s="63"/>
      <c r="BE980" s="63"/>
      <c r="BF980" s="63"/>
      <c r="BG980" s="63"/>
      <c r="BH980" s="63"/>
      <c r="BI980" s="63"/>
      <c r="BJ980" s="63"/>
      <c r="BK980" s="63"/>
      <c r="BL980" s="63"/>
      <c r="BM980" s="63"/>
      <c r="BN980" s="63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4"/>
      <c r="L981" s="65"/>
      <c r="M981" s="63"/>
      <c r="N981" s="63"/>
      <c r="O981" s="63"/>
      <c r="P981" s="63"/>
      <c r="Q981" s="63"/>
      <c r="R981" s="65"/>
      <c r="S981" s="63"/>
      <c r="T981" s="63"/>
      <c r="U981" s="63"/>
      <c r="V981" s="63"/>
      <c r="W981" s="64"/>
      <c r="X981" s="63"/>
      <c r="Y981" s="63"/>
      <c r="Z981" s="63"/>
      <c r="AA981" s="63"/>
      <c r="AB981" s="63"/>
      <c r="AC981" s="63"/>
      <c r="AD981" s="63"/>
      <c r="AE981" s="63"/>
      <c r="AF981" s="63"/>
      <c r="AG981" s="63"/>
      <c r="AH981" s="63"/>
      <c r="AI981" s="63"/>
      <c r="AJ981" s="63"/>
      <c r="AK981" s="63"/>
      <c r="AL981" s="63"/>
      <c r="AM981" s="63"/>
      <c r="AN981" s="63"/>
      <c r="AO981" s="63"/>
      <c r="AP981" s="63"/>
      <c r="AQ981" s="63"/>
      <c r="AR981" s="63"/>
      <c r="AS981" s="63"/>
      <c r="AT981" s="63"/>
      <c r="AU981" s="63"/>
      <c r="AV981" s="63"/>
      <c r="AW981" s="63"/>
      <c r="AX981" s="63"/>
      <c r="AY981" s="63"/>
      <c r="AZ981" s="63"/>
      <c r="BA981" s="63"/>
      <c r="BB981" s="63"/>
      <c r="BC981" s="63"/>
      <c r="BD981" s="63"/>
      <c r="BE981" s="63"/>
      <c r="BF981" s="63"/>
      <c r="BG981" s="63"/>
      <c r="BH981" s="63"/>
      <c r="BI981" s="63"/>
      <c r="BJ981" s="63"/>
      <c r="BK981" s="63"/>
      <c r="BL981" s="63"/>
      <c r="BM981" s="63"/>
      <c r="BN981" s="63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4"/>
      <c r="L982" s="65"/>
      <c r="M982" s="63"/>
      <c r="N982" s="63"/>
      <c r="O982" s="63"/>
      <c r="P982" s="63"/>
      <c r="Q982" s="63"/>
      <c r="R982" s="65"/>
      <c r="S982" s="63"/>
      <c r="T982" s="63"/>
      <c r="U982" s="63"/>
      <c r="V982" s="63"/>
      <c r="W982" s="64"/>
      <c r="X982" s="63"/>
      <c r="Y982" s="63"/>
      <c r="Z982" s="63"/>
      <c r="AA982" s="63"/>
      <c r="AB982" s="63"/>
      <c r="AC982" s="63"/>
      <c r="AD982" s="63"/>
      <c r="AE982" s="63"/>
      <c r="AF982" s="63"/>
      <c r="AG982" s="63"/>
      <c r="AH982" s="63"/>
      <c r="AI982" s="63"/>
      <c r="AJ982" s="63"/>
      <c r="AK982" s="63"/>
      <c r="AL982" s="63"/>
      <c r="AM982" s="63"/>
      <c r="AN982" s="63"/>
      <c r="AO982" s="63"/>
      <c r="AP982" s="63"/>
      <c r="AQ982" s="63"/>
      <c r="AR982" s="63"/>
      <c r="AS982" s="63"/>
      <c r="AT982" s="63"/>
      <c r="AU982" s="63"/>
      <c r="AV982" s="63"/>
      <c r="AW982" s="63"/>
      <c r="AX982" s="63"/>
      <c r="AY982" s="63"/>
      <c r="AZ982" s="63"/>
      <c r="BA982" s="63"/>
      <c r="BB982" s="63"/>
      <c r="BC982" s="63"/>
      <c r="BD982" s="63"/>
      <c r="BE982" s="63"/>
      <c r="BF982" s="63"/>
      <c r="BG982" s="63"/>
      <c r="BH982" s="63"/>
      <c r="BI982" s="63"/>
      <c r="BJ982" s="63"/>
      <c r="BK982" s="63"/>
      <c r="BL982" s="63"/>
      <c r="BM982" s="63"/>
      <c r="BN982" s="63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4"/>
      <c r="L983" s="65"/>
      <c r="M983" s="63"/>
      <c r="N983" s="63"/>
      <c r="O983" s="63"/>
      <c r="P983" s="63"/>
      <c r="Q983" s="63"/>
      <c r="R983" s="65"/>
      <c r="S983" s="63"/>
      <c r="T983" s="63"/>
      <c r="U983" s="63"/>
      <c r="V983" s="63"/>
      <c r="W983" s="64"/>
      <c r="X983" s="63"/>
      <c r="Y983" s="63"/>
      <c r="Z983" s="63"/>
      <c r="AA983" s="63"/>
      <c r="AB983" s="63"/>
      <c r="AC983" s="63"/>
      <c r="AD983" s="63"/>
      <c r="AE983" s="63"/>
      <c r="AF983" s="63"/>
      <c r="AG983" s="63"/>
      <c r="AH983" s="63"/>
      <c r="AI983" s="63"/>
      <c r="AJ983" s="63"/>
      <c r="AK983" s="63"/>
      <c r="AL983" s="63"/>
      <c r="AM983" s="63"/>
      <c r="AN983" s="63"/>
      <c r="AO983" s="63"/>
      <c r="AP983" s="63"/>
      <c r="AQ983" s="63"/>
      <c r="AR983" s="63"/>
      <c r="AS983" s="63"/>
      <c r="AT983" s="63"/>
      <c r="AU983" s="63"/>
      <c r="AV983" s="63"/>
      <c r="AW983" s="63"/>
      <c r="AX983" s="63"/>
      <c r="AY983" s="63"/>
      <c r="AZ983" s="63"/>
      <c r="BA983" s="63"/>
      <c r="BB983" s="63"/>
      <c r="BC983" s="63"/>
      <c r="BD983" s="63"/>
      <c r="BE983" s="63"/>
      <c r="BF983" s="63"/>
      <c r="BG983" s="63"/>
      <c r="BH983" s="63"/>
      <c r="BI983" s="63"/>
      <c r="BJ983" s="63"/>
      <c r="BK983" s="63"/>
      <c r="BL983" s="63"/>
      <c r="BM983" s="63"/>
      <c r="BN983" s="63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4"/>
      <c r="L984" s="65"/>
      <c r="M984" s="63"/>
      <c r="N984" s="63"/>
      <c r="O984" s="63"/>
      <c r="P984" s="63"/>
      <c r="Q984" s="63"/>
      <c r="R984" s="65"/>
      <c r="S984" s="63"/>
      <c r="T984" s="63"/>
      <c r="U984" s="63"/>
      <c r="V984" s="63"/>
      <c r="W984" s="64"/>
      <c r="X984" s="63"/>
      <c r="Y984" s="63"/>
      <c r="Z984" s="63"/>
      <c r="AA984" s="63"/>
      <c r="AB984" s="63"/>
      <c r="AC984" s="63"/>
      <c r="AD984" s="63"/>
      <c r="AE984" s="63"/>
      <c r="AF984" s="63"/>
      <c r="AG984" s="63"/>
      <c r="AH984" s="63"/>
      <c r="AI984" s="63"/>
      <c r="AJ984" s="63"/>
      <c r="AK984" s="63"/>
      <c r="AL984" s="63"/>
      <c r="AM984" s="63"/>
      <c r="AN984" s="63"/>
      <c r="AO984" s="63"/>
      <c r="AP984" s="63"/>
      <c r="AQ984" s="63"/>
      <c r="AR984" s="63"/>
      <c r="AS984" s="63"/>
      <c r="AT984" s="63"/>
      <c r="AU984" s="63"/>
      <c r="AV984" s="63"/>
      <c r="AW984" s="63"/>
      <c r="AX984" s="63"/>
      <c r="AY984" s="63"/>
      <c r="AZ984" s="63"/>
      <c r="BA984" s="63"/>
      <c r="BB984" s="63"/>
      <c r="BC984" s="63"/>
      <c r="BD984" s="63"/>
      <c r="BE984" s="63"/>
      <c r="BF984" s="63"/>
      <c r="BG984" s="63"/>
      <c r="BH984" s="63"/>
      <c r="BI984" s="63"/>
      <c r="BJ984" s="63"/>
      <c r="BK984" s="63"/>
      <c r="BL984" s="63"/>
      <c r="BM984" s="63"/>
      <c r="BN984" s="63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4"/>
      <c r="L985" s="65"/>
      <c r="M985" s="63"/>
      <c r="N985" s="63"/>
      <c r="O985" s="63"/>
      <c r="P985" s="63"/>
      <c r="Q985" s="63"/>
      <c r="R985" s="65"/>
      <c r="S985" s="63"/>
      <c r="T985" s="63"/>
      <c r="U985" s="63"/>
      <c r="V985" s="63"/>
      <c r="W985" s="64"/>
      <c r="X985" s="63"/>
      <c r="Y985" s="63"/>
      <c r="Z985" s="63"/>
      <c r="AA985" s="63"/>
      <c r="AB985" s="63"/>
      <c r="AC985" s="63"/>
      <c r="AD985" s="63"/>
      <c r="AE985" s="63"/>
      <c r="AF985" s="63"/>
      <c r="AG985" s="63"/>
      <c r="AH985" s="63"/>
      <c r="AI985" s="63"/>
      <c r="AJ985" s="63"/>
      <c r="AK985" s="63"/>
      <c r="AL985" s="63"/>
      <c r="AM985" s="63"/>
      <c r="AN985" s="63"/>
      <c r="AO985" s="63"/>
      <c r="AP985" s="63"/>
      <c r="AQ985" s="63"/>
      <c r="AR985" s="63"/>
      <c r="AS985" s="63"/>
      <c r="AT985" s="63"/>
      <c r="AU985" s="63"/>
      <c r="AV985" s="63"/>
      <c r="AW985" s="63"/>
      <c r="AX985" s="63"/>
      <c r="AY985" s="63"/>
      <c r="AZ985" s="63"/>
      <c r="BA985" s="63"/>
      <c r="BB985" s="63"/>
      <c r="BC985" s="63"/>
      <c r="BD985" s="63"/>
      <c r="BE985" s="63"/>
      <c r="BF985" s="63"/>
      <c r="BG985" s="63"/>
      <c r="BH985" s="63"/>
      <c r="BI985" s="63"/>
      <c r="BJ985" s="63"/>
      <c r="BK985" s="63"/>
      <c r="BL985" s="63"/>
      <c r="BM985" s="63"/>
      <c r="BN985" s="63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4"/>
      <c r="L986" s="65"/>
      <c r="M986" s="63"/>
      <c r="N986" s="63"/>
      <c r="O986" s="63"/>
      <c r="P986" s="63"/>
      <c r="Q986" s="63"/>
      <c r="R986" s="65"/>
      <c r="S986" s="63"/>
      <c r="T986" s="63"/>
      <c r="U986" s="63"/>
      <c r="V986" s="63"/>
      <c r="W986" s="64"/>
      <c r="X986" s="63"/>
      <c r="Y986" s="63"/>
      <c r="Z986" s="63"/>
      <c r="AA986" s="63"/>
      <c r="AB986" s="63"/>
      <c r="AC986" s="63"/>
      <c r="AD986" s="63"/>
      <c r="AE986" s="63"/>
      <c r="AF986" s="63"/>
      <c r="AG986" s="63"/>
      <c r="AH986" s="63"/>
      <c r="AI986" s="63"/>
      <c r="AJ986" s="63"/>
      <c r="AK986" s="63"/>
      <c r="AL986" s="63"/>
      <c r="AM986" s="63"/>
      <c r="AN986" s="63"/>
      <c r="AO986" s="63"/>
      <c r="AP986" s="63"/>
      <c r="AQ986" s="63"/>
      <c r="AR986" s="63"/>
      <c r="AS986" s="63"/>
      <c r="AT986" s="63"/>
      <c r="AU986" s="63"/>
      <c r="AV986" s="63"/>
      <c r="AW986" s="63"/>
      <c r="AX986" s="63"/>
      <c r="AY986" s="63"/>
      <c r="AZ986" s="63"/>
      <c r="BA986" s="63"/>
      <c r="BB986" s="63"/>
      <c r="BC986" s="63"/>
      <c r="BD986" s="63"/>
      <c r="BE986" s="63"/>
      <c r="BF986" s="63"/>
      <c r="BG986" s="63"/>
      <c r="BH986" s="63"/>
      <c r="BI986" s="63"/>
      <c r="BJ986" s="63"/>
      <c r="BK986" s="63"/>
      <c r="BL986" s="63"/>
      <c r="BM986" s="63"/>
      <c r="BN986" s="63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4"/>
      <c r="L987" s="65"/>
      <c r="M987" s="63"/>
      <c r="N987" s="63"/>
      <c r="O987" s="63"/>
      <c r="P987" s="63"/>
      <c r="Q987" s="63"/>
      <c r="R987" s="65"/>
      <c r="S987" s="63"/>
      <c r="T987" s="63"/>
      <c r="U987" s="63"/>
      <c r="V987" s="63"/>
      <c r="W987" s="64"/>
      <c r="X987" s="63"/>
      <c r="Y987" s="63"/>
      <c r="Z987" s="63"/>
      <c r="AA987" s="63"/>
      <c r="AB987" s="63"/>
      <c r="AC987" s="63"/>
      <c r="AD987" s="63"/>
      <c r="AE987" s="63"/>
      <c r="AF987" s="63"/>
      <c r="AG987" s="63"/>
      <c r="AH987" s="63"/>
      <c r="AI987" s="63"/>
      <c r="AJ987" s="63"/>
      <c r="AK987" s="63"/>
      <c r="AL987" s="63"/>
      <c r="AM987" s="63"/>
      <c r="AN987" s="63"/>
      <c r="AO987" s="63"/>
      <c r="AP987" s="63"/>
      <c r="AQ987" s="63"/>
      <c r="AR987" s="63"/>
      <c r="AS987" s="63"/>
      <c r="AT987" s="63"/>
      <c r="AU987" s="63"/>
      <c r="AV987" s="63"/>
      <c r="AW987" s="63"/>
      <c r="AX987" s="63"/>
      <c r="AY987" s="63"/>
      <c r="AZ987" s="63"/>
      <c r="BA987" s="63"/>
      <c r="BB987" s="63"/>
      <c r="BC987" s="63"/>
      <c r="BD987" s="63"/>
      <c r="BE987" s="63"/>
      <c r="BF987" s="63"/>
      <c r="BG987" s="63"/>
      <c r="BH987" s="63"/>
      <c r="BI987" s="63"/>
      <c r="BJ987" s="63"/>
      <c r="BK987" s="63"/>
      <c r="BL987" s="63"/>
      <c r="BM987" s="63"/>
      <c r="BN987" s="63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4"/>
      <c r="L988" s="65"/>
      <c r="M988" s="63"/>
      <c r="N988" s="63"/>
      <c r="O988" s="63"/>
      <c r="P988" s="63"/>
      <c r="Q988" s="63"/>
      <c r="R988" s="65"/>
      <c r="S988" s="63"/>
      <c r="T988" s="63"/>
      <c r="U988" s="63"/>
      <c r="V988" s="63"/>
      <c r="W988" s="64"/>
      <c r="X988" s="63"/>
      <c r="Y988" s="63"/>
      <c r="Z988" s="63"/>
      <c r="AA988" s="63"/>
      <c r="AB988" s="63"/>
      <c r="AC988" s="63"/>
      <c r="AD988" s="63"/>
      <c r="AE988" s="63"/>
      <c r="AF988" s="63"/>
      <c r="AG988" s="63"/>
      <c r="AH988" s="63"/>
      <c r="AI988" s="63"/>
      <c r="AJ988" s="63"/>
      <c r="AK988" s="63"/>
      <c r="AL988" s="63"/>
      <c r="AM988" s="63"/>
      <c r="AN988" s="63"/>
      <c r="AO988" s="63"/>
      <c r="AP988" s="63"/>
      <c r="AQ988" s="63"/>
      <c r="AR988" s="63"/>
      <c r="AS988" s="63"/>
      <c r="AT988" s="63"/>
      <c r="AU988" s="63"/>
      <c r="AV988" s="63"/>
      <c r="AW988" s="63"/>
      <c r="AX988" s="63"/>
      <c r="AY988" s="63"/>
      <c r="AZ988" s="63"/>
      <c r="BA988" s="63"/>
      <c r="BB988" s="63"/>
      <c r="BC988" s="63"/>
      <c r="BD988" s="63"/>
      <c r="BE988" s="63"/>
      <c r="BF988" s="63"/>
      <c r="BG988" s="63"/>
      <c r="BH988" s="63"/>
      <c r="BI988" s="63"/>
      <c r="BJ988" s="63"/>
      <c r="BK988" s="63"/>
      <c r="BL988" s="63"/>
      <c r="BM988" s="63"/>
      <c r="BN988" s="63"/>
    </row>
    <row r="989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4"/>
      <c r="L989" s="65"/>
      <c r="M989" s="63"/>
      <c r="N989" s="63"/>
      <c r="O989" s="63"/>
      <c r="P989" s="63"/>
      <c r="Q989" s="63"/>
      <c r="R989" s="65"/>
      <c r="S989" s="63"/>
      <c r="T989" s="63"/>
      <c r="U989" s="63"/>
      <c r="V989" s="63"/>
      <c r="W989" s="64"/>
      <c r="X989" s="63"/>
      <c r="Y989" s="63"/>
      <c r="Z989" s="63"/>
      <c r="AA989" s="63"/>
      <c r="AB989" s="63"/>
      <c r="AC989" s="63"/>
      <c r="AD989" s="63"/>
      <c r="AE989" s="63"/>
      <c r="AF989" s="63"/>
      <c r="AG989" s="63"/>
      <c r="AH989" s="63"/>
      <c r="AI989" s="63"/>
      <c r="AJ989" s="63"/>
      <c r="AK989" s="63"/>
      <c r="AL989" s="63"/>
      <c r="AM989" s="63"/>
      <c r="AN989" s="63"/>
      <c r="AO989" s="63"/>
      <c r="AP989" s="63"/>
      <c r="AQ989" s="63"/>
      <c r="AR989" s="63"/>
      <c r="AS989" s="63"/>
      <c r="AT989" s="63"/>
      <c r="AU989" s="63"/>
      <c r="AV989" s="63"/>
      <c r="AW989" s="63"/>
      <c r="AX989" s="63"/>
      <c r="AY989" s="63"/>
      <c r="AZ989" s="63"/>
      <c r="BA989" s="63"/>
      <c r="BB989" s="63"/>
      <c r="BC989" s="63"/>
      <c r="BD989" s="63"/>
      <c r="BE989" s="63"/>
      <c r="BF989" s="63"/>
      <c r="BG989" s="63"/>
      <c r="BH989" s="63"/>
      <c r="BI989" s="63"/>
      <c r="BJ989" s="63"/>
      <c r="BK989" s="63"/>
      <c r="BL989" s="63"/>
      <c r="BM989" s="63"/>
      <c r="BN989" s="63"/>
    </row>
    <row r="990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4"/>
      <c r="L990" s="65"/>
      <c r="M990" s="63"/>
      <c r="N990" s="63"/>
      <c r="O990" s="63"/>
      <c r="P990" s="63"/>
      <c r="Q990" s="63"/>
      <c r="R990" s="65"/>
      <c r="S990" s="63"/>
      <c r="T990" s="63"/>
      <c r="U990" s="63"/>
      <c r="V990" s="63"/>
      <c r="W990" s="64"/>
      <c r="X990" s="63"/>
      <c r="Y990" s="63"/>
      <c r="Z990" s="63"/>
      <c r="AA990" s="63"/>
      <c r="AB990" s="63"/>
      <c r="AC990" s="63"/>
      <c r="AD990" s="63"/>
      <c r="AE990" s="63"/>
      <c r="AF990" s="63"/>
      <c r="AG990" s="63"/>
      <c r="AH990" s="63"/>
      <c r="AI990" s="63"/>
      <c r="AJ990" s="63"/>
      <c r="AK990" s="63"/>
      <c r="AL990" s="63"/>
      <c r="AM990" s="63"/>
      <c r="AN990" s="63"/>
      <c r="AO990" s="63"/>
      <c r="AP990" s="63"/>
      <c r="AQ990" s="63"/>
      <c r="AR990" s="63"/>
      <c r="AS990" s="63"/>
      <c r="AT990" s="63"/>
      <c r="AU990" s="63"/>
      <c r="AV990" s="63"/>
      <c r="AW990" s="63"/>
      <c r="AX990" s="63"/>
      <c r="AY990" s="63"/>
      <c r="AZ990" s="63"/>
      <c r="BA990" s="63"/>
      <c r="BB990" s="63"/>
      <c r="BC990" s="63"/>
      <c r="BD990" s="63"/>
      <c r="BE990" s="63"/>
      <c r="BF990" s="63"/>
      <c r="BG990" s="63"/>
      <c r="BH990" s="63"/>
      <c r="BI990" s="63"/>
      <c r="BJ990" s="63"/>
      <c r="BK990" s="63"/>
      <c r="BL990" s="63"/>
      <c r="BM990" s="63"/>
      <c r="BN990" s="63"/>
    </row>
    <row r="99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4"/>
      <c r="L991" s="65"/>
      <c r="M991" s="63"/>
      <c r="N991" s="63"/>
      <c r="O991" s="63"/>
      <c r="P991" s="63"/>
      <c r="Q991" s="63"/>
      <c r="R991" s="65"/>
      <c r="S991" s="63"/>
      <c r="T991" s="63"/>
      <c r="U991" s="63"/>
      <c r="V991" s="63"/>
      <c r="W991" s="64"/>
      <c r="X991" s="63"/>
      <c r="Y991" s="63"/>
      <c r="Z991" s="63"/>
      <c r="AA991" s="63"/>
      <c r="AB991" s="63"/>
      <c r="AC991" s="63"/>
      <c r="AD991" s="63"/>
      <c r="AE991" s="63"/>
      <c r="AF991" s="63"/>
      <c r="AG991" s="63"/>
      <c r="AH991" s="63"/>
      <c r="AI991" s="63"/>
      <c r="AJ991" s="63"/>
      <c r="AK991" s="63"/>
      <c r="AL991" s="63"/>
      <c r="AM991" s="63"/>
      <c r="AN991" s="63"/>
      <c r="AO991" s="63"/>
      <c r="AP991" s="63"/>
      <c r="AQ991" s="63"/>
      <c r="AR991" s="63"/>
      <c r="AS991" s="63"/>
      <c r="AT991" s="63"/>
      <c r="AU991" s="63"/>
      <c r="AV991" s="63"/>
      <c r="AW991" s="63"/>
      <c r="AX991" s="63"/>
      <c r="AY991" s="63"/>
      <c r="AZ991" s="63"/>
      <c r="BA991" s="63"/>
      <c r="BB991" s="63"/>
      <c r="BC991" s="63"/>
      <c r="BD991" s="63"/>
      <c r="BE991" s="63"/>
      <c r="BF991" s="63"/>
      <c r="BG991" s="63"/>
      <c r="BH991" s="63"/>
      <c r="BI991" s="63"/>
      <c r="BJ991" s="63"/>
      <c r="BK991" s="63"/>
      <c r="BL991" s="63"/>
      <c r="BM991" s="63"/>
      <c r="BN991" s="63"/>
    </row>
    <row r="992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4"/>
      <c r="L992" s="65"/>
      <c r="M992" s="63"/>
      <c r="N992" s="63"/>
      <c r="O992" s="63"/>
      <c r="P992" s="63"/>
      <c r="Q992" s="63"/>
      <c r="R992" s="65"/>
      <c r="S992" s="63"/>
      <c r="T992" s="63"/>
      <c r="U992" s="63"/>
      <c r="V992" s="63"/>
      <c r="W992" s="64"/>
      <c r="X992" s="63"/>
      <c r="Y992" s="63"/>
      <c r="Z992" s="63"/>
      <c r="AA992" s="63"/>
      <c r="AB992" s="63"/>
      <c r="AC992" s="63"/>
      <c r="AD992" s="63"/>
      <c r="AE992" s="63"/>
      <c r="AF992" s="63"/>
      <c r="AG992" s="63"/>
      <c r="AH992" s="63"/>
      <c r="AI992" s="63"/>
      <c r="AJ992" s="63"/>
      <c r="AK992" s="63"/>
      <c r="AL992" s="63"/>
      <c r="AM992" s="63"/>
      <c r="AN992" s="63"/>
      <c r="AO992" s="63"/>
      <c r="AP992" s="63"/>
      <c r="AQ992" s="63"/>
      <c r="AR992" s="63"/>
      <c r="AS992" s="63"/>
      <c r="AT992" s="63"/>
      <c r="AU992" s="63"/>
      <c r="AV992" s="63"/>
      <c r="AW992" s="63"/>
      <c r="AX992" s="63"/>
      <c r="AY992" s="63"/>
      <c r="AZ992" s="63"/>
      <c r="BA992" s="63"/>
      <c r="BB992" s="63"/>
      <c r="BC992" s="63"/>
      <c r="BD992" s="63"/>
      <c r="BE992" s="63"/>
      <c r="BF992" s="63"/>
      <c r="BG992" s="63"/>
      <c r="BH992" s="63"/>
      <c r="BI992" s="63"/>
      <c r="BJ992" s="63"/>
      <c r="BK992" s="63"/>
      <c r="BL992" s="63"/>
      <c r="BM992" s="63"/>
      <c r="BN992" s="63"/>
    </row>
    <row r="993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4"/>
      <c r="L993" s="65"/>
      <c r="M993" s="63"/>
      <c r="N993" s="63"/>
      <c r="O993" s="63"/>
      <c r="P993" s="63"/>
      <c r="Q993" s="63"/>
      <c r="R993" s="65"/>
      <c r="S993" s="63"/>
      <c r="T993" s="63"/>
      <c r="U993" s="63"/>
      <c r="V993" s="63"/>
      <c r="W993" s="64"/>
      <c r="X993" s="63"/>
      <c r="Y993" s="63"/>
      <c r="Z993" s="63"/>
      <c r="AA993" s="63"/>
      <c r="AB993" s="63"/>
      <c r="AC993" s="63"/>
      <c r="AD993" s="63"/>
      <c r="AE993" s="63"/>
      <c r="AF993" s="63"/>
      <c r="AG993" s="63"/>
      <c r="AH993" s="63"/>
      <c r="AI993" s="63"/>
      <c r="AJ993" s="63"/>
      <c r="AK993" s="63"/>
      <c r="AL993" s="63"/>
      <c r="AM993" s="63"/>
      <c r="AN993" s="63"/>
      <c r="AO993" s="63"/>
      <c r="AP993" s="63"/>
      <c r="AQ993" s="63"/>
      <c r="AR993" s="63"/>
      <c r="AS993" s="63"/>
      <c r="AT993" s="63"/>
      <c r="AU993" s="63"/>
      <c r="AV993" s="63"/>
      <c r="AW993" s="63"/>
      <c r="AX993" s="63"/>
      <c r="AY993" s="63"/>
      <c r="AZ993" s="63"/>
      <c r="BA993" s="63"/>
      <c r="BB993" s="63"/>
      <c r="BC993" s="63"/>
      <c r="BD993" s="63"/>
      <c r="BE993" s="63"/>
      <c r="BF993" s="63"/>
      <c r="BG993" s="63"/>
      <c r="BH993" s="63"/>
      <c r="BI993" s="63"/>
      <c r="BJ993" s="63"/>
      <c r="BK993" s="63"/>
      <c r="BL993" s="63"/>
      <c r="BM993" s="63"/>
      <c r="BN993" s="63"/>
    </row>
    <row r="994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4"/>
      <c r="L994" s="65"/>
      <c r="M994" s="63"/>
      <c r="N994" s="63"/>
      <c r="O994" s="63"/>
      <c r="P994" s="63"/>
      <c r="Q994" s="63"/>
      <c r="R994" s="65"/>
      <c r="S994" s="63"/>
      <c r="T994" s="63"/>
      <c r="U994" s="63"/>
      <c r="V994" s="63"/>
      <c r="W994" s="64"/>
      <c r="X994" s="63"/>
      <c r="Y994" s="63"/>
      <c r="Z994" s="63"/>
      <c r="AA994" s="63"/>
      <c r="AB994" s="63"/>
      <c r="AC994" s="63"/>
      <c r="AD994" s="63"/>
      <c r="AE994" s="63"/>
      <c r="AF994" s="63"/>
      <c r="AG994" s="63"/>
      <c r="AH994" s="63"/>
      <c r="AI994" s="63"/>
      <c r="AJ994" s="63"/>
      <c r="AK994" s="63"/>
      <c r="AL994" s="63"/>
      <c r="AM994" s="63"/>
      <c r="AN994" s="63"/>
      <c r="AO994" s="63"/>
      <c r="AP994" s="63"/>
      <c r="AQ994" s="63"/>
      <c r="AR994" s="63"/>
      <c r="AS994" s="63"/>
      <c r="AT994" s="63"/>
      <c r="AU994" s="63"/>
      <c r="AV994" s="63"/>
      <c r="AW994" s="63"/>
      <c r="AX994" s="63"/>
      <c r="AY994" s="63"/>
      <c r="AZ994" s="63"/>
      <c r="BA994" s="63"/>
      <c r="BB994" s="63"/>
      <c r="BC994" s="63"/>
      <c r="BD994" s="63"/>
      <c r="BE994" s="63"/>
      <c r="BF994" s="63"/>
      <c r="BG994" s="63"/>
      <c r="BH994" s="63"/>
      <c r="BI994" s="63"/>
      <c r="BJ994" s="63"/>
      <c r="BK994" s="63"/>
      <c r="BL994" s="63"/>
      <c r="BM994" s="63"/>
      <c r="BN994" s="63"/>
    </row>
    <row r="99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4"/>
      <c r="L995" s="65"/>
      <c r="M995" s="63"/>
      <c r="N995" s="63"/>
      <c r="O995" s="63"/>
      <c r="P995" s="63"/>
      <c r="Q995" s="63"/>
      <c r="R995" s="65"/>
      <c r="S995" s="63"/>
      <c r="T995" s="63"/>
      <c r="U995" s="63"/>
      <c r="V995" s="63"/>
      <c r="W995" s="64"/>
      <c r="X995" s="63"/>
      <c r="Y995" s="63"/>
      <c r="Z995" s="63"/>
      <c r="AA995" s="63"/>
      <c r="AB995" s="63"/>
      <c r="AC995" s="63"/>
      <c r="AD995" s="63"/>
      <c r="AE995" s="63"/>
      <c r="AF995" s="63"/>
      <c r="AG995" s="63"/>
      <c r="AH995" s="63"/>
      <c r="AI995" s="63"/>
      <c r="AJ995" s="63"/>
      <c r="AK995" s="63"/>
      <c r="AL995" s="63"/>
      <c r="AM995" s="63"/>
      <c r="AN995" s="63"/>
      <c r="AO995" s="63"/>
      <c r="AP995" s="63"/>
      <c r="AQ995" s="63"/>
      <c r="AR995" s="63"/>
      <c r="AS995" s="63"/>
      <c r="AT995" s="63"/>
      <c r="AU995" s="63"/>
      <c r="AV995" s="63"/>
      <c r="AW995" s="63"/>
      <c r="AX995" s="63"/>
      <c r="AY995" s="63"/>
      <c r="AZ995" s="63"/>
      <c r="BA995" s="63"/>
      <c r="BB995" s="63"/>
      <c r="BC995" s="63"/>
      <c r="BD995" s="63"/>
      <c r="BE995" s="63"/>
      <c r="BF995" s="63"/>
      <c r="BG995" s="63"/>
      <c r="BH995" s="63"/>
      <c r="BI995" s="63"/>
      <c r="BJ995" s="63"/>
      <c r="BK995" s="63"/>
      <c r="BL995" s="63"/>
      <c r="BM995" s="63"/>
      <c r="BN995" s="63"/>
    </row>
    <row r="996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4"/>
      <c r="L996" s="65"/>
      <c r="M996" s="63"/>
      <c r="N996" s="63"/>
      <c r="O996" s="63"/>
      <c r="P996" s="63"/>
      <c r="Q996" s="63"/>
      <c r="R996" s="65"/>
      <c r="S996" s="63"/>
      <c r="T996" s="63"/>
      <c r="U996" s="63"/>
      <c r="V996" s="63"/>
      <c r="W996" s="64"/>
      <c r="X996" s="63"/>
      <c r="Y996" s="63"/>
      <c r="Z996" s="63"/>
      <c r="AA996" s="63"/>
      <c r="AB996" s="63"/>
      <c r="AC996" s="63"/>
      <c r="AD996" s="63"/>
      <c r="AE996" s="63"/>
      <c r="AF996" s="63"/>
      <c r="AG996" s="63"/>
      <c r="AH996" s="63"/>
      <c r="AI996" s="63"/>
      <c r="AJ996" s="63"/>
      <c r="AK996" s="63"/>
      <c r="AL996" s="63"/>
      <c r="AM996" s="63"/>
      <c r="AN996" s="63"/>
      <c r="AO996" s="63"/>
      <c r="AP996" s="63"/>
      <c r="AQ996" s="63"/>
      <c r="AR996" s="63"/>
      <c r="AS996" s="63"/>
      <c r="AT996" s="63"/>
      <c r="AU996" s="63"/>
      <c r="AV996" s="63"/>
      <c r="AW996" s="63"/>
      <c r="AX996" s="63"/>
      <c r="AY996" s="63"/>
      <c r="AZ996" s="63"/>
      <c r="BA996" s="63"/>
      <c r="BB996" s="63"/>
      <c r="BC996" s="63"/>
      <c r="BD996" s="63"/>
      <c r="BE996" s="63"/>
      <c r="BF996" s="63"/>
      <c r="BG996" s="63"/>
      <c r="BH996" s="63"/>
      <c r="BI996" s="63"/>
      <c r="BJ996" s="63"/>
      <c r="BK996" s="63"/>
      <c r="BL996" s="63"/>
      <c r="BM996" s="63"/>
      <c r="BN996" s="63"/>
    </row>
    <row r="997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4"/>
      <c r="L997" s="65"/>
      <c r="M997" s="63"/>
      <c r="N997" s="63"/>
      <c r="O997" s="63"/>
      <c r="P997" s="63"/>
      <c r="Q997" s="63"/>
      <c r="R997" s="65"/>
      <c r="S997" s="63"/>
      <c r="T997" s="63"/>
      <c r="U997" s="63"/>
      <c r="V997" s="63"/>
      <c r="W997" s="64"/>
      <c r="X997" s="63"/>
      <c r="Y997" s="63"/>
      <c r="Z997" s="63"/>
      <c r="AA997" s="63"/>
      <c r="AB997" s="63"/>
      <c r="AC997" s="63"/>
      <c r="AD997" s="63"/>
      <c r="AE997" s="63"/>
      <c r="AF997" s="63"/>
      <c r="AG997" s="63"/>
      <c r="AH997" s="63"/>
      <c r="AI997" s="63"/>
      <c r="AJ997" s="63"/>
      <c r="AK997" s="63"/>
      <c r="AL997" s="63"/>
      <c r="AM997" s="63"/>
      <c r="AN997" s="63"/>
      <c r="AO997" s="63"/>
      <c r="AP997" s="63"/>
      <c r="AQ997" s="63"/>
      <c r="AR997" s="63"/>
      <c r="AS997" s="63"/>
      <c r="AT997" s="63"/>
      <c r="AU997" s="63"/>
      <c r="AV997" s="63"/>
      <c r="AW997" s="63"/>
      <c r="AX997" s="63"/>
      <c r="AY997" s="63"/>
      <c r="AZ997" s="63"/>
      <c r="BA997" s="63"/>
      <c r="BB997" s="63"/>
      <c r="BC997" s="63"/>
      <c r="BD997" s="63"/>
      <c r="BE997" s="63"/>
      <c r="BF997" s="63"/>
      <c r="BG997" s="63"/>
      <c r="BH997" s="63"/>
      <c r="BI997" s="63"/>
      <c r="BJ997" s="63"/>
      <c r="BK997" s="63"/>
      <c r="BL997" s="63"/>
      <c r="BM997" s="63"/>
      <c r="BN997" s="63"/>
    </row>
    <row r="998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4"/>
      <c r="L998" s="65"/>
      <c r="M998" s="63"/>
      <c r="N998" s="63"/>
      <c r="O998" s="63"/>
      <c r="P998" s="63"/>
      <c r="Q998" s="63"/>
      <c r="R998" s="65"/>
      <c r="S998" s="63"/>
      <c r="T998" s="63"/>
      <c r="U998" s="63"/>
      <c r="V998" s="63"/>
      <c r="W998" s="64"/>
      <c r="X998" s="63"/>
      <c r="Y998" s="63"/>
      <c r="Z998" s="63"/>
      <c r="AA998" s="63"/>
      <c r="AB998" s="63"/>
      <c r="AC998" s="63"/>
      <c r="AD998" s="63"/>
      <c r="AE998" s="63"/>
      <c r="AF998" s="63"/>
      <c r="AG998" s="63"/>
      <c r="AH998" s="63"/>
      <c r="AI998" s="63"/>
      <c r="AJ998" s="63"/>
      <c r="AK998" s="63"/>
      <c r="AL998" s="63"/>
      <c r="AM998" s="63"/>
      <c r="AN998" s="63"/>
      <c r="AO998" s="63"/>
      <c r="AP998" s="63"/>
      <c r="AQ998" s="63"/>
      <c r="AR998" s="63"/>
      <c r="AS998" s="63"/>
      <c r="AT998" s="63"/>
      <c r="AU998" s="63"/>
      <c r="AV998" s="63"/>
      <c r="AW998" s="63"/>
      <c r="AX998" s="63"/>
      <c r="AY998" s="63"/>
      <c r="AZ998" s="63"/>
      <c r="BA998" s="63"/>
      <c r="BB998" s="63"/>
      <c r="BC998" s="63"/>
      <c r="BD998" s="63"/>
      <c r="BE998" s="63"/>
      <c r="BF998" s="63"/>
      <c r="BG998" s="63"/>
      <c r="BH998" s="63"/>
      <c r="BI998" s="63"/>
      <c r="BJ998" s="63"/>
      <c r="BK998" s="63"/>
      <c r="BL998" s="63"/>
      <c r="BM998" s="63"/>
      <c r="BN998" s="63"/>
    </row>
    <row r="999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4"/>
      <c r="L999" s="65"/>
      <c r="M999" s="63"/>
      <c r="N999" s="63"/>
      <c r="O999" s="63"/>
      <c r="P999" s="63"/>
      <c r="Q999" s="63"/>
      <c r="R999" s="65"/>
      <c r="S999" s="63"/>
      <c r="T999" s="63"/>
      <c r="U999" s="63"/>
      <c r="V999" s="63"/>
      <c r="W999" s="64"/>
      <c r="X999" s="63"/>
      <c r="Y999" s="63"/>
      <c r="Z999" s="63"/>
      <c r="AA999" s="63"/>
      <c r="AB999" s="63"/>
      <c r="AC999" s="63"/>
      <c r="AD999" s="63"/>
      <c r="AE999" s="63"/>
      <c r="AF999" s="63"/>
      <c r="AG999" s="63"/>
      <c r="AH999" s="63"/>
      <c r="AI999" s="63"/>
      <c r="AJ999" s="63"/>
      <c r="AK999" s="63"/>
      <c r="AL999" s="63"/>
      <c r="AM999" s="63"/>
      <c r="AN999" s="63"/>
      <c r="AO999" s="63"/>
      <c r="AP999" s="63"/>
      <c r="AQ999" s="63"/>
      <c r="AR999" s="63"/>
      <c r="AS999" s="63"/>
      <c r="AT999" s="63"/>
      <c r="AU999" s="63"/>
      <c r="AV999" s="63"/>
      <c r="AW999" s="63"/>
      <c r="AX999" s="63"/>
      <c r="AY999" s="63"/>
      <c r="AZ999" s="63"/>
      <c r="BA999" s="63"/>
      <c r="BB999" s="63"/>
      <c r="BC999" s="63"/>
      <c r="BD999" s="63"/>
      <c r="BE999" s="63"/>
      <c r="BF999" s="63"/>
      <c r="BG999" s="63"/>
      <c r="BH999" s="63"/>
      <c r="BI999" s="63"/>
      <c r="BJ999" s="63"/>
      <c r="BK999" s="63"/>
      <c r="BL999" s="63"/>
      <c r="BM999" s="63"/>
      <c r="BN999" s="63"/>
    </row>
    <row r="1000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4"/>
      <c r="L1000" s="65"/>
      <c r="M1000" s="63"/>
      <c r="N1000" s="63"/>
      <c r="O1000" s="63"/>
      <c r="P1000" s="63"/>
      <c r="Q1000" s="63"/>
      <c r="R1000" s="65"/>
      <c r="S1000" s="63"/>
      <c r="T1000" s="63"/>
      <c r="U1000" s="63"/>
      <c r="V1000" s="63"/>
      <c r="W1000" s="64"/>
      <c r="X1000" s="63"/>
      <c r="Y1000" s="63"/>
      <c r="Z1000" s="63"/>
      <c r="AA1000" s="63"/>
      <c r="AB1000" s="63"/>
      <c r="AC1000" s="63"/>
      <c r="AD1000" s="63"/>
      <c r="AE1000" s="63"/>
      <c r="AF1000" s="63"/>
      <c r="AG1000" s="63"/>
      <c r="AH1000" s="63"/>
      <c r="AI1000" s="63"/>
      <c r="AJ1000" s="63"/>
      <c r="AK1000" s="63"/>
      <c r="AL1000" s="63"/>
      <c r="AM1000" s="63"/>
      <c r="AN1000" s="63"/>
      <c r="AO1000" s="63"/>
      <c r="AP1000" s="63"/>
      <c r="AQ1000" s="63"/>
      <c r="AR1000" s="63"/>
      <c r="AS1000" s="63"/>
      <c r="AT1000" s="63"/>
      <c r="AU1000" s="63"/>
      <c r="AV1000" s="63"/>
      <c r="AW1000" s="63"/>
      <c r="AX1000" s="63"/>
      <c r="AY1000" s="63"/>
      <c r="AZ1000" s="63"/>
      <c r="BA1000" s="63"/>
      <c r="BB1000" s="63"/>
      <c r="BC1000" s="63"/>
      <c r="BD1000" s="63"/>
      <c r="BE1000" s="63"/>
      <c r="BF1000" s="63"/>
      <c r="BG1000" s="63"/>
      <c r="BH1000" s="63"/>
      <c r="BI1000" s="63"/>
      <c r="BJ1000" s="63"/>
      <c r="BK1000" s="63"/>
      <c r="BL1000" s="63"/>
      <c r="BM1000" s="63"/>
      <c r="BN1000" s="63"/>
    </row>
    <row r="1001">
      <c r="A1001" s="63"/>
      <c r="B1001" s="63"/>
      <c r="C1001" s="63"/>
      <c r="D1001" s="63"/>
      <c r="E1001" s="63"/>
      <c r="F1001" s="63"/>
      <c r="G1001" s="63"/>
      <c r="H1001" s="63"/>
      <c r="I1001" s="63"/>
      <c r="J1001" s="63"/>
      <c r="K1001" s="64"/>
      <c r="L1001" s="65"/>
      <c r="M1001" s="63"/>
      <c r="N1001" s="63"/>
      <c r="O1001" s="63"/>
      <c r="P1001" s="63"/>
      <c r="Q1001" s="63"/>
      <c r="R1001" s="65"/>
      <c r="S1001" s="63"/>
      <c r="T1001" s="63"/>
      <c r="U1001" s="63"/>
      <c r="V1001" s="63"/>
      <c r="W1001" s="64"/>
      <c r="X1001" s="63"/>
      <c r="Y1001" s="63"/>
      <c r="Z1001" s="63"/>
      <c r="AA1001" s="63"/>
      <c r="AB1001" s="63"/>
      <c r="AC1001" s="63"/>
      <c r="AD1001" s="63"/>
      <c r="AE1001" s="63"/>
      <c r="AF1001" s="63"/>
      <c r="AG1001" s="63"/>
      <c r="AH1001" s="63"/>
      <c r="AI1001" s="63"/>
      <c r="AJ1001" s="63"/>
      <c r="AK1001" s="63"/>
      <c r="AL1001" s="63"/>
      <c r="AM1001" s="63"/>
      <c r="AN1001" s="63"/>
      <c r="AO1001" s="63"/>
      <c r="AP1001" s="63"/>
      <c r="AQ1001" s="63"/>
      <c r="AR1001" s="63"/>
      <c r="AS1001" s="63"/>
      <c r="AT1001" s="63"/>
      <c r="AU1001" s="63"/>
      <c r="AV1001" s="63"/>
      <c r="AW1001" s="63"/>
      <c r="AX1001" s="63"/>
      <c r="AY1001" s="63"/>
      <c r="AZ1001" s="63"/>
      <c r="BA1001" s="63"/>
      <c r="BB1001" s="63"/>
      <c r="BC1001" s="63"/>
      <c r="BD1001" s="63"/>
      <c r="BE1001" s="63"/>
      <c r="BF1001" s="63"/>
      <c r="BG1001" s="63"/>
      <c r="BH1001" s="63"/>
      <c r="BI1001" s="63"/>
      <c r="BJ1001" s="63"/>
      <c r="BK1001" s="63"/>
      <c r="BL1001" s="63"/>
      <c r="BM1001" s="63"/>
      <c r="BN1001" s="63"/>
    </row>
    <row r="1002">
      <c r="A1002" s="63"/>
      <c r="B1002" s="63"/>
      <c r="C1002" s="63"/>
      <c r="D1002" s="63"/>
      <c r="E1002" s="63"/>
      <c r="F1002" s="63"/>
      <c r="G1002" s="63"/>
      <c r="H1002" s="63"/>
      <c r="I1002" s="63"/>
      <c r="J1002" s="63"/>
      <c r="K1002" s="64"/>
      <c r="L1002" s="65"/>
      <c r="M1002" s="63"/>
      <c r="N1002" s="63"/>
      <c r="O1002" s="63"/>
      <c r="P1002" s="63"/>
      <c r="Q1002" s="63"/>
      <c r="R1002" s="65"/>
      <c r="S1002" s="63"/>
      <c r="T1002" s="63"/>
      <c r="U1002" s="63"/>
      <c r="V1002" s="63"/>
      <c r="W1002" s="64"/>
      <c r="X1002" s="63"/>
      <c r="Y1002" s="63"/>
      <c r="Z1002" s="63"/>
      <c r="AA1002" s="63"/>
      <c r="AB1002" s="63"/>
      <c r="AC1002" s="63"/>
      <c r="AD1002" s="63"/>
      <c r="AE1002" s="63"/>
      <c r="AF1002" s="63"/>
      <c r="AG1002" s="63"/>
      <c r="AH1002" s="63"/>
      <c r="AI1002" s="63"/>
      <c r="AJ1002" s="63"/>
      <c r="AK1002" s="63"/>
      <c r="AL1002" s="63"/>
      <c r="AM1002" s="63"/>
      <c r="AN1002" s="63"/>
      <c r="AO1002" s="63"/>
      <c r="AP1002" s="63"/>
      <c r="AQ1002" s="63"/>
      <c r="AR1002" s="63"/>
      <c r="AS1002" s="63"/>
      <c r="AT1002" s="63"/>
      <c r="AU1002" s="63"/>
      <c r="AV1002" s="63"/>
      <c r="AW1002" s="63"/>
      <c r="AX1002" s="63"/>
      <c r="AY1002" s="63"/>
      <c r="AZ1002" s="63"/>
      <c r="BA1002" s="63"/>
      <c r="BB1002" s="63"/>
      <c r="BC1002" s="63"/>
      <c r="BD1002" s="63"/>
      <c r="BE1002" s="63"/>
      <c r="BF1002" s="63"/>
      <c r="BG1002" s="63"/>
      <c r="BH1002" s="63"/>
      <c r="BI1002" s="63"/>
      <c r="BJ1002" s="63"/>
      <c r="BK1002" s="63"/>
      <c r="BL1002" s="63"/>
      <c r="BM1002" s="63"/>
      <c r="BN1002" s="63"/>
    </row>
    <row r="1003">
      <c r="A1003" s="63"/>
      <c r="B1003" s="63"/>
      <c r="C1003" s="63"/>
      <c r="D1003" s="63"/>
      <c r="E1003" s="63"/>
      <c r="F1003" s="63"/>
      <c r="G1003" s="63"/>
      <c r="H1003" s="63"/>
      <c r="I1003" s="63"/>
      <c r="J1003" s="63"/>
      <c r="K1003" s="64"/>
      <c r="L1003" s="65"/>
      <c r="M1003" s="63"/>
      <c r="N1003" s="63"/>
      <c r="O1003" s="63"/>
      <c r="P1003" s="63"/>
      <c r="Q1003" s="63"/>
      <c r="R1003" s="65"/>
      <c r="S1003" s="63"/>
      <c r="T1003" s="63"/>
      <c r="U1003" s="63"/>
      <c r="V1003" s="63"/>
      <c r="W1003" s="64"/>
      <c r="X1003" s="63"/>
      <c r="Y1003" s="63"/>
      <c r="Z1003" s="63"/>
      <c r="AA1003" s="63"/>
      <c r="AB1003" s="63"/>
      <c r="AC1003" s="63"/>
      <c r="AD1003" s="63"/>
      <c r="AE1003" s="63"/>
      <c r="AF1003" s="63"/>
      <c r="AG1003" s="63"/>
      <c r="AH1003" s="63"/>
      <c r="AI1003" s="63"/>
      <c r="AJ1003" s="63"/>
      <c r="AK1003" s="63"/>
      <c r="AL1003" s="63"/>
      <c r="AM1003" s="63"/>
      <c r="AN1003" s="63"/>
      <c r="AO1003" s="63"/>
      <c r="AP1003" s="63"/>
      <c r="AQ1003" s="63"/>
      <c r="AR1003" s="63"/>
      <c r="AS1003" s="63"/>
      <c r="AT1003" s="63"/>
      <c r="AU1003" s="63"/>
      <c r="AV1003" s="63"/>
      <c r="AW1003" s="63"/>
      <c r="AX1003" s="63"/>
      <c r="AY1003" s="63"/>
      <c r="AZ1003" s="63"/>
      <c r="BA1003" s="63"/>
      <c r="BB1003" s="63"/>
      <c r="BC1003" s="63"/>
      <c r="BD1003" s="63"/>
      <c r="BE1003" s="63"/>
      <c r="BF1003" s="63"/>
      <c r="BG1003" s="63"/>
      <c r="BH1003" s="63"/>
      <c r="BI1003" s="63"/>
      <c r="BJ1003" s="63"/>
      <c r="BK1003" s="63"/>
      <c r="BL1003" s="63"/>
      <c r="BM1003" s="63"/>
      <c r="BN1003" s="63"/>
    </row>
    <row r="1004">
      <c r="A1004" s="63"/>
      <c r="B1004" s="63"/>
      <c r="C1004" s="63"/>
      <c r="D1004" s="63"/>
      <c r="E1004" s="63"/>
      <c r="F1004" s="63"/>
      <c r="G1004" s="63"/>
      <c r="H1004" s="63"/>
      <c r="I1004" s="63"/>
      <c r="J1004" s="63"/>
      <c r="K1004" s="64"/>
      <c r="L1004" s="65"/>
      <c r="M1004" s="63"/>
      <c r="N1004" s="63"/>
      <c r="O1004" s="63"/>
      <c r="P1004" s="63"/>
      <c r="Q1004" s="63"/>
      <c r="R1004" s="65"/>
      <c r="S1004" s="63"/>
      <c r="T1004" s="63"/>
      <c r="U1004" s="63"/>
      <c r="V1004" s="63"/>
      <c r="W1004" s="64"/>
      <c r="X1004" s="63"/>
      <c r="Y1004" s="63"/>
      <c r="Z1004" s="63"/>
      <c r="AA1004" s="63"/>
      <c r="AB1004" s="63"/>
      <c r="AC1004" s="63"/>
      <c r="AD1004" s="63"/>
      <c r="AE1004" s="63"/>
      <c r="AF1004" s="63"/>
      <c r="AG1004" s="63"/>
      <c r="AH1004" s="63"/>
      <c r="AI1004" s="63"/>
      <c r="AJ1004" s="63"/>
      <c r="AK1004" s="63"/>
      <c r="AL1004" s="63"/>
      <c r="AM1004" s="63"/>
      <c r="AN1004" s="63"/>
      <c r="AO1004" s="63"/>
      <c r="AP1004" s="63"/>
      <c r="AQ1004" s="63"/>
      <c r="AR1004" s="63"/>
      <c r="AS1004" s="63"/>
      <c r="AT1004" s="63"/>
      <c r="AU1004" s="63"/>
      <c r="AV1004" s="63"/>
      <c r="AW1004" s="63"/>
      <c r="AX1004" s="63"/>
      <c r="AY1004" s="63"/>
      <c r="AZ1004" s="63"/>
      <c r="BA1004" s="63"/>
      <c r="BB1004" s="63"/>
      <c r="BC1004" s="63"/>
      <c r="BD1004" s="63"/>
      <c r="BE1004" s="63"/>
      <c r="BF1004" s="63"/>
      <c r="BG1004" s="63"/>
      <c r="BH1004" s="63"/>
      <c r="BI1004" s="63"/>
      <c r="BJ1004" s="63"/>
      <c r="BK1004" s="63"/>
      <c r="BL1004" s="63"/>
      <c r="BM1004" s="63"/>
      <c r="BN1004" s="63"/>
    </row>
    <row r="1005">
      <c r="A1005" s="63"/>
      <c r="B1005" s="63"/>
      <c r="C1005" s="63"/>
      <c r="D1005" s="63"/>
      <c r="E1005" s="63"/>
      <c r="F1005" s="63"/>
      <c r="G1005" s="63"/>
      <c r="H1005" s="63"/>
      <c r="I1005" s="63"/>
      <c r="J1005" s="63"/>
      <c r="K1005" s="64"/>
      <c r="L1005" s="65"/>
      <c r="M1005" s="63"/>
      <c r="N1005" s="63"/>
      <c r="O1005" s="63"/>
      <c r="P1005" s="63"/>
      <c r="Q1005" s="63"/>
      <c r="R1005" s="65"/>
      <c r="S1005" s="63"/>
      <c r="T1005" s="63"/>
      <c r="U1005" s="63"/>
      <c r="V1005" s="63"/>
      <c r="W1005" s="64"/>
      <c r="X1005" s="63"/>
      <c r="Y1005" s="63"/>
      <c r="Z1005" s="63"/>
      <c r="AA1005" s="63"/>
      <c r="AB1005" s="63"/>
      <c r="AC1005" s="63"/>
      <c r="AD1005" s="63"/>
      <c r="AE1005" s="63"/>
      <c r="AF1005" s="63"/>
      <c r="AG1005" s="63"/>
      <c r="AH1005" s="63"/>
      <c r="AI1005" s="63"/>
      <c r="AJ1005" s="63"/>
      <c r="AK1005" s="63"/>
      <c r="AL1005" s="63"/>
      <c r="AM1005" s="63"/>
      <c r="AN1005" s="63"/>
      <c r="AO1005" s="63"/>
      <c r="AP1005" s="63"/>
      <c r="AQ1005" s="63"/>
      <c r="AR1005" s="63"/>
      <c r="AS1005" s="63"/>
      <c r="AT1005" s="63"/>
      <c r="AU1005" s="63"/>
      <c r="AV1005" s="63"/>
      <c r="AW1005" s="63"/>
      <c r="AX1005" s="63"/>
      <c r="AY1005" s="63"/>
      <c r="AZ1005" s="63"/>
      <c r="BA1005" s="63"/>
      <c r="BB1005" s="63"/>
      <c r="BC1005" s="63"/>
      <c r="BD1005" s="63"/>
      <c r="BE1005" s="63"/>
      <c r="BF1005" s="63"/>
      <c r="BG1005" s="63"/>
      <c r="BH1005" s="63"/>
      <c r="BI1005" s="63"/>
      <c r="BJ1005" s="63"/>
      <c r="BK1005" s="63"/>
      <c r="BL1005" s="63"/>
      <c r="BM1005" s="63"/>
      <c r="BN1005" s="63"/>
    </row>
    <row r="1006">
      <c r="A1006" s="63"/>
      <c r="B1006" s="63"/>
      <c r="C1006" s="63"/>
      <c r="D1006" s="63"/>
      <c r="E1006" s="63"/>
      <c r="F1006" s="63"/>
      <c r="G1006" s="63"/>
      <c r="H1006" s="63"/>
      <c r="I1006" s="63"/>
      <c r="J1006" s="63"/>
      <c r="K1006" s="64"/>
      <c r="L1006" s="65"/>
      <c r="M1006" s="63"/>
      <c r="N1006" s="63"/>
      <c r="O1006" s="63"/>
      <c r="P1006" s="63"/>
      <c r="Q1006" s="63"/>
      <c r="R1006" s="65"/>
      <c r="S1006" s="63"/>
      <c r="T1006" s="63"/>
      <c r="U1006" s="63"/>
      <c r="V1006" s="63"/>
      <c r="W1006" s="64"/>
      <c r="X1006" s="63"/>
      <c r="Y1006" s="63"/>
      <c r="Z1006" s="63"/>
      <c r="AA1006" s="63"/>
      <c r="AB1006" s="63"/>
      <c r="AC1006" s="63"/>
      <c r="AD1006" s="63"/>
      <c r="AE1006" s="63"/>
      <c r="AF1006" s="63"/>
      <c r="AG1006" s="63"/>
      <c r="AH1006" s="63"/>
      <c r="AI1006" s="63"/>
      <c r="AJ1006" s="63"/>
      <c r="AK1006" s="63"/>
      <c r="AL1006" s="63"/>
      <c r="AM1006" s="63"/>
      <c r="AN1006" s="63"/>
      <c r="AO1006" s="63"/>
      <c r="AP1006" s="63"/>
      <c r="AQ1006" s="63"/>
      <c r="AR1006" s="63"/>
      <c r="AS1006" s="63"/>
      <c r="AT1006" s="63"/>
      <c r="AU1006" s="63"/>
      <c r="AV1006" s="63"/>
      <c r="AW1006" s="63"/>
      <c r="AX1006" s="63"/>
      <c r="AY1006" s="63"/>
      <c r="AZ1006" s="63"/>
      <c r="BA1006" s="63"/>
      <c r="BB1006" s="63"/>
      <c r="BC1006" s="63"/>
      <c r="BD1006" s="63"/>
      <c r="BE1006" s="63"/>
      <c r="BF1006" s="63"/>
      <c r="BG1006" s="63"/>
      <c r="BH1006" s="63"/>
      <c r="BI1006" s="63"/>
      <c r="BJ1006" s="63"/>
      <c r="BK1006" s="63"/>
      <c r="BL1006" s="63"/>
      <c r="BM1006" s="63"/>
      <c r="BN1006" s="63"/>
    </row>
    <row r="1007">
      <c r="A1007" s="63"/>
      <c r="B1007" s="63"/>
      <c r="C1007" s="63"/>
      <c r="D1007" s="63"/>
      <c r="E1007" s="63"/>
      <c r="F1007" s="63"/>
      <c r="G1007" s="63"/>
      <c r="H1007" s="63"/>
      <c r="I1007" s="63"/>
      <c r="J1007" s="63"/>
      <c r="K1007" s="64"/>
      <c r="L1007" s="65"/>
      <c r="M1007" s="63"/>
      <c r="N1007" s="63"/>
      <c r="O1007" s="63"/>
      <c r="P1007" s="63"/>
      <c r="Q1007" s="63"/>
      <c r="R1007" s="65"/>
      <c r="S1007" s="63"/>
      <c r="T1007" s="63"/>
      <c r="U1007" s="63"/>
      <c r="V1007" s="63"/>
      <c r="W1007" s="64"/>
      <c r="X1007" s="63"/>
      <c r="Y1007" s="63"/>
      <c r="Z1007" s="63"/>
      <c r="AA1007" s="63"/>
      <c r="AB1007" s="63"/>
      <c r="AC1007" s="63"/>
      <c r="AD1007" s="63"/>
      <c r="AE1007" s="63"/>
      <c r="AF1007" s="63"/>
      <c r="AG1007" s="63"/>
      <c r="AH1007" s="63"/>
      <c r="AI1007" s="63"/>
      <c r="AJ1007" s="63"/>
      <c r="AK1007" s="63"/>
      <c r="AL1007" s="63"/>
      <c r="AM1007" s="63"/>
      <c r="AN1007" s="63"/>
      <c r="AO1007" s="63"/>
      <c r="AP1007" s="63"/>
      <c r="AQ1007" s="63"/>
      <c r="AR1007" s="63"/>
      <c r="AS1007" s="63"/>
      <c r="AT1007" s="63"/>
      <c r="AU1007" s="63"/>
      <c r="AV1007" s="63"/>
      <c r="AW1007" s="63"/>
      <c r="AX1007" s="63"/>
      <c r="AY1007" s="63"/>
      <c r="AZ1007" s="63"/>
      <c r="BA1007" s="63"/>
      <c r="BB1007" s="63"/>
      <c r="BC1007" s="63"/>
      <c r="BD1007" s="63"/>
      <c r="BE1007" s="63"/>
      <c r="BF1007" s="63"/>
      <c r="BG1007" s="63"/>
      <c r="BH1007" s="63"/>
      <c r="BI1007" s="63"/>
      <c r="BJ1007" s="63"/>
      <c r="BK1007" s="63"/>
      <c r="BL1007" s="63"/>
      <c r="BM1007" s="63"/>
      <c r="BN1007" s="63"/>
    </row>
    <row r="1008">
      <c r="A1008" s="63"/>
      <c r="B1008" s="63"/>
      <c r="C1008" s="63"/>
      <c r="D1008" s="63"/>
      <c r="E1008" s="63"/>
      <c r="F1008" s="63"/>
      <c r="G1008" s="63"/>
      <c r="H1008" s="63"/>
      <c r="I1008" s="63"/>
      <c r="J1008" s="63"/>
      <c r="K1008" s="64"/>
      <c r="L1008" s="65"/>
      <c r="M1008" s="63"/>
      <c r="N1008" s="63"/>
      <c r="O1008" s="63"/>
      <c r="P1008" s="63"/>
      <c r="Q1008" s="63"/>
      <c r="R1008" s="65"/>
      <c r="S1008" s="63"/>
      <c r="T1008" s="63"/>
      <c r="U1008" s="63"/>
      <c r="V1008" s="63"/>
      <c r="W1008" s="64"/>
      <c r="X1008" s="63"/>
      <c r="Y1008" s="63"/>
      <c r="Z1008" s="63"/>
      <c r="AA1008" s="63"/>
      <c r="AB1008" s="63"/>
      <c r="AC1008" s="63"/>
      <c r="AD1008" s="63"/>
      <c r="AE1008" s="63"/>
      <c r="AF1008" s="63"/>
      <c r="AG1008" s="63"/>
      <c r="AH1008" s="63"/>
      <c r="AI1008" s="63"/>
      <c r="AJ1008" s="63"/>
      <c r="AK1008" s="63"/>
      <c r="AL1008" s="63"/>
      <c r="AM1008" s="63"/>
      <c r="AN1008" s="63"/>
      <c r="AO1008" s="63"/>
      <c r="AP1008" s="63"/>
      <c r="AQ1008" s="63"/>
      <c r="AR1008" s="63"/>
      <c r="AS1008" s="63"/>
      <c r="AT1008" s="63"/>
      <c r="AU1008" s="63"/>
      <c r="AV1008" s="63"/>
      <c r="AW1008" s="63"/>
      <c r="AX1008" s="63"/>
      <c r="AY1008" s="63"/>
      <c r="AZ1008" s="63"/>
      <c r="BA1008" s="63"/>
      <c r="BB1008" s="63"/>
      <c r="BC1008" s="63"/>
      <c r="BD1008" s="63"/>
      <c r="BE1008" s="63"/>
      <c r="BF1008" s="63"/>
      <c r="BG1008" s="63"/>
      <c r="BH1008" s="63"/>
      <c r="BI1008" s="63"/>
      <c r="BJ1008" s="63"/>
      <c r="BK1008" s="63"/>
      <c r="BL1008" s="63"/>
      <c r="BM1008" s="63"/>
      <c r="BN1008" s="63"/>
    </row>
    <row r="1009">
      <c r="A1009" s="63"/>
      <c r="B1009" s="63"/>
      <c r="C1009" s="63"/>
      <c r="D1009" s="63"/>
      <c r="E1009" s="63"/>
      <c r="F1009" s="63"/>
      <c r="G1009" s="63"/>
      <c r="H1009" s="63"/>
      <c r="I1009" s="63"/>
      <c r="J1009" s="63"/>
      <c r="K1009" s="64"/>
      <c r="L1009" s="65"/>
      <c r="M1009" s="63"/>
      <c r="N1009" s="63"/>
      <c r="O1009" s="63"/>
      <c r="P1009" s="63"/>
      <c r="Q1009" s="63"/>
      <c r="R1009" s="65"/>
      <c r="S1009" s="63"/>
      <c r="T1009" s="63"/>
      <c r="U1009" s="63"/>
      <c r="V1009" s="63"/>
      <c r="W1009" s="64"/>
      <c r="X1009" s="63"/>
      <c r="Y1009" s="63"/>
      <c r="Z1009" s="63"/>
      <c r="AA1009" s="63"/>
      <c r="AB1009" s="63"/>
      <c r="AC1009" s="63"/>
      <c r="AD1009" s="63"/>
      <c r="AE1009" s="63"/>
      <c r="AF1009" s="63"/>
      <c r="AG1009" s="63"/>
      <c r="AH1009" s="63"/>
      <c r="AI1009" s="63"/>
      <c r="AJ1009" s="63"/>
      <c r="AK1009" s="63"/>
      <c r="AL1009" s="63"/>
      <c r="AM1009" s="63"/>
      <c r="AN1009" s="63"/>
      <c r="AO1009" s="63"/>
      <c r="AP1009" s="63"/>
      <c r="AQ1009" s="63"/>
      <c r="AR1009" s="63"/>
      <c r="AS1009" s="63"/>
      <c r="AT1009" s="63"/>
      <c r="AU1009" s="63"/>
      <c r="AV1009" s="63"/>
      <c r="AW1009" s="63"/>
      <c r="AX1009" s="63"/>
      <c r="AY1009" s="63"/>
      <c r="AZ1009" s="63"/>
      <c r="BA1009" s="63"/>
      <c r="BB1009" s="63"/>
      <c r="BC1009" s="63"/>
      <c r="BD1009" s="63"/>
      <c r="BE1009" s="63"/>
      <c r="BF1009" s="63"/>
      <c r="BG1009" s="63"/>
      <c r="BH1009" s="63"/>
      <c r="BI1009" s="63"/>
      <c r="BJ1009" s="63"/>
      <c r="BK1009" s="63"/>
      <c r="BL1009" s="63"/>
      <c r="BM1009" s="63"/>
      <c r="BN1009" s="63"/>
    </row>
  </sheetData>
  <hyperlinks>
    <hyperlink r:id="rId1" ref="J11"/>
    <hyperlink r:id="rId2" ref="V11"/>
    <hyperlink r:id="rId3" ref="AH11"/>
    <hyperlink r:id="rId4" ref="AT11"/>
    <hyperlink r:id="rId5" ref="J12"/>
    <hyperlink r:id="rId6" ref="V12"/>
    <hyperlink r:id="rId7" ref="AH12"/>
    <hyperlink r:id="rId8" ref="AT12"/>
    <hyperlink r:id="rId9" ref="J13"/>
    <hyperlink r:id="rId10" ref="V13"/>
    <hyperlink r:id="rId11" ref="AH13"/>
    <hyperlink r:id="rId12" ref="AT13"/>
    <hyperlink r:id="rId13" ref="J14"/>
    <hyperlink r:id="rId14" ref="V14"/>
    <hyperlink r:id="rId15" ref="AH14"/>
    <hyperlink r:id="rId16" ref="AT14"/>
    <hyperlink r:id="rId17" ref="J15"/>
    <hyperlink r:id="rId18" ref="V15"/>
    <hyperlink r:id="rId19" ref="AH15"/>
    <hyperlink r:id="rId20" ref="AT15"/>
    <hyperlink r:id="rId21" ref="J16"/>
    <hyperlink r:id="rId22" ref="V16"/>
    <hyperlink r:id="rId23" ref="AH16"/>
    <hyperlink r:id="rId24" ref="AT16"/>
    <hyperlink r:id="rId25" ref="J17"/>
    <hyperlink r:id="rId26" ref="V17"/>
    <hyperlink r:id="rId27" ref="AH17"/>
    <hyperlink r:id="rId28" ref="J18"/>
    <hyperlink r:id="rId29" ref="V18"/>
    <hyperlink r:id="rId30" ref="AH18"/>
    <hyperlink r:id="rId31" ref="J19"/>
    <hyperlink r:id="rId32" ref="V19"/>
    <hyperlink r:id="rId33" ref="AH19"/>
    <hyperlink r:id="rId34" ref="J20"/>
    <hyperlink r:id="rId35" ref="V20"/>
    <hyperlink r:id="rId36" ref="AH20"/>
    <hyperlink r:id="rId37" ref="J21"/>
    <hyperlink r:id="rId38" ref="V21"/>
    <hyperlink r:id="rId39" ref="AH21"/>
    <hyperlink r:id="rId40" ref="V22"/>
    <hyperlink r:id="rId41" ref="V23"/>
    <hyperlink r:id="rId42" ref="V24"/>
    <hyperlink r:id="rId43" ref="J25"/>
    <hyperlink r:id="rId44" ref="V25"/>
    <hyperlink r:id="rId45" ref="J26"/>
    <hyperlink r:id="rId46" ref="J27"/>
    <hyperlink r:id="rId47" ref="B28"/>
    <hyperlink r:id="rId48" ref="J28"/>
    <hyperlink r:id="rId49" ref="B36"/>
  </hyperlinks>
  <drawing r:id="rId5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.38"/>
    <col customWidth="1" min="6" max="7" width="21.0"/>
    <col customWidth="1" min="8" max="9" width="14.88"/>
  </cols>
  <sheetData>
    <row r="1">
      <c r="A1" s="133"/>
      <c r="B1" s="134" t="s">
        <v>4</v>
      </c>
      <c r="C1" s="135">
        <v>100000.0</v>
      </c>
      <c r="D1" s="136"/>
      <c r="E1" s="136" t="s">
        <v>90</v>
      </c>
      <c r="F1" s="137">
        <v>0.005</v>
      </c>
      <c r="G1" s="136"/>
      <c r="H1" s="136" t="s">
        <v>91</v>
      </c>
      <c r="I1" s="136"/>
      <c r="J1" s="136">
        <f>C1*F1</f>
        <v>500</v>
      </c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</row>
    <row r="2">
      <c r="A2" s="133"/>
      <c r="B2" s="134"/>
      <c r="C2" s="134"/>
      <c r="D2" s="136"/>
      <c r="E2" s="136"/>
      <c r="F2" s="136"/>
      <c r="G2" s="136"/>
      <c r="H2" s="136"/>
      <c r="I2" s="136"/>
      <c r="J2" s="136"/>
      <c r="K2" s="133"/>
      <c r="L2" s="133"/>
      <c r="M2" s="138" t="s">
        <v>92</v>
      </c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</row>
    <row r="3">
      <c r="A3" s="133"/>
      <c r="B3" s="134" t="s">
        <v>66</v>
      </c>
      <c r="C3" s="134" t="s">
        <v>93</v>
      </c>
      <c r="D3" s="138" t="s">
        <v>94</v>
      </c>
      <c r="E3" s="138" t="s">
        <v>95</v>
      </c>
      <c r="F3" s="136" t="s">
        <v>36</v>
      </c>
      <c r="G3" s="136" t="s">
        <v>96</v>
      </c>
      <c r="H3" s="138" t="s">
        <v>97</v>
      </c>
      <c r="I3" s="136" t="s">
        <v>98</v>
      </c>
      <c r="J3" s="136" t="s">
        <v>99</v>
      </c>
      <c r="K3" s="136" t="s">
        <v>100</v>
      </c>
      <c r="L3" s="136" t="s">
        <v>101</v>
      </c>
      <c r="M3" s="138" t="s">
        <v>102</v>
      </c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</row>
    <row r="4">
      <c r="B4" s="139" t="s">
        <v>103</v>
      </c>
      <c r="C4" s="140">
        <v>0.45</v>
      </c>
      <c r="F4" s="141">
        <f t="shared" ref="F4:F34" si="1">J4-I4</f>
        <v>68.833615</v>
      </c>
      <c r="G4" s="136">
        <v>3.0</v>
      </c>
      <c r="H4" s="142">
        <v>0.888795</v>
      </c>
      <c r="I4" s="142">
        <f t="shared" ref="I4:I34" si="2">H4*G4</f>
        <v>2.666385</v>
      </c>
      <c r="J4" s="143">
        <f>IFERROR(__xludf.DUMMYFUNCTION("GOOGLEFINANCE(B4)"),71.5)</f>
        <v>71.5</v>
      </c>
      <c r="K4" s="144">
        <f t="shared" ref="K4:K34" si="3">J4/I4</f>
        <v>26.81533237</v>
      </c>
      <c r="L4" s="144">
        <f t="shared" ref="L4:L34" si="4">K4*J4</f>
        <v>1917.296264</v>
      </c>
    </row>
    <row r="5">
      <c r="B5" s="139" t="s">
        <v>104</v>
      </c>
      <c r="C5" s="140">
        <v>0.52</v>
      </c>
      <c r="F5" s="141">
        <f t="shared" si="1"/>
        <v>100.510018</v>
      </c>
      <c r="G5" s="136">
        <v>3.0</v>
      </c>
      <c r="H5" s="142">
        <v>1.829994</v>
      </c>
      <c r="I5" s="142">
        <f t="shared" si="2"/>
        <v>5.489982</v>
      </c>
      <c r="J5" s="143">
        <f>IFERROR(__xludf.DUMMYFUNCTION("GOOGLEFINANCE(B5)"),106.0)</f>
        <v>106</v>
      </c>
      <c r="K5" s="144">
        <f t="shared" si="3"/>
        <v>19.30789573</v>
      </c>
      <c r="L5" s="144">
        <f t="shared" si="4"/>
        <v>2046.636947</v>
      </c>
    </row>
    <row r="6">
      <c r="B6" s="139" t="s">
        <v>105</v>
      </c>
      <c r="C6" s="140">
        <v>0.8</v>
      </c>
      <c r="F6" s="141">
        <f t="shared" si="1"/>
        <v>9.591782</v>
      </c>
      <c r="G6" s="136">
        <v>3.0</v>
      </c>
      <c r="H6" s="142">
        <v>0.179406</v>
      </c>
      <c r="I6" s="142">
        <f t="shared" si="2"/>
        <v>0.538218</v>
      </c>
      <c r="J6" s="143">
        <f>IFERROR(__xludf.DUMMYFUNCTION("GOOGLEFINANCE(B6)"),10.13)</f>
        <v>10.13</v>
      </c>
      <c r="K6" s="144">
        <f t="shared" si="3"/>
        <v>18.82136978</v>
      </c>
      <c r="L6" s="144">
        <f t="shared" si="4"/>
        <v>190.6604759</v>
      </c>
    </row>
    <row r="7">
      <c r="B7" s="139" t="s">
        <v>106</v>
      </c>
      <c r="C7" s="140">
        <v>2.92</v>
      </c>
      <c r="F7" s="141">
        <f t="shared" si="1"/>
        <v>219.0573</v>
      </c>
      <c r="G7" s="136">
        <v>3.0</v>
      </c>
      <c r="H7" s="142">
        <v>11.8909</v>
      </c>
      <c r="I7" s="142">
        <f t="shared" si="2"/>
        <v>35.6727</v>
      </c>
      <c r="J7" s="143">
        <f>IFERROR(__xludf.DUMMYFUNCTION("GOOGLEFINANCE(B7)"),254.73)</f>
        <v>254.73</v>
      </c>
      <c r="K7" s="144">
        <f t="shared" si="3"/>
        <v>7.140754695</v>
      </c>
      <c r="L7" s="144">
        <f t="shared" si="4"/>
        <v>1818.964443</v>
      </c>
    </row>
    <row r="8">
      <c r="B8" s="139" t="s">
        <v>107</v>
      </c>
      <c r="C8" s="140">
        <v>0.56</v>
      </c>
      <c r="F8" s="141">
        <f t="shared" si="1"/>
        <v>283.789066</v>
      </c>
      <c r="G8" s="136">
        <v>3.0</v>
      </c>
      <c r="H8" s="142">
        <v>6.276978</v>
      </c>
      <c r="I8" s="142">
        <f t="shared" si="2"/>
        <v>18.830934</v>
      </c>
      <c r="J8" s="143">
        <f>IFERROR(__xludf.DUMMYFUNCTION("GOOGLEFINANCE(B8)"),302.62)</f>
        <v>302.62</v>
      </c>
      <c r="K8" s="144">
        <f t="shared" si="3"/>
        <v>16.07036592</v>
      </c>
      <c r="L8" s="144">
        <f t="shared" si="4"/>
        <v>4863.214135</v>
      </c>
    </row>
    <row r="9">
      <c r="B9" s="139" t="s">
        <v>108</v>
      </c>
      <c r="C9" s="140">
        <v>0.47</v>
      </c>
      <c r="F9" s="141">
        <f t="shared" si="1"/>
        <v>252.189636</v>
      </c>
      <c r="G9" s="136">
        <v>3.0</v>
      </c>
      <c r="H9" s="142">
        <v>5.256788</v>
      </c>
      <c r="I9" s="142">
        <f t="shared" si="2"/>
        <v>15.770364</v>
      </c>
      <c r="J9" s="143">
        <f>IFERROR(__xludf.DUMMYFUNCTION("GOOGLEFINANCE(B9)"),267.96)</f>
        <v>267.96</v>
      </c>
      <c r="K9" s="144">
        <f t="shared" si="3"/>
        <v>16.99136431</v>
      </c>
      <c r="L9" s="144">
        <f t="shared" si="4"/>
        <v>4553.00598</v>
      </c>
    </row>
    <row r="10">
      <c r="B10" s="139" t="s">
        <v>109</v>
      </c>
      <c r="C10" s="140">
        <v>0.44</v>
      </c>
      <c r="F10" s="141">
        <f t="shared" si="1"/>
        <v>24.770826</v>
      </c>
      <c r="G10" s="136">
        <v>3.0</v>
      </c>
      <c r="H10" s="142">
        <v>0.493058</v>
      </c>
      <c r="I10" s="142">
        <f t="shared" si="2"/>
        <v>1.479174</v>
      </c>
      <c r="J10" s="143">
        <f>IFERROR(__xludf.DUMMYFUNCTION("GOOGLEFINANCE(B10)"),26.25)</f>
        <v>26.25</v>
      </c>
      <c r="K10" s="144">
        <f t="shared" si="3"/>
        <v>17.74639089</v>
      </c>
      <c r="L10" s="144">
        <f t="shared" si="4"/>
        <v>465.8427609</v>
      </c>
    </row>
    <row r="11">
      <c r="B11" s="139" t="s">
        <v>110</v>
      </c>
      <c r="C11" s="140">
        <v>0.78</v>
      </c>
      <c r="F11" s="141">
        <f t="shared" si="1"/>
        <v>23.270385</v>
      </c>
      <c r="G11" s="136">
        <v>3.0</v>
      </c>
      <c r="H11" s="142">
        <v>0.673205</v>
      </c>
      <c r="I11" s="142">
        <f t="shared" si="2"/>
        <v>2.019615</v>
      </c>
      <c r="J11" s="143">
        <f>IFERROR(__xludf.DUMMYFUNCTION("GOOGLEFINANCE(B11)"),25.29)</f>
        <v>25.29</v>
      </c>
      <c r="K11" s="144">
        <f t="shared" si="3"/>
        <v>12.52218863</v>
      </c>
      <c r="L11" s="144">
        <f t="shared" si="4"/>
        <v>316.6861506</v>
      </c>
    </row>
    <row r="12">
      <c r="B12" s="139" t="s">
        <v>111</v>
      </c>
      <c r="C12" s="140">
        <v>0.96</v>
      </c>
      <c r="F12" s="141">
        <f t="shared" si="1"/>
        <v>225.044949</v>
      </c>
      <c r="G12" s="136">
        <v>3.0</v>
      </c>
      <c r="H12" s="142">
        <v>8.345017</v>
      </c>
      <c r="I12" s="142">
        <f t="shared" si="2"/>
        <v>25.035051</v>
      </c>
      <c r="J12" s="143">
        <f>IFERROR(__xludf.DUMMYFUNCTION("GOOGLEFINANCE(B12)"),250.08)</f>
        <v>250.08</v>
      </c>
      <c r="K12" s="144">
        <f t="shared" si="3"/>
        <v>9.989194749</v>
      </c>
      <c r="L12" s="144">
        <f t="shared" si="4"/>
        <v>2498.097823</v>
      </c>
    </row>
    <row r="13">
      <c r="B13" s="139" t="s">
        <v>112</v>
      </c>
      <c r="C13" s="140">
        <v>4.03</v>
      </c>
      <c r="F13" s="141">
        <f t="shared" si="1"/>
        <v>162.261845</v>
      </c>
      <c r="G13" s="136">
        <v>3.0</v>
      </c>
      <c r="H13" s="142">
        <v>7.039385</v>
      </c>
      <c r="I13" s="142">
        <f t="shared" si="2"/>
        <v>21.118155</v>
      </c>
      <c r="J13" s="143">
        <f>IFERROR(__xludf.DUMMYFUNCTION("GOOGLEFINANCE(B13)"),183.38)</f>
        <v>183.38</v>
      </c>
      <c r="K13" s="144">
        <f t="shared" si="3"/>
        <v>8.683523726</v>
      </c>
      <c r="L13" s="144">
        <f t="shared" si="4"/>
        <v>1592.384581</v>
      </c>
    </row>
    <row r="14">
      <c r="B14" s="139" t="s">
        <v>113</v>
      </c>
      <c r="C14" s="140">
        <v>0.52</v>
      </c>
      <c r="F14" s="141">
        <f t="shared" si="1"/>
        <v>88.262732</v>
      </c>
      <c r="G14" s="136">
        <v>3.0</v>
      </c>
      <c r="H14" s="142">
        <v>1.855756</v>
      </c>
      <c r="I14" s="142">
        <f t="shared" si="2"/>
        <v>5.567268</v>
      </c>
      <c r="J14" s="143">
        <f>IFERROR(__xludf.DUMMYFUNCTION("GOOGLEFINANCE(B14)"),93.83)</f>
        <v>93.83</v>
      </c>
      <c r="K14" s="144">
        <f t="shared" si="3"/>
        <v>16.853868</v>
      </c>
      <c r="L14" s="144">
        <f t="shared" si="4"/>
        <v>1581.398435</v>
      </c>
    </row>
    <row r="15">
      <c r="B15" s="139" t="s">
        <v>114</v>
      </c>
      <c r="C15" s="140">
        <v>0.47</v>
      </c>
      <c r="F15" s="141">
        <f t="shared" si="1"/>
        <v>109.847403</v>
      </c>
      <c r="G15" s="136">
        <v>3.0</v>
      </c>
      <c r="H15" s="142">
        <v>2.824199</v>
      </c>
      <c r="I15" s="142">
        <f t="shared" si="2"/>
        <v>8.472597</v>
      </c>
      <c r="J15" s="143">
        <f>IFERROR(__xludf.DUMMYFUNCTION("GOOGLEFINANCE(B15)"),118.32)</f>
        <v>118.32</v>
      </c>
      <c r="K15" s="144">
        <f t="shared" si="3"/>
        <v>13.96502159</v>
      </c>
      <c r="L15" s="144">
        <f t="shared" si="4"/>
        <v>1652.341354</v>
      </c>
    </row>
    <row r="16">
      <c r="B16" s="139" t="s">
        <v>115</v>
      </c>
      <c r="C16" s="140">
        <v>0.81</v>
      </c>
      <c r="F16" s="141">
        <f t="shared" si="1"/>
        <v>250.22963</v>
      </c>
      <c r="G16" s="136">
        <v>3.0</v>
      </c>
      <c r="H16" s="142">
        <v>12.68679</v>
      </c>
      <c r="I16" s="142">
        <f t="shared" si="2"/>
        <v>38.06037</v>
      </c>
      <c r="J16" s="143">
        <f>IFERROR(__xludf.DUMMYFUNCTION("GOOGLEFINANCE(B16)"),288.29)</f>
        <v>288.29</v>
      </c>
      <c r="K16" s="144">
        <f t="shared" si="3"/>
        <v>7.574545387</v>
      </c>
      <c r="L16" s="144">
        <f t="shared" si="4"/>
        <v>2183.66569</v>
      </c>
    </row>
    <row r="17">
      <c r="B17" s="139" t="s">
        <v>116</v>
      </c>
      <c r="C17" s="140">
        <v>0.54</v>
      </c>
      <c r="F17" s="141">
        <f t="shared" si="1"/>
        <v>81.620617</v>
      </c>
      <c r="G17" s="136">
        <v>3.0</v>
      </c>
      <c r="H17" s="142">
        <v>1.816461</v>
      </c>
      <c r="I17" s="142">
        <f t="shared" si="2"/>
        <v>5.449383</v>
      </c>
      <c r="J17" s="143">
        <f>IFERROR(__xludf.DUMMYFUNCTION("GOOGLEFINANCE(B17)"),87.07)</f>
        <v>87.07</v>
      </c>
      <c r="K17" s="144">
        <f t="shared" si="3"/>
        <v>15.97795567</v>
      </c>
      <c r="L17" s="144">
        <f t="shared" si="4"/>
        <v>1391.2006</v>
      </c>
    </row>
    <row r="18">
      <c r="B18" s="139" t="s">
        <v>117</v>
      </c>
      <c r="C18" s="140">
        <v>0.69</v>
      </c>
      <c r="F18" s="141">
        <f t="shared" si="1"/>
        <v>17.903486</v>
      </c>
      <c r="G18" s="136">
        <v>3.0</v>
      </c>
      <c r="H18" s="142">
        <v>0.338838</v>
      </c>
      <c r="I18" s="142">
        <f t="shared" si="2"/>
        <v>1.016514</v>
      </c>
      <c r="J18" s="143">
        <f>IFERROR(__xludf.DUMMYFUNCTION("GOOGLEFINANCE(B18)"),18.92)</f>
        <v>18.92</v>
      </c>
      <c r="K18" s="144">
        <f t="shared" si="3"/>
        <v>18.61263101</v>
      </c>
      <c r="L18" s="144">
        <f t="shared" si="4"/>
        <v>352.1509787</v>
      </c>
    </row>
    <row r="19">
      <c r="B19" s="139" t="s">
        <v>118</v>
      </c>
      <c r="C19" s="140">
        <v>0.83</v>
      </c>
      <c r="F19" s="141">
        <f t="shared" si="1"/>
        <v>606.71786</v>
      </c>
      <c r="G19" s="136">
        <v>3.0</v>
      </c>
      <c r="H19" s="142">
        <v>22.67738</v>
      </c>
      <c r="I19" s="142">
        <f t="shared" si="2"/>
        <v>68.03214</v>
      </c>
      <c r="J19" s="143">
        <f>IFERROR(__xludf.DUMMYFUNCTION("GOOGLEFINANCE(B19)"),674.75)</f>
        <v>674.75</v>
      </c>
      <c r="K19" s="144">
        <f t="shared" si="3"/>
        <v>9.918106354</v>
      </c>
      <c r="L19" s="144">
        <f t="shared" si="4"/>
        <v>6692.242262</v>
      </c>
    </row>
    <row r="20">
      <c r="B20" s="139" t="s">
        <v>119</v>
      </c>
      <c r="C20" s="140">
        <v>0.48</v>
      </c>
      <c r="F20" s="141">
        <f t="shared" si="1"/>
        <v>6.106108</v>
      </c>
      <c r="G20" s="136">
        <v>3.0</v>
      </c>
      <c r="H20" s="142">
        <v>0.117964</v>
      </c>
      <c r="I20" s="142">
        <f t="shared" si="2"/>
        <v>0.353892</v>
      </c>
      <c r="J20" s="143">
        <f>IFERROR(__xludf.DUMMYFUNCTION("GOOGLEFINANCE(B20)"),6.46)</f>
        <v>6.46</v>
      </c>
      <c r="K20" s="144">
        <f t="shared" si="3"/>
        <v>18.25415664</v>
      </c>
      <c r="L20" s="144">
        <f t="shared" si="4"/>
        <v>117.9218519</v>
      </c>
    </row>
    <row r="21">
      <c r="B21" s="139" t="s">
        <v>120</v>
      </c>
      <c r="C21" s="140">
        <v>2.13</v>
      </c>
      <c r="F21" s="141">
        <f t="shared" si="1"/>
        <v>109.049074</v>
      </c>
      <c r="G21" s="136">
        <v>3.0</v>
      </c>
      <c r="H21" s="142">
        <v>5.543642</v>
      </c>
      <c r="I21" s="142">
        <f t="shared" si="2"/>
        <v>16.630926</v>
      </c>
      <c r="J21" s="143">
        <f>IFERROR(__xludf.DUMMYFUNCTION("GOOGLEFINANCE(B21)"),125.68)</f>
        <v>125.68</v>
      </c>
      <c r="K21" s="144">
        <f t="shared" si="3"/>
        <v>7.557005545</v>
      </c>
      <c r="L21" s="144">
        <f t="shared" si="4"/>
        <v>949.7644569</v>
      </c>
    </row>
    <row r="22">
      <c r="B22" s="139" t="s">
        <v>121</v>
      </c>
      <c r="C22" s="140">
        <v>1.0</v>
      </c>
      <c r="F22" s="141">
        <f t="shared" si="1"/>
        <v>176.176591</v>
      </c>
      <c r="G22" s="136">
        <v>3.0</v>
      </c>
      <c r="H22" s="142">
        <v>5.637803</v>
      </c>
      <c r="I22" s="142">
        <f t="shared" si="2"/>
        <v>16.913409</v>
      </c>
      <c r="J22" s="143">
        <f>IFERROR(__xludf.DUMMYFUNCTION("GOOGLEFINANCE(B22)"),193.09)</f>
        <v>193.09</v>
      </c>
      <c r="K22" s="144">
        <f t="shared" si="3"/>
        <v>11.41638566</v>
      </c>
      <c r="L22" s="144">
        <f t="shared" si="4"/>
        <v>2204.389907</v>
      </c>
    </row>
    <row r="23">
      <c r="B23" s="139" t="s">
        <v>122</v>
      </c>
      <c r="C23" s="140">
        <v>0.65</v>
      </c>
      <c r="F23" s="141">
        <f t="shared" si="1"/>
        <v>1133.69213</v>
      </c>
      <c r="G23" s="136">
        <v>3.0</v>
      </c>
      <c r="H23" s="142">
        <v>27.38929</v>
      </c>
      <c r="I23" s="142">
        <f t="shared" si="2"/>
        <v>82.16787</v>
      </c>
      <c r="J23" s="143">
        <f>IFERROR(__xludf.DUMMYFUNCTION("GOOGLEFINANCE(B23)"),1215.86)</f>
        <v>1215.86</v>
      </c>
      <c r="K23" s="144">
        <f t="shared" si="3"/>
        <v>14.79726808</v>
      </c>
      <c r="L23" s="144">
        <f t="shared" si="4"/>
        <v>17991.40637</v>
      </c>
    </row>
    <row r="24">
      <c r="B24" s="139" t="s">
        <v>123</v>
      </c>
      <c r="C24" s="140">
        <v>1.01</v>
      </c>
      <c r="F24" s="141">
        <f t="shared" si="1"/>
        <v>88.333108</v>
      </c>
      <c r="G24" s="136">
        <v>3.0</v>
      </c>
      <c r="H24" s="142">
        <v>3.238964</v>
      </c>
      <c r="I24" s="142">
        <f t="shared" si="2"/>
        <v>9.716892</v>
      </c>
      <c r="J24" s="143">
        <f>IFERROR(__xludf.DUMMYFUNCTION("GOOGLEFINANCE(B24)"),98.05)</f>
        <v>98.05</v>
      </c>
      <c r="K24" s="144">
        <f t="shared" si="3"/>
        <v>10.09067508</v>
      </c>
      <c r="L24" s="144">
        <f t="shared" si="4"/>
        <v>989.390692</v>
      </c>
    </row>
    <row r="25">
      <c r="B25" s="139" t="s">
        <v>124</v>
      </c>
      <c r="C25" s="140">
        <v>0.44</v>
      </c>
      <c r="F25" s="141">
        <f t="shared" si="1"/>
        <v>731.70679</v>
      </c>
      <c r="G25" s="136">
        <v>3.0</v>
      </c>
      <c r="H25" s="142">
        <v>15.90107</v>
      </c>
      <c r="I25" s="142">
        <f t="shared" si="2"/>
        <v>47.70321</v>
      </c>
      <c r="J25" s="143">
        <f>IFERROR(__xludf.DUMMYFUNCTION("GOOGLEFINANCE(B25)"),779.41)</f>
        <v>779.41</v>
      </c>
      <c r="K25" s="144">
        <f t="shared" si="3"/>
        <v>16.33873276</v>
      </c>
      <c r="L25" s="144">
        <f t="shared" si="4"/>
        <v>12734.5717</v>
      </c>
    </row>
    <row r="26">
      <c r="B26" s="139" t="s">
        <v>125</v>
      </c>
      <c r="C26" s="140">
        <v>0.83</v>
      </c>
      <c r="F26" s="141">
        <f t="shared" si="1"/>
        <v>39.414136</v>
      </c>
      <c r="G26" s="136">
        <v>3.0</v>
      </c>
      <c r="H26" s="142">
        <v>1.325288</v>
      </c>
      <c r="I26" s="142">
        <f t="shared" si="2"/>
        <v>3.975864</v>
      </c>
      <c r="J26" s="143">
        <f>IFERROR(__xludf.DUMMYFUNCTION("GOOGLEFINANCE(B26)"),43.39)</f>
        <v>43.39</v>
      </c>
      <c r="K26" s="144">
        <f t="shared" si="3"/>
        <v>10.91335116</v>
      </c>
      <c r="L26" s="144">
        <f t="shared" si="4"/>
        <v>473.5303069</v>
      </c>
    </row>
    <row r="27">
      <c r="B27" s="139" t="s">
        <v>126</v>
      </c>
      <c r="C27" s="140">
        <v>0.64</v>
      </c>
      <c r="F27" s="141">
        <f t="shared" si="1"/>
        <v>19.455644</v>
      </c>
      <c r="G27" s="136">
        <v>3.0</v>
      </c>
      <c r="H27" s="142">
        <v>0.341452</v>
      </c>
      <c r="I27" s="142">
        <f t="shared" si="2"/>
        <v>1.024356</v>
      </c>
      <c r="J27" s="143">
        <f>IFERROR(__xludf.DUMMYFUNCTION("GOOGLEFINANCE(B27)"),20.48)</f>
        <v>20.48</v>
      </c>
      <c r="K27" s="144">
        <f t="shared" si="3"/>
        <v>19.99304929</v>
      </c>
      <c r="L27" s="144">
        <f t="shared" si="4"/>
        <v>409.4576495</v>
      </c>
    </row>
    <row r="28">
      <c r="B28" s="139" t="s">
        <v>127</v>
      </c>
      <c r="C28" s="140">
        <v>1.06</v>
      </c>
      <c r="F28" s="141">
        <f t="shared" si="1"/>
        <v>101.121764</v>
      </c>
      <c r="G28" s="136">
        <v>3.0</v>
      </c>
      <c r="H28" s="142">
        <v>4.309412</v>
      </c>
      <c r="I28" s="142">
        <f t="shared" si="2"/>
        <v>12.928236</v>
      </c>
      <c r="J28" s="143">
        <f>IFERROR(__xludf.DUMMYFUNCTION("GOOGLEFINANCE(B28)"),114.05)</f>
        <v>114.05</v>
      </c>
      <c r="K28" s="144">
        <f t="shared" si="3"/>
        <v>8.82177584</v>
      </c>
      <c r="L28" s="144">
        <f t="shared" si="4"/>
        <v>1006.123535</v>
      </c>
    </row>
    <row r="29">
      <c r="B29" s="139" t="s">
        <v>128</v>
      </c>
      <c r="C29" s="140">
        <v>0.53</v>
      </c>
      <c r="F29" s="141">
        <f t="shared" si="1"/>
        <v>90.485791</v>
      </c>
      <c r="G29" s="136">
        <v>3.0</v>
      </c>
      <c r="H29" s="142">
        <v>2.071403</v>
      </c>
      <c r="I29" s="142">
        <f t="shared" si="2"/>
        <v>6.214209</v>
      </c>
      <c r="J29" s="143">
        <f>IFERROR(__xludf.DUMMYFUNCTION("GOOGLEFINANCE(B29)"),96.7)</f>
        <v>96.7</v>
      </c>
      <c r="K29" s="144">
        <f t="shared" si="3"/>
        <v>15.56111164</v>
      </c>
      <c r="L29" s="144">
        <f t="shared" si="4"/>
        <v>1504.759496</v>
      </c>
    </row>
    <row r="30">
      <c r="B30" s="139" t="s">
        <v>129</v>
      </c>
      <c r="C30" s="140">
        <v>0.82</v>
      </c>
      <c r="F30" s="141">
        <f t="shared" si="1"/>
        <v>311.91677</v>
      </c>
      <c r="G30" s="136">
        <v>3.0</v>
      </c>
      <c r="H30" s="142">
        <v>11.19441</v>
      </c>
      <c r="I30" s="142">
        <f t="shared" si="2"/>
        <v>33.58323</v>
      </c>
      <c r="J30" s="143">
        <f>IFERROR(__xludf.DUMMYFUNCTION("GOOGLEFINANCE(B30)"),345.5)</f>
        <v>345.5</v>
      </c>
      <c r="K30" s="144">
        <f t="shared" si="3"/>
        <v>10.28787285</v>
      </c>
      <c r="L30" s="144">
        <f t="shared" si="4"/>
        <v>3554.460068</v>
      </c>
    </row>
    <row r="31">
      <c r="B31" s="139" t="s">
        <v>130</v>
      </c>
      <c r="C31" s="140">
        <v>0.49</v>
      </c>
      <c r="F31" s="141">
        <f t="shared" si="1"/>
        <v>174.244371</v>
      </c>
      <c r="G31" s="136">
        <v>3.0</v>
      </c>
      <c r="H31" s="142">
        <v>4.928543</v>
      </c>
      <c r="I31" s="142">
        <f t="shared" si="2"/>
        <v>14.785629</v>
      </c>
      <c r="J31" s="143">
        <f>IFERROR(__xludf.DUMMYFUNCTION("GOOGLEFINANCE(B31)"),189.03)</f>
        <v>189.03</v>
      </c>
      <c r="K31" s="144">
        <f t="shared" si="3"/>
        <v>12.78471142</v>
      </c>
      <c r="L31" s="144">
        <f t="shared" si="4"/>
        <v>2416.694001</v>
      </c>
    </row>
    <row r="32">
      <c r="B32" s="139" t="s">
        <v>131</v>
      </c>
      <c r="C32" s="140">
        <v>1.46</v>
      </c>
      <c r="F32" s="141">
        <f t="shared" si="1"/>
        <v>180.225781</v>
      </c>
      <c r="G32" s="136">
        <v>3.0</v>
      </c>
      <c r="H32" s="142">
        <v>8.538073</v>
      </c>
      <c r="I32" s="142">
        <f t="shared" si="2"/>
        <v>25.614219</v>
      </c>
      <c r="J32" s="143">
        <f>IFERROR(__xludf.DUMMYFUNCTION("GOOGLEFINANCE(B32)"),205.84)</f>
        <v>205.84</v>
      </c>
      <c r="K32" s="144">
        <f t="shared" si="3"/>
        <v>8.036161477</v>
      </c>
      <c r="L32" s="144">
        <f t="shared" si="4"/>
        <v>1654.163478</v>
      </c>
    </row>
    <row r="33">
      <c r="B33" s="139" t="s">
        <v>132</v>
      </c>
      <c r="C33" s="140">
        <v>0.52</v>
      </c>
      <c r="F33" s="141">
        <f t="shared" si="1"/>
        <v>53.69401</v>
      </c>
      <c r="G33" s="136">
        <v>3.0</v>
      </c>
      <c r="H33" s="142">
        <v>1.45533</v>
      </c>
      <c r="I33" s="142">
        <f t="shared" si="2"/>
        <v>4.36599</v>
      </c>
      <c r="J33" s="143">
        <f>IFERROR(__xludf.DUMMYFUNCTION("GOOGLEFINANCE(B33)"),58.06)</f>
        <v>58.06</v>
      </c>
      <c r="K33" s="144">
        <f t="shared" si="3"/>
        <v>13.29824393</v>
      </c>
      <c r="L33" s="144">
        <f t="shared" si="4"/>
        <v>772.0960424</v>
      </c>
    </row>
    <row r="34">
      <c r="B34" s="139" t="s">
        <v>133</v>
      </c>
      <c r="C34" s="140">
        <v>0.57</v>
      </c>
      <c r="F34" s="141">
        <f t="shared" si="1"/>
        <v>84.727779</v>
      </c>
      <c r="G34" s="136">
        <v>3.0</v>
      </c>
      <c r="H34" s="142">
        <v>2.457407</v>
      </c>
      <c r="I34" s="142">
        <f t="shared" si="2"/>
        <v>7.372221</v>
      </c>
      <c r="J34" s="143">
        <f>IFERROR(__xludf.DUMMYFUNCTION("GOOGLEFINANCE(B34)"),92.1)</f>
        <v>92.1</v>
      </c>
      <c r="K34" s="144">
        <f t="shared" si="3"/>
        <v>12.49284307</v>
      </c>
      <c r="L34" s="144">
        <f t="shared" si="4"/>
        <v>1150.590846</v>
      </c>
    </row>
    <row r="35">
      <c r="H35" s="145"/>
      <c r="I35" s="145"/>
    </row>
    <row r="36">
      <c r="H36" s="145"/>
      <c r="I36" s="145"/>
    </row>
    <row r="37">
      <c r="H37" s="145"/>
      <c r="I37" s="145"/>
    </row>
    <row r="38">
      <c r="H38" s="145"/>
      <c r="I38" s="145"/>
    </row>
    <row r="39">
      <c r="H39" s="145"/>
      <c r="I39" s="145"/>
    </row>
    <row r="40">
      <c r="H40" s="145"/>
      <c r="I40" s="145"/>
    </row>
    <row r="41">
      <c r="H41" s="145"/>
      <c r="I41" s="145"/>
    </row>
    <row r="42">
      <c r="H42" s="145"/>
      <c r="I42" s="145"/>
    </row>
    <row r="43">
      <c r="H43" s="145"/>
      <c r="I43" s="145"/>
    </row>
    <row r="44">
      <c r="H44" s="145"/>
      <c r="I44" s="145"/>
    </row>
    <row r="45">
      <c r="H45" s="145"/>
      <c r="I45" s="145"/>
    </row>
    <row r="46">
      <c r="H46" s="145"/>
      <c r="I46" s="145"/>
    </row>
    <row r="47">
      <c r="H47" s="145"/>
      <c r="I47" s="145"/>
    </row>
    <row r="48">
      <c r="H48" s="145"/>
      <c r="I48" s="145"/>
    </row>
    <row r="49">
      <c r="H49" s="145"/>
      <c r="I49" s="145"/>
    </row>
    <row r="50">
      <c r="H50" s="145"/>
      <c r="I50" s="145"/>
    </row>
    <row r="51">
      <c r="H51" s="145"/>
      <c r="I51" s="145"/>
    </row>
    <row r="52">
      <c r="H52" s="145"/>
      <c r="I52" s="145"/>
    </row>
    <row r="53">
      <c r="H53" s="145"/>
      <c r="I53" s="145"/>
    </row>
    <row r="54">
      <c r="H54" s="145"/>
      <c r="I54" s="145"/>
    </row>
    <row r="55">
      <c r="H55" s="145"/>
      <c r="I55" s="145"/>
    </row>
    <row r="56">
      <c r="H56" s="145"/>
      <c r="I56" s="145"/>
    </row>
    <row r="57">
      <c r="H57" s="145"/>
      <c r="I57" s="145"/>
    </row>
    <row r="58">
      <c r="H58" s="145"/>
      <c r="I58" s="145"/>
    </row>
    <row r="59">
      <c r="H59" s="145"/>
      <c r="I59" s="145"/>
    </row>
    <row r="60">
      <c r="H60" s="145"/>
      <c r="I60" s="145"/>
    </row>
    <row r="61">
      <c r="H61" s="145"/>
      <c r="I61" s="145"/>
    </row>
    <row r="62">
      <c r="H62" s="145"/>
      <c r="I62" s="145"/>
    </row>
    <row r="63">
      <c r="H63" s="145"/>
      <c r="I63" s="145"/>
    </row>
    <row r="64">
      <c r="H64" s="145"/>
      <c r="I64" s="145"/>
    </row>
    <row r="65">
      <c r="H65" s="145"/>
      <c r="I65" s="145"/>
    </row>
    <row r="66">
      <c r="H66" s="145"/>
      <c r="I66" s="145"/>
    </row>
    <row r="67">
      <c r="H67" s="145"/>
      <c r="I67" s="145"/>
    </row>
    <row r="68">
      <c r="H68" s="145"/>
      <c r="I68" s="145"/>
    </row>
    <row r="69">
      <c r="H69" s="145"/>
      <c r="I69" s="145"/>
    </row>
    <row r="70">
      <c r="H70" s="145"/>
      <c r="I70" s="145"/>
    </row>
    <row r="71">
      <c r="H71" s="145"/>
      <c r="I71" s="145"/>
    </row>
    <row r="72">
      <c r="H72" s="145"/>
      <c r="I72" s="145"/>
    </row>
    <row r="73">
      <c r="H73" s="145"/>
      <c r="I73" s="145"/>
    </row>
    <row r="74">
      <c r="H74" s="145"/>
      <c r="I74" s="145"/>
    </row>
    <row r="75">
      <c r="H75" s="145"/>
      <c r="I75" s="145"/>
    </row>
    <row r="76">
      <c r="H76" s="145"/>
      <c r="I76" s="145"/>
    </row>
    <row r="77">
      <c r="H77" s="145"/>
      <c r="I77" s="145"/>
    </row>
    <row r="78">
      <c r="H78" s="145"/>
      <c r="I78" s="145"/>
    </row>
    <row r="79">
      <c r="H79" s="145"/>
      <c r="I79" s="145"/>
    </row>
    <row r="80">
      <c r="H80" s="145"/>
      <c r="I80" s="14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30.88"/>
    <col customWidth="1" min="3" max="3" width="36.38"/>
    <col customWidth="1" min="4" max="4" width="20.38"/>
    <col customWidth="1" min="5" max="5" width="19.75"/>
    <col customWidth="1" min="7" max="7" width="17.63"/>
  </cols>
  <sheetData>
    <row r="1">
      <c r="B1" s="146"/>
    </row>
    <row r="2">
      <c r="B2" s="147"/>
      <c r="C2" s="148"/>
    </row>
    <row r="3">
      <c r="B3" s="147"/>
      <c r="C3" s="149"/>
      <c r="I3" s="150"/>
    </row>
    <row r="4">
      <c r="B4" s="151" t="s">
        <v>134</v>
      </c>
      <c r="C4" s="152" t="s">
        <v>135</v>
      </c>
      <c r="I4" s="153"/>
      <c r="J4" s="153"/>
      <c r="K4" s="154"/>
    </row>
    <row r="5">
      <c r="A5" s="155"/>
      <c r="B5" s="156" t="s">
        <v>136</v>
      </c>
      <c r="C5" s="157">
        <v>1.0</v>
      </c>
      <c r="I5" s="158"/>
      <c r="J5" s="158"/>
      <c r="K5" s="159"/>
    </row>
    <row r="6">
      <c r="B6" s="156"/>
      <c r="C6" s="157"/>
      <c r="I6" s="158"/>
      <c r="J6" s="158"/>
      <c r="K6" s="159"/>
    </row>
    <row r="7">
      <c r="B7" s="158"/>
      <c r="C7" s="160"/>
    </row>
    <row r="9">
      <c r="A9" s="161" t="s">
        <v>137</v>
      </c>
      <c r="B9" s="162" t="s">
        <v>138</v>
      </c>
      <c r="C9" s="163" t="s">
        <v>139</v>
      </c>
      <c r="D9" s="164" t="s">
        <v>140</v>
      </c>
    </row>
    <row r="10">
      <c r="A10" s="165" t="str">
        <f t="shared" ref="A10:B10" si="1">B5</f>
        <v>Soberanos en pesos</v>
      </c>
      <c r="B10" s="166">
        <f t="shared" si="1"/>
        <v>1</v>
      </c>
      <c r="C10" s="167">
        <v>0.0</v>
      </c>
      <c r="D10" s="168">
        <f>C10+B10</f>
        <v>1</v>
      </c>
    </row>
    <row r="11">
      <c r="A11" s="165"/>
      <c r="B11" s="166"/>
      <c r="C11" s="167"/>
      <c r="D11" s="168"/>
    </row>
    <row r="12">
      <c r="A12" s="165"/>
      <c r="B12" s="166"/>
      <c r="C12" s="167"/>
      <c r="D12" s="168"/>
    </row>
    <row r="13">
      <c r="A13" s="169"/>
      <c r="B13" s="170">
        <f>SUM(Tactical_19[Modelo])</f>
        <v>1</v>
      </c>
      <c r="C13" s="171">
        <f>SUM(Tactical_19[Corredor +/- 10%])</f>
        <v>0</v>
      </c>
      <c r="D13" s="172">
        <f>SUM(Tactical_19[TAA])</f>
        <v>1</v>
      </c>
    </row>
    <row r="14">
      <c r="B14" s="158"/>
      <c r="C14" s="160"/>
    </row>
    <row r="15">
      <c r="C15" s="173" t="s">
        <v>55</v>
      </c>
    </row>
    <row r="16">
      <c r="A16" s="155"/>
      <c r="B16" s="174" t="str">
        <f>Soberanos!B3</f>
        <v>S10N5</v>
      </c>
      <c r="C16" s="175">
        <v>0.3333</v>
      </c>
    </row>
    <row r="17">
      <c r="A17" s="155"/>
      <c r="B17" s="174" t="str">
        <f>Soberanos!B4</f>
        <v>T15D5</v>
      </c>
      <c r="C17" s="175">
        <v>0.3333</v>
      </c>
    </row>
    <row r="18">
      <c r="A18" s="155"/>
      <c r="B18" s="174" t="str">
        <f>Soberanos!B5</f>
        <v>S28N5</v>
      </c>
      <c r="C18" s="175">
        <v>0.3333</v>
      </c>
    </row>
    <row r="19">
      <c r="A19" s="155"/>
      <c r="B19" s="174"/>
      <c r="C19" s="176"/>
      <c r="G19" s="147"/>
    </row>
    <row r="20">
      <c r="A20" s="155"/>
      <c r="B20" s="174"/>
      <c r="C20" s="176"/>
      <c r="E20" s="136"/>
      <c r="H20" s="177"/>
    </row>
    <row r="21">
      <c r="A21" s="155"/>
      <c r="B21" s="174" t="str">
        <f>Ons!B11</f>
        <v/>
      </c>
      <c r="C21" s="176"/>
      <c r="E21" s="136"/>
      <c r="F21" s="173"/>
      <c r="G21" s="178"/>
    </row>
    <row r="22">
      <c r="C22" s="179">
        <f>SUM(C16:C21)</f>
        <v>0.9999</v>
      </c>
      <c r="E22" s="173"/>
      <c r="F22" s="173"/>
      <c r="G22" s="173"/>
    </row>
    <row r="23">
      <c r="E23" s="173"/>
      <c r="F23" s="173"/>
      <c r="G23" s="173"/>
    </row>
    <row r="24">
      <c r="E24" s="173"/>
      <c r="F24" s="173"/>
      <c r="G24" s="173"/>
    </row>
    <row r="25">
      <c r="B25" s="173"/>
      <c r="C25" s="173"/>
      <c r="D25" s="173"/>
      <c r="E25" s="173"/>
      <c r="F25" s="173"/>
      <c r="G25" s="173"/>
    </row>
    <row r="29">
      <c r="J29" s="180"/>
    </row>
    <row r="30">
      <c r="D30" s="181"/>
    </row>
    <row r="31">
      <c r="D31" s="181"/>
      <c r="J31" s="180"/>
    </row>
    <row r="32">
      <c r="D32" s="181"/>
    </row>
    <row r="33">
      <c r="A33" s="182"/>
      <c r="B33" s="182"/>
      <c r="C33" s="182"/>
      <c r="D33" s="182"/>
      <c r="E33" s="182"/>
      <c r="F33" s="182"/>
    </row>
    <row r="34">
      <c r="A34" s="182"/>
      <c r="B34" s="182"/>
      <c r="C34" s="182"/>
      <c r="D34" s="183"/>
      <c r="E34" s="184"/>
      <c r="F34" s="184"/>
      <c r="K34" s="185"/>
      <c r="L34" s="186"/>
    </row>
    <row r="35">
      <c r="C35" s="173"/>
      <c r="D35" s="173"/>
      <c r="E35" s="187"/>
      <c r="F35" s="173"/>
      <c r="G35" s="173"/>
      <c r="H35" s="173"/>
      <c r="I35" s="173"/>
      <c r="J35" s="173"/>
      <c r="K35" s="185"/>
      <c r="L35" s="186"/>
    </row>
    <row r="36">
      <c r="E36" s="187"/>
      <c r="K36" s="185"/>
      <c r="L36" s="186"/>
    </row>
    <row r="37">
      <c r="E37" s="187"/>
      <c r="K37" s="185"/>
      <c r="L37" s="186"/>
    </row>
    <row r="38">
      <c r="E38" s="187"/>
      <c r="K38" s="188"/>
      <c r="L38" s="186"/>
    </row>
    <row r="39">
      <c r="E39" s="187"/>
      <c r="K39" s="188"/>
      <c r="L39" s="186"/>
    </row>
    <row r="40">
      <c r="E40" s="187"/>
      <c r="K40" s="188"/>
      <c r="L40" s="186"/>
    </row>
    <row r="41">
      <c r="C41" s="173"/>
      <c r="D41" s="173"/>
      <c r="E41" s="187"/>
      <c r="F41" s="173"/>
      <c r="G41" s="173"/>
      <c r="H41" s="173"/>
      <c r="I41" s="173"/>
      <c r="J41" s="173"/>
      <c r="K41" s="188"/>
      <c r="L41" s="186"/>
    </row>
    <row r="42">
      <c r="E42" s="187"/>
      <c r="K42" s="188"/>
      <c r="L42" s="186"/>
    </row>
    <row r="43">
      <c r="E43" s="187"/>
      <c r="K43" s="188"/>
      <c r="L43" s="186"/>
    </row>
    <row r="44">
      <c r="E44" s="187"/>
      <c r="K44" s="188"/>
      <c r="L44" s="186"/>
    </row>
    <row r="45">
      <c r="C45" s="173"/>
      <c r="D45" s="173"/>
      <c r="E45" s="187"/>
      <c r="F45" s="173"/>
      <c r="G45" s="173"/>
      <c r="H45" s="173"/>
      <c r="I45" s="173"/>
      <c r="J45" s="173"/>
      <c r="K45" s="188"/>
      <c r="L45" s="186"/>
    </row>
    <row r="46">
      <c r="C46" s="173"/>
      <c r="D46" s="173"/>
      <c r="E46" s="187"/>
      <c r="F46" s="173"/>
      <c r="G46" s="173"/>
      <c r="H46" s="173"/>
      <c r="I46" s="173"/>
      <c r="J46" s="173"/>
      <c r="K46" s="188"/>
      <c r="L46" s="186"/>
    </row>
    <row r="47">
      <c r="E47" s="187"/>
      <c r="K47" s="188"/>
      <c r="L47" s="186"/>
    </row>
    <row r="48">
      <c r="C48" s="173"/>
      <c r="D48" s="173"/>
      <c r="E48" s="187"/>
      <c r="F48" s="173"/>
      <c r="G48" s="173"/>
      <c r="H48" s="173"/>
      <c r="I48" s="173"/>
      <c r="J48" s="173"/>
      <c r="K48" s="188"/>
      <c r="L48" s="186"/>
    </row>
    <row r="49">
      <c r="C49" s="173"/>
      <c r="D49" s="173"/>
      <c r="E49" s="187"/>
      <c r="F49" s="173"/>
      <c r="G49" s="173"/>
      <c r="H49" s="173"/>
      <c r="I49" s="173"/>
      <c r="J49" s="173"/>
      <c r="K49" s="188"/>
      <c r="L49" s="186"/>
    </row>
    <row r="50">
      <c r="E50" s="187"/>
      <c r="K50" s="188"/>
      <c r="L50" s="186"/>
    </row>
    <row r="51">
      <c r="C51" s="173"/>
      <c r="D51" s="173"/>
      <c r="E51" s="187"/>
      <c r="F51" s="173"/>
      <c r="G51" s="173"/>
      <c r="H51" s="173"/>
      <c r="I51" s="173"/>
      <c r="J51" s="173"/>
      <c r="K51" s="188"/>
      <c r="L51" s="186"/>
    </row>
    <row r="52">
      <c r="E52" s="187"/>
      <c r="K52" s="188"/>
      <c r="L52" s="186"/>
    </row>
    <row r="53">
      <c r="E53" s="187"/>
      <c r="K53" s="188"/>
      <c r="L53" s="186"/>
    </row>
    <row r="54">
      <c r="E54" s="187"/>
      <c r="K54" s="188"/>
      <c r="L54" s="186"/>
    </row>
    <row r="55">
      <c r="C55" s="173"/>
      <c r="D55" s="173"/>
      <c r="E55" s="187"/>
      <c r="F55" s="173"/>
      <c r="G55" s="173"/>
      <c r="H55" s="173"/>
      <c r="I55" s="173"/>
      <c r="J55" s="173"/>
      <c r="K55" s="188"/>
      <c r="L55" s="186"/>
    </row>
    <row r="994">
      <c r="M994" s="178"/>
    </row>
  </sheetData>
  <dataValidations>
    <dataValidation type="custom" allowBlank="1" showDropDown="1" sqref="B10:D12">
      <formula1>AND(ISNUMBER(B10),(NOT(OR(NOT(ISERROR(DATEVALUE(B10))), AND(ISNUMBER(B10), LEFT(CELL("format", B10))="D")))))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63"/>
    <col customWidth="1" min="2" max="2" width="25.0"/>
    <col customWidth="1" min="3" max="7" width="13.63"/>
    <col customWidth="1" min="8" max="8" width="25.0"/>
    <col customWidth="1" min="9" max="9" width="17.25"/>
    <col customWidth="1" min="10" max="10" width="13.63"/>
    <col customWidth="1" min="11" max="11" width="14.75"/>
    <col customWidth="1" min="12" max="13" width="13.63"/>
  </cols>
  <sheetData>
    <row r="1">
      <c r="B1" s="189" t="s">
        <v>141</v>
      </c>
      <c r="C1" s="190">
        <v>0.11</v>
      </c>
      <c r="H1" s="189" t="s">
        <v>141</v>
      </c>
      <c r="I1" s="190">
        <v>0.11</v>
      </c>
    </row>
    <row r="2">
      <c r="B2" s="189" t="s">
        <v>142</v>
      </c>
      <c r="C2" s="191">
        <f>E17</f>
        <v>0.08506308833</v>
      </c>
      <c r="D2" s="192"/>
      <c r="H2" s="189" t="s">
        <v>142</v>
      </c>
      <c r="I2" s="191">
        <f>K18</f>
        <v>0.07688988688</v>
      </c>
    </row>
    <row r="3">
      <c r="B3" s="158"/>
      <c r="C3" s="160"/>
    </row>
    <row r="5">
      <c r="A5" s="161" t="s">
        <v>137</v>
      </c>
      <c r="B5" s="162" t="s">
        <v>138</v>
      </c>
      <c r="C5" s="163" t="s">
        <v>143</v>
      </c>
      <c r="D5" s="164" t="s">
        <v>140</v>
      </c>
      <c r="H5" s="161" t="s">
        <v>137</v>
      </c>
      <c r="I5" s="162" t="s">
        <v>138</v>
      </c>
      <c r="J5" s="163" t="s">
        <v>143</v>
      </c>
      <c r="K5" s="164" t="s">
        <v>140</v>
      </c>
      <c r="N5" s="147"/>
      <c r="O5" s="193"/>
      <c r="P5" s="149"/>
    </row>
    <row r="6">
      <c r="A6" s="165" t="s">
        <v>144</v>
      </c>
      <c r="B6" s="194">
        <v>1.0</v>
      </c>
      <c r="C6" s="167">
        <v>-0.03</v>
      </c>
      <c r="D6" s="195">
        <f t="shared" ref="D6:D7" si="1">C6+B6</f>
        <v>0.97</v>
      </c>
      <c r="H6" s="165" t="s">
        <v>144</v>
      </c>
      <c r="I6" s="194">
        <v>1.0</v>
      </c>
      <c r="J6" s="167">
        <v>-0.03</v>
      </c>
      <c r="K6" s="195">
        <f t="shared" ref="K6:K7" si="2">J6+I6</f>
        <v>0.97</v>
      </c>
      <c r="N6" s="147"/>
      <c r="O6" s="196"/>
      <c r="P6" s="196"/>
      <c r="V6" s="150"/>
    </row>
    <row r="7">
      <c r="A7" s="165" t="s">
        <v>145</v>
      </c>
      <c r="B7" s="194">
        <v>0.0</v>
      </c>
      <c r="C7" s="167">
        <v>0.03</v>
      </c>
      <c r="D7" s="195">
        <f t="shared" si="1"/>
        <v>0.03</v>
      </c>
      <c r="H7" s="165" t="s">
        <v>145</v>
      </c>
      <c r="I7" s="194">
        <v>0.0</v>
      </c>
      <c r="J7" s="167">
        <v>0.03</v>
      </c>
      <c r="K7" s="195">
        <f t="shared" si="2"/>
        <v>0.03</v>
      </c>
      <c r="M7" s="197" t="s">
        <v>146</v>
      </c>
      <c r="N7" s="197" t="s">
        <v>147</v>
      </c>
      <c r="O7" s="198" t="s">
        <v>148</v>
      </c>
      <c r="P7" s="197" t="s">
        <v>149</v>
      </c>
      <c r="Q7" s="197" t="s">
        <v>150</v>
      </c>
      <c r="R7" s="197" t="s">
        <v>151</v>
      </c>
      <c r="S7" s="197" t="s">
        <v>152</v>
      </c>
      <c r="T7" s="197" t="s">
        <v>153</v>
      </c>
      <c r="U7" s="197" t="s">
        <v>154</v>
      </c>
      <c r="V7" s="197" t="s">
        <v>155</v>
      </c>
      <c r="W7" s="197" t="s">
        <v>156</v>
      </c>
      <c r="X7" s="197" t="s">
        <v>157</v>
      </c>
    </row>
    <row r="8">
      <c r="A8" s="169"/>
      <c r="B8" s="170">
        <f>SUM(RE[Modelo])</f>
        <v>1</v>
      </c>
      <c r="C8" s="171">
        <f>SUM(RE[Corredor +/- 5%])</f>
        <v>0</v>
      </c>
      <c r="D8" s="172">
        <f>SUM(RE[TAA])</f>
        <v>1</v>
      </c>
      <c r="H8" s="169"/>
      <c r="I8" s="170">
        <f>SUM(IP[Modelo])</f>
        <v>1</v>
      </c>
      <c r="J8" s="171">
        <f>SUM(IP[Corredor +/- 5%])</f>
        <v>0</v>
      </c>
      <c r="K8" s="172">
        <f>SUM(IP[TAA])</f>
        <v>1</v>
      </c>
      <c r="M8" s="199" t="s">
        <v>60</v>
      </c>
      <c r="N8" s="199" t="s">
        <v>158</v>
      </c>
      <c r="O8" s="199" t="s">
        <v>159</v>
      </c>
      <c r="P8" s="199" t="s">
        <v>160</v>
      </c>
      <c r="Q8" s="199" t="s">
        <v>57</v>
      </c>
      <c r="R8" s="199" t="s">
        <v>161</v>
      </c>
      <c r="S8" s="199" t="s">
        <v>60</v>
      </c>
      <c r="T8" s="199" t="s">
        <v>158</v>
      </c>
      <c r="U8" s="199" t="s">
        <v>159</v>
      </c>
      <c r="V8" s="199" t="s">
        <v>160</v>
      </c>
      <c r="W8" s="199" t="s">
        <v>57</v>
      </c>
      <c r="X8" s="199" t="s">
        <v>161</v>
      </c>
    </row>
    <row r="9">
      <c r="B9" s="158"/>
      <c r="C9" s="160"/>
      <c r="M9" s="133"/>
      <c r="N9" s="133"/>
      <c r="O9" s="200"/>
      <c r="P9" s="200">
        <v>6.0</v>
      </c>
      <c r="Q9" s="200">
        <v>8.0</v>
      </c>
      <c r="R9" s="200">
        <v>3.0</v>
      </c>
      <c r="S9" s="201">
        <v>11.0</v>
      </c>
      <c r="T9" s="200">
        <v>12.0</v>
      </c>
      <c r="U9" s="202">
        <v>2.0</v>
      </c>
      <c r="V9" s="136"/>
      <c r="W9" s="133"/>
      <c r="X9" s="136"/>
      <c r="Y9" s="133"/>
    </row>
    <row r="10">
      <c r="A10" s="203" t="s">
        <v>162</v>
      </c>
      <c r="B10" s="204" t="s">
        <v>66</v>
      </c>
      <c r="C10" s="205" t="s">
        <v>55</v>
      </c>
      <c r="D10" s="173" t="s">
        <v>51</v>
      </c>
      <c r="E10" s="173" t="s">
        <v>163</v>
      </c>
      <c r="G10" s="203" t="s">
        <v>162</v>
      </c>
      <c r="H10" s="204" t="s">
        <v>66</v>
      </c>
      <c r="I10" s="206" t="s">
        <v>55</v>
      </c>
      <c r="J10" s="173" t="s">
        <v>51</v>
      </c>
      <c r="K10" s="173" t="s">
        <v>163</v>
      </c>
      <c r="N10" s="174" t="s">
        <v>66</v>
      </c>
      <c r="O10" s="174" t="s">
        <v>55</v>
      </c>
      <c r="P10" s="174" t="s">
        <v>51</v>
      </c>
      <c r="Q10" s="174" t="s">
        <v>81</v>
      </c>
      <c r="R10" s="199" t="s">
        <v>164</v>
      </c>
      <c r="S10" s="199" t="s">
        <v>165</v>
      </c>
      <c r="T10" s="207" t="s">
        <v>166</v>
      </c>
      <c r="U10" s="199" t="s">
        <v>167</v>
      </c>
      <c r="V10" s="136"/>
      <c r="W10" s="133"/>
      <c r="X10" s="133"/>
      <c r="Y10" s="133"/>
    </row>
    <row r="11">
      <c r="A11" s="208"/>
      <c r="B11" s="209" t="str">
        <f>Ons!B6</f>
        <v>TLCPD</v>
      </c>
      <c r="C11" s="210">
        <f>$D$6*Ons!G6</f>
        <v>0.1700511378</v>
      </c>
      <c r="D11" s="179">
        <f>Ons!C6</f>
        <v>0.09747772157</v>
      </c>
      <c r="E11" s="178">
        <f t="shared" ref="E11:E15" si="4">D11*C11</f>
        <v>0.01657619746</v>
      </c>
      <c r="G11" s="208"/>
      <c r="H11" s="209" t="str">
        <f t="shared" ref="H11:H16" si="5">N11</f>
        <v>YM34D</v>
      </c>
      <c r="I11" s="210">
        <f t="shared" ref="I11:I16" si="6">O11*$K$6</f>
        <v>0.238253428</v>
      </c>
      <c r="J11" s="177">
        <v>0.08556617963748626</v>
      </c>
      <c r="K11" s="178">
        <f t="shared" ref="K11:K16" si="7">J11*I11</f>
        <v>0.02038643562</v>
      </c>
      <c r="M11" s="211"/>
      <c r="N11" s="199" t="str">
        <f>M8</f>
        <v>YM34D</v>
      </c>
      <c r="O11" s="212">
        <f t="shared" ref="O11:O16" si="8">Q11/$Q$17</f>
        <v>0.2456220908</v>
      </c>
      <c r="P11" s="212">
        <f t="shared" ref="P11:U11" si="3">VLOOKUP($N$11,$N$34:$AB$63,P$9,0)</f>
        <v>0.08647523169</v>
      </c>
      <c r="Q11" s="213">
        <f t="shared" si="3"/>
        <v>5.573419366</v>
      </c>
      <c r="R11" s="214">
        <f t="shared" si="3"/>
        <v>48961</v>
      </c>
      <c r="S11" s="212" t="str">
        <f t="shared" si="3"/>
        <v>NY</v>
      </c>
      <c r="T11" s="215">
        <f t="shared" si="3"/>
        <v>1</v>
      </c>
      <c r="U11" s="216" t="str">
        <f t="shared" si="3"/>
        <v>YPF</v>
      </c>
      <c r="V11" s="217"/>
      <c r="W11" s="133"/>
      <c r="X11" s="133"/>
      <c r="Y11" s="133"/>
    </row>
    <row r="12">
      <c r="A12" s="208"/>
      <c r="B12" s="209" t="str">
        <f>Ons!B7</f>
        <v>BACGD</v>
      </c>
      <c r="C12" s="210">
        <f>$D$6*Ons!G7</f>
        <v>0.2736737777</v>
      </c>
      <c r="D12" s="179">
        <f>Ons!C7</f>
        <v>0.08185903893</v>
      </c>
      <c r="E12" s="178">
        <f t="shared" si="4"/>
        <v>0.02240267242</v>
      </c>
      <c r="G12" s="208"/>
      <c r="H12" s="209" t="str">
        <f t="shared" si="5"/>
        <v>IRCJD</v>
      </c>
      <c r="I12" s="210">
        <f t="shared" si="6"/>
        <v>0.05795696323</v>
      </c>
      <c r="J12" s="177">
        <v>0.03878762952499566</v>
      </c>
      <c r="K12" s="178">
        <f t="shared" si="7"/>
        <v>0.002248013218</v>
      </c>
      <c r="M12" s="211"/>
      <c r="N12" s="199" t="str">
        <f>N8</f>
        <v>IRCJD</v>
      </c>
      <c r="O12" s="212">
        <f t="shared" si="8"/>
        <v>0.05974944662</v>
      </c>
      <c r="P12" s="212">
        <f t="shared" ref="P12:U12" si="9">VLOOKUP($N$12,$AF$34:$AS$69,P$9,0)</f>
        <v>0.06566631506</v>
      </c>
      <c r="Q12" s="213">
        <f t="shared" si="9"/>
        <v>1.355776762</v>
      </c>
      <c r="R12" s="214">
        <f t="shared" si="9"/>
        <v>46446</v>
      </c>
      <c r="S12" s="212" t="str">
        <f t="shared" si="9"/>
        <v>ARG</v>
      </c>
      <c r="T12" s="215">
        <f t="shared" si="9"/>
        <v>100</v>
      </c>
      <c r="U12" s="216" t="str">
        <f t="shared" si="9"/>
        <v>IRSA</v>
      </c>
      <c r="V12" s="217"/>
    </row>
    <row r="13">
      <c r="A13" s="208"/>
      <c r="B13" s="209" t="str">
        <f>Ons!B8</f>
        <v>IRCPD</v>
      </c>
      <c r="C13" s="210">
        <f>$D$6*Ons!G8</f>
        <v>0.1397836685</v>
      </c>
      <c r="D13" s="179">
        <f>Ons!C8</f>
        <v>0.08018455933</v>
      </c>
      <c r="E13" s="178">
        <f t="shared" si="4"/>
        <v>0.01120849186</v>
      </c>
      <c r="G13" s="208"/>
      <c r="H13" s="209" t="str">
        <f t="shared" si="5"/>
        <v>YMCXD</v>
      </c>
      <c r="I13" s="210">
        <f t="shared" si="6"/>
        <v>0.1873649394</v>
      </c>
      <c r="J13" s="177">
        <v>0.08114233913637794</v>
      </c>
      <c r="K13" s="178">
        <f t="shared" si="7"/>
        <v>0.01520322946</v>
      </c>
      <c r="M13" s="211"/>
      <c r="N13" s="199" t="str">
        <f>O8</f>
        <v>YMCXD</v>
      </c>
      <c r="O13" s="212">
        <f t="shared" si="8"/>
        <v>0.1931597313</v>
      </c>
      <c r="P13" s="212">
        <f t="shared" ref="P13:U13" si="10">VLOOKUP($N$13,$N$34:$AB$63,P$9,0)</f>
        <v>0.080585386</v>
      </c>
      <c r="Q13" s="213">
        <f t="shared" si="10"/>
        <v>4.382994152</v>
      </c>
      <c r="R13" s="214">
        <f t="shared" si="10"/>
        <v>48102</v>
      </c>
      <c r="S13" s="212" t="str">
        <f t="shared" si="10"/>
        <v>NY</v>
      </c>
      <c r="T13" s="215">
        <f t="shared" si="10"/>
        <v>1</v>
      </c>
      <c r="U13" s="216" t="str">
        <f t="shared" si="10"/>
        <v>YPF</v>
      </c>
      <c r="V13" s="217"/>
    </row>
    <row r="14">
      <c r="A14" s="208"/>
      <c r="B14" s="209" t="str">
        <f>Ons!B9</f>
        <v>YM34D</v>
      </c>
      <c r="C14" s="210">
        <f>$D$6*Ons!G9</f>
        <v>0.1590610298</v>
      </c>
      <c r="D14" s="179">
        <f>Ons!C9</f>
        <v>0.08647523169</v>
      </c>
      <c r="E14" s="178">
        <f t="shared" si="4"/>
        <v>0.01375483941</v>
      </c>
      <c r="G14" s="208"/>
      <c r="H14" s="209" t="str">
        <f t="shared" si="5"/>
        <v>VSCRD</v>
      </c>
      <c r="I14" s="210">
        <f t="shared" si="6"/>
        <v>0.1768475389</v>
      </c>
      <c r="J14" s="177">
        <v>0.06751180632211347</v>
      </c>
      <c r="K14" s="178">
        <f t="shared" si="7"/>
        <v>0.01193929679</v>
      </c>
      <c r="M14" s="211"/>
      <c r="N14" s="199" t="str">
        <f>P8</f>
        <v>VSCRD</v>
      </c>
      <c r="O14" s="212">
        <f t="shared" si="8"/>
        <v>0.1823170504</v>
      </c>
      <c r="P14" s="212">
        <f t="shared" ref="P14:U14" si="11">VLOOKUP($N$14,$AF$34:$AS$69,P$9,0)</f>
        <v>0.07252276925</v>
      </c>
      <c r="Q14" s="213">
        <f t="shared" si="11"/>
        <v>4.136962503</v>
      </c>
      <c r="R14" s="214">
        <f t="shared" si="11"/>
        <v>48131</v>
      </c>
      <c r="S14" s="212" t="str">
        <f t="shared" si="11"/>
        <v>ARG</v>
      </c>
      <c r="T14" s="215">
        <f t="shared" si="11"/>
        <v>1</v>
      </c>
      <c r="U14" s="216" t="str">
        <f t="shared" si="11"/>
        <v>Vista Energy</v>
      </c>
      <c r="V14" s="217"/>
    </row>
    <row r="15">
      <c r="A15" s="208"/>
      <c r="B15" s="209" t="str">
        <f>Ons!B10</f>
        <v>TLCMD</v>
      </c>
      <c r="C15" s="210">
        <f>$D$6*Ons!G10</f>
        <v>0.2274303862</v>
      </c>
      <c r="D15" s="179">
        <f>Ons!C10</f>
        <v>0.09286748149</v>
      </c>
      <c r="E15" s="178">
        <f t="shared" si="4"/>
        <v>0.02112088718</v>
      </c>
      <c r="G15" s="208"/>
      <c r="H15" s="209" t="str">
        <f t="shared" si="5"/>
        <v>TLCPD</v>
      </c>
      <c r="I15" s="210">
        <f t="shared" si="6"/>
        <v>0.2228555252</v>
      </c>
      <c r="J15" s="177">
        <v>0.09292822153375246</v>
      </c>
      <c r="K15" s="178">
        <f t="shared" si="7"/>
        <v>0.02070956761</v>
      </c>
      <c r="M15" s="211"/>
      <c r="N15" s="199" t="str">
        <f>Q8</f>
        <v>TLCPD</v>
      </c>
      <c r="O15" s="212">
        <f t="shared" si="8"/>
        <v>0.2297479641</v>
      </c>
      <c r="P15" s="212">
        <f t="shared" ref="P15:U15" si="12">VLOOKUP($N$15,$N$34:$AB$63,P$9,0)</f>
        <v>0.09747772157</v>
      </c>
      <c r="Q15" s="218">
        <f t="shared" si="12"/>
        <v>5.213219008</v>
      </c>
      <c r="R15" s="214">
        <f t="shared" si="12"/>
        <v>48727</v>
      </c>
      <c r="S15" s="212" t="str">
        <f t="shared" si="12"/>
        <v>NY</v>
      </c>
      <c r="T15" s="216">
        <f t="shared" si="12"/>
        <v>100</v>
      </c>
      <c r="U15" s="212" t="str">
        <f t="shared" si="12"/>
        <v>Telecom</v>
      </c>
      <c r="V15" s="217"/>
    </row>
    <row r="16">
      <c r="A16" s="219"/>
      <c r="B16" s="209" t="s">
        <v>168</v>
      </c>
      <c r="C16" s="210">
        <f>D7</f>
        <v>0.03</v>
      </c>
      <c r="G16" s="208"/>
      <c r="H16" s="209" t="str">
        <f t="shared" si="5"/>
        <v>YMCID</v>
      </c>
      <c r="I16" s="210">
        <f t="shared" si="6"/>
        <v>0.0867216053</v>
      </c>
      <c r="J16" s="177">
        <v>0.07383793416636776</v>
      </c>
      <c r="K16" s="178">
        <f t="shared" si="7"/>
        <v>0.006403344183</v>
      </c>
      <c r="M16" s="211"/>
      <c r="N16" s="199" t="str">
        <f>R8</f>
        <v>YMCID</v>
      </c>
      <c r="O16" s="212">
        <f t="shared" si="8"/>
        <v>0.0894037168</v>
      </c>
      <c r="P16" s="220">
        <f t="shared" ref="P16:U16" si="13">VLOOKUP($N$16,$N$34:$AB$63,P$9,0)</f>
        <v>0.06887414422</v>
      </c>
      <c r="Q16" s="221">
        <f t="shared" si="13"/>
        <v>2.028662833</v>
      </c>
      <c r="R16" s="222">
        <f t="shared" si="13"/>
        <v>47299</v>
      </c>
      <c r="S16" s="220" t="str">
        <f t="shared" si="13"/>
        <v>NY</v>
      </c>
      <c r="T16" s="223">
        <f t="shared" si="13"/>
        <v>1</v>
      </c>
      <c r="U16" s="224" t="str">
        <f t="shared" si="13"/>
        <v>YPF</v>
      </c>
      <c r="V16" s="217"/>
    </row>
    <row r="17">
      <c r="C17" s="177">
        <f>SUM(C11:C16)</f>
        <v>1</v>
      </c>
      <c r="E17" s="193">
        <f>SUM(E11:E16)</f>
        <v>0.08506308833</v>
      </c>
      <c r="G17" s="219"/>
      <c r="H17" s="209" t="s">
        <v>168</v>
      </c>
      <c r="I17" s="210">
        <f>J7</f>
        <v>0.03</v>
      </c>
      <c r="J17" s="173">
        <v>0.0</v>
      </c>
      <c r="O17" s="225">
        <f>SUM(O11:O16)</f>
        <v>1</v>
      </c>
      <c r="P17" s="225"/>
      <c r="Q17" s="226">
        <f>SUM(Q11:Q16)</f>
        <v>22.69103462</v>
      </c>
    </row>
    <row r="18">
      <c r="I18" s="177">
        <f>SUM(I11:I17)</f>
        <v>1</v>
      </c>
      <c r="K18" s="193">
        <f>SUM(K11:K17)</f>
        <v>0.07688988688</v>
      </c>
      <c r="O18" s="225"/>
      <c r="P18" s="225"/>
    </row>
    <row r="19">
      <c r="M19" s="227" t="s">
        <v>169</v>
      </c>
      <c r="O19" s="225"/>
      <c r="P19" s="225"/>
    </row>
    <row r="20">
      <c r="B20" s="147"/>
      <c r="C20" s="148"/>
      <c r="D20" s="148"/>
      <c r="M20" s="228">
        <v>45931.0</v>
      </c>
      <c r="N20" s="228">
        <v>45962.0</v>
      </c>
      <c r="O20" s="228">
        <v>45992.0</v>
      </c>
      <c r="P20" s="228">
        <v>46023.0</v>
      </c>
      <c r="Q20" s="228">
        <v>46082.0</v>
      </c>
      <c r="R20" s="228">
        <v>46113.0</v>
      </c>
      <c r="S20" s="228">
        <v>46143.0</v>
      </c>
      <c r="T20" s="228">
        <v>46174.0</v>
      </c>
      <c r="U20" s="228">
        <v>46204.0</v>
      </c>
      <c r="V20" s="228">
        <v>46235.0</v>
      </c>
      <c r="W20" s="228">
        <v>46266.0</v>
      </c>
      <c r="X20" s="228">
        <v>46296.0</v>
      </c>
      <c r="Y20" s="228">
        <v>46327.0</v>
      </c>
      <c r="Z20" s="228">
        <v>46357.0</v>
      </c>
      <c r="AA20" s="228">
        <v>46388.0</v>
      </c>
      <c r="AB20" s="228">
        <v>46419.0</v>
      </c>
      <c r="AC20" s="228">
        <v>46447.0</v>
      </c>
      <c r="AD20" s="228">
        <v>46478.0</v>
      </c>
      <c r="AE20" s="228">
        <v>46508.0</v>
      </c>
      <c r="AF20" s="228">
        <v>46539.0</v>
      </c>
      <c r="AG20" s="228">
        <v>46569.0</v>
      </c>
      <c r="AH20" s="228">
        <v>46631.0</v>
      </c>
      <c r="AI20" s="228">
        <v>46661.0</v>
      </c>
      <c r="AJ20" s="228">
        <v>46692.0</v>
      </c>
      <c r="AK20" s="228">
        <v>46722.0</v>
      </c>
      <c r="AL20" s="228">
        <v>46753.0</v>
      </c>
      <c r="AM20" s="228">
        <v>46813.0</v>
      </c>
      <c r="AN20" s="228">
        <v>46844.0</v>
      </c>
      <c r="AO20" s="228">
        <v>46874.0</v>
      </c>
      <c r="AP20" s="228">
        <v>46905.0</v>
      </c>
      <c r="AQ20" s="228">
        <v>46935.0</v>
      </c>
      <c r="AR20" s="228">
        <v>46997.0</v>
      </c>
      <c r="AS20" s="228">
        <v>47027.0</v>
      </c>
      <c r="AT20" s="228">
        <v>47058.0</v>
      </c>
      <c r="AU20" s="228">
        <v>47119.0</v>
      </c>
      <c r="AV20" s="228">
        <v>47178.0</v>
      </c>
      <c r="AW20" s="228">
        <v>47209.0</v>
      </c>
      <c r="AX20" s="228">
        <v>47239.0</v>
      </c>
      <c r="AY20" s="228">
        <v>47300.0</v>
      </c>
      <c r="AZ20" s="228">
        <v>47362.0</v>
      </c>
      <c r="BA20" s="228">
        <v>47392.0</v>
      </c>
      <c r="BB20" s="228">
        <v>47423.0</v>
      </c>
      <c r="BC20" s="229">
        <v>47484.0</v>
      </c>
      <c r="BD20" s="229">
        <v>47543.0</v>
      </c>
      <c r="BE20" s="229">
        <v>47574.0</v>
      </c>
      <c r="BF20" s="229">
        <v>47604.0</v>
      </c>
      <c r="BG20" s="229">
        <v>47665.0</v>
      </c>
      <c r="BH20" s="229">
        <v>47727.0</v>
      </c>
      <c r="BI20" s="230">
        <v>47757.0</v>
      </c>
      <c r="BJ20" s="230">
        <v>47788.0</v>
      </c>
      <c r="BK20" s="229">
        <v>47849.0</v>
      </c>
      <c r="BL20" s="229">
        <v>47908.0</v>
      </c>
      <c r="BM20" s="229">
        <v>47939.0</v>
      </c>
      <c r="BN20" s="229">
        <v>47969.0</v>
      </c>
      <c r="BO20" s="229">
        <v>48030.0</v>
      </c>
      <c r="BP20" s="229">
        <v>48092.0</v>
      </c>
      <c r="BQ20" s="230">
        <v>48122.0</v>
      </c>
      <c r="BR20" s="230">
        <v>48153.0</v>
      </c>
      <c r="BS20" s="229">
        <v>48214.0</v>
      </c>
      <c r="BT20" s="229">
        <v>48335.0</v>
      </c>
      <c r="BU20" s="229">
        <v>48396.0</v>
      </c>
      <c r="BV20" s="230">
        <v>48519.0</v>
      </c>
      <c r="BW20" s="229">
        <v>48580.0</v>
      </c>
      <c r="BX20" s="229">
        <v>48700.0</v>
      </c>
      <c r="BY20" s="229">
        <v>48761.0</v>
      </c>
      <c r="BZ20" s="229">
        <v>48945.0</v>
      </c>
    </row>
    <row r="21">
      <c r="B21" s="147"/>
      <c r="C21" s="148"/>
      <c r="D21" s="148"/>
      <c r="M21" s="231">
        <v>65.9</v>
      </c>
      <c r="N21" s="231">
        <v>101.4</v>
      </c>
      <c r="O21" s="231">
        <v>39.7</v>
      </c>
      <c r="P21" s="231">
        <v>99.9</v>
      </c>
      <c r="Q21" s="231">
        <v>104.0</v>
      </c>
      <c r="R21" s="231">
        <v>65.4</v>
      </c>
      <c r="S21" s="231">
        <v>101.4</v>
      </c>
      <c r="T21" s="231">
        <v>165.6</v>
      </c>
      <c r="U21" s="231">
        <v>99.9</v>
      </c>
      <c r="V21" s="231">
        <v>21.2</v>
      </c>
      <c r="W21" s="231">
        <v>82.4</v>
      </c>
      <c r="X21" s="231">
        <v>65.9</v>
      </c>
      <c r="Y21" s="231">
        <v>101.4</v>
      </c>
      <c r="Z21" s="231">
        <v>160.0</v>
      </c>
      <c r="AA21" s="231">
        <v>99.9</v>
      </c>
      <c r="AB21" s="231">
        <v>633.6</v>
      </c>
      <c r="AC21" s="231">
        <v>82.4</v>
      </c>
      <c r="AD21" s="231">
        <v>65.4</v>
      </c>
      <c r="AE21" s="231">
        <v>101.4</v>
      </c>
      <c r="AF21" s="231">
        <v>154.2</v>
      </c>
      <c r="AG21" s="231">
        <v>99.9</v>
      </c>
      <c r="AH21" s="231">
        <v>82.4</v>
      </c>
      <c r="AI21" s="231">
        <v>65.9</v>
      </c>
      <c r="AJ21" s="231">
        <v>101.4</v>
      </c>
      <c r="AK21" s="231">
        <v>148.6</v>
      </c>
      <c r="AL21" s="231">
        <v>99.9</v>
      </c>
      <c r="AM21" s="231">
        <v>82.4</v>
      </c>
      <c r="AN21" s="231">
        <v>65.9</v>
      </c>
      <c r="AO21" s="231">
        <v>101.4</v>
      </c>
      <c r="AP21" s="231">
        <v>142.9</v>
      </c>
      <c r="AQ21" s="231">
        <v>99.9</v>
      </c>
      <c r="AR21" s="231">
        <v>82.4</v>
      </c>
      <c r="AS21" s="231">
        <v>65.9</v>
      </c>
      <c r="AT21" s="231">
        <v>101.4</v>
      </c>
      <c r="AU21" s="231">
        <v>237.2</v>
      </c>
      <c r="AV21" s="231">
        <v>82.4</v>
      </c>
      <c r="AW21" s="231">
        <v>65.4</v>
      </c>
      <c r="AX21" s="231">
        <v>101.4</v>
      </c>
      <c r="AY21" s="231">
        <v>231.9</v>
      </c>
      <c r="AZ21" s="231">
        <v>458.5</v>
      </c>
      <c r="BA21" s="231">
        <v>632.5</v>
      </c>
      <c r="BB21" s="231">
        <v>101.4</v>
      </c>
      <c r="BC21" s="231">
        <v>99.9</v>
      </c>
      <c r="BD21" s="231">
        <v>65.8</v>
      </c>
      <c r="BE21" s="231">
        <v>44.0</v>
      </c>
      <c r="BF21" s="231">
        <v>101.4</v>
      </c>
      <c r="BG21" s="231">
        <v>99.9</v>
      </c>
      <c r="BH21" s="231">
        <v>441.9</v>
      </c>
      <c r="BI21" s="231">
        <v>610.7</v>
      </c>
      <c r="BJ21" s="231">
        <v>101.4</v>
      </c>
      <c r="BK21" s="231">
        <v>99.9</v>
      </c>
      <c r="BL21" s="231">
        <v>49.5</v>
      </c>
      <c r="BM21" s="231">
        <v>22.3</v>
      </c>
      <c r="BN21" s="231">
        <v>101.4</v>
      </c>
      <c r="BO21" s="231">
        <v>99.9</v>
      </c>
      <c r="BP21" s="231">
        <v>1177.8</v>
      </c>
      <c r="BQ21" s="231">
        <v>606.1</v>
      </c>
      <c r="BR21" s="231">
        <v>101.4</v>
      </c>
      <c r="BS21" s="231">
        <v>825.3</v>
      </c>
      <c r="BT21" s="231">
        <v>1196.7</v>
      </c>
      <c r="BU21" s="231">
        <v>69.9</v>
      </c>
      <c r="BV21" s="231">
        <v>50.6</v>
      </c>
      <c r="BW21" s="231">
        <v>795.4</v>
      </c>
      <c r="BX21" s="231">
        <v>1145.8</v>
      </c>
      <c r="BY21" s="231">
        <v>39.9</v>
      </c>
      <c r="BZ21" s="231">
        <v>1007.2</v>
      </c>
    </row>
    <row r="31">
      <c r="M31" s="75">
        <f>IFERROR(__xludf.DUMMYFUNCTION("IMPORTRANGE(""https://docs.google.com/spreadsheets/d/1QFB2kh2cYM7XonEBR7QFtdA5P63irew36fgS54qRFHA/edit?gid=443985142#gid=443985142"" , ""ONs NY!A:O"")"),45938.0)</f>
        <v>45938</v>
      </c>
      <c r="N31" s="143"/>
      <c r="O31" s="143"/>
      <c r="P31" s="143"/>
      <c r="Q31" s="143"/>
      <c r="R31" s="143"/>
      <c r="S31" s="143"/>
      <c r="T31" s="147"/>
      <c r="U31" s="143"/>
      <c r="V31" s="143"/>
      <c r="W31" s="143"/>
      <c r="X31" s="143"/>
      <c r="Y31" s="143"/>
      <c r="Z31" s="143"/>
      <c r="AA31" s="143"/>
      <c r="AE31" s="75">
        <f>IFERROR(__xludf.DUMMYFUNCTION("IMPORTRANGE(""https://docs.google.com/spreadsheets/d/1QFB2kh2cYM7XonEBR7QFtdA5P63irew36fgS54qRFHA/edit?gid=443985142#gid=443985142"" , ""ONs ARG!A:O"")"),45938.0)</f>
        <v>45938</v>
      </c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</row>
    <row r="32">
      <c r="M32" s="143"/>
      <c r="N32" s="143" t="str">
        <f>IFERROR(__xludf.DUMMYFUNCTION("""COMPUTED_VALUE"""),"CORPORATIVOS LEY NY")</f>
        <v>CORPORATIVOS LEY NY</v>
      </c>
      <c r="O32" s="143"/>
      <c r="P32" s="143"/>
      <c r="Q32" s="143"/>
      <c r="R32" s="143"/>
      <c r="S32" s="143"/>
      <c r="T32" s="143"/>
      <c r="U32" s="177"/>
      <c r="V32" s="143"/>
      <c r="W32" s="143"/>
      <c r="X32" s="143"/>
      <c r="Y32" s="143"/>
      <c r="Z32" s="143"/>
      <c r="AA32" s="143"/>
      <c r="AE32" s="143"/>
      <c r="AF32" s="143" t="str">
        <f>IFERROR(__xludf.DUMMYFUNCTION("""COMPUTED_VALUE"""),"CORPORATIVO LEY ARGENTINA")</f>
        <v>CORPORATIVO LEY ARGENTINA</v>
      </c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</row>
    <row r="33">
      <c r="M33" s="143"/>
      <c r="N33" s="143" t="str">
        <f>IFERROR(__xludf.DUMMYFUNCTION("""COMPUTED_VALUE"""),"Ticker")</f>
        <v>Ticker</v>
      </c>
      <c r="O33" s="143" t="str">
        <f>IFERROR(__xludf.DUMMYFUNCTION("""COMPUTED_VALUE"""),"Empresa")</f>
        <v>Empresa</v>
      </c>
      <c r="P33" s="143" t="str">
        <f>IFERROR(__xludf.DUMMYFUNCTION("""COMPUTED_VALUE"""),"Vencimiento")</f>
        <v>Vencimiento</v>
      </c>
      <c r="Q33" s="143" t="str">
        <f>IFERROR(__xludf.DUMMYFUNCTION("""COMPUTED_VALUE"""),"Tasa")</f>
        <v>Tasa</v>
      </c>
      <c r="R33" s="143" t="str">
        <f>IFERROR(__xludf.DUMMYFUNCTION("""COMPUTED_VALUE"""),"Precio")</f>
        <v>Precio</v>
      </c>
      <c r="S33" s="173" t="str">
        <f>IFERROR(__xludf.DUMMYFUNCTION("""COMPUTED_VALUE"""),"TIR")</f>
        <v>TIR</v>
      </c>
      <c r="T33" s="178" t="str">
        <f>IFERROR(__xludf.DUMMYFUNCTION("""COMPUTED_VALUE"""),"Var. Diaria%")</f>
        <v>Var. Diaria%</v>
      </c>
      <c r="U33" s="143" t="str">
        <f>IFERROR(__xludf.DUMMYFUNCTION("""COMPUTED_VALUE"""),"Duration")</f>
        <v>Duration</v>
      </c>
      <c r="V33" s="143" t="str">
        <f>IFERROR(__xludf.DUMMYFUNCTION("""COMPUTED_VALUE"""),"Cupones")</f>
        <v>Cupones</v>
      </c>
      <c r="W33" s="143" t="str">
        <f>IFERROR(__xludf.DUMMYFUNCTION("""COMPUTED_VALUE"""),"Tipo")</f>
        <v>Tipo</v>
      </c>
      <c r="X33" s="143" t="str">
        <f>IFERROR(__xludf.DUMMYFUNCTION("""COMPUTED_VALUE"""),"Ley")</f>
        <v>Ley</v>
      </c>
      <c r="Y33" s="143" t="str">
        <f>IFERROR(__xludf.DUMMYFUNCTION("""COMPUTED_VALUE"""),"Lam Minima")</f>
        <v>Lam Minima</v>
      </c>
      <c r="Z33" s="143" t="str">
        <f>IFERROR(__xludf.DUMMYFUNCTION("""COMPUTED_VALUE"""),"Prox Cupón (días)")</f>
        <v>Prox Cupón (días)</v>
      </c>
      <c r="AA33" s="143" t="str">
        <f>IFERROR(__xludf.DUMMYFUNCTION("""COMPUTED_VALUE"""),"Paridad")</f>
        <v>Paridad</v>
      </c>
      <c r="AE33" s="143"/>
      <c r="AF33" s="143" t="str">
        <f>IFERROR(__xludf.DUMMYFUNCTION("""COMPUTED_VALUE"""),"Ticker")</f>
        <v>Ticker</v>
      </c>
      <c r="AG33" s="143" t="str">
        <f>IFERROR(__xludf.DUMMYFUNCTION("""COMPUTED_VALUE"""),"Empresa")</f>
        <v>Empresa</v>
      </c>
      <c r="AH33" s="143" t="str">
        <f>IFERROR(__xludf.DUMMYFUNCTION("""COMPUTED_VALUE"""),"Vencimiento")</f>
        <v>Vencimiento</v>
      </c>
      <c r="AI33" s="143" t="str">
        <f>IFERROR(__xludf.DUMMYFUNCTION("""COMPUTED_VALUE"""),"Tasa")</f>
        <v>Tasa</v>
      </c>
      <c r="AJ33" s="143" t="str">
        <f>IFERROR(__xludf.DUMMYFUNCTION("""COMPUTED_VALUE"""),"Precio")</f>
        <v>Precio</v>
      </c>
      <c r="AK33" s="143" t="str">
        <f>IFERROR(__xludf.DUMMYFUNCTION("""COMPUTED_VALUE"""),"TIR")</f>
        <v>TIR</v>
      </c>
      <c r="AL33" s="143" t="str">
        <f>IFERROR(__xludf.DUMMYFUNCTION("""COMPUTED_VALUE"""),"Var. Diaria%")</f>
        <v>Var. Diaria%</v>
      </c>
      <c r="AM33" s="143" t="str">
        <f>IFERROR(__xludf.DUMMYFUNCTION("""COMPUTED_VALUE"""),"Duration")</f>
        <v>Duration</v>
      </c>
      <c r="AN33" s="143" t="str">
        <f>IFERROR(__xludf.DUMMYFUNCTION("""COMPUTED_VALUE"""),"Cupones")</f>
        <v>Cupones</v>
      </c>
      <c r="AO33" s="143" t="str">
        <f>IFERROR(__xludf.DUMMYFUNCTION("""COMPUTED_VALUE"""),"Tipo")</f>
        <v>Tipo</v>
      </c>
      <c r="AP33" s="143" t="str">
        <f>IFERROR(__xludf.DUMMYFUNCTION("""COMPUTED_VALUE"""),"Ley")</f>
        <v>Ley</v>
      </c>
      <c r="AQ33" s="143" t="str">
        <f>IFERROR(__xludf.DUMMYFUNCTION("""COMPUTED_VALUE"""),"Lam Minima")</f>
        <v>Lam Minima</v>
      </c>
      <c r="AR33" s="143" t="str">
        <f>IFERROR(__xludf.DUMMYFUNCTION("""COMPUTED_VALUE"""),"Prox Cupón (días)")</f>
        <v>Prox Cupón (días)</v>
      </c>
      <c r="AS33" s="143" t="str">
        <f>IFERROR(__xludf.DUMMYFUNCTION("""COMPUTED_VALUE"""),"Paridad")</f>
        <v>Paridad</v>
      </c>
    </row>
    <row r="34">
      <c r="M34" s="143"/>
      <c r="N34" s="232" t="str">
        <f>IFERROR(__xludf.DUMMYFUNCTION("""COMPUTED_VALUE"""),"NPCBD")</f>
        <v>NPCBD</v>
      </c>
      <c r="O34" s="143" t="str">
        <f>IFERROR(__xludf.DUMMYFUNCTION("""COMPUTED_VALUE"""),"Central Puerto")</f>
        <v>Central Puerto</v>
      </c>
      <c r="P34" s="233">
        <f>IFERROR(__xludf.DUMMYFUNCTION("""COMPUTED_VALUE"""),45947.0)</f>
        <v>45947</v>
      </c>
      <c r="Q34" s="179">
        <f>IFERROR(__xludf.DUMMYFUNCTION("""COMPUTED_VALUE"""),0.1)</f>
        <v>0.1</v>
      </c>
      <c r="R34" s="192">
        <f>IFERROR(__xludf.DUMMYFUNCTION("""COMPUTED_VALUE"""),106.2)</f>
        <v>106.2</v>
      </c>
      <c r="S34" s="187">
        <f>IFERROR(__xludf.DUMMYFUNCTION("""COMPUTED_VALUE"""),-0.3692612611849655)</f>
        <v>-0.3692612612</v>
      </c>
      <c r="T34" s="187">
        <f>IFERROR(__xludf.DUMMYFUNCTION("""COMPUTED_VALUE"""),0.0023)</f>
        <v>0.0023</v>
      </c>
      <c r="U34" s="186">
        <f>IFERROR(__xludf.DUMMYFUNCTION("""COMPUTED_VALUE"""),0.02500394606092653)</f>
        <v>0.02500394606</v>
      </c>
      <c r="V34" s="143" t="str">
        <f>IFERROR(__xludf.DUMMYFUNCTION("""COMPUTED_VALUE"""),"Semestral")</f>
        <v>Semestral</v>
      </c>
      <c r="W34" s="143" t="str">
        <f>IFERROR(__xludf.DUMMYFUNCTION("""COMPUTED_VALUE"""),"Bullet")</f>
        <v>Bullet</v>
      </c>
      <c r="X34" s="143" t="str">
        <f>IFERROR(__xludf.DUMMYFUNCTION("""COMPUTED_VALUE"""),"NY")</f>
        <v>NY</v>
      </c>
      <c r="Y34" s="143">
        <f>IFERROR(__xludf.DUMMYFUNCTION("""COMPUTED_VALUE"""),1000.0)</f>
        <v>1000</v>
      </c>
      <c r="Z34" s="143">
        <f>IFERROR(__xludf.DUMMYFUNCTION("""COMPUTED_VALUE"""),9.0)</f>
        <v>9</v>
      </c>
      <c r="AA34" s="179">
        <f>IFERROR(__xludf.DUMMYFUNCTION("""COMPUTED_VALUE"""),1.01276821192053)</f>
        <v>1.012768212</v>
      </c>
      <c r="AE34" s="143"/>
      <c r="AF34" s="232" t="str">
        <f>IFERROR(__xludf.DUMMYFUNCTION("""COMPUTED_VALUE"""),"MGCHD")</f>
        <v>MGCHD</v>
      </c>
      <c r="AG34" s="143" t="str">
        <f>IFERROR(__xludf.DUMMYFUNCTION("""COMPUTED_VALUE"""),"Pampa Energia")</f>
        <v>Pampa Energia</v>
      </c>
      <c r="AH34" s="234">
        <f>IFERROR(__xludf.DUMMYFUNCTION("""COMPUTED_VALUE"""),45965.0)</f>
        <v>45965</v>
      </c>
      <c r="AI34" s="179">
        <f>IFERROR(__xludf.DUMMYFUNCTION("""COMPUTED_VALUE"""),0.0499)</f>
        <v>0.0499</v>
      </c>
      <c r="AJ34" s="235">
        <f>IFERROR(__xludf.DUMMYFUNCTION("""COMPUTED_VALUE"""),103.6)</f>
        <v>103.6</v>
      </c>
      <c r="AK34" s="179">
        <f>IFERROR(__xludf.DUMMYFUNCTION("""COMPUTED_VALUE"""),-0.13680534017964144)</f>
        <v>-0.1368053402</v>
      </c>
      <c r="AL34" s="179">
        <f>IFERROR(__xludf.DUMMYFUNCTION("""COMPUTED_VALUE"""),0.0087)</f>
        <v>0.0087</v>
      </c>
      <c r="AM34" s="186">
        <f>IFERROR(__xludf.DUMMYFUNCTION("""COMPUTED_VALUE"""),0.07223273475948583)</f>
        <v>0.07223273476</v>
      </c>
      <c r="AN34" s="143" t="str">
        <f>IFERROR(__xludf.DUMMYFUNCTION("""COMPUTED_VALUE"""),"Semestral")</f>
        <v>Semestral</v>
      </c>
      <c r="AO34" s="143" t="str">
        <f>IFERROR(__xludf.DUMMYFUNCTION("""COMPUTED_VALUE"""),"Bullet")</f>
        <v>Bullet</v>
      </c>
      <c r="AP34" s="143" t="str">
        <f>IFERROR(__xludf.DUMMYFUNCTION("""COMPUTED_VALUE"""),"ARG")</f>
        <v>ARG</v>
      </c>
      <c r="AQ34" s="143">
        <f>IFERROR(__xludf.DUMMYFUNCTION("""COMPUTED_VALUE"""),100.0)</f>
        <v>100</v>
      </c>
      <c r="AR34" s="143">
        <f>IFERROR(__xludf.DUMMYFUNCTION("""COMPUTED_VALUE"""),27.0)</f>
        <v>27</v>
      </c>
      <c r="AS34" s="179">
        <f>IFERROR(__xludf.DUMMYFUNCTION("""COMPUTED_VALUE"""),1.0140949924936482)</f>
        <v>1.014094992</v>
      </c>
    </row>
    <row r="35">
      <c r="M35" s="143"/>
      <c r="N35" s="232" t="str">
        <f>IFERROR(__xludf.DUMMYFUNCTION("""COMPUTED_VALUE"""),"YMCHD")</f>
        <v>YMCHD</v>
      </c>
      <c r="O35" s="143" t="str">
        <f>IFERROR(__xludf.DUMMYFUNCTION("""COMPUTED_VALUE"""),"YPF")</f>
        <v>YPF</v>
      </c>
      <c r="P35" s="233">
        <f>IFERROR(__xludf.DUMMYFUNCTION("""COMPUTED_VALUE"""),46065.0)</f>
        <v>46065</v>
      </c>
      <c r="Q35" s="179">
        <f>IFERROR(__xludf.DUMMYFUNCTION("""COMPUTED_VALUE"""),0.04)</f>
        <v>0.04</v>
      </c>
      <c r="R35" s="192">
        <f>IFERROR(__xludf.DUMMYFUNCTION("""COMPUTED_VALUE"""),16.36)</f>
        <v>16.36</v>
      </c>
      <c r="S35" s="187">
        <f>IFERROR(__xludf.DUMMYFUNCTION("""COMPUTED_VALUE"""),-0.12221745916049007)</f>
        <v>-0.1222174592</v>
      </c>
      <c r="T35" s="187">
        <f>IFERROR(__xludf.DUMMYFUNCTION("""COMPUTED_VALUE"""),0.0073)</f>
        <v>0.0073</v>
      </c>
      <c r="U35" s="186">
        <f>IFERROR(__xludf.DUMMYFUNCTION("""COMPUTED_VALUE"""),0.22299269945896666)</f>
        <v>0.2229926995</v>
      </c>
      <c r="V35" s="143" t="str">
        <f>IFERROR(__xludf.DUMMYFUNCTION("""COMPUTED_VALUE"""),"Trimestral")</f>
        <v>Trimestral</v>
      </c>
      <c r="W35" s="143" t="str">
        <f>IFERROR(__xludf.DUMMYFUNCTION("""COMPUTED_VALUE"""),"Sinkable")</f>
        <v>Sinkable</v>
      </c>
      <c r="X35" s="143" t="str">
        <f>IFERROR(__xludf.DUMMYFUNCTION("""COMPUTED_VALUE"""),"NY")</f>
        <v>NY</v>
      </c>
      <c r="Y35" s="143">
        <f>IFERROR(__xludf.DUMMYFUNCTION("""COMPUTED_VALUE"""),1.0)</f>
        <v>1</v>
      </c>
      <c r="Z35" s="143">
        <f>IFERROR(__xludf.DUMMYFUNCTION("""COMPUTED_VALUE"""),35.0)</f>
        <v>35</v>
      </c>
      <c r="AA35" s="179">
        <f>IFERROR(__xludf.DUMMYFUNCTION("""COMPUTED_VALUE"""),1.0485156389696602)</f>
        <v>1.048515639</v>
      </c>
      <c r="AE35" s="143"/>
      <c r="AF35" s="232" t="str">
        <f>IFERROR(__xludf.DUMMYFUNCTION("""COMPUTED_VALUE"""),"RCCMD")</f>
        <v>RCCMD</v>
      </c>
      <c r="AG35" s="143" t="str">
        <f>IFERROR(__xludf.DUMMYFUNCTION("""COMPUTED_VALUE"""),"Arcor")</f>
        <v>Arcor</v>
      </c>
      <c r="AH35" s="233">
        <f>IFERROR(__xludf.DUMMYFUNCTION("""COMPUTED_VALUE"""),45983.0)</f>
        <v>45983</v>
      </c>
      <c r="AI35" s="179">
        <f>IFERROR(__xludf.DUMMYFUNCTION("""COMPUTED_VALUE"""),0.035)</f>
        <v>0.035</v>
      </c>
      <c r="AJ35" s="235">
        <f>IFERROR(__xludf.DUMMYFUNCTION("""COMPUTED_VALUE"""),101.6)</f>
        <v>101.6</v>
      </c>
      <c r="AK35" s="179">
        <f>IFERROR(__xludf.DUMMYFUNCTION("""COMPUTED_VALUE"""),0.01313900030921174)</f>
        <v>0.01313900031</v>
      </c>
      <c r="AL35" s="179">
        <f>IFERROR(__xludf.DUMMYFUNCTION("""COMPUTED_VALUE"""),9.0E-4)</f>
        <v>0.0009</v>
      </c>
      <c r="AM35" s="186">
        <f>IFERROR(__xludf.DUMMYFUNCTION("""COMPUTED_VALUE"""),0.12221955107719504)</f>
        <v>0.1222195511</v>
      </c>
      <c r="AN35" s="143" t="str">
        <f>IFERROR(__xludf.DUMMYFUNCTION("""COMPUTED_VALUE"""),"Semestral")</f>
        <v>Semestral</v>
      </c>
      <c r="AO35" s="143" t="str">
        <f>IFERROR(__xludf.DUMMYFUNCTION("""COMPUTED_VALUE"""),"Bullet")</f>
        <v>Bullet</v>
      </c>
      <c r="AP35" s="143" t="str">
        <f>IFERROR(__xludf.DUMMYFUNCTION("""COMPUTED_VALUE"""),"ARG")</f>
        <v>ARG</v>
      </c>
      <c r="AQ35" s="143">
        <f>IFERROR(__xludf.DUMMYFUNCTION("""COMPUTED_VALUE"""),100.0)</f>
        <v>100</v>
      </c>
      <c r="AR35" s="143">
        <f>IFERROR(__xludf.DUMMYFUNCTION("""COMPUTED_VALUE"""),45.0)</f>
        <v>45</v>
      </c>
      <c r="AS35" s="179">
        <f>IFERROR(__xludf.DUMMYFUNCTION("""COMPUTED_VALUE"""),1.0025412273587455)</f>
        <v>1.002541227</v>
      </c>
    </row>
    <row r="36">
      <c r="M36" s="143"/>
      <c r="N36" s="232" t="str">
        <f>IFERROR(__xludf.DUMMYFUNCTION("""COMPUTED_VALUE"""),"MTCGD")</f>
        <v>MTCGD</v>
      </c>
      <c r="O36" s="143" t="str">
        <f>IFERROR(__xludf.DUMMYFUNCTION("""COMPUTED_VALUE"""),"Mastellone")</f>
        <v>Mastellone</v>
      </c>
      <c r="P36" s="233">
        <f>IFERROR(__xludf.DUMMYFUNCTION("""COMPUTED_VALUE"""),46203.0)</f>
        <v>46203</v>
      </c>
      <c r="Q36" s="179">
        <f>IFERROR(__xludf.DUMMYFUNCTION("""COMPUTED_VALUE"""),0.1095)</f>
        <v>0.1095</v>
      </c>
      <c r="R36" s="236">
        <f>IFERROR(__xludf.DUMMYFUNCTION("""COMPUTED_VALUE"""),101.5)</f>
        <v>101.5</v>
      </c>
      <c r="S36" s="187">
        <f>IFERROR(__xludf.DUMMYFUNCTION("""COMPUTED_VALUE"""),0.09534594734110474)</f>
        <v>0.09534594734</v>
      </c>
      <c r="T36" s="187">
        <f>IFERROR(__xludf.DUMMYFUNCTION("""COMPUTED_VALUE"""),0.011899999999999999)</f>
        <v>0.0119</v>
      </c>
      <c r="U36" s="186">
        <f>IFERROR(__xludf.DUMMYFUNCTION("""COMPUTED_VALUE"""),0.7127086800293023)</f>
        <v>0.71270868</v>
      </c>
      <c r="V36" s="143" t="str">
        <f>IFERROR(__xludf.DUMMYFUNCTION("""COMPUTED_VALUE"""),"Trimestral")</f>
        <v>Trimestral</v>
      </c>
      <c r="W36" s="143" t="str">
        <f>IFERROR(__xludf.DUMMYFUNCTION("""COMPUTED_VALUE"""),"Bullet")</f>
        <v>Bullet</v>
      </c>
      <c r="X36" s="143" t="str">
        <f>IFERROR(__xludf.DUMMYFUNCTION("""COMPUTED_VALUE"""),"NY")</f>
        <v>NY</v>
      </c>
      <c r="Y36" s="143">
        <f>IFERROR(__xludf.DUMMYFUNCTION("""COMPUTED_VALUE"""),1.0)</f>
        <v>1</v>
      </c>
      <c r="Z36" s="143">
        <f>IFERROR(__xludf.DUMMYFUNCTION("""COMPUTED_VALUE"""),83.0)</f>
        <v>83</v>
      </c>
      <c r="AA36" s="179">
        <f>IFERROR(__xludf.DUMMYFUNCTION("""COMPUTED_VALUE"""),1.0122290230494022)</f>
        <v>1.012229023</v>
      </c>
      <c r="AE36" s="143"/>
      <c r="AF36" s="232" t="str">
        <f>IFERROR(__xludf.DUMMYFUNCTION("""COMPUTED_VALUE"""),"YMCQD")</f>
        <v>YMCQD</v>
      </c>
      <c r="AG36" s="143" t="str">
        <f>IFERROR(__xludf.DUMMYFUNCTION("""COMPUTED_VALUE"""),"YPF")</f>
        <v>YPF</v>
      </c>
      <c r="AH36" s="234">
        <f>IFERROR(__xludf.DUMMYFUNCTION("""COMPUTED_VALUE"""),46066.0)</f>
        <v>46066</v>
      </c>
      <c r="AI36" s="179">
        <f>IFERROR(__xludf.DUMMYFUNCTION("""COMPUTED_VALUE"""),0.05)</f>
        <v>0.05</v>
      </c>
      <c r="AJ36" s="235">
        <f>IFERROR(__xludf.DUMMYFUNCTION("""COMPUTED_VALUE"""),102.15)</f>
        <v>102.15</v>
      </c>
      <c r="AK36" s="179">
        <f>IFERROR(__xludf.DUMMYFUNCTION("""COMPUTED_VALUE"""),0.03484411957581255)</f>
        <v>0.03484411958</v>
      </c>
      <c r="AL36" s="179">
        <f>IFERROR(__xludf.DUMMYFUNCTION("""COMPUTED_VALUE"""),-0.0034000000000000002)</f>
        <v>-0.0034</v>
      </c>
      <c r="AM36" s="186">
        <f>IFERROR(__xludf.DUMMYFUNCTION("""COMPUTED_VALUE"""),0.3485143823001787)</f>
        <v>0.3485143823</v>
      </c>
      <c r="AN36" s="143" t="str">
        <f>IFERROR(__xludf.DUMMYFUNCTION("""COMPUTED_VALUE"""),"Semestral")</f>
        <v>Semestral</v>
      </c>
      <c r="AO36" s="143" t="str">
        <f>IFERROR(__xludf.DUMMYFUNCTION("""COMPUTED_VALUE"""),"Bullet")</f>
        <v>Bullet</v>
      </c>
      <c r="AP36" s="143" t="str">
        <f>IFERROR(__xludf.DUMMYFUNCTION("""COMPUTED_VALUE"""),"ARG")</f>
        <v>ARG</v>
      </c>
      <c r="AQ36" s="143">
        <f>IFERROR(__xludf.DUMMYFUNCTION("""COMPUTED_VALUE"""),100.0)</f>
        <v>100</v>
      </c>
      <c r="AR36" s="143">
        <f>IFERROR(__xludf.DUMMYFUNCTION("""COMPUTED_VALUE"""),66.0)</f>
        <v>66</v>
      </c>
      <c r="AS36" s="179">
        <f>IFERROR(__xludf.DUMMYFUNCTION("""COMPUTED_VALUE"""),1.0052507414397414)</f>
        <v>1.005250741</v>
      </c>
    </row>
    <row r="37">
      <c r="M37" s="143"/>
      <c r="N37" s="232" t="str">
        <f>IFERROR(__xludf.DUMMYFUNCTION("""COMPUTED_VALUE"""),"MGC9D")</f>
        <v>MGC9D</v>
      </c>
      <c r="O37" s="143" t="str">
        <f>IFERROR(__xludf.DUMMYFUNCTION("""COMPUTED_VALUE"""),"Pampa Energia")</f>
        <v>Pampa Energia</v>
      </c>
      <c r="P37" s="233">
        <f>IFERROR(__xludf.DUMMYFUNCTION("""COMPUTED_VALUE"""),46364.0)</f>
        <v>46364</v>
      </c>
      <c r="Q37" s="179">
        <f>IFERROR(__xludf.DUMMYFUNCTION("""COMPUTED_VALUE"""),0.095)</f>
        <v>0.095</v>
      </c>
      <c r="R37" s="192">
        <f>IFERROR(__xludf.DUMMYFUNCTION("""COMPUTED_VALUE"""),71.2)</f>
        <v>71.2</v>
      </c>
      <c r="S37" s="187">
        <f>IFERROR(__xludf.DUMMYFUNCTION("""COMPUTED_VALUE"""),0.04779948184699389)</f>
        <v>0.04779948185</v>
      </c>
      <c r="T37" s="187">
        <f>IFERROR(__xludf.DUMMYFUNCTION("""COMPUTED_VALUE"""),-0.0055000000000000005)</f>
        <v>-0.0055</v>
      </c>
      <c r="U37" s="186">
        <f>IFERROR(__xludf.DUMMYFUNCTION("""COMPUTED_VALUE"""),0.6604825150010593)</f>
        <v>0.660482515</v>
      </c>
      <c r="V37" s="143" t="str">
        <f>IFERROR(__xludf.DUMMYFUNCTION("""COMPUTED_VALUE"""),"Semestral")</f>
        <v>Semestral</v>
      </c>
      <c r="W37" s="143" t="str">
        <f>IFERROR(__xludf.DUMMYFUNCTION("""COMPUTED_VALUE"""),"Sinkable")</f>
        <v>Sinkable</v>
      </c>
      <c r="X37" s="143" t="str">
        <f>IFERROR(__xludf.DUMMYFUNCTION("""COMPUTED_VALUE"""),"NY")</f>
        <v>NY</v>
      </c>
      <c r="Y37" s="143">
        <f>IFERROR(__xludf.DUMMYFUNCTION("""COMPUTED_VALUE"""),1.0)</f>
        <v>1</v>
      </c>
      <c r="Z37" s="143">
        <f>IFERROR(__xludf.DUMMYFUNCTION("""COMPUTED_VALUE"""),61.0)</f>
        <v>61</v>
      </c>
      <c r="AA37" s="179">
        <f>IFERROR(__xludf.DUMMYFUNCTION("""COMPUTED_VALUE"""),1.029277921301921)</f>
        <v>1.029277921</v>
      </c>
      <c r="AE37" s="143"/>
      <c r="AF37" s="232" t="str">
        <f>IFERROR(__xludf.DUMMYFUNCTION("""COMPUTED_VALUE"""),"CP34D")</f>
        <v>CP34D</v>
      </c>
      <c r="AG37" s="143" t="str">
        <f>IFERROR(__xludf.DUMMYFUNCTION("""COMPUTED_VALUE"""),"CGC")</f>
        <v>CGC</v>
      </c>
      <c r="AH37" s="234">
        <f>IFERROR(__xludf.DUMMYFUNCTION("""COMPUTED_VALUE"""),46076.0)</f>
        <v>46076</v>
      </c>
      <c r="AI37" s="179">
        <f>IFERROR(__xludf.DUMMYFUNCTION("""COMPUTED_VALUE"""),0.07)</f>
        <v>0.07</v>
      </c>
      <c r="AJ37" s="235">
        <f>IFERROR(__xludf.DUMMYFUNCTION("""COMPUTED_VALUE"""),94.4)</f>
        <v>94.4</v>
      </c>
      <c r="AK37" s="179">
        <f>IFERROR(__xludf.DUMMYFUNCTION("""COMPUTED_VALUE"""),0.278852233744313)</f>
        <v>0.2788522337</v>
      </c>
      <c r="AL37" s="179">
        <f>IFERROR(__xludf.DUMMYFUNCTION("""COMPUTED_VALUE"""),-0.0063)</f>
        <v>-0.0063</v>
      </c>
      <c r="AM37" s="186">
        <f>IFERROR(__xludf.DUMMYFUNCTION("""COMPUTED_VALUE"""),0.3800679096048698)</f>
        <v>0.3800679096</v>
      </c>
      <c r="AN37" s="143" t="str">
        <f>IFERROR(__xludf.DUMMYFUNCTION("""COMPUTED_VALUE"""),"Semestral")</f>
        <v>Semestral</v>
      </c>
      <c r="AO37" s="143" t="str">
        <f>IFERROR(__xludf.DUMMYFUNCTION("""COMPUTED_VALUE"""),"Bullet")</f>
        <v>Bullet</v>
      </c>
      <c r="AP37" s="143" t="str">
        <f>IFERROR(__xludf.DUMMYFUNCTION("""COMPUTED_VALUE"""),"ARG")</f>
        <v>ARG</v>
      </c>
      <c r="AQ37" s="143">
        <f>IFERROR(__xludf.DUMMYFUNCTION("""COMPUTED_VALUE"""),50.0)</f>
        <v>50</v>
      </c>
      <c r="AR37" s="143">
        <f>IFERROR(__xludf.DUMMYFUNCTION("""COMPUTED_VALUE"""),138.0)</f>
        <v>138</v>
      </c>
      <c r="AS37" s="179">
        <f>IFERROR(__xludf.DUMMYFUNCTION("""COMPUTED_VALUE"""),0.9355670802899889)</f>
        <v>0.9355670803</v>
      </c>
    </row>
    <row r="38">
      <c r="M38" s="143"/>
      <c r="N38" s="232" t="str">
        <f>IFERROR(__xludf.DUMMYFUNCTION("""COMPUTED_VALUE"""),"PNDCD")</f>
        <v>PNDCD</v>
      </c>
      <c r="O38" s="143" t="str">
        <f>IFERROR(__xludf.DUMMYFUNCTION("""COMPUTED_VALUE"""),"Pan American Energy")</f>
        <v>Pan American Energy</v>
      </c>
      <c r="P38" s="233">
        <f>IFERROR(__xludf.DUMMYFUNCTION("""COMPUTED_VALUE"""),46507.0)</f>
        <v>46507</v>
      </c>
      <c r="Q38" s="179">
        <f>IFERROR(__xludf.DUMMYFUNCTION("""COMPUTED_VALUE"""),0.0913)</f>
        <v>0.0913</v>
      </c>
      <c r="R38" s="192">
        <f>IFERROR(__xludf.DUMMYFUNCTION("""COMPUTED_VALUE"""),86.5)</f>
        <v>86.5</v>
      </c>
      <c r="S38" s="187">
        <f>IFERROR(__xludf.DUMMYFUNCTION("""COMPUTED_VALUE"""),0.03924871575088921)</f>
        <v>0.03924871575</v>
      </c>
      <c r="T38" s="187">
        <f>IFERROR(__xludf.DUMMYFUNCTION("""COMPUTED_VALUE"""),-0.017)</f>
        <v>-0.017</v>
      </c>
      <c r="U38" s="186">
        <f>IFERROR(__xludf.DUMMYFUNCTION("""COMPUTED_VALUE"""),0.7822434263638092)</f>
        <v>0.7822434264</v>
      </c>
      <c r="V38" s="143" t="str">
        <f>IFERROR(__xludf.DUMMYFUNCTION("""COMPUTED_VALUE"""),"Semestral")</f>
        <v>Semestral</v>
      </c>
      <c r="W38" s="143" t="str">
        <f>IFERROR(__xludf.DUMMYFUNCTION("""COMPUTED_VALUE"""),"Sinkable")</f>
        <v>Sinkable</v>
      </c>
      <c r="X38" s="143" t="str">
        <f>IFERROR(__xludf.DUMMYFUNCTION("""COMPUTED_VALUE"""),"NY")</f>
        <v>NY</v>
      </c>
      <c r="Y38" s="143">
        <f>IFERROR(__xludf.DUMMYFUNCTION("""COMPUTED_VALUE"""),1000.0)</f>
        <v>1000</v>
      </c>
      <c r="Z38" s="143">
        <f>IFERROR(__xludf.DUMMYFUNCTION("""COMPUTED_VALUE"""),22.0)</f>
        <v>22</v>
      </c>
      <c r="AA38" s="179">
        <f>IFERROR(__xludf.DUMMYFUNCTION("""COMPUTED_VALUE"""),1.0386023893858438)</f>
        <v>1.038602389</v>
      </c>
      <c r="AE38" s="143"/>
      <c r="AF38" s="232" t="str">
        <f>IFERROR(__xludf.DUMMYFUNCTION("""COMPUTED_VALUE"""),"LOC3D")</f>
        <v>LOC3D</v>
      </c>
      <c r="AG38" s="143" t="str">
        <f>IFERROR(__xludf.DUMMYFUNCTION("""COMPUTED_VALUE"""),"Loma Negra")</f>
        <v>Loma Negra</v>
      </c>
      <c r="AH38" s="234">
        <f>IFERROR(__xludf.DUMMYFUNCTION("""COMPUTED_VALUE"""),46092.0)</f>
        <v>46092</v>
      </c>
      <c r="AI38" s="179">
        <f>IFERROR(__xludf.DUMMYFUNCTION("""COMPUTED_VALUE"""),0.0749)</f>
        <v>0.0749</v>
      </c>
      <c r="AJ38" s="235">
        <f>IFERROR(__xludf.DUMMYFUNCTION("""COMPUTED_VALUE"""),102.5)</f>
        <v>102.5</v>
      </c>
      <c r="AK38" s="179">
        <f>IFERROR(__xludf.DUMMYFUNCTION("""COMPUTED_VALUE"""),0.02839263666752153)</f>
        <v>0.02839263667</v>
      </c>
      <c r="AL38" s="179">
        <f>IFERROR(__xludf.DUMMYFUNCTION("""COMPUTED_VALUE"""),0.0138)</f>
        <v>0.0138</v>
      </c>
      <c r="AM38" s="186">
        <f>IFERROR(__xludf.DUMMYFUNCTION("""COMPUTED_VALUE"""),0.42493073215633376)</f>
        <v>0.4249307322</v>
      </c>
      <c r="AN38" s="143" t="str">
        <f>IFERROR(__xludf.DUMMYFUNCTION("""COMPUTED_VALUE"""),"Semestral")</f>
        <v>Semestral</v>
      </c>
      <c r="AO38" s="143" t="str">
        <f>IFERROR(__xludf.DUMMYFUNCTION("""COMPUTED_VALUE"""),"Bullet")</f>
        <v>Bullet</v>
      </c>
      <c r="AP38" s="143" t="str">
        <f>IFERROR(__xludf.DUMMYFUNCTION("""COMPUTED_VALUE"""),"ARG")</f>
        <v>ARG</v>
      </c>
      <c r="AQ38" s="143">
        <f>IFERROR(__xludf.DUMMYFUNCTION("""COMPUTED_VALUE"""),100.0)</f>
        <v>100</v>
      </c>
      <c r="AR38" s="143">
        <f>IFERROR(__xludf.DUMMYFUNCTION("""COMPUTED_VALUE"""),154.0)</f>
        <v>154</v>
      </c>
      <c r="AS38" s="179">
        <f>IFERROR(__xludf.DUMMYFUNCTION("""COMPUTED_VALUE"""),1.0191442484442812)</f>
        <v>1.019144248</v>
      </c>
    </row>
    <row r="39">
      <c r="M39" s="143"/>
      <c r="N39" s="143" t="str">
        <f>IFERROR(__xludf.DUMMYFUNCTION("""COMPUTED_VALUE"""),"YCAMD")</f>
        <v>YCAMD</v>
      </c>
      <c r="O39" s="143" t="str">
        <f>IFERROR(__xludf.DUMMYFUNCTION("""COMPUTED_VALUE"""),"YPF")</f>
        <v>YPF</v>
      </c>
      <c r="P39" s="233">
        <f>IFERROR(__xludf.DUMMYFUNCTION("""COMPUTED_VALUE"""),46589.0)</f>
        <v>46589</v>
      </c>
      <c r="Q39" s="179">
        <f>IFERROR(__xludf.DUMMYFUNCTION("""COMPUTED_VALUE"""),0.0695)</f>
        <v>0.0695</v>
      </c>
      <c r="R39" s="192">
        <f>IFERROR(__xludf.DUMMYFUNCTION("""COMPUTED_VALUE"""),102.25)</f>
        <v>102.25</v>
      </c>
      <c r="S39" s="187">
        <f>IFERROR(__xludf.DUMMYFUNCTION("""COMPUTED_VALUE"""),0.06619237840504184)</f>
        <v>0.06619237841</v>
      </c>
      <c r="T39" s="187">
        <f>IFERROR(__xludf.DUMMYFUNCTION("""COMPUTED_VALUE"""),0.0)</f>
        <v>0</v>
      </c>
      <c r="U39" s="186">
        <f>IFERROR(__xludf.DUMMYFUNCTION("""COMPUTED_VALUE"""),1.7036405613044903)</f>
        <v>1.703640561</v>
      </c>
      <c r="V39" s="143" t="str">
        <f>IFERROR(__xludf.DUMMYFUNCTION("""COMPUTED_VALUE"""),"Semestral")</f>
        <v>Semestral</v>
      </c>
      <c r="W39" s="143" t="str">
        <f>IFERROR(__xludf.DUMMYFUNCTION("""COMPUTED_VALUE"""),"Bullet")</f>
        <v>Bullet</v>
      </c>
      <c r="X39" s="143" t="str">
        <f>IFERROR(__xludf.DUMMYFUNCTION("""COMPUTED_VALUE"""),"NY")</f>
        <v>NY</v>
      </c>
      <c r="Y39" s="143">
        <f>IFERROR(__xludf.DUMMYFUNCTION("""COMPUTED_VALUE"""),10000.0)</f>
        <v>10000</v>
      </c>
      <c r="Z39" s="143">
        <f>IFERROR(__xludf.DUMMYFUNCTION("""COMPUTED_VALUE"""),105.0)</f>
        <v>105</v>
      </c>
      <c r="AA39" s="179">
        <f>IFERROR(__xludf.DUMMYFUNCTION("""COMPUTED_VALUE"""),1.006948243790349)</f>
        <v>1.006948244</v>
      </c>
      <c r="AE39" s="143"/>
      <c r="AF39" s="232" t="str">
        <f>IFERROR(__xludf.DUMMYFUNCTION("""COMPUTED_VALUE"""),"NPCAD")</f>
        <v>NPCAD</v>
      </c>
      <c r="AG39" s="143" t="str">
        <f>IFERROR(__xludf.DUMMYFUNCTION("""COMPUTED_VALUE"""),"Central Puerto")</f>
        <v>Central Puerto</v>
      </c>
      <c r="AH39" s="234">
        <f>IFERROR(__xludf.DUMMYFUNCTION("""COMPUTED_VALUE"""),46095.0)</f>
        <v>46095</v>
      </c>
      <c r="AI39" s="179">
        <f>IFERROR(__xludf.DUMMYFUNCTION("""COMPUTED_VALUE"""),0.07)</f>
        <v>0.07</v>
      </c>
      <c r="AJ39" s="235">
        <f>IFERROR(__xludf.DUMMYFUNCTION("""COMPUTED_VALUE"""),101.55)</f>
        <v>101.55</v>
      </c>
      <c r="AK39" s="179">
        <f>IFERROR(__xludf.DUMMYFUNCTION("""COMPUTED_VALUE"""),0.044798869890516506)</f>
        <v>0.04479886989</v>
      </c>
      <c r="AL39" s="179">
        <f>IFERROR(__xludf.DUMMYFUNCTION("""COMPUTED_VALUE"""),-0.0014000000000000002)</f>
        <v>-0.0014</v>
      </c>
      <c r="AM39" s="192">
        <f>IFERROR(__xludf.DUMMYFUNCTION("""COMPUTED_VALUE"""),0.4332206185697374)</f>
        <v>0.4332206186</v>
      </c>
      <c r="AN39" s="143" t="str">
        <f>IFERROR(__xludf.DUMMYFUNCTION("""COMPUTED_VALUE"""),"Semestral")</f>
        <v>Semestral</v>
      </c>
      <c r="AO39" s="143" t="str">
        <f>IFERROR(__xludf.DUMMYFUNCTION("""COMPUTED_VALUE"""),"Bullet")</f>
        <v>Bullet</v>
      </c>
      <c r="AP39" s="143" t="str">
        <f>IFERROR(__xludf.DUMMYFUNCTION("""COMPUTED_VALUE"""),"ARG")</f>
        <v>ARG</v>
      </c>
      <c r="AQ39" s="143">
        <f>IFERROR(__xludf.DUMMYFUNCTION("""COMPUTED_VALUE"""),100.0)</f>
        <v>100</v>
      </c>
      <c r="AR39" s="143">
        <f>IFERROR(__xludf.DUMMYFUNCTION("""COMPUTED_VALUE"""),157.0)</f>
        <v>157</v>
      </c>
      <c r="AS39" s="179">
        <f>IFERROR(__xludf.DUMMYFUNCTION("""COMPUTED_VALUE"""),0.9763651450096147)</f>
        <v>0.976365145</v>
      </c>
    </row>
    <row r="40">
      <c r="M40" s="143"/>
      <c r="N40" s="237" t="str">
        <f>IFERROR(__xludf.DUMMYFUNCTION("""COMPUTED_VALUE"""),"GNCXD")</f>
        <v>GNCXD</v>
      </c>
      <c r="O40" s="173" t="str">
        <f>IFERROR(__xludf.DUMMYFUNCTION("""COMPUTED_VALUE"""),"Genneia")</f>
        <v>Genneia</v>
      </c>
      <c r="P40" s="238">
        <f>IFERROR(__xludf.DUMMYFUNCTION("""COMPUTED_VALUE"""),46632.0)</f>
        <v>46632</v>
      </c>
      <c r="Q40" s="187">
        <f>IFERROR(__xludf.DUMMYFUNCTION("""COMPUTED_VALUE"""),0.0875)</f>
        <v>0.0875</v>
      </c>
      <c r="R40" s="141">
        <f>IFERROR(__xludf.DUMMYFUNCTION("""COMPUTED_VALUE"""),40.89)</f>
        <v>40.89</v>
      </c>
      <c r="S40" s="187">
        <f>IFERROR(__xludf.DUMMYFUNCTION("""COMPUTED_VALUE"""),0.07634798914958861)</f>
        <v>0.07634798915</v>
      </c>
      <c r="T40" s="187">
        <f>IFERROR(__xludf.DUMMYFUNCTION("""COMPUTED_VALUE"""),0.0070999999999999995)</f>
        <v>0.0071</v>
      </c>
      <c r="U40" s="186">
        <f>IFERROR(__xludf.DUMMYFUNCTION("""COMPUTED_VALUE"""),1.1154498500735563)</f>
        <v>1.11544985</v>
      </c>
      <c r="V40" s="143" t="str">
        <f>IFERROR(__xludf.DUMMYFUNCTION("""COMPUTED_VALUE"""),"Semestral")</f>
        <v>Semestral</v>
      </c>
      <c r="W40" s="143" t="str">
        <f>IFERROR(__xludf.DUMMYFUNCTION("""COMPUTED_VALUE"""),"Sinkable")</f>
        <v>Sinkable</v>
      </c>
      <c r="X40" s="143" t="str">
        <f>IFERROR(__xludf.DUMMYFUNCTION("""COMPUTED_VALUE"""),"NY")</f>
        <v>NY</v>
      </c>
      <c r="Y40" s="143">
        <f>IFERROR(__xludf.DUMMYFUNCTION("""COMPUTED_VALUE"""),1000.0)</f>
        <v>1000</v>
      </c>
      <c r="Z40" s="143">
        <f>IFERROR(__xludf.DUMMYFUNCTION("""COMPUTED_VALUE"""),145.0)</f>
        <v>145</v>
      </c>
      <c r="AA40" s="179">
        <f>IFERROR(__xludf.DUMMYFUNCTION("""COMPUTED_VALUE"""),0.8105110292852472)</f>
        <v>0.8105110293</v>
      </c>
      <c r="AE40" s="143"/>
      <c r="AF40" s="232" t="str">
        <f>IFERROR(__xludf.DUMMYFUNCTION("""COMPUTED_VALUE"""),"TTC7D")</f>
        <v>TTC7D</v>
      </c>
      <c r="AG40" s="143" t="str">
        <f>IFERROR(__xludf.DUMMYFUNCTION("""COMPUTED_VALUE"""),"Tecpetrol")</f>
        <v>Tecpetrol</v>
      </c>
      <c r="AH40" s="234">
        <f>IFERROR(__xludf.DUMMYFUNCTION("""COMPUTED_VALUE"""),46134.0)</f>
        <v>46134</v>
      </c>
      <c r="AI40" s="179">
        <f>IFERROR(__xludf.DUMMYFUNCTION("""COMPUTED_VALUE"""),0.0598)</f>
        <v>0.0598</v>
      </c>
      <c r="AJ40" s="235">
        <f>IFERROR(__xludf.DUMMYFUNCTION("""COMPUTED_VALUE"""),103.5)</f>
        <v>103.5</v>
      </c>
      <c r="AK40" s="179">
        <f>IFERROR(__xludf.DUMMYFUNCTION("""COMPUTED_VALUE"""),0.046591110618864895)</f>
        <v>0.04659111062</v>
      </c>
      <c r="AL40" s="179">
        <f>IFERROR(__xludf.DUMMYFUNCTION("""COMPUTED_VALUE"""),-9.0E-4)</f>
        <v>-0.0009</v>
      </c>
      <c r="AM40" s="186">
        <f>IFERROR(__xludf.DUMMYFUNCTION("""COMPUTED_VALUE"""),0.5268589050449201)</f>
        <v>0.526858905</v>
      </c>
      <c r="AN40" s="143" t="str">
        <f>IFERROR(__xludf.DUMMYFUNCTION("""COMPUTED_VALUE"""),"Semestral")</f>
        <v>Semestral</v>
      </c>
      <c r="AO40" s="143" t="str">
        <f>IFERROR(__xludf.DUMMYFUNCTION("""COMPUTED_VALUE"""),"Bullet")</f>
        <v>Bullet</v>
      </c>
      <c r="AP40" s="143" t="str">
        <f>IFERROR(__xludf.DUMMYFUNCTION("""COMPUTED_VALUE"""),"ARG")</f>
        <v>ARG</v>
      </c>
      <c r="AQ40" s="143">
        <f>IFERROR(__xludf.DUMMYFUNCTION("""COMPUTED_VALUE"""),1.0)</f>
        <v>1</v>
      </c>
      <c r="AR40" s="143">
        <f>IFERROR(__xludf.DUMMYFUNCTION("""COMPUTED_VALUE"""),14.0)</f>
        <v>14</v>
      </c>
      <c r="AS40" s="179">
        <f>IFERROR(__xludf.DUMMYFUNCTION("""COMPUTED_VALUE"""),1.0069542549164903)</f>
        <v>1.006954255</v>
      </c>
    </row>
    <row r="41">
      <c r="M41" s="143"/>
      <c r="N41" s="232" t="str">
        <f>IFERROR(__xludf.DUMMYFUNCTION("""COMPUTED_VALUE"""),"IRCFD")</f>
        <v>IRCFD</v>
      </c>
      <c r="O41" s="143" t="str">
        <f>IFERROR(__xludf.DUMMYFUNCTION("""COMPUTED_VALUE"""),"Irsa")</f>
        <v>Irsa</v>
      </c>
      <c r="P41" s="233">
        <f>IFERROR(__xludf.DUMMYFUNCTION("""COMPUTED_VALUE"""),46926.0)</f>
        <v>46926</v>
      </c>
      <c r="Q41" s="179">
        <f>IFERROR(__xludf.DUMMYFUNCTION("""COMPUTED_VALUE"""),0.0875)</f>
        <v>0.0875</v>
      </c>
      <c r="R41" s="192">
        <f>IFERROR(__xludf.DUMMYFUNCTION("""COMPUTED_VALUE"""),69.79)</f>
        <v>69.79</v>
      </c>
      <c r="S41" s="179">
        <f>IFERROR(__xludf.DUMMYFUNCTION("""COMPUTED_VALUE"""),0.060872134275639526)</f>
        <v>0.06087213428</v>
      </c>
      <c r="T41" s="179">
        <f>IFERROR(__xludf.DUMMYFUNCTION("""COMPUTED_VALUE"""),-0.0012)</f>
        <v>-0.0012</v>
      </c>
      <c r="U41" s="186">
        <f>IFERROR(__xludf.DUMMYFUNCTION("""COMPUTED_VALUE"""),1.7631168587831665)</f>
        <v>1.763116859</v>
      </c>
      <c r="V41" s="143" t="str">
        <f>IFERROR(__xludf.DUMMYFUNCTION("""COMPUTED_VALUE"""),"Semestral")</f>
        <v>Semestral</v>
      </c>
      <c r="W41" s="143" t="str">
        <f>IFERROR(__xludf.DUMMYFUNCTION("""COMPUTED_VALUE"""),"Sinkable")</f>
        <v>Sinkable</v>
      </c>
      <c r="X41" s="143" t="str">
        <f>IFERROR(__xludf.DUMMYFUNCTION("""COMPUTED_VALUE"""),"NY")</f>
        <v>NY</v>
      </c>
      <c r="Y41" s="143">
        <f>IFERROR(__xludf.DUMMYFUNCTION("""COMPUTED_VALUE"""),1.0)</f>
        <v>1</v>
      </c>
      <c r="Z41" s="143">
        <f>IFERROR(__xludf.DUMMYFUNCTION("""COMPUTED_VALUE"""),75.0)</f>
        <v>75</v>
      </c>
      <c r="AA41" s="179">
        <f>IFERROR(__xludf.DUMMYFUNCTION("""COMPUTED_VALUE"""),1.0459810730148655)</f>
        <v>1.045981073</v>
      </c>
      <c r="AE41" s="143"/>
      <c r="AF41" s="232" t="str">
        <f>IFERROR(__xludf.DUMMYFUNCTION("""COMPUTED_VALUE"""),"YMCVD")</f>
        <v>YMCVD</v>
      </c>
      <c r="AG41" s="143" t="str">
        <f>IFERROR(__xludf.DUMMYFUNCTION("""COMPUTED_VALUE"""),"YPF")</f>
        <v>YPF</v>
      </c>
      <c r="AH41" s="234">
        <f>IFERROR(__xludf.DUMMYFUNCTION("""COMPUTED_VALUE"""),46168.0)</f>
        <v>46168</v>
      </c>
      <c r="AI41" s="179">
        <f>IFERROR(__xludf.DUMMYFUNCTION("""COMPUTED_VALUE"""),0.06)</f>
        <v>0.06</v>
      </c>
      <c r="AJ41" s="235">
        <f>IFERROR(__xludf.DUMMYFUNCTION("""COMPUTED_VALUE"""),102.3)</f>
        <v>102.3</v>
      </c>
      <c r="AK41" s="179">
        <f>IFERROR(__xludf.DUMMYFUNCTION("""COMPUTED_VALUE"""),0.03447512662747291)</f>
        <v>0.03447512663</v>
      </c>
      <c r="AL41" s="179">
        <f>IFERROR(__xludf.DUMMYFUNCTION("""COMPUTED_VALUE"""),-0.0019)</f>
        <v>-0.0019</v>
      </c>
      <c r="AM41" s="186">
        <f>IFERROR(__xludf.DUMMYFUNCTION("""COMPUTED_VALUE"""),0.6304917317972469)</f>
        <v>0.6304917318</v>
      </c>
      <c r="AN41" s="143" t="str">
        <f>IFERROR(__xludf.DUMMYFUNCTION("""COMPUTED_VALUE"""),"Trimestral")</f>
        <v>Trimestral</v>
      </c>
      <c r="AO41" s="143" t="str">
        <f>IFERROR(__xludf.DUMMYFUNCTION("""COMPUTED_VALUE"""),"Bullet")</f>
        <v>Bullet</v>
      </c>
      <c r="AP41" s="143" t="str">
        <f>IFERROR(__xludf.DUMMYFUNCTION("""COMPUTED_VALUE"""),"ARG")</f>
        <v>ARG</v>
      </c>
      <c r="AQ41" s="143">
        <f>IFERROR(__xludf.DUMMYFUNCTION("""COMPUTED_VALUE"""),1.0)</f>
        <v>1</v>
      </c>
      <c r="AR41" s="143">
        <f>IFERROR(__xludf.DUMMYFUNCTION("""COMPUTED_VALUE"""),51.0)</f>
        <v>51</v>
      </c>
      <c r="AS41" s="179">
        <f>IFERROR(__xludf.DUMMYFUNCTION("""COMPUTED_VALUE"""),1.0159855245973008)</f>
        <v>1.015985525</v>
      </c>
    </row>
    <row r="42">
      <c r="M42" s="143"/>
      <c r="N42" s="232" t="str">
        <f>IFERROR(__xludf.DUMMYFUNCTION("""COMPUTED_VALUE"""),"CAC5D")</f>
        <v>CAC5D</v>
      </c>
      <c r="O42" s="143" t="str">
        <f>IFERROR(__xludf.DUMMYFUNCTION("""COMPUTED_VALUE"""),"Capex")</f>
        <v>Capex</v>
      </c>
      <c r="P42" s="233">
        <f>IFERROR(__xludf.DUMMYFUNCTION("""COMPUTED_VALUE"""),46990.0)</f>
        <v>46990</v>
      </c>
      <c r="Q42" s="179">
        <f>IFERROR(__xludf.DUMMYFUNCTION("""COMPUTED_VALUE"""),0.0925)</f>
        <v>0.0925</v>
      </c>
      <c r="R42" s="192">
        <f>IFERROR(__xludf.DUMMYFUNCTION("""COMPUTED_VALUE"""),75.72)</f>
        <v>75.72</v>
      </c>
      <c r="S42" s="179">
        <f>IFERROR(__xludf.DUMMYFUNCTION("""COMPUTED_VALUE"""),0.09544429307870247)</f>
        <v>0.09544429308</v>
      </c>
      <c r="T42" s="179">
        <f>IFERROR(__xludf.DUMMYFUNCTION("""COMPUTED_VALUE"""),-0.0076)</f>
        <v>-0.0076</v>
      </c>
      <c r="U42" s="186">
        <f>IFERROR(__xludf.DUMMYFUNCTION("""COMPUTED_VALUE"""),1.5251915772927287)</f>
        <v>1.525191577</v>
      </c>
      <c r="V42" s="143" t="str">
        <f>IFERROR(__xludf.DUMMYFUNCTION("""COMPUTED_VALUE"""),"Semestral")</f>
        <v>Semestral</v>
      </c>
      <c r="W42" s="143" t="str">
        <f>IFERROR(__xludf.DUMMYFUNCTION("""COMPUTED_VALUE"""),"Sinkable")</f>
        <v>Sinkable</v>
      </c>
      <c r="X42" s="143" t="str">
        <f>IFERROR(__xludf.DUMMYFUNCTION("""COMPUTED_VALUE"""),"NY")</f>
        <v>NY</v>
      </c>
      <c r="Y42" s="143">
        <f>IFERROR(__xludf.DUMMYFUNCTION("""COMPUTED_VALUE"""),1.0)</f>
        <v>1</v>
      </c>
      <c r="Z42" s="143">
        <f>IFERROR(__xludf.DUMMYFUNCTION("""COMPUTED_VALUE"""),140.0)</f>
        <v>140</v>
      </c>
      <c r="AA42" s="179">
        <f>IFERROR(__xludf.DUMMYFUNCTION("""COMPUTED_VALUE"""),0.855479941745002)</f>
        <v>0.8554799417</v>
      </c>
      <c r="AE42" s="143"/>
      <c r="AF42" s="232" t="str">
        <f>IFERROR(__xludf.DUMMYFUNCTION("""COMPUTED_VALUE"""),"NBS1D")</f>
        <v>NBS1D</v>
      </c>
      <c r="AG42" s="143" t="str">
        <f>IFERROR(__xludf.DUMMYFUNCTION("""COMPUTED_VALUE"""),"Balanz")</f>
        <v>Balanz</v>
      </c>
      <c r="AH42" s="234">
        <f>IFERROR(__xludf.DUMMYFUNCTION("""COMPUTED_VALUE"""),46179.0)</f>
        <v>46179</v>
      </c>
      <c r="AI42" s="179">
        <f>IFERROR(__xludf.DUMMYFUNCTION("""COMPUTED_VALUE"""),0.05)</f>
        <v>0.05</v>
      </c>
      <c r="AJ42" s="235">
        <f>IFERROR(__xludf.DUMMYFUNCTION("""COMPUTED_VALUE"""),100.1)</f>
        <v>100.1</v>
      </c>
      <c r="AK42" s="179">
        <f>IFERROR(__xludf.DUMMYFUNCTION("""COMPUTED_VALUE"""),0.049747183950032546)</f>
        <v>0.04974718395</v>
      </c>
      <c r="AL42" s="179">
        <f>IFERROR(__xludf.DUMMYFUNCTION("""COMPUTED_VALUE"""),9.0E-4)</f>
        <v>0.0009</v>
      </c>
      <c r="AM42" s="186">
        <f>IFERROR(__xludf.DUMMYFUNCTION("""COMPUTED_VALUE"""),0.6608689911221886)</f>
        <v>0.6608689911</v>
      </c>
      <c r="AN42" s="143" t="str">
        <f>IFERROR(__xludf.DUMMYFUNCTION("""COMPUTED_VALUE"""),"Cuatrimestral")</f>
        <v>Cuatrimestral</v>
      </c>
      <c r="AO42" s="143" t="str">
        <f>IFERROR(__xludf.DUMMYFUNCTION("""COMPUTED_VALUE"""),"Bullet")</f>
        <v>Bullet</v>
      </c>
      <c r="AP42" s="143" t="str">
        <f>IFERROR(__xludf.DUMMYFUNCTION("""COMPUTED_VALUE"""),"ARG")</f>
        <v>ARG</v>
      </c>
      <c r="AQ42" s="143">
        <f>IFERROR(__xludf.DUMMYFUNCTION("""COMPUTED_VALUE"""),500.0)</f>
        <v>500</v>
      </c>
      <c r="AR42" s="143">
        <f>IFERROR(__xludf.DUMMYFUNCTION("""COMPUTED_VALUE"""),121.0)</f>
        <v>121</v>
      </c>
      <c r="AS42" s="179">
        <f>IFERROR(__xludf.DUMMYFUNCTION("""COMPUTED_VALUE"""),0.9841481481481481)</f>
        <v>0.9841481481</v>
      </c>
    </row>
    <row r="43">
      <c r="M43" s="143"/>
      <c r="N43" s="232" t="str">
        <f>IFERROR(__xludf.DUMMYFUNCTION("""COMPUTED_VALUE"""),"BYCHD")</f>
        <v>BYCHD</v>
      </c>
      <c r="O43" s="143" t="str">
        <f>IFERROR(__xludf.DUMMYFUNCTION("""COMPUTED_VALUE"""),"Galicia")</f>
        <v>Galicia</v>
      </c>
      <c r="P43" s="233">
        <f>IFERROR(__xludf.DUMMYFUNCTION("""COMPUTED_VALUE"""),47036.0)</f>
        <v>47036</v>
      </c>
      <c r="Q43" s="179">
        <f>IFERROR(__xludf.DUMMYFUNCTION("""COMPUTED_VALUE"""),0.0775)</f>
        <v>0.0775</v>
      </c>
      <c r="R43" s="192">
        <f>IFERROR(__xludf.DUMMYFUNCTION("""COMPUTED_VALUE"""),105.8)</f>
        <v>105.8</v>
      </c>
      <c r="S43" s="179">
        <f>IFERROR(__xludf.DUMMYFUNCTION("""COMPUTED_VALUE"""),0.07149077584364663)</f>
        <v>0.07149077584</v>
      </c>
      <c r="T43" s="179">
        <f>IFERROR(__xludf.DUMMYFUNCTION("""COMPUTED_VALUE"""),-0.0014000000000000002)</f>
        <v>-0.0014</v>
      </c>
      <c r="U43" s="186">
        <f>IFERROR(__xludf.DUMMYFUNCTION("""COMPUTED_VALUE"""),2.6701754812302956)</f>
        <v>2.670175481</v>
      </c>
      <c r="V43" s="143" t="str">
        <f>IFERROR(__xludf.DUMMYFUNCTION("""COMPUTED_VALUE"""),"Semestral")</f>
        <v>Semestral</v>
      </c>
      <c r="W43" s="143" t="str">
        <f>IFERROR(__xludf.DUMMYFUNCTION("""COMPUTED_VALUE"""),"Bullet")</f>
        <v>Bullet</v>
      </c>
      <c r="X43" s="143" t="str">
        <f>IFERROR(__xludf.DUMMYFUNCTION("""COMPUTED_VALUE"""),"NY")</f>
        <v>NY</v>
      </c>
      <c r="Y43" s="143">
        <f>IFERROR(__xludf.DUMMYFUNCTION("""COMPUTED_VALUE"""),2000.0)</f>
        <v>2000</v>
      </c>
      <c r="Z43" s="143">
        <f>IFERROR(__xludf.DUMMYFUNCTION("""COMPUTED_VALUE"""),2.0)</f>
        <v>2</v>
      </c>
      <c r="AA43" s="179">
        <f>IFERROR(__xludf.DUMMYFUNCTION("""COMPUTED_VALUE"""),1.0181098889349247)</f>
        <v>1.018109889</v>
      </c>
      <c r="AE43" s="143"/>
      <c r="AF43" s="232" t="str">
        <f>IFERROR(__xludf.DUMMYFUNCTION("""COMPUTED_VALUE"""),"DNC3D")</f>
        <v>DNC3D</v>
      </c>
      <c r="AG43" s="143" t="str">
        <f>IFERROR(__xludf.DUMMYFUNCTION("""COMPUTED_VALUE"""),"Edenor")</f>
        <v>Edenor</v>
      </c>
      <c r="AH43" s="234">
        <f>IFERROR(__xludf.DUMMYFUNCTION("""COMPUTED_VALUE"""),46348.0)</f>
        <v>46348</v>
      </c>
      <c r="AI43" s="179">
        <f>IFERROR(__xludf.DUMMYFUNCTION("""COMPUTED_VALUE"""),0.0975)</f>
        <v>0.0975</v>
      </c>
      <c r="AJ43" s="235">
        <f>IFERROR(__xludf.DUMMYFUNCTION("""COMPUTED_VALUE"""),96.4)</f>
        <v>96.4</v>
      </c>
      <c r="AK43" s="179">
        <f>IFERROR(__xludf.DUMMYFUNCTION("""COMPUTED_VALUE"""),0.17933486867534926)</f>
        <v>0.1793348687</v>
      </c>
      <c r="AL43" s="179">
        <f>IFERROR(__xludf.DUMMYFUNCTION("""COMPUTED_VALUE"""),-0.026099999999999998)</f>
        <v>-0.0261</v>
      </c>
      <c r="AM43" s="186">
        <f>IFERROR(__xludf.DUMMYFUNCTION("""COMPUTED_VALUE"""),1.059574168462664)</f>
        <v>1.059574168</v>
      </c>
      <c r="AN43" s="143" t="str">
        <f>IFERROR(__xludf.DUMMYFUNCTION("""COMPUTED_VALUE"""),"Semestral")</f>
        <v>Semestral</v>
      </c>
      <c r="AO43" s="143" t="str">
        <f>IFERROR(__xludf.DUMMYFUNCTION("""COMPUTED_VALUE"""),"Bullet")</f>
        <v>Bullet</v>
      </c>
      <c r="AP43" s="143" t="str">
        <f>IFERROR(__xludf.DUMMYFUNCTION("""COMPUTED_VALUE"""),"ARG")</f>
        <v>ARG</v>
      </c>
      <c r="AQ43" s="143">
        <f>IFERROR(__xludf.DUMMYFUNCTION("""COMPUTED_VALUE"""),1.0)</f>
        <v>1</v>
      </c>
      <c r="AR43" s="143">
        <f>IFERROR(__xludf.DUMMYFUNCTION("""COMPUTED_VALUE"""),45.0)</f>
        <v>45</v>
      </c>
      <c r="AS43" s="179">
        <f>IFERROR(__xludf.DUMMYFUNCTION("""COMPUTED_VALUE"""),0.9292486465073287)</f>
        <v>0.9292486465</v>
      </c>
    </row>
    <row r="44">
      <c r="M44" s="143"/>
      <c r="N44" s="232" t="str">
        <f>IFERROR(__xludf.DUMMYFUNCTION("""COMPUTED_VALUE"""),"BACGD")</f>
        <v>BACGD</v>
      </c>
      <c r="O44" s="143" t="str">
        <f>IFERROR(__xludf.DUMMYFUNCTION("""COMPUTED_VALUE"""),"Banco Macro")</f>
        <v>Banco Macro</v>
      </c>
      <c r="P44" s="233">
        <f>IFERROR(__xludf.DUMMYFUNCTION("""COMPUTED_VALUE"""),47292.0)</f>
        <v>47292</v>
      </c>
      <c r="Q44" s="181">
        <f>IFERROR(__xludf.DUMMYFUNCTION("""COMPUTED_VALUE"""),0.08)</f>
        <v>0.08</v>
      </c>
      <c r="R44" s="192">
        <f>IFERROR(__xludf.DUMMYFUNCTION("""COMPUTED_VALUE"""),102.25)</f>
        <v>102.25</v>
      </c>
      <c r="S44" s="179">
        <f>IFERROR(__xludf.DUMMYFUNCTION("""COMPUTED_VALUE"""),0.08185903892745386)</f>
        <v>0.08185903893</v>
      </c>
      <c r="T44" s="179">
        <f>IFERROR(__xludf.DUMMYFUNCTION("""COMPUTED_VALUE"""),0.0024)</f>
        <v>0.0024</v>
      </c>
      <c r="U44" s="186">
        <f>IFERROR(__xludf.DUMMYFUNCTION("""COMPUTED_VALUE"""),3.2393086080317754)</f>
        <v>3.239308608</v>
      </c>
      <c r="V44" s="143" t="str">
        <f>IFERROR(__xludf.DUMMYFUNCTION("""COMPUTED_VALUE"""),"Semestral")</f>
        <v>Semestral</v>
      </c>
      <c r="W44" s="180" t="str">
        <f>IFERROR(__xludf.DUMMYFUNCTION("""COMPUTED_VALUE"""),"Bullet")</f>
        <v>Bullet</v>
      </c>
      <c r="X44" s="143" t="str">
        <f>IFERROR(__xludf.DUMMYFUNCTION("""COMPUTED_VALUE"""),"NY")</f>
        <v>NY</v>
      </c>
      <c r="Y44" s="143">
        <f>IFERROR(__xludf.DUMMYFUNCTION("""COMPUTED_VALUE"""),1000.0)</f>
        <v>1000</v>
      </c>
      <c r="Z44" s="143">
        <f>IFERROR(__xludf.DUMMYFUNCTION("""COMPUTED_VALUE"""),76.0)</f>
        <v>76</v>
      </c>
      <c r="AA44" s="179">
        <f>IFERROR(__xludf.DUMMYFUNCTION("""COMPUTED_VALUE"""),0.99853515625)</f>
        <v>0.9985351563</v>
      </c>
      <c r="AE44" s="143"/>
      <c r="AF44" s="232" t="str">
        <f>IFERROR(__xludf.DUMMYFUNCTION("""COMPUTED_VALUE"""),"ZZC1D")</f>
        <v>ZZC1D</v>
      </c>
      <c r="AG44" s="143" t="str">
        <f>IFERROR(__xludf.DUMMYFUNCTION("""COMPUTED_VALUE"""),"Camuzzi")</f>
        <v>Camuzzi</v>
      </c>
      <c r="AH44" s="234">
        <f>IFERROR(__xludf.DUMMYFUNCTION("""COMPUTED_VALUE"""),46439.0)</f>
        <v>46439</v>
      </c>
      <c r="AI44" s="179">
        <f>IFERROR(__xludf.DUMMYFUNCTION("""COMPUTED_VALUE"""),0.0795)</f>
        <v>0.0795</v>
      </c>
      <c r="AJ44" s="235">
        <f>IFERROR(__xludf.DUMMYFUNCTION("""COMPUTED_VALUE"""),98.99)</f>
        <v>98.99</v>
      </c>
      <c r="AK44" s="179">
        <f>IFERROR(__xludf.DUMMYFUNCTION("""COMPUTED_VALUE"""),0.09820802889139084)</f>
        <v>0.09820802889</v>
      </c>
      <c r="AL44" s="179">
        <f>IFERROR(__xludf.DUMMYFUNCTION("""COMPUTED_VALUE"""),0.0111)</f>
        <v>0.0111</v>
      </c>
      <c r="AM44" s="186">
        <f>IFERROR(__xludf.DUMMYFUNCTION("""COMPUTED_VALUE"""),1.3281283170595968)</f>
        <v>1.328128317</v>
      </c>
      <c r="AN44" s="143" t="str">
        <f>IFERROR(__xludf.DUMMYFUNCTION("""COMPUTED_VALUE"""),"Semestral")</f>
        <v>Semestral</v>
      </c>
      <c r="AO44" s="143" t="str">
        <f>IFERROR(__xludf.DUMMYFUNCTION("""COMPUTED_VALUE"""),"Bullet")</f>
        <v>Bullet</v>
      </c>
      <c r="AP44" s="143" t="str">
        <f>IFERROR(__xludf.DUMMYFUNCTION("""COMPUTED_VALUE"""),"ARG")</f>
        <v>ARG</v>
      </c>
      <c r="AQ44" s="143">
        <f>IFERROR(__xludf.DUMMYFUNCTION("""COMPUTED_VALUE"""),100.0)</f>
        <v>100</v>
      </c>
      <c r="AR44" s="143">
        <f>IFERROR(__xludf.DUMMYFUNCTION("""COMPUTED_VALUE"""),136.0)</f>
        <v>136</v>
      </c>
      <c r="AS44" s="179">
        <f>IFERROR(__xludf.DUMMYFUNCTION("""COMPUTED_VALUE"""),0.979446753891007)</f>
        <v>0.9794467539</v>
      </c>
    </row>
    <row r="45">
      <c r="M45" s="143"/>
      <c r="N45" s="232" t="str">
        <f>IFERROR(__xludf.DUMMYFUNCTION("""COMPUTED_VALUE"""),"YMCID")</f>
        <v>YMCID</v>
      </c>
      <c r="O45" s="143" t="str">
        <f>IFERROR(__xludf.DUMMYFUNCTION("""COMPUTED_VALUE"""),"YPF")</f>
        <v>YPF</v>
      </c>
      <c r="P45" s="233">
        <f>IFERROR(__xludf.DUMMYFUNCTION("""COMPUTED_VALUE"""),47299.0)</f>
        <v>47299</v>
      </c>
      <c r="Q45" s="181">
        <f>IFERROR(__xludf.DUMMYFUNCTION("""COMPUTED_VALUE"""),0.09)</f>
        <v>0.09</v>
      </c>
      <c r="R45" s="192">
        <f>IFERROR(__xludf.DUMMYFUNCTION("""COMPUTED_VALUE"""),106.95)</f>
        <v>106.95</v>
      </c>
      <c r="S45" s="179">
        <f>IFERROR(__xludf.DUMMYFUNCTION("""COMPUTED_VALUE"""),0.06887414421954087)</f>
        <v>0.06887414422</v>
      </c>
      <c r="T45" s="179">
        <f>IFERROR(__xludf.DUMMYFUNCTION("""COMPUTED_VALUE"""),0.0042)</f>
        <v>0.0042</v>
      </c>
      <c r="U45" s="186">
        <f>IFERROR(__xludf.DUMMYFUNCTION("""COMPUTED_VALUE"""),2.028662833438036)</f>
        <v>2.028662833</v>
      </c>
      <c r="V45" s="143" t="str">
        <f>IFERROR(__xludf.DUMMYFUNCTION("""COMPUTED_VALUE"""),"Semestral")</f>
        <v>Semestral</v>
      </c>
      <c r="W45" s="143" t="str">
        <f>IFERROR(__xludf.DUMMYFUNCTION("""COMPUTED_VALUE"""),"Sinkable")</f>
        <v>Sinkable</v>
      </c>
      <c r="X45" s="143" t="str">
        <f>IFERROR(__xludf.DUMMYFUNCTION("""COMPUTED_VALUE"""),"NY")</f>
        <v>NY</v>
      </c>
      <c r="Y45" s="143">
        <f>IFERROR(__xludf.DUMMYFUNCTION("""COMPUTED_VALUE"""),1.0)</f>
        <v>1</v>
      </c>
      <c r="Z45" s="143">
        <f>IFERROR(__xludf.DUMMYFUNCTION("""COMPUTED_VALUE"""),83.0)</f>
        <v>83</v>
      </c>
      <c r="AA45" s="179">
        <f>IFERROR(__xludf.DUMMYFUNCTION("""COMPUTED_VALUE"""),1.0431602048280906)</f>
        <v>1.043160205</v>
      </c>
      <c r="AE45" s="143"/>
      <c r="AF45" s="232" t="str">
        <f>IFERROR(__xludf.DUMMYFUNCTION("""COMPUTED_VALUE"""),"IRCJD")</f>
        <v>IRCJD</v>
      </c>
      <c r="AG45" s="143" t="str">
        <f>IFERROR(__xludf.DUMMYFUNCTION("""COMPUTED_VALUE"""),"IRSA")</f>
        <v>IRSA</v>
      </c>
      <c r="AH45" s="234">
        <f>IFERROR(__xludf.DUMMYFUNCTION("""COMPUTED_VALUE"""),46446.0)</f>
        <v>46446</v>
      </c>
      <c r="AI45" s="179">
        <f>IFERROR(__xludf.DUMMYFUNCTION("""COMPUTED_VALUE"""),0.07)</f>
        <v>0.07</v>
      </c>
      <c r="AJ45" s="239">
        <f>IFERROR(__xludf.DUMMYFUNCTION("""COMPUTED_VALUE"""),101.5)</f>
        <v>101.5</v>
      </c>
      <c r="AK45" s="179">
        <f>IFERROR(__xludf.DUMMYFUNCTION("""COMPUTED_VALUE"""),0.06566631506126516)</f>
        <v>0.06566631506</v>
      </c>
      <c r="AL45" s="179">
        <f>IFERROR(__xludf.DUMMYFUNCTION("""COMPUTED_VALUE"""),0.0034000000000000002)</f>
        <v>0.0034</v>
      </c>
      <c r="AM45" s="186">
        <f>IFERROR(__xludf.DUMMYFUNCTION("""COMPUTED_VALUE"""),1.3557767620899839)</f>
        <v>1.355776762</v>
      </c>
      <c r="AN45" s="143" t="str">
        <f>IFERROR(__xludf.DUMMYFUNCTION("""COMPUTED_VALUE"""),"Semestral")</f>
        <v>Semestral</v>
      </c>
      <c r="AO45" s="143" t="str">
        <f>IFERROR(__xludf.DUMMYFUNCTION("""COMPUTED_VALUE"""),"Bullet")</f>
        <v>Bullet</v>
      </c>
      <c r="AP45" s="143" t="str">
        <f>IFERROR(__xludf.DUMMYFUNCTION("""COMPUTED_VALUE"""),"ARG")</f>
        <v>ARG</v>
      </c>
      <c r="AQ45" s="143">
        <f>IFERROR(__xludf.DUMMYFUNCTION("""COMPUTED_VALUE"""),100.0)</f>
        <v>100</v>
      </c>
      <c r="AR45" s="143">
        <f>IFERROR(__xludf.DUMMYFUNCTION("""COMPUTED_VALUE"""),143.0)</f>
        <v>143</v>
      </c>
      <c r="AS45" s="179">
        <f>IFERROR(__xludf.DUMMYFUNCTION("""COMPUTED_VALUE"""),1.0068897102788499)</f>
        <v>1.00688971</v>
      </c>
    </row>
    <row r="46">
      <c r="M46" s="143"/>
      <c r="N46" s="232" t="str">
        <f>IFERROR(__xludf.DUMMYFUNCTION("""COMPUTED_VALUE"""),"DNC7D")</f>
        <v>DNC7D</v>
      </c>
      <c r="O46" s="143" t="str">
        <f>IFERROR(__xludf.DUMMYFUNCTION("""COMPUTED_VALUE"""),"Edenor")</f>
        <v>Edenor</v>
      </c>
      <c r="P46" s="233">
        <f>IFERROR(__xludf.DUMMYFUNCTION("""COMPUTED_VALUE"""),47780.0)</f>
        <v>47780</v>
      </c>
      <c r="Q46" s="181">
        <f>IFERROR(__xludf.DUMMYFUNCTION("""COMPUTED_VALUE"""),0.0975)</f>
        <v>0.0975</v>
      </c>
      <c r="R46" s="192">
        <f>IFERROR(__xludf.DUMMYFUNCTION("""COMPUTED_VALUE"""),100.45)</f>
        <v>100.45</v>
      </c>
      <c r="S46" s="179">
        <f>IFERROR(__xludf.DUMMYFUNCTION("""COMPUTED_VALUE"""),0.11324817794294945)</f>
        <v>0.1132481779</v>
      </c>
      <c r="T46" s="179">
        <f>IFERROR(__xludf.DUMMYFUNCTION("""COMPUTED_VALUE"""),-0.0024)</f>
        <v>-0.0024</v>
      </c>
      <c r="U46" s="186">
        <f>IFERROR(__xludf.DUMMYFUNCTION("""COMPUTED_VALUE"""),3.2704911426029253)</f>
        <v>3.270491143</v>
      </c>
      <c r="V46" s="143" t="str">
        <f>IFERROR(__xludf.DUMMYFUNCTION("""COMPUTED_VALUE"""),"Semestral")</f>
        <v>Semestral</v>
      </c>
      <c r="W46" s="180" t="str">
        <f>IFERROR(__xludf.DUMMYFUNCTION("""COMPUTED_VALUE"""),"Sinkable")</f>
        <v>Sinkable</v>
      </c>
      <c r="X46" s="143" t="str">
        <f>IFERROR(__xludf.DUMMYFUNCTION("""COMPUTED_VALUE"""),"NY")</f>
        <v>NY</v>
      </c>
      <c r="Y46" s="143">
        <f>IFERROR(__xludf.DUMMYFUNCTION("""COMPUTED_VALUE"""),100.0)</f>
        <v>100</v>
      </c>
      <c r="Z46" s="143">
        <f>IFERROR(__xludf.DUMMYFUNCTION("""COMPUTED_VALUE"""),16.0)</f>
        <v>16</v>
      </c>
      <c r="AA46" s="179">
        <f>IFERROR(__xludf.DUMMYFUNCTION("""COMPUTED_VALUE"""),0.9607843137254902)</f>
        <v>0.9607843137</v>
      </c>
      <c r="AE46" s="143"/>
      <c r="AF46" s="232" t="str">
        <f>IFERROR(__xludf.DUMMYFUNCTION("""COMPUTED_VALUE"""),"LMS8D")</f>
        <v>LMS8D</v>
      </c>
      <c r="AG46" s="143" t="str">
        <f>IFERROR(__xludf.DUMMYFUNCTION("""COMPUTED_VALUE"""),"Aluar")</f>
        <v>Aluar</v>
      </c>
      <c r="AH46" s="234">
        <f>IFERROR(__xludf.DUMMYFUNCTION("""COMPUTED_VALUE"""),46467.0)</f>
        <v>46467</v>
      </c>
      <c r="AI46" s="179">
        <f>IFERROR(__xludf.DUMMYFUNCTION("""COMPUTED_VALUE"""),0.0625)</f>
        <v>0.0625</v>
      </c>
      <c r="AJ46" s="235">
        <f>IFERROR(__xludf.DUMMYFUNCTION("""COMPUTED_VALUE"""),104.65)</f>
        <v>104.65</v>
      </c>
      <c r="AK46" s="179">
        <f>IFERROR(__xludf.DUMMYFUNCTION("""COMPUTED_VALUE"""),0.03777120130206783)</f>
        <v>0.0377712013</v>
      </c>
      <c r="AL46" s="179">
        <f>IFERROR(__xludf.DUMMYFUNCTION("""COMPUTED_VALUE"""),0.0356)</f>
        <v>0.0356</v>
      </c>
      <c r="AM46" s="186">
        <f>IFERROR(__xludf.DUMMYFUNCTION("""COMPUTED_VALUE"""),1.040752340099151)</f>
        <v>1.04075234</v>
      </c>
      <c r="AN46" s="143" t="str">
        <f>IFERROR(__xludf.DUMMYFUNCTION("""COMPUTED_VALUE"""),"Trimestral")</f>
        <v>Trimestral</v>
      </c>
      <c r="AO46" s="143" t="str">
        <f>IFERROR(__xludf.DUMMYFUNCTION("""COMPUTED_VALUE"""),"Sinkable")</f>
        <v>Sinkable</v>
      </c>
      <c r="AP46" s="143" t="str">
        <f>IFERROR(__xludf.DUMMYFUNCTION("""COMPUTED_VALUE"""),"ARG")</f>
        <v>ARG</v>
      </c>
      <c r="AQ46" s="143">
        <f>IFERROR(__xludf.DUMMYFUNCTION("""COMPUTED_VALUE"""),50.0)</f>
        <v>50</v>
      </c>
      <c r="AR46" s="143">
        <f>IFERROR(__xludf.DUMMYFUNCTION("""COMPUTED_VALUE"""),-17.0)</f>
        <v>-17</v>
      </c>
      <c r="AS46" s="179">
        <f>IFERROR(__xludf.DUMMYFUNCTION("""COMPUTED_VALUE"""),1.0432843974052577)</f>
        <v>1.043284397</v>
      </c>
    </row>
    <row r="47">
      <c r="M47" s="143"/>
      <c r="N47" s="232" t="str">
        <f>IFERROR(__xludf.DUMMYFUNCTION("""COMPUTED_VALUE"""),"RUCDD")</f>
        <v>RUCDD</v>
      </c>
      <c r="O47" s="143" t="str">
        <f>IFERROR(__xludf.DUMMYFUNCTION("""COMPUTED_VALUE"""),"MSU Energy")</f>
        <v>MSU Energy</v>
      </c>
      <c r="P47" s="233">
        <f>IFERROR(__xludf.DUMMYFUNCTION("""COMPUTED_VALUE"""),47822.0)</f>
        <v>47822</v>
      </c>
      <c r="Q47" s="181">
        <f>IFERROR(__xludf.DUMMYFUNCTION("""COMPUTED_VALUE"""),0.0975)</f>
        <v>0.0975</v>
      </c>
      <c r="R47" s="192">
        <f>IFERROR(__xludf.DUMMYFUNCTION("""COMPUTED_VALUE"""),91.2)</f>
        <v>91.2</v>
      </c>
      <c r="S47" s="179">
        <f>IFERROR(__xludf.DUMMYFUNCTION("""COMPUTED_VALUE"""),0.1381500807351918)</f>
        <v>0.1381500807</v>
      </c>
      <c r="T47" s="179">
        <f>IFERROR(__xludf.DUMMYFUNCTION("""COMPUTED_VALUE"""),-0.013999999999999999)</f>
        <v>-0.014</v>
      </c>
      <c r="U47" s="186">
        <f>IFERROR(__xludf.DUMMYFUNCTION("""COMPUTED_VALUE"""),3.629989032153328)</f>
        <v>3.629989032</v>
      </c>
      <c r="V47" s="143" t="str">
        <f>IFERROR(__xludf.DUMMYFUNCTION("""COMPUTED_VALUE"""),"Semestral")</f>
        <v>Semestral</v>
      </c>
      <c r="W47" s="143" t="str">
        <f>IFERROR(__xludf.DUMMYFUNCTION("""COMPUTED_VALUE"""),"Sinkable")</f>
        <v>Sinkable</v>
      </c>
      <c r="X47" s="143" t="str">
        <f>IFERROR(__xludf.DUMMYFUNCTION("""COMPUTED_VALUE"""),"NY")</f>
        <v>NY</v>
      </c>
      <c r="Y47" s="143">
        <f>IFERROR(__xludf.DUMMYFUNCTION("""COMPUTED_VALUE"""),1.0)</f>
        <v>1</v>
      </c>
      <c r="Z47" s="143">
        <f>IFERROR(__xludf.DUMMYFUNCTION("""COMPUTED_VALUE"""),58.0)</f>
        <v>58</v>
      </c>
      <c r="AA47" s="179">
        <f>IFERROR(__xludf.DUMMYFUNCTION("""COMPUTED_VALUE"""),0.8819049921431162)</f>
        <v>0.8819049921</v>
      </c>
      <c r="AE47" s="143"/>
      <c r="AF47" s="232" t="str">
        <f>IFERROR(__xludf.DUMMYFUNCTION("""COMPUTED_VALUE"""),"OTS2D")</f>
        <v>OTS2D</v>
      </c>
      <c r="AG47" s="143" t="str">
        <f>IFERROR(__xludf.DUMMYFUNCTION("""COMPUTED_VALUE"""),"OilTanking")</f>
        <v>OilTanking</v>
      </c>
      <c r="AH47" s="234">
        <f>IFERROR(__xludf.DUMMYFUNCTION("""COMPUTED_VALUE"""),46501.0)</f>
        <v>46501</v>
      </c>
      <c r="AI47" s="179">
        <f>IFERROR(__xludf.DUMMYFUNCTION("""COMPUTED_VALUE"""),0.07)</f>
        <v>0.07</v>
      </c>
      <c r="AJ47" s="235">
        <f>IFERROR(__xludf.DUMMYFUNCTION("""COMPUTED_VALUE"""),101.5)</f>
        <v>101.5</v>
      </c>
      <c r="AK47" s="179">
        <f>IFERROR(__xludf.DUMMYFUNCTION("""COMPUTED_VALUE"""),0.0716396132529734)</f>
        <v>0.07163961325</v>
      </c>
      <c r="AL47" s="179">
        <f>IFERROR(__xludf.DUMMYFUNCTION("""COMPUTED_VALUE"""),0.0049)</f>
        <v>0.0049</v>
      </c>
      <c r="AM47" s="186">
        <f>IFERROR(__xludf.DUMMYFUNCTION("""COMPUTED_VALUE"""),1.4700307559006967)</f>
        <v>1.470030756</v>
      </c>
      <c r="AN47" s="143" t="str">
        <f>IFERROR(__xludf.DUMMYFUNCTION("""COMPUTED_VALUE"""),"Semestral")</f>
        <v>Semestral</v>
      </c>
      <c r="AO47" s="143" t="str">
        <f>IFERROR(__xludf.DUMMYFUNCTION("""COMPUTED_VALUE"""),"Bullet")</f>
        <v>Bullet</v>
      </c>
      <c r="AP47" s="143" t="str">
        <f>IFERROR(__xludf.DUMMYFUNCTION("""COMPUTED_VALUE"""),"ARG")</f>
        <v>ARG</v>
      </c>
      <c r="AQ47" s="143">
        <f>IFERROR(__xludf.DUMMYFUNCTION("""COMPUTED_VALUE"""),1.0)</f>
        <v>1</v>
      </c>
      <c r="AR47" s="143">
        <f>IFERROR(__xludf.DUMMYFUNCTION("""COMPUTED_VALUE"""),16.0)</f>
        <v>16</v>
      </c>
      <c r="AS47" s="179">
        <f>IFERROR(__xludf.DUMMYFUNCTION("""COMPUTED_VALUE"""),1.0002294878371447)</f>
        <v>1.000229488</v>
      </c>
    </row>
    <row r="48">
      <c r="M48" s="143"/>
      <c r="N48" s="232" t="str">
        <f>IFERROR(__xludf.DUMMYFUNCTION("""COMPUTED_VALUE"""),"TLCMD")</f>
        <v>TLCMD</v>
      </c>
      <c r="O48" s="143" t="str">
        <f>IFERROR(__xludf.DUMMYFUNCTION("""COMPUTED_VALUE"""),"Telecom")</f>
        <v>Telecom</v>
      </c>
      <c r="P48" s="233">
        <f>IFERROR(__xludf.DUMMYFUNCTION("""COMPUTED_VALUE"""),48047.0)</f>
        <v>48047</v>
      </c>
      <c r="Q48" s="179">
        <f>IFERROR(__xludf.DUMMYFUNCTION("""COMPUTED_VALUE"""),0.095)</f>
        <v>0.095</v>
      </c>
      <c r="R48" s="192">
        <f>IFERROR(__xludf.DUMMYFUNCTION("""COMPUTED_VALUE"""),103.7)</f>
        <v>103.7</v>
      </c>
      <c r="S48" s="179">
        <f>IFERROR(__xludf.DUMMYFUNCTION("""COMPUTED_VALUE"""),0.0928674814932401)</f>
        <v>0.09286748149</v>
      </c>
      <c r="T48" s="179">
        <f>IFERROR(__xludf.DUMMYFUNCTION("""COMPUTED_VALUE"""),-0.0028000000000000004)</f>
        <v>-0.0028</v>
      </c>
      <c r="U48" s="186">
        <f>IFERROR(__xludf.DUMMYFUNCTION("""COMPUTED_VALUE"""),3.8979568160861335)</f>
        <v>3.897956816</v>
      </c>
      <c r="V48" s="143" t="str">
        <f>IFERROR(__xludf.DUMMYFUNCTION("""COMPUTED_VALUE"""),"Semestral")</f>
        <v>Semestral</v>
      </c>
      <c r="W48" s="143" t="str">
        <f>IFERROR(__xludf.DUMMYFUNCTION("""COMPUTED_VALUE"""),"Sinkable")</f>
        <v>Sinkable</v>
      </c>
      <c r="X48" s="143" t="str">
        <f>IFERROR(__xludf.DUMMYFUNCTION("""COMPUTED_VALUE"""),"NY")</f>
        <v>NY</v>
      </c>
      <c r="Y48" s="143">
        <f>IFERROR(__xludf.DUMMYFUNCTION("""COMPUTED_VALUE"""),1000.0)</f>
        <v>1000</v>
      </c>
      <c r="Z48" s="143">
        <f>IFERROR(__xludf.DUMMYFUNCTION("""COMPUTED_VALUE"""),102.0)</f>
        <v>102</v>
      </c>
      <c r="AA48" s="179">
        <f>IFERROR(__xludf.DUMMYFUNCTION("""COMPUTED_VALUE"""),1.014773638501162)</f>
        <v>1.014773639</v>
      </c>
      <c r="AE48" s="143"/>
      <c r="AF48" s="232" t="str">
        <f>IFERROR(__xludf.DUMMYFUNCTION("""COMPUTED_VALUE"""),"YM37D")</f>
        <v>YM37D</v>
      </c>
      <c r="AG48" s="143" t="str">
        <f>IFERROR(__xludf.DUMMYFUNCTION("""COMPUTED_VALUE"""),"YPF")</f>
        <v>YPF</v>
      </c>
      <c r="AH48" s="234">
        <f>IFERROR(__xludf.DUMMYFUNCTION("""COMPUTED_VALUE"""),46514.0)</f>
        <v>46514</v>
      </c>
      <c r="AI48" s="179">
        <f>IFERROR(__xludf.DUMMYFUNCTION("""COMPUTED_VALUE"""),0.07)</f>
        <v>0.07</v>
      </c>
      <c r="AJ48" s="235">
        <f>IFERROR(__xludf.DUMMYFUNCTION("""COMPUTED_VALUE"""),103.4)</f>
        <v>103.4</v>
      </c>
      <c r="AK48" s="179">
        <f>IFERROR(__xludf.DUMMYFUNCTION("""COMPUTED_VALUE"""),0.056351938054802604)</f>
        <v>0.05635193805</v>
      </c>
      <c r="AL48" s="179">
        <f>IFERROR(__xludf.DUMMYFUNCTION("""COMPUTED_VALUE"""),-9.0E-4)</f>
        <v>-0.0009</v>
      </c>
      <c r="AM48" s="186">
        <f>IFERROR(__xludf.DUMMYFUNCTION("""COMPUTED_VALUE"""),1.508101843380355)</f>
        <v>1.508101843</v>
      </c>
      <c r="AN48" s="143" t="str">
        <f>IFERROR(__xludf.DUMMYFUNCTION("""COMPUTED_VALUE"""),"Trimestral")</f>
        <v>Trimestral</v>
      </c>
      <c r="AO48" s="143" t="str">
        <f>IFERROR(__xludf.DUMMYFUNCTION("""COMPUTED_VALUE"""),"Bullet")</f>
        <v>Bullet</v>
      </c>
      <c r="AP48" s="143" t="str">
        <f>IFERROR(__xludf.DUMMYFUNCTION("""COMPUTED_VALUE"""),"ARG")</f>
        <v>ARG</v>
      </c>
      <c r="AQ48" s="143">
        <f>IFERROR(__xludf.DUMMYFUNCTION("""COMPUTED_VALUE"""),100.0)</f>
        <v>100</v>
      </c>
      <c r="AR48" s="143">
        <f>IFERROR(__xludf.DUMMYFUNCTION("""COMPUTED_VALUE"""),30.0)</f>
        <v>30</v>
      </c>
      <c r="AS48" s="179">
        <f>IFERROR(__xludf.DUMMYFUNCTION("""COMPUTED_VALUE"""),1.021656154408381)</f>
        <v>1.021656154</v>
      </c>
    </row>
    <row r="49">
      <c r="M49" s="143"/>
      <c r="N49" s="232" t="str">
        <f>IFERROR(__xludf.DUMMYFUNCTION("""COMPUTED_VALUE"""),"TSC3D")</f>
        <v>TSC3D</v>
      </c>
      <c r="O49" s="143" t="str">
        <f>IFERROR(__xludf.DUMMYFUNCTION("""COMPUTED_VALUE"""),"TGS")</f>
        <v>TGS</v>
      </c>
      <c r="P49" s="233">
        <f>IFERROR(__xludf.DUMMYFUNCTION("""COMPUTED_VALUE"""),48053.0)</f>
        <v>48053</v>
      </c>
      <c r="Q49" s="179">
        <f>IFERROR(__xludf.DUMMYFUNCTION("""COMPUTED_VALUE"""),0.085)</f>
        <v>0.085</v>
      </c>
      <c r="R49" s="141">
        <f>IFERROR(__xludf.DUMMYFUNCTION("""COMPUTED_VALUE"""),107.2)</f>
        <v>107.2</v>
      </c>
      <c r="S49" s="179">
        <f>IFERROR(__xludf.DUMMYFUNCTION("""COMPUTED_VALUE"""),0.07462369421868527)</f>
        <v>0.07462369422</v>
      </c>
      <c r="T49" s="179">
        <f>IFERROR(__xludf.DUMMYFUNCTION("""COMPUTED_VALUE"""),-0.0046)</f>
        <v>-0.0046</v>
      </c>
      <c r="U49" s="186">
        <f>IFERROR(__xludf.DUMMYFUNCTION("""COMPUTED_VALUE"""),4.690068652262308)</f>
        <v>4.690068652</v>
      </c>
      <c r="V49" s="143" t="str">
        <f>IFERROR(__xludf.DUMMYFUNCTION("""COMPUTED_VALUE"""),"Semestral")</f>
        <v>Semestral</v>
      </c>
      <c r="W49" s="143" t="str">
        <f>IFERROR(__xludf.DUMMYFUNCTION("""COMPUTED_VALUE"""),"Bullet")</f>
        <v>Bullet</v>
      </c>
      <c r="X49" s="185" t="str">
        <f>IFERROR(__xludf.DUMMYFUNCTION("""COMPUTED_VALUE"""),"NY")</f>
        <v>NY</v>
      </c>
      <c r="Y49" s="186">
        <f>IFERROR(__xludf.DUMMYFUNCTION("""COMPUTED_VALUE"""),10000.0)</f>
        <v>10000</v>
      </c>
      <c r="Z49" s="143">
        <f>IFERROR(__xludf.DUMMYFUNCTION("""COMPUTED_VALUE"""),108.0)</f>
        <v>108</v>
      </c>
      <c r="AA49" s="179">
        <f>IFERROR(__xludf.DUMMYFUNCTION("""COMPUTED_VALUE"""),1.052858448485179)</f>
        <v>1.052858448</v>
      </c>
      <c r="AE49" s="143"/>
      <c r="AF49" s="232" t="str">
        <f>IFERROR(__xludf.DUMMYFUNCTION("""COMPUTED_VALUE"""),"RCCRD")</f>
        <v>RCCRD</v>
      </c>
      <c r="AG49" s="143" t="str">
        <f>IFERROR(__xludf.DUMMYFUNCTION("""COMPUTED_VALUE"""),"Arcor")</f>
        <v>Arcor</v>
      </c>
      <c r="AH49" s="234">
        <f>IFERROR(__xludf.DUMMYFUNCTION("""COMPUTED_VALUE"""),46516.0)</f>
        <v>46516</v>
      </c>
      <c r="AI49" s="179">
        <f>IFERROR(__xludf.DUMMYFUNCTION("""COMPUTED_VALUE"""),0.0675)</f>
        <v>0.0675</v>
      </c>
      <c r="AJ49" s="235">
        <f>IFERROR(__xludf.DUMMYFUNCTION("""COMPUTED_VALUE"""),103.75)</f>
        <v>103.75</v>
      </c>
      <c r="AK49" s="179">
        <f>IFERROR(__xludf.DUMMYFUNCTION("""COMPUTED_VALUE"""),0.06219173015559117)</f>
        <v>0.06219173016</v>
      </c>
      <c r="AL49" s="179">
        <f>IFERROR(__xludf.DUMMYFUNCTION("""COMPUTED_VALUE"""),0.0053)</f>
        <v>0.0053</v>
      </c>
      <c r="AM49" s="186">
        <f>IFERROR(__xludf.DUMMYFUNCTION("""COMPUTED_VALUE"""),1.5043250393367078)</f>
        <v>1.504325039</v>
      </c>
      <c r="AN49" s="143" t="str">
        <f>IFERROR(__xludf.DUMMYFUNCTION("""COMPUTED_VALUE"""),"Semestral")</f>
        <v>Semestral</v>
      </c>
      <c r="AO49" s="143" t="str">
        <f>IFERROR(__xludf.DUMMYFUNCTION("""COMPUTED_VALUE"""),"Bullet")</f>
        <v>Bullet</v>
      </c>
      <c r="AP49" s="143" t="str">
        <f>IFERROR(__xludf.DUMMYFUNCTION("""COMPUTED_VALUE"""),"ARG")</f>
        <v>ARG</v>
      </c>
      <c r="AQ49" s="143">
        <f>IFERROR(__xludf.DUMMYFUNCTION("""COMPUTED_VALUE"""),100.0)</f>
        <v>100</v>
      </c>
      <c r="AR49" s="143">
        <f>IFERROR(__xludf.DUMMYFUNCTION("""COMPUTED_VALUE"""),32.0)</f>
        <v>32</v>
      </c>
      <c r="AS49" s="179">
        <f>IFERROR(__xludf.DUMMYFUNCTION("""COMPUTED_VALUE"""),1.008952181761262)</f>
        <v>1.008952182</v>
      </c>
    </row>
    <row r="50">
      <c r="M50" s="143"/>
      <c r="N50" s="232" t="str">
        <f>IFERROR(__xludf.DUMMYFUNCTION("""COMPUTED_VALUE"""),"ARC1D")</f>
        <v>ARC1D</v>
      </c>
      <c r="O50" s="173" t="str">
        <f>IFERROR(__xludf.DUMMYFUNCTION("""COMPUTED_VALUE"""),"Aeropuertos 2000")</f>
        <v>Aeropuertos 2000</v>
      </c>
      <c r="P50" s="238">
        <f>IFERROR(__xludf.DUMMYFUNCTION("""COMPUTED_VALUE"""),48061.0)</f>
        <v>48061</v>
      </c>
      <c r="Q50" s="187">
        <f>IFERROR(__xludf.DUMMYFUNCTION("""COMPUTED_VALUE"""),0.085)</f>
        <v>0.085</v>
      </c>
      <c r="R50" s="141">
        <f>IFERROR(__xludf.DUMMYFUNCTION("""COMPUTED_VALUE"""),106.75)</f>
        <v>106.75</v>
      </c>
      <c r="S50" s="187">
        <f>IFERROR(__xludf.DUMMYFUNCTION("""COMPUTED_VALUE"""),0.0706169294415442)</f>
        <v>0.07061692944</v>
      </c>
      <c r="T50" s="187">
        <f>IFERROR(__xludf.DUMMYFUNCTION("""COMPUTED_VALUE"""),-0.0161)</f>
        <v>-0.0161</v>
      </c>
      <c r="U50" s="240">
        <f>IFERROR(__xludf.DUMMYFUNCTION("""COMPUTED_VALUE"""),3.2122134385327046)</f>
        <v>3.212213439</v>
      </c>
      <c r="V50" s="173" t="str">
        <f>IFERROR(__xludf.DUMMYFUNCTION("""COMPUTED_VALUE"""),"Trimestral")</f>
        <v>Trimestral</v>
      </c>
      <c r="W50" s="173" t="str">
        <f>IFERROR(__xludf.DUMMYFUNCTION("""COMPUTED_VALUE"""),"Sinkable")</f>
        <v>Sinkable</v>
      </c>
      <c r="X50" s="185" t="str">
        <f>IFERROR(__xludf.DUMMYFUNCTION("""COMPUTED_VALUE"""),"NY")</f>
        <v>NY</v>
      </c>
      <c r="Y50" s="186">
        <f>IFERROR(__xludf.DUMMYFUNCTION("""COMPUTED_VALUE"""),1000.0)</f>
        <v>1000</v>
      </c>
      <c r="Z50" s="143">
        <f>IFERROR(__xludf.DUMMYFUNCTION("""COMPUTED_VALUE"""),24.0)</f>
        <v>24</v>
      </c>
      <c r="AA50" s="179">
        <f>IFERROR(__xludf.DUMMYFUNCTION("""COMPUTED_VALUE"""),1.0503874379894225)</f>
        <v>1.050387438</v>
      </c>
      <c r="AE50" s="143"/>
      <c r="AF50" s="232" t="str">
        <f>IFERROR(__xludf.DUMMYFUNCTION("""COMPUTED_VALUE"""),"CIC9D")</f>
        <v>CIC9D</v>
      </c>
      <c r="AG50" s="143" t="str">
        <f>IFERROR(__xludf.DUMMYFUNCTION("""COMPUTED_VALUE"""),"CNH Industrial")</f>
        <v>CNH Industrial</v>
      </c>
      <c r="AH50" s="234">
        <f>IFERROR(__xludf.DUMMYFUNCTION("""COMPUTED_VALUE"""),46528.0)</f>
        <v>46528</v>
      </c>
      <c r="AI50" s="179">
        <f>IFERROR(__xludf.DUMMYFUNCTION("""COMPUTED_VALUE"""),0.0825)</f>
        <v>0.0825</v>
      </c>
      <c r="AJ50" s="235">
        <f>IFERROR(__xludf.DUMMYFUNCTION("""COMPUTED_VALUE"""),100.0)</f>
        <v>100</v>
      </c>
      <c r="AK50" s="179">
        <f>IFERROR(__xludf.DUMMYFUNCTION("""COMPUTED_VALUE"""),0.1070626142170394)</f>
        <v>0.1070626142</v>
      </c>
      <c r="AL50" s="179">
        <f>IFERROR(__xludf.DUMMYFUNCTION("""COMPUTED_VALUE"""),0.0)</f>
        <v>0</v>
      </c>
      <c r="AM50" s="186">
        <f>IFERROR(__xludf.DUMMYFUNCTION("""COMPUTED_VALUE"""),1.5127639625766744)</f>
        <v>1.512763963</v>
      </c>
      <c r="AN50" s="143" t="str">
        <f>IFERROR(__xludf.DUMMYFUNCTION("""COMPUTED_VALUE"""),"Semestral")</f>
        <v>Semestral</v>
      </c>
      <c r="AO50" s="143" t="str">
        <f>IFERROR(__xludf.DUMMYFUNCTION("""COMPUTED_VALUE"""),"Bullet")</f>
        <v>Bullet</v>
      </c>
      <c r="AP50" s="143" t="str">
        <f>IFERROR(__xludf.DUMMYFUNCTION("""COMPUTED_VALUE"""),"ARG")</f>
        <v>ARG</v>
      </c>
      <c r="AQ50" s="143">
        <f>IFERROR(__xludf.DUMMYFUNCTION("""COMPUTED_VALUE"""),100.0)</f>
        <v>100</v>
      </c>
      <c r="AR50" s="143">
        <f>IFERROR(__xludf.DUMMYFUNCTION("""COMPUTED_VALUE"""),44.0)</f>
        <v>44</v>
      </c>
      <c r="AS50" s="179">
        <f>IFERROR(__xludf.DUMMYFUNCTION("""COMPUTED_VALUE"""),0.9691144550722522)</f>
        <v>0.9691144551</v>
      </c>
    </row>
    <row r="51">
      <c r="M51" s="143"/>
      <c r="N51" s="232" t="str">
        <f>IFERROR(__xludf.DUMMYFUNCTION("""COMPUTED_VALUE"""),"MGCMD")</f>
        <v>MGCMD</v>
      </c>
      <c r="O51" s="143" t="str">
        <f>IFERROR(__xludf.DUMMYFUNCTION("""COMPUTED_VALUE"""),"Pampa Energia")</f>
        <v>Pampa Energia</v>
      </c>
      <c r="P51" s="233">
        <f>IFERROR(__xludf.DUMMYFUNCTION("""COMPUTED_VALUE"""),48101.0)</f>
        <v>48101</v>
      </c>
      <c r="Q51" s="179">
        <f>IFERROR(__xludf.DUMMYFUNCTION("""COMPUTED_VALUE"""),0.0795)</f>
        <v>0.0795</v>
      </c>
      <c r="R51" s="141">
        <f>IFERROR(__xludf.DUMMYFUNCTION("""COMPUTED_VALUE"""),103.7)</f>
        <v>103.7</v>
      </c>
      <c r="S51" s="179">
        <f>IFERROR(__xludf.DUMMYFUNCTION("""COMPUTED_VALUE"""),0.07441493850747857)</f>
        <v>0.07441493851</v>
      </c>
      <c r="T51" s="179">
        <f>IFERROR(__xludf.DUMMYFUNCTION("""COMPUTED_VALUE"""),0.0019)</f>
        <v>0.0019</v>
      </c>
      <c r="U51" s="186">
        <f>IFERROR(__xludf.DUMMYFUNCTION("""COMPUTED_VALUE"""),4.8671100069722595)</f>
        <v>4.867110007</v>
      </c>
      <c r="V51" s="143" t="str">
        <f>IFERROR(__xludf.DUMMYFUNCTION("""COMPUTED_VALUE"""),"Semestral")</f>
        <v>Semestral</v>
      </c>
      <c r="W51" s="143" t="str">
        <f>IFERROR(__xludf.DUMMYFUNCTION("""COMPUTED_VALUE"""),"Bullet")</f>
        <v>Bullet</v>
      </c>
      <c r="X51" s="185" t="str">
        <f>IFERROR(__xludf.DUMMYFUNCTION("""COMPUTED_VALUE"""),"NY")</f>
        <v>NY</v>
      </c>
      <c r="Y51" s="186">
        <f>IFERROR(__xludf.DUMMYFUNCTION("""COMPUTED_VALUE"""),10000.0)</f>
        <v>10000</v>
      </c>
      <c r="Z51" s="143">
        <f>IFERROR(__xludf.DUMMYFUNCTION("""COMPUTED_VALUE"""),153.0)</f>
        <v>153</v>
      </c>
      <c r="AA51" s="179">
        <f>IFERROR(__xludf.DUMMYFUNCTION("""COMPUTED_VALUE"""),0.9904134283633586)</f>
        <v>0.9904134284</v>
      </c>
      <c r="AE51" s="143"/>
      <c r="AF51" s="232" t="str">
        <f>IFERROR(__xludf.DUMMYFUNCTION("""COMPUTED_VALUE"""),"HJCID")</f>
        <v>HJCID</v>
      </c>
      <c r="AG51" s="143" t="str">
        <f>IFERROR(__xludf.DUMMYFUNCTION("""COMPUTED_VALUE"""),"Jhon Deere Credit")</f>
        <v>Jhon Deere Credit</v>
      </c>
      <c r="AH51" s="234">
        <f>IFERROR(__xludf.DUMMYFUNCTION("""COMPUTED_VALUE"""),46534.0)</f>
        <v>46534</v>
      </c>
      <c r="AI51" s="179">
        <f>IFERROR(__xludf.DUMMYFUNCTION("""COMPUTED_VALUE"""),0.075)</f>
        <v>0.075</v>
      </c>
      <c r="AJ51" s="235">
        <f>IFERROR(__xludf.DUMMYFUNCTION("""COMPUTED_VALUE"""),100.05)</f>
        <v>100.05</v>
      </c>
      <c r="AK51" s="179">
        <f>IFERROR(__xludf.DUMMYFUNCTION("""COMPUTED_VALUE"""),0.09546184844791719)</f>
        <v>0.09546184845</v>
      </c>
      <c r="AL51" s="179">
        <f>IFERROR(__xludf.DUMMYFUNCTION("""COMPUTED_VALUE"""),-0.009399999999999999)</f>
        <v>-0.0094</v>
      </c>
      <c r="AM51" s="186">
        <f>IFERROR(__xludf.DUMMYFUNCTION("""COMPUTED_VALUE"""),1.485398697994833)</f>
        <v>1.485398698</v>
      </c>
      <c r="AN51" s="143" t="str">
        <f>IFERROR(__xludf.DUMMYFUNCTION("""COMPUTED_VALUE"""),"Semestral")</f>
        <v>Semestral</v>
      </c>
      <c r="AO51" s="143" t="str">
        <f>IFERROR(__xludf.DUMMYFUNCTION("""COMPUTED_VALUE"""),"Bullet")</f>
        <v>Bullet</v>
      </c>
      <c r="AP51" s="143" t="str">
        <f>IFERROR(__xludf.DUMMYFUNCTION("""COMPUTED_VALUE"""),"ARG")</f>
        <v>ARG</v>
      </c>
      <c r="AQ51" s="143">
        <f>IFERROR(__xludf.DUMMYFUNCTION("""COMPUTED_VALUE"""),1200.0)</f>
        <v>1200</v>
      </c>
      <c r="AR51" s="143">
        <f>IFERROR(__xludf.DUMMYFUNCTION("""COMPUTED_VALUE"""),50.0)</f>
        <v>50</v>
      </c>
      <c r="AS51" s="179">
        <f>IFERROR(__xludf.DUMMYFUNCTION("""COMPUTED_VALUE"""),0.9734955014995)</f>
        <v>0.9734955015</v>
      </c>
    </row>
    <row r="52">
      <c r="M52" s="143"/>
      <c r="N52" s="232" t="str">
        <f>IFERROR(__xludf.DUMMYFUNCTION("""COMPUTED_VALUE"""),"YMCXD")</f>
        <v>YMCXD</v>
      </c>
      <c r="O52" s="143" t="str">
        <f>IFERROR(__xludf.DUMMYFUNCTION("""COMPUTED_VALUE"""),"YPF")</f>
        <v>YPF</v>
      </c>
      <c r="P52" s="233">
        <f>IFERROR(__xludf.DUMMYFUNCTION("""COMPUTED_VALUE"""),48102.0)</f>
        <v>48102</v>
      </c>
      <c r="Q52" s="179">
        <f>IFERROR(__xludf.DUMMYFUNCTION("""COMPUTED_VALUE"""),0.0875)</f>
        <v>0.0875</v>
      </c>
      <c r="R52" s="141">
        <f>IFERROR(__xludf.DUMMYFUNCTION("""COMPUTED_VALUE"""),104.3)</f>
        <v>104.3</v>
      </c>
      <c r="S52" s="179">
        <f>IFERROR(__xludf.DUMMYFUNCTION("""COMPUTED_VALUE"""),0.08058538599984179)</f>
        <v>0.080585386</v>
      </c>
      <c r="T52" s="179">
        <f>IFERROR(__xludf.DUMMYFUNCTION("""COMPUTED_VALUE"""),0.0028000000000000004)</f>
        <v>0.0028</v>
      </c>
      <c r="U52" s="186">
        <f>IFERROR(__xludf.DUMMYFUNCTION("""COMPUTED_VALUE"""),4.382994151768527)</f>
        <v>4.382994152</v>
      </c>
      <c r="V52" s="143" t="str">
        <f>IFERROR(__xludf.DUMMYFUNCTION("""COMPUTED_VALUE"""),"Semestral")</f>
        <v>Semestral</v>
      </c>
      <c r="W52" s="143" t="str">
        <f>IFERROR(__xludf.DUMMYFUNCTION("""COMPUTED_VALUE"""),"Sinkable")</f>
        <v>Sinkable</v>
      </c>
      <c r="X52" s="185" t="str">
        <f>IFERROR(__xludf.DUMMYFUNCTION("""COMPUTED_VALUE"""),"NY")</f>
        <v>NY</v>
      </c>
      <c r="Y52" s="186">
        <f>IFERROR(__xludf.DUMMYFUNCTION("""COMPUTED_VALUE"""),1.0)</f>
        <v>1</v>
      </c>
      <c r="Z52" s="143">
        <f>IFERROR(__xludf.DUMMYFUNCTION("""COMPUTED_VALUE"""),154.0)</f>
        <v>154</v>
      </c>
      <c r="AA52" s="179">
        <f>IFERROR(__xludf.DUMMYFUNCTION("""COMPUTED_VALUE"""),0.9918901069871879)</f>
        <v>0.991890107</v>
      </c>
      <c r="AE52" s="143"/>
      <c r="AF52" s="232" t="str">
        <f>IFERROR(__xludf.DUMMYFUNCTION("""COMPUTED_VALUE"""),"MCC2D")</f>
        <v>MCC2D</v>
      </c>
      <c r="AG52" s="143" t="str">
        <f>IFERROR(__xludf.DUMMYFUNCTION("""COMPUTED_VALUE"""),"PECOM")</f>
        <v>PECOM</v>
      </c>
      <c r="AH52" s="234">
        <f>IFERROR(__xludf.DUMMYFUNCTION("""COMPUTED_VALUE"""),46540.0)</f>
        <v>46540</v>
      </c>
      <c r="AI52" s="179">
        <f>IFERROR(__xludf.DUMMYFUNCTION("""COMPUTED_VALUE"""),0.075)</f>
        <v>0.075</v>
      </c>
      <c r="AJ52" s="235">
        <f>IFERROR(__xludf.DUMMYFUNCTION("""COMPUTED_VALUE"""),97.99)</f>
        <v>97.99</v>
      </c>
      <c r="AK52" s="179">
        <f>IFERROR(__xludf.DUMMYFUNCTION("""COMPUTED_VALUE"""),0.10930010647202155)</f>
        <v>0.1093001065</v>
      </c>
      <c r="AL52" s="179">
        <f>IFERROR(__xludf.DUMMYFUNCTION("""COMPUTED_VALUE"""),-1.0E-4)</f>
        <v>-0.0001</v>
      </c>
      <c r="AM52" s="186">
        <f>IFERROR(__xludf.DUMMYFUNCTION("""COMPUTED_VALUE"""),1.4686718152004765)</f>
        <v>1.468671815</v>
      </c>
      <c r="AN52" s="143" t="str">
        <f>IFERROR(__xludf.DUMMYFUNCTION("""COMPUTED_VALUE"""),"Semestral")</f>
        <v>Semestral</v>
      </c>
      <c r="AO52" s="143" t="str">
        <f>IFERROR(__xludf.DUMMYFUNCTION("""COMPUTED_VALUE"""),"Bullet")</f>
        <v>Bullet</v>
      </c>
      <c r="AP52" s="143" t="str">
        <f>IFERROR(__xludf.DUMMYFUNCTION("""COMPUTED_VALUE"""),"ARG")</f>
        <v>ARG</v>
      </c>
      <c r="AQ52" s="143">
        <f>IFERROR(__xludf.DUMMYFUNCTION("""COMPUTED_VALUE"""),100.0)</f>
        <v>100</v>
      </c>
      <c r="AR52" s="143">
        <f>IFERROR(__xludf.DUMMYFUNCTION("""COMPUTED_VALUE"""),55.0)</f>
        <v>55</v>
      </c>
      <c r="AS52" s="179">
        <f>IFERROR(__xludf.DUMMYFUNCTION("""COMPUTED_VALUE"""),0.954596650430373)</f>
        <v>0.9545966504</v>
      </c>
    </row>
    <row r="53">
      <c r="M53" s="143"/>
      <c r="N53" s="232" t="str">
        <f>IFERROR(__xludf.DUMMYFUNCTION("""COMPUTED_VALUE"""),"PNXCD")</f>
        <v>PNXCD</v>
      </c>
      <c r="O53" s="143" t="str">
        <f>IFERROR(__xludf.DUMMYFUNCTION("""COMPUTED_VALUE"""),"Pan American Energy")</f>
        <v>Pan American Energy</v>
      </c>
      <c r="P53" s="233">
        <f>IFERROR(__xludf.DUMMYFUNCTION("""COMPUTED_VALUE"""),48334.0)</f>
        <v>48334</v>
      </c>
      <c r="Q53" s="179">
        <f>IFERROR(__xludf.DUMMYFUNCTION("""COMPUTED_VALUE"""),0.085)</f>
        <v>0.085</v>
      </c>
      <c r="R53" s="141">
        <f>IFERROR(__xludf.DUMMYFUNCTION("""COMPUTED_VALUE"""),111.0)</f>
        <v>111</v>
      </c>
      <c r="S53" s="179">
        <f>IFERROR(__xludf.DUMMYFUNCTION("""COMPUTED_VALUE"""),0.07017365195080114)</f>
        <v>0.07017365195</v>
      </c>
      <c r="T53" s="179">
        <f>IFERROR(__xludf.DUMMYFUNCTION("""COMPUTED_VALUE"""),-9.0E-4)</f>
        <v>-0.0009</v>
      </c>
      <c r="U53" s="186">
        <f>IFERROR(__xludf.DUMMYFUNCTION("""COMPUTED_VALUE"""),4.458917181881186)</f>
        <v>4.458917182</v>
      </c>
      <c r="V53" s="143" t="str">
        <f>IFERROR(__xludf.DUMMYFUNCTION("""COMPUTED_VALUE"""),"Semestral")</f>
        <v>Semestral</v>
      </c>
      <c r="W53" s="143" t="str">
        <f>IFERROR(__xludf.DUMMYFUNCTION("""COMPUTED_VALUE"""),"Sinkable")</f>
        <v>Sinkable</v>
      </c>
      <c r="X53" s="188" t="str">
        <f>IFERROR(__xludf.DUMMYFUNCTION("""COMPUTED_VALUE"""),"NY")</f>
        <v>NY</v>
      </c>
      <c r="Y53" s="186">
        <f>IFERROR(__xludf.DUMMYFUNCTION("""COMPUTED_VALUE"""),1000.0)</f>
        <v>1000</v>
      </c>
      <c r="Z53" s="143">
        <f>IFERROR(__xludf.DUMMYFUNCTION("""COMPUTED_VALUE"""),22.0)</f>
        <v>22</v>
      </c>
      <c r="AA53" s="179">
        <f>IFERROR(__xludf.DUMMYFUNCTION("""COMPUTED_VALUE"""),1.0691066698771972)</f>
        <v>1.06910667</v>
      </c>
      <c r="AE53" s="143"/>
      <c r="AF53" s="143" t="str">
        <f>IFERROR(__xludf.DUMMYFUNCTION("""COMPUTED_VALUE"""),"YM38D")</f>
        <v>YM38D</v>
      </c>
      <c r="AG53" s="143" t="str">
        <f>IFERROR(__xludf.DUMMYFUNCTION("""COMPUTED_VALUE"""),"YPF")</f>
        <v>YPF</v>
      </c>
      <c r="AH53" s="234">
        <f>IFERROR(__xludf.DUMMYFUNCTION("""COMPUTED_VALUE"""),46590.0)</f>
        <v>46590</v>
      </c>
      <c r="AI53" s="179">
        <f>IFERROR(__xludf.DUMMYFUNCTION("""COMPUTED_VALUE"""),0.075)</f>
        <v>0.075</v>
      </c>
      <c r="AJ53" s="235">
        <f>IFERROR(__xludf.DUMMYFUNCTION("""COMPUTED_VALUE"""),102.25)</f>
        <v>102.25</v>
      </c>
      <c r="AK53" s="179">
        <f>IFERROR(__xludf.DUMMYFUNCTION("""COMPUTED_VALUE"""),0.07313964492127493)</f>
        <v>0.07313964492</v>
      </c>
      <c r="AL53" s="179" t="str">
        <f>IFERROR(__xludf.DUMMYFUNCTION("""COMPUTED_VALUE"""),"#N/A")</f>
        <v>#N/A</v>
      </c>
      <c r="AM53" s="186">
        <f>IFERROR(__xludf.DUMMYFUNCTION("""COMPUTED_VALUE"""),1.6800774124479907)</f>
        <v>1.680077412</v>
      </c>
      <c r="AN53" s="143" t="str">
        <f>IFERROR(__xludf.DUMMYFUNCTION("""COMPUTED_VALUE"""),"Trimestral")</f>
        <v>Trimestral</v>
      </c>
      <c r="AO53" s="143" t="str">
        <f>IFERROR(__xludf.DUMMYFUNCTION("""COMPUTED_VALUE"""),"Bullet")</f>
        <v>Bullet</v>
      </c>
      <c r="AP53" s="143" t="str">
        <f>IFERROR(__xludf.DUMMYFUNCTION("""COMPUTED_VALUE"""),"ARG")</f>
        <v>ARG</v>
      </c>
      <c r="AQ53" s="143">
        <f>IFERROR(__xludf.DUMMYFUNCTION("""COMPUTED_VALUE"""),100.0)</f>
        <v>100</v>
      </c>
      <c r="AR53" s="143">
        <f>IFERROR(__xludf.DUMMYFUNCTION("""COMPUTED_VALUE"""),14.0)</f>
        <v>14</v>
      </c>
      <c r="AS53" s="179">
        <f>IFERROR(__xludf.DUMMYFUNCTION("""COMPUTED_VALUE"""),1.0059438409510146)</f>
        <v>1.005943841</v>
      </c>
    </row>
    <row r="54">
      <c r="M54" s="143"/>
      <c r="N54" s="232" t="str">
        <f>IFERROR(__xludf.DUMMYFUNCTION("""COMPUTED_VALUE"""),"YFCJD")</f>
        <v>YFCJD</v>
      </c>
      <c r="O54" s="143" t="str">
        <f>IFERROR(__xludf.DUMMYFUNCTION("""COMPUTED_VALUE"""),"YPF Luz")</f>
        <v>YPF Luz</v>
      </c>
      <c r="P54" s="233">
        <f>IFERROR(__xludf.DUMMYFUNCTION("""COMPUTED_VALUE"""),48503.0)</f>
        <v>48503</v>
      </c>
      <c r="Q54" s="179">
        <f>IFERROR(__xludf.DUMMYFUNCTION("""COMPUTED_VALUE"""),0.0788)</f>
        <v>0.0788</v>
      </c>
      <c r="R54" s="141">
        <f>IFERROR(__xludf.DUMMYFUNCTION("""COMPUTED_VALUE"""),102.8)</f>
        <v>102.8</v>
      </c>
      <c r="S54" s="179">
        <f>IFERROR(__xludf.DUMMYFUNCTION("""COMPUTED_VALUE"""),0.08249727097335856)</f>
        <v>0.08249727097</v>
      </c>
      <c r="T54" s="179">
        <f>IFERROR(__xludf.DUMMYFUNCTION("""COMPUTED_VALUE"""),9.0E-4)</f>
        <v>0.0009</v>
      </c>
      <c r="U54" s="186">
        <f>IFERROR(__xludf.DUMMYFUNCTION("""COMPUTED_VALUE"""),4.74795016936165)</f>
        <v>4.747950169</v>
      </c>
      <c r="V54" s="143" t="str">
        <f>IFERROR(__xludf.DUMMYFUNCTION("""COMPUTED_VALUE"""),"Semestral")</f>
        <v>Semestral</v>
      </c>
      <c r="W54" s="143" t="str">
        <f>IFERROR(__xludf.DUMMYFUNCTION("""COMPUTED_VALUE"""),"Sinkable")</f>
        <v>Sinkable</v>
      </c>
      <c r="X54" s="188" t="str">
        <f>IFERROR(__xludf.DUMMYFUNCTION("""COMPUTED_VALUE"""),"NY")</f>
        <v>NY</v>
      </c>
      <c r="Y54" s="186">
        <f>IFERROR(__xludf.DUMMYFUNCTION("""COMPUTED_VALUE"""),1000.0)</f>
        <v>1000</v>
      </c>
      <c r="Z54" s="143">
        <f>IFERROR(__xludf.DUMMYFUNCTION("""COMPUTED_VALUE"""),8.0)</f>
        <v>8</v>
      </c>
      <c r="AA54" s="179">
        <f>IFERROR(__xludf.DUMMYFUNCTION("""COMPUTED_VALUE"""),0.9898892633606163)</f>
        <v>0.9898892634</v>
      </c>
      <c r="AE54" s="143"/>
      <c r="AF54" s="232" t="str">
        <f>IFERROR(__xludf.DUMMYFUNCTION("""COMPUTED_VALUE"""),"PN38D")</f>
        <v>PN38D</v>
      </c>
      <c r="AG54" s="143" t="str">
        <f>IFERROR(__xludf.DUMMYFUNCTION("""COMPUTED_VALUE"""),"Pan American Energy")</f>
        <v>Pan American Energy</v>
      </c>
      <c r="AH54" s="234">
        <f>IFERROR(__xludf.DUMMYFUNCTION("""COMPUTED_VALUE"""),46610.0)</f>
        <v>46610</v>
      </c>
      <c r="AI54" s="179">
        <f>IFERROR(__xludf.DUMMYFUNCTION("""COMPUTED_VALUE"""),0.065)</f>
        <v>0.065</v>
      </c>
      <c r="AJ54" s="235">
        <f>IFERROR(__xludf.DUMMYFUNCTION("""COMPUTED_VALUE"""),103.7)</f>
        <v>103.7</v>
      </c>
      <c r="AK54" s="179">
        <f>IFERROR(__xludf.DUMMYFUNCTION("""COMPUTED_VALUE"""),0.05031010767795059)</f>
        <v>0.05031010768</v>
      </c>
      <c r="AL54" s="179">
        <f>IFERROR(__xludf.DUMMYFUNCTION("""COMPUTED_VALUE"""),0.0166)</f>
        <v>0.0166</v>
      </c>
      <c r="AM54" s="186">
        <f>IFERROR(__xludf.DUMMYFUNCTION("""COMPUTED_VALUE"""),1.7685853153757178)</f>
        <v>1.768585315</v>
      </c>
      <c r="AN54" s="143" t="str">
        <f>IFERROR(__xludf.DUMMYFUNCTION("""COMPUTED_VALUE"""),"Semestral")</f>
        <v>Semestral</v>
      </c>
      <c r="AO54" s="143" t="str">
        <f>IFERROR(__xludf.DUMMYFUNCTION("""COMPUTED_VALUE"""),"Bullet")</f>
        <v>Bullet</v>
      </c>
      <c r="AP54" s="143" t="str">
        <f>IFERROR(__xludf.DUMMYFUNCTION("""COMPUTED_VALUE"""),"ARG")</f>
        <v>ARG</v>
      </c>
      <c r="AQ54" s="143">
        <f>IFERROR(__xludf.DUMMYFUNCTION("""COMPUTED_VALUE"""),50.0)</f>
        <v>50</v>
      </c>
      <c r="AR54" s="143">
        <f>IFERROR(__xludf.DUMMYFUNCTION("""COMPUTED_VALUE"""),126.0)</f>
        <v>126</v>
      </c>
      <c r="AS54" s="179">
        <f>IFERROR(__xludf.DUMMYFUNCTION("""COMPUTED_VALUE"""),1.0262176854148874)</f>
        <v>1.026217685</v>
      </c>
    </row>
    <row r="55">
      <c r="M55" s="143"/>
      <c r="N55" s="232" t="str">
        <f>IFERROR(__xludf.DUMMYFUNCTION("""COMPUTED_VALUE"""),"PLC4D")</f>
        <v>PLC4D</v>
      </c>
      <c r="O55" s="143" t="str">
        <f>IFERROR(__xludf.DUMMYFUNCTION("""COMPUTED_VALUE"""),"Pluspetrol")</f>
        <v>Pluspetrol</v>
      </c>
      <c r="P55" s="233">
        <f>IFERROR(__xludf.DUMMYFUNCTION("""COMPUTED_VALUE"""),48364.0)</f>
        <v>48364</v>
      </c>
      <c r="Q55" s="179">
        <f>IFERROR(__xludf.DUMMYFUNCTION("""COMPUTED_VALUE"""),0.085)</f>
        <v>0.085</v>
      </c>
      <c r="R55" s="141">
        <f>IFERROR(__xludf.DUMMYFUNCTION("""COMPUTED_VALUE"""),104.75)</f>
        <v>104.75</v>
      </c>
      <c r="S55" s="179">
        <f>IFERROR(__xludf.DUMMYFUNCTION("""COMPUTED_VALUE"""),0.08323104363093586)</f>
        <v>0.08323104363</v>
      </c>
      <c r="T55" s="179">
        <f>IFERROR(__xludf.DUMMYFUNCTION("""COMPUTED_VALUE"""),-0.004699999999999999)</f>
        <v>-0.0047</v>
      </c>
      <c r="U55" s="186">
        <f>IFERROR(__xludf.DUMMYFUNCTION("""COMPUTED_VALUE"""),5.1114625564212)</f>
        <v>5.111462556</v>
      </c>
      <c r="V55" s="143" t="str">
        <f>IFERROR(__xludf.DUMMYFUNCTION("""COMPUTED_VALUE"""),"Semestral")</f>
        <v>Semestral</v>
      </c>
      <c r="W55" s="143" t="str">
        <f>IFERROR(__xludf.DUMMYFUNCTION("""COMPUTED_VALUE"""),"Bullet")</f>
        <v>Bullet</v>
      </c>
      <c r="X55" s="188" t="str">
        <f>IFERROR(__xludf.DUMMYFUNCTION("""COMPUTED_VALUE"""),"NY")</f>
        <v>NY</v>
      </c>
      <c r="Y55" s="186">
        <f>IFERROR(__xludf.DUMMYFUNCTION("""COMPUTED_VALUE"""),1000.0)</f>
        <v>1000</v>
      </c>
      <c r="Z55" s="143">
        <f>IFERROR(__xludf.DUMMYFUNCTION("""COMPUTED_VALUE"""),53.0)</f>
        <v>53</v>
      </c>
      <c r="AA55" s="179">
        <f>IFERROR(__xludf.DUMMYFUNCTION("""COMPUTED_VALUE"""),1.015839663811217)</f>
        <v>1.015839664</v>
      </c>
      <c r="AE55" s="143"/>
      <c r="AF55" s="232" t="str">
        <f>IFERROR(__xludf.DUMMYFUNCTION("""COMPUTED_VALUE"""),"CRCJD")</f>
        <v>CRCJD</v>
      </c>
      <c r="AG55" s="143" t="str">
        <f>IFERROR(__xludf.DUMMYFUNCTION("""COMPUTED_VALUE"""),"Celulosa")</f>
        <v>Celulosa</v>
      </c>
      <c r="AH55" s="234">
        <f>IFERROR(__xludf.DUMMYFUNCTION("""COMPUTED_VALUE"""),46889.0)</f>
        <v>46889</v>
      </c>
      <c r="AI55" s="179">
        <f>IFERROR(__xludf.DUMMYFUNCTION("""COMPUTED_VALUE"""),0.0925)</f>
        <v>0.0925</v>
      </c>
      <c r="AJ55" s="235" t="str">
        <f>IFERROR(__xludf.DUMMYFUNCTION("""COMPUTED_VALUE"""),"-")</f>
        <v>-</v>
      </c>
      <c r="AK55" s="143" t="str">
        <f>IFERROR(__xludf.DUMMYFUNCTION("""COMPUTED_VALUE"""),"-%")</f>
        <v>-%</v>
      </c>
      <c r="AL55" s="179" t="str">
        <f>IFERROR(__xludf.DUMMYFUNCTION("""COMPUTED_VALUE"""),"#N/A")</f>
        <v>#N/A</v>
      </c>
      <c r="AM55" s="186" t="str">
        <f>IFERROR(__xludf.DUMMYFUNCTION("""COMPUTED_VALUE"""),"-")</f>
        <v>-</v>
      </c>
      <c r="AN55" s="143" t="str">
        <f>IFERROR(__xludf.DUMMYFUNCTION("""COMPUTED_VALUE"""),"Trimestral")</f>
        <v>Trimestral</v>
      </c>
      <c r="AO55" s="143" t="str">
        <f>IFERROR(__xludf.DUMMYFUNCTION("""COMPUTED_VALUE"""),"Sinkable")</f>
        <v>Sinkable</v>
      </c>
      <c r="AP55" s="143" t="str">
        <f>IFERROR(__xludf.DUMMYFUNCTION("""COMPUTED_VALUE"""),"ARG")</f>
        <v>ARG</v>
      </c>
      <c r="AQ55" s="143">
        <f>IFERROR(__xludf.DUMMYFUNCTION("""COMPUTED_VALUE"""),1.0)</f>
        <v>1</v>
      </c>
      <c r="AR55" s="143">
        <f>IFERROR(__xludf.DUMMYFUNCTION("""COMPUTED_VALUE"""),-53.0)</f>
        <v>-53</v>
      </c>
      <c r="AS55" s="179" t="str">
        <f>IFERROR(__xludf.DUMMYFUNCTION("""COMPUTED_VALUE"""),"#N/A")</f>
        <v>#N/A</v>
      </c>
    </row>
    <row r="56">
      <c r="M56" s="143"/>
      <c r="N56" s="232" t="str">
        <f>IFERROR(__xludf.DUMMYFUNCTION("""COMPUTED_VALUE"""),"TTCAD")</f>
        <v>TTCAD</v>
      </c>
      <c r="O56" s="173" t="str">
        <f>IFERROR(__xludf.DUMMYFUNCTION("""COMPUTED_VALUE"""),"Tecpetrol")</f>
        <v>Tecpetrol</v>
      </c>
      <c r="P56" s="238">
        <f>IFERROR(__xludf.DUMMYFUNCTION("""COMPUTED_VALUE"""),48601.0)</f>
        <v>48601</v>
      </c>
      <c r="Q56" s="187">
        <f>IFERROR(__xludf.DUMMYFUNCTION("""COMPUTED_VALUE"""),0.0763)</f>
        <v>0.0763</v>
      </c>
      <c r="R56" s="141">
        <f>IFERROR(__xludf.DUMMYFUNCTION("""COMPUTED_VALUE"""),105.45)</f>
        <v>105.45</v>
      </c>
      <c r="S56" s="187">
        <f>IFERROR(__xludf.DUMMYFUNCTION("""COMPUTED_VALUE"""),0.0697006756604922)</f>
        <v>0.06970067566</v>
      </c>
      <c r="T56" s="187">
        <f>IFERROR(__xludf.DUMMYFUNCTION("""COMPUTED_VALUE"""),0.0042)</f>
        <v>0.0042</v>
      </c>
      <c r="U56" s="240">
        <f>IFERROR(__xludf.DUMMYFUNCTION("""COMPUTED_VALUE"""),5.098153000107035)</f>
        <v>5.098153</v>
      </c>
      <c r="V56" s="173" t="str">
        <f>IFERROR(__xludf.DUMMYFUNCTION("""COMPUTED_VALUE"""),"Semestral")</f>
        <v>Semestral</v>
      </c>
      <c r="W56" s="173" t="str">
        <f>IFERROR(__xludf.DUMMYFUNCTION("""COMPUTED_VALUE"""),"Sinkable")</f>
        <v>Sinkable</v>
      </c>
      <c r="X56" s="188" t="str">
        <f>IFERROR(__xludf.DUMMYFUNCTION("""COMPUTED_VALUE"""),"NY")</f>
        <v>NY</v>
      </c>
      <c r="Y56" s="186">
        <f>IFERROR(__xludf.DUMMYFUNCTION("""COMPUTED_VALUE"""),1000.0)</f>
        <v>1000</v>
      </c>
      <c r="Z56" s="143">
        <f>IFERROR(__xludf.DUMMYFUNCTION("""COMPUTED_VALUE"""),106.0)</f>
        <v>106</v>
      </c>
      <c r="AA56" s="179">
        <f>IFERROR(__xludf.DUMMYFUNCTION("""COMPUTED_VALUE"""),1.037145813625482)</f>
        <v>1.037145814</v>
      </c>
      <c r="AE56" s="143"/>
      <c r="AF56" s="232" t="str">
        <f>IFERROR(__xludf.DUMMYFUNCTION("""COMPUTED_VALUE"""),"OLC5D")</f>
        <v>OLC5D</v>
      </c>
      <c r="AG56" s="143" t="str">
        <f>IFERROR(__xludf.DUMMYFUNCTION("""COMPUTED_VALUE"""),"Oleoductos del Valle")</f>
        <v>Oleoductos del Valle</v>
      </c>
      <c r="AH56" s="234">
        <f>IFERROR(__xludf.DUMMYFUNCTION("""COMPUTED_VALUE"""),46916.0)</f>
        <v>46916</v>
      </c>
      <c r="AI56" s="179">
        <f>IFERROR(__xludf.DUMMYFUNCTION("""COMPUTED_VALUE"""),0.0789)</f>
        <v>0.0789</v>
      </c>
      <c r="AJ56" s="235">
        <f>IFERROR(__xludf.DUMMYFUNCTION("""COMPUTED_VALUE"""),102.3)</f>
        <v>102.3</v>
      </c>
      <c r="AK56" s="179">
        <f>IFERROR(__xludf.DUMMYFUNCTION("""COMPUTED_VALUE"""),0.08160539725249184)</f>
        <v>0.08160539725</v>
      </c>
      <c r="AL56" s="179">
        <f>IFERROR(__xludf.DUMMYFUNCTION("""COMPUTED_VALUE"""),-0.0067)</f>
        <v>-0.0067</v>
      </c>
      <c r="AM56" s="186">
        <f>IFERROR(__xludf.DUMMYFUNCTION("""COMPUTED_VALUE"""),2.431634654788335)</f>
        <v>2.431634655</v>
      </c>
      <c r="AN56" s="143" t="str">
        <f>IFERROR(__xludf.DUMMYFUNCTION("""COMPUTED_VALUE"""),"Semestral")</f>
        <v>Semestral</v>
      </c>
      <c r="AO56" s="143" t="str">
        <f>IFERROR(__xludf.DUMMYFUNCTION("""COMPUTED_VALUE"""),"Bullet")</f>
        <v>Bullet</v>
      </c>
      <c r="AP56" s="143" t="str">
        <f>IFERROR(__xludf.DUMMYFUNCTION("""COMPUTED_VALUE"""),"ARG")</f>
        <v>ARG</v>
      </c>
      <c r="AQ56" s="143">
        <f>IFERROR(__xludf.DUMMYFUNCTION("""COMPUTED_VALUE"""),100.0)</f>
        <v>100</v>
      </c>
      <c r="AR56" s="143">
        <f>IFERROR(__xludf.DUMMYFUNCTION("""COMPUTED_VALUE"""),65.0)</f>
        <v>65</v>
      </c>
      <c r="AS56" s="179">
        <f>IFERROR(__xludf.DUMMYFUNCTION("""COMPUTED_VALUE"""),0.9973447410728571)</f>
        <v>0.9973447411</v>
      </c>
    </row>
    <row r="57">
      <c r="M57" s="143"/>
      <c r="N57" s="232" t="str">
        <f>IFERROR(__xludf.DUMMYFUNCTION("""COMPUTED_VALUE"""),"YMCJD")</f>
        <v>YMCJD</v>
      </c>
      <c r="O57" s="143" t="str">
        <f>IFERROR(__xludf.DUMMYFUNCTION("""COMPUTED_VALUE"""),"YPF")</f>
        <v>YPF</v>
      </c>
      <c r="P57" s="233">
        <f>IFERROR(__xludf.DUMMYFUNCTION("""COMPUTED_VALUE"""),48852.0)</f>
        <v>48852</v>
      </c>
      <c r="Q57" s="179">
        <f>IFERROR(__xludf.DUMMYFUNCTION("""COMPUTED_VALUE"""),0.07)</f>
        <v>0.07</v>
      </c>
      <c r="R57" s="141">
        <f>IFERROR(__xludf.DUMMYFUNCTION("""COMPUTED_VALUE"""),95.21)</f>
        <v>95.21</v>
      </c>
      <c r="S57" s="179">
        <f>IFERROR(__xludf.DUMMYFUNCTION("""COMPUTED_VALUE"""),0.08160710044950233)</f>
        <v>0.08160710045</v>
      </c>
      <c r="T57" s="179">
        <f>IFERROR(__xludf.DUMMYFUNCTION("""COMPUTED_VALUE"""),0.004699999999999999)</f>
        <v>0.0047</v>
      </c>
      <c r="U57" s="186">
        <f>IFERROR(__xludf.DUMMYFUNCTION("""COMPUTED_VALUE"""),5.275965287084322)</f>
        <v>5.275965287</v>
      </c>
      <c r="V57" s="143" t="str">
        <f>IFERROR(__xludf.DUMMYFUNCTION("""COMPUTED_VALUE"""),"Semestral")</f>
        <v>Semestral</v>
      </c>
      <c r="W57" s="143" t="str">
        <f>IFERROR(__xludf.DUMMYFUNCTION("""COMPUTED_VALUE"""),"Sinkable")</f>
        <v>Sinkable</v>
      </c>
      <c r="X57" s="188" t="str">
        <f>IFERROR(__xludf.DUMMYFUNCTION("""COMPUTED_VALUE"""),"NY")</f>
        <v>NY</v>
      </c>
      <c r="Y57" s="186">
        <f>IFERROR(__xludf.DUMMYFUNCTION("""COMPUTED_VALUE"""),1.0)</f>
        <v>1</v>
      </c>
      <c r="Z57" s="143">
        <f>IFERROR(__xludf.DUMMYFUNCTION("""COMPUTED_VALUE"""),173.0)</f>
        <v>173</v>
      </c>
      <c r="AA57" s="179">
        <f>IFERROR(__xludf.DUMMYFUNCTION("""COMPUTED_VALUE"""),0.9504367357125031)</f>
        <v>0.9504367357</v>
      </c>
      <c r="AE57" s="143"/>
      <c r="AF57" s="232" t="str">
        <f>IFERROR(__xludf.DUMMYFUNCTION("""COMPUTED_VALUE"""),"DNC5D")</f>
        <v>DNC5D</v>
      </c>
      <c r="AG57" s="143" t="str">
        <f>IFERROR(__xludf.DUMMYFUNCTION("""COMPUTED_VALUE"""),"Edenor")</f>
        <v>Edenor</v>
      </c>
      <c r="AH57" s="234">
        <f>IFERROR(__xludf.DUMMYFUNCTION("""COMPUTED_VALUE"""),46970.0)</f>
        <v>46970</v>
      </c>
      <c r="AI57" s="179">
        <f>IFERROR(__xludf.DUMMYFUNCTION("""COMPUTED_VALUE"""),0.095)</f>
        <v>0.095</v>
      </c>
      <c r="AJ57" s="235">
        <f>IFERROR(__xludf.DUMMYFUNCTION("""COMPUTED_VALUE"""),87.4)</f>
        <v>87.4</v>
      </c>
      <c r="AK57" s="179">
        <f>IFERROR(__xludf.DUMMYFUNCTION("""COMPUTED_VALUE"""),0.1660100071793759)</f>
        <v>0.1660100072</v>
      </c>
      <c r="AL57" s="179">
        <f>IFERROR(__xludf.DUMMYFUNCTION("""COMPUTED_VALUE"""),-0.0374)</f>
        <v>-0.0374</v>
      </c>
      <c r="AM57" s="186">
        <f>IFERROR(__xludf.DUMMYFUNCTION("""COMPUTED_VALUE"""),2.4922995056647474)</f>
        <v>2.492299506</v>
      </c>
      <c r="AN57" s="143" t="str">
        <f>IFERROR(__xludf.DUMMYFUNCTION("""COMPUTED_VALUE"""),"Semestral")</f>
        <v>Semestral</v>
      </c>
      <c r="AO57" s="143" t="str">
        <f>IFERROR(__xludf.DUMMYFUNCTION("""COMPUTED_VALUE"""),"Bullet")</f>
        <v>Bullet</v>
      </c>
      <c r="AP57" s="143" t="str">
        <f>IFERROR(__xludf.DUMMYFUNCTION("""COMPUTED_VALUE"""),"ARG")</f>
        <v>ARG</v>
      </c>
      <c r="AQ57" s="143">
        <f>IFERROR(__xludf.DUMMYFUNCTION("""COMPUTED_VALUE"""),100.0)</f>
        <v>100</v>
      </c>
      <c r="AR57" s="143">
        <f>IFERROR(__xludf.DUMMYFUNCTION("""COMPUTED_VALUE"""),120.0)</f>
        <v>120</v>
      </c>
      <c r="AS57" s="179">
        <f>IFERROR(__xludf.DUMMYFUNCTION("""COMPUTED_VALUE"""),0.8594598235333738)</f>
        <v>0.8594598235</v>
      </c>
    </row>
    <row r="58">
      <c r="M58" s="143"/>
      <c r="N58" s="232" t="str">
        <f>IFERROR(__xludf.DUMMYFUNCTION("""COMPUTED_VALUE"""),"TLCPD")</f>
        <v>TLCPD</v>
      </c>
      <c r="O58" s="143" t="str">
        <f>IFERROR(__xludf.DUMMYFUNCTION("""COMPUTED_VALUE"""),"Telecom")</f>
        <v>Telecom</v>
      </c>
      <c r="P58" s="233">
        <f>IFERROR(__xludf.DUMMYFUNCTION("""COMPUTED_VALUE"""),48727.0)</f>
        <v>48727</v>
      </c>
      <c r="Q58" s="179">
        <f>IFERROR(__xludf.DUMMYFUNCTION("""COMPUTED_VALUE"""),0.0925)</f>
        <v>0.0925</v>
      </c>
      <c r="R58" s="141">
        <f>IFERROR(__xludf.DUMMYFUNCTION("""COMPUTED_VALUE"""),102.0)</f>
        <v>102</v>
      </c>
      <c r="S58" s="179">
        <f>IFERROR(__xludf.DUMMYFUNCTION("""COMPUTED_VALUE"""),0.09747772156634352)</f>
        <v>0.09747772157</v>
      </c>
      <c r="T58" s="179">
        <f>IFERROR(__xludf.DUMMYFUNCTION("""COMPUTED_VALUE"""),-0.0048)</f>
        <v>-0.0048</v>
      </c>
      <c r="U58" s="186">
        <f>IFERROR(__xludf.DUMMYFUNCTION("""COMPUTED_VALUE"""),5.213219007752955)</f>
        <v>5.213219008</v>
      </c>
      <c r="V58" s="143" t="str">
        <f>IFERROR(__xludf.DUMMYFUNCTION("""COMPUTED_VALUE"""),"Semestral")</f>
        <v>Semestral</v>
      </c>
      <c r="W58" s="143" t="str">
        <f>IFERROR(__xludf.DUMMYFUNCTION("""COMPUTED_VALUE"""),"Sinkable")</f>
        <v>Sinkable</v>
      </c>
      <c r="X58" s="188" t="str">
        <f>IFERROR(__xludf.DUMMYFUNCTION("""COMPUTED_VALUE"""),"NY")</f>
        <v>NY</v>
      </c>
      <c r="Y58" s="186">
        <f>IFERROR(__xludf.DUMMYFUNCTION("""COMPUTED_VALUE"""),100.0)</f>
        <v>100</v>
      </c>
      <c r="Z58" s="143">
        <f>IFERROR(__xludf.DUMMYFUNCTION("""COMPUTED_VALUE"""),51.0)</f>
        <v>51</v>
      </c>
      <c r="AA58" s="179">
        <f>IFERROR(__xludf.DUMMYFUNCTION("""COMPUTED_VALUE"""),0.9860497589924676)</f>
        <v>0.986049759</v>
      </c>
      <c r="AE58" s="143"/>
      <c r="AF58" s="232" t="str">
        <f>IFERROR(__xludf.DUMMYFUNCTION("""COMPUTED_VALUE"""),"LMS7D")</f>
        <v>LMS7D</v>
      </c>
      <c r="AG58" s="143" t="str">
        <f>IFERROR(__xludf.DUMMYFUNCTION("""COMPUTED_VALUE"""),"Aluar")</f>
        <v>Aluar</v>
      </c>
      <c r="AH58" s="234">
        <f>IFERROR(__xludf.DUMMYFUNCTION("""COMPUTED_VALUE"""),47038.0)</f>
        <v>47038</v>
      </c>
      <c r="AI58" s="179">
        <f>IFERROR(__xludf.DUMMYFUNCTION("""COMPUTED_VALUE"""),0.07)</f>
        <v>0.07</v>
      </c>
      <c r="AJ58" s="235">
        <f>IFERROR(__xludf.DUMMYFUNCTION("""COMPUTED_VALUE"""),102.65)</f>
        <v>102.65</v>
      </c>
      <c r="AK58" s="179">
        <f>IFERROR(__xludf.DUMMYFUNCTION("""COMPUTED_VALUE"""),0.07911987416406309)</f>
        <v>0.07911987416</v>
      </c>
      <c r="AL58" s="179">
        <f>IFERROR(__xludf.DUMMYFUNCTION("""COMPUTED_VALUE"""),-0.0129)</f>
        <v>-0.0129</v>
      </c>
      <c r="AM58" s="186">
        <f>IFERROR(__xludf.DUMMYFUNCTION("""COMPUTED_VALUE"""),1.48993487386376)</f>
        <v>1.489934874</v>
      </c>
      <c r="AN58" s="143" t="str">
        <f>IFERROR(__xludf.DUMMYFUNCTION("""COMPUTED_VALUE"""),"Trimestral")</f>
        <v>Trimestral</v>
      </c>
      <c r="AO58" s="143" t="str">
        <f>IFERROR(__xludf.DUMMYFUNCTION("""COMPUTED_VALUE"""),"Sinkable")</f>
        <v>Sinkable</v>
      </c>
      <c r="AP58" s="143" t="str">
        <f>IFERROR(__xludf.DUMMYFUNCTION("""COMPUTED_VALUE"""),"ARG")</f>
        <v>ARG</v>
      </c>
      <c r="AQ58" s="143">
        <f>IFERROR(__xludf.DUMMYFUNCTION("""COMPUTED_VALUE"""),1.0)</f>
        <v>1</v>
      </c>
      <c r="AR58" s="143">
        <f>IFERROR(__xludf.DUMMYFUNCTION("""COMPUTED_VALUE"""),96.0)</f>
        <v>96</v>
      </c>
      <c r="AS58" s="179">
        <f>IFERROR(__xludf.DUMMYFUNCTION("""COMPUTED_VALUE"""),0.9922470868644068)</f>
        <v>0.9922470869</v>
      </c>
    </row>
    <row r="59">
      <c r="M59" s="143"/>
      <c r="N59" s="232" t="str">
        <f>IFERROR(__xludf.DUMMYFUNCTION("""COMPUTED_VALUE"""),"VSCVD")</f>
        <v>VSCVD</v>
      </c>
      <c r="O59" s="143" t="str">
        <f>IFERROR(__xludf.DUMMYFUNCTION("""COMPUTED_VALUE"""),"Vista Energy")</f>
        <v>Vista Energy</v>
      </c>
      <c r="P59" s="233">
        <f>IFERROR(__xludf.DUMMYFUNCTION("""COMPUTED_VALUE"""),48740.0)</f>
        <v>48740</v>
      </c>
      <c r="Q59" s="179">
        <f>IFERROR(__xludf.DUMMYFUNCTION("""COMPUTED_VALUE"""),0.085)</f>
        <v>0.085</v>
      </c>
      <c r="R59" s="141">
        <f>IFERROR(__xludf.DUMMYFUNCTION("""COMPUTED_VALUE"""),106.0)</f>
        <v>106</v>
      </c>
      <c r="S59" s="179">
        <f>IFERROR(__xludf.DUMMYFUNCTION("""COMPUTED_VALUE"""),0.08023538487148903)</f>
        <v>0.08023538487</v>
      </c>
      <c r="T59" s="179">
        <f>IFERROR(__xludf.DUMMYFUNCTION("""COMPUTED_VALUE"""),0.004699999999999999)</f>
        <v>0.0047</v>
      </c>
      <c r="U59" s="186">
        <f>IFERROR(__xludf.DUMMYFUNCTION("""COMPUTED_VALUE"""),5.14696178862725)</f>
        <v>5.146961789</v>
      </c>
      <c r="V59" s="143" t="str">
        <f>IFERROR(__xludf.DUMMYFUNCTION("""COMPUTED_VALUE"""),"Semestral")</f>
        <v>Semestral</v>
      </c>
      <c r="W59" s="143" t="str">
        <f>IFERROR(__xludf.DUMMYFUNCTION("""COMPUTED_VALUE"""),"Sinkable")</f>
        <v>Sinkable</v>
      </c>
      <c r="X59" s="188" t="str">
        <f>IFERROR(__xludf.DUMMYFUNCTION("""COMPUTED_VALUE"""),"NY")</f>
        <v>NY</v>
      </c>
      <c r="Y59" s="186">
        <f>IFERROR(__xludf.DUMMYFUNCTION("""COMPUTED_VALUE"""),1000.0)</f>
        <v>1000</v>
      </c>
      <c r="Z59" s="143">
        <f>IFERROR(__xludf.DUMMYFUNCTION("""COMPUTED_VALUE"""),63.0)</f>
        <v>63</v>
      </c>
      <c r="AA59" s="179">
        <f>IFERROR(__xludf.DUMMYFUNCTION("""COMPUTED_VALUE"""),1.03055754351378)</f>
        <v>1.030557544</v>
      </c>
      <c r="AE59" s="143"/>
      <c r="AF59" s="232" t="str">
        <f>IFERROR(__xludf.DUMMYFUNCTION("""COMPUTED_VALUE"""),"PECGD")</f>
        <v>PECGD</v>
      </c>
      <c r="AG59" s="143" t="str">
        <f>IFERROR(__xludf.DUMMYFUNCTION("""COMPUTED_VALUE"""),"Petrolera Aconcagua Eenergia")</f>
        <v>Petrolera Aconcagua Eenergia</v>
      </c>
      <c r="AH59" s="234">
        <f>IFERROR(__xludf.DUMMYFUNCTION("""COMPUTED_VALUE"""),47054.0)</f>
        <v>47054</v>
      </c>
      <c r="AI59" s="179">
        <f>IFERROR(__xludf.DUMMYFUNCTION("""COMPUTED_VALUE"""),0.09)</f>
        <v>0.09</v>
      </c>
      <c r="AJ59" s="235" t="str">
        <f>IFERROR(__xludf.DUMMYFUNCTION("""COMPUTED_VALUE"""),"#N/A")</f>
        <v>#N/A</v>
      </c>
      <c r="AK59" s="179" t="str">
        <f>IFERROR(__xludf.DUMMYFUNCTION("""COMPUTED_VALUE"""),"#N/A")</f>
        <v>#N/A</v>
      </c>
      <c r="AL59" s="179" t="str">
        <f>IFERROR(__xludf.DUMMYFUNCTION("""COMPUTED_VALUE"""),"#N/A")</f>
        <v>#N/A</v>
      </c>
      <c r="AM59" s="186" t="str">
        <f>IFERROR(__xludf.DUMMYFUNCTION("""COMPUTED_VALUE"""),"-")</f>
        <v>-</v>
      </c>
      <c r="AN59" s="143" t="str">
        <f>IFERROR(__xludf.DUMMYFUNCTION("""COMPUTED_VALUE"""),"Semestral")</f>
        <v>Semestral</v>
      </c>
      <c r="AO59" s="143" t="str">
        <f>IFERROR(__xludf.DUMMYFUNCTION("""COMPUTED_VALUE"""),"Bullet")</f>
        <v>Bullet</v>
      </c>
      <c r="AP59" s="143" t="str">
        <f>IFERROR(__xludf.DUMMYFUNCTION("""COMPUTED_VALUE"""),"ARG")</f>
        <v>ARG</v>
      </c>
      <c r="AQ59" s="143">
        <f>IFERROR(__xludf.DUMMYFUNCTION("""COMPUTED_VALUE"""),1.0)</f>
        <v>1</v>
      </c>
      <c r="AR59" s="143">
        <f>IFERROR(__xludf.DUMMYFUNCTION("""COMPUTED_VALUE"""),20.0)</f>
        <v>20</v>
      </c>
      <c r="AS59" s="179" t="str">
        <f>IFERROR(__xludf.DUMMYFUNCTION("""COMPUTED_VALUE"""),"#N/A")</f>
        <v>#N/A</v>
      </c>
    </row>
    <row r="60">
      <c r="M60" s="143"/>
      <c r="N60" s="232" t="str">
        <f>IFERROR(__xludf.DUMMYFUNCTION("""COMPUTED_VALUE"""),"YM34D")</f>
        <v>YM34D</v>
      </c>
      <c r="O60" s="173" t="str">
        <f>IFERROR(__xludf.DUMMYFUNCTION("""COMPUTED_VALUE"""),"YPF")</f>
        <v>YPF</v>
      </c>
      <c r="P60" s="238">
        <f>IFERROR(__xludf.DUMMYFUNCTION("""COMPUTED_VALUE"""),48961.0)</f>
        <v>48961</v>
      </c>
      <c r="Q60" s="187">
        <f>IFERROR(__xludf.DUMMYFUNCTION("""COMPUTED_VALUE"""),0.0825)</f>
        <v>0.0825</v>
      </c>
      <c r="R60" s="141">
        <f>IFERROR(__xludf.DUMMYFUNCTION("""COMPUTED_VALUE"""),100.7)</f>
        <v>100.7</v>
      </c>
      <c r="S60" s="187">
        <f>IFERROR(__xludf.DUMMYFUNCTION("""COMPUTED_VALUE"""),0.08647523168979138)</f>
        <v>0.08647523169</v>
      </c>
      <c r="T60" s="187">
        <f>IFERROR(__xludf.DUMMYFUNCTION("""COMPUTED_VALUE"""),-0.0078000000000000005)</f>
        <v>-0.0078</v>
      </c>
      <c r="U60" s="240">
        <f>IFERROR(__xludf.DUMMYFUNCTION("""COMPUTED_VALUE"""),5.573419365572477)</f>
        <v>5.573419366</v>
      </c>
      <c r="V60" s="173" t="str">
        <f>IFERROR(__xludf.DUMMYFUNCTION("""COMPUTED_VALUE"""),"Semestral")</f>
        <v>Semestral</v>
      </c>
      <c r="W60" s="173" t="str">
        <f>IFERROR(__xludf.DUMMYFUNCTION("""COMPUTED_VALUE"""),"Sinkable")</f>
        <v>Sinkable</v>
      </c>
      <c r="X60" s="188" t="str">
        <f>IFERROR(__xludf.DUMMYFUNCTION("""COMPUTED_VALUE"""),"NY")</f>
        <v>NY</v>
      </c>
      <c r="Y60" s="186">
        <f>IFERROR(__xludf.DUMMYFUNCTION("""COMPUTED_VALUE"""),1.0)</f>
        <v>1</v>
      </c>
      <c r="Z60" s="143">
        <f>IFERROR(__xludf.DUMMYFUNCTION("""COMPUTED_VALUE"""),101.0)</f>
        <v>101</v>
      </c>
      <c r="AA60" s="179">
        <f>IFERROR(__xludf.DUMMYFUNCTION("""COMPUTED_VALUE"""),0.987981358842286)</f>
        <v>0.9879813588</v>
      </c>
      <c r="AE60" s="143"/>
      <c r="AF60" s="232" t="str">
        <f>IFERROR(__xludf.DUMMYFUNCTION("""COMPUTED_VALUE"""),"VSCPD")</f>
        <v>VSCPD</v>
      </c>
      <c r="AG60" s="143" t="str">
        <f>IFERROR(__xludf.DUMMYFUNCTION("""COMPUTED_VALUE"""),"Vista Oil")</f>
        <v>Vista Oil</v>
      </c>
      <c r="AH60" s="234">
        <f>IFERROR(__xludf.DUMMYFUNCTION("""COMPUTED_VALUE"""),47241.0)</f>
        <v>47241</v>
      </c>
      <c r="AI60" s="179">
        <f>IFERROR(__xludf.DUMMYFUNCTION("""COMPUTED_VALUE"""),0.08)</f>
        <v>0.08</v>
      </c>
      <c r="AJ60" s="235">
        <f>IFERROR(__xludf.DUMMYFUNCTION("""COMPUTED_VALUE"""),106.8)</f>
        <v>106.8</v>
      </c>
      <c r="AK60" s="179">
        <f>IFERROR(__xludf.DUMMYFUNCTION("""COMPUTED_VALUE"""),0.06793145089821298)</f>
        <v>0.0679314509</v>
      </c>
      <c r="AL60" s="179">
        <f>IFERROR(__xludf.DUMMYFUNCTION("""COMPUTED_VALUE"""),-0.0046)</f>
        <v>-0.0046</v>
      </c>
      <c r="AM60" s="186">
        <f>IFERROR(__xludf.DUMMYFUNCTION("""COMPUTED_VALUE"""),2.521749945629113)</f>
        <v>2.521749946</v>
      </c>
      <c r="AN60" s="143" t="str">
        <f>IFERROR(__xludf.DUMMYFUNCTION("""COMPUTED_VALUE"""),"Semestral")</f>
        <v>Semestral</v>
      </c>
      <c r="AO60" s="143" t="str">
        <f>IFERROR(__xludf.DUMMYFUNCTION("""COMPUTED_VALUE"""),"Sinkable")</f>
        <v>Sinkable</v>
      </c>
      <c r="AP60" s="143" t="str">
        <f>IFERROR(__xludf.DUMMYFUNCTION("""COMPUTED_VALUE"""),"ARG")</f>
        <v>ARG</v>
      </c>
      <c r="AQ60" s="143">
        <f>IFERROR(__xludf.DUMMYFUNCTION("""COMPUTED_VALUE"""),100.0)</f>
        <v>100</v>
      </c>
      <c r="AR60" s="143">
        <f>IFERROR(__xludf.DUMMYFUNCTION("""COMPUTED_VALUE"""),26.0)</f>
        <v>26</v>
      </c>
      <c r="AS60" s="179">
        <f>IFERROR(__xludf.DUMMYFUNCTION("""COMPUTED_VALUE"""),1.0320343111299375)</f>
        <v>1.032034311</v>
      </c>
    </row>
    <row r="61">
      <c r="M61" s="143"/>
      <c r="N61" s="232" t="str">
        <f>IFERROR(__xludf.DUMMYFUNCTION("""COMPUTED_VALUE"""),"MGCOD")</f>
        <v>MGCOD</v>
      </c>
      <c r="O61" s="173" t="str">
        <f>IFERROR(__xludf.DUMMYFUNCTION("""COMPUTED_VALUE"""),"Pampa Energia")</f>
        <v>Pampa Energia</v>
      </c>
      <c r="P61" s="238">
        <f>IFERROR(__xludf.DUMMYFUNCTION("""COMPUTED_VALUE"""),49294.0)</f>
        <v>49294</v>
      </c>
      <c r="Q61" s="187">
        <f>IFERROR(__xludf.DUMMYFUNCTION("""COMPUTED_VALUE"""),0.0788)</f>
        <v>0.0788</v>
      </c>
      <c r="R61" s="141">
        <f>IFERROR(__xludf.DUMMYFUNCTION("""COMPUTED_VALUE"""),102.0)</f>
        <v>102</v>
      </c>
      <c r="S61" s="187">
        <f>IFERROR(__xludf.DUMMYFUNCTION("""COMPUTED_VALUE"""),0.08104000521943708)</f>
        <v>0.08104000522</v>
      </c>
      <c r="T61" s="187">
        <f>IFERROR(__xludf.DUMMYFUNCTION("""COMPUTED_VALUE"""),-9.0E-4)</f>
        <v>-0.0009</v>
      </c>
      <c r="U61" s="240">
        <f>IFERROR(__xludf.DUMMYFUNCTION("""COMPUTED_VALUE"""),6.576337094089589)</f>
        <v>6.576337094</v>
      </c>
      <c r="V61" s="173" t="str">
        <f>IFERROR(__xludf.DUMMYFUNCTION("""COMPUTED_VALUE"""),"Semestral")</f>
        <v>Semestral</v>
      </c>
      <c r="W61" s="173" t="str">
        <f>IFERROR(__xludf.DUMMYFUNCTION("""COMPUTED_VALUE"""),"Bullet")</f>
        <v>Bullet</v>
      </c>
      <c r="X61" s="188" t="str">
        <f>IFERROR(__xludf.DUMMYFUNCTION("""COMPUTED_VALUE"""),"NY")</f>
        <v>NY</v>
      </c>
      <c r="Y61" s="186">
        <f>IFERROR(__xludf.DUMMYFUNCTION("""COMPUTED_VALUE"""),10000.0)</f>
        <v>10000</v>
      </c>
      <c r="Z61" s="143">
        <f>IFERROR(__xludf.DUMMYFUNCTION("""COMPUTED_VALUE"""),69.0)</f>
        <v>69</v>
      </c>
      <c r="AA61" s="179">
        <f>IFERROR(__xludf.DUMMYFUNCTION("""COMPUTED_VALUE"""),0.9577745825875172)</f>
        <v>0.9577745826</v>
      </c>
      <c r="AE61" s="143"/>
      <c r="AF61" s="232" t="str">
        <f>IFERROR(__xludf.DUMMYFUNCTION("""COMPUTED_VALUE"""),"PN35D")</f>
        <v>PN35D</v>
      </c>
      <c r="AG61" s="143" t="str">
        <f>IFERROR(__xludf.DUMMYFUNCTION("""COMPUTED_VALUE"""),"Pan American Energy")</f>
        <v>Pan American Energy</v>
      </c>
      <c r="AH61" s="234">
        <f>IFERROR(__xludf.DUMMYFUNCTION("""COMPUTED_VALUE"""),47388.0)</f>
        <v>47388</v>
      </c>
      <c r="AI61" s="179">
        <f>IFERROR(__xludf.DUMMYFUNCTION("""COMPUTED_VALUE"""),0.07)</f>
        <v>0.07</v>
      </c>
      <c r="AJ61" s="235">
        <f>IFERROR(__xludf.DUMMYFUNCTION("""COMPUTED_VALUE"""),102.5)</f>
        <v>102.5</v>
      </c>
      <c r="AK61" s="179">
        <f>IFERROR(__xludf.DUMMYFUNCTION("""COMPUTED_VALUE"""),0.06438929106951667)</f>
        <v>0.06438929107</v>
      </c>
      <c r="AL61" s="179">
        <f>IFERROR(__xludf.DUMMYFUNCTION("""COMPUTED_VALUE"""),-0.0034000000000000002)</f>
        <v>-0.0034</v>
      </c>
      <c r="AM61" s="186">
        <f>IFERROR(__xludf.DUMMYFUNCTION("""COMPUTED_VALUE"""),3.5699921055884207)</f>
        <v>3.569992106</v>
      </c>
      <c r="AN61" s="143" t="str">
        <f>IFERROR(__xludf.DUMMYFUNCTION("""COMPUTED_VALUE"""),"Semestral")</f>
        <v>Semestral</v>
      </c>
      <c r="AO61" s="143" t="str">
        <f>IFERROR(__xludf.DUMMYFUNCTION("""COMPUTED_VALUE"""),"Bullet")</f>
        <v>Bullet</v>
      </c>
      <c r="AP61" s="143" t="str">
        <f>IFERROR(__xludf.DUMMYFUNCTION("""COMPUTED_VALUE"""),"ARG")</f>
        <v>ARG</v>
      </c>
      <c r="AQ61" s="143">
        <f>IFERROR(__xludf.DUMMYFUNCTION("""COMPUTED_VALUE"""),1.0)</f>
        <v>1</v>
      </c>
      <c r="AR61" s="143">
        <f>IFERROR(__xludf.DUMMYFUNCTION("""COMPUTED_VALUE"""),170.0)</f>
        <v>170</v>
      </c>
      <c r="AS61" s="179">
        <f>IFERROR(__xludf.DUMMYFUNCTION("""COMPUTED_VALUE"""),1.022646512136453)</f>
        <v>1.022646512</v>
      </c>
    </row>
    <row r="62">
      <c r="M62" s="143"/>
      <c r="N62" s="232" t="str">
        <f>IFERROR(__xludf.DUMMYFUNCTION("""COMPUTED_VALUE"""),"IRCPD")</f>
        <v>IRCPD</v>
      </c>
      <c r="O62" s="143" t="str">
        <f>IFERROR(__xludf.DUMMYFUNCTION("""COMPUTED_VALUE"""),"IRSA")</f>
        <v>IRSA</v>
      </c>
      <c r="P62" s="233">
        <f>IFERROR(__xludf.DUMMYFUNCTION("""COMPUTED_VALUE"""),49399.0)</f>
        <v>49399</v>
      </c>
      <c r="Q62" s="179">
        <f>IFERROR(__xludf.DUMMYFUNCTION("""COMPUTED_VALUE"""),0.08)</f>
        <v>0.08</v>
      </c>
      <c r="R62" s="141">
        <f>IFERROR(__xludf.DUMMYFUNCTION("""COMPUTED_VALUE"""),101.0)</f>
        <v>101</v>
      </c>
      <c r="S62" s="179">
        <f>IFERROR(__xludf.DUMMYFUNCTION("""COMPUTED_VALUE"""),0.08018455933001999)</f>
        <v>0.08018455933</v>
      </c>
      <c r="T62" s="179">
        <f>IFERROR(__xludf.DUMMYFUNCTION("""COMPUTED_VALUE"""),-0.0044)</f>
        <v>-0.0044</v>
      </c>
      <c r="U62" s="186">
        <f>IFERROR(__xludf.DUMMYFUNCTION("""COMPUTED_VALUE"""),6.342041482649829)</f>
        <v>6.342041483</v>
      </c>
      <c r="V62" s="143" t="str">
        <f>IFERROR(__xludf.DUMMYFUNCTION("""COMPUTED_VALUE"""),"Semestral")</f>
        <v>Semestral</v>
      </c>
      <c r="W62" s="143" t="str">
        <f>IFERROR(__xludf.DUMMYFUNCTION("""COMPUTED_VALUE"""),"Sinkable")</f>
        <v>Sinkable</v>
      </c>
      <c r="X62" s="188" t="str">
        <f>IFERROR(__xludf.DUMMYFUNCTION("""COMPUTED_VALUE"""),"NY")</f>
        <v>NY</v>
      </c>
      <c r="Y62" s="186">
        <f>IFERROR(__xludf.DUMMYFUNCTION("""COMPUTED_VALUE"""),1.0)</f>
        <v>1</v>
      </c>
      <c r="Z62" s="143">
        <f>IFERROR(__xludf.DUMMYFUNCTION("""COMPUTED_VALUE"""),174.0)</f>
        <v>174</v>
      </c>
      <c r="AA62" s="179">
        <f>IFERROR(__xludf.DUMMYFUNCTION("""COMPUTED_VALUE"""),1.0079840319361277)</f>
        <v>1.007984032</v>
      </c>
      <c r="AE62" s="143"/>
      <c r="AF62" s="232" t="str">
        <f>IFERROR(__xludf.DUMMYFUNCTION("""COMPUTED_VALUE"""),"IRCOD")</f>
        <v>IRCOD</v>
      </c>
      <c r="AG62" s="143" t="str">
        <f>IFERROR(__xludf.DUMMYFUNCTION("""COMPUTED_VALUE"""),"IRSA")</f>
        <v>IRSA</v>
      </c>
      <c r="AH62" s="233">
        <f>IFERROR(__xludf.DUMMYFUNCTION("""COMPUTED_VALUE"""),47414.0)</f>
        <v>47414</v>
      </c>
      <c r="AI62" s="179">
        <f>IFERROR(__xludf.DUMMYFUNCTION("""COMPUTED_VALUE"""),0.0725)</f>
        <v>0.0725</v>
      </c>
      <c r="AJ62" s="235">
        <f>IFERROR(__xludf.DUMMYFUNCTION("""COMPUTED_VALUE"""),102.7)</f>
        <v>102.7</v>
      </c>
      <c r="AK62" s="179">
        <f>IFERROR(__xludf.DUMMYFUNCTION("""COMPUTED_VALUE"""),0.07037748230088652)</f>
        <v>0.0703774823</v>
      </c>
      <c r="AL62" s="179">
        <f>IFERROR(__xludf.DUMMYFUNCTION("""COMPUTED_VALUE"""),-0.0029)</f>
        <v>-0.0029</v>
      </c>
      <c r="AM62" s="186">
        <f>IFERROR(__xludf.DUMMYFUNCTION("""COMPUTED_VALUE"""),3.560871967646005)</f>
        <v>3.560871968</v>
      </c>
      <c r="AN62" s="143" t="str">
        <f>IFERROR(__xludf.DUMMYFUNCTION("""COMPUTED_VALUE"""),"Semestral")</f>
        <v>Semestral</v>
      </c>
      <c r="AO62" s="143" t="str">
        <f>IFERROR(__xludf.DUMMYFUNCTION("""COMPUTED_VALUE"""),"Bullet")</f>
        <v>Bullet</v>
      </c>
      <c r="AP62" s="143" t="str">
        <f>IFERROR(__xludf.DUMMYFUNCTION("""COMPUTED_VALUE"""),"ARG")</f>
        <v>ARG</v>
      </c>
      <c r="AQ62" s="143">
        <f>IFERROR(__xludf.DUMMYFUNCTION("""COMPUTED_VALUE"""),1.0)</f>
        <v>1</v>
      </c>
      <c r="AR62" s="143">
        <f>IFERROR(__xludf.DUMMYFUNCTION("""COMPUTED_VALUE"""),107.0)</f>
        <v>107</v>
      </c>
      <c r="AS62" s="179">
        <f>IFERROR(__xludf.DUMMYFUNCTION("""COMPUTED_VALUE"""),1.0113312919021733)</f>
        <v>1.011331292</v>
      </c>
    </row>
    <row r="63">
      <c r="M63" s="143"/>
      <c r="N63" s="232" t="str">
        <f>IFERROR(__xludf.DUMMYFUNCTION("""COMPUTED_VALUE"""),"VSCTD")</f>
        <v>VSCTD</v>
      </c>
      <c r="O63" s="173" t="str">
        <f>IFERROR(__xludf.DUMMYFUNCTION("""COMPUTED_VALUE"""),"Vista Energy")</f>
        <v>Vista Energy</v>
      </c>
      <c r="P63" s="238">
        <f>IFERROR(__xludf.DUMMYFUNCTION("""COMPUTED_VALUE"""),49653.0)</f>
        <v>49653</v>
      </c>
      <c r="Q63" s="187">
        <f>IFERROR(__xludf.DUMMYFUNCTION("""COMPUTED_VALUE"""),0.0763)</f>
        <v>0.0763</v>
      </c>
      <c r="R63" s="141">
        <f>IFERROR(__xludf.DUMMYFUNCTION("""COMPUTED_VALUE"""),99.9)</f>
        <v>99.9</v>
      </c>
      <c r="S63" s="187">
        <f>IFERROR(__xludf.DUMMYFUNCTION("""COMPUTED_VALUE"""),0.0818604390915039)</f>
        <v>0.08186043909</v>
      </c>
      <c r="T63" s="187">
        <f>IFERROR(__xludf.DUMMYFUNCTION("""COMPUTED_VALUE"""),-0.0044)</f>
        <v>-0.0044</v>
      </c>
      <c r="U63" s="240">
        <f>IFERROR(__xludf.DUMMYFUNCTION("""COMPUTED_VALUE"""),6.5851280860201555)</f>
        <v>6.585128086</v>
      </c>
      <c r="V63" s="173" t="str">
        <f>IFERROR(__xludf.DUMMYFUNCTION("""COMPUTED_VALUE"""),"Semestral")</f>
        <v>Semestral</v>
      </c>
      <c r="W63" s="173" t="str">
        <f>IFERROR(__xludf.DUMMYFUNCTION("""COMPUTED_VALUE"""),"Sinkable")</f>
        <v>Sinkable</v>
      </c>
      <c r="X63" s="188" t="str">
        <f>IFERROR(__xludf.DUMMYFUNCTION("""COMPUTED_VALUE"""),"NY")</f>
        <v>NY</v>
      </c>
      <c r="Y63" s="186">
        <f>IFERROR(__xludf.DUMMYFUNCTION("""COMPUTED_VALUE"""),10000.0)</f>
        <v>10000</v>
      </c>
      <c r="Z63" s="143">
        <f>IFERROR(__xludf.DUMMYFUNCTION("""COMPUTED_VALUE"""),63.0)</f>
        <v>63</v>
      </c>
      <c r="AA63" s="179">
        <f>IFERROR(__xludf.DUMMYFUNCTION("""COMPUTED_VALUE"""),0.9387535360851988)</f>
        <v>0.9387535361</v>
      </c>
      <c r="AE63" s="143"/>
      <c r="AF63" s="232" t="str">
        <f>IFERROR(__xludf.DUMMYFUNCTION("""COMPUTED_VALUE"""),"TTC9D")</f>
        <v>TTC9D</v>
      </c>
      <c r="AG63" s="143" t="str">
        <f>IFERROR(__xludf.DUMMYFUNCTION("""COMPUTED_VALUE"""),"Tecpetrol")</f>
        <v>Tecpetrol</v>
      </c>
      <c r="AH63" s="233">
        <f>IFERROR(__xludf.DUMMYFUNCTION("""COMPUTED_VALUE"""),47415.0)</f>
        <v>47415</v>
      </c>
      <c r="AI63" s="179">
        <f>IFERROR(__xludf.DUMMYFUNCTION("""COMPUTED_VALUE"""),0.068)</f>
        <v>0.068</v>
      </c>
      <c r="AJ63" s="235">
        <f>IFERROR(__xludf.DUMMYFUNCTION("""COMPUTED_VALUE"""),104.7)</f>
        <v>104.7</v>
      </c>
      <c r="AK63" s="179">
        <f>IFERROR(__xludf.DUMMYFUNCTION("""COMPUTED_VALUE"""),0.06453796011338711)</f>
        <v>0.06453796011</v>
      </c>
      <c r="AL63" s="179">
        <f>IFERROR(__xludf.DUMMYFUNCTION("""COMPUTED_VALUE"""),0.015)</f>
        <v>0.015</v>
      </c>
      <c r="AM63" s="186">
        <f>IFERROR(__xludf.DUMMYFUNCTION("""COMPUTED_VALUE"""),3.5365084959104034)</f>
        <v>3.536508496</v>
      </c>
      <c r="AN63" s="143" t="str">
        <f>IFERROR(__xludf.DUMMYFUNCTION("""COMPUTED_VALUE"""),"Semestral")</f>
        <v>Semestral</v>
      </c>
      <c r="AO63" s="143" t="str">
        <f>IFERROR(__xludf.DUMMYFUNCTION("""COMPUTED_VALUE"""),"Bullet")</f>
        <v>Bullet</v>
      </c>
      <c r="AP63" s="143" t="str">
        <f>IFERROR(__xludf.DUMMYFUNCTION("""COMPUTED_VALUE"""),"ARG")</f>
        <v>ARG</v>
      </c>
      <c r="AQ63" s="143">
        <f>IFERROR(__xludf.DUMMYFUNCTION("""COMPUTED_VALUE"""),1.0)</f>
        <v>1</v>
      </c>
      <c r="AR63" s="143">
        <f>IFERROR(__xludf.DUMMYFUNCTION("""COMPUTED_VALUE"""),16.0)</f>
        <v>16</v>
      </c>
      <c r="AS63" s="179">
        <f>IFERROR(__xludf.DUMMYFUNCTION("""COMPUTED_VALUE"""),1.0152248528255372)</f>
        <v>1.015224853</v>
      </c>
    </row>
    <row r="64">
      <c r="M64" s="143"/>
      <c r="N64" s="143"/>
      <c r="O64" s="173"/>
      <c r="P64" s="173"/>
      <c r="Q64" s="173"/>
      <c r="R64" s="187"/>
      <c r="S64" s="173"/>
      <c r="T64" s="173"/>
      <c r="U64" s="173"/>
      <c r="V64" s="173"/>
      <c r="W64" s="173"/>
      <c r="X64" s="188"/>
      <c r="Y64" s="186"/>
      <c r="Z64" s="143"/>
      <c r="AA64" s="143"/>
      <c r="AE64" s="143"/>
      <c r="AF64" s="232" t="str">
        <f>IFERROR(__xludf.DUMMYFUNCTION("""COMPUTED_VALUE"""),"OT42D")</f>
        <v>OT42D</v>
      </c>
      <c r="AG64" s="143" t="str">
        <f>IFERROR(__xludf.DUMMYFUNCTION("""COMPUTED_VALUE"""),"OilTanking")</f>
        <v>OilTanking</v>
      </c>
      <c r="AH64" s="233">
        <f>IFERROR(__xludf.DUMMYFUNCTION("""COMPUTED_VALUE"""),47500.0)</f>
        <v>47500</v>
      </c>
      <c r="AI64" s="178">
        <f>IFERROR(__xludf.DUMMYFUNCTION("""COMPUTED_VALUE"""),0.08)</f>
        <v>0.08</v>
      </c>
      <c r="AJ64" s="235">
        <f>IFERROR(__xludf.DUMMYFUNCTION("""COMPUTED_VALUE"""),103.95)</f>
        <v>103.95</v>
      </c>
      <c r="AK64" s="179">
        <f>IFERROR(__xludf.DUMMYFUNCTION("""COMPUTED_VALUE"""),0.08795735285675439)</f>
        <v>0.08795735286</v>
      </c>
      <c r="AL64" s="179">
        <f>IFERROR(__xludf.DUMMYFUNCTION("""COMPUTED_VALUE"""),-4.0E-4)</f>
        <v>-0.0004</v>
      </c>
      <c r="AM64" s="186">
        <f>IFERROR(__xludf.DUMMYFUNCTION("""COMPUTED_VALUE"""),3.485372759800234)</f>
        <v>3.48537276</v>
      </c>
      <c r="AN64" s="143" t="str">
        <f>IFERROR(__xludf.DUMMYFUNCTION("""COMPUTED_VALUE"""),"trimestral")</f>
        <v>trimestral</v>
      </c>
      <c r="AO64" s="143" t="str">
        <f>IFERROR(__xludf.DUMMYFUNCTION("""COMPUTED_VALUE"""),"Bullet")</f>
        <v>Bullet</v>
      </c>
      <c r="AP64" s="143" t="str">
        <f>IFERROR(__xludf.DUMMYFUNCTION("""COMPUTED_VALUE"""),"ARG")</f>
        <v>ARG</v>
      </c>
      <c r="AQ64" s="143">
        <f>IFERROR(__xludf.DUMMYFUNCTION("""COMPUTED_VALUE"""),100.0)</f>
        <v>100</v>
      </c>
      <c r="AR64" s="143">
        <f>IFERROR(__xludf.DUMMYFUNCTION("""COMPUTED_VALUE"""),9.0)</f>
        <v>9</v>
      </c>
      <c r="AS64" s="179">
        <f>IFERROR(__xludf.DUMMYFUNCTION("""COMPUTED_VALUE"""),0.9824378560331434)</f>
        <v>0.982437856</v>
      </c>
    </row>
    <row r="65">
      <c r="M65" s="143"/>
      <c r="N65" s="143"/>
      <c r="O65" s="143"/>
      <c r="P65" s="143"/>
      <c r="Q65" s="143"/>
      <c r="R65" s="187"/>
      <c r="S65" s="143"/>
      <c r="T65" s="143"/>
      <c r="U65" s="143"/>
      <c r="V65" s="143"/>
      <c r="W65" s="143"/>
      <c r="X65" s="188"/>
      <c r="Y65" s="186"/>
      <c r="Z65" s="143"/>
      <c r="AA65" s="143"/>
      <c r="AE65" s="143"/>
      <c r="AF65" s="232" t="str">
        <f>IFERROR(__xludf.DUMMYFUNCTION("""COMPUTED_VALUE"""),"PLC2D")</f>
        <v>PLC2D</v>
      </c>
      <c r="AG65" s="143" t="str">
        <f>IFERROR(__xludf.DUMMYFUNCTION("""COMPUTED_VALUE"""),"Pluspetrol")</f>
        <v>Pluspetrol</v>
      </c>
      <c r="AH65" s="233">
        <f>IFERROR(__xludf.DUMMYFUNCTION("""COMPUTED_VALUE"""),47510.0)</f>
        <v>47510</v>
      </c>
      <c r="AI65" s="179">
        <f>IFERROR(__xludf.DUMMYFUNCTION("""COMPUTED_VALUE"""),0.075)</f>
        <v>0.075</v>
      </c>
      <c r="AJ65" s="235">
        <f>IFERROR(__xludf.DUMMYFUNCTION("""COMPUTED_VALUE"""),104.35)</f>
        <v>104.35</v>
      </c>
      <c r="AK65" s="179">
        <f>IFERROR(__xludf.DUMMYFUNCTION("""COMPUTED_VALUE"""),0.07896759464889393)</f>
        <v>0.07896759465</v>
      </c>
      <c r="AL65" s="179">
        <f>IFERROR(__xludf.DUMMYFUNCTION("""COMPUTED_VALUE"""),0.0033)</f>
        <v>0.0033</v>
      </c>
      <c r="AM65" s="186">
        <f>IFERROR(__xludf.DUMMYFUNCTION("""COMPUTED_VALUE"""),3.600352967547373)</f>
        <v>3.600352968</v>
      </c>
      <c r="AN65" s="143" t="str">
        <f>IFERROR(__xludf.DUMMYFUNCTION("""COMPUTED_VALUE"""),"Semestral")</f>
        <v>Semestral</v>
      </c>
      <c r="AO65" s="143" t="str">
        <f>IFERROR(__xludf.DUMMYFUNCTION("""COMPUTED_VALUE"""),"Bullet")</f>
        <v>Bullet</v>
      </c>
      <c r="AP65" s="143" t="str">
        <f>IFERROR(__xludf.DUMMYFUNCTION("""COMPUTED_VALUE"""),"ARG")</f>
        <v>ARG</v>
      </c>
      <c r="AQ65" s="143">
        <f>IFERROR(__xludf.DUMMYFUNCTION("""COMPUTED_VALUE"""),100.0)</f>
        <v>100</v>
      </c>
      <c r="AR65" s="143">
        <f>IFERROR(__xludf.DUMMYFUNCTION("""COMPUTED_VALUE"""),19.0)</f>
        <v>19</v>
      </c>
      <c r="AS65" s="179">
        <f>IFERROR(__xludf.DUMMYFUNCTION("""COMPUTED_VALUE"""),0.9915457207940124)</f>
        <v>0.9915457208</v>
      </c>
    </row>
    <row r="66">
      <c r="M66" s="143"/>
      <c r="N66" s="143"/>
      <c r="O66" s="173"/>
      <c r="P66" s="173"/>
      <c r="Q66" s="173"/>
      <c r="R66" s="187"/>
      <c r="S66" s="173"/>
      <c r="T66" s="173"/>
      <c r="U66" s="173"/>
      <c r="V66" s="173"/>
      <c r="W66" s="173"/>
      <c r="X66" s="188"/>
      <c r="Y66" s="186"/>
      <c r="Z66" s="143"/>
      <c r="AA66" s="143"/>
      <c r="AE66" s="143"/>
      <c r="AF66" s="143" t="str">
        <f>IFERROR(__xludf.DUMMYFUNCTION("""COMPUTED_VALUE"""),"YM39D")</f>
        <v>YM39D</v>
      </c>
      <c r="AG66" s="143" t="str">
        <f>IFERROR(__xludf.DUMMYFUNCTION("""COMPUTED_VALUE"""),"YPF")</f>
        <v>YPF</v>
      </c>
      <c r="AH66" s="233">
        <f>IFERROR(__xludf.DUMMYFUNCTION("""COMPUTED_VALUE"""),47686.0)</f>
        <v>47686</v>
      </c>
      <c r="AI66" s="179">
        <f>IFERROR(__xludf.DUMMYFUNCTION("""COMPUTED_VALUE"""),0.0875)</f>
        <v>0.0875</v>
      </c>
      <c r="AJ66" s="235">
        <f>IFERROR(__xludf.DUMMYFUNCTION("""COMPUTED_VALUE"""),103.8)</f>
        <v>103.8</v>
      </c>
      <c r="AK66" s="179">
        <f>IFERROR(__xludf.DUMMYFUNCTION("""COMPUTED_VALUE"""),0.08423575428993389)</f>
        <v>0.08423575429</v>
      </c>
      <c r="AL66" s="179">
        <f>IFERROR(__xludf.DUMMYFUNCTION("""COMPUTED_VALUE"""),-0.0014000000000000002)</f>
        <v>-0.0014</v>
      </c>
      <c r="AM66" s="186">
        <f>IFERROR(__xludf.DUMMYFUNCTION("""COMPUTED_VALUE"""),3.9850340914241213)</f>
        <v>3.985034091</v>
      </c>
      <c r="AN66" s="143" t="str">
        <f>IFERROR(__xludf.DUMMYFUNCTION("""COMPUTED_VALUE"""),"Semestral")</f>
        <v>Semestral</v>
      </c>
      <c r="AO66" s="143" t="str">
        <f>IFERROR(__xludf.DUMMYFUNCTION("""COMPUTED_VALUE"""),"Bullet")</f>
        <v>Bullet</v>
      </c>
      <c r="AP66" s="143" t="str">
        <f>IFERROR(__xludf.DUMMYFUNCTION("""COMPUTED_VALUE"""),"ARG")</f>
        <v>ARG</v>
      </c>
      <c r="AQ66" s="143">
        <f>IFERROR(__xludf.DUMMYFUNCTION("""COMPUTED_VALUE"""),100.0)</f>
        <v>100</v>
      </c>
      <c r="AR66" s="143">
        <f>IFERROR(__xludf.DUMMYFUNCTION("""COMPUTED_VALUE"""),106.0)</f>
        <v>106</v>
      </c>
      <c r="AS66" s="179">
        <f>IFERROR(__xludf.DUMMYFUNCTION("""COMPUTED_VALUE"""),1.0184444520151261)</f>
        <v>1.018444452</v>
      </c>
    </row>
    <row r="67">
      <c r="M67" s="143"/>
      <c r="N67" s="143"/>
      <c r="O67" s="143"/>
      <c r="P67" s="143"/>
      <c r="Q67" s="143"/>
      <c r="R67" s="187"/>
      <c r="S67" s="143"/>
      <c r="T67" s="143"/>
      <c r="U67" s="143"/>
      <c r="V67" s="143"/>
      <c r="W67" s="143"/>
      <c r="X67" s="188"/>
      <c r="Y67" s="186"/>
      <c r="Z67" s="143"/>
      <c r="AA67" s="143"/>
      <c r="AE67" s="143"/>
      <c r="AF67" s="232" t="str">
        <f>IFERROR(__xludf.DUMMYFUNCTION("""COMPUTED_VALUE"""),"PQCSD")</f>
        <v>PQCSD</v>
      </c>
      <c r="AG67" s="143" t="str">
        <f>IFERROR(__xludf.DUMMYFUNCTION("""COMPUTED_VALUE"""),"Petroquimica Comodoro Riv")</f>
        <v>Petroquimica Comodoro Riv</v>
      </c>
      <c r="AH67" s="233">
        <f>IFERROR(__xludf.DUMMYFUNCTION("""COMPUTED_VALUE"""),47896.0)</f>
        <v>47896</v>
      </c>
      <c r="AI67" s="179">
        <f>IFERROR(__xludf.DUMMYFUNCTION("""COMPUTED_VALUE"""),0.08)</f>
        <v>0.08</v>
      </c>
      <c r="AJ67" s="235">
        <f>IFERROR(__xludf.DUMMYFUNCTION("""COMPUTED_VALUE"""),91.0)</f>
        <v>91</v>
      </c>
      <c r="AK67" s="179">
        <f>IFERROR(__xludf.DUMMYFUNCTION("""COMPUTED_VALUE"""),0.1079832437125082)</f>
        <v>0.1079832437</v>
      </c>
      <c r="AL67" s="179">
        <f>IFERROR(__xludf.DUMMYFUNCTION("""COMPUTED_VALUE"""),-0.0215)</f>
        <v>-0.0215</v>
      </c>
      <c r="AM67" s="186">
        <f>IFERROR(__xludf.DUMMYFUNCTION("""COMPUTED_VALUE"""),3.7812817928749016)</f>
        <v>3.781281793</v>
      </c>
      <c r="AN67" s="143" t="str">
        <f>IFERROR(__xludf.DUMMYFUNCTION("""COMPUTED_VALUE"""),"Semestral")</f>
        <v>Semestral</v>
      </c>
      <c r="AO67" s="143" t="str">
        <f>IFERROR(__xludf.DUMMYFUNCTION("""COMPUTED_VALUE"""),"Bullet")</f>
        <v>Bullet</v>
      </c>
      <c r="AP67" s="143" t="str">
        <f>IFERROR(__xludf.DUMMYFUNCTION("""COMPUTED_VALUE"""),"ARG")</f>
        <v>ARG</v>
      </c>
      <c r="AQ67" s="143">
        <f>IFERROR(__xludf.DUMMYFUNCTION("""COMPUTED_VALUE"""),50.0)</f>
        <v>50</v>
      </c>
      <c r="AR67" s="143">
        <f>IFERROR(__xludf.DUMMYFUNCTION("""COMPUTED_VALUE"""),132.0)</f>
        <v>132</v>
      </c>
      <c r="AS67" s="179">
        <f>IFERROR(__xludf.DUMMYFUNCTION("""COMPUTED_VALUE"""),0.899550427905969)</f>
        <v>0.8995504279</v>
      </c>
    </row>
    <row r="68">
      <c r="M68" s="143"/>
      <c r="N68" s="143"/>
      <c r="O68" s="143"/>
      <c r="P68" s="143"/>
      <c r="Q68" s="143"/>
      <c r="R68" s="187"/>
      <c r="S68" s="143"/>
      <c r="T68" s="143"/>
      <c r="U68" s="143"/>
      <c r="V68" s="143"/>
      <c r="W68" s="143"/>
      <c r="X68" s="188"/>
      <c r="Y68" s="186"/>
      <c r="Z68" s="143"/>
      <c r="AA68" s="143"/>
      <c r="AE68" s="143"/>
      <c r="AF68" s="232" t="str">
        <f>IFERROR(__xludf.DUMMYFUNCTION("""COMPUTED_VALUE"""),"VSCRD")</f>
        <v>VSCRD</v>
      </c>
      <c r="AG68" s="143" t="str">
        <f>IFERROR(__xludf.DUMMYFUNCTION("""COMPUTED_VALUE"""),"Vista Energy")</f>
        <v>Vista Energy</v>
      </c>
      <c r="AH68" s="233">
        <f>IFERROR(__xludf.DUMMYFUNCTION("""COMPUTED_VALUE"""),48131.0)</f>
        <v>48131</v>
      </c>
      <c r="AI68" s="179">
        <f>IFERROR(__xludf.DUMMYFUNCTION("""COMPUTED_VALUE"""),0.0765)</f>
        <v>0.0765</v>
      </c>
      <c r="AJ68" s="235">
        <f>IFERROR(__xludf.DUMMYFUNCTION("""COMPUTED_VALUE"""),106.0)</f>
        <v>106</v>
      </c>
      <c r="AK68" s="179">
        <f>IFERROR(__xludf.DUMMYFUNCTION("""COMPUTED_VALUE"""),0.07252276924747555)</f>
        <v>0.07252276925</v>
      </c>
      <c r="AL68" s="179">
        <f>IFERROR(__xludf.DUMMYFUNCTION("""COMPUTED_VALUE"""),-0.0134)</f>
        <v>-0.0134</v>
      </c>
      <c r="AM68" s="186">
        <f>IFERROR(__xludf.DUMMYFUNCTION("""COMPUTED_VALUE"""),4.136962503014106)</f>
        <v>4.136962503</v>
      </c>
      <c r="AN68" s="143" t="str">
        <f>IFERROR(__xludf.DUMMYFUNCTION("""COMPUTED_VALUE"""),"Semestral")</f>
        <v>Semestral</v>
      </c>
      <c r="AO68" s="143" t="str">
        <f>IFERROR(__xludf.DUMMYFUNCTION("""COMPUTED_VALUE"""),"Sinkable")</f>
        <v>Sinkable</v>
      </c>
      <c r="AP68" s="143" t="str">
        <f>IFERROR(__xludf.DUMMYFUNCTION("""COMPUTED_VALUE"""),"ARG")</f>
        <v>ARG</v>
      </c>
      <c r="AQ68" s="143">
        <f>IFERROR(__xludf.DUMMYFUNCTION("""COMPUTED_VALUE"""),1.0)</f>
        <v>1</v>
      </c>
      <c r="AR68" s="143">
        <f>IFERROR(__xludf.DUMMYFUNCTION("""COMPUTED_VALUE"""),2.0)</f>
        <v>2</v>
      </c>
      <c r="AS68" s="179">
        <f>IFERROR(__xludf.DUMMYFUNCTION("""COMPUTED_VALUE"""),1.0210517704124584)</f>
        <v>1.02105177</v>
      </c>
    </row>
    <row r="69">
      <c r="M69" s="143"/>
      <c r="N69" s="143"/>
      <c r="O69" s="143"/>
      <c r="P69" s="143"/>
      <c r="Q69" s="143"/>
      <c r="R69" s="187"/>
      <c r="S69" s="143"/>
      <c r="T69" s="143"/>
      <c r="U69" s="143"/>
      <c r="V69" s="143"/>
      <c r="W69" s="143"/>
      <c r="X69" s="188"/>
      <c r="Y69" s="186"/>
      <c r="Z69" s="143"/>
      <c r="AA69" s="143"/>
      <c r="AE69" s="143"/>
      <c r="AF69" s="232" t="str">
        <f>IFERROR(__xludf.DUMMYFUNCTION("""COMPUTED_VALUE"""),"PN36D")</f>
        <v>PN36D</v>
      </c>
      <c r="AG69" s="143" t="str">
        <f>IFERROR(__xludf.DUMMYFUNCTION("""COMPUTED_VALUE"""),"Pan American Energy")</f>
        <v>Pan American Energy</v>
      </c>
      <c r="AH69" s="233">
        <f>IFERROR(__xludf.DUMMYFUNCTION("""COMPUTED_VALUE"""),48165.0)</f>
        <v>48165</v>
      </c>
      <c r="AI69" s="179">
        <f>IFERROR(__xludf.DUMMYFUNCTION("""COMPUTED_VALUE"""),0.0725)</f>
        <v>0.0725</v>
      </c>
      <c r="AJ69" s="235">
        <f>IFERROR(__xludf.DUMMYFUNCTION("""COMPUTED_VALUE"""),105.45)</f>
        <v>105.45</v>
      </c>
      <c r="AK69" s="179">
        <f>IFERROR(__xludf.DUMMYFUNCTION("""COMPUTED_VALUE"""),0.0685608358536344)</f>
        <v>0.06856083585</v>
      </c>
      <c r="AL69" s="179">
        <f>IFERROR(__xludf.DUMMYFUNCTION("""COMPUTED_VALUE"""),0.005699999999999999)</f>
        <v>0.0057</v>
      </c>
      <c r="AM69" s="186">
        <f>IFERROR(__xludf.DUMMYFUNCTION("""COMPUTED_VALUE"""),4.9532918745337415)</f>
        <v>4.953291875</v>
      </c>
      <c r="AN69" s="143" t="str">
        <f>IFERROR(__xludf.DUMMYFUNCTION("""COMPUTED_VALUE"""),"Semestral")</f>
        <v>Semestral</v>
      </c>
      <c r="AO69" s="143" t="str">
        <f>IFERROR(__xludf.DUMMYFUNCTION("""COMPUTED_VALUE"""),"Bullet")</f>
        <v>Bullet</v>
      </c>
      <c r="AP69" s="143" t="str">
        <f>IFERROR(__xludf.DUMMYFUNCTION("""COMPUTED_VALUE"""),"ARG")</f>
        <v>ARG</v>
      </c>
      <c r="AQ69" s="143">
        <f>IFERROR(__xludf.DUMMYFUNCTION("""COMPUTED_VALUE"""),50.0)</f>
        <v>50</v>
      </c>
      <c r="AR69" s="143">
        <f>IFERROR(__xludf.DUMMYFUNCTION("""COMPUTED_VALUE"""),36.0)</f>
        <v>36</v>
      </c>
      <c r="AS69" s="179">
        <f>IFERROR(__xludf.DUMMYFUNCTION("""COMPUTED_VALUE"""),1.0241882371724509)</f>
        <v>1.024188237</v>
      </c>
    </row>
    <row r="70">
      <c r="M70" s="143"/>
      <c r="N70" s="143"/>
      <c r="O70" s="173"/>
      <c r="P70" s="173"/>
      <c r="Q70" s="173"/>
      <c r="R70" s="187"/>
      <c r="S70" s="173"/>
      <c r="T70" s="173"/>
      <c r="U70" s="173"/>
      <c r="V70" s="173"/>
      <c r="W70" s="173"/>
      <c r="X70" s="188"/>
      <c r="Y70" s="186"/>
      <c r="Z70" s="143"/>
      <c r="AA70" s="143"/>
      <c r="AE70" s="143"/>
      <c r="AF70" s="143"/>
      <c r="AG70" s="143"/>
      <c r="AH70" s="143"/>
      <c r="AI70" s="143"/>
      <c r="AJ70" s="143"/>
      <c r="AK70" s="143"/>
      <c r="AL70" s="143"/>
      <c r="AM70" s="143"/>
      <c r="AN70" s="143"/>
      <c r="AO70" s="143"/>
      <c r="AP70" s="143"/>
      <c r="AQ70" s="143"/>
      <c r="AR70" s="143"/>
      <c r="AS70" s="143"/>
    </row>
    <row r="71"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E71" s="143"/>
      <c r="AF71" s="143"/>
      <c r="AG71" s="143"/>
      <c r="AH71" s="143"/>
      <c r="AI71" s="143"/>
      <c r="AJ71" s="143"/>
      <c r="AK71" s="143"/>
      <c r="AL71" s="143"/>
      <c r="AM71" s="143"/>
      <c r="AN71" s="143"/>
      <c r="AO71" s="143"/>
      <c r="AP71" s="143"/>
      <c r="AQ71" s="143"/>
      <c r="AR71" s="143"/>
      <c r="AS71" s="143"/>
    </row>
    <row r="72"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E72" s="143"/>
      <c r="AF72" s="143"/>
      <c r="AG72" s="143"/>
      <c r="AH72" s="143"/>
      <c r="AI72" s="143"/>
      <c r="AJ72" s="143"/>
      <c r="AK72" s="143"/>
      <c r="AL72" s="143"/>
      <c r="AM72" s="143"/>
      <c r="AN72" s="143"/>
      <c r="AO72" s="143"/>
      <c r="AP72" s="143"/>
      <c r="AQ72" s="143"/>
      <c r="AR72" s="143"/>
      <c r="AS72" s="143"/>
    </row>
    <row r="73"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E73" s="143"/>
      <c r="AF73" s="143"/>
      <c r="AG73" s="143"/>
      <c r="AH73" s="143"/>
      <c r="AI73" s="143"/>
      <c r="AJ73" s="143"/>
      <c r="AK73" s="143"/>
      <c r="AL73" s="143"/>
      <c r="AM73" s="143"/>
      <c r="AN73" s="143"/>
      <c r="AO73" s="143"/>
      <c r="AP73" s="143"/>
      <c r="AQ73" s="143"/>
      <c r="AR73" s="143"/>
      <c r="AS73" s="143"/>
    </row>
    <row r="74"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43"/>
      <c r="AO74" s="143"/>
      <c r="AP74" s="143"/>
      <c r="AQ74" s="143"/>
      <c r="AR74" s="143"/>
      <c r="AS74" s="143"/>
    </row>
    <row r="75"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E75" s="143"/>
      <c r="AF75" s="143"/>
      <c r="AG75" s="143"/>
      <c r="AH75" s="143"/>
      <c r="AI75" s="143"/>
      <c r="AJ75" s="143"/>
      <c r="AK75" s="143"/>
      <c r="AL75" s="143"/>
      <c r="AM75" s="143"/>
      <c r="AN75" s="143"/>
      <c r="AO75" s="143"/>
      <c r="AP75" s="143"/>
      <c r="AQ75" s="143"/>
      <c r="AR75" s="143"/>
      <c r="AS75" s="143"/>
    </row>
    <row r="76"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</row>
    <row r="77"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E77" s="143"/>
      <c r="AF77" s="143"/>
      <c r="AG77" s="143"/>
      <c r="AH77" s="143"/>
      <c r="AI77" s="143"/>
      <c r="AJ77" s="143"/>
      <c r="AK77" s="143"/>
      <c r="AL77" s="143"/>
      <c r="AM77" s="143"/>
      <c r="AN77" s="143"/>
      <c r="AO77" s="143"/>
      <c r="AP77" s="143"/>
      <c r="AQ77" s="143"/>
      <c r="AR77" s="143"/>
      <c r="AS77" s="143"/>
    </row>
    <row r="78"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E78" s="143"/>
      <c r="AF78" s="143"/>
      <c r="AG78" s="143"/>
      <c r="AH78" s="143"/>
      <c r="AI78" s="143"/>
      <c r="AJ78" s="143"/>
      <c r="AK78" s="143"/>
      <c r="AL78" s="143"/>
      <c r="AM78" s="143"/>
      <c r="AN78" s="143"/>
      <c r="AO78" s="143"/>
      <c r="AP78" s="143"/>
      <c r="AQ78" s="143"/>
      <c r="AR78" s="143"/>
      <c r="AS78" s="143"/>
    </row>
    <row r="79"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E79" s="143"/>
      <c r="AF79" s="143"/>
      <c r="AG79" s="143"/>
      <c r="AH79" s="143"/>
      <c r="AI79" s="143"/>
      <c r="AJ79" s="143"/>
      <c r="AK79" s="143"/>
      <c r="AL79" s="143"/>
      <c r="AM79" s="143"/>
      <c r="AN79" s="143"/>
      <c r="AO79" s="143"/>
      <c r="AP79" s="143"/>
      <c r="AQ79" s="143"/>
      <c r="AR79" s="143"/>
      <c r="AS79" s="143"/>
    </row>
    <row r="80"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E80" s="143"/>
      <c r="AF80" s="143"/>
      <c r="AG80" s="143"/>
      <c r="AH80" s="143"/>
      <c r="AI80" s="143"/>
      <c r="AJ80" s="143"/>
      <c r="AK80" s="143"/>
      <c r="AL80" s="143"/>
      <c r="AM80" s="143"/>
      <c r="AN80" s="143"/>
      <c r="AO80" s="143"/>
      <c r="AP80" s="143"/>
      <c r="AQ80" s="143"/>
      <c r="AR80" s="143"/>
      <c r="AS80" s="143"/>
    </row>
    <row r="81"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E81" s="143"/>
      <c r="AF81" s="143"/>
      <c r="AG81" s="143"/>
      <c r="AH81" s="143"/>
      <c r="AI81" s="143"/>
      <c r="AJ81" s="143"/>
      <c r="AK81" s="143"/>
      <c r="AL81" s="143"/>
      <c r="AM81" s="143"/>
      <c r="AN81" s="143"/>
      <c r="AO81" s="143"/>
      <c r="AP81" s="143"/>
      <c r="AQ81" s="143"/>
      <c r="AR81" s="143"/>
      <c r="AS81" s="143"/>
    </row>
    <row r="82"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E82" s="143"/>
      <c r="AF82" s="143"/>
      <c r="AG82" s="143"/>
      <c r="AH82" s="143"/>
      <c r="AI82" s="143"/>
      <c r="AJ82" s="143"/>
      <c r="AK82" s="143"/>
      <c r="AL82" s="143"/>
      <c r="AM82" s="143"/>
      <c r="AN82" s="143"/>
      <c r="AO82" s="143"/>
      <c r="AP82" s="143"/>
      <c r="AQ82" s="143"/>
      <c r="AR82" s="143"/>
      <c r="AS82" s="143"/>
    </row>
    <row r="83"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</row>
    <row r="84"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E84" s="143"/>
      <c r="AF84" s="143"/>
      <c r="AG84" s="143"/>
      <c r="AH84" s="143"/>
      <c r="AI84" s="143"/>
      <c r="AJ84" s="143"/>
      <c r="AK84" s="143"/>
      <c r="AL84" s="143"/>
      <c r="AM84" s="143"/>
      <c r="AN84" s="143"/>
      <c r="AO84" s="143"/>
      <c r="AP84" s="143"/>
      <c r="AQ84" s="143"/>
      <c r="AR84" s="143"/>
      <c r="AS84" s="143"/>
    </row>
    <row r="85"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E85" s="143"/>
      <c r="AF85" s="143"/>
      <c r="AG85" s="143"/>
      <c r="AH85" s="143"/>
      <c r="AI85" s="143"/>
      <c r="AJ85" s="143"/>
      <c r="AK85" s="143"/>
      <c r="AL85" s="143"/>
      <c r="AM85" s="143"/>
      <c r="AN85" s="143"/>
      <c r="AO85" s="143"/>
      <c r="AP85" s="143"/>
      <c r="AQ85" s="143"/>
      <c r="AR85" s="143"/>
      <c r="AS85" s="143"/>
    </row>
    <row r="86"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E86" s="143"/>
      <c r="AF86" s="143"/>
      <c r="AG86" s="143"/>
      <c r="AH86" s="143"/>
      <c r="AI86" s="143"/>
      <c r="AJ86" s="143"/>
      <c r="AK86" s="143"/>
      <c r="AL86" s="143"/>
      <c r="AM86" s="143"/>
      <c r="AN86" s="143"/>
      <c r="AO86" s="143"/>
      <c r="AP86" s="143"/>
      <c r="AQ86" s="143"/>
      <c r="AR86" s="143"/>
      <c r="AS86" s="143"/>
    </row>
    <row r="87"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43"/>
      <c r="AO87" s="143"/>
      <c r="AP87" s="143"/>
      <c r="AQ87" s="143"/>
      <c r="AR87" s="143"/>
      <c r="AS87" s="143"/>
    </row>
    <row r="88"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E88" s="143"/>
      <c r="AF88" s="143"/>
      <c r="AG88" s="143"/>
      <c r="AH88" s="143"/>
      <c r="AI88" s="143"/>
      <c r="AJ88" s="143"/>
      <c r="AK88" s="143"/>
      <c r="AL88" s="143"/>
      <c r="AM88" s="143"/>
      <c r="AN88" s="143"/>
      <c r="AO88" s="143"/>
      <c r="AP88" s="143"/>
      <c r="AQ88" s="143"/>
      <c r="AR88" s="143"/>
      <c r="AS88" s="143"/>
    </row>
    <row r="89"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E89" s="143"/>
      <c r="AF89" s="143"/>
      <c r="AG89" s="143"/>
      <c r="AH89" s="143"/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</row>
    <row r="90"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E90" s="143"/>
      <c r="AF90" s="143"/>
      <c r="AG90" s="143"/>
      <c r="AH90" s="143"/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</row>
    <row r="91"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E91" s="143"/>
      <c r="AF91" s="143"/>
      <c r="AG91" s="143"/>
      <c r="AH91" s="143"/>
      <c r="AI91" s="143"/>
      <c r="AJ91" s="143"/>
      <c r="AK91" s="143"/>
      <c r="AL91" s="143"/>
      <c r="AM91" s="143"/>
      <c r="AN91" s="143"/>
      <c r="AO91" s="143"/>
      <c r="AP91" s="143"/>
      <c r="AQ91" s="143"/>
      <c r="AR91" s="143"/>
      <c r="AS91" s="143"/>
    </row>
    <row r="92"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E92" s="143"/>
      <c r="AF92" s="143"/>
      <c r="AG92" s="143"/>
      <c r="AH92" s="143"/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</row>
    <row r="93"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E93" s="143"/>
      <c r="AF93" s="143"/>
      <c r="AG93" s="143"/>
      <c r="AH93" s="143"/>
      <c r="AI93" s="143"/>
      <c r="AJ93" s="143"/>
      <c r="AK93" s="143"/>
      <c r="AL93" s="143"/>
      <c r="AM93" s="143"/>
      <c r="AN93" s="143"/>
      <c r="AO93" s="143"/>
      <c r="AP93" s="143"/>
      <c r="AQ93" s="143"/>
      <c r="AR93" s="143"/>
      <c r="AS93" s="143"/>
    </row>
    <row r="94"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43"/>
      <c r="AO94" s="143"/>
      <c r="AP94" s="143"/>
      <c r="AQ94" s="143"/>
      <c r="AR94" s="143"/>
      <c r="AS94" s="143"/>
    </row>
    <row r="95"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E95" s="143"/>
      <c r="AF95" s="143"/>
      <c r="AG95" s="143"/>
      <c r="AH95" s="143"/>
      <c r="AI95" s="143"/>
      <c r="AJ95" s="143"/>
      <c r="AK95" s="143"/>
      <c r="AL95" s="143"/>
      <c r="AM95" s="143"/>
      <c r="AN95" s="143"/>
      <c r="AO95" s="143"/>
      <c r="AP95" s="143"/>
      <c r="AQ95" s="143"/>
      <c r="AR95" s="143"/>
      <c r="AS95" s="143"/>
    </row>
    <row r="96"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3"/>
      <c r="AO96" s="143"/>
      <c r="AP96" s="143"/>
      <c r="AQ96" s="143"/>
      <c r="AR96" s="143"/>
      <c r="AS96" s="143"/>
    </row>
    <row r="97"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E97" s="143"/>
      <c r="AF97" s="143"/>
      <c r="AG97" s="143"/>
      <c r="AH97" s="143"/>
      <c r="AI97" s="143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</row>
    <row r="98"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E98" s="143"/>
      <c r="AF98" s="143"/>
      <c r="AG98" s="143"/>
      <c r="AH98" s="143"/>
      <c r="AI98" s="143"/>
      <c r="AJ98" s="143"/>
      <c r="AK98" s="143"/>
      <c r="AL98" s="143"/>
      <c r="AM98" s="143"/>
      <c r="AN98" s="143"/>
      <c r="AO98" s="143"/>
      <c r="AP98" s="143"/>
      <c r="AQ98" s="143"/>
      <c r="AR98" s="143"/>
      <c r="AS98" s="143"/>
    </row>
    <row r="99"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E99" s="143"/>
      <c r="AF99" s="143"/>
      <c r="AG99" s="143"/>
      <c r="AH99" s="143"/>
      <c r="AI99" s="143"/>
      <c r="AJ99" s="143"/>
      <c r="AK99" s="143"/>
      <c r="AL99" s="143"/>
      <c r="AM99" s="143"/>
      <c r="AN99" s="143"/>
      <c r="AO99" s="143"/>
      <c r="AP99" s="143"/>
      <c r="AQ99" s="143"/>
      <c r="AR99" s="143"/>
      <c r="AS99" s="143"/>
    </row>
    <row r="100"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E100" s="143"/>
      <c r="AF100" s="143"/>
      <c r="AG100" s="143"/>
      <c r="AH100" s="143"/>
      <c r="AI100" s="143"/>
      <c r="AJ100" s="143"/>
      <c r="AK100" s="143"/>
      <c r="AL100" s="143"/>
      <c r="AM100" s="143"/>
      <c r="AN100" s="143"/>
      <c r="AO100" s="143"/>
      <c r="AP100" s="143"/>
      <c r="AQ100" s="143"/>
      <c r="AR100" s="143"/>
      <c r="AS100" s="143"/>
    </row>
    <row r="101"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E101" s="143"/>
      <c r="AF101" s="143"/>
      <c r="AG101" s="143"/>
      <c r="AH101" s="143"/>
      <c r="AI101" s="143"/>
      <c r="AJ101" s="143"/>
      <c r="AK101" s="143"/>
      <c r="AL101" s="143"/>
      <c r="AM101" s="143"/>
      <c r="AN101" s="143"/>
      <c r="AO101" s="143"/>
      <c r="AP101" s="143"/>
      <c r="AQ101" s="143"/>
      <c r="AR101" s="143"/>
      <c r="AS101" s="143"/>
    </row>
    <row r="102"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E102" s="143"/>
      <c r="AF102" s="143"/>
      <c r="AG102" s="143"/>
      <c r="AH102" s="143"/>
      <c r="AI102" s="143"/>
      <c r="AJ102" s="143"/>
      <c r="AK102" s="143"/>
      <c r="AL102" s="143"/>
      <c r="AM102" s="143"/>
      <c r="AN102" s="143"/>
      <c r="AO102" s="143"/>
      <c r="AP102" s="143"/>
      <c r="AQ102" s="143"/>
      <c r="AR102" s="143"/>
      <c r="AS102" s="143"/>
    </row>
    <row r="103"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E103" s="143"/>
      <c r="AF103" s="143"/>
      <c r="AG103" s="143"/>
      <c r="AH103" s="143"/>
      <c r="AI103" s="143"/>
      <c r="AJ103" s="143"/>
      <c r="AK103" s="143"/>
      <c r="AL103" s="143"/>
      <c r="AM103" s="143"/>
      <c r="AN103" s="143"/>
      <c r="AO103" s="143"/>
      <c r="AP103" s="143"/>
      <c r="AQ103" s="143"/>
      <c r="AR103" s="143"/>
      <c r="AS103" s="143"/>
    </row>
    <row r="104"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E104" s="143"/>
      <c r="AF104" s="143"/>
      <c r="AG104" s="143"/>
      <c r="AH104" s="143"/>
      <c r="AI104" s="143"/>
      <c r="AJ104" s="143"/>
      <c r="AK104" s="143"/>
      <c r="AL104" s="143"/>
      <c r="AM104" s="143"/>
      <c r="AN104" s="143"/>
      <c r="AO104" s="143"/>
      <c r="AP104" s="143"/>
      <c r="AQ104" s="143"/>
      <c r="AR104" s="143"/>
      <c r="AS104" s="143"/>
    </row>
    <row r="105"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E105" s="143"/>
      <c r="AF105" s="143"/>
      <c r="AG105" s="143"/>
      <c r="AH105" s="143"/>
      <c r="AI105" s="143"/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</row>
    <row r="106"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E106" s="143"/>
      <c r="AF106" s="143"/>
      <c r="AG106" s="143"/>
      <c r="AH106" s="143"/>
      <c r="AI106" s="143"/>
      <c r="AJ106" s="143"/>
      <c r="AK106" s="143"/>
      <c r="AL106" s="143"/>
      <c r="AM106" s="143"/>
      <c r="AN106" s="143"/>
      <c r="AO106" s="143"/>
      <c r="AP106" s="143"/>
      <c r="AQ106" s="143"/>
      <c r="AR106" s="143"/>
      <c r="AS106" s="143"/>
    </row>
    <row r="107"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E107" s="143"/>
      <c r="AF107" s="143"/>
      <c r="AG107" s="143"/>
      <c r="AH107" s="143"/>
      <c r="AI107" s="143"/>
      <c r="AJ107" s="143"/>
      <c r="AK107" s="143"/>
      <c r="AL107" s="143"/>
      <c r="AM107" s="143"/>
      <c r="AN107" s="143"/>
      <c r="AO107" s="143"/>
      <c r="AP107" s="143"/>
      <c r="AQ107" s="143"/>
      <c r="AR107" s="143"/>
      <c r="AS107" s="143"/>
    </row>
    <row r="108"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</row>
    <row r="109"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E109" s="143"/>
      <c r="AF109" s="143"/>
      <c r="AG109" s="143"/>
      <c r="AH109" s="143"/>
      <c r="AI109" s="143"/>
      <c r="AJ109" s="143"/>
      <c r="AK109" s="143"/>
      <c r="AL109" s="143"/>
      <c r="AM109" s="143"/>
      <c r="AN109" s="143"/>
      <c r="AO109" s="143"/>
      <c r="AP109" s="143"/>
      <c r="AQ109" s="143"/>
      <c r="AR109" s="143"/>
      <c r="AS109" s="143"/>
    </row>
    <row r="110"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E110" s="143"/>
      <c r="AF110" s="143"/>
      <c r="AG110" s="143"/>
      <c r="AH110" s="143"/>
      <c r="AI110" s="143"/>
      <c r="AJ110" s="143"/>
      <c r="AK110" s="143"/>
      <c r="AL110" s="143"/>
      <c r="AM110" s="143"/>
      <c r="AN110" s="143"/>
      <c r="AO110" s="143"/>
      <c r="AP110" s="143"/>
      <c r="AQ110" s="143"/>
      <c r="AR110" s="143"/>
      <c r="AS110" s="143"/>
    </row>
    <row r="111"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E111" s="143"/>
      <c r="AF111" s="143"/>
      <c r="AG111" s="143"/>
      <c r="AH111" s="143"/>
      <c r="AI111" s="143"/>
      <c r="AJ111" s="143"/>
      <c r="AK111" s="143"/>
      <c r="AL111" s="143"/>
      <c r="AM111" s="143"/>
      <c r="AN111" s="143"/>
      <c r="AO111" s="143"/>
      <c r="AP111" s="143"/>
      <c r="AQ111" s="143"/>
      <c r="AR111" s="143"/>
      <c r="AS111" s="143"/>
    </row>
    <row r="112"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E112" s="143"/>
      <c r="AF112" s="143"/>
      <c r="AG112" s="143"/>
      <c r="AH112" s="143"/>
      <c r="AI112" s="143"/>
      <c r="AJ112" s="143"/>
      <c r="AK112" s="143"/>
      <c r="AL112" s="143"/>
      <c r="AM112" s="143"/>
      <c r="AN112" s="143"/>
      <c r="AO112" s="143"/>
      <c r="AP112" s="143"/>
      <c r="AQ112" s="143"/>
      <c r="AR112" s="143"/>
      <c r="AS112" s="143"/>
    </row>
    <row r="113"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E113" s="143"/>
      <c r="AF113" s="143"/>
      <c r="AG113" s="143"/>
      <c r="AH113" s="143"/>
      <c r="AI113" s="143"/>
      <c r="AJ113" s="143"/>
      <c r="AK113" s="143"/>
      <c r="AL113" s="143"/>
      <c r="AM113" s="143"/>
      <c r="AN113" s="143"/>
      <c r="AO113" s="143"/>
      <c r="AP113" s="143"/>
      <c r="AQ113" s="143"/>
      <c r="AR113" s="143"/>
      <c r="AS113" s="143"/>
    </row>
    <row r="114"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E114" s="143"/>
      <c r="AF114" s="143"/>
      <c r="AG114" s="143"/>
      <c r="AH114" s="143"/>
      <c r="AI114" s="143"/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</row>
    <row r="115"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E115" s="143"/>
      <c r="AF115" s="143"/>
      <c r="AG115" s="143"/>
      <c r="AH115" s="143"/>
      <c r="AI115" s="143"/>
      <c r="AJ115" s="143"/>
      <c r="AK115" s="143"/>
      <c r="AL115" s="143"/>
      <c r="AM115" s="143"/>
      <c r="AN115" s="143"/>
      <c r="AO115" s="143"/>
      <c r="AP115" s="143"/>
      <c r="AQ115" s="143"/>
      <c r="AR115" s="143"/>
      <c r="AS115" s="143"/>
    </row>
    <row r="116"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E116" s="143"/>
      <c r="AF116" s="143"/>
      <c r="AG116" s="143"/>
      <c r="AH116" s="143"/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</row>
    <row r="117"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E117" s="143"/>
      <c r="AF117" s="143"/>
      <c r="AG117" s="143"/>
      <c r="AH117" s="143"/>
      <c r="AI117" s="143"/>
      <c r="AJ117" s="143"/>
      <c r="AK117" s="143"/>
      <c r="AL117" s="143"/>
      <c r="AM117" s="143"/>
      <c r="AN117" s="143"/>
      <c r="AO117" s="143"/>
      <c r="AP117" s="143"/>
      <c r="AQ117" s="143"/>
      <c r="AR117" s="143"/>
      <c r="AS117" s="143"/>
    </row>
    <row r="118"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E118" s="143"/>
      <c r="AF118" s="143"/>
      <c r="AG118" s="143"/>
      <c r="AH118" s="143"/>
      <c r="AI118" s="143"/>
      <c r="AJ118" s="143"/>
      <c r="AK118" s="143"/>
      <c r="AL118" s="143"/>
      <c r="AM118" s="143"/>
      <c r="AN118" s="143"/>
      <c r="AO118" s="143"/>
      <c r="AP118" s="143"/>
      <c r="AQ118" s="143"/>
      <c r="AR118" s="143"/>
      <c r="AS118" s="143"/>
    </row>
    <row r="119"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E119" s="143"/>
      <c r="AF119" s="143"/>
      <c r="AG119" s="143"/>
      <c r="AH119" s="143"/>
      <c r="AI119" s="143"/>
      <c r="AJ119" s="143"/>
      <c r="AK119" s="143"/>
      <c r="AL119" s="143"/>
      <c r="AM119" s="143"/>
      <c r="AN119" s="143"/>
      <c r="AO119" s="143"/>
      <c r="AP119" s="143"/>
      <c r="AQ119" s="143"/>
      <c r="AR119" s="143"/>
      <c r="AS119" s="143"/>
    </row>
    <row r="120"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E120" s="143"/>
      <c r="AF120" s="143"/>
      <c r="AG120" s="143"/>
      <c r="AH120" s="143"/>
      <c r="AI120" s="143"/>
      <c r="AJ120" s="143"/>
      <c r="AK120" s="143"/>
      <c r="AL120" s="143"/>
      <c r="AM120" s="143"/>
      <c r="AN120" s="143"/>
      <c r="AO120" s="143"/>
      <c r="AP120" s="143"/>
      <c r="AQ120" s="143"/>
      <c r="AR120" s="143"/>
      <c r="AS120" s="143"/>
    </row>
    <row r="121"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E121" s="143"/>
      <c r="AF121" s="143"/>
      <c r="AG121" s="143"/>
      <c r="AH121" s="143"/>
      <c r="AI121" s="143"/>
      <c r="AJ121" s="143"/>
      <c r="AK121" s="143"/>
      <c r="AL121" s="143"/>
      <c r="AM121" s="143"/>
      <c r="AN121" s="143"/>
      <c r="AO121" s="143"/>
      <c r="AP121" s="143"/>
      <c r="AQ121" s="143"/>
      <c r="AR121" s="143"/>
      <c r="AS121" s="143"/>
    </row>
    <row r="122"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E122" s="143"/>
      <c r="AF122" s="143"/>
      <c r="AG122" s="143"/>
      <c r="AH122" s="143"/>
      <c r="AI122" s="143"/>
      <c r="AJ122" s="143"/>
      <c r="AK122" s="143"/>
      <c r="AL122" s="143"/>
      <c r="AM122" s="143"/>
      <c r="AN122" s="143"/>
      <c r="AO122" s="143"/>
      <c r="AP122" s="143"/>
      <c r="AQ122" s="143"/>
      <c r="AR122" s="143"/>
      <c r="AS122" s="143"/>
    </row>
    <row r="123"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E123" s="143"/>
      <c r="AF123" s="143"/>
      <c r="AG123" s="143"/>
      <c r="AH123" s="143"/>
      <c r="AI123" s="143"/>
      <c r="AJ123" s="143"/>
      <c r="AK123" s="143"/>
      <c r="AL123" s="143"/>
      <c r="AM123" s="143"/>
      <c r="AN123" s="143"/>
      <c r="AO123" s="143"/>
      <c r="AP123" s="143"/>
      <c r="AQ123" s="143"/>
      <c r="AR123" s="143"/>
      <c r="AS123" s="143"/>
    </row>
    <row r="124"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E124" s="143"/>
      <c r="AF124" s="143"/>
      <c r="AG124" s="143"/>
      <c r="AH124" s="143"/>
      <c r="AI124" s="143"/>
      <c r="AJ124" s="143"/>
      <c r="AK124" s="143"/>
      <c r="AL124" s="143"/>
      <c r="AM124" s="143"/>
      <c r="AN124" s="143"/>
      <c r="AO124" s="143"/>
      <c r="AP124" s="143"/>
      <c r="AQ124" s="143"/>
      <c r="AR124" s="143"/>
      <c r="AS124" s="143"/>
    </row>
    <row r="125"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E125" s="143"/>
      <c r="AF125" s="143"/>
      <c r="AG125" s="143"/>
      <c r="AH125" s="143"/>
      <c r="AI125" s="143"/>
      <c r="AJ125" s="143"/>
      <c r="AK125" s="143"/>
      <c r="AL125" s="143"/>
      <c r="AM125" s="143"/>
      <c r="AN125" s="143"/>
      <c r="AO125" s="143"/>
      <c r="AP125" s="143"/>
      <c r="AQ125" s="143"/>
      <c r="AR125" s="143"/>
      <c r="AS125" s="143"/>
    </row>
    <row r="126"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E126" s="143"/>
      <c r="AF126" s="143"/>
      <c r="AG126" s="143"/>
      <c r="AH126" s="143"/>
      <c r="AI126" s="143"/>
      <c r="AJ126" s="143"/>
      <c r="AK126" s="143"/>
      <c r="AL126" s="143"/>
      <c r="AM126" s="143"/>
      <c r="AN126" s="143"/>
      <c r="AO126" s="143"/>
      <c r="AP126" s="143"/>
      <c r="AQ126" s="143"/>
      <c r="AR126" s="143"/>
      <c r="AS126" s="143"/>
    </row>
    <row r="127"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E127" s="143"/>
      <c r="AF127" s="143"/>
      <c r="AG127" s="143"/>
      <c r="AH127" s="143"/>
      <c r="AI127" s="143"/>
      <c r="AJ127" s="143"/>
      <c r="AK127" s="143"/>
      <c r="AL127" s="143"/>
      <c r="AM127" s="143"/>
      <c r="AN127" s="143"/>
      <c r="AO127" s="143"/>
      <c r="AP127" s="143"/>
      <c r="AQ127" s="143"/>
      <c r="AR127" s="143"/>
      <c r="AS127" s="143"/>
    </row>
    <row r="128"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E128" s="143"/>
      <c r="AF128" s="143"/>
      <c r="AG128" s="143"/>
      <c r="AH128" s="143"/>
      <c r="AI128" s="143"/>
      <c r="AJ128" s="143"/>
      <c r="AK128" s="143"/>
      <c r="AL128" s="143"/>
      <c r="AM128" s="143"/>
      <c r="AN128" s="143"/>
      <c r="AO128" s="143"/>
      <c r="AP128" s="143"/>
      <c r="AQ128" s="143"/>
      <c r="AR128" s="143"/>
      <c r="AS128" s="143"/>
    </row>
    <row r="129"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E129" s="143"/>
      <c r="AF129" s="143"/>
      <c r="AG129" s="143"/>
      <c r="AH129" s="143"/>
      <c r="AI129" s="143"/>
      <c r="AJ129" s="143"/>
      <c r="AK129" s="143"/>
      <c r="AL129" s="143"/>
      <c r="AM129" s="143"/>
      <c r="AN129" s="143"/>
      <c r="AO129" s="143"/>
      <c r="AP129" s="143"/>
      <c r="AQ129" s="143"/>
      <c r="AR129" s="143"/>
      <c r="AS129" s="143"/>
    </row>
    <row r="130"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E130" s="143"/>
      <c r="AF130" s="143"/>
      <c r="AG130" s="143"/>
      <c r="AH130" s="143"/>
      <c r="AI130" s="143"/>
      <c r="AJ130" s="143"/>
      <c r="AK130" s="143"/>
      <c r="AL130" s="143"/>
      <c r="AM130" s="143"/>
      <c r="AN130" s="143"/>
      <c r="AO130" s="143"/>
      <c r="AP130" s="143"/>
      <c r="AQ130" s="143"/>
      <c r="AR130" s="143"/>
      <c r="AS130" s="143"/>
    </row>
    <row r="131"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E131" s="143"/>
      <c r="AF131" s="143"/>
      <c r="AG131" s="143"/>
      <c r="AH131" s="143"/>
      <c r="AI131" s="143"/>
      <c r="AJ131" s="143"/>
      <c r="AK131" s="143"/>
      <c r="AL131" s="143"/>
      <c r="AM131" s="143"/>
      <c r="AN131" s="143"/>
      <c r="AO131" s="143"/>
      <c r="AP131" s="143"/>
      <c r="AQ131" s="143"/>
      <c r="AR131" s="143"/>
      <c r="AS131" s="143"/>
    </row>
    <row r="132"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E132" s="143"/>
      <c r="AF132" s="143"/>
      <c r="AG132" s="143"/>
      <c r="AH132" s="143"/>
      <c r="AI132" s="143"/>
      <c r="AJ132" s="143"/>
      <c r="AK132" s="143"/>
      <c r="AL132" s="143"/>
      <c r="AM132" s="143"/>
      <c r="AN132" s="143"/>
      <c r="AO132" s="143"/>
      <c r="AP132" s="143"/>
      <c r="AQ132" s="143"/>
      <c r="AR132" s="143"/>
      <c r="AS132" s="143"/>
    </row>
    <row r="133"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E133" s="143"/>
      <c r="AF133" s="143"/>
      <c r="AG133" s="143"/>
      <c r="AH133" s="143"/>
      <c r="AI133" s="143"/>
      <c r="AJ133" s="143"/>
      <c r="AK133" s="143"/>
      <c r="AL133" s="143"/>
      <c r="AM133" s="143"/>
      <c r="AN133" s="143"/>
      <c r="AO133" s="143"/>
      <c r="AP133" s="143"/>
      <c r="AQ133" s="143"/>
      <c r="AR133" s="143"/>
      <c r="AS133" s="143"/>
    </row>
    <row r="134"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E134" s="143"/>
      <c r="AF134" s="143"/>
      <c r="AG134" s="143"/>
      <c r="AH134" s="143"/>
      <c r="AI134" s="143"/>
      <c r="AJ134" s="143"/>
      <c r="AK134" s="143"/>
      <c r="AL134" s="143"/>
      <c r="AM134" s="143"/>
      <c r="AN134" s="143"/>
      <c r="AO134" s="143"/>
      <c r="AP134" s="143"/>
      <c r="AQ134" s="143"/>
      <c r="AR134" s="143"/>
      <c r="AS134" s="143"/>
    </row>
    <row r="135"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E135" s="143"/>
      <c r="AF135" s="143"/>
      <c r="AG135" s="143"/>
      <c r="AH135" s="143"/>
      <c r="AI135" s="143"/>
      <c r="AJ135" s="143"/>
      <c r="AK135" s="143"/>
      <c r="AL135" s="143"/>
      <c r="AM135" s="143"/>
      <c r="AN135" s="143"/>
      <c r="AO135" s="143"/>
      <c r="AP135" s="143"/>
      <c r="AQ135" s="143"/>
      <c r="AR135" s="143"/>
      <c r="AS135" s="143"/>
    </row>
    <row r="136"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E136" s="143"/>
      <c r="AF136" s="143"/>
      <c r="AG136" s="143"/>
      <c r="AH136" s="143"/>
      <c r="AI136" s="143"/>
      <c r="AJ136" s="143"/>
      <c r="AK136" s="143"/>
      <c r="AL136" s="143"/>
      <c r="AM136" s="143"/>
      <c r="AN136" s="143"/>
      <c r="AO136" s="143"/>
      <c r="AP136" s="143"/>
      <c r="AQ136" s="143"/>
      <c r="AR136" s="143"/>
      <c r="AS136" s="143"/>
    </row>
    <row r="137"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E137" s="143"/>
      <c r="AF137" s="143"/>
      <c r="AG137" s="143"/>
      <c r="AH137" s="143"/>
      <c r="AI137" s="143"/>
      <c r="AJ137" s="143"/>
      <c r="AK137" s="143"/>
      <c r="AL137" s="143"/>
      <c r="AM137" s="143"/>
      <c r="AN137" s="143"/>
      <c r="AO137" s="143"/>
      <c r="AP137" s="143"/>
      <c r="AQ137" s="143"/>
      <c r="AR137" s="143"/>
      <c r="AS137" s="143"/>
    </row>
    <row r="138"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E138" s="143"/>
      <c r="AF138" s="143"/>
      <c r="AG138" s="143"/>
      <c r="AH138" s="143"/>
      <c r="AI138" s="143"/>
      <c r="AJ138" s="143"/>
      <c r="AK138" s="143"/>
      <c r="AL138" s="143"/>
      <c r="AM138" s="143"/>
      <c r="AN138" s="143"/>
      <c r="AO138" s="143"/>
      <c r="AP138" s="143"/>
      <c r="AQ138" s="143"/>
      <c r="AR138" s="143"/>
      <c r="AS138" s="143"/>
    </row>
    <row r="139"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E139" s="143"/>
      <c r="AF139" s="143"/>
      <c r="AG139" s="143"/>
      <c r="AH139" s="143"/>
      <c r="AI139" s="143"/>
      <c r="AJ139" s="143"/>
      <c r="AK139" s="143"/>
      <c r="AL139" s="143"/>
      <c r="AM139" s="143"/>
      <c r="AN139" s="143"/>
      <c r="AO139" s="143"/>
      <c r="AP139" s="143"/>
      <c r="AQ139" s="143"/>
      <c r="AR139" s="143"/>
      <c r="AS139" s="143"/>
    </row>
    <row r="140"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E140" s="143"/>
      <c r="AF140" s="143"/>
      <c r="AG140" s="143"/>
      <c r="AH140" s="143"/>
      <c r="AI140" s="143"/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</row>
    <row r="141"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E141" s="143"/>
      <c r="AF141" s="143"/>
      <c r="AG141" s="143"/>
      <c r="AH141" s="143"/>
      <c r="AI141" s="143"/>
      <c r="AJ141" s="143"/>
      <c r="AK141" s="143"/>
      <c r="AL141" s="143"/>
      <c r="AM141" s="143"/>
      <c r="AN141" s="143"/>
      <c r="AO141" s="143"/>
      <c r="AP141" s="143"/>
      <c r="AQ141" s="143"/>
      <c r="AR141" s="143"/>
      <c r="AS141" s="143"/>
    </row>
    <row r="142"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E142" s="143"/>
      <c r="AF142" s="143"/>
      <c r="AG142" s="143"/>
      <c r="AH142" s="143"/>
      <c r="AI142" s="143"/>
      <c r="AJ142" s="143"/>
      <c r="AK142" s="143"/>
      <c r="AL142" s="143"/>
      <c r="AM142" s="143"/>
      <c r="AN142" s="143"/>
      <c r="AO142" s="143"/>
      <c r="AP142" s="143"/>
      <c r="AQ142" s="143"/>
      <c r="AR142" s="143"/>
      <c r="AS142" s="143"/>
    </row>
    <row r="143"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E143" s="143"/>
      <c r="AF143" s="143"/>
      <c r="AG143" s="143"/>
      <c r="AH143" s="143"/>
      <c r="AI143" s="143"/>
      <c r="AJ143" s="143"/>
      <c r="AK143" s="143"/>
      <c r="AL143" s="143"/>
      <c r="AM143" s="143"/>
      <c r="AN143" s="143"/>
      <c r="AO143" s="143"/>
      <c r="AP143" s="143"/>
      <c r="AQ143" s="143"/>
      <c r="AR143" s="143"/>
      <c r="AS143" s="143"/>
    </row>
    <row r="144"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E144" s="143"/>
      <c r="AF144" s="143"/>
      <c r="AG144" s="143"/>
      <c r="AH144" s="143"/>
      <c r="AI144" s="143"/>
      <c r="AJ144" s="143"/>
      <c r="AK144" s="143"/>
      <c r="AL144" s="143"/>
      <c r="AM144" s="143"/>
      <c r="AN144" s="143"/>
      <c r="AO144" s="143"/>
      <c r="AP144" s="143"/>
      <c r="AQ144" s="143"/>
      <c r="AR144" s="143"/>
      <c r="AS144" s="143"/>
    </row>
    <row r="145"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E145" s="143"/>
      <c r="AF145" s="143"/>
      <c r="AG145" s="143"/>
      <c r="AH145" s="143"/>
      <c r="AI145" s="143"/>
      <c r="AJ145" s="143"/>
      <c r="AK145" s="143"/>
      <c r="AL145" s="143"/>
      <c r="AM145" s="143"/>
      <c r="AN145" s="143"/>
      <c r="AO145" s="143"/>
      <c r="AP145" s="143"/>
      <c r="AQ145" s="143"/>
      <c r="AR145" s="143"/>
      <c r="AS145" s="143"/>
    </row>
    <row r="146"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E146" s="143"/>
      <c r="AF146" s="143"/>
      <c r="AG146" s="143"/>
      <c r="AH146" s="143"/>
      <c r="AI146" s="143"/>
      <c r="AJ146" s="143"/>
      <c r="AK146" s="143"/>
      <c r="AL146" s="143"/>
      <c r="AM146" s="143"/>
      <c r="AN146" s="143"/>
      <c r="AO146" s="143"/>
      <c r="AP146" s="143"/>
      <c r="AQ146" s="143"/>
      <c r="AR146" s="143"/>
      <c r="AS146" s="143"/>
    </row>
    <row r="147"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E147" s="143"/>
      <c r="AF147" s="143"/>
      <c r="AG147" s="143"/>
      <c r="AH147" s="143"/>
      <c r="AI147" s="143"/>
      <c r="AJ147" s="143"/>
      <c r="AK147" s="143"/>
      <c r="AL147" s="143"/>
      <c r="AM147" s="143"/>
      <c r="AN147" s="143"/>
      <c r="AO147" s="143"/>
      <c r="AP147" s="143"/>
      <c r="AQ147" s="143"/>
      <c r="AR147" s="143"/>
      <c r="AS147" s="143"/>
    </row>
    <row r="148"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E148" s="143"/>
      <c r="AF148" s="143"/>
      <c r="AG148" s="143"/>
      <c r="AH148" s="143"/>
      <c r="AI148" s="143"/>
      <c r="AJ148" s="143"/>
      <c r="AK148" s="143"/>
      <c r="AL148" s="143"/>
      <c r="AM148" s="143"/>
      <c r="AN148" s="143"/>
      <c r="AO148" s="143"/>
      <c r="AP148" s="143"/>
      <c r="AQ148" s="143"/>
      <c r="AR148" s="143"/>
      <c r="AS148" s="143"/>
    </row>
    <row r="149"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E149" s="143"/>
      <c r="AF149" s="143"/>
      <c r="AG149" s="143"/>
      <c r="AH149" s="143"/>
      <c r="AI149" s="143"/>
      <c r="AJ149" s="143"/>
      <c r="AK149" s="143"/>
      <c r="AL149" s="143"/>
      <c r="AM149" s="143"/>
      <c r="AN149" s="143"/>
      <c r="AO149" s="143"/>
      <c r="AP149" s="143"/>
      <c r="AQ149" s="143"/>
      <c r="AR149" s="143"/>
      <c r="AS149" s="143"/>
    </row>
    <row r="150"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E150" s="143"/>
      <c r="AF150" s="143"/>
      <c r="AG150" s="143"/>
      <c r="AH150" s="143"/>
      <c r="AI150" s="143"/>
      <c r="AJ150" s="143"/>
      <c r="AK150" s="143"/>
      <c r="AL150" s="143"/>
      <c r="AM150" s="143"/>
      <c r="AN150" s="143"/>
      <c r="AO150" s="143"/>
      <c r="AP150" s="143"/>
      <c r="AQ150" s="143"/>
      <c r="AR150" s="143"/>
      <c r="AS150" s="143"/>
    </row>
    <row r="151"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E151" s="143"/>
      <c r="AF151" s="143"/>
      <c r="AG151" s="143"/>
      <c r="AH151" s="143"/>
      <c r="AI151" s="143"/>
      <c r="AJ151" s="143"/>
      <c r="AK151" s="143"/>
      <c r="AL151" s="143"/>
      <c r="AM151" s="143"/>
      <c r="AN151" s="143"/>
      <c r="AO151" s="143"/>
      <c r="AP151" s="143"/>
      <c r="AQ151" s="143"/>
      <c r="AR151" s="143"/>
      <c r="AS151" s="143"/>
    </row>
    <row r="152"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E152" s="143"/>
      <c r="AF152" s="143"/>
      <c r="AG152" s="143"/>
      <c r="AH152" s="143"/>
      <c r="AI152" s="143"/>
      <c r="AJ152" s="143"/>
      <c r="AK152" s="143"/>
      <c r="AL152" s="143"/>
      <c r="AM152" s="143"/>
      <c r="AN152" s="143"/>
      <c r="AO152" s="143"/>
      <c r="AP152" s="143"/>
      <c r="AQ152" s="143"/>
      <c r="AR152" s="143"/>
      <c r="AS152" s="143"/>
    </row>
    <row r="153"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E153" s="143"/>
      <c r="AF153" s="143"/>
      <c r="AG153" s="143"/>
      <c r="AH153" s="143"/>
      <c r="AI153" s="143"/>
      <c r="AJ153" s="143"/>
      <c r="AK153" s="143"/>
      <c r="AL153" s="143"/>
      <c r="AM153" s="143"/>
      <c r="AN153" s="143"/>
      <c r="AO153" s="143"/>
      <c r="AP153" s="143"/>
      <c r="AQ153" s="143"/>
      <c r="AR153" s="143"/>
      <c r="AS153" s="143"/>
    </row>
    <row r="154"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E154" s="143"/>
      <c r="AF154" s="143"/>
      <c r="AG154" s="143"/>
      <c r="AH154" s="143"/>
      <c r="AI154" s="143"/>
      <c r="AJ154" s="143"/>
      <c r="AK154" s="143"/>
      <c r="AL154" s="143"/>
      <c r="AM154" s="143"/>
      <c r="AN154" s="143"/>
      <c r="AO154" s="143"/>
      <c r="AP154" s="143"/>
      <c r="AQ154" s="143"/>
      <c r="AR154" s="143"/>
      <c r="AS154" s="143"/>
    </row>
    <row r="155"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E155" s="143"/>
      <c r="AF155" s="143"/>
      <c r="AG155" s="143"/>
      <c r="AH155" s="143"/>
      <c r="AI155" s="143"/>
      <c r="AJ155" s="143"/>
      <c r="AK155" s="143"/>
      <c r="AL155" s="143"/>
      <c r="AM155" s="143"/>
      <c r="AN155" s="143"/>
      <c r="AO155" s="143"/>
      <c r="AP155" s="143"/>
      <c r="AQ155" s="143"/>
      <c r="AR155" s="143"/>
      <c r="AS155" s="143"/>
    </row>
    <row r="156"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E156" s="143"/>
      <c r="AF156" s="143"/>
      <c r="AG156" s="143"/>
      <c r="AH156" s="143"/>
      <c r="AI156" s="143"/>
      <c r="AJ156" s="143"/>
      <c r="AK156" s="143"/>
      <c r="AL156" s="143"/>
      <c r="AM156" s="143"/>
      <c r="AN156" s="143"/>
      <c r="AO156" s="143"/>
      <c r="AP156" s="143"/>
      <c r="AQ156" s="143"/>
      <c r="AR156" s="143"/>
      <c r="AS156" s="143"/>
    </row>
    <row r="157"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E157" s="143"/>
      <c r="AF157" s="143"/>
      <c r="AG157" s="143"/>
      <c r="AH157" s="143"/>
      <c r="AI157" s="143"/>
      <c r="AJ157" s="143"/>
      <c r="AK157" s="143"/>
      <c r="AL157" s="143"/>
      <c r="AM157" s="143"/>
      <c r="AN157" s="143"/>
      <c r="AO157" s="143"/>
      <c r="AP157" s="143"/>
      <c r="AQ157" s="143"/>
      <c r="AR157" s="143"/>
      <c r="AS157" s="143"/>
    </row>
    <row r="158"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E158" s="143"/>
      <c r="AF158" s="143"/>
      <c r="AG158" s="143"/>
      <c r="AH158" s="143"/>
      <c r="AI158" s="143"/>
      <c r="AJ158" s="143"/>
      <c r="AK158" s="143"/>
      <c r="AL158" s="143"/>
      <c r="AM158" s="143"/>
      <c r="AN158" s="143"/>
      <c r="AO158" s="143"/>
      <c r="AP158" s="143"/>
      <c r="AQ158" s="143"/>
      <c r="AR158" s="143"/>
      <c r="AS158" s="143"/>
    </row>
    <row r="159"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E159" s="143"/>
      <c r="AF159" s="143"/>
      <c r="AG159" s="143"/>
      <c r="AH159" s="143"/>
      <c r="AI159" s="143"/>
      <c r="AJ159" s="143"/>
      <c r="AK159" s="143"/>
      <c r="AL159" s="143"/>
      <c r="AM159" s="143"/>
      <c r="AN159" s="143"/>
      <c r="AO159" s="143"/>
      <c r="AP159" s="143"/>
      <c r="AQ159" s="143"/>
      <c r="AR159" s="143"/>
      <c r="AS159" s="143"/>
    </row>
    <row r="160"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E160" s="143"/>
      <c r="AF160" s="143"/>
      <c r="AG160" s="143"/>
      <c r="AH160" s="143"/>
      <c r="AI160" s="143"/>
      <c r="AJ160" s="143"/>
      <c r="AK160" s="143"/>
      <c r="AL160" s="143"/>
      <c r="AM160" s="143"/>
      <c r="AN160" s="143"/>
      <c r="AO160" s="143"/>
      <c r="AP160" s="143"/>
      <c r="AQ160" s="143"/>
      <c r="AR160" s="143"/>
      <c r="AS160" s="143"/>
    </row>
    <row r="161"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E161" s="143"/>
      <c r="AF161" s="143"/>
      <c r="AG161" s="143"/>
      <c r="AH161" s="143"/>
      <c r="AI161" s="143"/>
      <c r="AJ161" s="143"/>
      <c r="AK161" s="143"/>
      <c r="AL161" s="143"/>
      <c r="AM161" s="143"/>
      <c r="AN161" s="143"/>
      <c r="AO161" s="143"/>
      <c r="AP161" s="143"/>
      <c r="AQ161" s="143"/>
      <c r="AR161" s="143"/>
      <c r="AS161" s="143"/>
    </row>
    <row r="162"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E162" s="143"/>
      <c r="AF162" s="143"/>
      <c r="AG162" s="143"/>
      <c r="AH162" s="143"/>
      <c r="AI162" s="143"/>
      <c r="AJ162" s="143"/>
      <c r="AK162" s="143"/>
      <c r="AL162" s="143"/>
      <c r="AM162" s="143"/>
      <c r="AN162" s="143"/>
      <c r="AO162" s="143"/>
      <c r="AP162" s="143"/>
      <c r="AQ162" s="143"/>
      <c r="AR162" s="143"/>
      <c r="AS162" s="143"/>
    </row>
    <row r="163"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E163" s="143"/>
      <c r="AF163" s="143"/>
      <c r="AG163" s="143"/>
      <c r="AH163" s="143"/>
      <c r="AI163" s="143"/>
      <c r="AJ163" s="143"/>
      <c r="AK163" s="143"/>
      <c r="AL163" s="143"/>
      <c r="AM163" s="143"/>
      <c r="AN163" s="143"/>
      <c r="AO163" s="143"/>
      <c r="AP163" s="143"/>
      <c r="AQ163" s="143"/>
      <c r="AR163" s="143"/>
      <c r="AS163" s="143"/>
    </row>
    <row r="164"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E164" s="143"/>
      <c r="AF164" s="143"/>
      <c r="AG164" s="143"/>
      <c r="AH164" s="143"/>
      <c r="AI164" s="143"/>
      <c r="AJ164" s="143"/>
      <c r="AK164" s="143"/>
      <c r="AL164" s="143"/>
      <c r="AM164" s="143"/>
      <c r="AN164" s="143"/>
      <c r="AO164" s="143"/>
      <c r="AP164" s="143"/>
      <c r="AQ164" s="143"/>
      <c r="AR164" s="143"/>
      <c r="AS164" s="143"/>
    </row>
    <row r="165"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E165" s="143"/>
      <c r="AF165" s="143"/>
      <c r="AG165" s="143"/>
      <c r="AH165" s="143"/>
      <c r="AI165" s="143"/>
      <c r="AJ165" s="143"/>
      <c r="AK165" s="143"/>
      <c r="AL165" s="143"/>
      <c r="AM165" s="143"/>
      <c r="AN165" s="143"/>
      <c r="AO165" s="143"/>
      <c r="AP165" s="143"/>
      <c r="AQ165" s="143"/>
      <c r="AR165" s="143"/>
      <c r="AS165" s="143"/>
    </row>
    <row r="166"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E166" s="143"/>
      <c r="AF166" s="143"/>
      <c r="AG166" s="143"/>
      <c r="AH166" s="143"/>
      <c r="AI166" s="143"/>
      <c r="AJ166" s="143"/>
      <c r="AK166" s="143"/>
      <c r="AL166" s="143"/>
      <c r="AM166" s="143"/>
      <c r="AN166" s="143"/>
      <c r="AO166" s="143"/>
      <c r="AP166" s="143"/>
      <c r="AQ166" s="143"/>
      <c r="AR166" s="143"/>
      <c r="AS166" s="143"/>
    </row>
    <row r="167"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E167" s="143"/>
      <c r="AF167" s="143"/>
      <c r="AG167" s="143"/>
      <c r="AH167" s="143"/>
      <c r="AI167" s="143"/>
      <c r="AJ167" s="143"/>
      <c r="AK167" s="143"/>
      <c r="AL167" s="143"/>
      <c r="AM167" s="143"/>
      <c r="AN167" s="143"/>
      <c r="AO167" s="143"/>
      <c r="AP167" s="143"/>
      <c r="AQ167" s="143"/>
      <c r="AR167" s="143"/>
      <c r="AS167" s="143"/>
    </row>
    <row r="168"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E168" s="143"/>
      <c r="AF168" s="143"/>
      <c r="AG168" s="143"/>
      <c r="AH168" s="143"/>
      <c r="AI168" s="143"/>
      <c r="AJ168" s="143"/>
      <c r="AK168" s="143"/>
      <c r="AL168" s="143"/>
      <c r="AM168" s="143"/>
      <c r="AN168" s="143"/>
      <c r="AO168" s="143"/>
      <c r="AP168" s="143"/>
      <c r="AQ168" s="143"/>
      <c r="AR168" s="143"/>
      <c r="AS168" s="143"/>
    </row>
    <row r="169"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E169" s="143"/>
      <c r="AF169" s="143"/>
      <c r="AG169" s="143"/>
      <c r="AH169" s="143"/>
      <c r="AI169" s="143"/>
      <c r="AJ169" s="143"/>
      <c r="AK169" s="143"/>
      <c r="AL169" s="143"/>
      <c r="AM169" s="143"/>
      <c r="AN169" s="143"/>
      <c r="AO169" s="143"/>
      <c r="AP169" s="143"/>
      <c r="AQ169" s="143"/>
      <c r="AR169" s="143"/>
      <c r="AS169" s="143"/>
    </row>
    <row r="170"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E170" s="143"/>
      <c r="AF170" s="143"/>
      <c r="AG170" s="143"/>
      <c r="AH170" s="143"/>
      <c r="AI170" s="14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</row>
    <row r="171"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E171" s="143"/>
      <c r="AF171" s="143"/>
      <c r="AG171" s="143"/>
      <c r="AH171" s="143"/>
      <c r="AI171" s="143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</row>
    <row r="172"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E172" s="143"/>
      <c r="AF172" s="143"/>
      <c r="AG172" s="143"/>
      <c r="AH172" s="143"/>
      <c r="AI172" s="143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</row>
    <row r="173"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E173" s="143"/>
      <c r="AF173" s="143"/>
      <c r="AG173" s="143"/>
      <c r="AH173" s="143"/>
      <c r="AI173" s="143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</row>
    <row r="174"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E174" s="143"/>
      <c r="AF174" s="143"/>
      <c r="AG174" s="143"/>
      <c r="AH174" s="143"/>
      <c r="AI174" s="143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</row>
    <row r="175"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E175" s="143"/>
      <c r="AF175" s="143"/>
      <c r="AG175" s="143"/>
      <c r="AH175" s="143"/>
      <c r="AI175" s="143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</row>
    <row r="176"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E176" s="143"/>
      <c r="AF176" s="143"/>
      <c r="AG176" s="143"/>
      <c r="AH176" s="143"/>
      <c r="AI176" s="143"/>
      <c r="AJ176" s="143"/>
      <c r="AK176" s="143"/>
      <c r="AL176" s="143"/>
      <c r="AM176" s="143"/>
      <c r="AN176" s="143"/>
      <c r="AO176" s="143"/>
      <c r="AP176" s="143"/>
      <c r="AQ176" s="143"/>
      <c r="AR176" s="143"/>
      <c r="AS176" s="143"/>
    </row>
    <row r="177"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E177" s="143"/>
      <c r="AF177" s="143"/>
      <c r="AG177" s="143"/>
      <c r="AH177" s="143"/>
      <c r="AI177" s="143"/>
      <c r="AJ177" s="143"/>
      <c r="AK177" s="143"/>
      <c r="AL177" s="143"/>
      <c r="AM177" s="143"/>
      <c r="AN177" s="143"/>
      <c r="AO177" s="143"/>
      <c r="AP177" s="143"/>
      <c r="AQ177" s="143"/>
      <c r="AR177" s="143"/>
      <c r="AS177" s="143"/>
    </row>
    <row r="178"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E178" s="143"/>
      <c r="AF178" s="143"/>
      <c r="AG178" s="143"/>
      <c r="AH178" s="143"/>
      <c r="AI178" s="143"/>
      <c r="AJ178" s="143"/>
      <c r="AK178" s="143"/>
      <c r="AL178" s="143"/>
      <c r="AM178" s="143"/>
      <c r="AN178" s="143"/>
      <c r="AO178" s="143"/>
      <c r="AP178" s="143"/>
      <c r="AQ178" s="143"/>
      <c r="AR178" s="143"/>
      <c r="AS178" s="143"/>
    </row>
    <row r="179"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E179" s="143"/>
      <c r="AF179" s="143"/>
      <c r="AG179" s="143"/>
      <c r="AH179" s="143"/>
      <c r="AI179" s="143"/>
      <c r="AJ179" s="143"/>
      <c r="AK179" s="143"/>
      <c r="AL179" s="143"/>
      <c r="AM179" s="143"/>
      <c r="AN179" s="143"/>
      <c r="AO179" s="143"/>
      <c r="AP179" s="143"/>
      <c r="AQ179" s="143"/>
      <c r="AR179" s="143"/>
      <c r="AS179" s="143"/>
    </row>
    <row r="180"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E180" s="143"/>
      <c r="AF180" s="143"/>
      <c r="AG180" s="143"/>
      <c r="AH180" s="143"/>
      <c r="AI180" s="143"/>
      <c r="AJ180" s="143"/>
      <c r="AK180" s="143"/>
      <c r="AL180" s="143"/>
      <c r="AM180" s="143"/>
      <c r="AN180" s="143"/>
      <c r="AO180" s="143"/>
      <c r="AP180" s="143"/>
      <c r="AQ180" s="143"/>
      <c r="AR180" s="143"/>
      <c r="AS180" s="143"/>
    </row>
    <row r="181"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E181" s="143"/>
      <c r="AF181" s="143"/>
      <c r="AG181" s="143"/>
      <c r="AH181" s="143"/>
      <c r="AI181" s="143"/>
      <c r="AJ181" s="143"/>
      <c r="AK181" s="143"/>
      <c r="AL181" s="143"/>
      <c r="AM181" s="143"/>
      <c r="AN181" s="143"/>
      <c r="AO181" s="143"/>
      <c r="AP181" s="143"/>
      <c r="AQ181" s="143"/>
      <c r="AR181" s="143"/>
      <c r="AS181" s="143"/>
    </row>
    <row r="182"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E182" s="143"/>
      <c r="AF182" s="143"/>
      <c r="AG182" s="143"/>
      <c r="AH182" s="143"/>
      <c r="AI182" s="143"/>
      <c r="AJ182" s="143"/>
      <c r="AK182" s="143"/>
      <c r="AL182" s="143"/>
      <c r="AM182" s="143"/>
      <c r="AN182" s="143"/>
      <c r="AO182" s="143"/>
      <c r="AP182" s="143"/>
      <c r="AQ182" s="143"/>
      <c r="AR182" s="143"/>
      <c r="AS182" s="143"/>
    </row>
    <row r="183"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E183" s="143"/>
      <c r="AF183" s="143"/>
      <c r="AG183" s="143"/>
      <c r="AH183" s="143"/>
      <c r="AI183" s="143"/>
      <c r="AJ183" s="143"/>
      <c r="AK183" s="143"/>
      <c r="AL183" s="143"/>
      <c r="AM183" s="143"/>
      <c r="AN183" s="143"/>
      <c r="AO183" s="143"/>
      <c r="AP183" s="143"/>
      <c r="AQ183" s="143"/>
      <c r="AR183" s="143"/>
      <c r="AS183" s="143"/>
    </row>
    <row r="184"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E184" s="143"/>
      <c r="AF184" s="143"/>
      <c r="AG184" s="143"/>
      <c r="AH184" s="143"/>
      <c r="AI184" s="143"/>
      <c r="AJ184" s="143"/>
      <c r="AK184" s="143"/>
      <c r="AL184" s="143"/>
      <c r="AM184" s="143"/>
      <c r="AN184" s="143"/>
      <c r="AO184" s="143"/>
      <c r="AP184" s="143"/>
      <c r="AQ184" s="143"/>
      <c r="AR184" s="143"/>
      <c r="AS184" s="143"/>
    </row>
    <row r="185"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E185" s="143"/>
      <c r="AF185" s="143"/>
      <c r="AG185" s="143"/>
      <c r="AH185" s="143"/>
      <c r="AI185" s="143"/>
      <c r="AJ185" s="143"/>
      <c r="AK185" s="143"/>
      <c r="AL185" s="143"/>
      <c r="AM185" s="143"/>
      <c r="AN185" s="143"/>
      <c r="AO185" s="143"/>
      <c r="AP185" s="143"/>
      <c r="AQ185" s="143"/>
      <c r="AR185" s="143"/>
      <c r="AS185" s="143"/>
    </row>
    <row r="186"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E186" s="143"/>
      <c r="AF186" s="143"/>
      <c r="AG186" s="143"/>
      <c r="AH186" s="143"/>
      <c r="AI186" s="143"/>
      <c r="AJ186" s="143"/>
      <c r="AK186" s="143"/>
      <c r="AL186" s="143"/>
      <c r="AM186" s="143"/>
      <c r="AN186" s="143"/>
      <c r="AO186" s="143"/>
      <c r="AP186" s="143"/>
      <c r="AQ186" s="143"/>
      <c r="AR186" s="143"/>
      <c r="AS186" s="143"/>
    </row>
    <row r="187"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E187" s="143"/>
      <c r="AF187" s="143"/>
      <c r="AG187" s="143"/>
      <c r="AH187" s="143"/>
      <c r="AI187" s="143"/>
      <c r="AJ187" s="143"/>
      <c r="AK187" s="143"/>
      <c r="AL187" s="143"/>
      <c r="AM187" s="143"/>
      <c r="AN187" s="143"/>
      <c r="AO187" s="143"/>
      <c r="AP187" s="143"/>
      <c r="AQ187" s="143"/>
      <c r="AR187" s="143"/>
      <c r="AS187" s="143"/>
    </row>
    <row r="188"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E188" s="143"/>
      <c r="AF188" s="143"/>
      <c r="AG188" s="143"/>
      <c r="AH188" s="143"/>
      <c r="AI188" s="143"/>
      <c r="AJ188" s="143"/>
      <c r="AK188" s="143"/>
      <c r="AL188" s="143"/>
      <c r="AM188" s="143"/>
      <c r="AN188" s="143"/>
      <c r="AO188" s="143"/>
      <c r="AP188" s="143"/>
      <c r="AQ188" s="143"/>
      <c r="AR188" s="143"/>
      <c r="AS188" s="143"/>
    </row>
    <row r="189"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43"/>
    </row>
    <row r="190"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E190" s="143"/>
      <c r="AF190" s="143"/>
      <c r="AG190" s="143"/>
      <c r="AH190" s="143"/>
      <c r="AI190" s="143"/>
      <c r="AJ190" s="143"/>
      <c r="AK190" s="143"/>
      <c r="AL190" s="143"/>
      <c r="AM190" s="143"/>
      <c r="AN190" s="143"/>
      <c r="AO190" s="143"/>
      <c r="AP190" s="143"/>
      <c r="AQ190" s="143"/>
      <c r="AR190" s="143"/>
      <c r="AS190" s="143"/>
    </row>
    <row r="191"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E191" s="143"/>
      <c r="AF191" s="143"/>
      <c r="AG191" s="143"/>
      <c r="AH191" s="143"/>
      <c r="AI191" s="143"/>
      <c r="AJ191" s="143"/>
      <c r="AK191" s="143"/>
      <c r="AL191" s="143"/>
      <c r="AM191" s="143"/>
      <c r="AN191" s="143"/>
      <c r="AO191" s="143"/>
      <c r="AP191" s="143"/>
      <c r="AQ191" s="143"/>
      <c r="AR191" s="143"/>
      <c r="AS191" s="143"/>
    </row>
    <row r="192"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E192" s="143"/>
      <c r="AF192" s="143"/>
      <c r="AG192" s="143"/>
      <c r="AH192" s="143"/>
      <c r="AI192" s="143"/>
      <c r="AJ192" s="143"/>
      <c r="AK192" s="143"/>
      <c r="AL192" s="143"/>
      <c r="AM192" s="143"/>
      <c r="AN192" s="143"/>
      <c r="AO192" s="143"/>
      <c r="AP192" s="143"/>
      <c r="AQ192" s="143"/>
      <c r="AR192" s="143"/>
      <c r="AS192" s="143"/>
    </row>
    <row r="193"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E193" s="143"/>
      <c r="AF193" s="143"/>
      <c r="AG193" s="143"/>
      <c r="AH193" s="143"/>
      <c r="AI193" s="143"/>
      <c r="AJ193" s="143"/>
      <c r="AK193" s="143"/>
      <c r="AL193" s="143"/>
      <c r="AM193" s="143"/>
      <c r="AN193" s="143"/>
      <c r="AO193" s="143"/>
      <c r="AP193" s="143"/>
      <c r="AQ193" s="143"/>
      <c r="AR193" s="143"/>
      <c r="AS193" s="143"/>
    </row>
    <row r="194"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E194" s="143"/>
      <c r="AF194" s="143"/>
      <c r="AG194" s="143"/>
      <c r="AH194" s="143"/>
      <c r="AI194" s="143"/>
      <c r="AJ194" s="143"/>
      <c r="AK194" s="143"/>
      <c r="AL194" s="143"/>
      <c r="AM194" s="143"/>
      <c r="AN194" s="143"/>
      <c r="AO194" s="143"/>
      <c r="AP194" s="143"/>
      <c r="AQ194" s="143"/>
      <c r="AR194" s="143"/>
      <c r="AS194" s="143"/>
    </row>
    <row r="195"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E195" s="143"/>
      <c r="AF195" s="143"/>
      <c r="AG195" s="143"/>
      <c r="AH195" s="143"/>
      <c r="AI195" s="143"/>
      <c r="AJ195" s="143"/>
      <c r="AK195" s="143"/>
      <c r="AL195" s="143"/>
      <c r="AM195" s="143"/>
      <c r="AN195" s="143"/>
      <c r="AO195" s="143"/>
      <c r="AP195" s="143"/>
      <c r="AQ195" s="143"/>
      <c r="AR195" s="143"/>
      <c r="AS195" s="143"/>
    </row>
    <row r="196"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E196" s="143"/>
      <c r="AF196" s="143"/>
      <c r="AG196" s="143"/>
      <c r="AH196" s="143"/>
      <c r="AI196" s="143"/>
      <c r="AJ196" s="143"/>
      <c r="AK196" s="143"/>
      <c r="AL196" s="143"/>
      <c r="AM196" s="143"/>
      <c r="AN196" s="143"/>
      <c r="AO196" s="143"/>
      <c r="AP196" s="143"/>
      <c r="AQ196" s="143"/>
      <c r="AR196" s="143"/>
      <c r="AS196" s="143"/>
    </row>
    <row r="197"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E197" s="143"/>
      <c r="AF197" s="143"/>
      <c r="AG197" s="143"/>
      <c r="AH197" s="143"/>
      <c r="AI197" s="143"/>
      <c r="AJ197" s="143"/>
      <c r="AK197" s="143"/>
      <c r="AL197" s="143"/>
      <c r="AM197" s="143"/>
      <c r="AN197" s="143"/>
      <c r="AO197" s="143"/>
      <c r="AP197" s="143"/>
      <c r="AQ197" s="143"/>
      <c r="AR197" s="143"/>
      <c r="AS197" s="143"/>
    </row>
    <row r="198"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43"/>
      <c r="AO198" s="143"/>
      <c r="AP198" s="143"/>
      <c r="AQ198" s="143"/>
      <c r="AR198" s="143"/>
      <c r="AS198" s="143"/>
    </row>
    <row r="199"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43"/>
      <c r="AO199" s="143"/>
      <c r="AP199" s="143"/>
      <c r="AQ199" s="143"/>
      <c r="AR199" s="143"/>
      <c r="AS199" s="143"/>
    </row>
    <row r="200"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43"/>
      <c r="AO200" s="143"/>
      <c r="AP200" s="143"/>
      <c r="AQ200" s="143"/>
      <c r="AR200" s="143"/>
      <c r="AS200" s="143"/>
    </row>
    <row r="201"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  <c r="AN201" s="143"/>
      <c r="AO201" s="143"/>
      <c r="AP201" s="143"/>
      <c r="AQ201" s="143"/>
      <c r="AR201" s="143"/>
      <c r="AS201" s="143"/>
    </row>
    <row r="202"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E202" s="143"/>
      <c r="AF202" s="143"/>
      <c r="AG202" s="143"/>
      <c r="AH202" s="143"/>
      <c r="AI202" s="143"/>
      <c r="AJ202" s="143"/>
      <c r="AK202" s="143"/>
      <c r="AL202" s="143"/>
      <c r="AM202" s="143"/>
      <c r="AN202" s="143"/>
      <c r="AO202" s="143"/>
      <c r="AP202" s="143"/>
      <c r="AQ202" s="143"/>
      <c r="AR202" s="143"/>
      <c r="AS202" s="143"/>
    </row>
    <row r="203"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  <c r="AN203" s="143"/>
      <c r="AO203" s="143"/>
      <c r="AP203" s="143"/>
      <c r="AQ203" s="143"/>
      <c r="AR203" s="143"/>
      <c r="AS203" s="143"/>
    </row>
    <row r="204"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E204" s="143"/>
      <c r="AF204" s="143"/>
      <c r="AG204" s="143"/>
      <c r="AH204" s="143"/>
      <c r="AI204" s="143"/>
      <c r="AJ204" s="143"/>
      <c r="AK204" s="143"/>
      <c r="AL204" s="143"/>
      <c r="AM204" s="143"/>
      <c r="AN204" s="143"/>
      <c r="AO204" s="143"/>
      <c r="AP204" s="143"/>
      <c r="AQ204" s="143"/>
      <c r="AR204" s="143"/>
      <c r="AS204" s="143"/>
    </row>
    <row r="205"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  <c r="AO205" s="143"/>
      <c r="AP205" s="143"/>
      <c r="AQ205" s="143"/>
      <c r="AR205" s="143"/>
      <c r="AS205" s="143"/>
    </row>
    <row r="206"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  <c r="AN206" s="143"/>
      <c r="AO206" s="143"/>
      <c r="AP206" s="143"/>
      <c r="AQ206" s="143"/>
      <c r="AR206" s="143"/>
      <c r="AS206" s="143"/>
    </row>
    <row r="207"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43"/>
      <c r="AO207" s="143"/>
      <c r="AP207" s="143"/>
      <c r="AQ207" s="143"/>
      <c r="AR207" s="143"/>
      <c r="AS207" s="143"/>
    </row>
    <row r="208"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  <c r="AN208" s="143"/>
      <c r="AO208" s="143"/>
      <c r="AP208" s="143"/>
      <c r="AQ208" s="143"/>
      <c r="AR208" s="143"/>
      <c r="AS208" s="143"/>
    </row>
    <row r="209"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  <c r="AS209" s="143"/>
    </row>
    <row r="210"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  <c r="AO210" s="143"/>
      <c r="AP210" s="143"/>
      <c r="AQ210" s="143"/>
      <c r="AR210" s="143"/>
      <c r="AS210" s="143"/>
    </row>
    <row r="211"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43"/>
      <c r="AO211" s="143"/>
      <c r="AP211" s="143"/>
      <c r="AQ211" s="143"/>
      <c r="AR211" s="143"/>
      <c r="AS211" s="143"/>
    </row>
    <row r="212"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43"/>
      <c r="AO212" s="143"/>
      <c r="AP212" s="143"/>
      <c r="AQ212" s="143"/>
      <c r="AR212" s="143"/>
      <c r="AS212" s="143"/>
    </row>
    <row r="213"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43"/>
      <c r="AO213" s="143"/>
      <c r="AP213" s="143"/>
      <c r="AQ213" s="143"/>
      <c r="AR213" s="143"/>
      <c r="AS213" s="143"/>
    </row>
    <row r="214"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43"/>
      <c r="AO214" s="143"/>
      <c r="AP214" s="143"/>
      <c r="AQ214" s="143"/>
      <c r="AR214" s="143"/>
      <c r="AS214" s="143"/>
    </row>
    <row r="215"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  <c r="AO215" s="143"/>
      <c r="AP215" s="143"/>
      <c r="AQ215" s="143"/>
      <c r="AR215" s="143"/>
      <c r="AS215" s="143"/>
    </row>
    <row r="216"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  <c r="AN216" s="143"/>
      <c r="AO216" s="143"/>
      <c r="AP216" s="143"/>
      <c r="AQ216" s="143"/>
      <c r="AR216" s="143"/>
      <c r="AS216" s="143"/>
    </row>
    <row r="217"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43"/>
      <c r="AO217" s="143"/>
      <c r="AP217" s="143"/>
      <c r="AQ217" s="143"/>
      <c r="AR217" s="143"/>
      <c r="AS217" s="143"/>
    </row>
    <row r="218"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  <c r="AN218" s="143"/>
      <c r="AO218" s="143"/>
      <c r="AP218" s="143"/>
      <c r="AQ218" s="143"/>
      <c r="AR218" s="143"/>
      <c r="AS218" s="143"/>
    </row>
    <row r="219"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43"/>
      <c r="AO219" s="143"/>
      <c r="AP219" s="143"/>
      <c r="AQ219" s="143"/>
      <c r="AR219" s="143"/>
      <c r="AS219" s="143"/>
    </row>
    <row r="220"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  <c r="AN220" s="143"/>
      <c r="AO220" s="143"/>
      <c r="AP220" s="143"/>
      <c r="AQ220" s="143"/>
      <c r="AR220" s="143"/>
      <c r="AS220" s="143"/>
    </row>
    <row r="221"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  <c r="AN221" s="143"/>
      <c r="AO221" s="143"/>
      <c r="AP221" s="143"/>
      <c r="AQ221" s="143"/>
      <c r="AR221" s="143"/>
      <c r="AS221" s="143"/>
    </row>
    <row r="222"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  <c r="AN222" s="143"/>
      <c r="AO222" s="143"/>
      <c r="AP222" s="143"/>
      <c r="AQ222" s="143"/>
      <c r="AR222" s="143"/>
      <c r="AS222" s="143"/>
    </row>
    <row r="223"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43"/>
      <c r="AO223" s="143"/>
      <c r="AP223" s="143"/>
      <c r="AQ223" s="143"/>
      <c r="AR223" s="143"/>
      <c r="AS223" s="143"/>
    </row>
    <row r="224"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43"/>
      <c r="AO224" s="143"/>
      <c r="AP224" s="143"/>
      <c r="AQ224" s="143"/>
      <c r="AR224" s="143"/>
      <c r="AS224" s="143"/>
    </row>
    <row r="225"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43"/>
      <c r="AO225" s="143"/>
      <c r="AP225" s="143"/>
      <c r="AQ225" s="143"/>
      <c r="AR225" s="143"/>
      <c r="AS225" s="143"/>
    </row>
    <row r="226"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43"/>
      <c r="AO226" s="143"/>
      <c r="AP226" s="143"/>
      <c r="AQ226" s="143"/>
      <c r="AR226" s="143"/>
      <c r="AS226" s="143"/>
    </row>
    <row r="227"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43"/>
      <c r="AO227" s="143"/>
      <c r="AP227" s="143"/>
      <c r="AQ227" s="143"/>
      <c r="AR227" s="143"/>
      <c r="AS227" s="143"/>
    </row>
    <row r="228"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43"/>
      <c r="AO228" s="143"/>
      <c r="AP228" s="143"/>
      <c r="AQ228" s="143"/>
      <c r="AR228" s="143"/>
      <c r="AS228" s="143"/>
    </row>
    <row r="229"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  <c r="AS229" s="143"/>
    </row>
    <row r="230"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  <c r="AN230" s="143"/>
      <c r="AO230" s="143"/>
      <c r="AP230" s="143"/>
      <c r="AQ230" s="143"/>
      <c r="AR230" s="143"/>
      <c r="AS230" s="143"/>
    </row>
    <row r="231"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43"/>
      <c r="AO231" s="143"/>
      <c r="AP231" s="143"/>
      <c r="AQ231" s="143"/>
      <c r="AR231" s="143"/>
      <c r="AS231" s="143"/>
    </row>
    <row r="232"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E232" s="143"/>
      <c r="AF232" s="143"/>
      <c r="AG232" s="143"/>
      <c r="AH232" s="143"/>
      <c r="AI232" s="143"/>
      <c r="AJ232" s="143"/>
      <c r="AK232" s="143"/>
      <c r="AL232" s="143"/>
      <c r="AM232" s="143"/>
      <c r="AN232" s="143"/>
      <c r="AO232" s="143"/>
      <c r="AP232" s="143"/>
      <c r="AQ232" s="143"/>
      <c r="AR232" s="143"/>
      <c r="AS232" s="143"/>
    </row>
    <row r="233"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43"/>
      <c r="AO233" s="143"/>
      <c r="AP233" s="143"/>
      <c r="AQ233" s="143"/>
      <c r="AR233" s="143"/>
      <c r="AS233" s="143"/>
    </row>
    <row r="234"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E234" s="143"/>
      <c r="AF234" s="143"/>
      <c r="AG234" s="143"/>
      <c r="AH234" s="143"/>
      <c r="AI234" s="143"/>
      <c r="AJ234" s="143"/>
      <c r="AK234" s="143"/>
      <c r="AL234" s="143"/>
      <c r="AM234" s="143"/>
      <c r="AN234" s="143"/>
      <c r="AO234" s="143"/>
      <c r="AP234" s="143"/>
      <c r="AQ234" s="143"/>
      <c r="AR234" s="143"/>
      <c r="AS234" s="143"/>
    </row>
    <row r="235"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43"/>
      <c r="AO235" s="143"/>
      <c r="AP235" s="143"/>
      <c r="AQ235" s="143"/>
      <c r="AR235" s="143"/>
      <c r="AS235" s="143"/>
    </row>
    <row r="236"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E236" s="143"/>
      <c r="AF236" s="143"/>
      <c r="AG236" s="143"/>
      <c r="AH236" s="143"/>
      <c r="AI236" s="143"/>
      <c r="AJ236" s="143"/>
      <c r="AK236" s="143"/>
      <c r="AL236" s="143"/>
      <c r="AM236" s="143"/>
      <c r="AN236" s="143"/>
      <c r="AO236" s="143"/>
      <c r="AP236" s="143"/>
      <c r="AQ236" s="143"/>
      <c r="AR236" s="143"/>
      <c r="AS236" s="143"/>
    </row>
    <row r="237"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  <c r="AN237" s="143"/>
      <c r="AO237" s="143"/>
      <c r="AP237" s="143"/>
      <c r="AQ237" s="143"/>
      <c r="AR237" s="143"/>
      <c r="AS237" s="143"/>
    </row>
    <row r="238"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E238" s="143"/>
      <c r="AF238" s="143"/>
      <c r="AG238" s="143"/>
      <c r="AH238" s="143"/>
      <c r="AI238" s="143"/>
      <c r="AJ238" s="143"/>
      <c r="AK238" s="143"/>
      <c r="AL238" s="143"/>
      <c r="AM238" s="143"/>
      <c r="AN238" s="143"/>
      <c r="AO238" s="143"/>
      <c r="AP238" s="143"/>
      <c r="AQ238" s="143"/>
      <c r="AR238" s="143"/>
      <c r="AS238" s="143"/>
    </row>
    <row r="239"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E239" s="143"/>
      <c r="AF239" s="143"/>
      <c r="AG239" s="143"/>
      <c r="AH239" s="143"/>
      <c r="AI239" s="143"/>
      <c r="AJ239" s="143"/>
      <c r="AK239" s="143"/>
      <c r="AL239" s="143"/>
      <c r="AM239" s="143"/>
      <c r="AN239" s="143"/>
      <c r="AO239" s="143"/>
      <c r="AP239" s="143"/>
      <c r="AQ239" s="143"/>
      <c r="AR239" s="143"/>
      <c r="AS239" s="143"/>
    </row>
    <row r="240"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E240" s="143"/>
      <c r="AF240" s="143"/>
      <c r="AG240" s="143"/>
      <c r="AH240" s="143"/>
      <c r="AI240" s="143"/>
      <c r="AJ240" s="143"/>
      <c r="AK240" s="143"/>
      <c r="AL240" s="143"/>
      <c r="AM240" s="143"/>
      <c r="AN240" s="143"/>
      <c r="AO240" s="143"/>
      <c r="AP240" s="143"/>
      <c r="AQ240" s="143"/>
      <c r="AR240" s="143"/>
      <c r="AS240" s="143"/>
    </row>
    <row r="241"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  <c r="AN241" s="143"/>
      <c r="AO241" s="143"/>
      <c r="AP241" s="143"/>
      <c r="AQ241" s="143"/>
      <c r="AR241" s="143"/>
      <c r="AS241" s="143"/>
    </row>
    <row r="242"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  <c r="AN242" s="143"/>
      <c r="AO242" s="143"/>
      <c r="AP242" s="143"/>
      <c r="AQ242" s="143"/>
      <c r="AR242" s="143"/>
      <c r="AS242" s="143"/>
    </row>
    <row r="243"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  <c r="AN243" s="143"/>
      <c r="AO243" s="143"/>
      <c r="AP243" s="143"/>
      <c r="AQ243" s="143"/>
      <c r="AR243" s="143"/>
      <c r="AS243" s="143"/>
    </row>
    <row r="244"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E244" s="143"/>
      <c r="AF244" s="143"/>
      <c r="AG244" s="143"/>
      <c r="AH244" s="143"/>
      <c r="AI244" s="143"/>
      <c r="AJ244" s="143"/>
      <c r="AK244" s="143"/>
      <c r="AL244" s="143"/>
      <c r="AM244" s="143"/>
      <c r="AN244" s="143"/>
      <c r="AO244" s="143"/>
      <c r="AP244" s="143"/>
      <c r="AQ244" s="143"/>
      <c r="AR244" s="143"/>
      <c r="AS244" s="143"/>
    </row>
    <row r="245"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  <c r="AN245" s="143"/>
      <c r="AO245" s="143"/>
      <c r="AP245" s="143"/>
      <c r="AQ245" s="143"/>
      <c r="AR245" s="143"/>
      <c r="AS245" s="143"/>
    </row>
    <row r="246"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E246" s="143"/>
      <c r="AF246" s="143"/>
      <c r="AG246" s="143"/>
      <c r="AH246" s="143"/>
      <c r="AI246" s="143"/>
      <c r="AJ246" s="143"/>
      <c r="AK246" s="143"/>
      <c r="AL246" s="143"/>
      <c r="AM246" s="143"/>
      <c r="AN246" s="143"/>
      <c r="AO246" s="143"/>
      <c r="AP246" s="143"/>
      <c r="AQ246" s="143"/>
      <c r="AR246" s="143"/>
      <c r="AS246" s="143"/>
    </row>
    <row r="247"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43"/>
      <c r="AO247" s="143"/>
      <c r="AP247" s="143"/>
      <c r="AQ247" s="143"/>
      <c r="AR247" s="143"/>
      <c r="AS247" s="143"/>
    </row>
    <row r="248"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E248" s="143"/>
      <c r="AF248" s="143"/>
      <c r="AG248" s="143"/>
      <c r="AH248" s="143"/>
      <c r="AI248" s="143"/>
      <c r="AJ248" s="143"/>
      <c r="AK248" s="143"/>
      <c r="AL248" s="143"/>
      <c r="AM248" s="143"/>
      <c r="AN248" s="143"/>
      <c r="AO248" s="143"/>
      <c r="AP248" s="143"/>
      <c r="AQ248" s="143"/>
      <c r="AR248" s="143"/>
      <c r="AS248" s="143"/>
    </row>
    <row r="249"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43"/>
      <c r="AO249" s="143"/>
      <c r="AP249" s="143"/>
      <c r="AQ249" s="143"/>
      <c r="AR249" s="143"/>
      <c r="AS249" s="143"/>
    </row>
    <row r="250"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E250" s="143"/>
      <c r="AF250" s="143"/>
      <c r="AG250" s="143"/>
      <c r="AH250" s="143"/>
      <c r="AI250" s="143"/>
      <c r="AJ250" s="143"/>
      <c r="AK250" s="143"/>
      <c r="AL250" s="143"/>
      <c r="AM250" s="143"/>
      <c r="AN250" s="143"/>
      <c r="AO250" s="143"/>
      <c r="AP250" s="143"/>
      <c r="AQ250" s="143"/>
      <c r="AR250" s="143"/>
      <c r="AS250" s="143"/>
    </row>
    <row r="251"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  <c r="AN251" s="143"/>
      <c r="AO251" s="143"/>
      <c r="AP251" s="143"/>
      <c r="AQ251" s="143"/>
      <c r="AR251" s="143"/>
      <c r="AS251" s="143"/>
    </row>
    <row r="252"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43"/>
      <c r="AO252" s="143"/>
      <c r="AP252" s="143"/>
      <c r="AQ252" s="143"/>
      <c r="AR252" s="143"/>
      <c r="AS252" s="143"/>
    </row>
    <row r="253"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43"/>
      <c r="AO253" s="143"/>
      <c r="AP253" s="143"/>
      <c r="AQ253" s="143"/>
      <c r="AR253" s="143"/>
      <c r="AS253" s="143"/>
    </row>
    <row r="254"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43"/>
      <c r="AO254" s="143"/>
      <c r="AP254" s="143"/>
      <c r="AQ254" s="143"/>
      <c r="AR254" s="143"/>
      <c r="AS254" s="143"/>
    </row>
    <row r="255"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43"/>
      <c r="AO255" s="143"/>
      <c r="AP255" s="143"/>
      <c r="AQ255" s="143"/>
      <c r="AR255" s="143"/>
      <c r="AS255" s="143"/>
    </row>
    <row r="256"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43"/>
      <c r="AO256" s="143"/>
      <c r="AP256" s="143"/>
      <c r="AQ256" s="143"/>
      <c r="AR256" s="143"/>
      <c r="AS256" s="143"/>
    </row>
    <row r="257"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  <c r="AN257" s="143"/>
      <c r="AO257" s="143"/>
      <c r="AP257" s="143"/>
      <c r="AQ257" s="143"/>
      <c r="AR257" s="143"/>
      <c r="AS257" s="143"/>
    </row>
    <row r="258"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  <c r="AN258" s="143"/>
      <c r="AO258" s="143"/>
      <c r="AP258" s="143"/>
      <c r="AQ258" s="143"/>
      <c r="AR258" s="143"/>
      <c r="AS258" s="143"/>
    </row>
    <row r="259"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  <c r="AN259" s="143"/>
      <c r="AO259" s="143"/>
      <c r="AP259" s="143"/>
      <c r="AQ259" s="143"/>
      <c r="AR259" s="143"/>
      <c r="AS259" s="143"/>
    </row>
    <row r="260"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E260" s="143"/>
      <c r="AF260" s="143"/>
      <c r="AG260" s="143"/>
      <c r="AH260" s="143"/>
      <c r="AI260" s="143"/>
      <c r="AJ260" s="143"/>
      <c r="AK260" s="143"/>
      <c r="AL260" s="143"/>
      <c r="AM260" s="143"/>
      <c r="AN260" s="143"/>
      <c r="AO260" s="143"/>
      <c r="AP260" s="143"/>
      <c r="AQ260" s="143"/>
      <c r="AR260" s="143"/>
      <c r="AS260" s="143"/>
    </row>
    <row r="261"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  <c r="AN261" s="143"/>
      <c r="AO261" s="143"/>
      <c r="AP261" s="143"/>
      <c r="AQ261" s="143"/>
      <c r="AR261" s="143"/>
      <c r="AS261" s="143"/>
    </row>
    <row r="262"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E262" s="143"/>
      <c r="AF262" s="143"/>
      <c r="AG262" s="143"/>
      <c r="AH262" s="143"/>
      <c r="AI262" s="143"/>
      <c r="AJ262" s="143"/>
      <c r="AK262" s="143"/>
      <c r="AL262" s="143"/>
      <c r="AM262" s="143"/>
      <c r="AN262" s="143"/>
      <c r="AO262" s="143"/>
      <c r="AP262" s="143"/>
      <c r="AQ262" s="143"/>
      <c r="AR262" s="143"/>
      <c r="AS262" s="143"/>
    </row>
    <row r="263"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E263" s="143"/>
      <c r="AF263" s="143"/>
      <c r="AG263" s="143"/>
      <c r="AH263" s="143"/>
      <c r="AI263" s="143"/>
      <c r="AJ263" s="143"/>
      <c r="AK263" s="143"/>
      <c r="AL263" s="143"/>
      <c r="AM263" s="143"/>
      <c r="AN263" s="143"/>
      <c r="AO263" s="143"/>
      <c r="AP263" s="143"/>
      <c r="AQ263" s="143"/>
      <c r="AR263" s="143"/>
      <c r="AS263" s="143"/>
    </row>
    <row r="264"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  <c r="AN264" s="143"/>
      <c r="AO264" s="143"/>
      <c r="AP264" s="143"/>
      <c r="AQ264" s="143"/>
      <c r="AR264" s="143"/>
      <c r="AS264" s="143"/>
    </row>
    <row r="265"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E265" s="143"/>
      <c r="AF265" s="143"/>
      <c r="AG265" s="143"/>
      <c r="AH265" s="143"/>
      <c r="AI265" s="143"/>
      <c r="AJ265" s="143"/>
      <c r="AK265" s="143"/>
      <c r="AL265" s="143"/>
      <c r="AM265" s="143"/>
      <c r="AN265" s="143"/>
      <c r="AO265" s="143"/>
      <c r="AP265" s="143"/>
      <c r="AQ265" s="143"/>
      <c r="AR265" s="143"/>
      <c r="AS265" s="143"/>
    </row>
    <row r="266"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43"/>
      <c r="AO266" s="143"/>
      <c r="AP266" s="143"/>
      <c r="AQ266" s="143"/>
      <c r="AR266" s="143"/>
      <c r="AS266" s="143"/>
    </row>
    <row r="267"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E267" s="143"/>
      <c r="AF267" s="143"/>
      <c r="AG267" s="143"/>
      <c r="AH267" s="143"/>
      <c r="AI267" s="143"/>
      <c r="AJ267" s="143"/>
      <c r="AK267" s="143"/>
      <c r="AL267" s="143"/>
      <c r="AM267" s="143"/>
      <c r="AN267" s="143"/>
      <c r="AO267" s="143"/>
      <c r="AP267" s="143"/>
      <c r="AQ267" s="143"/>
      <c r="AR267" s="143"/>
      <c r="AS267" s="143"/>
    </row>
    <row r="268"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  <c r="AN268" s="143"/>
      <c r="AO268" s="143"/>
      <c r="AP268" s="143"/>
      <c r="AQ268" s="143"/>
      <c r="AR268" s="143"/>
      <c r="AS268" s="143"/>
    </row>
    <row r="269"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E269" s="143"/>
      <c r="AF269" s="143"/>
      <c r="AG269" s="143"/>
      <c r="AH269" s="143"/>
      <c r="AI269" s="143"/>
      <c r="AJ269" s="143"/>
      <c r="AK269" s="143"/>
      <c r="AL269" s="143"/>
      <c r="AM269" s="143"/>
      <c r="AN269" s="143"/>
      <c r="AO269" s="143"/>
      <c r="AP269" s="143"/>
      <c r="AQ269" s="143"/>
      <c r="AR269" s="143"/>
      <c r="AS269" s="143"/>
    </row>
    <row r="270"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E270" s="143"/>
      <c r="AF270" s="143"/>
      <c r="AG270" s="143"/>
      <c r="AH270" s="143"/>
      <c r="AI270" s="143"/>
      <c r="AJ270" s="143"/>
      <c r="AK270" s="143"/>
      <c r="AL270" s="143"/>
      <c r="AM270" s="143"/>
      <c r="AN270" s="143"/>
      <c r="AO270" s="143"/>
      <c r="AP270" s="143"/>
      <c r="AQ270" s="143"/>
      <c r="AR270" s="143"/>
      <c r="AS270" s="143"/>
    </row>
    <row r="271"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E271" s="143"/>
      <c r="AF271" s="143"/>
      <c r="AG271" s="143"/>
      <c r="AH271" s="143"/>
      <c r="AI271" s="143"/>
      <c r="AJ271" s="143"/>
      <c r="AK271" s="143"/>
      <c r="AL271" s="143"/>
      <c r="AM271" s="143"/>
      <c r="AN271" s="143"/>
      <c r="AO271" s="143"/>
      <c r="AP271" s="143"/>
      <c r="AQ271" s="143"/>
      <c r="AR271" s="143"/>
      <c r="AS271" s="143"/>
    </row>
    <row r="272"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E272" s="143"/>
      <c r="AF272" s="143"/>
      <c r="AG272" s="143"/>
      <c r="AH272" s="143"/>
      <c r="AI272" s="143"/>
      <c r="AJ272" s="143"/>
      <c r="AK272" s="143"/>
      <c r="AL272" s="143"/>
      <c r="AM272" s="143"/>
      <c r="AN272" s="143"/>
      <c r="AO272" s="143"/>
      <c r="AP272" s="143"/>
      <c r="AQ272" s="143"/>
      <c r="AR272" s="143"/>
      <c r="AS272" s="143"/>
    </row>
    <row r="273"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E273" s="143"/>
      <c r="AF273" s="143"/>
      <c r="AG273" s="143"/>
      <c r="AH273" s="143"/>
      <c r="AI273" s="143"/>
      <c r="AJ273" s="143"/>
      <c r="AK273" s="143"/>
      <c r="AL273" s="143"/>
      <c r="AM273" s="143"/>
      <c r="AN273" s="143"/>
      <c r="AO273" s="143"/>
      <c r="AP273" s="143"/>
      <c r="AQ273" s="143"/>
      <c r="AR273" s="143"/>
      <c r="AS273" s="143"/>
    </row>
    <row r="274"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E274" s="143"/>
      <c r="AF274" s="143"/>
      <c r="AG274" s="143"/>
      <c r="AH274" s="143"/>
      <c r="AI274" s="143"/>
      <c r="AJ274" s="143"/>
      <c r="AK274" s="143"/>
      <c r="AL274" s="143"/>
      <c r="AM274" s="143"/>
      <c r="AN274" s="143"/>
      <c r="AO274" s="143"/>
      <c r="AP274" s="143"/>
      <c r="AQ274" s="143"/>
      <c r="AR274" s="143"/>
      <c r="AS274" s="143"/>
    </row>
    <row r="275"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E275" s="143"/>
      <c r="AF275" s="143"/>
      <c r="AG275" s="143"/>
      <c r="AH275" s="143"/>
      <c r="AI275" s="143"/>
      <c r="AJ275" s="143"/>
      <c r="AK275" s="143"/>
      <c r="AL275" s="143"/>
      <c r="AM275" s="143"/>
      <c r="AN275" s="143"/>
      <c r="AO275" s="143"/>
      <c r="AP275" s="143"/>
      <c r="AQ275" s="143"/>
      <c r="AR275" s="143"/>
      <c r="AS275" s="143"/>
    </row>
    <row r="276"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E276" s="143"/>
      <c r="AF276" s="143"/>
      <c r="AG276" s="143"/>
      <c r="AH276" s="143"/>
      <c r="AI276" s="143"/>
      <c r="AJ276" s="143"/>
      <c r="AK276" s="143"/>
      <c r="AL276" s="143"/>
      <c r="AM276" s="143"/>
      <c r="AN276" s="143"/>
      <c r="AO276" s="143"/>
      <c r="AP276" s="143"/>
      <c r="AQ276" s="143"/>
      <c r="AR276" s="143"/>
      <c r="AS276" s="143"/>
    </row>
    <row r="277"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E277" s="143"/>
      <c r="AF277" s="143"/>
      <c r="AG277" s="143"/>
      <c r="AH277" s="143"/>
      <c r="AI277" s="143"/>
      <c r="AJ277" s="143"/>
      <c r="AK277" s="143"/>
      <c r="AL277" s="143"/>
      <c r="AM277" s="143"/>
      <c r="AN277" s="143"/>
      <c r="AO277" s="143"/>
      <c r="AP277" s="143"/>
      <c r="AQ277" s="143"/>
      <c r="AR277" s="143"/>
      <c r="AS277" s="143"/>
    </row>
    <row r="278"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E278" s="143"/>
      <c r="AF278" s="143"/>
      <c r="AG278" s="143"/>
      <c r="AH278" s="143"/>
      <c r="AI278" s="143"/>
      <c r="AJ278" s="143"/>
      <c r="AK278" s="143"/>
      <c r="AL278" s="143"/>
      <c r="AM278" s="143"/>
      <c r="AN278" s="143"/>
      <c r="AO278" s="143"/>
      <c r="AP278" s="143"/>
      <c r="AQ278" s="143"/>
      <c r="AR278" s="143"/>
      <c r="AS278" s="143"/>
    </row>
    <row r="279"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E279" s="143"/>
      <c r="AF279" s="143"/>
      <c r="AG279" s="143"/>
      <c r="AH279" s="143"/>
      <c r="AI279" s="143"/>
      <c r="AJ279" s="143"/>
      <c r="AK279" s="143"/>
      <c r="AL279" s="143"/>
      <c r="AM279" s="143"/>
      <c r="AN279" s="143"/>
      <c r="AO279" s="143"/>
      <c r="AP279" s="143"/>
      <c r="AQ279" s="143"/>
      <c r="AR279" s="143"/>
      <c r="AS279" s="143"/>
    </row>
    <row r="280"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E280" s="143"/>
      <c r="AF280" s="143"/>
      <c r="AG280" s="143"/>
      <c r="AH280" s="143"/>
      <c r="AI280" s="143"/>
      <c r="AJ280" s="143"/>
      <c r="AK280" s="143"/>
      <c r="AL280" s="143"/>
      <c r="AM280" s="143"/>
      <c r="AN280" s="143"/>
      <c r="AO280" s="143"/>
      <c r="AP280" s="143"/>
      <c r="AQ280" s="143"/>
      <c r="AR280" s="143"/>
      <c r="AS280" s="143"/>
    </row>
    <row r="281"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E281" s="143"/>
      <c r="AF281" s="143"/>
      <c r="AG281" s="143"/>
      <c r="AH281" s="143"/>
      <c r="AI281" s="143"/>
      <c r="AJ281" s="143"/>
      <c r="AK281" s="143"/>
      <c r="AL281" s="143"/>
      <c r="AM281" s="143"/>
      <c r="AN281" s="143"/>
      <c r="AO281" s="143"/>
      <c r="AP281" s="143"/>
      <c r="AQ281" s="143"/>
      <c r="AR281" s="143"/>
      <c r="AS281" s="143"/>
    </row>
    <row r="282"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E282" s="143"/>
      <c r="AF282" s="143"/>
      <c r="AG282" s="143"/>
      <c r="AH282" s="143"/>
      <c r="AI282" s="143"/>
      <c r="AJ282" s="143"/>
      <c r="AK282" s="143"/>
      <c r="AL282" s="143"/>
      <c r="AM282" s="143"/>
      <c r="AN282" s="143"/>
      <c r="AO282" s="143"/>
      <c r="AP282" s="143"/>
      <c r="AQ282" s="143"/>
      <c r="AR282" s="143"/>
      <c r="AS282" s="143"/>
    </row>
    <row r="283"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E283" s="143"/>
      <c r="AF283" s="143"/>
      <c r="AG283" s="143"/>
      <c r="AH283" s="143"/>
      <c r="AI283" s="143"/>
      <c r="AJ283" s="143"/>
      <c r="AK283" s="143"/>
      <c r="AL283" s="143"/>
      <c r="AM283" s="143"/>
      <c r="AN283" s="143"/>
      <c r="AO283" s="143"/>
      <c r="AP283" s="143"/>
      <c r="AQ283" s="143"/>
      <c r="AR283" s="143"/>
      <c r="AS283" s="143"/>
    </row>
    <row r="284"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E284" s="143"/>
      <c r="AF284" s="143"/>
      <c r="AG284" s="143"/>
      <c r="AH284" s="143"/>
      <c r="AI284" s="143"/>
      <c r="AJ284" s="143"/>
      <c r="AK284" s="143"/>
      <c r="AL284" s="143"/>
      <c r="AM284" s="143"/>
      <c r="AN284" s="143"/>
      <c r="AO284" s="143"/>
      <c r="AP284" s="143"/>
      <c r="AQ284" s="143"/>
      <c r="AR284" s="143"/>
      <c r="AS284" s="143"/>
    </row>
    <row r="285"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E285" s="143"/>
      <c r="AF285" s="143"/>
      <c r="AG285" s="143"/>
      <c r="AH285" s="143"/>
      <c r="AI285" s="143"/>
      <c r="AJ285" s="143"/>
      <c r="AK285" s="143"/>
      <c r="AL285" s="143"/>
      <c r="AM285" s="143"/>
      <c r="AN285" s="143"/>
      <c r="AO285" s="143"/>
      <c r="AP285" s="143"/>
      <c r="AQ285" s="143"/>
      <c r="AR285" s="143"/>
      <c r="AS285" s="143"/>
    </row>
    <row r="286"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E286" s="143"/>
      <c r="AF286" s="143"/>
      <c r="AG286" s="143"/>
      <c r="AH286" s="143"/>
      <c r="AI286" s="143"/>
      <c r="AJ286" s="143"/>
      <c r="AK286" s="143"/>
      <c r="AL286" s="143"/>
      <c r="AM286" s="143"/>
      <c r="AN286" s="143"/>
      <c r="AO286" s="143"/>
      <c r="AP286" s="143"/>
      <c r="AQ286" s="143"/>
      <c r="AR286" s="143"/>
      <c r="AS286" s="143"/>
    </row>
    <row r="287"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  <c r="AN287" s="143"/>
      <c r="AO287" s="143"/>
      <c r="AP287" s="143"/>
      <c r="AQ287" s="143"/>
      <c r="AR287" s="143"/>
      <c r="AS287" s="143"/>
    </row>
    <row r="288"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E288" s="143"/>
      <c r="AF288" s="143"/>
      <c r="AG288" s="143"/>
      <c r="AH288" s="143"/>
      <c r="AI288" s="143"/>
      <c r="AJ288" s="143"/>
      <c r="AK288" s="143"/>
      <c r="AL288" s="143"/>
      <c r="AM288" s="143"/>
      <c r="AN288" s="143"/>
      <c r="AO288" s="143"/>
      <c r="AP288" s="143"/>
      <c r="AQ288" s="143"/>
      <c r="AR288" s="143"/>
      <c r="AS288" s="143"/>
    </row>
    <row r="289"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43"/>
      <c r="AO289" s="143"/>
      <c r="AP289" s="143"/>
      <c r="AQ289" s="143"/>
      <c r="AR289" s="143"/>
      <c r="AS289" s="143"/>
    </row>
    <row r="290"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E290" s="143"/>
      <c r="AF290" s="143"/>
      <c r="AG290" s="143"/>
      <c r="AH290" s="143"/>
      <c r="AI290" s="143"/>
      <c r="AJ290" s="143"/>
      <c r="AK290" s="143"/>
      <c r="AL290" s="143"/>
      <c r="AM290" s="143"/>
      <c r="AN290" s="143"/>
      <c r="AO290" s="143"/>
      <c r="AP290" s="143"/>
      <c r="AQ290" s="143"/>
      <c r="AR290" s="143"/>
      <c r="AS290" s="143"/>
    </row>
    <row r="291"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  <c r="AN291" s="143"/>
      <c r="AO291" s="143"/>
      <c r="AP291" s="143"/>
      <c r="AQ291" s="143"/>
      <c r="AR291" s="143"/>
      <c r="AS291" s="143"/>
    </row>
    <row r="292"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E292" s="143"/>
      <c r="AF292" s="143"/>
      <c r="AG292" s="143"/>
      <c r="AH292" s="143"/>
      <c r="AI292" s="143"/>
      <c r="AJ292" s="143"/>
      <c r="AK292" s="143"/>
      <c r="AL292" s="143"/>
      <c r="AM292" s="143"/>
      <c r="AN292" s="143"/>
      <c r="AO292" s="143"/>
      <c r="AP292" s="143"/>
      <c r="AQ292" s="143"/>
      <c r="AR292" s="143"/>
      <c r="AS292" s="143"/>
    </row>
    <row r="293"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E293" s="143"/>
      <c r="AF293" s="143"/>
      <c r="AG293" s="143"/>
      <c r="AH293" s="143"/>
      <c r="AI293" s="143"/>
      <c r="AJ293" s="143"/>
      <c r="AK293" s="143"/>
      <c r="AL293" s="143"/>
      <c r="AM293" s="143"/>
      <c r="AN293" s="143"/>
      <c r="AO293" s="143"/>
      <c r="AP293" s="143"/>
      <c r="AQ293" s="143"/>
      <c r="AR293" s="143"/>
      <c r="AS293" s="143"/>
    </row>
    <row r="294"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E294" s="143"/>
      <c r="AF294" s="143"/>
      <c r="AG294" s="143"/>
      <c r="AH294" s="143"/>
      <c r="AI294" s="143"/>
      <c r="AJ294" s="143"/>
      <c r="AK294" s="143"/>
      <c r="AL294" s="143"/>
      <c r="AM294" s="143"/>
      <c r="AN294" s="143"/>
      <c r="AO294" s="143"/>
      <c r="AP294" s="143"/>
      <c r="AQ294" s="143"/>
      <c r="AR294" s="143"/>
      <c r="AS294" s="143"/>
    </row>
    <row r="295"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  <c r="AN295" s="143"/>
      <c r="AO295" s="143"/>
      <c r="AP295" s="143"/>
      <c r="AQ295" s="143"/>
      <c r="AR295" s="143"/>
      <c r="AS295" s="143"/>
    </row>
    <row r="296"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E296" s="143"/>
      <c r="AF296" s="143"/>
      <c r="AG296" s="143"/>
      <c r="AH296" s="143"/>
      <c r="AI296" s="143"/>
      <c r="AJ296" s="143"/>
      <c r="AK296" s="143"/>
      <c r="AL296" s="143"/>
      <c r="AM296" s="143"/>
      <c r="AN296" s="143"/>
      <c r="AO296" s="143"/>
      <c r="AP296" s="143"/>
      <c r="AQ296" s="143"/>
      <c r="AR296" s="143"/>
      <c r="AS296" s="143"/>
    </row>
    <row r="297"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  <c r="AN297" s="143"/>
      <c r="AO297" s="143"/>
      <c r="AP297" s="143"/>
      <c r="AQ297" s="143"/>
      <c r="AR297" s="143"/>
      <c r="AS297" s="143"/>
    </row>
    <row r="298"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E298" s="143"/>
      <c r="AF298" s="143"/>
      <c r="AG298" s="143"/>
      <c r="AH298" s="143"/>
      <c r="AI298" s="143"/>
      <c r="AJ298" s="143"/>
      <c r="AK298" s="143"/>
      <c r="AL298" s="143"/>
      <c r="AM298" s="143"/>
      <c r="AN298" s="143"/>
      <c r="AO298" s="143"/>
      <c r="AP298" s="143"/>
      <c r="AQ298" s="143"/>
      <c r="AR298" s="143"/>
      <c r="AS298" s="143"/>
    </row>
    <row r="299"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E299" s="143"/>
      <c r="AF299" s="143"/>
      <c r="AG299" s="143"/>
      <c r="AH299" s="143"/>
      <c r="AI299" s="143"/>
      <c r="AJ299" s="143"/>
      <c r="AK299" s="143"/>
      <c r="AL299" s="143"/>
      <c r="AM299" s="143"/>
      <c r="AN299" s="143"/>
      <c r="AO299" s="143"/>
      <c r="AP299" s="143"/>
      <c r="AQ299" s="143"/>
      <c r="AR299" s="143"/>
      <c r="AS299" s="143"/>
    </row>
    <row r="300"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E300" s="143"/>
      <c r="AF300" s="143"/>
      <c r="AG300" s="143"/>
      <c r="AH300" s="143"/>
      <c r="AI300" s="143"/>
      <c r="AJ300" s="143"/>
      <c r="AK300" s="143"/>
      <c r="AL300" s="143"/>
      <c r="AM300" s="143"/>
      <c r="AN300" s="143"/>
      <c r="AO300" s="143"/>
      <c r="AP300" s="143"/>
      <c r="AQ300" s="143"/>
      <c r="AR300" s="143"/>
      <c r="AS300" s="143"/>
    </row>
    <row r="301"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E301" s="143"/>
      <c r="AF301" s="143"/>
      <c r="AG301" s="143"/>
      <c r="AH301" s="143"/>
      <c r="AI301" s="143"/>
      <c r="AJ301" s="143"/>
      <c r="AK301" s="143"/>
      <c r="AL301" s="143"/>
      <c r="AM301" s="143"/>
      <c r="AN301" s="143"/>
      <c r="AO301" s="143"/>
      <c r="AP301" s="143"/>
      <c r="AQ301" s="143"/>
      <c r="AR301" s="143"/>
      <c r="AS301" s="143"/>
    </row>
    <row r="302"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E302" s="143"/>
      <c r="AF302" s="143"/>
      <c r="AG302" s="143"/>
      <c r="AH302" s="143"/>
      <c r="AI302" s="143"/>
      <c r="AJ302" s="143"/>
      <c r="AK302" s="143"/>
      <c r="AL302" s="143"/>
      <c r="AM302" s="143"/>
      <c r="AN302" s="143"/>
      <c r="AO302" s="143"/>
      <c r="AP302" s="143"/>
      <c r="AQ302" s="143"/>
      <c r="AR302" s="143"/>
      <c r="AS302" s="143"/>
    </row>
    <row r="303"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E303" s="143"/>
      <c r="AF303" s="143"/>
      <c r="AG303" s="143"/>
      <c r="AH303" s="143"/>
      <c r="AI303" s="143"/>
      <c r="AJ303" s="143"/>
      <c r="AK303" s="143"/>
      <c r="AL303" s="143"/>
      <c r="AM303" s="143"/>
      <c r="AN303" s="143"/>
      <c r="AO303" s="143"/>
      <c r="AP303" s="143"/>
      <c r="AQ303" s="143"/>
      <c r="AR303" s="143"/>
      <c r="AS303" s="143"/>
    </row>
    <row r="304"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E304" s="143"/>
      <c r="AF304" s="143"/>
      <c r="AG304" s="143"/>
      <c r="AH304" s="143"/>
      <c r="AI304" s="143"/>
      <c r="AJ304" s="143"/>
      <c r="AK304" s="143"/>
      <c r="AL304" s="143"/>
      <c r="AM304" s="143"/>
      <c r="AN304" s="143"/>
      <c r="AO304" s="143"/>
      <c r="AP304" s="143"/>
      <c r="AQ304" s="143"/>
      <c r="AR304" s="143"/>
      <c r="AS304" s="143"/>
    </row>
    <row r="305"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E305" s="143"/>
      <c r="AF305" s="143"/>
      <c r="AG305" s="143"/>
      <c r="AH305" s="143"/>
      <c r="AI305" s="143"/>
      <c r="AJ305" s="143"/>
      <c r="AK305" s="143"/>
      <c r="AL305" s="143"/>
      <c r="AM305" s="143"/>
      <c r="AN305" s="143"/>
      <c r="AO305" s="143"/>
      <c r="AP305" s="143"/>
      <c r="AQ305" s="143"/>
      <c r="AR305" s="143"/>
      <c r="AS305" s="143"/>
    </row>
    <row r="306"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E306" s="143"/>
      <c r="AF306" s="143"/>
      <c r="AG306" s="143"/>
      <c r="AH306" s="143"/>
      <c r="AI306" s="143"/>
      <c r="AJ306" s="143"/>
      <c r="AK306" s="143"/>
      <c r="AL306" s="143"/>
      <c r="AM306" s="143"/>
      <c r="AN306" s="143"/>
      <c r="AO306" s="143"/>
      <c r="AP306" s="143"/>
      <c r="AQ306" s="143"/>
      <c r="AR306" s="143"/>
      <c r="AS306" s="143"/>
    </row>
    <row r="307"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E307" s="143"/>
      <c r="AF307" s="143"/>
      <c r="AG307" s="143"/>
      <c r="AH307" s="143"/>
      <c r="AI307" s="143"/>
      <c r="AJ307" s="143"/>
      <c r="AK307" s="143"/>
      <c r="AL307" s="143"/>
      <c r="AM307" s="143"/>
      <c r="AN307" s="143"/>
      <c r="AO307" s="143"/>
      <c r="AP307" s="143"/>
      <c r="AQ307" s="143"/>
      <c r="AR307" s="143"/>
      <c r="AS307" s="143"/>
    </row>
    <row r="308"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E308" s="143"/>
      <c r="AF308" s="143"/>
      <c r="AG308" s="143"/>
      <c r="AH308" s="143"/>
      <c r="AI308" s="143"/>
      <c r="AJ308" s="143"/>
      <c r="AK308" s="143"/>
      <c r="AL308" s="143"/>
      <c r="AM308" s="143"/>
      <c r="AN308" s="143"/>
      <c r="AO308" s="143"/>
      <c r="AP308" s="143"/>
      <c r="AQ308" s="143"/>
      <c r="AR308" s="143"/>
      <c r="AS308" s="143"/>
    </row>
    <row r="309"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E309" s="143"/>
      <c r="AF309" s="143"/>
      <c r="AG309" s="143"/>
      <c r="AH309" s="143"/>
      <c r="AI309" s="143"/>
      <c r="AJ309" s="143"/>
      <c r="AK309" s="143"/>
      <c r="AL309" s="143"/>
      <c r="AM309" s="143"/>
      <c r="AN309" s="143"/>
      <c r="AO309" s="143"/>
      <c r="AP309" s="143"/>
      <c r="AQ309" s="143"/>
      <c r="AR309" s="143"/>
      <c r="AS309" s="143"/>
    </row>
    <row r="310"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E310" s="143"/>
      <c r="AF310" s="143"/>
      <c r="AG310" s="143"/>
      <c r="AH310" s="143"/>
      <c r="AI310" s="143"/>
      <c r="AJ310" s="143"/>
      <c r="AK310" s="143"/>
      <c r="AL310" s="143"/>
      <c r="AM310" s="143"/>
      <c r="AN310" s="143"/>
      <c r="AO310" s="143"/>
      <c r="AP310" s="143"/>
      <c r="AQ310" s="143"/>
      <c r="AR310" s="143"/>
      <c r="AS310" s="143"/>
    </row>
    <row r="311"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E311" s="143"/>
      <c r="AF311" s="143"/>
      <c r="AG311" s="143"/>
      <c r="AH311" s="143"/>
      <c r="AI311" s="143"/>
      <c r="AJ311" s="143"/>
      <c r="AK311" s="143"/>
      <c r="AL311" s="143"/>
      <c r="AM311" s="143"/>
      <c r="AN311" s="143"/>
      <c r="AO311" s="143"/>
      <c r="AP311" s="143"/>
      <c r="AQ311" s="143"/>
      <c r="AR311" s="143"/>
      <c r="AS311" s="143"/>
    </row>
    <row r="312"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E312" s="143"/>
      <c r="AF312" s="143"/>
      <c r="AG312" s="143"/>
      <c r="AH312" s="143"/>
      <c r="AI312" s="143"/>
      <c r="AJ312" s="143"/>
      <c r="AK312" s="143"/>
      <c r="AL312" s="143"/>
      <c r="AM312" s="143"/>
      <c r="AN312" s="143"/>
      <c r="AO312" s="143"/>
      <c r="AP312" s="143"/>
      <c r="AQ312" s="143"/>
      <c r="AR312" s="143"/>
      <c r="AS312" s="143"/>
    </row>
    <row r="313"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E313" s="143"/>
      <c r="AF313" s="143"/>
      <c r="AG313" s="143"/>
      <c r="AH313" s="143"/>
      <c r="AI313" s="143"/>
      <c r="AJ313" s="143"/>
      <c r="AK313" s="143"/>
      <c r="AL313" s="143"/>
      <c r="AM313" s="143"/>
      <c r="AN313" s="143"/>
      <c r="AO313" s="143"/>
      <c r="AP313" s="143"/>
      <c r="AQ313" s="143"/>
      <c r="AR313" s="143"/>
      <c r="AS313" s="143"/>
    </row>
    <row r="314"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E314" s="143"/>
      <c r="AF314" s="143"/>
      <c r="AG314" s="143"/>
      <c r="AH314" s="143"/>
      <c r="AI314" s="143"/>
      <c r="AJ314" s="143"/>
      <c r="AK314" s="143"/>
      <c r="AL314" s="143"/>
      <c r="AM314" s="143"/>
      <c r="AN314" s="143"/>
      <c r="AO314" s="143"/>
      <c r="AP314" s="143"/>
      <c r="AQ314" s="143"/>
      <c r="AR314" s="143"/>
      <c r="AS314" s="143"/>
    </row>
    <row r="315"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E315" s="143"/>
      <c r="AF315" s="143"/>
      <c r="AG315" s="143"/>
      <c r="AH315" s="143"/>
      <c r="AI315" s="143"/>
      <c r="AJ315" s="143"/>
      <c r="AK315" s="143"/>
      <c r="AL315" s="143"/>
      <c r="AM315" s="143"/>
      <c r="AN315" s="143"/>
      <c r="AO315" s="143"/>
      <c r="AP315" s="143"/>
      <c r="AQ315" s="143"/>
      <c r="AR315" s="143"/>
      <c r="AS315" s="143"/>
    </row>
    <row r="316"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E316" s="143"/>
      <c r="AF316" s="143"/>
      <c r="AG316" s="143"/>
      <c r="AH316" s="143"/>
      <c r="AI316" s="143"/>
      <c r="AJ316" s="143"/>
      <c r="AK316" s="143"/>
      <c r="AL316" s="143"/>
      <c r="AM316" s="143"/>
      <c r="AN316" s="143"/>
      <c r="AO316" s="143"/>
      <c r="AP316" s="143"/>
      <c r="AQ316" s="143"/>
      <c r="AR316" s="143"/>
      <c r="AS316" s="143"/>
    </row>
    <row r="317"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E317" s="143"/>
      <c r="AF317" s="143"/>
      <c r="AG317" s="143"/>
      <c r="AH317" s="143"/>
      <c r="AI317" s="143"/>
      <c r="AJ317" s="143"/>
      <c r="AK317" s="143"/>
      <c r="AL317" s="143"/>
      <c r="AM317" s="143"/>
      <c r="AN317" s="143"/>
      <c r="AO317" s="143"/>
      <c r="AP317" s="143"/>
      <c r="AQ317" s="143"/>
      <c r="AR317" s="143"/>
      <c r="AS317" s="143"/>
    </row>
    <row r="318"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E318" s="143"/>
      <c r="AF318" s="143"/>
      <c r="AG318" s="143"/>
      <c r="AH318" s="143"/>
      <c r="AI318" s="143"/>
      <c r="AJ318" s="143"/>
      <c r="AK318" s="143"/>
      <c r="AL318" s="143"/>
      <c r="AM318" s="143"/>
      <c r="AN318" s="143"/>
      <c r="AO318" s="143"/>
      <c r="AP318" s="143"/>
      <c r="AQ318" s="143"/>
      <c r="AR318" s="143"/>
      <c r="AS318" s="143"/>
    </row>
    <row r="319"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3"/>
      <c r="AE319" s="143"/>
      <c r="AF319" s="143"/>
      <c r="AG319" s="143"/>
      <c r="AH319" s="143"/>
      <c r="AI319" s="143"/>
      <c r="AJ319" s="143"/>
      <c r="AK319" s="143"/>
      <c r="AL319" s="143"/>
      <c r="AM319" s="143"/>
      <c r="AN319" s="143"/>
      <c r="AO319" s="143"/>
      <c r="AP319" s="143"/>
      <c r="AQ319" s="143"/>
      <c r="AR319" s="143"/>
      <c r="AS319" s="143"/>
    </row>
    <row r="320"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3"/>
      <c r="AE320" s="143"/>
      <c r="AF320" s="143"/>
      <c r="AG320" s="143"/>
      <c r="AH320" s="143"/>
      <c r="AI320" s="143"/>
      <c r="AJ320" s="143"/>
      <c r="AK320" s="143"/>
      <c r="AL320" s="143"/>
      <c r="AM320" s="143"/>
      <c r="AN320" s="143"/>
      <c r="AO320" s="143"/>
      <c r="AP320" s="143"/>
      <c r="AQ320" s="143"/>
      <c r="AR320" s="143"/>
      <c r="AS320" s="143"/>
    </row>
    <row r="321"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3"/>
      <c r="AE321" s="143"/>
      <c r="AF321" s="143"/>
      <c r="AG321" s="143"/>
      <c r="AH321" s="143"/>
      <c r="AI321" s="143"/>
      <c r="AJ321" s="143"/>
      <c r="AK321" s="143"/>
      <c r="AL321" s="143"/>
      <c r="AM321" s="143"/>
      <c r="AN321" s="143"/>
      <c r="AO321" s="143"/>
      <c r="AP321" s="143"/>
      <c r="AQ321" s="143"/>
      <c r="AR321" s="143"/>
      <c r="AS321" s="143"/>
    </row>
    <row r="322"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  <c r="AA322" s="143"/>
      <c r="AE322" s="143"/>
      <c r="AF322" s="143"/>
      <c r="AG322" s="143"/>
      <c r="AH322" s="143"/>
      <c r="AI322" s="143"/>
      <c r="AJ322" s="143"/>
      <c r="AK322" s="143"/>
      <c r="AL322" s="143"/>
      <c r="AM322" s="143"/>
      <c r="AN322" s="143"/>
      <c r="AO322" s="143"/>
      <c r="AP322" s="143"/>
      <c r="AQ322" s="143"/>
      <c r="AR322" s="143"/>
      <c r="AS322" s="143"/>
    </row>
    <row r="323"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E323" s="143"/>
      <c r="AF323" s="143"/>
      <c r="AG323" s="143"/>
      <c r="AH323" s="143"/>
      <c r="AI323" s="143"/>
      <c r="AJ323" s="143"/>
      <c r="AK323" s="143"/>
      <c r="AL323" s="143"/>
      <c r="AM323" s="143"/>
      <c r="AN323" s="143"/>
      <c r="AO323" s="143"/>
      <c r="AP323" s="143"/>
      <c r="AQ323" s="143"/>
      <c r="AR323" s="143"/>
      <c r="AS323" s="143"/>
    </row>
    <row r="324"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E324" s="143"/>
      <c r="AF324" s="143"/>
      <c r="AG324" s="143"/>
      <c r="AH324" s="143"/>
      <c r="AI324" s="143"/>
      <c r="AJ324" s="143"/>
      <c r="AK324" s="143"/>
      <c r="AL324" s="143"/>
      <c r="AM324" s="143"/>
      <c r="AN324" s="143"/>
      <c r="AO324" s="143"/>
      <c r="AP324" s="143"/>
      <c r="AQ324" s="143"/>
      <c r="AR324" s="143"/>
      <c r="AS324" s="143"/>
    </row>
    <row r="325"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E325" s="143"/>
      <c r="AF325" s="143"/>
      <c r="AG325" s="143"/>
      <c r="AH325" s="143"/>
      <c r="AI325" s="143"/>
      <c r="AJ325" s="143"/>
      <c r="AK325" s="143"/>
      <c r="AL325" s="143"/>
      <c r="AM325" s="143"/>
      <c r="AN325" s="143"/>
      <c r="AO325" s="143"/>
      <c r="AP325" s="143"/>
      <c r="AQ325" s="143"/>
      <c r="AR325" s="143"/>
      <c r="AS325" s="143"/>
    </row>
    <row r="326"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E326" s="143"/>
      <c r="AF326" s="143"/>
      <c r="AG326" s="143"/>
      <c r="AH326" s="143"/>
      <c r="AI326" s="143"/>
      <c r="AJ326" s="143"/>
      <c r="AK326" s="143"/>
      <c r="AL326" s="143"/>
      <c r="AM326" s="143"/>
      <c r="AN326" s="143"/>
      <c r="AO326" s="143"/>
      <c r="AP326" s="143"/>
      <c r="AQ326" s="143"/>
      <c r="AR326" s="143"/>
      <c r="AS326" s="143"/>
    </row>
    <row r="327"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E327" s="143"/>
      <c r="AF327" s="143"/>
      <c r="AG327" s="143"/>
      <c r="AH327" s="143"/>
      <c r="AI327" s="143"/>
      <c r="AJ327" s="143"/>
      <c r="AK327" s="143"/>
      <c r="AL327" s="143"/>
      <c r="AM327" s="143"/>
      <c r="AN327" s="143"/>
      <c r="AO327" s="143"/>
      <c r="AP327" s="143"/>
      <c r="AQ327" s="143"/>
      <c r="AR327" s="143"/>
      <c r="AS327" s="143"/>
    </row>
    <row r="328"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E328" s="143"/>
      <c r="AF328" s="143"/>
      <c r="AG328" s="143"/>
      <c r="AH328" s="143"/>
      <c r="AI328" s="143"/>
      <c r="AJ328" s="143"/>
      <c r="AK328" s="143"/>
      <c r="AL328" s="143"/>
      <c r="AM328" s="143"/>
      <c r="AN328" s="143"/>
      <c r="AO328" s="143"/>
      <c r="AP328" s="143"/>
      <c r="AQ328" s="143"/>
      <c r="AR328" s="143"/>
      <c r="AS328" s="143"/>
    </row>
    <row r="329"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E329" s="143"/>
      <c r="AF329" s="143"/>
      <c r="AG329" s="143"/>
      <c r="AH329" s="143"/>
      <c r="AI329" s="143"/>
      <c r="AJ329" s="143"/>
      <c r="AK329" s="143"/>
      <c r="AL329" s="143"/>
      <c r="AM329" s="143"/>
      <c r="AN329" s="143"/>
      <c r="AO329" s="143"/>
      <c r="AP329" s="143"/>
      <c r="AQ329" s="143"/>
      <c r="AR329" s="143"/>
      <c r="AS329" s="143"/>
    </row>
    <row r="330"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E330" s="143"/>
      <c r="AF330" s="143"/>
      <c r="AG330" s="143"/>
      <c r="AH330" s="143"/>
      <c r="AI330" s="143"/>
      <c r="AJ330" s="143"/>
      <c r="AK330" s="143"/>
      <c r="AL330" s="143"/>
      <c r="AM330" s="143"/>
      <c r="AN330" s="143"/>
      <c r="AO330" s="143"/>
      <c r="AP330" s="143"/>
      <c r="AQ330" s="143"/>
      <c r="AR330" s="143"/>
      <c r="AS330" s="143"/>
    </row>
    <row r="331"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E331" s="143"/>
      <c r="AF331" s="143"/>
      <c r="AG331" s="143"/>
      <c r="AH331" s="143"/>
      <c r="AI331" s="143"/>
      <c r="AJ331" s="143"/>
      <c r="AK331" s="143"/>
      <c r="AL331" s="143"/>
      <c r="AM331" s="143"/>
      <c r="AN331" s="143"/>
      <c r="AO331" s="143"/>
      <c r="AP331" s="143"/>
      <c r="AQ331" s="143"/>
      <c r="AR331" s="143"/>
      <c r="AS331" s="143"/>
    </row>
    <row r="332"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E332" s="143"/>
      <c r="AF332" s="143"/>
      <c r="AG332" s="143"/>
      <c r="AH332" s="143"/>
      <c r="AI332" s="143"/>
      <c r="AJ332" s="143"/>
      <c r="AK332" s="143"/>
      <c r="AL332" s="143"/>
      <c r="AM332" s="143"/>
      <c r="AN332" s="143"/>
      <c r="AO332" s="143"/>
      <c r="AP332" s="143"/>
      <c r="AQ332" s="143"/>
      <c r="AR332" s="143"/>
      <c r="AS332" s="143"/>
    </row>
    <row r="333"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E333" s="143"/>
      <c r="AF333" s="143"/>
      <c r="AG333" s="143"/>
      <c r="AH333" s="143"/>
      <c r="AI333" s="143"/>
      <c r="AJ333" s="143"/>
      <c r="AK333" s="143"/>
      <c r="AL333" s="143"/>
      <c r="AM333" s="143"/>
      <c r="AN333" s="143"/>
      <c r="AO333" s="143"/>
      <c r="AP333" s="143"/>
      <c r="AQ333" s="143"/>
      <c r="AR333" s="143"/>
      <c r="AS333" s="143"/>
    </row>
    <row r="334"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E334" s="143"/>
      <c r="AF334" s="143"/>
      <c r="AG334" s="143"/>
      <c r="AH334" s="143"/>
      <c r="AI334" s="143"/>
      <c r="AJ334" s="143"/>
      <c r="AK334" s="143"/>
      <c r="AL334" s="143"/>
      <c r="AM334" s="143"/>
      <c r="AN334" s="143"/>
      <c r="AO334" s="143"/>
      <c r="AP334" s="143"/>
      <c r="AQ334" s="143"/>
      <c r="AR334" s="143"/>
      <c r="AS334" s="143"/>
    </row>
    <row r="335"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E335" s="143"/>
      <c r="AF335" s="143"/>
      <c r="AG335" s="143"/>
      <c r="AH335" s="143"/>
      <c r="AI335" s="143"/>
      <c r="AJ335" s="143"/>
      <c r="AK335" s="143"/>
      <c r="AL335" s="143"/>
      <c r="AM335" s="143"/>
      <c r="AN335" s="143"/>
      <c r="AO335" s="143"/>
      <c r="AP335" s="143"/>
      <c r="AQ335" s="143"/>
      <c r="AR335" s="143"/>
      <c r="AS335" s="143"/>
    </row>
    <row r="336"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E336" s="143"/>
      <c r="AF336" s="143"/>
      <c r="AG336" s="143"/>
      <c r="AH336" s="143"/>
      <c r="AI336" s="143"/>
      <c r="AJ336" s="143"/>
      <c r="AK336" s="143"/>
      <c r="AL336" s="143"/>
      <c r="AM336" s="143"/>
      <c r="AN336" s="143"/>
      <c r="AO336" s="143"/>
      <c r="AP336" s="143"/>
      <c r="AQ336" s="143"/>
      <c r="AR336" s="143"/>
      <c r="AS336" s="143"/>
    </row>
    <row r="337"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E337" s="143"/>
      <c r="AF337" s="143"/>
      <c r="AG337" s="143"/>
      <c r="AH337" s="143"/>
      <c r="AI337" s="143"/>
      <c r="AJ337" s="143"/>
      <c r="AK337" s="143"/>
      <c r="AL337" s="143"/>
      <c r="AM337" s="143"/>
      <c r="AN337" s="143"/>
      <c r="AO337" s="143"/>
      <c r="AP337" s="143"/>
      <c r="AQ337" s="143"/>
      <c r="AR337" s="143"/>
      <c r="AS337" s="143"/>
    </row>
    <row r="338"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E338" s="143"/>
      <c r="AF338" s="143"/>
      <c r="AG338" s="143"/>
      <c r="AH338" s="143"/>
      <c r="AI338" s="143"/>
      <c r="AJ338" s="143"/>
      <c r="AK338" s="143"/>
      <c r="AL338" s="143"/>
      <c r="AM338" s="143"/>
      <c r="AN338" s="143"/>
      <c r="AO338" s="143"/>
      <c r="AP338" s="143"/>
      <c r="AQ338" s="143"/>
      <c r="AR338" s="143"/>
      <c r="AS338" s="143"/>
    </row>
    <row r="339"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E339" s="143"/>
      <c r="AF339" s="143"/>
      <c r="AG339" s="143"/>
      <c r="AH339" s="143"/>
      <c r="AI339" s="143"/>
      <c r="AJ339" s="143"/>
      <c r="AK339" s="143"/>
      <c r="AL339" s="143"/>
      <c r="AM339" s="143"/>
      <c r="AN339" s="143"/>
      <c r="AO339" s="143"/>
      <c r="AP339" s="143"/>
      <c r="AQ339" s="143"/>
      <c r="AR339" s="143"/>
      <c r="AS339" s="143"/>
    </row>
    <row r="340"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E340" s="143"/>
      <c r="AF340" s="143"/>
      <c r="AG340" s="143"/>
      <c r="AH340" s="143"/>
      <c r="AI340" s="143"/>
      <c r="AJ340" s="143"/>
      <c r="AK340" s="143"/>
      <c r="AL340" s="143"/>
      <c r="AM340" s="143"/>
      <c r="AN340" s="143"/>
      <c r="AO340" s="143"/>
      <c r="AP340" s="143"/>
      <c r="AQ340" s="143"/>
      <c r="AR340" s="143"/>
      <c r="AS340" s="143"/>
    </row>
    <row r="341"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E341" s="143"/>
      <c r="AF341" s="143"/>
      <c r="AG341" s="143"/>
      <c r="AH341" s="143"/>
      <c r="AI341" s="143"/>
      <c r="AJ341" s="143"/>
      <c r="AK341" s="143"/>
      <c r="AL341" s="143"/>
      <c r="AM341" s="143"/>
      <c r="AN341" s="143"/>
      <c r="AO341" s="143"/>
      <c r="AP341" s="143"/>
      <c r="AQ341" s="143"/>
      <c r="AR341" s="143"/>
      <c r="AS341" s="143"/>
    </row>
    <row r="342"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E342" s="143"/>
      <c r="AF342" s="143"/>
      <c r="AG342" s="143"/>
      <c r="AH342" s="143"/>
      <c r="AI342" s="143"/>
      <c r="AJ342" s="143"/>
      <c r="AK342" s="143"/>
      <c r="AL342" s="143"/>
      <c r="AM342" s="143"/>
      <c r="AN342" s="143"/>
      <c r="AO342" s="143"/>
      <c r="AP342" s="143"/>
      <c r="AQ342" s="143"/>
      <c r="AR342" s="143"/>
      <c r="AS342" s="143"/>
    </row>
    <row r="343"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E343" s="143"/>
      <c r="AF343" s="143"/>
      <c r="AG343" s="143"/>
      <c r="AH343" s="143"/>
      <c r="AI343" s="143"/>
      <c r="AJ343" s="143"/>
      <c r="AK343" s="143"/>
      <c r="AL343" s="143"/>
      <c r="AM343" s="143"/>
      <c r="AN343" s="143"/>
      <c r="AO343" s="143"/>
      <c r="AP343" s="143"/>
      <c r="AQ343" s="143"/>
      <c r="AR343" s="143"/>
      <c r="AS343" s="143"/>
    </row>
    <row r="344"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E344" s="143"/>
      <c r="AF344" s="143"/>
      <c r="AG344" s="143"/>
      <c r="AH344" s="143"/>
      <c r="AI344" s="143"/>
      <c r="AJ344" s="143"/>
      <c r="AK344" s="143"/>
      <c r="AL344" s="143"/>
      <c r="AM344" s="143"/>
      <c r="AN344" s="143"/>
      <c r="AO344" s="143"/>
      <c r="AP344" s="143"/>
      <c r="AQ344" s="143"/>
      <c r="AR344" s="143"/>
      <c r="AS344" s="143"/>
    </row>
    <row r="345"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E345" s="143"/>
      <c r="AF345" s="143"/>
      <c r="AG345" s="143"/>
      <c r="AH345" s="143"/>
      <c r="AI345" s="143"/>
      <c r="AJ345" s="143"/>
      <c r="AK345" s="143"/>
      <c r="AL345" s="143"/>
      <c r="AM345" s="143"/>
      <c r="AN345" s="143"/>
      <c r="AO345" s="143"/>
      <c r="AP345" s="143"/>
      <c r="AQ345" s="143"/>
      <c r="AR345" s="143"/>
      <c r="AS345" s="143"/>
    </row>
    <row r="346"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E346" s="143"/>
      <c r="AF346" s="143"/>
      <c r="AG346" s="143"/>
      <c r="AH346" s="143"/>
      <c r="AI346" s="143"/>
      <c r="AJ346" s="143"/>
      <c r="AK346" s="143"/>
      <c r="AL346" s="143"/>
      <c r="AM346" s="143"/>
      <c r="AN346" s="143"/>
      <c r="AO346" s="143"/>
      <c r="AP346" s="143"/>
      <c r="AQ346" s="143"/>
      <c r="AR346" s="143"/>
      <c r="AS346" s="143"/>
    </row>
    <row r="347"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E347" s="143"/>
      <c r="AF347" s="143"/>
      <c r="AG347" s="143"/>
      <c r="AH347" s="143"/>
      <c r="AI347" s="143"/>
      <c r="AJ347" s="143"/>
      <c r="AK347" s="143"/>
      <c r="AL347" s="143"/>
      <c r="AM347" s="143"/>
      <c r="AN347" s="143"/>
      <c r="AO347" s="143"/>
      <c r="AP347" s="143"/>
      <c r="AQ347" s="143"/>
      <c r="AR347" s="143"/>
      <c r="AS347" s="143"/>
    </row>
    <row r="348"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E348" s="143"/>
      <c r="AF348" s="143"/>
      <c r="AG348" s="143"/>
      <c r="AH348" s="143"/>
      <c r="AI348" s="143"/>
      <c r="AJ348" s="143"/>
      <c r="AK348" s="143"/>
      <c r="AL348" s="143"/>
      <c r="AM348" s="143"/>
      <c r="AN348" s="143"/>
      <c r="AO348" s="143"/>
      <c r="AP348" s="143"/>
      <c r="AQ348" s="143"/>
      <c r="AR348" s="143"/>
      <c r="AS348" s="143"/>
    </row>
    <row r="349"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E349" s="143"/>
      <c r="AF349" s="143"/>
      <c r="AG349" s="143"/>
      <c r="AH349" s="143"/>
      <c r="AI349" s="143"/>
      <c r="AJ349" s="143"/>
      <c r="AK349" s="143"/>
      <c r="AL349" s="143"/>
      <c r="AM349" s="143"/>
      <c r="AN349" s="143"/>
      <c r="AO349" s="143"/>
      <c r="AP349" s="143"/>
      <c r="AQ349" s="143"/>
      <c r="AR349" s="143"/>
      <c r="AS349" s="143"/>
    </row>
    <row r="350"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E350" s="143"/>
      <c r="AF350" s="143"/>
      <c r="AG350" s="143"/>
      <c r="AH350" s="143"/>
      <c r="AI350" s="143"/>
      <c r="AJ350" s="143"/>
      <c r="AK350" s="143"/>
      <c r="AL350" s="143"/>
      <c r="AM350" s="143"/>
      <c r="AN350" s="143"/>
      <c r="AO350" s="143"/>
      <c r="AP350" s="143"/>
      <c r="AQ350" s="143"/>
      <c r="AR350" s="143"/>
      <c r="AS350" s="143"/>
    </row>
    <row r="351"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  <c r="AA351" s="143"/>
      <c r="AE351" s="143"/>
      <c r="AF351" s="143"/>
      <c r="AG351" s="143"/>
      <c r="AH351" s="143"/>
      <c r="AI351" s="143"/>
      <c r="AJ351" s="143"/>
      <c r="AK351" s="143"/>
      <c r="AL351" s="143"/>
      <c r="AM351" s="143"/>
      <c r="AN351" s="143"/>
      <c r="AO351" s="143"/>
      <c r="AP351" s="143"/>
      <c r="AQ351" s="143"/>
      <c r="AR351" s="143"/>
      <c r="AS351" s="143"/>
    </row>
    <row r="352"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  <c r="AA352" s="143"/>
      <c r="AE352" s="143"/>
      <c r="AF352" s="143"/>
      <c r="AG352" s="143"/>
      <c r="AH352" s="143"/>
      <c r="AI352" s="143"/>
      <c r="AJ352" s="143"/>
      <c r="AK352" s="143"/>
      <c r="AL352" s="143"/>
      <c r="AM352" s="143"/>
      <c r="AN352" s="143"/>
      <c r="AO352" s="143"/>
      <c r="AP352" s="143"/>
      <c r="AQ352" s="143"/>
      <c r="AR352" s="143"/>
      <c r="AS352" s="143"/>
    </row>
    <row r="353"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  <c r="AA353" s="143"/>
      <c r="AE353" s="143"/>
      <c r="AF353" s="143"/>
      <c r="AG353" s="143"/>
      <c r="AH353" s="143"/>
      <c r="AI353" s="143"/>
      <c r="AJ353" s="143"/>
      <c r="AK353" s="143"/>
      <c r="AL353" s="143"/>
      <c r="AM353" s="143"/>
      <c r="AN353" s="143"/>
      <c r="AO353" s="143"/>
      <c r="AP353" s="143"/>
      <c r="AQ353" s="143"/>
      <c r="AR353" s="143"/>
      <c r="AS353" s="143"/>
    </row>
    <row r="354"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E354" s="143"/>
      <c r="AF354" s="143"/>
      <c r="AG354" s="143"/>
      <c r="AH354" s="143"/>
      <c r="AI354" s="143"/>
      <c r="AJ354" s="143"/>
      <c r="AK354" s="143"/>
      <c r="AL354" s="143"/>
      <c r="AM354" s="143"/>
      <c r="AN354" s="143"/>
      <c r="AO354" s="143"/>
      <c r="AP354" s="143"/>
      <c r="AQ354" s="143"/>
      <c r="AR354" s="143"/>
      <c r="AS354" s="143"/>
    </row>
    <row r="355"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E355" s="143"/>
      <c r="AF355" s="143"/>
      <c r="AG355" s="143"/>
      <c r="AH355" s="143"/>
      <c r="AI355" s="143"/>
      <c r="AJ355" s="143"/>
      <c r="AK355" s="143"/>
      <c r="AL355" s="143"/>
      <c r="AM355" s="143"/>
      <c r="AN355" s="143"/>
      <c r="AO355" s="143"/>
      <c r="AP355" s="143"/>
      <c r="AQ355" s="143"/>
      <c r="AR355" s="143"/>
      <c r="AS355" s="143"/>
    </row>
    <row r="356"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E356" s="143"/>
      <c r="AF356" s="143"/>
      <c r="AG356" s="143"/>
      <c r="AH356" s="143"/>
      <c r="AI356" s="143"/>
      <c r="AJ356" s="143"/>
      <c r="AK356" s="143"/>
      <c r="AL356" s="143"/>
      <c r="AM356" s="143"/>
      <c r="AN356" s="143"/>
      <c r="AO356" s="143"/>
      <c r="AP356" s="143"/>
      <c r="AQ356" s="143"/>
      <c r="AR356" s="143"/>
      <c r="AS356" s="143"/>
    </row>
    <row r="357"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E357" s="143"/>
      <c r="AF357" s="143"/>
      <c r="AG357" s="143"/>
      <c r="AH357" s="143"/>
      <c r="AI357" s="143"/>
      <c r="AJ357" s="143"/>
      <c r="AK357" s="143"/>
      <c r="AL357" s="143"/>
      <c r="AM357" s="143"/>
      <c r="AN357" s="143"/>
      <c r="AO357" s="143"/>
      <c r="AP357" s="143"/>
      <c r="AQ357" s="143"/>
      <c r="AR357" s="143"/>
      <c r="AS357" s="143"/>
    </row>
    <row r="358"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E358" s="143"/>
      <c r="AF358" s="143"/>
      <c r="AG358" s="143"/>
      <c r="AH358" s="143"/>
      <c r="AI358" s="143"/>
      <c r="AJ358" s="143"/>
      <c r="AK358" s="143"/>
      <c r="AL358" s="143"/>
      <c r="AM358" s="143"/>
      <c r="AN358" s="143"/>
      <c r="AO358" s="143"/>
      <c r="AP358" s="143"/>
      <c r="AQ358" s="143"/>
      <c r="AR358" s="143"/>
      <c r="AS358" s="143"/>
    </row>
    <row r="359"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E359" s="143"/>
      <c r="AF359" s="143"/>
      <c r="AG359" s="143"/>
      <c r="AH359" s="143"/>
      <c r="AI359" s="143"/>
      <c r="AJ359" s="143"/>
      <c r="AK359" s="143"/>
      <c r="AL359" s="143"/>
      <c r="AM359" s="143"/>
      <c r="AN359" s="143"/>
      <c r="AO359" s="143"/>
      <c r="AP359" s="143"/>
      <c r="AQ359" s="143"/>
      <c r="AR359" s="143"/>
      <c r="AS359" s="143"/>
    </row>
    <row r="360"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E360" s="143"/>
      <c r="AF360" s="143"/>
      <c r="AG360" s="143"/>
      <c r="AH360" s="143"/>
      <c r="AI360" s="143"/>
      <c r="AJ360" s="143"/>
      <c r="AK360" s="143"/>
      <c r="AL360" s="143"/>
      <c r="AM360" s="143"/>
      <c r="AN360" s="143"/>
      <c r="AO360" s="143"/>
      <c r="AP360" s="143"/>
      <c r="AQ360" s="143"/>
      <c r="AR360" s="143"/>
      <c r="AS360" s="143"/>
    </row>
    <row r="361"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E361" s="143"/>
      <c r="AF361" s="143"/>
      <c r="AG361" s="143"/>
      <c r="AH361" s="143"/>
      <c r="AI361" s="143"/>
      <c r="AJ361" s="143"/>
      <c r="AK361" s="143"/>
      <c r="AL361" s="143"/>
      <c r="AM361" s="143"/>
      <c r="AN361" s="143"/>
      <c r="AO361" s="143"/>
      <c r="AP361" s="143"/>
      <c r="AQ361" s="143"/>
      <c r="AR361" s="143"/>
      <c r="AS361" s="143"/>
    </row>
    <row r="362"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E362" s="143"/>
      <c r="AF362" s="143"/>
      <c r="AG362" s="143"/>
      <c r="AH362" s="143"/>
      <c r="AI362" s="143"/>
      <c r="AJ362" s="143"/>
      <c r="AK362" s="143"/>
      <c r="AL362" s="143"/>
      <c r="AM362" s="143"/>
      <c r="AN362" s="143"/>
      <c r="AO362" s="143"/>
      <c r="AP362" s="143"/>
      <c r="AQ362" s="143"/>
      <c r="AR362" s="143"/>
      <c r="AS362" s="143"/>
    </row>
    <row r="363"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E363" s="143"/>
      <c r="AF363" s="143"/>
      <c r="AG363" s="143"/>
      <c r="AH363" s="143"/>
      <c r="AI363" s="143"/>
      <c r="AJ363" s="143"/>
      <c r="AK363" s="143"/>
      <c r="AL363" s="143"/>
      <c r="AM363" s="143"/>
      <c r="AN363" s="143"/>
      <c r="AO363" s="143"/>
      <c r="AP363" s="143"/>
      <c r="AQ363" s="143"/>
      <c r="AR363" s="143"/>
      <c r="AS363" s="143"/>
    </row>
    <row r="364"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E364" s="143"/>
      <c r="AF364" s="143"/>
      <c r="AG364" s="143"/>
      <c r="AH364" s="143"/>
      <c r="AI364" s="143"/>
      <c r="AJ364" s="143"/>
      <c r="AK364" s="143"/>
      <c r="AL364" s="143"/>
      <c r="AM364" s="143"/>
      <c r="AN364" s="143"/>
      <c r="AO364" s="143"/>
      <c r="AP364" s="143"/>
      <c r="AQ364" s="143"/>
      <c r="AR364" s="143"/>
      <c r="AS364" s="143"/>
    </row>
    <row r="365"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E365" s="143"/>
      <c r="AF365" s="143"/>
      <c r="AG365" s="143"/>
      <c r="AH365" s="143"/>
      <c r="AI365" s="143"/>
      <c r="AJ365" s="143"/>
      <c r="AK365" s="143"/>
      <c r="AL365" s="143"/>
      <c r="AM365" s="143"/>
      <c r="AN365" s="143"/>
      <c r="AO365" s="143"/>
      <c r="AP365" s="143"/>
      <c r="AQ365" s="143"/>
      <c r="AR365" s="143"/>
      <c r="AS365" s="143"/>
    </row>
    <row r="366"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E366" s="143"/>
      <c r="AF366" s="143"/>
      <c r="AG366" s="143"/>
      <c r="AH366" s="143"/>
      <c r="AI366" s="143"/>
      <c r="AJ366" s="143"/>
      <c r="AK366" s="143"/>
      <c r="AL366" s="143"/>
      <c r="AM366" s="143"/>
      <c r="AN366" s="143"/>
      <c r="AO366" s="143"/>
      <c r="AP366" s="143"/>
      <c r="AQ366" s="143"/>
      <c r="AR366" s="143"/>
      <c r="AS366" s="143"/>
    </row>
    <row r="367"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E367" s="143"/>
      <c r="AF367" s="143"/>
      <c r="AG367" s="143"/>
      <c r="AH367" s="143"/>
      <c r="AI367" s="143"/>
      <c r="AJ367" s="143"/>
      <c r="AK367" s="143"/>
      <c r="AL367" s="143"/>
      <c r="AM367" s="143"/>
      <c r="AN367" s="143"/>
      <c r="AO367" s="143"/>
      <c r="AP367" s="143"/>
      <c r="AQ367" s="143"/>
      <c r="AR367" s="143"/>
      <c r="AS367" s="143"/>
    </row>
    <row r="368"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E368" s="143"/>
      <c r="AF368" s="143"/>
      <c r="AG368" s="143"/>
      <c r="AH368" s="143"/>
      <c r="AI368" s="143"/>
      <c r="AJ368" s="143"/>
      <c r="AK368" s="143"/>
      <c r="AL368" s="143"/>
      <c r="AM368" s="143"/>
      <c r="AN368" s="143"/>
      <c r="AO368" s="143"/>
      <c r="AP368" s="143"/>
      <c r="AQ368" s="143"/>
      <c r="AR368" s="143"/>
      <c r="AS368" s="143"/>
    </row>
    <row r="369"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E369" s="143"/>
      <c r="AF369" s="143"/>
      <c r="AG369" s="143"/>
      <c r="AH369" s="143"/>
      <c r="AI369" s="143"/>
      <c r="AJ369" s="143"/>
      <c r="AK369" s="143"/>
      <c r="AL369" s="143"/>
      <c r="AM369" s="143"/>
      <c r="AN369" s="143"/>
      <c r="AO369" s="143"/>
      <c r="AP369" s="143"/>
      <c r="AQ369" s="143"/>
      <c r="AR369" s="143"/>
      <c r="AS369" s="143"/>
    </row>
    <row r="370"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E370" s="143"/>
      <c r="AF370" s="143"/>
      <c r="AG370" s="143"/>
      <c r="AH370" s="143"/>
      <c r="AI370" s="143"/>
      <c r="AJ370" s="143"/>
      <c r="AK370" s="143"/>
      <c r="AL370" s="143"/>
      <c r="AM370" s="143"/>
      <c r="AN370" s="143"/>
      <c r="AO370" s="143"/>
      <c r="AP370" s="143"/>
      <c r="AQ370" s="143"/>
      <c r="AR370" s="143"/>
      <c r="AS370" s="143"/>
    </row>
    <row r="371"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E371" s="143"/>
      <c r="AF371" s="143"/>
      <c r="AG371" s="143"/>
      <c r="AH371" s="143"/>
      <c r="AI371" s="143"/>
      <c r="AJ371" s="143"/>
      <c r="AK371" s="143"/>
      <c r="AL371" s="143"/>
      <c r="AM371" s="143"/>
      <c r="AN371" s="143"/>
      <c r="AO371" s="143"/>
      <c r="AP371" s="143"/>
      <c r="AQ371" s="143"/>
      <c r="AR371" s="143"/>
      <c r="AS371" s="143"/>
    </row>
    <row r="372"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  <c r="AA372" s="143"/>
      <c r="AE372" s="143"/>
      <c r="AF372" s="143"/>
      <c r="AG372" s="143"/>
      <c r="AH372" s="143"/>
      <c r="AI372" s="143"/>
      <c r="AJ372" s="143"/>
      <c r="AK372" s="143"/>
      <c r="AL372" s="143"/>
      <c r="AM372" s="143"/>
      <c r="AN372" s="143"/>
      <c r="AO372" s="143"/>
      <c r="AP372" s="143"/>
      <c r="AQ372" s="143"/>
      <c r="AR372" s="143"/>
      <c r="AS372" s="143"/>
    </row>
    <row r="373"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  <c r="AA373" s="143"/>
      <c r="AE373" s="143"/>
      <c r="AF373" s="143"/>
      <c r="AG373" s="143"/>
      <c r="AH373" s="143"/>
      <c r="AI373" s="143"/>
      <c r="AJ373" s="143"/>
      <c r="AK373" s="143"/>
      <c r="AL373" s="143"/>
      <c r="AM373" s="143"/>
      <c r="AN373" s="143"/>
      <c r="AO373" s="143"/>
      <c r="AP373" s="143"/>
      <c r="AQ373" s="143"/>
      <c r="AR373" s="143"/>
      <c r="AS373" s="143"/>
    </row>
    <row r="374"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  <c r="AA374" s="143"/>
      <c r="AE374" s="143"/>
      <c r="AF374" s="143"/>
      <c r="AG374" s="143"/>
      <c r="AH374" s="143"/>
      <c r="AI374" s="143"/>
      <c r="AJ374" s="143"/>
      <c r="AK374" s="143"/>
      <c r="AL374" s="143"/>
      <c r="AM374" s="143"/>
      <c r="AN374" s="143"/>
      <c r="AO374" s="143"/>
      <c r="AP374" s="143"/>
      <c r="AQ374" s="143"/>
      <c r="AR374" s="143"/>
      <c r="AS374" s="143"/>
    </row>
    <row r="375"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3"/>
      <c r="AE375" s="143"/>
      <c r="AF375" s="143"/>
      <c r="AG375" s="143"/>
      <c r="AH375" s="143"/>
      <c r="AI375" s="143"/>
      <c r="AJ375" s="143"/>
      <c r="AK375" s="143"/>
      <c r="AL375" s="143"/>
      <c r="AM375" s="143"/>
      <c r="AN375" s="143"/>
      <c r="AO375" s="143"/>
      <c r="AP375" s="143"/>
      <c r="AQ375" s="143"/>
      <c r="AR375" s="143"/>
      <c r="AS375" s="143"/>
    </row>
    <row r="376"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  <c r="AA376" s="143"/>
      <c r="AE376" s="143"/>
      <c r="AF376" s="143"/>
      <c r="AG376" s="143"/>
      <c r="AH376" s="143"/>
      <c r="AI376" s="143"/>
      <c r="AJ376" s="143"/>
      <c r="AK376" s="143"/>
      <c r="AL376" s="143"/>
      <c r="AM376" s="143"/>
      <c r="AN376" s="143"/>
      <c r="AO376" s="143"/>
      <c r="AP376" s="143"/>
      <c r="AQ376" s="143"/>
      <c r="AR376" s="143"/>
      <c r="AS376" s="143"/>
    </row>
    <row r="377"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  <c r="AA377" s="143"/>
      <c r="AE377" s="143"/>
      <c r="AF377" s="143"/>
      <c r="AG377" s="143"/>
      <c r="AH377" s="143"/>
      <c r="AI377" s="143"/>
      <c r="AJ377" s="143"/>
      <c r="AK377" s="143"/>
      <c r="AL377" s="143"/>
      <c r="AM377" s="143"/>
      <c r="AN377" s="143"/>
      <c r="AO377" s="143"/>
      <c r="AP377" s="143"/>
      <c r="AQ377" s="143"/>
      <c r="AR377" s="143"/>
      <c r="AS377" s="143"/>
    </row>
    <row r="378"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  <c r="AA378" s="143"/>
      <c r="AE378" s="143"/>
      <c r="AF378" s="143"/>
      <c r="AG378" s="143"/>
      <c r="AH378" s="143"/>
      <c r="AI378" s="143"/>
      <c r="AJ378" s="143"/>
      <c r="AK378" s="143"/>
      <c r="AL378" s="143"/>
      <c r="AM378" s="143"/>
      <c r="AN378" s="143"/>
      <c r="AO378" s="143"/>
      <c r="AP378" s="143"/>
      <c r="AQ378" s="143"/>
      <c r="AR378" s="143"/>
      <c r="AS378" s="143"/>
    </row>
    <row r="379"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  <c r="AA379" s="143"/>
      <c r="AE379" s="143"/>
      <c r="AF379" s="143"/>
      <c r="AG379" s="143"/>
      <c r="AH379" s="143"/>
      <c r="AI379" s="143"/>
      <c r="AJ379" s="143"/>
      <c r="AK379" s="143"/>
      <c r="AL379" s="143"/>
      <c r="AM379" s="143"/>
      <c r="AN379" s="143"/>
      <c r="AO379" s="143"/>
      <c r="AP379" s="143"/>
      <c r="AQ379" s="143"/>
      <c r="AR379" s="143"/>
      <c r="AS379" s="143"/>
    </row>
    <row r="380"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  <c r="AA380" s="143"/>
      <c r="AE380" s="143"/>
      <c r="AF380" s="143"/>
      <c r="AG380" s="143"/>
      <c r="AH380" s="143"/>
      <c r="AI380" s="143"/>
      <c r="AJ380" s="143"/>
      <c r="AK380" s="143"/>
      <c r="AL380" s="143"/>
      <c r="AM380" s="143"/>
      <c r="AN380" s="143"/>
      <c r="AO380" s="143"/>
      <c r="AP380" s="143"/>
      <c r="AQ380" s="143"/>
      <c r="AR380" s="143"/>
      <c r="AS380" s="143"/>
    </row>
    <row r="381"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  <c r="AA381" s="143"/>
      <c r="AE381" s="143"/>
      <c r="AF381" s="143"/>
      <c r="AG381" s="143"/>
      <c r="AH381" s="143"/>
      <c r="AI381" s="143"/>
      <c r="AJ381" s="143"/>
      <c r="AK381" s="143"/>
      <c r="AL381" s="143"/>
      <c r="AM381" s="143"/>
      <c r="AN381" s="143"/>
      <c r="AO381" s="143"/>
      <c r="AP381" s="143"/>
      <c r="AQ381" s="143"/>
      <c r="AR381" s="143"/>
      <c r="AS381" s="143"/>
    </row>
    <row r="382"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  <c r="AA382" s="143"/>
      <c r="AE382" s="143"/>
      <c r="AF382" s="143"/>
      <c r="AG382" s="143"/>
      <c r="AH382" s="143"/>
      <c r="AI382" s="143"/>
      <c r="AJ382" s="143"/>
      <c r="AK382" s="143"/>
      <c r="AL382" s="143"/>
      <c r="AM382" s="143"/>
      <c r="AN382" s="143"/>
      <c r="AO382" s="143"/>
      <c r="AP382" s="143"/>
      <c r="AQ382" s="143"/>
      <c r="AR382" s="143"/>
      <c r="AS382" s="143"/>
    </row>
    <row r="383"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  <c r="AA383" s="143"/>
      <c r="AE383" s="143"/>
      <c r="AF383" s="143"/>
      <c r="AG383" s="143"/>
      <c r="AH383" s="143"/>
      <c r="AI383" s="143"/>
      <c r="AJ383" s="143"/>
      <c r="AK383" s="143"/>
      <c r="AL383" s="143"/>
      <c r="AM383" s="143"/>
      <c r="AN383" s="143"/>
      <c r="AO383" s="143"/>
      <c r="AP383" s="143"/>
      <c r="AQ383" s="143"/>
      <c r="AR383" s="143"/>
      <c r="AS383" s="143"/>
    </row>
    <row r="384"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  <c r="AA384" s="143"/>
      <c r="AE384" s="143"/>
      <c r="AF384" s="143"/>
      <c r="AG384" s="143"/>
      <c r="AH384" s="143"/>
      <c r="AI384" s="143"/>
      <c r="AJ384" s="143"/>
      <c r="AK384" s="143"/>
      <c r="AL384" s="143"/>
      <c r="AM384" s="143"/>
      <c r="AN384" s="143"/>
      <c r="AO384" s="143"/>
      <c r="AP384" s="143"/>
      <c r="AQ384" s="143"/>
      <c r="AR384" s="143"/>
      <c r="AS384" s="143"/>
    </row>
    <row r="385"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  <c r="AA385" s="143"/>
      <c r="AE385" s="143"/>
      <c r="AF385" s="143"/>
      <c r="AG385" s="143"/>
      <c r="AH385" s="143"/>
      <c r="AI385" s="143"/>
      <c r="AJ385" s="143"/>
      <c r="AK385" s="143"/>
      <c r="AL385" s="143"/>
      <c r="AM385" s="143"/>
      <c r="AN385" s="143"/>
      <c r="AO385" s="143"/>
      <c r="AP385" s="143"/>
      <c r="AQ385" s="143"/>
      <c r="AR385" s="143"/>
      <c r="AS385" s="143"/>
    </row>
    <row r="386"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  <c r="AA386" s="143"/>
      <c r="AE386" s="143"/>
      <c r="AF386" s="143"/>
      <c r="AG386" s="143"/>
      <c r="AH386" s="143"/>
      <c r="AI386" s="143"/>
      <c r="AJ386" s="143"/>
      <c r="AK386" s="143"/>
      <c r="AL386" s="143"/>
      <c r="AM386" s="143"/>
      <c r="AN386" s="143"/>
      <c r="AO386" s="143"/>
      <c r="AP386" s="143"/>
      <c r="AQ386" s="143"/>
      <c r="AR386" s="143"/>
      <c r="AS386" s="143"/>
    </row>
    <row r="387"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  <c r="AA387" s="143"/>
      <c r="AE387" s="143"/>
      <c r="AF387" s="143"/>
      <c r="AG387" s="143"/>
      <c r="AH387" s="143"/>
      <c r="AI387" s="143"/>
      <c r="AJ387" s="143"/>
      <c r="AK387" s="143"/>
      <c r="AL387" s="143"/>
      <c r="AM387" s="143"/>
      <c r="AN387" s="143"/>
      <c r="AO387" s="143"/>
      <c r="AP387" s="143"/>
      <c r="AQ387" s="143"/>
      <c r="AR387" s="143"/>
      <c r="AS387" s="143"/>
    </row>
    <row r="388"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  <c r="AA388" s="143"/>
      <c r="AE388" s="143"/>
      <c r="AF388" s="143"/>
      <c r="AG388" s="143"/>
      <c r="AH388" s="143"/>
      <c r="AI388" s="143"/>
      <c r="AJ388" s="143"/>
      <c r="AK388" s="143"/>
      <c r="AL388" s="143"/>
      <c r="AM388" s="143"/>
      <c r="AN388" s="143"/>
      <c r="AO388" s="143"/>
      <c r="AP388" s="143"/>
      <c r="AQ388" s="143"/>
      <c r="AR388" s="143"/>
      <c r="AS388" s="143"/>
    </row>
    <row r="389"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  <c r="AA389" s="143"/>
      <c r="AE389" s="143"/>
      <c r="AF389" s="143"/>
      <c r="AG389" s="143"/>
      <c r="AH389" s="143"/>
      <c r="AI389" s="143"/>
      <c r="AJ389" s="143"/>
      <c r="AK389" s="143"/>
      <c r="AL389" s="143"/>
      <c r="AM389" s="143"/>
      <c r="AN389" s="143"/>
      <c r="AO389" s="143"/>
      <c r="AP389" s="143"/>
      <c r="AQ389" s="143"/>
      <c r="AR389" s="143"/>
      <c r="AS389" s="143"/>
    </row>
    <row r="390"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  <c r="AA390" s="143"/>
      <c r="AE390" s="143"/>
      <c r="AF390" s="143"/>
      <c r="AG390" s="143"/>
      <c r="AH390" s="143"/>
      <c r="AI390" s="143"/>
      <c r="AJ390" s="143"/>
      <c r="AK390" s="143"/>
      <c r="AL390" s="143"/>
      <c r="AM390" s="143"/>
      <c r="AN390" s="143"/>
      <c r="AO390" s="143"/>
      <c r="AP390" s="143"/>
      <c r="AQ390" s="143"/>
      <c r="AR390" s="143"/>
      <c r="AS390" s="143"/>
    </row>
    <row r="391"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  <c r="AA391" s="143"/>
      <c r="AE391" s="143"/>
      <c r="AF391" s="143"/>
      <c r="AG391" s="143"/>
      <c r="AH391" s="143"/>
      <c r="AI391" s="143"/>
      <c r="AJ391" s="143"/>
      <c r="AK391" s="143"/>
      <c r="AL391" s="143"/>
      <c r="AM391" s="143"/>
      <c r="AN391" s="143"/>
      <c r="AO391" s="143"/>
      <c r="AP391" s="143"/>
      <c r="AQ391" s="143"/>
      <c r="AR391" s="143"/>
      <c r="AS391" s="143"/>
    </row>
    <row r="392"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  <c r="AA392" s="143"/>
      <c r="AE392" s="143"/>
      <c r="AF392" s="143"/>
      <c r="AG392" s="143"/>
      <c r="AH392" s="143"/>
      <c r="AI392" s="143"/>
      <c r="AJ392" s="143"/>
      <c r="AK392" s="143"/>
      <c r="AL392" s="143"/>
      <c r="AM392" s="143"/>
      <c r="AN392" s="143"/>
      <c r="AO392" s="143"/>
      <c r="AP392" s="143"/>
      <c r="AQ392" s="143"/>
      <c r="AR392" s="143"/>
      <c r="AS392" s="143"/>
    </row>
    <row r="393"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  <c r="AA393" s="143"/>
      <c r="AE393" s="143"/>
      <c r="AF393" s="143"/>
      <c r="AG393" s="143"/>
      <c r="AH393" s="143"/>
      <c r="AI393" s="143"/>
      <c r="AJ393" s="143"/>
      <c r="AK393" s="143"/>
      <c r="AL393" s="143"/>
      <c r="AM393" s="143"/>
      <c r="AN393" s="143"/>
      <c r="AO393" s="143"/>
      <c r="AP393" s="143"/>
      <c r="AQ393" s="143"/>
      <c r="AR393" s="143"/>
      <c r="AS393" s="143"/>
    </row>
    <row r="394"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  <c r="AA394" s="143"/>
      <c r="AE394" s="143"/>
      <c r="AF394" s="143"/>
      <c r="AG394" s="143"/>
      <c r="AH394" s="143"/>
      <c r="AI394" s="143"/>
      <c r="AJ394" s="143"/>
      <c r="AK394" s="143"/>
      <c r="AL394" s="143"/>
      <c r="AM394" s="143"/>
      <c r="AN394" s="143"/>
      <c r="AO394" s="143"/>
      <c r="AP394" s="143"/>
      <c r="AQ394" s="143"/>
      <c r="AR394" s="143"/>
      <c r="AS394" s="143"/>
    </row>
    <row r="395"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  <c r="AA395" s="143"/>
      <c r="AE395" s="143"/>
      <c r="AF395" s="143"/>
      <c r="AG395" s="143"/>
      <c r="AH395" s="143"/>
      <c r="AI395" s="143"/>
      <c r="AJ395" s="143"/>
      <c r="AK395" s="143"/>
      <c r="AL395" s="143"/>
      <c r="AM395" s="143"/>
      <c r="AN395" s="143"/>
      <c r="AO395" s="143"/>
      <c r="AP395" s="143"/>
      <c r="AQ395" s="143"/>
      <c r="AR395" s="143"/>
      <c r="AS395" s="143"/>
    </row>
    <row r="396"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  <c r="AA396" s="143"/>
      <c r="AE396" s="143"/>
      <c r="AF396" s="143"/>
      <c r="AG396" s="143"/>
      <c r="AH396" s="143"/>
      <c r="AI396" s="143"/>
      <c r="AJ396" s="143"/>
      <c r="AK396" s="143"/>
      <c r="AL396" s="143"/>
      <c r="AM396" s="143"/>
      <c r="AN396" s="143"/>
      <c r="AO396" s="143"/>
      <c r="AP396" s="143"/>
      <c r="AQ396" s="143"/>
      <c r="AR396" s="143"/>
      <c r="AS396" s="143"/>
    </row>
    <row r="397"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  <c r="AA397" s="143"/>
      <c r="AE397" s="143"/>
      <c r="AF397" s="143"/>
      <c r="AG397" s="143"/>
      <c r="AH397" s="143"/>
      <c r="AI397" s="143"/>
      <c r="AJ397" s="143"/>
      <c r="AK397" s="143"/>
      <c r="AL397" s="143"/>
      <c r="AM397" s="143"/>
      <c r="AN397" s="143"/>
      <c r="AO397" s="143"/>
      <c r="AP397" s="143"/>
      <c r="AQ397" s="143"/>
      <c r="AR397" s="143"/>
      <c r="AS397" s="143"/>
    </row>
    <row r="398"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  <c r="AA398" s="143"/>
      <c r="AE398" s="143"/>
      <c r="AF398" s="143"/>
      <c r="AG398" s="143"/>
      <c r="AH398" s="143"/>
      <c r="AI398" s="143"/>
      <c r="AJ398" s="143"/>
      <c r="AK398" s="143"/>
      <c r="AL398" s="143"/>
      <c r="AM398" s="143"/>
      <c r="AN398" s="143"/>
      <c r="AO398" s="143"/>
      <c r="AP398" s="143"/>
      <c r="AQ398" s="143"/>
      <c r="AR398" s="143"/>
      <c r="AS398" s="143"/>
    </row>
    <row r="399"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  <c r="AA399" s="143"/>
      <c r="AE399" s="143"/>
      <c r="AF399" s="143"/>
      <c r="AG399" s="143"/>
      <c r="AH399" s="143"/>
      <c r="AI399" s="143"/>
      <c r="AJ399" s="143"/>
      <c r="AK399" s="143"/>
      <c r="AL399" s="143"/>
      <c r="AM399" s="143"/>
      <c r="AN399" s="143"/>
      <c r="AO399" s="143"/>
      <c r="AP399" s="143"/>
      <c r="AQ399" s="143"/>
      <c r="AR399" s="143"/>
      <c r="AS399" s="143"/>
    </row>
    <row r="400"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  <c r="AA400" s="143"/>
      <c r="AE400" s="143"/>
      <c r="AF400" s="143"/>
      <c r="AG400" s="143"/>
      <c r="AH400" s="143"/>
      <c r="AI400" s="143"/>
      <c r="AJ400" s="143"/>
      <c r="AK400" s="143"/>
      <c r="AL400" s="143"/>
      <c r="AM400" s="143"/>
      <c r="AN400" s="143"/>
      <c r="AO400" s="143"/>
      <c r="AP400" s="143"/>
      <c r="AQ400" s="143"/>
      <c r="AR400" s="143"/>
      <c r="AS400" s="143"/>
    </row>
    <row r="401"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  <c r="AA401" s="143"/>
      <c r="AE401" s="143"/>
      <c r="AF401" s="143"/>
      <c r="AG401" s="143"/>
      <c r="AH401" s="143"/>
      <c r="AI401" s="143"/>
      <c r="AJ401" s="143"/>
      <c r="AK401" s="143"/>
      <c r="AL401" s="143"/>
      <c r="AM401" s="143"/>
      <c r="AN401" s="143"/>
      <c r="AO401" s="143"/>
      <c r="AP401" s="143"/>
      <c r="AQ401" s="143"/>
      <c r="AR401" s="143"/>
      <c r="AS401" s="143"/>
    </row>
    <row r="402"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  <c r="AA402" s="143"/>
      <c r="AE402" s="143"/>
      <c r="AF402" s="143"/>
      <c r="AG402" s="143"/>
      <c r="AH402" s="143"/>
      <c r="AI402" s="143"/>
      <c r="AJ402" s="143"/>
      <c r="AK402" s="143"/>
      <c r="AL402" s="143"/>
      <c r="AM402" s="143"/>
      <c r="AN402" s="143"/>
      <c r="AO402" s="143"/>
      <c r="AP402" s="143"/>
      <c r="AQ402" s="143"/>
      <c r="AR402" s="143"/>
      <c r="AS402" s="143"/>
    </row>
    <row r="403"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  <c r="AA403" s="143"/>
      <c r="AE403" s="143"/>
      <c r="AF403" s="143"/>
      <c r="AG403" s="143"/>
      <c r="AH403" s="143"/>
      <c r="AI403" s="143"/>
      <c r="AJ403" s="143"/>
      <c r="AK403" s="143"/>
      <c r="AL403" s="143"/>
      <c r="AM403" s="143"/>
      <c r="AN403" s="143"/>
      <c r="AO403" s="143"/>
      <c r="AP403" s="143"/>
      <c r="AQ403" s="143"/>
      <c r="AR403" s="143"/>
      <c r="AS403" s="143"/>
    </row>
    <row r="404"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  <c r="AA404" s="143"/>
      <c r="AE404" s="143"/>
      <c r="AF404" s="143"/>
      <c r="AG404" s="143"/>
      <c r="AH404" s="143"/>
      <c r="AI404" s="143"/>
      <c r="AJ404" s="143"/>
      <c r="AK404" s="143"/>
      <c r="AL404" s="143"/>
      <c r="AM404" s="143"/>
      <c r="AN404" s="143"/>
      <c r="AO404" s="143"/>
      <c r="AP404" s="143"/>
      <c r="AQ404" s="143"/>
      <c r="AR404" s="143"/>
      <c r="AS404" s="143"/>
    </row>
    <row r="405"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  <c r="AA405" s="143"/>
      <c r="AE405" s="143"/>
      <c r="AF405" s="143"/>
      <c r="AG405" s="143"/>
      <c r="AH405" s="143"/>
      <c r="AI405" s="143"/>
      <c r="AJ405" s="143"/>
      <c r="AK405" s="143"/>
      <c r="AL405" s="143"/>
      <c r="AM405" s="143"/>
      <c r="AN405" s="143"/>
      <c r="AO405" s="143"/>
      <c r="AP405" s="143"/>
      <c r="AQ405" s="143"/>
      <c r="AR405" s="143"/>
      <c r="AS405" s="143"/>
    </row>
    <row r="406"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  <c r="AA406" s="143"/>
      <c r="AE406" s="143"/>
      <c r="AF406" s="143"/>
      <c r="AG406" s="143"/>
      <c r="AH406" s="143"/>
      <c r="AI406" s="143"/>
      <c r="AJ406" s="143"/>
      <c r="AK406" s="143"/>
      <c r="AL406" s="143"/>
      <c r="AM406" s="143"/>
      <c r="AN406" s="143"/>
      <c r="AO406" s="143"/>
      <c r="AP406" s="143"/>
      <c r="AQ406" s="143"/>
      <c r="AR406" s="143"/>
      <c r="AS406" s="143"/>
    </row>
    <row r="407"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  <c r="AA407" s="143"/>
      <c r="AE407" s="143"/>
      <c r="AF407" s="143"/>
      <c r="AG407" s="143"/>
      <c r="AH407" s="143"/>
      <c r="AI407" s="143"/>
      <c r="AJ407" s="143"/>
      <c r="AK407" s="143"/>
      <c r="AL407" s="143"/>
      <c r="AM407" s="143"/>
      <c r="AN407" s="143"/>
      <c r="AO407" s="143"/>
      <c r="AP407" s="143"/>
      <c r="AQ407" s="143"/>
      <c r="AR407" s="143"/>
      <c r="AS407" s="143"/>
    </row>
    <row r="408"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  <c r="AA408" s="143"/>
      <c r="AE408" s="143"/>
      <c r="AF408" s="143"/>
      <c r="AG408" s="143"/>
      <c r="AH408" s="143"/>
      <c r="AI408" s="143"/>
      <c r="AJ408" s="143"/>
      <c r="AK408" s="143"/>
      <c r="AL408" s="143"/>
      <c r="AM408" s="143"/>
      <c r="AN408" s="143"/>
      <c r="AO408" s="143"/>
      <c r="AP408" s="143"/>
      <c r="AQ408" s="143"/>
      <c r="AR408" s="143"/>
      <c r="AS408" s="143"/>
    </row>
    <row r="409"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  <c r="AA409" s="143"/>
      <c r="AE409" s="143"/>
      <c r="AF409" s="143"/>
      <c r="AG409" s="143"/>
      <c r="AH409" s="143"/>
      <c r="AI409" s="143"/>
      <c r="AJ409" s="143"/>
      <c r="AK409" s="143"/>
      <c r="AL409" s="143"/>
      <c r="AM409" s="143"/>
      <c r="AN409" s="143"/>
      <c r="AO409" s="143"/>
      <c r="AP409" s="143"/>
      <c r="AQ409" s="143"/>
      <c r="AR409" s="143"/>
      <c r="AS409" s="143"/>
    </row>
    <row r="410"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  <c r="AA410" s="143"/>
      <c r="AE410" s="143"/>
      <c r="AF410" s="143"/>
      <c r="AG410" s="143"/>
      <c r="AH410" s="143"/>
      <c r="AI410" s="143"/>
      <c r="AJ410" s="143"/>
      <c r="AK410" s="143"/>
      <c r="AL410" s="143"/>
      <c r="AM410" s="143"/>
      <c r="AN410" s="143"/>
      <c r="AO410" s="143"/>
      <c r="AP410" s="143"/>
      <c r="AQ410" s="143"/>
      <c r="AR410" s="143"/>
      <c r="AS410" s="143"/>
    </row>
    <row r="411"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  <c r="AA411" s="143"/>
      <c r="AE411" s="143"/>
      <c r="AF411" s="143"/>
      <c r="AG411" s="143"/>
      <c r="AH411" s="143"/>
      <c r="AI411" s="143"/>
      <c r="AJ411" s="143"/>
      <c r="AK411" s="143"/>
      <c r="AL411" s="143"/>
      <c r="AM411" s="143"/>
      <c r="AN411" s="143"/>
      <c r="AO411" s="143"/>
      <c r="AP411" s="143"/>
      <c r="AQ411" s="143"/>
      <c r="AR411" s="143"/>
      <c r="AS411" s="143"/>
    </row>
    <row r="412"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  <c r="AA412" s="143"/>
      <c r="AE412" s="143"/>
      <c r="AF412" s="143"/>
      <c r="AG412" s="143"/>
      <c r="AH412" s="143"/>
      <c r="AI412" s="143"/>
      <c r="AJ412" s="143"/>
      <c r="AK412" s="143"/>
      <c r="AL412" s="143"/>
      <c r="AM412" s="143"/>
      <c r="AN412" s="143"/>
      <c r="AO412" s="143"/>
      <c r="AP412" s="143"/>
      <c r="AQ412" s="143"/>
      <c r="AR412" s="143"/>
      <c r="AS412" s="143"/>
    </row>
    <row r="413"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  <c r="AA413" s="143"/>
      <c r="AE413" s="143"/>
      <c r="AF413" s="143"/>
      <c r="AG413" s="143"/>
      <c r="AH413" s="143"/>
      <c r="AI413" s="143"/>
      <c r="AJ413" s="143"/>
      <c r="AK413" s="143"/>
      <c r="AL413" s="143"/>
      <c r="AM413" s="143"/>
      <c r="AN413" s="143"/>
      <c r="AO413" s="143"/>
      <c r="AP413" s="143"/>
      <c r="AQ413" s="143"/>
      <c r="AR413" s="143"/>
      <c r="AS413" s="143"/>
    </row>
    <row r="414"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  <c r="AA414" s="143"/>
      <c r="AE414" s="143"/>
      <c r="AF414" s="143"/>
      <c r="AG414" s="143"/>
      <c r="AH414" s="143"/>
      <c r="AI414" s="143"/>
      <c r="AJ414" s="143"/>
      <c r="AK414" s="143"/>
      <c r="AL414" s="143"/>
      <c r="AM414" s="143"/>
      <c r="AN414" s="143"/>
      <c r="AO414" s="143"/>
      <c r="AP414" s="143"/>
      <c r="AQ414" s="143"/>
      <c r="AR414" s="143"/>
      <c r="AS414" s="143"/>
    </row>
    <row r="415"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  <c r="AA415" s="143"/>
      <c r="AE415" s="143"/>
      <c r="AF415" s="143"/>
      <c r="AG415" s="143"/>
      <c r="AH415" s="143"/>
      <c r="AI415" s="143"/>
      <c r="AJ415" s="143"/>
      <c r="AK415" s="143"/>
      <c r="AL415" s="143"/>
      <c r="AM415" s="143"/>
      <c r="AN415" s="143"/>
      <c r="AO415" s="143"/>
      <c r="AP415" s="143"/>
      <c r="AQ415" s="143"/>
      <c r="AR415" s="143"/>
      <c r="AS415" s="143"/>
    </row>
    <row r="416"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E416" s="143"/>
      <c r="AF416" s="143"/>
      <c r="AG416" s="143"/>
      <c r="AH416" s="143"/>
      <c r="AI416" s="143"/>
      <c r="AJ416" s="143"/>
      <c r="AK416" s="143"/>
      <c r="AL416" s="143"/>
      <c r="AM416" s="143"/>
      <c r="AN416" s="143"/>
      <c r="AO416" s="143"/>
      <c r="AP416" s="143"/>
      <c r="AQ416" s="143"/>
      <c r="AR416" s="143"/>
      <c r="AS416" s="143"/>
    </row>
    <row r="417"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  <c r="AA417" s="143"/>
      <c r="AE417" s="143"/>
      <c r="AF417" s="143"/>
      <c r="AG417" s="143"/>
      <c r="AH417" s="143"/>
      <c r="AI417" s="143"/>
      <c r="AJ417" s="143"/>
      <c r="AK417" s="143"/>
      <c r="AL417" s="143"/>
      <c r="AM417" s="143"/>
      <c r="AN417" s="143"/>
      <c r="AO417" s="143"/>
      <c r="AP417" s="143"/>
      <c r="AQ417" s="143"/>
      <c r="AR417" s="143"/>
      <c r="AS417" s="143"/>
    </row>
    <row r="418"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  <c r="AA418" s="143"/>
      <c r="AE418" s="143"/>
      <c r="AF418" s="143"/>
      <c r="AG418" s="143"/>
      <c r="AH418" s="143"/>
      <c r="AI418" s="143"/>
      <c r="AJ418" s="143"/>
      <c r="AK418" s="143"/>
      <c r="AL418" s="143"/>
      <c r="AM418" s="143"/>
      <c r="AN418" s="143"/>
      <c r="AO418" s="143"/>
      <c r="AP418" s="143"/>
      <c r="AQ418" s="143"/>
      <c r="AR418" s="143"/>
      <c r="AS418" s="143"/>
    </row>
    <row r="419"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  <c r="AA419" s="143"/>
      <c r="AE419" s="143"/>
      <c r="AF419" s="143"/>
      <c r="AG419" s="143"/>
      <c r="AH419" s="143"/>
      <c r="AI419" s="143"/>
      <c r="AJ419" s="143"/>
      <c r="AK419" s="143"/>
      <c r="AL419" s="143"/>
      <c r="AM419" s="143"/>
      <c r="AN419" s="143"/>
      <c r="AO419" s="143"/>
      <c r="AP419" s="143"/>
      <c r="AQ419" s="143"/>
      <c r="AR419" s="143"/>
      <c r="AS419" s="143"/>
    </row>
    <row r="420"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  <c r="AA420" s="143"/>
      <c r="AE420" s="143"/>
      <c r="AF420" s="143"/>
      <c r="AG420" s="143"/>
      <c r="AH420" s="143"/>
      <c r="AI420" s="143"/>
      <c r="AJ420" s="143"/>
      <c r="AK420" s="143"/>
      <c r="AL420" s="143"/>
      <c r="AM420" s="143"/>
      <c r="AN420" s="143"/>
      <c r="AO420" s="143"/>
      <c r="AP420" s="143"/>
      <c r="AQ420" s="143"/>
      <c r="AR420" s="143"/>
      <c r="AS420" s="143"/>
    </row>
    <row r="421"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  <c r="AA421" s="143"/>
      <c r="AE421" s="143"/>
      <c r="AF421" s="143"/>
      <c r="AG421" s="143"/>
      <c r="AH421" s="143"/>
      <c r="AI421" s="143"/>
      <c r="AJ421" s="143"/>
      <c r="AK421" s="143"/>
      <c r="AL421" s="143"/>
      <c r="AM421" s="143"/>
      <c r="AN421" s="143"/>
      <c r="AO421" s="143"/>
      <c r="AP421" s="143"/>
      <c r="AQ421" s="143"/>
      <c r="AR421" s="143"/>
      <c r="AS421" s="143"/>
    </row>
    <row r="422"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  <c r="AA422" s="143"/>
      <c r="AE422" s="143"/>
      <c r="AF422" s="143"/>
      <c r="AG422" s="143"/>
      <c r="AH422" s="143"/>
      <c r="AI422" s="143"/>
      <c r="AJ422" s="143"/>
      <c r="AK422" s="143"/>
      <c r="AL422" s="143"/>
      <c r="AM422" s="143"/>
      <c r="AN422" s="143"/>
      <c r="AO422" s="143"/>
      <c r="AP422" s="143"/>
      <c r="AQ422" s="143"/>
      <c r="AR422" s="143"/>
      <c r="AS422" s="143"/>
    </row>
    <row r="423"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  <c r="AA423" s="143"/>
      <c r="AE423" s="143"/>
      <c r="AF423" s="143"/>
      <c r="AG423" s="143"/>
      <c r="AH423" s="143"/>
      <c r="AI423" s="143"/>
      <c r="AJ423" s="143"/>
      <c r="AK423" s="143"/>
      <c r="AL423" s="143"/>
      <c r="AM423" s="143"/>
      <c r="AN423" s="143"/>
      <c r="AO423" s="143"/>
      <c r="AP423" s="143"/>
      <c r="AQ423" s="143"/>
      <c r="AR423" s="143"/>
      <c r="AS423" s="143"/>
    </row>
    <row r="424"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  <c r="AA424" s="143"/>
      <c r="AE424" s="143"/>
      <c r="AF424" s="143"/>
      <c r="AG424" s="143"/>
      <c r="AH424" s="143"/>
      <c r="AI424" s="143"/>
      <c r="AJ424" s="143"/>
      <c r="AK424" s="143"/>
      <c r="AL424" s="143"/>
      <c r="AM424" s="143"/>
      <c r="AN424" s="143"/>
      <c r="AO424" s="143"/>
      <c r="AP424" s="143"/>
      <c r="AQ424" s="143"/>
      <c r="AR424" s="143"/>
      <c r="AS424" s="143"/>
    </row>
    <row r="425"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  <c r="AA425" s="143"/>
      <c r="AE425" s="143"/>
      <c r="AF425" s="143"/>
      <c r="AG425" s="143"/>
      <c r="AH425" s="143"/>
      <c r="AI425" s="143"/>
      <c r="AJ425" s="143"/>
      <c r="AK425" s="143"/>
      <c r="AL425" s="143"/>
      <c r="AM425" s="143"/>
      <c r="AN425" s="143"/>
      <c r="AO425" s="143"/>
      <c r="AP425" s="143"/>
      <c r="AQ425" s="143"/>
      <c r="AR425" s="143"/>
      <c r="AS425" s="143"/>
    </row>
    <row r="426"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  <c r="AA426" s="143"/>
      <c r="AE426" s="143"/>
      <c r="AF426" s="143"/>
      <c r="AG426" s="143"/>
      <c r="AH426" s="143"/>
      <c r="AI426" s="143"/>
      <c r="AJ426" s="143"/>
      <c r="AK426" s="143"/>
      <c r="AL426" s="143"/>
      <c r="AM426" s="143"/>
      <c r="AN426" s="143"/>
      <c r="AO426" s="143"/>
      <c r="AP426" s="143"/>
      <c r="AQ426" s="143"/>
      <c r="AR426" s="143"/>
      <c r="AS426" s="143"/>
    </row>
    <row r="427"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  <c r="AA427" s="143"/>
      <c r="AE427" s="143"/>
      <c r="AF427" s="143"/>
      <c r="AG427" s="143"/>
      <c r="AH427" s="143"/>
      <c r="AI427" s="143"/>
      <c r="AJ427" s="143"/>
      <c r="AK427" s="143"/>
      <c r="AL427" s="143"/>
      <c r="AM427" s="143"/>
      <c r="AN427" s="143"/>
      <c r="AO427" s="143"/>
      <c r="AP427" s="143"/>
      <c r="AQ427" s="143"/>
      <c r="AR427" s="143"/>
      <c r="AS427" s="143"/>
    </row>
    <row r="428"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  <c r="AA428" s="143"/>
      <c r="AE428" s="143"/>
      <c r="AF428" s="143"/>
      <c r="AG428" s="143"/>
      <c r="AH428" s="143"/>
      <c r="AI428" s="143"/>
      <c r="AJ428" s="143"/>
      <c r="AK428" s="143"/>
      <c r="AL428" s="143"/>
      <c r="AM428" s="143"/>
      <c r="AN428" s="143"/>
      <c r="AO428" s="143"/>
      <c r="AP428" s="143"/>
      <c r="AQ428" s="143"/>
      <c r="AR428" s="143"/>
      <c r="AS428" s="143"/>
    </row>
    <row r="429"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  <c r="AA429" s="143"/>
      <c r="AE429" s="143"/>
      <c r="AF429" s="143"/>
      <c r="AG429" s="143"/>
      <c r="AH429" s="143"/>
      <c r="AI429" s="143"/>
      <c r="AJ429" s="143"/>
      <c r="AK429" s="143"/>
      <c r="AL429" s="143"/>
      <c r="AM429" s="143"/>
      <c r="AN429" s="143"/>
      <c r="AO429" s="143"/>
      <c r="AP429" s="143"/>
      <c r="AQ429" s="143"/>
      <c r="AR429" s="143"/>
      <c r="AS429" s="143"/>
    </row>
    <row r="430"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  <c r="AA430" s="143"/>
      <c r="AE430" s="143"/>
      <c r="AF430" s="143"/>
      <c r="AG430" s="143"/>
      <c r="AH430" s="143"/>
      <c r="AI430" s="143"/>
      <c r="AJ430" s="143"/>
      <c r="AK430" s="143"/>
      <c r="AL430" s="143"/>
      <c r="AM430" s="143"/>
      <c r="AN430" s="143"/>
      <c r="AO430" s="143"/>
      <c r="AP430" s="143"/>
      <c r="AQ430" s="143"/>
      <c r="AR430" s="143"/>
      <c r="AS430" s="143"/>
    </row>
    <row r="431"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  <c r="AA431" s="143"/>
      <c r="AE431" s="143"/>
      <c r="AF431" s="143"/>
      <c r="AG431" s="143"/>
      <c r="AH431" s="143"/>
      <c r="AI431" s="143"/>
      <c r="AJ431" s="143"/>
      <c r="AK431" s="143"/>
      <c r="AL431" s="143"/>
      <c r="AM431" s="143"/>
      <c r="AN431" s="143"/>
      <c r="AO431" s="143"/>
      <c r="AP431" s="143"/>
      <c r="AQ431" s="143"/>
      <c r="AR431" s="143"/>
      <c r="AS431" s="143"/>
    </row>
    <row r="432"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  <c r="AA432" s="143"/>
      <c r="AE432" s="143"/>
      <c r="AF432" s="143"/>
      <c r="AG432" s="143"/>
      <c r="AH432" s="143"/>
      <c r="AI432" s="143"/>
      <c r="AJ432" s="143"/>
      <c r="AK432" s="143"/>
      <c r="AL432" s="143"/>
      <c r="AM432" s="143"/>
      <c r="AN432" s="143"/>
      <c r="AO432" s="143"/>
      <c r="AP432" s="143"/>
      <c r="AQ432" s="143"/>
      <c r="AR432" s="143"/>
      <c r="AS432" s="143"/>
    </row>
    <row r="433"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  <c r="AA433" s="143"/>
      <c r="AE433" s="143"/>
      <c r="AF433" s="143"/>
      <c r="AG433" s="143"/>
      <c r="AH433" s="143"/>
      <c r="AI433" s="143"/>
      <c r="AJ433" s="143"/>
      <c r="AK433" s="143"/>
      <c r="AL433" s="143"/>
      <c r="AM433" s="143"/>
      <c r="AN433" s="143"/>
      <c r="AO433" s="143"/>
      <c r="AP433" s="143"/>
      <c r="AQ433" s="143"/>
      <c r="AR433" s="143"/>
      <c r="AS433" s="143"/>
    </row>
    <row r="434"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  <c r="AA434" s="143"/>
      <c r="AE434" s="143"/>
      <c r="AF434" s="143"/>
      <c r="AG434" s="143"/>
      <c r="AH434" s="143"/>
      <c r="AI434" s="143"/>
      <c r="AJ434" s="143"/>
      <c r="AK434" s="143"/>
      <c r="AL434" s="143"/>
      <c r="AM434" s="143"/>
      <c r="AN434" s="143"/>
      <c r="AO434" s="143"/>
      <c r="AP434" s="143"/>
      <c r="AQ434" s="143"/>
      <c r="AR434" s="143"/>
      <c r="AS434" s="143"/>
    </row>
    <row r="435"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  <c r="AA435" s="143"/>
      <c r="AE435" s="143"/>
      <c r="AF435" s="143"/>
      <c r="AG435" s="143"/>
      <c r="AH435" s="143"/>
      <c r="AI435" s="143"/>
      <c r="AJ435" s="143"/>
      <c r="AK435" s="143"/>
      <c r="AL435" s="143"/>
      <c r="AM435" s="143"/>
      <c r="AN435" s="143"/>
      <c r="AO435" s="143"/>
      <c r="AP435" s="143"/>
      <c r="AQ435" s="143"/>
      <c r="AR435" s="143"/>
      <c r="AS435" s="143"/>
    </row>
    <row r="436"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  <c r="AA436" s="143"/>
      <c r="AE436" s="143"/>
      <c r="AF436" s="143"/>
      <c r="AG436" s="143"/>
      <c r="AH436" s="143"/>
      <c r="AI436" s="143"/>
      <c r="AJ436" s="143"/>
      <c r="AK436" s="143"/>
      <c r="AL436" s="143"/>
      <c r="AM436" s="143"/>
      <c r="AN436" s="143"/>
      <c r="AO436" s="143"/>
      <c r="AP436" s="143"/>
      <c r="AQ436" s="143"/>
      <c r="AR436" s="143"/>
      <c r="AS436" s="143"/>
    </row>
    <row r="437"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  <c r="AA437" s="143"/>
      <c r="AE437" s="143"/>
      <c r="AF437" s="143"/>
      <c r="AG437" s="143"/>
      <c r="AH437" s="143"/>
      <c r="AI437" s="143"/>
      <c r="AJ437" s="143"/>
      <c r="AK437" s="143"/>
      <c r="AL437" s="143"/>
      <c r="AM437" s="143"/>
      <c r="AN437" s="143"/>
      <c r="AO437" s="143"/>
      <c r="AP437" s="143"/>
      <c r="AQ437" s="143"/>
      <c r="AR437" s="143"/>
      <c r="AS437" s="143"/>
    </row>
    <row r="438"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  <c r="AA438" s="143"/>
      <c r="AE438" s="143"/>
      <c r="AF438" s="143"/>
      <c r="AG438" s="143"/>
      <c r="AH438" s="143"/>
      <c r="AI438" s="143"/>
      <c r="AJ438" s="143"/>
      <c r="AK438" s="143"/>
      <c r="AL438" s="143"/>
      <c r="AM438" s="143"/>
      <c r="AN438" s="143"/>
      <c r="AO438" s="143"/>
      <c r="AP438" s="143"/>
      <c r="AQ438" s="143"/>
      <c r="AR438" s="143"/>
      <c r="AS438" s="143"/>
    </row>
    <row r="439"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  <c r="AA439" s="143"/>
      <c r="AE439" s="143"/>
      <c r="AF439" s="143"/>
      <c r="AG439" s="143"/>
      <c r="AH439" s="143"/>
      <c r="AI439" s="143"/>
      <c r="AJ439" s="143"/>
      <c r="AK439" s="143"/>
      <c r="AL439" s="143"/>
      <c r="AM439" s="143"/>
      <c r="AN439" s="143"/>
      <c r="AO439" s="143"/>
      <c r="AP439" s="143"/>
      <c r="AQ439" s="143"/>
      <c r="AR439" s="143"/>
      <c r="AS439" s="143"/>
    </row>
    <row r="440"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  <c r="AA440" s="143"/>
      <c r="AE440" s="143"/>
      <c r="AF440" s="143"/>
      <c r="AG440" s="143"/>
      <c r="AH440" s="143"/>
      <c r="AI440" s="143"/>
      <c r="AJ440" s="143"/>
      <c r="AK440" s="143"/>
      <c r="AL440" s="143"/>
      <c r="AM440" s="143"/>
      <c r="AN440" s="143"/>
      <c r="AO440" s="143"/>
      <c r="AP440" s="143"/>
      <c r="AQ440" s="143"/>
      <c r="AR440" s="143"/>
      <c r="AS440" s="143"/>
    </row>
    <row r="441"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  <c r="AA441" s="143"/>
      <c r="AE441" s="143"/>
      <c r="AF441" s="143"/>
      <c r="AG441" s="143"/>
      <c r="AH441" s="143"/>
      <c r="AI441" s="143"/>
      <c r="AJ441" s="143"/>
      <c r="AK441" s="143"/>
      <c r="AL441" s="143"/>
      <c r="AM441" s="143"/>
      <c r="AN441" s="143"/>
      <c r="AO441" s="143"/>
      <c r="AP441" s="143"/>
      <c r="AQ441" s="143"/>
      <c r="AR441" s="143"/>
      <c r="AS441" s="143"/>
    </row>
    <row r="442"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  <c r="AA442" s="143"/>
      <c r="AE442" s="143"/>
      <c r="AF442" s="143"/>
      <c r="AG442" s="143"/>
      <c r="AH442" s="143"/>
      <c r="AI442" s="143"/>
      <c r="AJ442" s="143"/>
      <c r="AK442" s="143"/>
      <c r="AL442" s="143"/>
      <c r="AM442" s="143"/>
      <c r="AN442" s="143"/>
      <c r="AO442" s="143"/>
      <c r="AP442" s="143"/>
      <c r="AQ442" s="143"/>
      <c r="AR442" s="143"/>
      <c r="AS442" s="143"/>
    </row>
    <row r="443"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  <c r="AA443" s="143"/>
      <c r="AE443" s="143"/>
      <c r="AF443" s="143"/>
      <c r="AG443" s="143"/>
      <c r="AH443" s="143"/>
      <c r="AI443" s="143"/>
      <c r="AJ443" s="143"/>
      <c r="AK443" s="143"/>
      <c r="AL443" s="143"/>
      <c r="AM443" s="143"/>
      <c r="AN443" s="143"/>
      <c r="AO443" s="143"/>
      <c r="AP443" s="143"/>
      <c r="AQ443" s="143"/>
      <c r="AR443" s="143"/>
      <c r="AS443" s="143"/>
    </row>
    <row r="444"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  <c r="AA444" s="143"/>
      <c r="AE444" s="143"/>
      <c r="AF444" s="143"/>
      <c r="AG444" s="143"/>
      <c r="AH444" s="143"/>
      <c r="AI444" s="143"/>
      <c r="AJ444" s="143"/>
      <c r="AK444" s="143"/>
      <c r="AL444" s="143"/>
      <c r="AM444" s="143"/>
      <c r="AN444" s="143"/>
      <c r="AO444" s="143"/>
      <c r="AP444" s="143"/>
      <c r="AQ444" s="143"/>
      <c r="AR444" s="143"/>
      <c r="AS444" s="143"/>
    </row>
    <row r="445"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  <c r="AA445" s="143"/>
      <c r="AE445" s="143"/>
      <c r="AF445" s="143"/>
      <c r="AG445" s="143"/>
      <c r="AH445" s="143"/>
      <c r="AI445" s="143"/>
      <c r="AJ445" s="143"/>
      <c r="AK445" s="143"/>
      <c r="AL445" s="143"/>
      <c r="AM445" s="143"/>
      <c r="AN445" s="143"/>
      <c r="AO445" s="143"/>
      <c r="AP445" s="143"/>
      <c r="AQ445" s="143"/>
      <c r="AR445" s="143"/>
      <c r="AS445" s="143"/>
    </row>
    <row r="446"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  <c r="AA446" s="143"/>
      <c r="AE446" s="143"/>
      <c r="AF446" s="143"/>
      <c r="AG446" s="143"/>
      <c r="AH446" s="143"/>
      <c r="AI446" s="143"/>
      <c r="AJ446" s="143"/>
      <c r="AK446" s="143"/>
      <c r="AL446" s="143"/>
      <c r="AM446" s="143"/>
      <c r="AN446" s="143"/>
      <c r="AO446" s="143"/>
      <c r="AP446" s="143"/>
      <c r="AQ446" s="143"/>
      <c r="AR446" s="143"/>
      <c r="AS446" s="143"/>
    </row>
    <row r="447"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  <c r="AA447" s="143"/>
      <c r="AE447" s="143"/>
      <c r="AF447" s="143"/>
      <c r="AG447" s="143"/>
      <c r="AH447" s="143"/>
      <c r="AI447" s="143"/>
      <c r="AJ447" s="143"/>
      <c r="AK447" s="143"/>
      <c r="AL447" s="143"/>
      <c r="AM447" s="143"/>
      <c r="AN447" s="143"/>
      <c r="AO447" s="143"/>
      <c r="AP447" s="143"/>
      <c r="AQ447" s="143"/>
      <c r="AR447" s="143"/>
      <c r="AS447" s="143"/>
    </row>
    <row r="448"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  <c r="AA448" s="143"/>
      <c r="AE448" s="143"/>
      <c r="AF448" s="143"/>
      <c r="AG448" s="143"/>
      <c r="AH448" s="143"/>
      <c r="AI448" s="143"/>
      <c r="AJ448" s="143"/>
      <c r="AK448" s="143"/>
      <c r="AL448" s="143"/>
      <c r="AM448" s="143"/>
      <c r="AN448" s="143"/>
      <c r="AO448" s="143"/>
      <c r="AP448" s="143"/>
      <c r="AQ448" s="143"/>
      <c r="AR448" s="143"/>
      <c r="AS448" s="143"/>
    </row>
    <row r="449"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  <c r="AA449" s="143"/>
      <c r="AE449" s="143"/>
      <c r="AF449" s="143"/>
      <c r="AG449" s="143"/>
      <c r="AH449" s="143"/>
      <c r="AI449" s="143"/>
      <c r="AJ449" s="143"/>
      <c r="AK449" s="143"/>
      <c r="AL449" s="143"/>
      <c r="AM449" s="143"/>
      <c r="AN449" s="143"/>
      <c r="AO449" s="143"/>
      <c r="AP449" s="143"/>
      <c r="AQ449" s="143"/>
      <c r="AR449" s="143"/>
      <c r="AS449" s="143"/>
    </row>
    <row r="450"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  <c r="AA450" s="143"/>
      <c r="AE450" s="143"/>
      <c r="AF450" s="143"/>
      <c r="AG450" s="143"/>
      <c r="AH450" s="143"/>
      <c r="AI450" s="143"/>
      <c r="AJ450" s="143"/>
      <c r="AK450" s="143"/>
      <c r="AL450" s="143"/>
      <c r="AM450" s="143"/>
      <c r="AN450" s="143"/>
      <c r="AO450" s="143"/>
      <c r="AP450" s="143"/>
      <c r="AQ450" s="143"/>
      <c r="AR450" s="143"/>
      <c r="AS450" s="143"/>
    </row>
    <row r="451"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  <c r="AA451" s="143"/>
      <c r="AE451" s="143"/>
      <c r="AF451" s="143"/>
      <c r="AG451" s="143"/>
      <c r="AH451" s="143"/>
      <c r="AI451" s="143"/>
      <c r="AJ451" s="143"/>
      <c r="AK451" s="143"/>
      <c r="AL451" s="143"/>
      <c r="AM451" s="143"/>
      <c r="AN451" s="143"/>
      <c r="AO451" s="143"/>
      <c r="AP451" s="143"/>
      <c r="AQ451" s="143"/>
      <c r="AR451" s="143"/>
      <c r="AS451" s="143"/>
    </row>
    <row r="452"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  <c r="AA452" s="143"/>
      <c r="AE452" s="143"/>
      <c r="AF452" s="143"/>
      <c r="AG452" s="143"/>
      <c r="AH452" s="143"/>
      <c r="AI452" s="143"/>
      <c r="AJ452" s="143"/>
      <c r="AK452" s="143"/>
      <c r="AL452" s="143"/>
      <c r="AM452" s="143"/>
      <c r="AN452" s="143"/>
      <c r="AO452" s="143"/>
      <c r="AP452" s="143"/>
      <c r="AQ452" s="143"/>
      <c r="AR452" s="143"/>
      <c r="AS452" s="143"/>
    </row>
    <row r="453"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  <c r="AA453" s="143"/>
      <c r="AE453" s="143"/>
      <c r="AF453" s="143"/>
      <c r="AG453" s="143"/>
      <c r="AH453" s="143"/>
      <c r="AI453" s="143"/>
      <c r="AJ453" s="143"/>
      <c r="AK453" s="143"/>
      <c r="AL453" s="143"/>
      <c r="AM453" s="143"/>
      <c r="AN453" s="143"/>
      <c r="AO453" s="143"/>
      <c r="AP453" s="143"/>
      <c r="AQ453" s="143"/>
      <c r="AR453" s="143"/>
      <c r="AS453" s="143"/>
    </row>
    <row r="454"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  <c r="AA454" s="143"/>
      <c r="AE454" s="143"/>
      <c r="AF454" s="143"/>
      <c r="AG454" s="143"/>
      <c r="AH454" s="143"/>
      <c r="AI454" s="143"/>
      <c r="AJ454" s="143"/>
      <c r="AK454" s="143"/>
      <c r="AL454" s="143"/>
      <c r="AM454" s="143"/>
      <c r="AN454" s="143"/>
      <c r="AO454" s="143"/>
      <c r="AP454" s="143"/>
      <c r="AQ454" s="143"/>
      <c r="AR454" s="143"/>
      <c r="AS454" s="143"/>
    </row>
    <row r="455"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  <c r="AA455" s="143"/>
      <c r="AE455" s="143"/>
      <c r="AF455" s="143"/>
      <c r="AG455" s="143"/>
      <c r="AH455" s="143"/>
      <c r="AI455" s="143"/>
      <c r="AJ455" s="143"/>
      <c r="AK455" s="143"/>
      <c r="AL455" s="143"/>
      <c r="AM455" s="143"/>
      <c r="AN455" s="143"/>
      <c r="AO455" s="143"/>
      <c r="AP455" s="143"/>
      <c r="AQ455" s="143"/>
      <c r="AR455" s="143"/>
      <c r="AS455" s="143"/>
    </row>
    <row r="456"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  <c r="AA456" s="143"/>
      <c r="AE456" s="143"/>
      <c r="AF456" s="143"/>
      <c r="AG456" s="143"/>
      <c r="AH456" s="143"/>
      <c r="AI456" s="143"/>
      <c r="AJ456" s="143"/>
      <c r="AK456" s="143"/>
      <c r="AL456" s="143"/>
      <c r="AM456" s="143"/>
      <c r="AN456" s="143"/>
      <c r="AO456" s="143"/>
      <c r="AP456" s="143"/>
      <c r="AQ456" s="143"/>
      <c r="AR456" s="143"/>
      <c r="AS456" s="143"/>
    </row>
    <row r="457"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  <c r="AA457" s="143"/>
      <c r="AE457" s="143"/>
      <c r="AF457" s="143"/>
      <c r="AG457" s="143"/>
      <c r="AH457" s="143"/>
      <c r="AI457" s="143"/>
      <c r="AJ457" s="143"/>
      <c r="AK457" s="143"/>
      <c r="AL457" s="143"/>
      <c r="AM457" s="143"/>
      <c r="AN457" s="143"/>
      <c r="AO457" s="143"/>
      <c r="AP457" s="143"/>
      <c r="AQ457" s="143"/>
      <c r="AR457" s="143"/>
      <c r="AS457" s="143"/>
    </row>
    <row r="458"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  <c r="AA458" s="143"/>
      <c r="AE458" s="143"/>
      <c r="AF458" s="143"/>
      <c r="AG458" s="143"/>
      <c r="AH458" s="143"/>
      <c r="AI458" s="143"/>
      <c r="AJ458" s="143"/>
      <c r="AK458" s="143"/>
      <c r="AL458" s="143"/>
      <c r="AM458" s="143"/>
      <c r="AN458" s="143"/>
      <c r="AO458" s="143"/>
      <c r="AP458" s="143"/>
      <c r="AQ458" s="143"/>
      <c r="AR458" s="143"/>
      <c r="AS458" s="143"/>
    </row>
    <row r="459"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  <c r="AA459" s="143"/>
      <c r="AE459" s="143"/>
      <c r="AF459" s="143"/>
      <c r="AG459" s="143"/>
      <c r="AH459" s="143"/>
      <c r="AI459" s="143"/>
      <c r="AJ459" s="143"/>
      <c r="AK459" s="143"/>
      <c r="AL459" s="143"/>
      <c r="AM459" s="143"/>
      <c r="AN459" s="143"/>
      <c r="AO459" s="143"/>
      <c r="AP459" s="143"/>
      <c r="AQ459" s="143"/>
      <c r="AR459" s="143"/>
      <c r="AS459" s="143"/>
    </row>
    <row r="460"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  <c r="AA460" s="143"/>
      <c r="AE460" s="143"/>
      <c r="AF460" s="143"/>
      <c r="AG460" s="143"/>
      <c r="AH460" s="143"/>
      <c r="AI460" s="143"/>
      <c r="AJ460" s="143"/>
      <c r="AK460" s="143"/>
      <c r="AL460" s="143"/>
      <c r="AM460" s="143"/>
      <c r="AN460" s="143"/>
      <c r="AO460" s="143"/>
      <c r="AP460" s="143"/>
      <c r="AQ460" s="143"/>
      <c r="AR460" s="143"/>
      <c r="AS460" s="143"/>
    </row>
    <row r="461"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  <c r="AA461" s="143"/>
      <c r="AE461" s="143"/>
      <c r="AF461" s="143"/>
      <c r="AG461" s="143"/>
      <c r="AH461" s="143"/>
      <c r="AI461" s="143"/>
      <c r="AJ461" s="143"/>
      <c r="AK461" s="143"/>
      <c r="AL461" s="143"/>
      <c r="AM461" s="143"/>
      <c r="AN461" s="143"/>
      <c r="AO461" s="143"/>
      <c r="AP461" s="143"/>
      <c r="AQ461" s="143"/>
      <c r="AR461" s="143"/>
      <c r="AS461" s="143"/>
    </row>
    <row r="462"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  <c r="AA462" s="143"/>
      <c r="AE462" s="143"/>
      <c r="AF462" s="143"/>
      <c r="AG462" s="143"/>
      <c r="AH462" s="143"/>
      <c r="AI462" s="143"/>
      <c r="AJ462" s="143"/>
      <c r="AK462" s="143"/>
      <c r="AL462" s="143"/>
      <c r="AM462" s="143"/>
      <c r="AN462" s="143"/>
      <c r="AO462" s="143"/>
      <c r="AP462" s="143"/>
      <c r="AQ462" s="143"/>
      <c r="AR462" s="143"/>
      <c r="AS462" s="143"/>
    </row>
    <row r="463"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  <c r="AA463" s="143"/>
      <c r="AE463" s="143"/>
      <c r="AF463" s="143"/>
      <c r="AG463" s="143"/>
      <c r="AH463" s="143"/>
      <c r="AI463" s="143"/>
      <c r="AJ463" s="143"/>
      <c r="AK463" s="143"/>
      <c r="AL463" s="143"/>
      <c r="AM463" s="143"/>
      <c r="AN463" s="143"/>
      <c r="AO463" s="143"/>
      <c r="AP463" s="143"/>
      <c r="AQ463" s="143"/>
      <c r="AR463" s="143"/>
      <c r="AS463" s="143"/>
    </row>
    <row r="464"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  <c r="AA464" s="143"/>
      <c r="AE464" s="143"/>
      <c r="AF464" s="143"/>
      <c r="AG464" s="143"/>
      <c r="AH464" s="143"/>
      <c r="AI464" s="143"/>
      <c r="AJ464" s="143"/>
      <c r="AK464" s="143"/>
      <c r="AL464" s="143"/>
      <c r="AM464" s="143"/>
      <c r="AN464" s="143"/>
      <c r="AO464" s="143"/>
      <c r="AP464" s="143"/>
      <c r="AQ464" s="143"/>
      <c r="AR464" s="143"/>
      <c r="AS464" s="143"/>
    </row>
    <row r="465"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  <c r="AA465" s="143"/>
      <c r="AE465" s="143"/>
      <c r="AF465" s="143"/>
      <c r="AG465" s="143"/>
      <c r="AH465" s="143"/>
      <c r="AI465" s="143"/>
      <c r="AJ465" s="143"/>
      <c r="AK465" s="143"/>
      <c r="AL465" s="143"/>
      <c r="AM465" s="143"/>
      <c r="AN465" s="143"/>
      <c r="AO465" s="143"/>
      <c r="AP465" s="143"/>
      <c r="AQ465" s="143"/>
      <c r="AR465" s="143"/>
      <c r="AS465" s="143"/>
    </row>
    <row r="466"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  <c r="AA466" s="143"/>
      <c r="AE466" s="143"/>
      <c r="AF466" s="143"/>
      <c r="AG466" s="143"/>
      <c r="AH466" s="143"/>
      <c r="AI466" s="143"/>
      <c r="AJ466" s="143"/>
      <c r="AK466" s="143"/>
      <c r="AL466" s="143"/>
      <c r="AM466" s="143"/>
      <c r="AN466" s="143"/>
      <c r="AO466" s="143"/>
      <c r="AP466" s="143"/>
      <c r="AQ466" s="143"/>
      <c r="AR466" s="143"/>
      <c r="AS466" s="143"/>
    </row>
    <row r="467"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  <c r="AA467" s="143"/>
      <c r="AE467" s="143"/>
      <c r="AF467" s="143"/>
      <c r="AG467" s="143"/>
      <c r="AH467" s="143"/>
      <c r="AI467" s="143"/>
      <c r="AJ467" s="143"/>
      <c r="AK467" s="143"/>
      <c r="AL467" s="143"/>
      <c r="AM467" s="143"/>
      <c r="AN467" s="143"/>
      <c r="AO467" s="143"/>
      <c r="AP467" s="143"/>
      <c r="AQ467" s="143"/>
      <c r="AR467" s="143"/>
      <c r="AS467" s="143"/>
    </row>
    <row r="468"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E468" s="143"/>
      <c r="AF468" s="143"/>
      <c r="AG468" s="143"/>
      <c r="AH468" s="143"/>
      <c r="AI468" s="143"/>
      <c r="AJ468" s="143"/>
      <c r="AK468" s="143"/>
      <c r="AL468" s="143"/>
      <c r="AM468" s="143"/>
      <c r="AN468" s="143"/>
      <c r="AO468" s="143"/>
      <c r="AP468" s="143"/>
      <c r="AQ468" s="143"/>
      <c r="AR468" s="143"/>
      <c r="AS468" s="143"/>
    </row>
    <row r="469"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  <c r="AA469" s="143"/>
      <c r="AE469" s="143"/>
      <c r="AF469" s="143"/>
      <c r="AG469" s="143"/>
      <c r="AH469" s="143"/>
      <c r="AI469" s="143"/>
      <c r="AJ469" s="143"/>
      <c r="AK469" s="143"/>
      <c r="AL469" s="143"/>
      <c r="AM469" s="143"/>
      <c r="AN469" s="143"/>
      <c r="AO469" s="143"/>
      <c r="AP469" s="143"/>
      <c r="AQ469" s="143"/>
      <c r="AR469" s="143"/>
      <c r="AS469" s="143"/>
    </row>
    <row r="470"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  <c r="AA470" s="143"/>
      <c r="AE470" s="143"/>
      <c r="AF470" s="143"/>
      <c r="AG470" s="143"/>
      <c r="AH470" s="143"/>
      <c r="AI470" s="143"/>
      <c r="AJ470" s="143"/>
      <c r="AK470" s="143"/>
      <c r="AL470" s="143"/>
      <c r="AM470" s="143"/>
      <c r="AN470" s="143"/>
      <c r="AO470" s="143"/>
      <c r="AP470" s="143"/>
      <c r="AQ470" s="143"/>
      <c r="AR470" s="143"/>
      <c r="AS470" s="143"/>
    </row>
    <row r="471"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  <c r="AA471" s="143"/>
      <c r="AE471" s="143"/>
      <c r="AF471" s="143"/>
      <c r="AG471" s="143"/>
      <c r="AH471" s="143"/>
      <c r="AI471" s="143"/>
      <c r="AJ471" s="143"/>
      <c r="AK471" s="143"/>
      <c r="AL471" s="143"/>
      <c r="AM471" s="143"/>
      <c r="AN471" s="143"/>
      <c r="AO471" s="143"/>
      <c r="AP471" s="143"/>
      <c r="AQ471" s="143"/>
      <c r="AR471" s="143"/>
      <c r="AS471" s="143"/>
    </row>
    <row r="472"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  <c r="AA472" s="143"/>
      <c r="AE472" s="143"/>
      <c r="AF472" s="143"/>
      <c r="AG472" s="143"/>
      <c r="AH472" s="143"/>
      <c r="AI472" s="143"/>
      <c r="AJ472" s="143"/>
      <c r="AK472" s="143"/>
      <c r="AL472" s="143"/>
      <c r="AM472" s="143"/>
      <c r="AN472" s="143"/>
      <c r="AO472" s="143"/>
      <c r="AP472" s="143"/>
      <c r="AQ472" s="143"/>
      <c r="AR472" s="143"/>
      <c r="AS472" s="143"/>
    </row>
    <row r="473"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  <c r="AA473" s="143"/>
      <c r="AE473" s="143"/>
      <c r="AF473" s="143"/>
      <c r="AG473" s="143"/>
      <c r="AH473" s="143"/>
      <c r="AI473" s="143"/>
      <c r="AJ473" s="143"/>
      <c r="AK473" s="143"/>
      <c r="AL473" s="143"/>
      <c r="AM473" s="143"/>
      <c r="AN473" s="143"/>
      <c r="AO473" s="143"/>
      <c r="AP473" s="143"/>
      <c r="AQ473" s="143"/>
      <c r="AR473" s="143"/>
      <c r="AS473" s="143"/>
    </row>
    <row r="474"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  <c r="AA474" s="143"/>
      <c r="AE474" s="143"/>
      <c r="AF474" s="143"/>
      <c r="AG474" s="143"/>
      <c r="AH474" s="143"/>
      <c r="AI474" s="143"/>
      <c r="AJ474" s="143"/>
      <c r="AK474" s="143"/>
      <c r="AL474" s="143"/>
      <c r="AM474" s="143"/>
      <c r="AN474" s="143"/>
      <c r="AO474" s="143"/>
      <c r="AP474" s="143"/>
      <c r="AQ474" s="143"/>
      <c r="AR474" s="143"/>
      <c r="AS474" s="143"/>
    </row>
    <row r="475"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  <c r="AA475" s="143"/>
      <c r="AE475" s="143"/>
      <c r="AF475" s="143"/>
      <c r="AG475" s="143"/>
      <c r="AH475" s="143"/>
      <c r="AI475" s="143"/>
      <c r="AJ475" s="143"/>
      <c r="AK475" s="143"/>
      <c r="AL475" s="143"/>
      <c r="AM475" s="143"/>
      <c r="AN475" s="143"/>
      <c r="AO475" s="143"/>
      <c r="AP475" s="143"/>
      <c r="AQ475" s="143"/>
      <c r="AR475" s="143"/>
      <c r="AS475" s="143"/>
    </row>
    <row r="476"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  <c r="AA476" s="143"/>
      <c r="AE476" s="143"/>
      <c r="AF476" s="143"/>
      <c r="AG476" s="143"/>
      <c r="AH476" s="143"/>
      <c r="AI476" s="143"/>
      <c r="AJ476" s="143"/>
      <c r="AK476" s="143"/>
      <c r="AL476" s="143"/>
      <c r="AM476" s="143"/>
      <c r="AN476" s="143"/>
      <c r="AO476" s="143"/>
      <c r="AP476" s="143"/>
      <c r="AQ476" s="143"/>
      <c r="AR476" s="143"/>
      <c r="AS476" s="143"/>
    </row>
    <row r="477"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  <c r="AA477" s="143"/>
      <c r="AE477" s="143"/>
      <c r="AF477" s="143"/>
      <c r="AG477" s="143"/>
      <c r="AH477" s="143"/>
      <c r="AI477" s="143"/>
      <c r="AJ477" s="143"/>
      <c r="AK477" s="143"/>
      <c r="AL477" s="143"/>
      <c r="AM477" s="143"/>
      <c r="AN477" s="143"/>
      <c r="AO477" s="143"/>
      <c r="AP477" s="143"/>
      <c r="AQ477" s="143"/>
      <c r="AR477" s="143"/>
      <c r="AS477" s="143"/>
    </row>
    <row r="478"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  <c r="AA478" s="143"/>
      <c r="AE478" s="143"/>
      <c r="AF478" s="143"/>
      <c r="AG478" s="143"/>
      <c r="AH478" s="143"/>
      <c r="AI478" s="143"/>
      <c r="AJ478" s="143"/>
      <c r="AK478" s="143"/>
      <c r="AL478" s="143"/>
      <c r="AM478" s="143"/>
      <c r="AN478" s="143"/>
      <c r="AO478" s="143"/>
      <c r="AP478" s="143"/>
      <c r="AQ478" s="143"/>
      <c r="AR478" s="143"/>
      <c r="AS478" s="143"/>
    </row>
    <row r="479"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  <c r="AA479" s="143"/>
      <c r="AE479" s="143"/>
      <c r="AF479" s="143"/>
      <c r="AG479" s="143"/>
      <c r="AH479" s="143"/>
      <c r="AI479" s="143"/>
      <c r="AJ479" s="143"/>
      <c r="AK479" s="143"/>
      <c r="AL479" s="143"/>
      <c r="AM479" s="143"/>
      <c r="AN479" s="143"/>
      <c r="AO479" s="143"/>
      <c r="AP479" s="143"/>
      <c r="AQ479" s="143"/>
      <c r="AR479" s="143"/>
      <c r="AS479" s="143"/>
    </row>
    <row r="480"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  <c r="AA480" s="143"/>
      <c r="AE480" s="143"/>
      <c r="AF480" s="143"/>
      <c r="AG480" s="143"/>
      <c r="AH480" s="143"/>
      <c r="AI480" s="143"/>
      <c r="AJ480" s="143"/>
      <c r="AK480" s="143"/>
      <c r="AL480" s="143"/>
      <c r="AM480" s="143"/>
      <c r="AN480" s="143"/>
      <c r="AO480" s="143"/>
      <c r="AP480" s="143"/>
      <c r="AQ480" s="143"/>
      <c r="AR480" s="143"/>
      <c r="AS480" s="143"/>
    </row>
    <row r="481"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  <c r="AA481" s="143"/>
      <c r="AE481" s="143"/>
      <c r="AF481" s="143"/>
      <c r="AG481" s="143"/>
      <c r="AH481" s="143"/>
      <c r="AI481" s="143"/>
      <c r="AJ481" s="143"/>
      <c r="AK481" s="143"/>
      <c r="AL481" s="143"/>
      <c r="AM481" s="143"/>
      <c r="AN481" s="143"/>
      <c r="AO481" s="143"/>
      <c r="AP481" s="143"/>
      <c r="AQ481" s="143"/>
      <c r="AR481" s="143"/>
      <c r="AS481" s="143"/>
    </row>
    <row r="482"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  <c r="AA482" s="143"/>
      <c r="AE482" s="143"/>
      <c r="AF482" s="143"/>
      <c r="AG482" s="143"/>
      <c r="AH482" s="143"/>
      <c r="AI482" s="143"/>
      <c r="AJ482" s="143"/>
      <c r="AK482" s="143"/>
      <c r="AL482" s="143"/>
      <c r="AM482" s="143"/>
      <c r="AN482" s="143"/>
      <c r="AO482" s="143"/>
      <c r="AP482" s="143"/>
      <c r="AQ482" s="143"/>
      <c r="AR482" s="143"/>
      <c r="AS482" s="143"/>
    </row>
    <row r="483"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  <c r="AA483" s="143"/>
      <c r="AE483" s="143"/>
      <c r="AF483" s="143"/>
      <c r="AG483" s="143"/>
      <c r="AH483" s="143"/>
      <c r="AI483" s="143"/>
      <c r="AJ483" s="143"/>
      <c r="AK483" s="143"/>
      <c r="AL483" s="143"/>
      <c r="AM483" s="143"/>
      <c r="AN483" s="143"/>
      <c r="AO483" s="143"/>
      <c r="AP483" s="143"/>
      <c r="AQ483" s="143"/>
      <c r="AR483" s="143"/>
      <c r="AS483" s="143"/>
    </row>
    <row r="484"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  <c r="AA484" s="143"/>
      <c r="AE484" s="143"/>
      <c r="AF484" s="143"/>
      <c r="AG484" s="143"/>
      <c r="AH484" s="143"/>
      <c r="AI484" s="143"/>
      <c r="AJ484" s="143"/>
      <c r="AK484" s="143"/>
      <c r="AL484" s="143"/>
      <c r="AM484" s="143"/>
      <c r="AN484" s="143"/>
      <c r="AO484" s="143"/>
      <c r="AP484" s="143"/>
      <c r="AQ484" s="143"/>
      <c r="AR484" s="143"/>
      <c r="AS484" s="143"/>
    </row>
    <row r="485"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  <c r="AA485" s="143"/>
      <c r="AE485" s="143"/>
      <c r="AF485" s="143"/>
      <c r="AG485" s="143"/>
      <c r="AH485" s="143"/>
      <c r="AI485" s="143"/>
      <c r="AJ485" s="143"/>
      <c r="AK485" s="143"/>
      <c r="AL485" s="143"/>
      <c r="AM485" s="143"/>
      <c r="AN485" s="143"/>
      <c r="AO485" s="143"/>
      <c r="AP485" s="143"/>
      <c r="AQ485" s="143"/>
      <c r="AR485" s="143"/>
      <c r="AS485" s="143"/>
    </row>
    <row r="486"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  <c r="AA486" s="143"/>
      <c r="AE486" s="143"/>
      <c r="AF486" s="143"/>
      <c r="AG486" s="143"/>
      <c r="AH486" s="143"/>
      <c r="AI486" s="143"/>
      <c r="AJ486" s="143"/>
      <c r="AK486" s="143"/>
      <c r="AL486" s="143"/>
      <c r="AM486" s="143"/>
      <c r="AN486" s="143"/>
      <c r="AO486" s="143"/>
      <c r="AP486" s="143"/>
      <c r="AQ486" s="143"/>
      <c r="AR486" s="143"/>
      <c r="AS486" s="143"/>
    </row>
    <row r="487"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  <c r="AA487" s="143"/>
      <c r="AE487" s="143"/>
      <c r="AF487" s="143"/>
      <c r="AG487" s="143"/>
      <c r="AH487" s="143"/>
      <c r="AI487" s="143"/>
      <c r="AJ487" s="143"/>
      <c r="AK487" s="143"/>
      <c r="AL487" s="143"/>
      <c r="AM487" s="143"/>
      <c r="AN487" s="143"/>
      <c r="AO487" s="143"/>
      <c r="AP487" s="143"/>
      <c r="AQ487" s="143"/>
      <c r="AR487" s="143"/>
      <c r="AS487" s="143"/>
    </row>
    <row r="488"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  <c r="AA488" s="143"/>
      <c r="AE488" s="143"/>
      <c r="AF488" s="143"/>
      <c r="AG488" s="143"/>
      <c r="AH488" s="143"/>
      <c r="AI488" s="143"/>
      <c r="AJ488" s="143"/>
      <c r="AK488" s="143"/>
      <c r="AL488" s="143"/>
      <c r="AM488" s="143"/>
      <c r="AN488" s="143"/>
      <c r="AO488" s="143"/>
      <c r="AP488" s="143"/>
      <c r="AQ488" s="143"/>
      <c r="AR488" s="143"/>
      <c r="AS488" s="143"/>
    </row>
    <row r="489"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  <c r="AA489" s="143"/>
      <c r="AE489" s="143"/>
      <c r="AF489" s="143"/>
      <c r="AG489" s="143"/>
      <c r="AH489" s="143"/>
      <c r="AI489" s="143"/>
      <c r="AJ489" s="143"/>
      <c r="AK489" s="143"/>
      <c r="AL489" s="143"/>
      <c r="AM489" s="143"/>
      <c r="AN489" s="143"/>
      <c r="AO489" s="143"/>
      <c r="AP489" s="143"/>
      <c r="AQ489" s="143"/>
      <c r="AR489" s="143"/>
      <c r="AS489" s="143"/>
    </row>
    <row r="490"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  <c r="AA490" s="143"/>
      <c r="AE490" s="143"/>
      <c r="AF490" s="143"/>
      <c r="AG490" s="143"/>
      <c r="AH490" s="143"/>
      <c r="AI490" s="143"/>
      <c r="AJ490" s="143"/>
      <c r="AK490" s="143"/>
      <c r="AL490" s="143"/>
      <c r="AM490" s="143"/>
      <c r="AN490" s="143"/>
      <c r="AO490" s="143"/>
      <c r="AP490" s="143"/>
      <c r="AQ490" s="143"/>
      <c r="AR490" s="143"/>
      <c r="AS490" s="143"/>
    </row>
    <row r="491"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  <c r="AA491" s="143"/>
      <c r="AE491" s="143"/>
      <c r="AF491" s="143"/>
      <c r="AG491" s="143"/>
      <c r="AH491" s="143"/>
      <c r="AI491" s="143"/>
      <c r="AJ491" s="143"/>
      <c r="AK491" s="143"/>
      <c r="AL491" s="143"/>
      <c r="AM491" s="143"/>
      <c r="AN491" s="143"/>
      <c r="AO491" s="143"/>
      <c r="AP491" s="143"/>
      <c r="AQ491" s="143"/>
      <c r="AR491" s="143"/>
      <c r="AS491" s="143"/>
    </row>
    <row r="492"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  <c r="AA492" s="143"/>
      <c r="AE492" s="143"/>
      <c r="AF492" s="143"/>
      <c r="AG492" s="143"/>
      <c r="AH492" s="143"/>
      <c r="AI492" s="143"/>
      <c r="AJ492" s="143"/>
      <c r="AK492" s="143"/>
      <c r="AL492" s="143"/>
      <c r="AM492" s="143"/>
      <c r="AN492" s="143"/>
      <c r="AO492" s="143"/>
      <c r="AP492" s="143"/>
      <c r="AQ492" s="143"/>
      <c r="AR492" s="143"/>
      <c r="AS492" s="143"/>
    </row>
    <row r="493"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  <c r="AA493" s="143"/>
      <c r="AE493" s="143"/>
      <c r="AF493" s="143"/>
      <c r="AG493" s="143"/>
      <c r="AH493" s="143"/>
      <c r="AI493" s="143"/>
      <c r="AJ493" s="143"/>
      <c r="AK493" s="143"/>
      <c r="AL493" s="143"/>
      <c r="AM493" s="143"/>
      <c r="AN493" s="143"/>
      <c r="AO493" s="143"/>
      <c r="AP493" s="143"/>
      <c r="AQ493" s="143"/>
      <c r="AR493" s="143"/>
      <c r="AS493" s="143"/>
    </row>
    <row r="494"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  <c r="AA494" s="143"/>
      <c r="AE494" s="143"/>
      <c r="AF494" s="143"/>
      <c r="AG494" s="143"/>
      <c r="AH494" s="143"/>
      <c r="AI494" s="143"/>
      <c r="AJ494" s="143"/>
      <c r="AK494" s="143"/>
      <c r="AL494" s="143"/>
      <c r="AM494" s="143"/>
      <c r="AN494" s="143"/>
      <c r="AO494" s="143"/>
      <c r="AP494" s="143"/>
      <c r="AQ494" s="143"/>
      <c r="AR494" s="143"/>
      <c r="AS494" s="143"/>
    </row>
    <row r="495"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  <c r="AA495" s="143"/>
      <c r="AE495" s="143"/>
      <c r="AF495" s="143"/>
      <c r="AG495" s="143"/>
      <c r="AH495" s="143"/>
      <c r="AI495" s="143"/>
      <c r="AJ495" s="143"/>
      <c r="AK495" s="143"/>
      <c r="AL495" s="143"/>
      <c r="AM495" s="143"/>
      <c r="AN495" s="143"/>
      <c r="AO495" s="143"/>
      <c r="AP495" s="143"/>
      <c r="AQ495" s="143"/>
      <c r="AR495" s="143"/>
      <c r="AS495" s="143"/>
    </row>
    <row r="496"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  <c r="AA496" s="143"/>
      <c r="AE496" s="143"/>
      <c r="AF496" s="143"/>
      <c r="AG496" s="143"/>
      <c r="AH496" s="143"/>
      <c r="AI496" s="143"/>
      <c r="AJ496" s="143"/>
      <c r="AK496" s="143"/>
      <c r="AL496" s="143"/>
      <c r="AM496" s="143"/>
      <c r="AN496" s="143"/>
      <c r="AO496" s="143"/>
      <c r="AP496" s="143"/>
      <c r="AQ496" s="143"/>
      <c r="AR496" s="143"/>
      <c r="AS496" s="143"/>
    </row>
    <row r="497"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  <c r="AA497" s="143"/>
      <c r="AE497" s="143"/>
      <c r="AF497" s="143"/>
      <c r="AG497" s="143"/>
      <c r="AH497" s="143"/>
      <c r="AI497" s="143"/>
      <c r="AJ497" s="143"/>
      <c r="AK497" s="143"/>
      <c r="AL497" s="143"/>
      <c r="AM497" s="143"/>
      <c r="AN497" s="143"/>
      <c r="AO497" s="143"/>
      <c r="AP497" s="143"/>
      <c r="AQ497" s="143"/>
      <c r="AR497" s="143"/>
      <c r="AS497" s="143"/>
    </row>
    <row r="498"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  <c r="AA498" s="143"/>
      <c r="AE498" s="143"/>
      <c r="AF498" s="143"/>
      <c r="AG498" s="143"/>
      <c r="AH498" s="143"/>
      <c r="AI498" s="143"/>
      <c r="AJ498" s="143"/>
      <c r="AK498" s="143"/>
      <c r="AL498" s="143"/>
      <c r="AM498" s="143"/>
      <c r="AN498" s="143"/>
      <c r="AO498" s="143"/>
      <c r="AP498" s="143"/>
      <c r="AQ498" s="143"/>
      <c r="AR498" s="143"/>
      <c r="AS498" s="143"/>
    </row>
    <row r="499"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  <c r="AA499" s="143"/>
      <c r="AE499" s="143"/>
      <c r="AF499" s="143"/>
      <c r="AG499" s="143"/>
      <c r="AH499" s="143"/>
      <c r="AI499" s="143"/>
      <c r="AJ499" s="143"/>
      <c r="AK499" s="143"/>
      <c r="AL499" s="143"/>
      <c r="AM499" s="143"/>
      <c r="AN499" s="143"/>
      <c r="AO499" s="143"/>
      <c r="AP499" s="143"/>
      <c r="AQ499" s="143"/>
      <c r="AR499" s="143"/>
      <c r="AS499" s="143"/>
    </row>
    <row r="500"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  <c r="AA500" s="143"/>
      <c r="AE500" s="143"/>
      <c r="AF500" s="143"/>
      <c r="AG500" s="143"/>
      <c r="AH500" s="143"/>
      <c r="AI500" s="143"/>
      <c r="AJ500" s="143"/>
      <c r="AK500" s="143"/>
      <c r="AL500" s="143"/>
      <c r="AM500" s="143"/>
      <c r="AN500" s="143"/>
      <c r="AO500" s="143"/>
      <c r="AP500" s="143"/>
      <c r="AQ500" s="143"/>
      <c r="AR500" s="143"/>
      <c r="AS500" s="143"/>
    </row>
    <row r="501"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  <c r="AA501" s="143"/>
      <c r="AE501" s="143"/>
      <c r="AF501" s="143"/>
      <c r="AG501" s="143"/>
      <c r="AH501" s="143"/>
      <c r="AI501" s="143"/>
      <c r="AJ501" s="143"/>
      <c r="AK501" s="143"/>
      <c r="AL501" s="143"/>
      <c r="AM501" s="143"/>
      <c r="AN501" s="143"/>
      <c r="AO501" s="143"/>
      <c r="AP501" s="143"/>
      <c r="AQ501" s="143"/>
      <c r="AR501" s="143"/>
      <c r="AS501" s="143"/>
    </row>
    <row r="502"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  <c r="AA502" s="143"/>
      <c r="AE502" s="143"/>
      <c r="AF502" s="143"/>
      <c r="AG502" s="143"/>
      <c r="AH502" s="143"/>
      <c r="AI502" s="143"/>
      <c r="AJ502" s="143"/>
      <c r="AK502" s="143"/>
      <c r="AL502" s="143"/>
      <c r="AM502" s="143"/>
      <c r="AN502" s="143"/>
      <c r="AO502" s="143"/>
      <c r="AP502" s="143"/>
      <c r="AQ502" s="143"/>
      <c r="AR502" s="143"/>
      <c r="AS502" s="143"/>
    </row>
    <row r="503"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  <c r="AA503" s="143"/>
      <c r="AE503" s="143"/>
      <c r="AF503" s="143"/>
      <c r="AG503" s="143"/>
      <c r="AH503" s="143"/>
      <c r="AI503" s="143"/>
      <c r="AJ503" s="143"/>
      <c r="AK503" s="143"/>
      <c r="AL503" s="143"/>
      <c r="AM503" s="143"/>
      <c r="AN503" s="143"/>
      <c r="AO503" s="143"/>
      <c r="AP503" s="143"/>
      <c r="AQ503" s="143"/>
      <c r="AR503" s="143"/>
      <c r="AS503" s="143"/>
    </row>
    <row r="504"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  <c r="AA504" s="143"/>
      <c r="AE504" s="143"/>
      <c r="AF504" s="143"/>
      <c r="AG504" s="143"/>
      <c r="AH504" s="143"/>
      <c r="AI504" s="143"/>
      <c r="AJ504" s="143"/>
      <c r="AK504" s="143"/>
      <c r="AL504" s="143"/>
      <c r="AM504" s="143"/>
      <c r="AN504" s="143"/>
      <c r="AO504" s="143"/>
      <c r="AP504" s="143"/>
      <c r="AQ504" s="143"/>
      <c r="AR504" s="143"/>
      <c r="AS504" s="143"/>
    </row>
    <row r="505"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  <c r="AA505" s="143"/>
      <c r="AE505" s="143"/>
      <c r="AF505" s="143"/>
      <c r="AG505" s="143"/>
      <c r="AH505" s="143"/>
      <c r="AI505" s="143"/>
      <c r="AJ505" s="143"/>
      <c r="AK505" s="143"/>
      <c r="AL505" s="143"/>
      <c r="AM505" s="143"/>
      <c r="AN505" s="143"/>
      <c r="AO505" s="143"/>
      <c r="AP505" s="143"/>
      <c r="AQ505" s="143"/>
      <c r="AR505" s="143"/>
      <c r="AS505" s="143"/>
    </row>
    <row r="506"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  <c r="AA506" s="143"/>
      <c r="AE506" s="143"/>
      <c r="AF506" s="143"/>
      <c r="AG506" s="143"/>
      <c r="AH506" s="143"/>
      <c r="AI506" s="143"/>
      <c r="AJ506" s="143"/>
      <c r="AK506" s="143"/>
      <c r="AL506" s="143"/>
      <c r="AM506" s="143"/>
      <c r="AN506" s="143"/>
      <c r="AO506" s="143"/>
      <c r="AP506" s="143"/>
      <c r="AQ506" s="143"/>
      <c r="AR506" s="143"/>
      <c r="AS506" s="143"/>
    </row>
    <row r="507"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  <c r="AA507" s="143"/>
      <c r="AE507" s="143"/>
      <c r="AF507" s="143"/>
      <c r="AG507" s="143"/>
      <c r="AH507" s="143"/>
      <c r="AI507" s="143"/>
      <c r="AJ507" s="143"/>
      <c r="AK507" s="143"/>
      <c r="AL507" s="143"/>
      <c r="AM507" s="143"/>
      <c r="AN507" s="143"/>
      <c r="AO507" s="143"/>
      <c r="AP507" s="143"/>
      <c r="AQ507" s="143"/>
      <c r="AR507" s="143"/>
      <c r="AS507" s="143"/>
    </row>
    <row r="508"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  <c r="AA508" s="143"/>
      <c r="AE508" s="143"/>
      <c r="AF508" s="143"/>
      <c r="AG508" s="143"/>
      <c r="AH508" s="143"/>
      <c r="AI508" s="143"/>
      <c r="AJ508" s="143"/>
      <c r="AK508" s="143"/>
      <c r="AL508" s="143"/>
      <c r="AM508" s="143"/>
      <c r="AN508" s="143"/>
      <c r="AO508" s="143"/>
      <c r="AP508" s="143"/>
      <c r="AQ508" s="143"/>
      <c r="AR508" s="143"/>
      <c r="AS508" s="143"/>
    </row>
    <row r="509"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  <c r="AA509" s="143"/>
      <c r="AE509" s="143"/>
      <c r="AF509" s="143"/>
      <c r="AG509" s="143"/>
      <c r="AH509" s="143"/>
      <c r="AI509" s="143"/>
      <c r="AJ509" s="143"/>
      <c r="AK509" s="143"/>
      <c r="AL509" s="143"/>
      <c r="AM509" s="143"/>
      <c r="AN509" s="143"/>
      <c r="AO509" s="143"/>
      <c r="AP509" s="143"/>
      <c r="AQ509" s="143"/>
      <c r="AR509" s="143"/>
      <c r="AS509" s="143"/>
    </row>
    <row r="510"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  <c r="AA510" s="143"/>
      <c r="AE510" s="143"/>
      <c r="AF510" s="143"/>
      <c r="AG510" s="143"/>
      <c r="AH510" s="143"/>
      <c r="AI510" s="143"/>
      <c r="AJ510" s="143"/>
      <c r="AK510" s="143"/>
      <c r="AL510" s="143"/>
      <c r="AM510" s="143"/>
      <c r="AN510" s="143"/>
      <c r="AO510" s="143"/>
      <c r="AP510" s="143"/>
      <c r="AQ510" s="143"/>
      <c r="AR510" s="143"/>
      <c r="AS510" s="143"/>
    </row>
    <row r="511"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  <c r="AA511" s="143"/>
      <c r="AE511" s="143"/>
      <c r="AF511" s="143"/>
      <c r="AG511" s="143"/>
      <c r="AH511" s="143"/>
      <c r="AI511" s="143"/>
      <c r="AJ511" s="143"/>
      <c r="AK511" s="143"/>
      <c r="AL511" s="143"/>
      <c r="AM511" s="143"/>
      <c r="AN511" s="143"/>
      <c r="AO511" s="143"/>
      <c r="AP511" s="143"/>
      <c r="AQ511" s="143"/>
      <c r="AR511" s="143"/>
      <c r="AS511" s="143"/>
    </row>
    <row r="512"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  <c r="AA512" s="143"/>
      <c r="AE512" s="143"/>
      <c r="AF512" s="143"/>
      <c r="AG512" s="143"/>
      <c r="AH512" s="143"/>
      <c r="AI512" s="143"/>
      <c r="AJ512" s="143"/>
      <c r="AK512" s="143"/>
      <c r="AL512" s="143"/>
      <c r="AM512" s="143"/>
      <c r="AN512" s="143"/>
      <c r="AO512" s="143"/>
      <c r="AP512" s="143"/>
      <c r="AQ512" s="143"/>
      <c r="AR512" s="143"/>
      <c r="AS512" s="143"/>
    </row>
    <row r="513"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  <c r="AA513" s="143"/>
      <c r="AE513" s="143"/>
      <c r="AF513" s="143"/>
      <c r="AG513" s="143"/>
      <c r="AH513" s="143"/>
      <c r="AI513" s="143"/>
      <c r="AJ513" s="143"/>
      <c r="AK513" s="143"/>
      <c r="AL513" s="143"/>
      <c r="AM513" s="143"/>
      <c r="AN513" s="143"/>
      <c r="AO513" s="143"/>
      <c r="AP513" s="143"/>
      <c r="AQ513" s="143"/>
      <c r="AR513" s="143"/>
      <c r="AS513" s="143"/>
    </row>
    <row r="514"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  <c r="AA514" s="143"/>
      <c r="AE514" s="143"/>
      <c r="AF514" s="143"/>
      <c r="AG514" s="143"/>
      <c r="AH514" s="143"/>
      <c r="AI514" s="143"/>
      <c r="AJ514" s="143"/>
      <c r="AK514" s="143"/>
      <c r="AL514" s="143"/>
      <c r="AM514" s="143"/>
      <c r="AN514" s="143"/>
      <c r="AO514" s="143"/>
      <c r="AP514" s="143"/>
      <c r="AQ514" s="143"/>
      <c r="AR514" s="143"/>
      <c r="AS514" s="143"/>
    </row>
    <row r="515"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  <c r="AA515" s="143"/>
      <c r="AE515" s="143"/>
      <c r="AF515" s="143"/>
      <c r="AG515" s="143"/>
      <c r="AH515" s="143"/>
      <c r="AI515" s="143"/>
      <c r="AJ515" s="143"/>
      <c r="AK515" s="143"/>
      <c r="AL515" s="143"/>
      <c r="AM515" s="143"/>
      <c r="AN515" s="143"/>
      <c r="AO515" s="143"/>
      <c r="AP515" s="143"/>
      <c r="AQ515" s="143"/>
      <c r="AR515" s="143"/>
      <c r="AS515" s="143"/>
    </row>
    <row r="516"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  <c r="AA516" s="143"/>
      <c r="AE516" s="143"/>
      <c r="AF516" s="143"/>
      <c r="AG516" s="143"/>
      <c r="AH516" s="143"/>
      <c r="AI516" s="143"/>
      <c r="AJ516" s="143"/>
      <c r="AK516" s="143"/>
      <c r="AL516" s="143"/>
      <c r="AM516" s="143"/>
      <c r="AN516" s="143"/>
      <c r="AO516" s="143"/>
      <c r="AP516" s="143"/>
      <c r="AQ516" s="143"/>
      <c r="AR516" s="143"/>
      <c r="AS516" s="143"/>
    </row>
    <row r="517"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  <c r="AA517" s="143"/>
      <c r="AE517" s="143"/>
      <c r="AF517" s="143"/>
      <c r="AG517" s="143"/>
      <c r="AH517" s="143"/>
      <c r="AI517" s="143"/>
      <c r="AJ517" s="143"/>
      <c r="AK517" s="143"/>
      <c r="AL517" s="143"/>
      <c r="AM517" s="143"/>
      <c r="AN517" s="143"/>
      <c r="AO517" s="143"/>
      <c r="AP517" s="143"/>
      <c r="AQ517" s="143"/>
      <c r="AR517" s="143"/>
      <c r="AS517" s="143"/>
    </row>
    <row r="518"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  <c r="AA518" s="143"/>
      <c r="AE518" s="143"/>
      <c r="AF518" s="143"/>
      <c r="AG518" s="143"/>
      <c r="AH518" s="143"/>
      <c r="AI518" s="143"/>
      <c r="AJ518" s="143"/>
      <c r="AK518" s="143"/>
      <c r="AL518" s="143"/>
      <c r="AM518" s="143"/>
      <c r="AN518" s="143"/>
      <c r="AO518" s="143"/>
      <c r="AP518" s="143"/>
      <c r="AQ518" s="143"/>
      <c r="AR518" s="143"/>
      <c r="AS518" s="143"/>
    </row>
    <row r="519"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  <c r="AA519" s="143"/>
      <c r="AE519" s="143"/>
      <c r="AF519" s="143"/>
      <c r="AG519" s="143"/>
      <c r="AH519" s="143"/>
      <c r="AI519" s="143"/>
      <c r="AJ519" s="143"/>
      <c r="AK519" s="143"/>
      <c r="AL519" s="143"/>
      <c r="AM519" s="143"/>
      <c r="AN519" s="143"/>
      <c r="AO519" s="143"/>
      <c r="AP519" s="143"/>
      <c r="AQ519" s="143"/>
      <c r="AR519" s="143"/>
      <c r="AS519" s="143"/>
    </row>
    <row r="520"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E520" s="143"/>
      <c r="AF520" s="143"/>
      <c r="AG520" s="143"/>
      <c r="AH520" s="143"/>
      <c r="AI520" s="143"/>
      <c r="AJ520" s="143"/>
      <c r="AK520" s="143"/>
      <c r="AL520" s="143"/>
      <c r="AM520" s="143"/>
      <c r="AN520" s="143"/>
      <c r="AO520" s="143"/>
      <c r="AP520" s="143"/>
      <c r="AQ520" s="143"/>
      <c r="AR520" s="143"/>
      <c r="AS520" s="143"/>
    </row>
    <row r="521"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  <c r="AA521" s="143"/>
      <c r="AE521" s="143"/>
      <c r="AF521" s="143"/>
      <c r="AG521" s="143"/>
      <c r="AH521" s="143"/>
      <c r="AI521" s="143"/>
      <c r="AJ521" s="143"/>
      <c r="AK521" s="143"/>
      <c r="AL521" s="143"/>
      <c r="AM521" s="143"/>
      <c r="AN521" s="143"/>
      <c r="AO521" s="143"/>
      <c r="AP521" s="143"/>
      <c r="AQ521" s="143"/>
      <c r="AR521" s="143"/>
      <c r="AS521" s="143"/>
    </row>
    <row r="522"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  <c r="AA522" s="143"/>
      <c r="AE522" s="143"/>
      <c r="AF522" s="143"/>
      <c r="AG522" s="143"/>
      <c r="AH522" s="143"/>
      <c r="AI522" s="143"/>
      <c r="AJ522" s="143"/>
      <c r="AK522" s="143"/>
      <c r="AL522" s="143"/>
      <c r="AM522" s="143"/>
      <c r="AN522" s="143"/>
      <c r="AO522" s="143"/>
      <c r="AP522" s="143"/>
      <c r="AQ522" s="143"/>
      <c r="AR522" s="143"/>
      <c r="AS522" s="143"/>
    </row>
    <row r="523"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  <c r="AA523" s="143"/>
      <c r="AE523" s="143"/>
      <c r="AF523" s="143"/>
      <c r="AG523" s="143"/>
      <c r="AH523" s="143"/>
      <c r="AI523" s="143"/>
      <c r="AJ523" s="143"/>
      <c r="AK523" s="143"/>
      <c r="AL523" s="143"/>
      <c r="AM523" s="143"/>
      <c r="AN523" s="143"/>
      <c r="AO523" s="143"/>
      <c r="AP523" s="143"/>
      <c r="AQ523" s="143"/>
      <c r="AR523" s="143"/>
      <c r="AS523" s="143"/>
    </row>
    <row r="524"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  <c r="AA524" s="143"/>
      <c r="AE524" s="143"/>
      <c r="AF524" s="143"/>
      <c r="AG524" s="143"/>
      <c r="AH524" s="143"/>
      <c r="AI524" s="143"/>
      <c r="AJ524" s="143"/>
      <c r="AK524" s="143"/>
      <c r="AL524" s="143"/>
      <c r="AM524" s="143"/>
      <c r="AN524" s="143"/>
      <c r="AO524" s="143"/>
      <c r="AP524" s="143"/>
      <c r="AQ524" s="143"/>
      <c r="AR524" s="143"/>
      <c r="AS524" s="143"/>
    </row>
    <row r="525"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  <c r="AA525" s="143"/>
      <c r="AE525" s="143"/>
      <c r="AF525" s="143"/>
      <c r="AG525" s="143"/>
      <c r="AH525" s="143"/>
      <c r="AI525" s="143"/>
      <c r="AJ525" s="143"/>
      <c r="AK525" s="143"/>
      <c r="AL525" s="143"/>
      <c r="AM525" s="143"/>
      <c r="AN525" s="143"/>
      <c r="AO525" s="143"/>
      <c r="AP525" s="143"/>
      <c r="AQ525" s="143"/>
      <c r="AR525" s="143"/>
      <c r="AS525" s="143"/>
    </row>
    <row r="526"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  <c r="AA526" s="143"/>
      <c r="AE526" s="143"/>
      <c r="AF526" s="143"/>
      <c r="AG526" s="143"/>
      <c r="AH526" s="143"/>
      <c r="AI526" s="143"/>
      <c r="AJ526" s="143"/>
      <c r="AK526" s="143"/>
      <c r="AL526" s="143"/>
      <c r="AM526" s="143"/>
      <c r="AN526" s="143"/>
      <c r="AO526" s="143"/>
      <c r="AP526" s="143"/>
      <c r="AQ526" s="143"/>
      <c r="AR526" s="143"/>
      <c r="AS526" s="143"/>
    </row>
    <row r="527"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  <c r="AA527" s="143"/>
      <c r="AE527" s="143"/>
      <c r="AF527" s="143"/>
      <c r="AG527" s="143"/>
      <c r="AH527" s="143"/>
      <c r="AI527" s="143"/>
      <c r="AJ527" s="143"/>
      <c r="AK527" s="143"/>
      <c r="AL527" s="143"/>
      <c r="AM527" s="143"/>
      <c r="AN527" s="143"/>
      <c r="AO527" s="143"/>
      <c r="AP527" s="143"/>
      <c r="AQ527" s="143"/>
      <c r="AR527" s="143"/>
      <c r="AS527" s="143"/>
    </row>
    <row r="528"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  <c r="AA528" s="143"/>
      <c r="AE528" s="143"/>
      <c r="AF528" s="143"/>
      <c r="AG528" s="143"/>
      <c r="AH528" s="143"/>
      <c r="AI528" s="143"/>
      <c r="AJ528" s="143"/>
      <c r="AK528" s="143"/>
      <c r="AL528" s="143"/>
      <c r="AM528" s="143"/>
      <c r="AN528" s="143"/>
      <c r="AO528" s="143"/>
      <c r="AP528" s="143"/>
      <c r="AQ528" s="143"/>
      <c r="AR528" s="143"/>
      <c r="AS528" s="143"/>
    </row>
    <row r="529"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  <c r="AA529" s="143"/>
      <c r="AE529" s="143"/>
      <c r="AF529" s="143"/>
      <c r="AG529" s="143"/>
      <c r="AH529" s="143"/>
      <c r="AI529" s="143"/>
      <c r="AJ529" s="143"/>
      <c r="AK529" s="143"/>
      <c r="AL529" s="143"/>
      <c r="AM529" s="143"/>
      <c r="AN529" s="143"/>
      <c r="AO529" s="143"/>
      <c r="AP529" s="143"/>
      <c r="AQ529" s="143"/>
      <c r="AR529" s="143"/>
      <c r="AS529" s="143"/>
    </row>
    <row r="530"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  <c r="AA530" s="143"/>
      <c r="AE530" s="143"/>
      <c r="AF530" s="143"/>
      <c r="AG530" s="143"/>
      <c r="AH530" s="143"/>
      <c r="AI530" s="143"/>
      <c r="AJ530" s="143"/>
      <c r="AK530" s="143"/>
      <c r="AL530" s="143"/>
      <c r="AM530" s="143"/>
      <c r="AN530" s="143"/>
      <c r="AO530" s="143"/>
      <c r="AP530" s="143"/>
      <c r="AQ530" s="143"/>
      <c r="AR530" s="143"/>
      <c r="AS530" s="143"/>
    </row>
    <row r="531"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  <c r="AA531" s="143"/>
      <c r="AE531" s="143"/>
      <c r="AF531" s="143"/>
      <c r="AG531" s="143"/>
      <c r="AH531" s="143"/>
      <c r="AI531" s="143"/>
      <c r="AJ531" s="143"/>
      <c r="AK531" s="143"/>
      <c r="AL531" s="143"/>
      <c r="AM531" s="143"/>
      <c r="AN531" s="143"/>
      <c r="AO531" s="143"/>
      <c r="AP531" s="143"/>
      <c r="AQ531" s="143"/>
      <c r="AR531" s="143"/>
      <c r="AS531" s="143"/>
    </row>
    <row r="532"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  <c r="AA532" s="143"/>
      <c r="AE532" s="143"/>
      <c r="AF532" s="143"/>
      <c r="AG532" s="143"/>
      <c r="AH532" s="143"/>
      <c r="AI532" s="143"/>
      <c r="AJ532" s="143"/>
      <c r="AK532" s="143"/>
      <c r="AL532" s="143"/>
      <c r="AM532" s="143"/>
      <c r="AN532" s="143"/>
      <c r="AO532" s="143"/>
      <c r="AP532" s="143"/>
      <c r="AQ532" s="143"/>
      <c r="AR532" s="143"/>
      <c r="AS532" s="143"/>
    </row>
    <row r="533"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  <c r="AA533" s="143"/>
      <c r="AE533" s="143"/>
      <c r="AF533" s="143"/>
      <c r="AG533" s="143"/>
      <c r="AH533" s="143"/>
      <c r="AI533" s="143"/>
      <c r="AJ533" s="143"/>
      <c r="AK533" s="143"/>
      <c r="AL533" s="143"/>
      <c r="AM533" s="143"/>
      <c r="AN533" s="143"/>
      <c r="AO533" s="143"/>
      <c r="AP533" s="143"/>
      <c r="AQ533" s="143"/>
      <c r="AR533" s="143"/>
      <c r="AS533" s="143"/>
    </row>
    <row r="534"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  <c r="AA534" s="143"/>
      <c r="AE534" s="143"/>
      <c r="AF534" s="143"/>
      <c r="AG534" s="143"/>
      <c r="AH534" s="143"/>
      <c r="AI534" s="143"/>
      <c r="AJ534" s="143"/>
      <c r="AK534" s="143"/>
      <c r="AL534" s="143"/>
      <c r="AM534" s="143"/>
      <c r="AN534" s="143"/>
      <c r="AO534" s="143"/>
      <c r="AP534" s="143"/>
      <c r="AQ534" s="143"/>
      <c r="AR534" s="143"/>
      <c r="AS534" s="143"/>
    </row>
    <row r="535"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  <c r="AA535" s="143"/>
      <c r="AE535" s="143"/>
      <c r="AF535" s="143"/>
      <c r="AG535" s="143"/>
      <c r="AH535" s="143"/>
      <c r="AI535" s="143"/>
      <c r="AJ535" s="143"/>
      <c r="AK535" s="143"/>
      <c r="AL535" s="143"/>
      <c r="AM535" s="143"/>
      <c r="AN535" s="143"/>
      <c r="AO535" s="143"/>
      <c r="AP535" s="143"/>
      <c r="AQ535" s="143"/>
      <c r="AR535" s="143"/>
      <c r="AS535" s="143"/>
    </row>
    <row r="536"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  <c r="AA536" s="143"/>
      <c r="AE536" s="143"/>
      <c r="AF536" s="143"/>
      <c r="AG536" s="143"/>
      <c r="AH536" s="143"/>
      <c r="AI536" s="143"/>
      <c r="AJ536" s="143"/>
      <c r="AK536" s="143"/>
      <c r="AL536" s="143"/>
      <c r="AM536" s="143"/>
      <c r="AN536" s="143"/>
      <c r="AO536" s="143"/>
      <c r="AP536" s="143"/>
      <c r="AQ536" s="143"/>
      <c r="AR536" s="143"/>
      <c r="AS536" s="143"/>
    </row>
    <row r="537"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  <c r="AA537" s="143"/>
      <c r="AE537" s="143"/>
      <c r="AF537" s="143"/>
      <c r="AG537" s="143"/>
      <c r="AH537" s="143"/>
      <c r="AI537" s="143"/>
      <c r="AJ537" s="143"/>
      <c r="AK537" s="143"/>
      <c r="AL537" s="143"/>
      <c r="AM537" s="143"/>
      <c r="AN537" s="143"/>
      <c r="AO537" s="143"/>
      <c r="AP537" s="143"/>
      <c r="AQ537" s="143"/>
      <c r="AR537" s="143"/>
      <c r="AS537" s="143"/>
    </row>
    <row r="538"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  <c r="AA538" s="143"/>
      <c r="AE538" s="143"/>
      <c r="AF538" s="143"/>
      <c r="AG538" s="143"/>
      <c r="AH538" s="143"/>
      <c r="AI538" s="143"/>
      <c r="AJ538" s="143"/>
      <c r="AK538" s="143"/>
      <c r="AL538" s="143"/>
      <c r="AM538" s="143"/>
      <c r="AN538" s="143"/>
      <c r="AO538" s="143"/>
      <c r="AP538" s="143"/>
      <c r="AQ538" s="143"/>
      <c r="AR538" s="143"/>
      <c r="AS538" s="143"/>
    </row>
    <row r="539"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  <c r="AA539" s="143"/>
      <c r="AE539" s="143"/>
      <c r="AF539" s="143"/>
      <c r="AG539" s="143"/>
      <c r="AH539" s="143"/>
      <c r="AI539" s="143"/>
      <c r="AJ539" s="143"/>
      <c r="AK539" s="143"/>
      <c r="AL539" s="143"/>
      <c r="AM539" s="143"/>
      <c r="AN539" s="143"/>
      <c r="AO539" s="143"/>
      <c r="AP539" s="143"/>
      <c r="AQ539" s="143"/>
      <c r="AR539" s="143"/>
      <c r="AS539" s="143"/>
    </row>
    <row r="540"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  <c r="AA540" s="143"/>
      <c r="AE540" s="143"/>
      <c r="AF540" s="143"/>
      <c r="AG540" s="143"/>
      <c r="AH540" s="143"/>
      <c r="AI540" s="143"/>
      <c r="AJ540" s="143"/>
      <c r="AK540" s="143"/>
      <c r="AL540" s="143"/>
      <c r="AM540" s="143"/>
      <c r="AN540" s="143"/>
      <c r="AO540" s="143"/>
      <c r="AP540" s="143"/>
      <c r="AQ540" s="143"/>
      <c r="AR540" s="143"/>
      <c r="AS540" s="143"/>
    </row>
    <row r="541"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  <c r="AA541" s="143"/>
      <c r="AE541" s="143"/>
      <c r="AF541" s="143"/>
      <c r="AG541" s="143"/>
      <c r="AH541" s="143"/>
      <c r="AI541" s="143"/>
      <c r="AJ541" s="143"/>
      <c r="AK541" s="143"/>
      <c r="AL541" s="143"/>
      <c r="AM541" s="143"/>
      <c r="AN541" s="143"/>
      <c r="AO541" s="143"/>
      <c r="AP541" s="143"/>
      <c r="AQ541" s="143"/>
      <c r="AR541" s="143"/>
      <c r="AS541" s="143"/>
    </row>
    <row r="542"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  <c r="AA542" s="143"/>
      <c r="AE542" s="143"/>
      <c r="AF542" s="143"/>
      <c r="AG542" s="143"/>
      <c r="AH542" s="143"/>
      <c r="AI542" s="143"/>
      <c r="AJ542" s="143"/>
      <c r="AK542" s="143"/>
      <c r="AL542" s="143"/>
      <c r="AM542" s="143"/>
      <c r="AN542" s="143"/>
      <c r="AO542" s="143"/>
      <c r="AP542" s="143"/>
      <c r="AQ542" s="143"/>
      <c r="AR542" s="143"/>
      <c r="AS542" s="143"/>
    </row>
    <row r="543"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  <c r="AA543" s="143"/>
      <c r="AE543" s="143"/>
      <c r="AF543" s="143"/>
      <c r="AG543" s="143"/>
      <c r="AH543" s="143"/>
      <c r="AI543" s="143"/>
      <c r="AJ543" s="143"/>
      <c r="AK543" s="143"/>
      <c r="AL543" s="143"/>
      <c r="AM543" s="143"/>
      <c r="AN543" s="143"/>
      <c r="AO543" s="143"/>
      <c r="AP543" s="143"/>
      <c r="AQ543" s="143"/>
      <c r="AR543" s="143"/>
      <c r="AS543" s="143"/>
    </row>
    <row r="544"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  <c r="AA544" s="143"/>
      <c r="AE544" s="143"/>
      <c r="AF544" s="143"/>
      <c r="AG544" s="143"/>
      <c r="AH544" s="143"/>
      <c r="AI544" s="143"/>
      <c r="AJ544" s="143"/>
      <c r="AK544" s="143"/>
      <c r="AL544" s="143"/>
      <c r="AM544" s="143"/>
      <c r="AN544" s="143"/>
      <c r="AO544" s="143"/>
      <c r="AP544" s="143"/>
      <c r="AQ544" s="143"/>
      <c r="AR544" s="143"/>
      <c r="AS544" s="143"/>
    </row>
    <row r="545"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  <c r="AA545" s="143"/>
      <c r="AE545" s="143"/>
      <c r="AF545" s="143"/>
      <c r="AG545" s="143"/>
      <c r="AH545" s="143"/>
      <c r="AI545" s="143"/>
      <c r="AJ545" s="143"/>
      <c r="AK545" s="143"/>
      <c r="AL545" s="143"/>
      <c r="AM545" s="143"/>
      <c r="AN545" s="143"/>
      <c r="AO545" s="143"/>
      <c r="AP545" s="143"/>
      <c r="AQ545" s="143"/>
      <c r="AR545" s="143"/>
      <c r="AS545" s="143"/>
    </row>
    <row r="546"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  <c r="AA546" s="143"/>
      <c r="AE546" s="143"/>
      <c r="AF546" s="143"/>
      <c r="AG546" s="143"/>
      <c r="AH546" s="143"/>
      <c r="AI546" s="143"/>
      <c r="AJ546" s="143"/>
      <c r="AK546" s="143"/>
      <c r="AL546" s="143"/>
      <c r="AM546" s="143"/>
      <c r="AN546" s="143"/>
      <c r="AO546" s="143"/>
      <c r="AP546" s="143"/>
      <c r="AQ546" s="143"/>
      <c r="AR546" s="143"/>
      <c r="AS546" s="143"/>
    </row>
    <row r="547"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  <c r="AA547" s="143"/>
      <c r="AE547" s="143"/>
      <c r="AF547" s="143"/>
      <c r="AG547" s="143"/>
      <c r="AH547" s="143"/>
      <c r="AI547" s="143"/>
      <c r="AJ547" s="143"/>
      <c r="AK547" s="143"/>
      <c r="AL547" s="143"/>
      <c r="AM547" s="143"/>
      <c r="AN547" s="143"/>
      <c r="AO547" s="143"/>
      <c r="AP547" s="143"/>
      <c r="AQ547" s="143"/>
      <c r="AR547" s="143"/>
      <c r="AS547" s="143"/>
    </row>
    <row r="548"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  <c r="AA548" s="143"/>
      <c r="AE548" s="143"/>
      <c r="AF548" s="143"/>
      <c r="AG548" s="143"/>
      <c r="AH548" s="143"/>
      <c r="AI548" s="143"/>
      <c r="AJ548" s="143"/>
      <c r="AK548" s="143"/>
      <c r="AL548" s="143"/>
      <c r="AM548" s="143"/>
      <c r="AN548" s="143"/>
      <c r="AO548" s="143"/>
      <c r="AP548" s="143"/>
      <c r="AQ548" s="143"/>
      <c r="AR548" s="143"/>
      <c r="AS548" s="143"/>
    </row>
    <row r="549"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  <c r="AA549" s="143"/>
      <c r="AE549" s="143"/>
      <c r="AF549" s="143"/>
      <c r="AG549" s="143"/>
      <c r="AH549" s="143"/>
      <c r="AI549" s="143"/>
      <c r="AJ549" s="143"/>
      <c r="AK549" s="143"/>
      <c r="AL549" s="143"/>
      <c r="AM549" s="143"/>
      <c r="AN549" s="143"/>
      <c r="AO549" s="143"/>
      <c r="AP549" s="143"/>
      <c r="AQ549" s="143"/>
      <c r="AR549" s="143"/>
      <c r="AS549" s="143"/>
    </row>
    <row r="550"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  <c r="AA550" s="143"/>
      <c r="AE550" s="143"/>
      <c r="AF550" s="143"/>
      <c r="AG550" s="143"/>
      <c r="AH550" s="143"/>
      <c r="AI550" s="143"/>
      <c r="AJ550" s="143"/>
      <c r="AK550" s="143"/>
      <c r="AL550" s="143"/>
      <c r="AM550" s="143"/>
      <c r="AN550" s="143"/>
      <c r="AO550" s="143"/>
      <c r="AP550" s="143"/>
      <c r="AQ550" s="143"/>
      <c r="AR550" s="143"/>
      <c r="AS550" s="143"/>
    </row>
    <row r="551"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  <c r="AA551" s="143"/>
      <c r="AE551" s="143"/>
      <c r="AF551" s="143"/>
      <c r="AG551" s="143"/>
      <c r="AH551" s="143"/>
      <c r="AI551" s="143"/>
      <c r="AJ551" s="143"/>
      <c r="AK551" s="143"/>
      <c r="AL551" s="143"/>
      <c r="AM551" s="143"/>
      <c r="AN551" s="143"/>
      <c r="AO551" s="143"/>
      <c r="AP551" s="143"/>
      <c r="AQ551" s="143"/>
      <c r="AR551" s="143"/>
      <c r="AS551" s="143"/>
    </row>
    <row r="552"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  <c r="AA552" s="143"/>
      <c r="AE552" s="143"/>
      <c r="AF552" s="143"/>
      <c r="AG552" s="143"/>
      <c r="AH552" s="143"/>
      <c r="AI552" s="143"/>
      <c r="AJ552" s="143"/>
      <c r="AK552" s="143"/>
      <c r="AL552" s="143"/>
      <c r="AM552" s="143"/>
      <c r="AN552" s="143"/>
      <c r="AO552" s="143"/>
      <c r="AP552" s="143"/>
      <c r="AQ552" s="143"/>
      <c r="AR552" s="143"/>
      <c r="AS552" s="143"/>
    </row>
    <row r="553"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  <c r="AA553" s="143"/>
      <c r="AE553" s="143"/>
      <c r="AF553" s="143"/>
      <c r="AG553" s="143"/>
      <c r="AH553" s="143"/>
      <c r="AI553" s="143"/>
      <c r="AJ553" s="143"/>
      <c r="AK553" s="143"/>
      <c r="AL553" s="143"/>
      <c r="AM553" s="143"/>
      <c r="AN553" s="143"/>
      <c r="AO553" s="143"/>
      <c r="AP553" s="143"/>
      <c r="AQ553" s="143"/>
      <c r="AR553" s="143"/>
      <c r="AS553" s="143"/>
    </row>
    <row r="554"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  <c r="AA554" s="143"/>
      <c r="AE554" s="143"/>
      <c r="AF554" s="143"/>
      <c r="AG554" s="143"/>
      <c r="AH554" s="143"/>
      <c r="AI554" s="143"/>
      <c r="AJ554" s="143"/>
      <c r="AK554" s="143"/>
      <c r="AL554" s="143"/>
      <c r="AM554" s="143"/>
      <c r="AN554" s="143"/>
      <c r="AO554" s="143"/>
      <c r="AP554" s="143"/>
      <c r="AQ554" s="143"/>
      <c r="AR554" s="143"/>
      <c r="AS554" s="143"/>
    </row>
    <row r="555"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  <c r="AA555" s="143"/>
      <c r="AE555" s="143"/>
      <c r="AF555" s="143"/>
      <c r="AG555" s="143"/>
      <c r="AH555" s="143"/>
      <c r="AI555" s="143"/>
      <c r="AJ555" s="143"/>
      <c r="AK555" s="143"/>
      <c r="AL555" s="143"/>
      <c r="AM555" s="143"/>
      <c r="AN555" s="143"/>
      <c r="AO555" s="143"/>
      <c r="AP555" s="143"/>
      <c r="AQ555" s="143"/>
      <c r="AR555" s="143"/>
      <c r="AS555" s="143"/>
    </row>
    <row r="556"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  <c r="AA556" s="143"/>
      <c r="AE556" s="143"/>
      <c r="AF556" s="143"/>
      <c r="AG556" s="143"/>
      <c r="AH556" s="143"/>
      <c r="AI556" s="143"/>
      <c r="AJ556" s="143"/>
      <c r="AK556" s="143"/>
      <c r="AL556" s="143"/>
      <c r="AM556" s="143"/>
      <c r="AN556" s="143"/>
      <c r="AO556" s="143"/>
      <c r="AP556" s="143"/>
      <c r="AQ556" s="143"/>
      <c r="AR556" s="143"/>
      <c r="AS556" s="143"/>
    </row>
    <row r="557"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  <c r="AA557" s="143"/>
      <c r="AE557" s="143"/>
      <c r="AF557" s="143"/>
      <c r="AG557" s="143"/>
      <c r="AH557" s="143"/>
      <c r="AI557" s="143"/>
      <c r="AJ557" s="143"/>
      <c r="AK557" s="143"/>
      <c r="AL557" s="143"/>
      <c r="AM557" s="143"/>
      <c r="AN557" s="143"/>
      <c r="AO557" s="143"/>
      <c r="AP557" s="143"/>
      <c r="AQ557" s="143"/>
      <c r="AR557" s="143"/>
      <c r="AS557" s="143"/>
    </row>
    <row r="558"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  <c r="AA558" s="143"/>
      <c r="AE558" s="143"/>
      <c r="AF558" s="143"/>
      <c r="AG558" s="143"/>
      <c r="AH558" s="143"/>
      <c r="AI558" s="143"/>
      <c r="AJ558" s="143"/>
      <c r="AK558" s="143"/>
      <c r="AL558" s="143"/>
      <c r="AM558" s="143"/>
      <c r="AN558" s="143"/>
      <c r="AO558" s="143"/>
      <c r="AP558" s="143"/>
      <c r="AQ558" s="143"/>
      <c r="AR558" s="143"/>
      <c r="AS558" s="143"/>
    </row>
    <row r="559"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  <c r="AA559" s="143"/>
      <c r="AE559" s="143"/>
      <c r="AF559" s="143"/>
      <c r="AG559" s="143"/>
      <c r="AH559" s="143"/>
      <c r="AI559" s="143"/>
      <c r="AJ559" s="143"/>
      <c r="AK559" s="143"/>
      <c r="AL559" s="143"/>
      <c r="AM559" s="143"/>
      <c r="AN559" s="143"/>
      <c r="AO559" s="143"/>
      <c r="AP559" s="143"/>
      <c r="AQ559" s="143"/>
      <c r="AR559" s="143"/>
      <c r="AS559" s="143"/>
    </row>
    <row r="560"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  <c r="AA560" s="143"/>
      <c r="AE560" s="143"/>
      <c r="AF560" s="143"/>
      <c r="AG560" s="143"/>
      <c r="AH560" s="143"/>
      <c r="AI560" s="143"/>
      <c r="AJ560" s="143"/>
      <c r="AK560" s="143"/>
      <c r="AL560" s="143"/>
      <c r="AM560" s="143"/>
      <c r="AN560" s="143"/>
      <c r="AO560" s="143"/>
      <c r="AP560" s="143"/>
      <c r="AQ560" s="143"/>
      <c r="AR560" s="143"/>
      <c r="AS560" s="143"/>
    </row>
    <row r="561"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  <c r="AA561" s="143"/>
      <c r="AE561" s="143"/>
      <c r="AF561" s="143"/>
      <c r="AG561" s="143"/>
      <c r="AH561" s="143"/>
      <c r="AI561" s="143"/>
      <c r="AJ561" s="143"/>
      <c r="AK561" s="143"/>
      <c r="AL561" s="143"/>
      <c r="AM561" s="143"/>
      <c r="AN561" s="143"/>
      <c r="AO561" s="143"/>
      <c r="AP561" s="143"/>
      <c r="AQ561" s="143"/>
      <c r="AR561" s="143"/>
      <c r="AS561" s="143"/>
    </row>
    <row r="562"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  <c r="AA562" s="143"/>
      <c r="AE562" s="143"/>
      <c r="AF562" s="143"/>
      <c r="AG562" s="143"/>
      <c r="AH562" s="143"/>
      <c r="AI562" s="143"/>
      <c r="AJ562" s="143"/>
      <c r="AK562" s="143"/>
      <c r="AL562" s="143"/>
      <c r="AM562" s="143"/>
      <c r="AN562" s="143"/>
      <c r="AO562" s="143"/>
      <c r="AP562" s="143"/>
      <c r="AQ562" s="143"/>
      <c r="AR562" s="143"/>
      <c r="AS562" s="143"/>
    </row>
    <row r="563"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  <c r="AA563" s="143"/>
      <c r="AE563" s="143"/>
      <c r="AF563" s="143"/>
      <c r="AG563" s="143"/>
      <c r="AH563" s="143"/>
      <c r="AI563" s="143"/>
      <c r="AJ563" s="143"/>
      <c r="AK563" s="143"/>
      <c r="AL563" s="143"/>
      <c r="AM563" s="143"/>
      <c r="AN563" s="143"/>
      <c r="AO563" s="143"/>
      <c r="AP563" s="143"/>
      <c r="AQ563" s="143"/>
      <c r="AR563" s="143"/>
      <c r="AS563" s="143"/>
    </row>
    <row r="564"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  <c r="AA564" s="143"/>
      <c r="AE564" s="143"/>
      <c r="AF564" s="143"/>
      <c r="AG564" s="143"/>
      <c r="AH564" s="143"/>
      <c r="AI564" s="143"/>
      <c r="AJ564" s="143"/>
      <c r="AK564" s="143"/>
      <c r="AL564" s="143"/>
      <c r="AM564" s="143"/>
      <c r="AN564" s="143"/>
      <c r="AO564" s="143"/>
      <c r="AP564" s="143"/>
      <c r="AQ564" s="143"/>
      <c r="AR564" s="143"/>
      <c r="AS564" s="143"/>
    </row>
    <row r="565"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  <c r="AA565" s="143"/>
      <c r="AE565" s="143"/>
      <c r="AF565" s="143"/>
      <c r="AG565" s="143"/>
      <c r="AH565" s="143"/>
      <c r="AI565" s="143"/>
      <c r="AJ565" s="143"/>
      <c r="AK565" s="143"/>
      <c r="AL565" s="143"/>
      <c r="AM565" s="143"/>
      <c r="AN565" s="143"/>
      <c r="AO565" s="143"/>
      <c r="AP565" s="143"/>
      <c r="AQ565" s="143"/>
      <c r="AR565" s="143"/>
      <c r="AS565" s="143"/>
    </row>
    <row r="566"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  <c r="AA566" s="143"/>
      <c r="AE566" s="143"/>
      <c r="AF566" s="143"/>
      <c r="AG566" s="143"/>
      <c r="AH566" s="143"/>
      <c r="AI566" s="143"/>
      <c r="AJ566" s="143"/>
      <c r="AK566" s="143"/>
      <c r="AL566" s="143"/>
      <c r="AM566" s="143"/>
      <c r="AN566" s="143"/>
      <c r="AO566" s="143"/>
      <c r="AP566" s="143"/>
      <c r="AQ566" s="143"/>
      <c r="AR566" s="143"/>
      <c r="AS566" s="143"/>
    </row>
    <row r="567"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  <c r="AA567" s="143"/>
      <c r="AE567" s="143"/>
      <c r="AF567" s="143"/>
      <c r="AG567" s="143"/>
      <c r="AH567" s="143"/>
      <c r="AI567" s="143"/>
      <c r="AJ567" s="143"/>
      <c r="AK567" s="143"/>
      <c r="AL567" s="143"/>
      <c r="AM567" s="143"/>
      <c r="AN567" s="143"/>
      <c r="AO567" s="143"/>
      <c r="AP567" s="143"/>
      <c r="AQ567" s="143"/>
      <c r="AR567" s="143"/>
      <c r="AS567" s="143"/>
    </row>
    <row r="568"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  <c r="AA568" s="143"/>
      <c r="AE568" s="143"/>
      <c r="AF568" s="143"/>
      <c r="AG568" s="143"/>
      <c r="AH568" s="143"/>
      <c r="AI568" s="143"/>
      <c r="AJ568" s="143"/>
      <c r="AK568" s="143"/>
      <c r="AL568" s="143"/>
      <c r="AM568" s="143"/>
      <c r="AN568" s="143"/>
      <c r="AO568" s="143"/>
      <c r="AP568" s="143"/>
      <c r="AQ568" s="143"/>
      <c r="AR568" s="143"/>
      <c r="AS568" s="143"/>
    </row>
    <row r="569"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  <c r="AA569" s="143"/>
      <c r="AE569" s="143"/>
      <c r="AF569" s="143"/>
      <c r="AG569" s="143"/>
      <c r="AH569" s="143"/>
      <c r="AI569" s="143"/>
      <c r="AJ569" s="143"/>
      <c r="AK569" s="143"/>
      <c r="AL569" s="143"/>
      <c r="AM569" s="143"/>
      <c r="AN569" s="143"/>
      <c r="AO569" s="143"/>
      <c r="AP569" s="143"/>
      <c r="AQ569" s="143"/>
      <c r="AR569" s="143"/>
      <c r="AS569" s="143"/>
    </row>
    <row r="570"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  <c r="AA570" s="143"/>
      <c r="AE570" s="143"/>
      <c r="AF570" s="143"/>
      <c r="AG570" s="143"/>
      <c r="AH570" s="143"/>
      <c r="AI570" s="143"/>
      <c r="AJ570" s="143"/>
      <c r="AK570" s="143"/>
      <c r="AL570" s="143"/>
      <c r="AM570" s="143"/>
      <c r="AN570" s="143"/>
      <c r="AO570" s="143"/>
      <c r="AP570" s="143"/>
      <c r="AQ570" s="143"/>
      <c r="AR570" s="143"/>
      <c r="AS570" s="143"/>
    </row>
    <row r="571"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  <c r="AA571" s="143"/>
      <c r="AE571" s="143"/>
      <c r="AF571" s="143"/>
      <c r="AG571" s="143"/>
      <c r="AH571" s="143"/>
      <c r="AI571" s="143"/>
      <c r="AJ571" s="143"/>
      <c r="AK571" s="143"/>
      <c r="AL571" s="143"/>
      <c r="AM571" s="143"/>
      <c r="AN571" s="143"/>
      <c r="AO571" s="143"/>
      <c r="AP571" s="143"/>
      <c r="AQ571" s="143"/>
      <c r="AR571" s="143"/>
      <c r="AS571" s="143"/>
    </row>
    <row r="572"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E572" s="143"/>
      <c r="AF572" s="143"/>
      <c r="AG572" s="143"/>
      <c r="AH572" s="143"/>
      <c r="AI572" s="143"/>
      <c r="AJ572" s="143"/>
      <c r="AK572" s="143"/>
      <c r="AL572" s="143"/>
      <c r="AM572" s="143"/>
      <c r="AN572" s="143"/>
      <c r="AO572" s="143"/>
      <c r="AP572" s="143"/>
      <c r="AQ572" s="143"/>
      <c r="AR572" s="143"/>
      <c r="AS572" s="143"/>
    </row>
    <row r="573"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  <c r="AA573" s="143"/>
      <c r="AE573" s="143"/>
      <c r="AF573" s="143"/>
      <c r="AG573" s="143"/>
      <c r="AH573" s="143"/>
      <c r="AI573" s="143"/>
      <c r="AJ573" s="143"/>
      <c r="AK573" s="143"/>
      <c r="AL573" s="143"/>
      <c r="AM573" s="143"/>
      <c r="AN573" s="143"/>
      <c r="AO573" s="143"/>
      <c r="AP573" s="143"/>
      <c r="AQ573" s="143"/>
      <c r="AR573" s="143"/>
      <c r="AS573" s="143"/>
    </row>
    <row r="574"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  <c r="AA574" s="143"/>
      <c r="AE574" s="143"/>
      <c r="AF574" s="143"/>
      <c r="AG574" s="143"/>
      <c r="AH574" s="143"/>
      <c r="AI574" s="143"/>
      <c r="AJ574" s="143"/>
      <c r="AK574" s="143"/>
      <c r="AL574" s="143"/>
      <c r="AM574" s="143"/>
      <c r="AN574" s="143"/>
      <c r="AO574" s="143"/>
      <c r="AP574" s="143"/>
      <c r="AQ574" s="143"/>
      <c r="AR574" s="143"/>
      <c r="AS574" s="143"/>
    </row>
    <row r="575"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  <c r="AA575" s="143"/>
      <c r="AE575" s="143"/>
      <c r="AF575" s="143"/>
      <c r="AG575" s="143"/>
      <c r="AH575" s="143"/>
      <c r="AI575" s="143"/>
      <c r="AJ575" s="143"/>
      <c r="AK575" s="143"/>
      <c r="AL575" s="143"/>
      <c r="AM575" s="143"/>
      <c r="AN575" s="143"/>
      <c r="AO575" s="143"/>
      <c r="AP575" s="143"/>
      <c r="AQ575" s="143"/>
      <c r="AR575" s="143"/>
      <c r="AS575" s="143"/>
    </row>
    <row r="576"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  <c r="AA576" s="143"/>
      <c r="AE576" s="143"/>
      <c r="AF576" s="143"/>
      <c r="AG576" s="143"/>
      <c r="AH576" s="143"/>
      <c r="AI576" s="143"/>
      <c r="AJ576" s="143"/>
      <c r="AK576" s="143"/>
      <c r="AL576" s="143"/>
      <c r="AM576" s="143"/>
      <c r="AN576" s="143"/>
      <c r="AO576" s="143"/>
      <c r="AP576" s="143"/>
      <c r="AQ576" s="143"/>
      <c r="AR576" s="143"/>
      <c r="AS576" s="143"/>
    </row>
    <row r="577"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  <c r="AA577" s="143"/>
      <c r="AE577" s="143"/>
      <c r="AF577" s="143"/>
      <c r="AG577" s="143"/>
      <c r="AH577" s="143"/>
      <c r="AI577" s="143"/>
      <c r="AJ577" s="143"/>
      <c r="AK577" s="143"/>
      <c r="AL577" s="143"/>
      <c r="AM577" s="143"/>
      <c r="AN577" s="143"/>
      <c r="AO577" s="143"/>
      <c r="AP577" s="143"/>
      <c r="AQ577" s="143"/>
      <c r="AR577" s="143"/>
      <c r="AS577" s="143"/>
    </row>
    <row r="578"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  <c r="AA578" s="143"/>
      <c r="AE578" s="143"/>
      <c r="AF578" s="143"/>
      <c r="AG578" s="143"/>
      <c r="AH578" s="143"/>
      <c r="AI578" s="143"/>
      <c r="AJ578" s="143"/>
      <c r="AK578" s="143"/>
      <c r="AL578" s="143"/>
      <c r="AM578" s="143"/>
      <c r="AN578" s="143"/>
      <c r="AO578" s="143"/>
      <c r="AP578" s="143"/>
      <c r="AQ578" s="143"/>
      <c r="AR578" s="143"/>
      <c r="AS578" s="143"/>
    </row>
    <row r="579"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  <c r="AA579" s="143"/>
      <c r="AE579" s="143"/>
      <c r="AF579" s="143"/>
      <c r="AG579" s="143"/>
      <c r="AH579" s="143"/>
      <c r="AI579" s="143"/>
      <c r="AJ579" s="143"/>
      <c r="AK579" s="143"/>
      <c r="AL579" s="143"/>
      <c r="AM579" s="143"/>
      <c r="AN579" s="143"/>
      <c r="AO579" s="143"/>
      <c r="AP579" s="143"/>
      <c r="AQ579" s="143"/>
      <c r="AR579" s="143"/>
      <c r="AS579" s="143"/>
    </row>
    <row r="580"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  <c r="AA580" s="143"/>
      <c r="AE580" s="143"/>
      <c r="AF580" s="143"/>
      <c r="AG580" s="143"/>
      <c r="AH580" s="143"/>
      <c r="AI580" s="143"/>
      <c r="AJ580" s="143"/>
      <c r="AK580" s="143"/>
      <c r="AL580" s="143"/>
      <c r="AM580" s="143"/>
      <c r="AN580" s="143"/>
      <c r="AO580" s="143"/>
      <c r="AP580" s="143"/>
      <c r="AQ580" s="143"/>
      <c r="AR580" s="143"/>
      <c r="AS580" s="143"/>
    </row>
    <row r="581"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  <c r="AA581" s="143"/>
      <c r="AE581" s="143"/>
      <c r="AF581" s="143"/>
      <c r="AG581" s="143"/>
      <c r="AH581" s="143"/>
      <c r="AI581" s="143"/>
      <c r="AJ581" s="143"/>
      <c r="AK581" s="143"/>
      <c r="AL581" s="143"/>
      <c r="AM581" s="143"/>
      <c r="AN581" s="143"/>
      <c r="AO581" s="143"/>
      <c r="AP581" s="143"/>
      <c r="AQ581" s="143"/>
      <c r="AR581" s="143"/>
      <c r="AS581" s="143"/>
    </row>
    <row r="582"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  <c r="AA582" s="143"/>
      <c r="AE582" s="143"/>
      <c r="AF582" s="143"/>
      <c r="AG582" s="143"/>
      <c r="AH582" s="143"/>
      <c r="AI582" s="143"/>
      <c r="AJ582" s="143"/>
      <c r="AK582" s="143"/>
      <c r="AL582" s="143"/>
      <c r="AM582" s="143"/>
      <c r="AN582" s="143"/>
      <c r="AO582" s="143"/>
      <c r="AP582" s="143"/>
      <c r="AQ582" s="143"/>
      <c r="AR582" s="143"/>
      <c r="AS582" s="143"/>
    </row>
    <row r="583"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  <c r="AA583" s="143"/>
      <c r="AE583" s="143"/>
      <c r="AF583" s="143"/>
      <c r="AG583" s="143"/>
      <c r="AH583" s="143"/>
      <c r="AI583" s="143"/>
      <c r="AJ583" s="143"/>
      <c r="AK583" s="143"/>
      <c r="AL583" s="143"/>
      <c r="AM583" s="143"/>
      <c r="AN583" s="143"/>
      <c r="AO583" s="143"/>
      <c r="AP583" s="143"/>
      <c r="AQ583" s="143"/>
      <c r="AR583" s="143"/>
      <c r="AS583" s="143"/>
    </row>
    <row r="584"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  <c r="AA584" s="143"/>
      <c r="AE584" s="143"/>
      <c r="AF584" s="143"/>
      <c r="AG584" s="143"/>
      <c r="AH584" s="143"/>
      <c r="AI584" s="143"/>
      <c r="AJ584" s="143"/>
      <c r="AK584" s="143"/>
      <c r="AL584" s="143"/>
      <c r="AM584" s="143"/>
      <c r="AN584" s="143"/>
      <c r="AO584" s="143"/>
      <c r="AP584" s="143"/>
      <c r="AQ584" s="143"/>
      <c r="AR584" s="143"/>
      <c r="AS584" s="143"/>
    </row>
    <row r="585"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  <c r="AA585" s="143"/>
      <c r="AE585" s="143"/>
      <c r="AF585" s="143"/>
      <c r="AG585" s="143"/>
      <c r="AH585" s="143"/>
      <c r="AI585" s="143"/>
      <c r="AJ585" s="143"/>
      <c r="AK585" s="143"/>
      <c r="AL585" s="143"/>
      <c r="AM585" s="143"/>
      <c r="AN585" s="143"/>
      <c r="AO585" s="143"/>
      <c r="AP585" s="143"/>
      <c r="AQ585" s="143"/>
      <c r="AR585" s="143"/>
      <c r="AS585" s="143"/>
    </row>
    <row r="586"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  <c r="AA586" s="143"/>
      <c r="AE586" s="143"/>
      <c r="AF586" s="143"/>
      <c r="AG586" s="143"/>
      <c r="AH586" s="143"/>
      <c r="AI586" s="143"/>
      <c r="AJ586" s="143"/>
      <c r="AK586" s="143"/>
      <c r="AL586" s="143"/>
      <c r="AM586" s="143"/>
      <c r="AN586" s="143"/>
      <c r="AO586" s="143"/>
      <c r="AP586" s="143"/>
      <c r="AQ586" s="143"/>
      <c r="AR586" s="143"/>
      <c r="AS586" s="143"/>
    </row>
    <row r="587"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  <c r="AA587" s="143"/>
      <c r="AE587" s="143"/>
      <c r="AF587" s="143"/>
      <c r="AG587" s="143"/>
      <c r="AH587" s="143"/>
      <c r="AI587" s="143"/>
      <c r="AJ587" s="143"/>
      <c r="AK587" s="143"/>
      <c r="AL587" s="143"/>
      <c r="AM587" s="143"/>
      <c r="AN587" s="143"/>
      <c r="AO587" s="143"/>
      <c r="AP587" s="143"/>
      <c r="AQ587" s="143"/>
      <c r="AR587" s="143"/>
      <c r="AS587" s="143"/>
    </row>
    <row r="588"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  <c r="AA588" s="143"/>
      <c r="AE588" s="143"/>
      <c r="AF588" s="143"/>
      <c r="AG588" s="143"/>
      <c r="AH588" s="143"/>
      <c r="AI588" s="143"/>
      <c r="AJ588" s="143"/>
      <c r="AK588" s="143"/>
      <c r="AL588" s="143"/>
      <c r="AM588" s="143"/>
      <c r="AN588" s="143"/>
      <c r="AO588" s="143"/>
      <c r="AP588" s="143"/>
      <c r="AQ588" s="143"/>
      <c r="AR588" s="143"/>
      <c r="AS588" s="143"/>
    </row>
    <row r="589"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  <c r="AA589" s="143"/>
      <c r="AE589" s="143"/>
      <c r="AF589" s="143"/>
      <c r="AG589" s="143"/>
      <c r="AH589" s="143"/>
      <c r="AI589" s="143"/>
      <c r="AJ589" s="143"/>
      <c r="AK589" s="143"/>
      <c r="AL589" s="143"/>
      <c r="AM589" s="143"/>
      <c r="AN589" s="143"/>
      <c r="AO589" s="143"/>
      <c r="AP589" s="143"/>
      <c r="AQ589" s="143"/>
      <c r="AR589" s="143"/>
      <c r="AS589" s="143"/>
    </row>
    <row r="590"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  <c r="AA590" s="143"/>
      <c r="AE590" s="143"/>
      <c r="AF590" s="143"/>
      <c r="AG590" s="143"/>
      <c r="AH590" s="143"/>
      <c r="AI590" s="143"/>
      <c r="AJ590" s="143"/>
      <c r="AK590" s="143"/>
      <c r="AL590" s="143"/>
      <c r="AM590" s="143"/>
      <c r="AN590" s="143"/>
      <c r="AO590" s="143"/>
      <c r="AP590" s="143"/>
      <c r="AQ590" s="143"/>
      <c r="AR590" s="143"/>
      <c r="AS590" s="143"/>
    </row>
    <row r="591"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  <c r="AA591" s="143"/>
      <c r="AE591" s="143"/>
      <c r="AF591" s="143"/>
      <c r="AG591" s="143"/>
      <c r="AH591" s="143"/>
      <c r="AI591" s="143"/>
      <c r="AJ591" s="143"/>
      <c r="AK591" s="143"/>
      <c r="AL591" s="143"/>
      <c r="AM591" s="143"/>
      <c r="AN591" s="143"/>
      <c r="AO591" s="143"/>
      <c r="AP591" s="143"/>
      <c r="AQ591" s="143"/>
      <c r="AR591" s="143"/>
      <c r="AS591" s="143"/>
    </row>
    <row r="592"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  <c r="AA592" s="143"/>
      <c r="AE592" s="143"/>
      <c r="AF592" s="143"/>
      <c r="AG592" s="143"/>
      <c r="AH592" s="143"/>
      <c r="AI592" s="143"/>
      <c r="AJ592" s="143"/>
      <c r="AK592" s="143"/>
      <c r="AL592" s="143"/>
      <c r="AM592" s="143"/>
      <c r="AN592" s="143"/>
      <c r="AO592" s="143"/>
      <c r="AP592" s="143"/>
      <c r="AQ592" s="143"/>
      <c r="AR592" s="143"/>
      <c r="AS592" s="143"/>
    </row>
    <row r="593"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  <c r="AA593" s="143"/>
      <c r="AE593" s="143"/>
      <c r="AF593" s="143"/>
      <c r="AG593" s="143"/>
      <c r="AH593" s="143"/>
      <c r="AI593" s="143"/>
      <c r="AJ593" s="143"/>
      <c r="AK593" s="143"/>
      <c r="AL593" s="143"/>
      <c r="AM593" s="143"/>
      <c r="AN593" s="143"/>
      <c r="AO593" s="143"/>
      <c r="AP593" s="143"/>
      <c r="AQ593" s="143"/>
      <c r="AR593" s="143"/>
      <c r="AS593" s="143"/>
    </row>
    <row r="594"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  <c r="AA594" s="143"/>
      <c r="AE594" s="143"/>
      <c r="AF594" s="143"/>
      <c r="AG594" s="143"/>
      <c r="AH594" s="143"/>
      <c r="AI594" s="143"/>
      <c r="AJ594" s="143"/>
      <c r="AK594" s="143"/>
      <c r="AL594" s="143"/>
      <c r="AM594" s="143"/>
      <c r="AN594" s="143"/>
      <c r="AO594" s="143"/>
      <c r="AP594" s="143"/>
      <c r="AQ594" s="143"/>
      <c r="AR594" s="143"/>
      <c r="AS594" s="143"/>
    </row>
    <row r="595"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  <c r="AA595" s="143"/>
      <c r="AE595" s="143"/>
      <c r="AF595" s="143"/>
      <c r="AG595" s="143"/>
      <c r="AH595" s="143"/>
      <c r="AI595" s="143"/>
      <c r="AJ595" s="143"/>
      <c r="AK595" s="143"/>
      <c r="AL595" s="143"/>
      <c r="AM595" s="143"/>
      <c r="AN595" s="143"/>
      <c r="AO595" s="143"/>
      <c r="AP595" s="143"/>
      <c r="AQ595" s="143"/>
      <c r="AR595" s="143"/>
      <c r="AS595" s="143"/>
    </row>
    <row r="596"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  <c r="AA596" s="143"/>
      <c r="AE596" s="143"/>
      <c r="AF596" s="143"/>
      <c r="AG596" s="143"/>
      <c r="AH596" s="143"/>
      <c r="AI596" s="143"/>
      <c r="AJ596" s="143"/>
      <c r="AK596" s="143"/>
      <c r="AL596" s="143"/>
      <c r="AM596" s="143"/>
      <c r="AN596" s="143"/>
      <c r="AO596" s="143"/>
      <c r="AP596" s="143"/>
      <c r="AQ596" s="143"/>
      <c r="AR596" s="143"/>
      <c r="AS596" s="143"/>
    </row>
    <row r="597"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  <c r="AA597" s="143"/>
      <c r="AE597" s="143"/>
      <c r="AF597" s="143"/>
      <c r="AG597" s="143"/>
      <c r="AH597" s="143"/>
      <c r="AI597" s="143"/>
      <c r="AJ597" s="143"/>
      <c r="AK597" s="143"/>
      <c r="AL597" s="143"/>
      <c r="AM597" s="143"/>
      <c r="AN597" s="143"/>
      <c r="AO597" s="143"/>
      <c r="AP597" s="143"/>
      <c r="AQ597" s="143"/>
      <c r="AR597" s="143"/>
      <c r="AS597" s="143"/>
    </row>
    <row r="598"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  <c r="AA598" s="143"/>
      <c r="AE598" s="143"/>
      <c r="AF598" s="143"/>
      <c r="AG598" s="143"/>
      <c r="AH598" s="143"/>
      <c r="AI598" s="143"/>
      <c r="AJ598" s="143"/>
      <c r="AK598" s="143"/>
      <c r="AL598" s="143"/>
      <c r="AM598" s="143"/>
      <c r="AN598" s="143"/>
      <c r="AO598" s="143"/>
      <c r="AP598" s="143"/>
      <c r="AQ598" s="143"/>
      <c r="AR598" s="143"/>
      <c r="AS598" s="143"/>
    </row>
    <row r="599"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  <c r="AA599" s="143"/>
      <c r="AE599" s="143"/>
      <c r="AF599" s="143"/>
      <c r="AG599" s="143"/>
      <c r="AH599" s="143"/>
      <c r="AI599" s="143"/>
      <c r="AJ599" s="143"/>
      <c r="AK599" s="143"/>
      <c r="AL599" s="143"/>
      <c r="AM599" s="143"/>
      <c r="AN599" s="143"/>
      <c r="AO599" s="143"/>
      <c r="AP599" s="143"/>
      <c r="AQ599" s="143"/>
      <c r="AR599" s="143"/>
      <c r="AS599" s="143"/>
    </row>
    <row r="600"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  <c r="AA600" s="143"/>
      <c r="AE600" s="143"/>
      <c r="AF600" s="143"/>
      <c r="AG600" s="143"/>
      <c r="AH600" s="143"/>
      <c r="AI600" s="143"/>
      <c r="AJ600" s="143"/>
      <c r="AK600" s="143"/>
      <c r="AL600" s="143"/>
      <c r="AM600" s="143"/>
      <c r="AN600" s="143"/>
      <c r="AO600" s="143"/>
      <c r="AP600" s="143"/>
      <c r="AQ600" s="143"/>
      <c r="AR600" s="143"/>
      <c r="AS600" s="143"/>
    </row>
    <row r="601"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  <c r="AA601" s="143"/>
      <c r="AE601" s="143"/>
      <c r="AF601" s="143"/>
      <c r="AG601" s="143"/>
      <c r="AH601" s="143"/>
      <c r="AI601" s="143"/>
      <c r="AJ601" s="143"/>
      <c r="AK601" s="143"/>
      <c r="AL601" s="143"/>
      <c r="AM601" s="143"/>
      <c r="AN601" s="143"/>
      <c r="AO601" s="143"/>
      <c r="AP601" s="143"/>
      <c r="AQ601" s="143"/>
      <c r="AR601" s="143"/>
      <c r="AS601" s="143"/>
    </row>
    <row r="602"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  <c r="AA602" s="143"/>
      <c r="AE602" s="143"/>
      <c r="AF602" s="143"/>
      <c r="AG602" s="143"/>
      <c r="AH602" s="143"/>
      <c r="AI602" s="143"/>
      <c r="AJ602" s="143"/>
      <c r="AK602" s="143"/>
      <c r="AL602" s="143"/>
      <c r="AM602" s="143"/>
      <c r="AN602" s="143"/>
      <c r="AO602" s="143"/>
      <c r="AP602" s="143"/>
      <c r="AQ602" s="143"/>
      <c r="AR602" s="143"/>
      <c r="AS602" s="143"/>
    </row>
    <row r="603"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  <c r="AA603" s="143"/>
      <c r="AE603" s="143"/>
      <c r="AF603" s="143"/>
      <c r="AG603" s="143"/>
      <c r="AH603" s="143"/>
      <c r="AI603" s="143"/>
      <c r="AJ603" s="143"/>
      <c r="AK603" s="143"/>
      <c r="AL603" s="143"/>
      <c r="AM603" s="143"/>
      <c r="AN603" s="143"/>
      <c r="AO603" s="143"/>
      <c r="AP603" s="143"/>
      <c r="AQ603" s="143"/>
      <c r="AR603" s="143"/>
      <c r="AS603" s="143"/>
    </row>
    <row r="604"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  <c r="AA604" s="143"/>
      <c r="AE604" s="143"/>
      <c r="AF604" s="143"/>
      <c r="AG604" s="143"/>
      <c r="AH604" s="143"/>
      <c r="AI604" s="143"/>
      <c r="AJ604" s="143"/>
      <c r="AK604" s="143"/>
      <c r="AL604" s="143"/>
      <c r="AM604" s="143"/>
      <c r="AN604" s="143"/>
      <c r="AO604" s="143"/>
      <c r="AP604" s="143"/>
      <c r="AQ604" s="143"/>
      <c r="AR604" s="143"/>
      <c r="AS604" s="143"/>
    </row>
    <row r="605"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  <c r="AA605" s="143"/>
      <c r="AE605" s="143"/>
      <c r="AF605" s="143"/>
      <c r="AG605" s="143"/>
      <c r="AH605" s="143"/>
      <c r="AI605" s="143"/>
      <c r="AJ605" s="143"/>
      <c r="AK605" s="143"/>
      <c r="AL605" s="143"/>
      <c r="AM605" s="143"/>
      <c r="AN605" s="143"/>
      <c r="AO605" s="143"/>
      <c r="AP605" s="143"/>
      <c r="AQ605" s="143"/>
      <c r="AR605" s="143"/>
      <c r="AS605" s="143"/>
    </row>
    <row r="606"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  <c r="AA606" s="143"/>
      <c r="AE606" s="143"/>
      <c r="AF606" s="143"/>
      <c r="AG606" s="143"/>
      <c r="AH606" s="143"/>
      <c r="AI606" s="143"/>
      <c r="AJ606" s="143"/>
      <c r="AK606" s="143"/>
      <c r="AL606" s="143"/>
      <c r="AM606" s="143"/>
      <c r="AN606" s="143"/>
      <c r="AO606" s="143"/>
      <c r="AP606" s="143"/>
      <c r="AQ606" s="143"/>
      <c r="AR606" s="143"/>
      <c r="AS606" s="143"/>
    </row>
    <row r="607"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  <c r="AA607" s="143"/>
      <c r="AE607" s="143"/>
      <c r="AF607" s="143"/>
      <c r="AG607" s="143"/>
      <c r="AH607" s="143"/>
      <c r="AI607" s="143"/>
      <c r="AJ607" s="143"/>
      <c r="AK607" s="143"/>
      <c r="AL607" s="143"/>
      <c r="AM607" s="143"/>
      <c r="AN607" s="143"/>
      <c r="AO607" s="143"/>
      <c r="AP607" s="143"/>
      <c r="AQ607" s="143"/>
      <c r="AR607" s="143"/>
      <c r="AS607" s="143"/>
    </row>
    <row r="608"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  <c r="AA608" s="143"/>
      <c r="AE608" s="143"/>
      <c r="AF608" s="143"/>
      <c r="AG608" s="143"/>
      <c r="AH608" s="143"/>
      <c r="AI608" s="143"/>
      <c r="AJ608" s="143"/>
      <c r="AK608" s="143"/>
      <c r="AL608" s="143"/>
      <c r="AM608" s="143"/>
      <c r="AN608" s="143"/>
      <c r="AO608" s="143"/>
      <c r="AP608" s="143"/>
      <c r="AQ608" s="143"/>
      <c r="AR608" s="143"/>
      <c r="AS608" s="143"/>
    </row>
    <row r="609"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  <c r="AA609" s="143"/>
      <c r="AE609" s="143"/>
      <c r="AF609" s="143"/>
      <c r="AG609" s="143"/>
      <c r="AH609" s="143"/>
      <c r="AI609" s="143"/>
      <c r="AJ609" s="143"/>
      <c r="AK609" s="143"/>
      <c r="AL609" s="143"/>
      <c r="AM609" s="143"/>
      <c r="AN609" s="143"/>
      <c r="AO609" s="143"/>
      <c r="AP609" s="143"/>
      <c r="AQ609" s="143"/>
      <c r="AR609" s="143"/>
      <c r="AS609" s="143"/>
    </row>
    <row r="610"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  <c r="AA610" s="143"/>
      <c r="AE610" s="143"/>
      <c r="AF610" s="143"/>
      <c r="AG610" s="143"/>
      <c r="AH610" s="143"/>
      <c r="AI610" s="143"/>
      <c r="AJ610" s="143"/>
      <c r="AK610" s="143"/>
      <c r="AL610" s="143"/>
      <c r="AM610" s="143"/>
      <c r="AN610" s="143"/>
      <c r="AO610" s="143"/>
      <c r="AP610" s="143"/>
      <c r="AQ610" s="143"/>
      <c r="AR610" s="143"/>
      <c r="AS610" s="143"/>
    </row>
    <row r="611"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  <c r="AA611" s="143"/>
      <c r="AE611" s="143"/>
      <c r="AF611" s="143"/>
      <c r="AG611" s="143"/>
      <c r="AH611" s="143"/>
      <c r="AI611" s="143"/>
      <c r="AJ611" s="143"/>
      <c r="AK611" s="143"/>
      <c r="AL611" s="143"/>
      <c r="AM611" s="143"/>
      <c r="AN611" s="143"/>
      <c r="AO611" s="143"/>
      <c r="AP611" s="143"/>
      <c r="AQ611" s="143"/>
      <c r="AR611" s="143"/>
      <c r="AS611" s="143"/>
    </row>
    <row r="612"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  <c r="AA612" s="143"/>
      <c r="AE612" s="143"/>
      <c r="AF612" s="143"/>
      <c r="AG612" s="143"/>
      <c r="AH612" s="143"/>
      <c r="AI612" s="143"/>
      <c r="AJ612" s="143"/>
      <c r="AK612" s="143"/>
      <c r="AL612" s="143"/>
      <c r="AM612" s="143"/>
      <c r="AN612" s="143"/>
      <c r="AO612" s="143"/>
      <c r="AP612" s="143"/>
      <c r="AQ612" s="143"/>
      <c r="AR612" s="143"/>
      <c r="AS612" s="143"/>
    </row>
    <row r="613"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  <c r="AA613" s="143"/>
      <c r="AE613" s="143"/>
      <c r="AF613" s="143"/>
      <c r="AG613" s="143"/>
      <c r="AH613" s="143"/>
      <c r="AI613" s="143"/>
      <c r="AJ613" s="143"/>
      <c r="AK613" s="143"/>
      <c r="AL613" s="143"/>
      <c r="AM613" s="143"/>
      <c r="AN613" s="143"/>
      <c r="AO613" s="143"/>
      <c r="AP613" s="143"/>
      <c r="AQ613" s="143"/>
      <c r="AR613" s="143"/>
      <c r="AS613" s="143"/>
    </row>
    <row r="614"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  <c r="AA614" s="143"/>
      <c r="AE614" s="143"/>
      <c r="AF614" s="143"/>
      <c r="AG614" s="143"/>
      <c r="AH614" s="143"/>
      <c r="AI614" s="143"/>
      <c r="AJ614" s="143"/>
      <c r="AK614" s="143"/>
      <c r="AL614" s="143"/>
      <c r="AM614" s="143"/>
      <c r="AN614" s="143"/>
      <c r="AO614" s="143"/>
      <c r="AP614" s="143"/>
      <c r="AQ614" s="143"/>
      <c r="AR614" s="143"/>
      <c r="AS614" s="143"/>
    </row>
    <row r="615"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  <c r="AA615" s="143"/>
      <c r="AE615" s="143"/>
      <c r="AF615" s="143"/>
      <c r="AG615" s="143"/>
      <c r="AH615" s="143"/>
      <c r="AI615" s="143"/>
      <c r="AJ615" s="143"/>
      <c r="AK615" s="143"/>
      <c r="AL615" s="143"/>
      <c r="AM615" s="143"/>
      <c r="AN615" s="143"/>
      <c r="AO615" s="143"/>
      <c r="AP615" s="143"/>
      <c r="AQ615" s="143"/>
      <c r="AR615" s="143"/>
      <c r="AS615" s="143"/>
    </row>
    <row r="616"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  <c r="AA616" s="143"/>
      <c r="AE616" s="143"/>
      <c r="AF616" s="143"/>
      <c r="AG616" s="143"/>
      <c r="AH616" s="143"/>
      <c r="AI616" s="143"/>
      <c r="AJ616" s="143"/>
      <c r="AK616" s="143"/>
      <c r="AL616" s="143"/>
      <c r="AM616" s="143"/>
      <c r="AN616" s="143"/>
      <c r="AO616" s="143"/>
      <c r="AP616" s="143"/>
      <c r="AQ616" s="143"/>
      <c r="AR616" s="143"/>
      <c r="AS616" s="143"/>
    </row>
    <row r="617"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  <c r="AA617" s="143"/>
      <c r="AE617" s="143"/>
      <c r="AF617" s="143"/>
      <c r="AG617" s="143"/>
      <c r="AH617" s="143"/>
      <c r="AI617" s="143"/>
      <c r="AJ617" s="143"/>
      <c r="AK617" s="143"/>
      <c r="AL617" s="143"/>
      <c r="AM617" s="143"/>
      <c r="AN617" s="143"/>
      <c r="AO617" s="143"/>
      <c r="AP617" s="143"/>
      <c r="AQ617" s="143"/>
      <c r="AR617" s="143"/>
      <c r="AS617" s="143"/>
    </row>
    <row r="618"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  <c r="AA618" s="143"/>
      <c r="AE618" s="143"/>
      <c r="AF618" s="143"/>
      <c r="AG618" s="143"/>
      <c r="AH618" s="143"/>
      <c r="AI618" s="143"/>
      <c r="AJ618" s="143"/>
      <c r="AK618" s="143"/>
      <c r="AL618" s="143"/>
      <c r="AM618" s="143"/>
      <c r="AN618" s="143"/>
      <c r="AO618" s="143"/>
      <c r="AP618" s="143"/>
      <c r="AQ618" s="143"/>
      <c r="AR618" s="143"/>
      <c r="AS618" s="143"/>
    </row>
    <row r="619"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  <c r="AA619" s="143"/>
      <c r="AE619" s="143"/>
      <c r="AF619" s="143"/>
      <c r="AG619" s="143"/>
      <c r="AH619" s="143"/>
      <c r="AI619" s="143"/>
      <c r="AJ619" s="143"/>
      <c r="AK619" s="143"/>
      <c r="AL619" s="143"/>
      <c r="AM619" s="143"/>
      <c r="AN619" s="143"/>
      <c r="AO619" s="143"/>
      <c r="AP619" s="143"/>
      <c r="AQ619" s="143"/>
      <c r="AR619" s="143"/>
      <c r="AS619" s="143"/>
    </row>
    <row r="620"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  <c r="AA620" s="143"/>
      <c r="AE620" s="143"/>
      <c r="AF620" s="143"/>
      <c r="AG620" s="143"/>
      <c r="AH620" s="143"/>
      <c r="AI620" s="143"/>
      <c r="AJ620" s="143"/>
      <c r="AK620" s="143"/>
      <c r="AL620" s="143"/>
      <c r="AM620" s="143"/>
      <c r="AN620" s="143"/>
      <c r="AO620" s="143"/>
      <c r="AP620" s="143"/>
      <c r="AQ620" s="143"/>
      <c r="AR620" s="143"/>
      <c r="AS620" s="143"/>
    </row>
    <row r="621"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  <c r="AA621" s="143"/>
      <c r="AE621" s="143"/>
      <c r="AF621" s="143"/>
      <c r="AG621" s="143"/>
      <c r="AH621" s="143"/>
      <c r="AI621" s="143"/>
      <c r="AJ621" s="143"/>
      <c r="AK621" s="143"/>
      <c r="AL621" s="143"/>
      <c r="AM621" s="143"/>
      <c r="AN621" s="143"/>
      <c r="AO621" s="143"/>
      <c r="AP621" s="143"/>
      <c r="AQ621" s="143"/>
      <c r="AR621" s="143"/>
      <c r="AS621" s="143"/>
    </row>
    <row r="622"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  <c r="AA622" s="143"/>
      <c r="AE622" s="143"/>
      <c r="AF622" s="143"/>
      <c r="AG622" s="143"/>
      <c r="AH622" s="143"/>
      <c r="AI622" s="143"/>
      <c r="AJ622" s="143"/>
      <c r="AK622" s="143"/>
      <c r="AL622" s="143"/>
      <c r="AM622" s="143"/>
      <c r="AN622" s="143"/>
      <c r="AO622" s="143"/>
      <c r="AP622" s="143"/>
      <c r="AQ622" s="143"/>
      <c r="AR622" s="143"/>
      <c r="AS622" s="143"/>
    </row>
    <row r="623"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  <c r="AA623" s="143"/>
      <c r="AE623" s="143"/>
      <c r="AF623" s="143"/>
      <c r="AG623" s="143"/>
      <c r="AH623" s="143"/>
      <c r="AI623" s="143"/>
      <c r="AJ623" s="143"/>
      <c r="AK623" s="143"/>
      <c r="AL623" s="143"/>
      <c r="AM623" s="143"/>
      <c r="AN623" s="143"/>
      <c r="AO623" s="143"/>
      <c r="AP623" s="143"/>
      <c r="AQ623" s="143"/>
      <c r="AR623" s="143"/>
      <c r="AS623" s="143"/>
    </row>
    <row r="624"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  <c r="AA624" s="143"/>
      <c r="AE624" s="143"/>
      <c r="AF624" s="143"/>
      <c r="AG624" s="143"/>
      <c r="AH624" s="143"/>
      <c r="AI624" s="143"/>
      <c r="AJ624" s="143"/>
      <c r="AK624" s="143"/>
      <c r="AL624" s="143"/>
      <c r="AM624" s="143"/>
      <c r="AN624" s="143"/>
      <c r="AO624" s="143"/>
      <c r="AP624" s="143"/>
      <c r="AQ624" s="143"/>
      <c r="AR624" s="143"/>
      <c r="AS624" s="143"/>
    </row>
    <row r="625"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  <c r="AA625" s="143"/>
      <c r="AE625" s="143"/>
      <c r="AF625" s="143"/>
      <c r="AG625" s="143"/>
      <c r="AH625" s="143"/>
      <c r="AI625" s="143"/>
      <c r="AJ625" s="143"/>
      <c r="AK625" s="143"/>
      <c r="AL625" s="143"/>
      <c r="AM625" s="143"/>
      <c r="AN625" s="143"/>
      <c r="AO625" s="143"/>
      <c r="AP625" s="143"/>
      <c r="AQ625" s="143"/>
      <c r="AR625" s="143"/>
      <c r="AS625" s="143"/>
    </row>
    <row r="626"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  <c r="AA626" s="143"/>
      <c r="AE626" s="143"/>
      <c r="AF626" s="143"/>
      <c r="AG626" s="143"/>
      <c r="AH626" s="143"/>
      <c r="AI626" s="143"/>
      <c r="AJ626" s="143"/>
      <c r="AK626" s="143"/>
      <c r="AL626" s="143"/>
      <c r="AM626" s="143"/>
      <c r="AN626" s="143"/>
      <c r="AO626" s="143"/>
      <c r="AP626" s="143"/>
      <c r="AQ626" s="143"/>
      <c r="AR626" s="143"/>
      <c r="AS626" s="143"/>
    </row>
    <row r="627"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  <c r="AA627" s="143"/>
      <c r="AE627" s="143"/>
      <c r="AF627" s="143"/>
      <c r="AG627" s="143"/>
      <c r="AH627" s="143"/>
      <c r="AI627" s="143"/>
      <c r="AJ627" s="143"/>
      <c r="AK627" s="143"/>
      <c r="AL627" s="143"/>
      <c r="AM627" s="143"/>
      <c r="AN627" s="143"/>
      <c r="AO627" s="143"/>
      <c r="AP627" s="143"/>
      <c r="AQ627" s="143"/>
      <c r="AR627" s="143"/>
      <c r="AS627" s="143"/>
    </row>
    <row r="628"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  <c r="AA628" s="143"/>
      <c r="AE628" s="143"/>
      <c r="AF628" s="143"/>
      <c r="AG628" s="143"/>
      <c r="AH628" s="143"/>
      <c r="AI628" s="143"/>
      <c r="AJ628" s="143"/>
      <c r="AK628" s="143"/>
      <c r="AL628" s="143"/>
      <c r="AM628" s="143"/>
      <c r="AN628" s="143"/>
      <c r="AO628" s="143"/>
      <c r="AP628" s="143"/>
      <c r="AQ628" s="143"/>
      <c r="AR628" s="143"/>
      <c r="AS628" s="143"/>
    </row>
    <row r="629"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  <c r="AA629" s="143"/>
      <c r="AE629" s="143"/>
      <c r="AF629" s="143"/>
      <c r="AG629" s="143"/>
      <c r="AH629" s="143"/>
      <c r="AI629" s="143"/>
      <c r="AJ629" s="143"/>
      <c r="AK629" s="143"/>
      <c r="AL629" s="143"/>
      <c r="AM629" s="143"/>
      <c r="AN629" s="143"/>
      <c r="AO629" s="143"/>
      <c r="AP629" s="143"/>
      <c r="AQ629" s="143"/>
      <c r="AR629" s="143"/>
      <c r="AS629" s="143"/>
    </row>
    <row r="630"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  <c r="AA630" s="143"/>
      <c r="AE630" s="143"/>
      <c r="AF630" s="143"/>
      <c r="AG630" s="143"/>
      <c r="AH630" s="143"/>
      <c r="AI630" s="143"/>
      <c r="AJ630" s="143"/>
      <c r="AK630" s="143"/>
      <c r="AL630" s="143"/>
      <c r="AM630" s="143"/>
      <c r="AN630" s="143"/>
      <c r="AO630" s="143"/>
      <c r="AP630" s="143"/>
      <c r="AQ630" s="143"/>
      <c r="AR630" s="143"/>
      <c r="AS630" s="143"/>
    </row>
    <row r="631"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  <c r="AA631" s="143"/>
      <c r="AE631" s="143"/>
      <c r="AF631" s="143"/>
      <c r="AG631" s="143"/>
      <c r="AH631" s="143"/>
      <c r="AI631" s="143"/>
      <c r="AJ631" s="143"/>
      <c r="AK631" s="143"/>
      <c r="AL631" s="143"/>
      <c r="AM631" s="143"/>
      <c r="AN631" s="143"/>
      <c r="AO631" s="143"/>
      <c r="AP631" s="143"/>
      <c r="AQ631" s="143"/>
      <c r="AR631" s="143"/>
      <c r="AS631" s="143"/>
    </row>
    <row r="632"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  <c r="AA632" s="143"/>
      <c r="AE632" s="143"/>
      <c r="AF632" s="143"/>
      <c r="AG632" s="143"/>
      <c r="AH632" s="143"/>
      <c r="AI632" s="143"/>
      <c r="AJ632" s="143"/>
      <c r="AK632" s="143"/>
      <c r="AL632" s="143"/>
      <c r="AM632" s="143"/>
      <c r="AN632" s="143"/>
      <c r="AO632" s="143"/>
      <c r="AP632" s="143"/>
      <c r="AQ632" s="143"/>
      <c r="AR632" s="143"/>
      <c r="AS632" s="143"/>
    </row>
    <row r="633"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  <c r="AA633" s="143"/>
      <c r="AE633" s="143"/>
      <c r="AF633" s="143"/>
      <c r="AG633" s="143"/>
      <c r="AH633" s="143"/>
      <c r="AI633" s="143"/>
      <c r="AJ633" s="143"/>
      <c r="AK633" s="143"/>
      <c r="AL633" s="143"/>
      <c r="AM633" s="143"/>
      <c r="AN633" s="143"/>
      <c r="AO633" s="143"/>
      <c r="AP633" s="143"/>
      <c r="AQ633" s="143"/>
      <c r="AR633" s="143"/>
      <c r="AS633" s="143"/>
    </row>
    <row r="634"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  <c r="AA634" s="143"/>
      <c r="AE634" s="143"/>
      <c r="AF634" s="143"/>
      <c r="AG634" s="143"/>
      <c r="AH634" s="143"/>
      <c r="AI634" s="143"/>
      <c r="AJ634" s="143"/>
      <c r="AK634" s="143"/>
      <c r="AL634" s="143"/>
      <c r="AM634" s="143"/>
      <c r="AN634" s="143"/>
      <c r="AO634" s="143"/>
      <c r="AP634" s="143"/>
      <c r="AQ634" s="143"/>
      <c r="AR634" s="143"/>
      <c r="AS634" s="143"/>
    </row>
    <row r="635"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  <c r="AA635" s="143"/>
      <c r="AE635" s="143"/>
      <c r="AF635" s="143"/>
      <c r="AG635" s="143"/>
      <c r="AH635" s="143"/>
      <c r="AI635" s="143"/>
      <c r="AJ635" s="143"/>
      <c r="AK635" s="143"/>
      <c r="AL635" s="143"/>
      <c r="AM635" s="143"/>
      <c r="AN635" s="143"/>
      <c r="AO635" s="143"/>
      <c r="AP635" s="143"/>
      <c r="AQ635" s="143"/>
      <c r="AR635" s="143"/>
      <c r="AS635" s="143"/>
    </row>
    <row r="636"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  <c r="AA636" s="143"/>
      <c r="AE636" s="143"/>
      <c r="AF636" s="143"/>
      <c r="AG636" s="143"/>
      <c r="AH636" s="143"/>
      <c r="AI636" s="143"/>
      <c r="AJ636" s="143"/>
      <c r="AK636" s="143"/>
      <c r="AL636" s="143"/>
      <c r="AM636" s="143"/>
      <c r="AN636" s="143"/>
      <c r="AO636" s="143"/>
      <c r="AP636" s="143"/>
      <c r="AQ636" s="143"/>
      <c r="AR636" s="143"/>
      <c r="AS636" s="143"/>
    </row>
    <row r="637"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  <c r="AA637" s="143"/>
      <c r="AE637" s="143"/>
      <c r="AF637" s="143"/>
      <c r="AG637" s="143"/>
      <c r="AH637" s="143"/>
      <c r="AI637" s="143"/>
      <c r="AJ637" s="143"/>
      <c r="AK637" s="143"/>
      <c r="AL637" s="143"/>
      <c r="AM637" s="143"/>
      <c r="AN637" s="143"/>
      <c r="AO637" s="143"/>
      <c r="AP637" s="143"/>
      <c r="AQ637" s="143"/>
      <c r="AR637" s="143"/>
      <c r="AS637" s="143"/>
    </row>
    <row r="638"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  <c r="AA638" s="143"/>
      <c r="AE638" s="143"/>
      <c r="AF638" s="143"/>
      <c r="AG638" s="143"/>
      <c r="AH638" s="143"/>
      <c r="AI638" s="143"/>
      <c r="AJ638" s="143"/>
      <c r="AK638" s="143"/>
      <c r="AL638" s="143"/>
      <c r="AM638" s="143"/>
      <c r="AN638" s="143"/>
      <c r="AO638" s="143"/>
      <c r="AP638" s="143"/>
      <c r="AQ638" s="143"/>
      <c r="AR638" s="143"/>
      <c r="AS638" s="143"/>
    </row>
    <row r="639"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  <c r="AA639" s="143"/>
      <c r="AE639" s="143"/>
      <c r="AF639" s="143"/>
      <c r="AG639" s="143"/>
      <c r="AH639" s="143"/>
      <c r="AI639" s="143"/>
      <c r="AJ639" s="143"/>
      <c r="AK639" s="143"/>
      <c r="AL639" s="143"/>
      <c r="AM639" s="143"/>
      <c r="AN639" s="143"/>
      <c r="AO639" s="143"/>
      <c r="AP639" s="143"/>
      <c r="AQ639" s="143"/>
      <c r="AR639" s="143"/>
      <c r="AS639" s="143"/>
    </row>
    <row r="640"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  <c r="AA640" s="143"/>
      <c r="AE640" s="143"/>
      <c r="AF640" s="143"/>
      <c r="AG640" s="143"/>
      <c r="AH640" s="143"/>
      <c r="AI640" s="143"/>
      <c r="AJ640" s="143"/>
      <c r="AK640" s="143"/>
      <c r="AL640" s="143"/>
      <c r="AM640" s="143"/>
      <c r="AN640" s="143"/>
      <c r="AO640" s="143"/>
      <c r="AP640" s="143"/>
      <c r="AQ640" s="143"/>
      <c r="AR640" s="143"/>
      <c r="AS640" s="143"/>
    </row>
    <row r="641"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  <c r="AA641" s="143"/>
      <c r="AE641" s="143"/>
      <c r="AF641" s="143"/>
      <c r="AG641" s="143"/>
      <c r="AH641" s="143"/>
      <c r="AI641" s="143"/>
      <c r="AJ641" s="143"/>
      <c r="AK641" s="143"/>
      <c r="AL641" s="143"/>
      <c r="AM641" s="143"/>
      <c r="AN641" s="143"/>
      <c r="AO641" s="143"/>
      <c r="AP641" s="143"/>
      <c r="AQ641" s="143"/>
      <c r="AR641" s="143"/>
      <c r="AS641" s="143"/>
    </row>
    <row r="642"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  <c r="AA642" s="143"/>
      <c r="AE642" s="143"/>
      <c r="AF642" s="143"/>
      <c r="AG642" s="143"/>
      <c r="AH642" s="143"/>
      <c r="AI642" s="143"/>
      <c r="AJ642" s="143"/>
      <c r="AK642" s="143"/>
      <c r="AL642" s="143"/>
      <c r="AM642" s="143"/>
      <c r="AN642" s="143"/>
      <c r="AO642" s="143"/>
      <c r="AP642" s="143"/>
      <c r="AQ642" s="143"/>
      <c r="AR642" s="143"/>
      <c r="AS642" s="143"/>
    </row>
    <row r="643"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  <c r="AA643" s="143"/>
      <c r="AE643" s="143"/>
      <c r="AF643" s="143"/>
      <c r="AG643" s="143"/>
      <c r="AH643" s="143"/>
      <c r="AI643" s="143"/>
      <c r="AJ643" s="143"/>
      <c r="AK643" s="143"/>
      <c r="AL643" s="143"/>
      <c r="AM643" s="143"/>
      <c r="AN643" s="143"/>
      <c r="AO643" s="143"/>
      <c r="AP643" s="143"/>
      <c r="AQ643" s="143"/>
      <c r="AR643" s="143"/>
      <c r="AS643" s="143"/>
    </row>
    <row r="644"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  <c r="AA644" s="143"/>
      <c r="AE644" s="143"/>
      <c r="AF644" s="143"/>
      <c r="AG644" s="143"/>
      <c r="AH644" s="143"/>
      <c r="AI644" s="143"/>
      <c r="AJ644" s="143"/>
      <c r="AK644" s="143"/>
      <c r="AL644" s="143"/>
      <c r="AM644" s="143"/>
      <c r="AN644" s="143"/>
      <c r="AO644" s="143"/>
      <c r="AP644" s="143"/>
      <c r="AQ644" s="143"/>
      <c r="AR644" s="143"/>
      <c r="AS644" s="143"/>
    </row>
    <row r="645"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  <c r="AA645" s="143"/>
      <c r="AE645" s="143"/>
      <c r="AF645" s="143"/>
      <c r="AG645" s="143"/>
      <c r="AH645" s="143"/>
      <c r="AI645" s="143"/>
      <c r="AJ645" s="143"/>
      <c r="AK645" s="143"/>
      <c r="AL645" s="143"/>
      <c r="AM645" s="143"/>
      <c r="AN645" s="143"/>
      <c r="AO645" s="143"/>
      <c r="AP645" s="143"/>
      <c r="AQ645" s="143"/>
      <c r="AR645" s="143"/>
      <c r="AS645" s="143"/>
    </row>
    <row r="646"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  <c r="AA646" s="143"/>
      <c r="AE646" s="143"/>
      <c r="AF646" s="143"/>
      <c r="AG646" s="143"/>
      <c r="AH646" s="143"/>
      <c r="AI646" s="143"/>
      <c r="AJ646" s="143"/>
      <c r="AK646" s="143"/>
      <c r="AL646" s="143"/>
      <c r="AM646" s="143"/>
      <c r="AN646" s="143"/>
      <c r="AO646" s="143"/>
      <c r="AP646" s="143"/>
      <c r="AQ646" s="143"/>
      <c r="AR646" s="143"/>
      <c r="AS646" s="143"/>
    </row>
    <row r="647"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  <c r="AA647" s="143"/>
      <c r="AE647" s="143"/>
      <c r="AF647" s="143"/>
      <c r="AG647" s="143"/>
      <c r="AH647" s="143"/>
      <c r="AI647" s="143"/>
      <c r="AJ647" s="143"/>
      <c r="AK647" s="143"/>
      <c r="AL647" s="143"/>
      <c r="AM647" s="143"/>
      <c r="AN647" s="143"/>
      <c r="AO647" s="143"/>
      <c r="AP647" s="143"/>
      <c r="AQ647" s="143"/>
      <c r="AR647" s="143"/>
      <c r="AS647" s="143"/>
    </row>
    <row r="648"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  <c r="AA648" s="143"/>
      <c r="AE648" s="143"/>
      <c r="AF648" s="143"/>
      <c r="AG648" s="143"/>
      <c r="AH648" s="143"/>
      <c r="AI648" s="143"/>
      <c r="AJ648" s="143"/>
      <c r="AK648" s="143"/>
      <c r="AL648" s="143"/>
      <c r="AM648" s="143"/>
      <c r="AN648" s="143"/>
      <c r="AO648" s="143"/>
      <c r="AP648" s="143"/>
      <c r="AQ648" s="143"/>
      <c r="AR648" s="143"/>
      <c r="AS648" s="143"/>
    </row>
    <row r="649"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  <c r="AA649" s="143"/>
      <c r="AE649" s="143"/>
      <c r="AF649" s="143"/>
      <c r="AG649" s="143"/>
      <c r="AH649" s="143"/>
      <c r="AI649" s="143"/>
      <c r="AJ649" s="143"/>
      <c r="AK649" s="143"/>
      <c r="AL649" s="143"/>
      <c r="AM649" s="143"/>
      <c r="AN649" s="143"/>
      <c r="AO649" s="143"/>
      <c r="AP649" s="143"/>
      <c r="AQ649" s="143"/>
      <c r="AR649" s="143"/>
      <c r="AS649" s="143"/>
    </row>
    <row r="650"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  <c r="AA650" s="143"/>
      <c r="AE650" s="143"/>
      <c r="AF650" s="143"/>
      <c r="AG650" s="143"/>
      <c r="AH650" s="143"/>
      <c r="AI650" s="143"/>
      <c r="AJ650" s="143"/>
      <c r="AK650" s="143"/>
      <c r="AL650" s="143"/>
      <c r="AM650" s="143"/>
      <c r="AN650" s="143"/>
      <c r="AO650" s="143"/>
      <c r="AP650" s="143"/>
      <c r="AQ650" s="143"/>
      <c r="AR650" s="143"/>
      <c r="AS650" s="143"/>
    </row>
    <row r="651"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  <c r="AA651" s="143"/>
      <c r="AE651" s="143"/>
      <c r="AF651" s="143"/>
      <c r="AG651" s="143"/>
      <c r="AH651" s="143"/>
      <c r="AI651" s="143"/>
      <c r="AJ651" s="143"/>
      <c r="AK651" s="143"/>
      <c r="AL651" s="143"/>
      <c r="AM651" s="143"/>
      <c r="AN651" s="143"/>
      <c r="AO651" s="143"/>
      <c r="AP651" s="143"/>
      <c r="AQ651" s="143"/>
      <c r="AR651" s="143"/>
      <c r="AS651" s="143"/>
    </row>
    <row r="652"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  <c r="AA652" s="143"/>
      <c r="AE652" s="143"/>
      <c r="AF652" s="143"/>
      <c r="AG652" s="143"/>
      <c r="AH652" s="143"/>
      <c r="AI652" s="143"/>
      <c r="AJ652" s="143"/>
      <c r="AK652" s="143"/>
      <c r="AL652" s="143"/>
      <c r="AM652" s="143"/>
      <c r="AN652" s="143"/>
      <c r="AO652" s="143"/>
      <c r="AP652" s="143"/>
      <c r="AQ652" s="143"/>
      <c r="AR652" s="143"/>
      <c r="AS652" s="143"/>
    </row>
    <row r="653"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  <c r="AA653" s="143"/>
      <c r="AE653" s="143"/>
      <c r="AF653" s="143"/>
      <c r="AG653" s="143"/>
      <c r="AH653" s="143"/>
      <c r="AI653" s="143"/>
      <c r="AJ653" s="143"/>
      <c r="AK653" s="143"/>
      <c r="AL653" s="143"/>
      <c r="AM653" s="143"/>
      <c r="AN653" s="143"/>
      <c r="AO653" s="143"/>
      <c r="AP653" s="143"/>
      <c r="AQ653" s="143"/>
      <c r="AR653" s="143"/>
      <c r="AS653" s="143"/>
    </row>
    <row r="654"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  <c r="AA654" s="143"/>
      <c r="AE654" s="143"/>
      <c r="AF654" s="143"/>
      <c r="AG654" s="143"/>
      <c r="AH654" s="143"/>
      <c r="AI654" s="143"/>
      <c r="AJ654" s="143"/>
      <c r="AK654" s="143"/>
      <c r="AL654" s="143"/>
      <c r="AM654" s="143"/>
      <c r="AN654" s="143"/>
      <c r="AO654" s="143"/>
      <c r="AP654" s="143"/>
      <c r="AQ654" s="143"/>
      <c r="AR654" s="143"/>
      <c r="AS654" s="143"/>
    </row>
    <row r="655"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  <c r="AA655" s="143"/>
      <c r="AE655" s="143"/>
      <c r="AF655" s="143"/>
      <c r="AG655" s="143"/>
      <c r="AH655" s="143"/>
      <c r="AI655" s="143"/>
      <c r="AJ655" s="143"/>
      <c r="AK655" s="143"/>
      <c r="AL655" s="143"/>
      <c r="AM655" s="143"/>
      <c r="AN655" s="143"/>
      <c r="AO655" s="143"/>
      <c r="AP655" s="143"/>
      <c r="AQ655" s="143"/>
      <c r="AR655" s="143"/>
      <c r="AS655" s="143"/>
    </row>
    <row r="656"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  <c r="AA656" s="143"/>
      <c r="AE656" s="143"/>
      <c r="AF656" s="143"/>
      <c r="AG656" s="143"/>
      <c r="AH656" s="143"/>
      <c r="AI656" s="143"/>
      <c r="AJ656" s="143"/>
      <c r="AK656" s="143"/>
      <c r="AL656" s="143"/>
      <c r="AM656" s="143"/>
      <c r="AN656" s="143"/>
      <c r="AO656" s="143"/>
      <c r="AP656" s="143"/>
      <c r="AQ656" s="143"/>
      <c r="AR656" s="143"/>
      <c r="AS656" s="143"/>
    </row>
    <row r="657"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  <c r="AA657" s="143"/>
      <c r="AE657" s="143"/>
      <c r="AF657" s="143"/>
      <c r="AG657" s="143"/>
      <c r="AH657" s="143"/>
      <c r="AI657" s="143"/>
      <c r="AJ657" s="143"/>
      <c r="AK657" s="143"/>
      <c r="AL657" s="143"/>
      <c r="AM657" s="143"/>
      <c r="AN657" s="143"/>
      <c r="AO657" s="143"/>
      <c r="AP657" s="143"/>
      <c r="AQ657" s="143"/>
      <c r="AR657" s="143"/>
      <c r="AS657" s="143"/>
    </row>
    <row r="658"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  <c r="AA658" s="143"/>
      <c r="AE658" s="143"/>
      <c r="AF658" s="143"/>
      <c r="AG658" s="143"/>
      <c r="AH658" s="143"/>
      <c r="AI658" s="143"/>
      <c r="AJ658" s="143"/>
      <c r="AK658" s="143"/>
      <c r="AL658" s="143"/>
      <c r="AM658" s="143"/>
      <c r="AN658" s="143"/>
      <c r="AO658" s="143"/>
      <c r="AP658" s="143"/>
      <c r="AQ658" s="143"/>
      <c r="AR658" s="143"/>
      <c r="AS658" s="143"/>
    </row>
    <row r="659"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  <c r="AA659" s="143"/>
      <c r="AE659" s="143"/>
      <c r="AF659" s="143"/>
      <c r="AG659" s="143"/>
      <c r="AH659" s="143"/>
      <c r="AI659" s="143"/>
      <c r="AJ659" s="143"/>
      <c r="AK659" s="143"/>
      <c r="AL659" s="143"/>
      <c r="AM659" s="143"/>
      <c r="AN659" s="143"/>
      <c r="AO659" s="143"/>
      <c r="AP659" s="143"/>
      <c r="AQ659" s="143"/>
      <c r="AR659" s="143"/>
      <c r="AS659" s="143"/>
    </row>
    <row r="660"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  <c r="AA660" s="143"/>
      <c r="AE660" s="143"/>
      <c r="AF660" s="143"/>
      <c r="AG660" s="143"/>
      <c r="AH660" s="143"/>
      <c r="AI660" s="143"/>
      <c r="AJ660" s="143"/>
      <c r="AK660" s="143"/>
      <c r="AL660" s="143"/>
      <c r="AM660" s="143"/>
      <c r="AN660" s="143"/>
      <c r="AO660" s="143"/>
      <c r="AP660" s="143"/>
      <c r="AQ660" s="143"/>
      <c r="AR660" s="143"/>
      <c r="AS660" s="143"/>
    </row>
    <row r="661"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  <c r="AA661" s="143"/>
      <c r="AE661" s="143"/>
      <c r="AF661" s="143"/>
      <c r="AG661" s="143"/>
      <c r="AH661" s="143"/>
      <c r="AI661" s="143"/>
      <c r="AJ661" s="143"/>
      <c r="AK661" s="143"/>
      <c r="AL661" s="143"/>
      <c r="AM661" s="143"/>
      <c r="AN661" s="143"/>
      <c r="AO661" s="143"/>
      <c r="AP661" s="143"/>
      <c r="AQ661" s="143"/>
      <c r="AR661" s="143"/>
      <c r="AS661" s="143"/>
    </row>
    <row r="662"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  <c r="AA662" s="143"/>
      <c r="AE662" s="143"/>
      <c r="AF662" s="143"/>
      <c r="AG662" s="143"/>
      <c r="AH662" s="143"/>
      <c r="AI662" s="143"/>
      <c r="AJ662" s="143"/>
      <c r="AK662" s="143"/>
      <c r="AL662" s="143"/>
      <c r="AM662" s="143"/>
      <c r="AN662" s="143"/>
      <c r="AO662" s="143"/>
      <c r="AP662" s="143"/>
      <c r="AQ662" s="143"/>
      <c r="AR662" s="143"/>
      <c r="AS662" s="143"/>
    </row>
    <row r="663"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  <c r="AA663" s="143"/>
      <c r="AE663" s="143"/>
      <c r="AF663" s="143"/>
      <c r="AG663" s="143"/>
      <c r="AH663" s="143"/>
      <c r="AI663" s="143"/>
      <c r="AJ663" s="143"/>
      <c r="AK663" s="143"/>
      <c r="AL663" s="143"/>
      <c r="AM663" s="143"/>
      <c r="AN663" s="143"/>
      <c r="AO663" s="143"/>
      <c r="AP663" s="143"/>
      <c r="AQ663" s="143"/>
      <c r="AR663" s="143"/>
      <c r="AS663" s="143"/>
    </row>
    <row r="664"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  <c r="AA664" s="143"/>
      <c r="AE664" s="143"/>
      <c r="AF664" s="143"/>
      <c r="AG664" s="143"/>
      <c r="AH664" s="143"/>
      <c r="AI664" s="143"/>
      <c r="AJ664" s="143"/>
      <c r="AK664" s="143"/>
      <c r="AL664" s="143"/>
      <c r="AM664" s="143"/>
      <c r="AN664" s="143"/>
      <c r="AO664" s="143"/>
      <c r="AP664" s="143"/>
      <c r="AQ664" s="143"/>
      <c r="AR664" s="143"/>
      <c r="AS664" s="143"/>
    </row>
    <row r="665"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  <c r="AA665" s="143"/>
      <c r="AE665" s="143"/>
      <c r="AF665" s="143"/>
      <c r="AG665" s="143"/>
      <c r="AH665" s="143"/>
      <c r="AI665" s="143"/>
      <c r="AJ665" s="143"/>
      <c r="AK665" s="143"/>
      <c r="AL665" s="143"/>
      <c r="AM665" s="143"/>
      <c r="AN665" s="143"/>
      <c r="AO665" s="143"/>
      <c r="AP665" s="143"/>
      <c r="AQ665" s="143"/>
      <c r="AR665" s="143"/>
      <c r="AS665" s="143"/>
    </row>
    <row r="666"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  <c r="AA666" s="143"/>
      <c r="AE666" s="143"/>
      <c r="AF666" s="143"/>
      <c r="AG666" s="143"/>
      <c r="AH666" s="143"/>
      <c r="AI666" s="143"/>
      <c r="AJ666" s="143"/>
      <c r="AK666" s="143"/>
      <c r="AL666" s="143"/>
      <c r="AM666" s="143"/>
      <c r="AN666" s="143"/>
      <c r="AO666" s="143"/>
      <c r="AP666" s="143"/>
      <c r="AQ666" s="143"/>
      <c r="AR666" s="143"/>
      <c r="AS666" s="143"/>
    </row>
    <row r="667"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  <c r="AA667" s="143"/>
      <c r="AE667" s="143"/>
      <c r="AF667" s="143"/>
      <c r="AG667" s="143"/>
      <c r="AH667" s="143"/>
      <c r="AI667" s="143"/>
      <c r="AJ667" s="143"/>
      <c r="AK667" s="143"/>
      <c r="AL667" s="143"/>
      <c r="AM667" s="143"/>
      <c r="AN667" s="143"/>
      <c r="AO667" s="143"/>
      <c r="AP667" s="143"/>
      <c r="AQ667" s="143"/>
      <c r="AR667" s="143"/>
      <c r="AS667" s="143"/>
    </row>
    <row r="668"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  <c r="AA668" s="143"/>
      <c r="AE668" s="143"/>
      <c r="AF668" s="143"/>
      <c r="AG668" s="143"/>
      <c r="AH668" s="143"/>
      <c r="AI668" s="143"/>
      <c r="AJ668" s="143"/>
      <c r="AK668" s="143"/>
      <c r="AL668" s="143"/>
      <c r="AM668" s="143"/>
      <c r="AN668" s="143"/>
      <c r="AO668" s="143"/>
      <c r="AP668" s="143"/>
      <c r="AQ668" s="143"/>
      <c r="AR668" s="143"/>
      <c r="AS668" s="143"/>
    </row>
    <row r="669"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  <c r="AA669" s="143"/>
      <c r="AE669" s="143"/>
      <c r="AF669" s="143"/>
      <c r="AG669" s="143"/>
      <c r="AH669" s="143"/>
      <c r="AI669" s="143"/>
      <c r="AJ669" s="143"/>
      <c r="AK669" s="143"/>
      <c r="AL669" s="143"/>
      <c r="AM669" s="143"/>
      <c r="AN669" s="143"/>
      <c r="AO669" s="143"/>
      <c r="AP669" s="143"/>
      <c r="AQ669" s="143"/>
      <c r="AR669" s="143"/>
      <c r="AS669" s="143"/>
    </row>
    <row r="670"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  <c r="AA670" s="143"/>
      <c r="AE670" s="143"/>
      <c r="AF670" s="143"/>
      <c r="AG670" s="143"/>
      <c r="AH670" s="143"/>
      <c r="AI670" s="143"/>
      <c r="AJ670" s="143"/>
      <c r="AK670" s="143"/>
      <c r="AL670" s="143"/>
      <c r="AM670" s="143"/>
      <c r="AN670" s="143"/>
      <c r="AO670" s="143"/>
      <c r="AP670" s="143"/>
      <c r="AQ670" s="143"/>
      <c r="AR670" s="143"/>
      <c r="AS670" s="143"/>
    </row>
    <row r="671"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  <c r="AA671" s="143"/>
      <c r="AE671" s="143"/>
      <c r="AF671" s="143"/>
      <c r="AG671" s="143"/>
      <c r="AH671" s="143"/>
      <c r="AI671" s="143"/>
      <c r="AJ671" s="143"/>
      <c r="AK671" s="143"/>
      <c r="AL671" s="143"/>
      <c r="AM671" s="143"/>
      <c r="AN671" s="143"/>
      <c r="AO671" s="143"/>
      <c r="AP671" s="143"/>
      <c r="AQ671" s="143"/>
      <c r="AR671" s="143"/>
      <c r="AS671" s="143"/>
    </row>
    <row r="672"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  <c r="AA672" s="143"/>
      <c r="AE672" s="143"/>
      <c r="AF672" s="143"/>
      <c r="AG672" s="143"/>
      <c r="AH672" s="143"/>
      <c r="AI672" s="143"/>
      <c r="AJ672" s="143"/>
      <c r="AK672" s="143"/>
      <c r="AL672" s="143"/>
      <c r="AM672" s="143"/>
      <c r="AN672" s="143"/>
      <c r="AO672" s="143"/>
      <c r="AP672" s="143"/>
      <c r="AQ672" s="143"/>
      <c r="AR672" s="143"/>
      <c r="AS672" s="143"/>
    </row>
    <row r="673"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  <c r="AA673" s="143"/>
      <c r="AE673" s="143"/>
      <c r="AF673" s="143"/>
      <c r="AG673" s="143"/>
      <c r="AH673" s="143"/>
      <c r="AI673" s="143"/>
      <c r="AJ673" s="143"/>
      <c r="AK673" s="143"/>
      <c r="AL673" s="143"/>
      <c r="AM673" s="143"/>
      <c r="AN673" s="143"/>
      <c r="AO673" s="143"/>
      <c r="AP673" s="143"/>
      <c r="AQ673" s="143"/>
      <c r="AR673" s="143"/>
      <c r="AS673" s="143"/>
    </row>
    <row r="674"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  <c r="AA674" s="143"/>
      <c r="AE674" s="143"/>
      <c r="AF674" s="143"/>
      <c r="AG674" s="143"/>
      <c r="AH674" s="143"/>
      <c r="AI674" s="143"/>
      <c r="AJ674" s="143"/>
      <c r="AK674" s="143"/>
      <c r="AL674" s="143"/>
      <c r="AM674" s="143"/>
      <c r="AN674" s="143"/>
      <c r="AO674" s="143"/>
      <c r="AP674" s="143"/>
      <c r="AQ674" s="143"/>
      <c r="AR674" s="143"/>
      <c r="AS674" s="143"/>
    </row>
    <row r="675"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  <c r="AA675" s="143"/>
      <c r="AE675" s="143"/>
      <c r="AF675" s="143"/>
      <c r="AG675" s="143"/>
      <c r="AH675" s="143"/>
      <c r="AI675" s="143"/>
      <c r="AJ675" s="143"/>
      <c r="AK675" s="143"/>
      <c r="AL675" s="143"/>
      <c r="AM675" s="143"/>
      <c r="AN675" s="143"/>
      <c r="AO675" s="143"/>
      <c r="AP675" s="143"/>
      <c r="AQ675" s="143"/>
      <c r="AR675" s="143"/>
      <c r="AS675" s="143"/>
    </row>
    <row r="676"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  <c r="AA676" s="143"/>
      <c r="AE676" s="143"/>
      <c r="AF676" s="143"/>
      <c r="AG676" s="143"/>
      <c r="AH676" s="143"/>
      <c r="AI676" s="143"/>
      <c r="AJ676" s="143"/>
      <c r="AK676" s="143"/>
      <c r="AL676" s="143"/>
      <c r="AM676" s="143"/>
      <c r="AN676" s="143"/>
      <c r="AO676" s="143"/>
      <c r="AP676" s="143"/>
      <c r="AQ676" s="143"/>
      <c r="AR676" s="143"/>
      <c r="AS676" s="143"/>
    </row>
    <row r="677"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  <c r="AA677" s="143"/>
      <c r="AE677" s="143"/>
      <c r="AF677" s="143"/>
      <c r="AG677" s="143"/>
      <c r="AH677" s="143"/>
      <c r="AI677" s="143"/>
      <c r="AJ677" s="143"/>
      <c r="AK677" s="143"/>
      <c r="AL677" s="143"/>
      <c r="AM677" s="143"/>
      <c r="AN677" s="143"/>
      <c r="AO677" s="143"/>
      <c r="AP677" s="143"/>
      <c r="AQ677" s="143"/>
      <c r="AR677" s="143"/>
      <c r="AS677" s="143"/>
    </row>
    <row r="678"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  <c r="AA678" s="143"/>
      <c r="AE678" s="143"/>
      <c r="AF678" s="143"/>
      <c r="AG678" s="143"/>
      <c r="AH678" s="143"/>
      <c r="AI678" s="143"/>
      <c r="AJ678" s="143"/>
      <c r="AK678" s="143"/>
      <c r="AL678" s="143"/>
      <c r="AM678" s="143"/>
      <c r="AN678" s="143"/>
      <c r="AO678" s="143"/>
      <c r="AP678" s="143"/>
      <c r="AQ678" s="143"/>
      <c r="AR678" s="143"/>
      <c r="AS678" s="143"/>
    </row>
    <row r="679"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  <c r="AA679" s="143"/>
      <c r="AE679" s="143"/>
      <c r="AF679" s="143"/>
      <c r="AG679" s="143"/>
      <c r="AH679" s="143"/>
      <c r="AI679" s="143"/>
      <c r="AJ679" s="143"/>
      <c r="AK679" s="143"/>
      <c r="AL679" s="143"/>
      <c r="AM679" s="143"/>
      <c r="AN679" s="143"/>
      <c r="AO679" s="143"/>
      <c r="AP679" s="143"/>
      <c r="AQ679" s="143"/>
      <c r="AR679" s="143"/>
      <c r="AS679" s="143"/>
    </row>
    <row r="680"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  <c r="AA680" s="143"/>
      <c r="AE680" s="143"/>
      <c r="AF680" s="143"/>
      <c r="AG680" s="143"/>
      <c r="AH680" s="143"/>
      <c r="AI680" s="143"/>
      <c r="AJ680" s="143"/>
      <c r="AK680" s="143"/>
      <c r="AL680" s="143"/>
      <c r="AM680" s="143"/>
      <c r="AN680" s="143"/>
      <c r="AO680" s="143"/>
      <c r="AP680" s="143"/>
      <c r="AQ680" s="143"/>
      <c r="AR680" s="143"/>
      <c r="AS680" s="143"/>
    </row>
    <row r="681"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  <c r="AA681" s="143"/>
      <c r="AE681" s="143"/>
      <c r="AF681" s="143"/>
      <c r="AG681" s="143"/>
      <c r="AH681" s="143"/>
      <c r="AI681" s="143"/>
      <c r="AJ681" s="143"/>
      <c r="AK681" s="143"/>
      <c r="AL681" s="143"/>
      <c r="AM681" s="143"/>
      <c r="AN681" s="143"/>
      <c r="AO681" s="143"/>
      <c r="AP681" s="143"/>
      <c r="AQ681" s="143"/>
      <c r="AR681" s="143"/>
      <c r="AS681" s="143"/>
    </row>
    <row r="682"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  <c r="AA682" s="143"/>
      <c r="AE682" s="143"/>
      <c r="AF682" s="143"/>
      <c r="AG682" s="143"/>
      <c r="AH682" s="143"/>
      <c r="AI682" s="143"/>
      <c r="AJ682" s="143"/>
      <c r="AK682" s="143"/>
      <c r="AL682" s="143"/>
      <c r="AM682" s="143"/>
      <c r="AN682" s="143"/>
      <c r="AO682" s="143"/>
      <c r="AP682" s="143"/>
      <c r="AQ682" s="143"/>
      <c r="AR682" s="143"/>
      <c r="AS682" s="143"/>
    </row>
    <row r="683"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  <c r="AA683" s="143"/>
      <c r="AE683" s="143"/>
      <c r="AF683" s="143"/>
      <c r="AG683" s="143"/>
      <c r="AH683" s="143"/>
      <c r="AI683" s="143"/>
      <c r="AJ683" s="143"/>
      <c r="AK683" s="143"/>
      <c r="AL683" s="143"/>
      <c r="AM683" s="143"/>
      <c r="AN683" s="143"/>
      <c r="AO683" s="143"/>
      <c r="AP683" s="143"/>
      <c r="AQ683" s="143"/>
      <c r="AR683" s="143"/>
      <c r="AS683" s="143"/>
    </row>
    <row r="684"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  <c r="AA684" s="143"/>
      <c r="AE684" s="143"/>
      <c r="AF684" s="143"/>
      <c r="AG684" s="143"/>
      <c r="AH684" s="143"/>
      <c r="AI684" s="143"/>
      <c r="AJ684" s="143"/>
      <c r="AK684" s="143"/>
      <c r="AL684" s="143"/>
      <c r="AM684" s="143"/>
      <c r="AN684" s="143"/>
      <c r="AO684" s="143"/>
      <c r="AP684" s="143"/>
      <c r="AQ684" s="143"/>
      <c r="AR684" s="143"/>
      <c r="AS684" s="143"/>
    </row>
    <row r="685"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  <c r="AA685" s="143"/>
      <c r="AE685" s="143"/>
      <c r="AF685" s="143"/>
      <c r="AG685" s="143"/>
      <c r="AH685" s="143"/>
      <c r="AI685" s="143"/>
      <c r="AJ685" s="143"/>
      <c r="AK685" s="143"/>
      <c r="AL685" s="143"/>
      <c r="AM685" s="143"/>
      <c r="AN685" s="143"/>
      <c r="AO685" s="143"/>
      <c r="AP685" s="143"/>
      <c r="AQ685" s="143"/>
      <c r="AR685" s="143"/>
      <c r="AS685" s="143"/>
    </row>
    <row r="686"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  <c r="AA686" s="143"/>
      <c r="AE686" s="143"/>
      <c r="AF686" s="143"/>
      <c r="AG686" s="143"/>
      <c r="AH686" s="143"/>
      <c r="AI686" s="143"/>
      <c r="AJ686" s="143"/>
      <c r="AK686" s="143"/>
      <c r="AL686" s="143"/>
      <c r="AM686" s="143"/>
      <c r="AN686" s="143"/>
      <c r="AO686" s="143"/>
      <c r="AP686" s="143"/>
      <c r="AQ686" s="143"/>
      <c r="AR686" s="143"/>
      <c r="AS686" s="143"/>
    </row>
    <row r="687"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  <c r="AA687" s="143"/>
      <c r="AE687" s="143"/>
      <c r="AF687" s="143"/>
      <c r="AG687" s="143"/>
      <c r="AH687" s="143"/>
      <c r="AI687" s="143"/>
      <c r="AJ687" s="143"/>
      <c r="AK687" s="143"/>
      <c r="AL687" s="143"/>
      <c r="AM687" s="143"/>
      <c r="AN687" s="143"/>
      <c r="AO687" s="143"/>
      <c r="AP687" s="143"/>
      <c r="AQ687" s="143"/>
      <c r="AR687" s="143"/>
      <c r="AS687" s="143"/>
    </row>
    <row r="688"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  <c r="AA688" s="143"/>
      <c r="AE688" s="143"/>
      <c r="AF688" s="143"/>
      <c r="AG688" s="143"/>
      <c r="AH688" s="143"/>
      <c r="AI688" s="143"/>
      <c r="AJ688" s="143"/>
      <c r="AK688" s="143"/>
      <c r="AL688" s="143"/>
      <c r="AM688" s="143"/>
      <c r="AN688" s="143"/>
      <c r="AO688" s="143"/>
      <c r="AP688" s="143"/>
      <c r="AQ688" s="143"/>
      <c r="AR688" s="143"/>
      <c r="AS688" s="143"/>
    </row>
    <row r="689"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  <c r="AA689" s="143"/>
      <c r="AE689" s="143"/>
      <c r="AF689" s="143"/>
      <c r="AG689" s="143"/>
      <c r="AH689" s="143"/>
      <c r="AI689" s="143"/>
      <c r="AJ689" s="143"/>
      <c r="AK689" s="143"/>
      <c r="AL689" s="143"/>
      <c r="AM689" s="143"/>
      <c r="AN689" s="143"/>
      <c r="AO689" s="143"/>
      <c r="AP689" s="143"/>
      <c r="AQ689" s="143"/>
      <c r="AR689" s="143"/>
      <c r="AS689" s="143"/>
    </row>
    <row r="690"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  <c r="AA690" s="143"/>
      <c r="AE690" s="143"/>
      <c r="AF690" s="143"/>
      <c r="AG690" s="143"/>
      <c r="AH690" s="143"/>
      <c r="AI690" s="143"/>
      <c r="AJ690" s="143"/>
      <c r="AK690" s="143"/>
      <c r="AL690" s="143"/>
      <c r="AM690" s="143"/>
      <c r="AN690" s="143"/>
      <c r="AO690" s="143"/>
      <c r="AP690" s="143"/>
      <c r="AQ690" s="143"/>
      <c r="AR690" s="143"/>
      <c r="AS690" s="143"/>
    </row>
    <row r="691"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  <c r="AA691" s="143"/>
      <c r="AE691" s="143"/>
      <c r="AF691" s="143"/>
      <c r="AG691" s="143"/>
      <c r="AH691" s="143"/>
      <c r="AI691" s="143"/>
      <c r="AJ691" s="143"/>
      <c r="AK691" s="143"/>
      <c r="AL691" s="143"/>
      <c r="AM691" s="143"/>
      <c r="AN691" s="143"/>
      <c r="AO691" s="143"/>
      <c r="AP691" s="143"/>
      <c r="AQ691" s="143"/>
      <c r="AR691" s="143"/>
      <c r="AS691" s="143"/>
    </row>
    <row r="692"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  <c r="AA692" s="143"/>
      <c r="AE692" s="143"/>
      <c r="AF692" s="143"/>
      <c r="AG692" s="143"/>
      <c r="AH692" s="143"/>
      <c r="AI692" s="143"/>
      <c r="AJ692" s="143"/>
      <c r="AK692" s="143"/>
      <c r="AL692" s="143"/>
      <c r="AM692" s="143"/>
      <c r="AN692" s="143"/>
      <c r="AO692" s="143"/>
      <c r="AP692" s="143"/>
      <c r="AQ692" s="143"/>
      <c r="AR692" s="143"/>
      <c r="AS692" s="143"/>
    </row>
    <row r="693"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  <c r="AA693" s="143"/>
      <c r="AE693" s="143"/>
      <c r="AF693" s="143"/>
      <c r="AG693" s="143"/>
      <c r="AH693" s="143"/>
      <c r="AI693" s="143"/>
      <c r="AJ693" s="143"/>
      <c r="AK693" s="143"/>
      <c r="AL693" s="143"/>
      <c r="AM693" s="143"/>
      <c r="AN693" s="143"/>
      <c r="AO693" s="143"/>
      <c r="AP693" s="143"/>
      <c r="AQ693" s="143"/>
      <c r="AR693" s="143"/>
      <c r="AS693" s="143"/>
    </row>
    <row r="694"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  <c r="AA694" s="143"/>
      <c r="AE694" s="143"/>
      <c r="AF694" s="143"/>
      <c r="AG694" s="143"/>
      <c r="AH694" s="143"/>
      <c r="AI694" s="143"/>
      <c r="AJ694" s="143"/>
      <c r="AK694" s="143"/>
      <c r="AL694" s="143"/>
      <c r="AM694" s="143"/>
      <c r="AN694" s="143"/>
      <c r="AO694" s="143"/>
      <c r="AP694" s="143"/>
      <c r="AQ694" s="143"/>
      <c r="AR694" s="143"/>
      <c r="AS694" s="143"/>
    </row>
    <row r="695"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  <c r="AA695" s="143"/>
      <c r="AE695" s="143"/>
      <c r="AF695" s="143"/>
      <c r="AG695" s="143"/>
      <c r="AH695" s="143"/>
      <c r="AI695" s="143"/>
      <c r="AJ695" s="143"/>
      <c r="AK695" s="143"/>
      <c r="AL695" s="143"/>
      <c r="AM695" s="143"/>
      <c r="AN695" s="143"/>
      <c r="AO695" s="143"/>
      <c r="AP695" s="143"/>
      <c r="AQ695" s="143"/>
      <c r="AR695" s="143"/>
      <c r="AS695" s="143"/>
    </row>
    <row r="696"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  <c r="AA696" s="143"/>
      <c r="AE696" s="143"/>
      <c r="AF696" s="143"/>
      <c r="AG696" s="143"/>
      <c r="AH696" s="143"/>
      <c r="AI696" s="143"/>
      <c r="AJ696" s="143"/>
      <c r="AK696" s="143"/>
      <c r="AL696" s="143"/>
      <c r="AM696" s="143"/>
      <c r="AN696" s="143"/>
      <c r="AO696" s="143"/>
      <c r="AP696" s="143"/>
      <c r="AQ696" s="143"/>
      <c r="AR696" s="143"/>
      <c r="AS696" s="143"/>
    </row>
    <row r="697"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  <c r="AA697" s="143"/>
      <c r="AE697" s="143"/>
      <c r="AF697" s="143"/>
      <c r="AG697" s="143"/>
      <c r="AH697" s="143"/>
      <c r="AI697" s="143"/>
      <c r="AJ697" s="143"/>
      <c r="AK697" s="143"/>
      <c r="AL697" s="143"/>
      <c r="AM697" s="143"/>
      <c r="AN697" s="143"/>
      <c r="AO697" s="143"/>
      <c r="AP697" s="143"/>
      <c r="AQ697" s="143"/>
      <c r="AR697" s="143"/>
      <c r="AS697" s="143"/>
    </row>
    <row r="698"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  <c r="AA698" s="143"/>
      <c r="AE698" s="143"/>
      <c r="AF698" s="143"/>
      <c r="AG698" s="143"/>
      <c r="AH698" s="143"/>
      <c r="AI698" s="143"/>
      <c r="AJ698" s="143"/>
      <c r="AK698" s="143"/>
      <c r="AL698" s="143"/>
      <c r="AM698" s="143"/>
      <c r="AN698" s="143"/>
      <c r="AO698" s="143"/>
      <c r="AP698" s="143"/>
      <c r="AQ698" s="143"/>
      <c r="AR698" s="143"/>
      <c r="AS698" s="143"/>
    </row>
    <row r="699"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  <c r="AA699" s="143"/>
      <c r="AE699" s="143"/>
      <c r="AF699" s="143"/>
      <c r="AG699" s="143"/>
      <c r="AH699" s="143"/>
      <c r="AI699" s="143"/>
      <c r="AJ699" s="143"/>
      <c r="AK699" s="143"/>
      <c r="AL699" s="143"/>
      <c r="AM699" s="143"/>
      <c r="AN699" s="143"/>
      <c r="AO699" s="143"/>
      <c r="AP699" s="143"/>
      <c r="AQ699" s="143"/>
      <c r="AR699" s="143"/>
      <c r="AS699" s="143"/>
    </row>
    <row r="700"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  <c r="AA700" s="143"/>
      <c r="AE700" s="143"/>
      <c r="AF700" s="143"/>
      <c r="AG700" s="143"/>
      <c r="AH700" s="143"/>
      <c r="AI700" s="143"/>
      <c r="AJ700" s="143"/>
      <c r="AK700" s="143"/>
      <c r="AL700" s="143"/>
      <c r="AM700" s="143"/>
      <c r="AN700" s="143"/>
      <c r="AO700" s="143"/>
      <c r="AP700" s="143"/>
      <c r="AQ700" s="143"/>
      <c r="AR700" s="143"/>
      <c r="AS700" s="143"/>
    </row>
    <row r="701"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  <c r="AA701" s="143"/>
      <c r="AE701" s="143"/>
      <c r="AF701" s="143"/>
      <c r="AG701" s="143"/>
      <c r="AH701" s="143"/>
      <c r="AI701" s="143"/>
      <c r="AJ701" s="143"/>
      <c r="AK701" s="143"/>
      <c r="AL701" s="143"/>
      <c r="AM701" s="143"/>
      <c r="AN701" s="143"/>
      <c r="AO701" s="143"/>
      <c r="AP701" s="143"/>
      <c r="AQ701" s="143"/>
      <c r="AR701" s="143"/>
      <c r="AS701" s="143"/>
    </row>
    <row r="702"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  <c r="AA702" s="143"/>
      <c r="AE702" s="143"/>
      <c r="AF702" s="143"/>
      <c r="AG702" s="143"/>
      <c r="AH702" s="143"/>
      <c r="AI702" s="143"/>
      <c r="AJ702" s="143"/>
      <c r="AK702" s="143"/>
      <c r="AL702" s="143"/>
      <c r="AM702" s="143"/>
      <c r="AN702" s="143"/>
      <c r="AO702" s="143"/>
      <c r="AP702" s="143"/>
      <c r="AQ702" s="143"/>
      <c r="AR702" s="143"/>
      <c r="AS702" s="143"/>
    </row>
    <row r="703"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  <c r="AA703" s="143"/>
      <c r="AE703" s="143"/>
      <c r="AF703" s="143"/>
      <c r="AG703" s="143"/>
      <c r="AH703" s="143"/>
      <c r="AI703" s="143"/>
      <c r="AJ703" s="143"/>
      <c r="AK703" s="143"/>
      <c r="AL703" s="143"/>
      <c r="AM703" s="143"/>
      <c r="AN703" s="143"/>
      <c r="AO703" s="143"/>
      <c r="AP703" s="143"/>
      <c r="AQ703" s="143"/>
      <c r="AR703" s="143"/>
      <c r="AS703" s="143"/>
    </row>
    <row r="704"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  <c r="AA704" s="143"/>
      <c r="AE704" s="143"/>
      <c r="AF704" s="143"/>
      <c r="AG704" s="143"/>
      <c r="AH704" s="143"/>
      <c r="AI704" s="143"/>
      <c r="AJ704" s="143"/>
      <c r="AK704" s="143"/>
      <c r="AL704" s="143"/>
      <c r="AM704" s="143"/>
      <c r="AN704" s="143"/>
      <c r="AO704" s="143"/>
      <c r="AP704" s="143"/>
      <c r="AQ704" s="143"/>
      <c r="AR704" s="143"/>
      <c r="AS704" s="143"/>
    </row>
    <row r="705"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  <c r="AA705" s="143"/>
      <c r="AE705" s="143"/>
      <c r="AF705" s="143"/>
      <c r="AG705" s="143"/>
      <c r="AH705" s="143"/>
      <c r="AI705" s="143"/>
      <c r="AJ705" s="143"/>
      <c r="AK705" s="143"/>
      <c r="AL705" s="143"/>
      <c r="AM705" s="143"/>
      <c r="AN705" s="143"/>
      <c r="AO705" s="143"/>
      <c r="AP705" s="143"/>
      <c r="AQ705" s="143"/>
      <c r="AR705" s="143"/>
      <c r="AS705" s="143"/>
    </row>
    <row r="706"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  <c r="AA706" s="143"/>
      <c r="AE706" s="143"/>
      <c r="AF706" s="143"/>
      <c r="AG706" s="143"/>
      <c r="AH706" s="143"/>
      <c r="AI706" s="143"/>
      <c r="AJ706" s="143"/>
      <c r="AK706" s="143"/>
      <c r="AL706" s="143"/>
      <c r="AM706" s="143"/>
      <c r="AN706" s="143"/>
      <c r="AO706" s="143"/>
      <c r="AP706" s="143"/>
      <c r="AQ706" s="143"/>
      <c r="AR706" s="143"/>
      <c r="AS706" s="143"/>
    </row>
    <row r="707"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  <c r="AA707" s="143"/>
      <c r="AE707" s="143"/>
      <c r="AF707" s="143"/>
      <c r="AG707" s="143"/>
      <c r="AH707" s="143"/>
      <c r="AI707" s="143"/>
      <c r="AJ707" s="143"/>
      <c r="AK707" s="143"/>
      <c r="AL707" s="143"/>
      <c r="AM707" s="143"/>
      <c r="AN707" s="143"/>
      <c r="AO707" s="143"/>
      <c r="AP707" s="143"/>
      <c r="AQ707" s="143"/>
      <c r="AR707" s="143"/>
      <c r="AS707" s="143"/>
    </row>
    <row r="708"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  <c r="AA708" s="143"/>
      <c r="AE708" s="143"/>
      <c r="AF708" s="143"/>
      <c r="AG708" s="143"/>
      <c r="AH708" s="143"/>
      <c r="AI708" s="143"/>
      <c r="AJ708" s="143"/>
      <c r="AK708" s="143"/>
      <c r="AL708" s="143"/>
      <c r="AM708" s="143"/>
      <c r="AN708" s="143"/>
      <c r="AO708" s="143"/>
      <c r="AP708" s="143"/>
      <c r="AQ708" s="143"/>
      <c r="AR708" s="143"/>
      <c r="AS708" s="143"/>
    </row>
    <row r="709"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  <c r="AA709" s="143"/>
      <c r="AE709" s="143"/>
      <c r="AF709" s="143"/>
      <c r="AG709" s="143"/>
      <c r="AH709" s="143"/>
      <c r="AI709" s="143"/>
      <c r="AJ709" s="143"/>
      <c r="AK709" s="143"/>
      <c r="AL709" s="143"/>
      <c r="AM709" s="143"/>
      <c r="AN709" s="143"/>
      <c r="AO709" s="143"/>
      <c r="AP709" s="143"/>
      <c r="AQ709" s="143"/>
      <c r="AR709" s="143"/>
      <c r="AS709" s="143"/>
    </row>
    <row r="710"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  <c r="AA710" s="143"/>
      <c r="AE710" s="143"/>
      <c r="AF710" s="143"/>
      <c r="AG710" s="143"/>
      <c r="AH710" s="143"/>
      <c r="AI710" s="143"/>
      <c r="AJ710" s="143"/>
      <c r="AK710" s="143"/>
      <c r="AL710" s="143"/>
      <c r="AM710" s="143"/>
      <c r="AN710" s="143"/>
      <c r="AO710" s="143"/>
      <c r="AP710" s="143"/>
      <c r="AQ710" s="143"/>
      <c r="AR710" s="143"/>
      <c r="AS710" s="143"/>
    </row>
    <row r="711"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  <c r="AA711" s="143"/>
      <c r="AE711" s="143"/>
      <c r="AF711" s="143"/>
      <c r="AG711" s="143"/>
      <c r="AH711" s="143"/>
      <c r="AI711" s="143"/>
      <c r="AJ711" s="143"/>
      <c r="AK711" s="143"/>
      <c r="AL711" s="143"/>
      <c r="AM711" s="143"/>
      <c r="AN711" s="143"/>
      <c r="AO711" s="143"/>
      <c r="AP711" s="143"/>
      <c r="AQ711" s="143"/>
      <c r="AR711" s="143"/>
      <c r="AS711" s="143"/>
    </row>
    <row r="712"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  <c r="AA712" s="143"/>
      <c r="AE712" s="143"/>
      <c r="AF712" s="143"/>
      <c r="AG712" s="143"/>
      <c r="AH712" s="143"/>
      <c r="AI712" s="143"/>
      <c r="AJ712" s="143"/>
      <c r="AK712" s="143"/>
      <c r="AL712" s="143"/>
      <c r="AM712" s="143"/>
      <c r="AN712" s="143"/>
      <c r="AO712" s="143"/>
      <c r="AP712" s="143"/>
      <c r="AQ712" s="143"/>
      <c r="AR712" s="143"/>
      <c r="AS712" s="143"/>
    </row>
    <row r="713"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  <c r="AA713" s="143"/>
      <c r="AE713" s="143"/>
      <c r="AF713" s="143"/>
      <c r="AG713" s="143"/>
      <c r="AH713" s="143"/>
      <c r="AI713" s="143"/>
      <c r="AJ713" s="143"/>
      <c r="AK713" s="143"/>
      <c r="AL713" s="143"/>
      <c r="AM713" s="143"/>
      <c r="AN713" s="143"/>
      <c r="AO713" s="143"/>
      <c r="AP713" s="143"/>
      <c r="AQ713" s="143"/>
      <c r="AR713" s="143"/>
      <c r="AS713" s="143"/>
    </row>
    <row r="714"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  <c r="AA714" s="143"/>
      <c r="AE714" s="143"/>
      <c r="AF714" s="143"/>
      <c r="AG714" s="143"/>
      <c r="AH714" s="143"/>
      <c r="AI714" s="143"/>
      <c r="AJ714" s="143"/>
      <c r="AK714" s="143"/>
      <c r="AL714" s="143"/>
      <c r="AM714" s="143"/>
      <c r="AN714" s="143"/>
      <c r="AO714" s="143"/>
      <c r="AP714" s="143"/>
      <c r="AQ714" s="143"/>
      <c r="AR714" s="143"/>
      <c r="AS714" s="143"/>
    </row>
    <row r="715"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  <c r="AA715" s="143"/>
      <c r="AE715" s="143"/>
      <c r="AF715" s="143"/>
      <c r="AG715" s="143"/>
      <c r="AH715" s="143"/>
      <c r="AI715" s="143"/>
      <c r="AJ715" s="143"/>
      <c r="AK715" s="143"/>
      <c r="AL715" s="143"/>
      <c r="AM715" s="143"/>
      <c r="AN715" s="143"/>
      <c r="AO715" s="143"/>
      <c r="AP715" s="143"/>
      <c r="AQ715" s="143"/>
      <c r="AR715" s="143"/>
      <c r="AS715" s="143"/>
    </row>
    <row r="716"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  <c r="AA716" s="143"/>
      <c r="AE716" s="143"/>
      <c r="AF716" s="143"/>
      <c r="AG716" s="143"/>
      <c r="AH716" s="143"/>
      <c r="AI716" s="143"/>
      <c r="AJ716" s="143"/>
      <c r="AK716" s="143"/>
      <c r="AL716" s="143"/>
      <c r="AM716" s="143"/>
      <c r="AN716" s="143"/>
      <c r="AO716" s="143"/>
      <c r="AP716" s="143"/>
      <c r="AQ716" s="143"/>
      <c r="AR716" s="143"/>
      <c r="AS716" s="143"/>
    </row>
    <row r="717"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  <c r="AA717" s="143"/>
      <c r="AE717" s="143"/>
      <c r="AF717" s="143"/>
      <c r="AG717" s="143"/>
      <c r="AH717" s="143"/>
      <c r="AI717" s="143"/>
      <c r="AJ717" s="143"/>
      <c r="AK717" s="143"/>
      <c r="AL717" s="143"/>
      <c r="AM717" s="143"/>
      <c r="AN717" s="143"/>
      <c r="AO717" s="143"/>
      <c r="AP717" s="143"/>
      <c r="AQ717" s="143"/>
      <c r="AR717" s="143"/>
      <c r="AS717" s="143"/>
    </row>
    <row r="718"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  <c r="AA718" s="143"/>
      <c r="AE718" s="143"/>
      <c r="AF718" s="143"/>
      <c r="AG718" s="143"/>
      <c r="AH718" s="143"/>
      <c r="AI718" s="143"/>
      <c r="AJ718" s="143"/>
      <c r="AK718" s="143"/>
      <c r="AL718" s="143"/>
      <c r="AM718" s="143"/>
      <c r="AN718" s="143"/>
      <c r="AO718" s="143"/>
      <c r="AP718" s="143"/>
      <c r="AQ718" s="143"/>
      <c r="AR718" s="143"/>
      <c r="AS718" s="143"/>
    </row>
    <row r="719"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  <c r="AA719" s="143"/>
      <c r="AE719" s="143"/>
      <c r="AF719" s="143"/>
      <c r="AG719" s="143"/>
      <c r="AH719" s="143"/>
      <c r="AI719" s="143"/>
      <c r="AJ719" s="143"/>
      <c r="AK719" s="143"/>
      <c r="AL719" s="143"/>
      <c r="AM719" s="143"/>
      <c r="AN719" s="143"/>
      <c r="AO719" s="143"/>
      <c r="AP719" s="143"/>
      <c r="AQ719" s="143"/>
      <c r="AR719" s="143"/>
      <c r="AS719" s="143"/>
    </row>
    <row r="720"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  <c r="AA720" s="143"/>
      <c r="AE720" s="143"/>
      <c r="AF720" s="143"/>
      <c r="AG720" s="143"/>
      <c r="AH720" s="143"/>
      <c r="AI720" s="143"/>
      <c r="AJ720" s="143"/>
      <c r="AK720" s="143"/>
      <c r="AL720" s="143"/>
      <c r="AM720" s="143"/>
      <c r="AN720" s="143"/>
      <c r="AO720" s="143"/>
      <c r="AP720" s="143"/>
      <c r="AQ720" s="143"/>
      <c r="AR720" s="143"/>
      <c r="AS720" s="143"/>
    </row>
    <row r="721"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  <c r="AA721" s="143"/>
      <c r="AE721" s="143"/>
      <c r="AF721" s="143"/>
      <c r="AG721" s="143"/>
      <c r="AH721" s="143"/>
      <c r="AI721" s="143"/>
      <c r="AJ721" s="143"/>
      <c r="AK721" s="143"/>
      <c r="AL721" s="143"/>
      <c r="AM721" s="143"/>
      <c r="AN721" s="143"/>
      <c r="AO721" s="143"/>
      <c r="AP721" s="143"/>
      <c r="AQ721" s="143"/>
      <c r="AR721" s="143"/>
      <c r="AS721" s="143"/>
    </row>
    <row r="722"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  <c r="AA722" s="143"/>
      <c r="AE722" s="143"/>
      <c r="AF722" s="143"/>
      <c r="AG722" s="143"/>
      <c r="AH722" s="143"/>
      <c r="AI722" s="143"/>
      <c r="AJ722" s="143"/>
      <c r="AK722" s="143"/>
      <c r="AL722" s="143"/>
      <c r="AM722" s="143"/>
      <c r="AN722" s="143"/>
      <c r="AO722" s="143"/>
      <c r="AP722" s="143"/>
      <c r="AQ722" s="143"/>
      <c r="AR722" s="143"/>
      <c r="AS722" s="143"/>
    </row>
    <row r="723"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  <c r="AA723" s="143"/>
      <c r="AE723" s="143"/>
      <c r="AF723" s="143"/>
      <c r="AG723" s="143"/>
      <c r="AH723" s="143"/>
      <c r="AI723" s="143"/>
      <c r="AJ723" s="143"/>
      <c r="AK723" s="143"/>
      <c r="AL723" s="143"/>
      <c r="AM723" s="143"/>
      <c r="AN723" s="143"/>
      <c r="AO723" s="143"/>
      <c r="AP723" s="143"/>
      <c r="AQ723" s="143"/>
      <c r="AR723" s="143"/>
      <c r="AS723" s="143"/>
    </row>
    <row r="724"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  <c r="AA724" s="143"/>
      <c r="AE724" s="143"/>
      <c r="AF724" s="143"/>
      <c r="AG724" s="143"/>
      <c r="AH724" s="143"/>
      <c r="AI724" s="143"/>
      <c r="AJ724" s="143"/>
      <c r="AK724" s="143"/>
      <c r="AL724" s="143"/>
      <c r="AM724" s="143"/>
      <c r="AN724" s="143"/>
      <c r="AO724" s="143"/>
      <c r="AP724" s="143"/>
      <c r="AQ724" s="143"/>
      <c r="AR724" s="143"/>
      <c r="AS724" s="143"/>
    </row>
    <row r="725"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  <c r="AA725" s="143"/>
      <c r="AE725" s="143"/>
      <c r="AF725" s="143"/>
      <c r="AG725" s="143"/>
      <c r="AH725" s="143"/>
      <c r="AI725" s="143"/>
      <c r="AJ725" s="143"/>
      <c r="AK725" s="143"/>
      <c r="AL725" s="143"/>
      <c r="AM725" s="143"/>
      <c r="AN725" s="143"/>
      <c r="AO725" s="143"/>
      <c r="AP725" s="143"/>
      <c r="AQ725" s="143"/>
      <c r="AR725" s="143"/>
      <c r="AS725" s="143"/>
    </row>
    <row r="726"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  <c r="AA726" s="143"/>
      <c r="AE726" s="143"/>
      <c r="AF726" s="143"/>
      <c r="AG726" s="143"/>
      <c r="AH726" s="143"/>
      <c r="AI726" s="143"/>
      <c r="AJ726" s="143"/>
      <c r="AK726" s="143"/>
      <c r="AL726" s="143"/>
      <c r="AM726" s="143"/>
      <c r="AN726" s="143"/>
      <c r="AO726" s="143"/>
      <c r="AP726" s="143"/>
      <c r="AQ726" s="143"/>
      <c r="AR726" s="143"/>
      <c r="AS726" s="143"/>
    </row>
    <row r="727"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  <c r="AA727" s="143"/>
      <c r="AE727" s="143"/>
      <c r="AF727" s="143"/>
      <c r="AG727" s="143"/>
      <c r="AH727" s="143"/>
      <c r="AI727" s="143"/>
      <c r="AJ727" s="143"/>
      <c r="AK727" s="143"/>
      <c r="AL727" s="143"/>
      <c r="AM727" s="143"/>
      <c r="AN727" s="143"/>
      <c r="AO727" s="143"/>
      <c r="AP727" s="143"/>
      <c r="AQ727" s="143"/>
      <c r="AR727" s="143"/>
      <c r="AS727" s="143"/>
    </row>
    <row r="728"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  <c r="AA728" s="143"/>
      <c r="AE728" s="143"/>
      <c r="AF728" s="143"/>
      <c r="AG728" s="143"/>
      <c r="AH728" s="143"/>
      <c r="AI728" s="143"/>
      <c r="AJ728" s="143"/>
      <c r="AK728" s="143"/>
      <c r="AL728" s="143"/>
      <c r="AM728" s="143"/>
      <c r="AN728" s="143"/>
      <c r="AO728" s="143"/>
      <c r="AP728" s="143"/>
      <c r="AQ728" s="143"/>
      <c r="AR728" s="143"/>
      <c r="AS728" s="143"/>
    </row>
    <row r="729"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  <c r="AA729" s="143"/>
      <c r="AE729" s="143"/>
      <c r="AF729" s="143"/>
      <c r="AG729" s="143"/>
      <c r="AH729" s="143"/>
      <c r="AI729" s="143"/>
      <c r="AJ729" s="143"/>
      <c r="AK729" s="143"/>
      <c r="AL729" s="143"/>
      <c r="AM729" s="143"/>
      <c r="AN729" s="143"/>
      <c r="AO729" s="143"/>
      <c r="AP729" s="143"/>
      <c r="AQ729" s="143"/>
      <c r="AR729" s="143"/>
      <c r="AS729" s="143"/>
    </row>
    <row r="730"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  <c r="AA730" s="143"/>
      <c r="AE730" s="143"/>
      <c r="AF730" s="143"/>
      <c r="AG730" s="143"/>
      <c r="AH730" s="143"/>
      <c r="AI730" s="143"/>
      <c r="AJ730" s="143"/>
      <c r="AK730" s="143"/>
      <c r="AL730" s="143"/>
      <c r="AM730" s="143"/>
      <c r="AN730" s="143"/>
      <c r="AO730" s="143"/>
      <c r="AP730" s="143"/>
      <c r="AQ730" s="143"/>
      <c r="AR730" s="143"/>
      <c r="AS730" s="143"/>
    </row>
    <row r="731"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  <c r="AA731" s="143"/>
      <c r="AE731" s="143"/>
      <c r="AF731" s="143"/>
      <c r="AG731" s="143"/>
      <c r="AH731" s="143"/>
      <c r="AI731" s="143"/>
      <c r="AJ731" s="143"/>
      <c r="AK731" s="143"/>
      <c r="AL731" s="143"/>
      <c r="AM731" s="143"/>
      <c r="AN731" s="143"/>
      <c r="AO731" s="143"/>
      <c r="AP731" s="143"/>
      <c r="AQ731" s="143"/>
      <c r="AR731" s="143"/>
      <c r="AS731" s="143"/>
    </row>
    <row r="732"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  <c r="AA732" s="143"/>
      <c r="AE732" s="143"/>
      <c r="AF732" s="143"/>
      <c r="AG732" s="143"/>
      <c r="AH732" s="143"/>
      <c r="AI732" s="143"/>
      <c r="AJ732" s="143"/>
      <c r="AK732" s="143"/>
      <c r="AL732" s="143"/>
      <c r="AM732" s="143"/>
      <c r="AN732" s="143"/>
      <c r="AO732" s="143"/>
      <c r="AP732" s="143"/>
      <c r="AQ732" s="143"/>
      <c r="AR732" s="143"/>
      <c r="AS732" s="143"/>
    </row>
    <row r="733"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  <c r="AA733" s="143"/>
      <c r="AE733" s="143"/>
      <c r="AF733" s="143"/>
      <c r="AG733" s="143"/>
      <c r="AH733" s="143"/>
      <c r="AI733" s="143"/>
      <c r="AJ733" s="143"/>
      <c r="AK733" s="143"/>
      <c r="AL733" s="143"/>
      <c r="AM733" s="143"/>
      <c r="AN733" s="143"/>
      <c r="AO733" s="143"/>
      <c r="AP733" s="143"/>
      <c r="AQ733" s="143"/>
      <c r="AR733" s="143"/>
      <c r="AS733" s="143"/>
    </row>
    <row r="734"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  <c r="AA734" s="143"/>
      <c r="AE734" s="143"/>
      <c r="AF734" s="143"/>
      <c r="AG734" s="143"/>
      <c r="AH734" s="143"/>
      <c r="AI734" s="143"/>
      <c r="AJ734" s="143"/>
      <c r="AK734" s="143"/>
      <c r="AL734" s="143"/>
      <c r="AM734" s="143"/>
      <c r="AN734" s="143"/>
      <c r="AO734" s="143"/>
      <c r="AP734" s="143"/>
      <c r="AQ734" s="143"/>
      <c r="AR734" s="143"/>
      <c r="AS734" s="143"/>
    </row>
    <row r="735"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  <c r="AA735" s="143"/>
      <c r="AE735" s="143"/>
      <c r="AF735" s="143"/>
      <c r="AG735" s="143"/>
      <c r="AH735" s="143"/>
      <c r="AI735" s="143"/>
      <c r="AJ735" s="143"/>
      <c r="AK735" s="143"/>
      <c r="AL735" s="143"/>
      <c r="AM735" s="143"/>
      <c r="AN735" s="143"/>
      <c r="AO735" s="143"/>
      <c r="AP735" s="143"/>
      <c r="AQ735" s="143"/>
      <c r="AR735" s="143"/>
      <c r="AS735" s="143"/>
    </row>
    <row r="736"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  <c r="AA736" s="143"/>
      <c r="AE736" s="143"/>
      <c r="AF736" s="143"/>
      <c r="AG736" s="143"/>
      <c r="AH736" s="143"/>
      <c r="AI736" s="143"/>
      <c r="AJ736" s="143"/>
      <c r="AK736" s="143"/>
      <c r="AL736" s="143"/>
      <c r="AM736" s="143"/>
      <c r="AN736" s="143"/>
      <c r="AO736" s="143"/>
      <c r="AP736" s="143"/>
      <c r="AQ736" s="143"/>
      <c r="AR736" s="143"/>
      <c r="AS736" s="143"/>
    </row>
    <row r="737"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  <c r="AA737" s="143"/>
      <c r="AE737" s="143"/>
      <c r="AF737" s="143"/>
      <c r="AG737" s="143"/>
      <c r="AH737" s="143"/>
      <c r="AI737" s="143"/>
      <c r="AJ737" s="143"/>
      <c r="AK737" s="143"/>
      <c r="AL737" s="143"/>
      <c r="AM737" s="143"/>
      <c r="AN737" s="143"/>
      <c r="AO737" s="143"/>
      <c r="AP737" s="143"/>
      <c r="AQ737" s="143"/>
      <c r="AR737" s="143"/>
      <c r="AS737" s="143"/>
    </row>
    <row r="738"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  <c r="AA738" s="143"/>
      <c r="AE738" s="143"/>
      <c r="AF738" s="143"/>
      <c r="AG738" s="143"/>
      <c r="AH738" s="143"/>
      <c r="AI738" s="143"/>
      <c r="AJ738" s="143"/>
      <c r="AK738" s="143"/>
      <c r="AL738" s="143"/>
      <c r="AM738" s="143"/>
      <c r="AN738" s="143"/>
      <c r="AO738" s="143"/>
      <c r="AP738" s="143"/>
      <c r="AQ738" s="143"/>
      <c r="AR738" s="143"/>
      <c r="AS738" s="143"/>
    </row>
    <row r="739"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  <c r="AA739" s="143"/>
      <c r="AE739" s="143"/>
      <c r="AF739" s="143"/>
      <c r="AG739" s="143"/>
      <c r="AH739" s="143"/>
      <c r="AI739" s="143"/>
      <c r="AJ739" s="143"/>
      <c r="AK739" s="143"/>
      <c r="AL739" s="143"/>
      <c r="AM739" s="143"/>
      <c r="AN739" s="143"/>
      <c r="AO739" s="143"/>
      <c r="AP739" s="143"/>
      <c r="AQ739" s="143"/>
      <c r="AR739" s="143"/>
      <c r="AS739" s="143"/>
    </row>
    <row r="740"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  <c r="AA740" s="143"/>
      <c r="AE740" s="143"/>
      <c r="AF740" s="143"/>
      <c r="AG740" s="143"/>
      <c r="AH740" s="143"/>
      <c r="AI740" s="143"/>
      <c r="AJ740" s="143"/>
      <c r="AK740" s="143"/>
      <c r="AL740" s="143"/>
      <c r="AM740" s="143"/>
      <c r="AN740" s="143"/>
      <c r="AO740" s="143"/>
      <c r="AP740" s="143"/>
      <c r="AQ740" s="143"/>
      <c r="AR740" s="143"/>
      <c r="AS740" s="143"/>
    </row>
    <row r="741"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  <c r="AA741" s="143"/>
      <c r="AE741" s="143"/>
      <c r="AF741" s="143"/>
      <c r="AG741" s="143"/>
      <c r="AH741" s="143"/>
      <c r="AI741" s="143"/>
      <c r="AJ741" s="143"/>
      <c r="AK741" s="143"/>
      <c r="AL741" s="143"/>
      <c r="AM741" s="143"/>
      <c r="AN741" s="143"/>
      <c r="AO741" s="143"/>
      <c r="AP741" s="143"/>
      <c r="AQ741" s="143"/>
      <c r="AR741" s="143"/>
      <c r="AS741" s="143"/>
    </row>
    <row r="742"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  <c r="AA742" s="143"/>
      <c r="AE742" s="143"/>
      <c r="AF742" s="143"/>
      <c r="AG742" s="143"/>
      <c r="AH742" s="143"/>
      <c r="AI742" s="143"/>
      <c r="AJ742" s="143"/>
      <c r="AK742" s="143"/>
      <c r="AL742" s="143"/>
      <c r="AM742" s="143"/>
      <c r="AN742" s="143"/>
      <c r="AO742" s="143"/>
      <c r="AP742" s="143"/>
      <c r="AQ742" s="143"/>
      <c r="AR742" s="143"/>
      <c r="AS742" s="143"/>
    </row>
    <row r="743"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  <c r="AA743" s="143"/>
      <c r="AE743" s="143"/>
      <c r="AF743" s="143"/>
      <c r="AG743" s="143"/>
      <c r="AH743" s="143"/>
      <c r="AI743" s="143"/>
      <c r="AJ743" s="143"/>
      <c r="AK743" s="143"/>
      <c r="AL743" s="143"/>
      <c r="AM743" s="143"/>
      <c r="AN743" s="143"/>
      <c r="AO743" s="143"/>
      <c r="AP743" s="143"/>
      <c r="AQ743" s="143"/>
      <c r="AR743" s="143"/>
      <c r="AS743" s="143"/>
    </row>
    <row r="744"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  <c r="AA744" s="143"/>
      <c r="AE744" s="143"/>
      <c r="AF744" s="143"/>
      <c r="AG744" s="143"/>
      <c r="AH744" s="143"/>
      <c r="AI744" s="143"/>
      <c r="AJ744" s="143"/>
      <c r="AK744" s="143"/>
      <c r="AL744" s="143"/>
      <c r="AM744" s="143"/>
      <c r="AN744" s="143"/>
      <c r="AO744" s="143"/>
      <c r="AP744" s="143"/>
      <c r="AQ744" s="143"/>
      <c r="AR744" s="143"/>
      <c r="AS744" s="143"/>
    </row>
    <row r="745"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  <c r="AA745" s="143"/>
      <c r="AE745" s="143"/>
      <c r="AF745" s="143"/>
      <c r="AG745" s="143"/>
      <c r="AH745" s="143"/>
      <c r="AI745" s="143"/>
      <c r="AJ745" s="143"/>
      <c r="AK745" s="143"/>
      <c r="AL745" s="143"/>
      <c r="AM745" s="143"/>
      <c r="AN745" s="143"/>
      <c r="AO745" s="143"/>
      <c r="AP745" s="143"/>
      <c r="AQ745" s="143"/>
      <c r="AR745" s="143"/>
      <c r="AS745" s="143"/>
    </row>
    <row r="746"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  <c r="AA746" s="143"/>
      <c r="AE746" s="143"/>
      <c r="AF746" s="143"/>
      <c r="AG746" s="143"/>
      <c r="AH746" s="143"/>
      <c r="AI746" s="143"/>
      <c r="AJ746" s="143"/>
      <c r="AK746" s="143"/>
      <c r="AL746" s="143"/>
      <c r="AM746" s="143"/>
      <c r="AN746" s="143"/>
      <c r="AO746" s="143"/>
      <c r="AP746" s="143"/>
      <c r="AQ746" s="143"/>
      <c r="AR746" s="143"/>
      <c r="AS746" s="143"/>
    </row>
    <row r="747"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  <c r="AA747" s="143"/>
      <c r="AE747" s="143"/>
      <c r="AF747" s="143"/>
      <c r="AG747" s="143"/>
      <c r="AH747" s="143"/>
      <c r="AI747" s="143"/>
      <c r="AJ747" s="143"/>
      <c r="AK747" s="143"/>
      <c r="AL747" s="143"/>
      <c r="AM747" s="143"/>
      <c r="AN747" s="143"/>
      <c r="AO747" s="143"/>
      <c r="AP747" s="143"/>
      <c r="AQ747" s="143"/>
      <c r="AR747" s="143"/>
      <c r="AS747" s="143"/>
    </row>
    <row r="748"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  <c r="AA748" s="143"/>
      <c r="AE748" s="143"/>
      <c r="AF748" s="143"/>
      <c r="AG748" s="143"/>
      <c r="AH748" s="143"/>
      <c r="AI748" s="143"/>
      <c r="AJ748" s="143"/>
      <c r="AK748" s="143"/>
      <c r="AL748" s="143"/>
      <c r="AM748" s="143"/>
      <c r="AN748" s="143"/>
      <c r="AO748" s="143"/>
      <c r="AP748" s="143"/>
      <c r="AQ748" s="143"/>
      <c r="AR748" s="143"/>
      <c r="AS748" s="143"/>
    </row>
    <row r="749"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  <c r="AA749" s="143"/>
      <c r="AE749" s="143"/>
      <c r="AF749" s="143"/>
      <c r="AG749" s="143"/>
      <c r="AH749" s="143"/>
      <c r="AI749" s="143"/>
      <c r="AJ749" s="143"/>
      <c r="AK749" s="143"/>
      <c r="AL749" s="143"/>
      <c r="AM749" s="143"/>
      <c r="AN749" s="143"/>
      <c r="AO749" s="143"/>
      <c r="AP749" s="143"/>
      <c r="AQ749" s="143"/>
      <c r="AR749" s="143"/>
      <c r="AS749" s="143"/>
    </row>
    <row r="750"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  <c r="AA750" s="143"/>
      <c r="AE750" s="143"/>
      <c r="AF750" s="143"/>
      <c r="AG750" s="143"/>
      <c r="AH750" s="143"/>
      <c r="AI750" s="143"/>
      <c r="AJ750" s="143"/>
      <c r="AK750" s="143"/>
      <c r="AL750" s="143"/>
      <c r="AM750" s="143"/>
      <c r="AN750" s="143"/>
      <c r="AO750" s="143"/>
      <c r="AP750" s="143"/>
      <c r="AQ750" s="143"/>
      <c r="AR750" s="143"/>
      <c r="AS750" s="143"/>
    </row>
    <row r="751"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  <c r="AA751" s="143"/>
      <c r="AE751" s="143"/>
      <c r="AF751" s="143"/>
      <c r="AG751" s="143"/>
      <c r="AH751" s="143"/>
      <c r="AI751" s="143"/>
      <c r="AJ751" s="143"/>
      <c r="AK751" s="143"/>
      <c r="AL751" s="143"/>
      <c r="AM751" s="143"/>
      <c r="AN751" s="143"/>
      <c r="AO751" s="143"/>
      <c r="AP751" s="143"/>
      <c r="AQ751" s="143"/>
      <c r="AR751" s="143"/>
      <c r="AS751" s="143"/>
    </row>
    <row r="752"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  <c r="AA752" s="143"/>
      <c r="AE752" s="143"/>
      <c r="AF752" s="143"/>
      <c r="AG752" s="143"/>
      <c r="AH752" s="143"/>
      <c r="AI752" s="143"/>
      <c r="AJ752" s="143"/>
      <c r="AK752" s="143"/>
      <c r="AL752" s="143"/>
      <c r="AM752" s="143"/>
      <c r="AN752" s="143"/>
      <c r="AO752" s="143"/>
      <c r="AP752" s="143"/>
      <c r="AQ752" s="143"/>
      <c r="AR752" s="143"/>
      <c r="AS752" s="143"/>
    </row>
    <row r="753"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  <c r="AA753" s="143"/>
      <c r="AE753" s="143"/>
      <c r="AF753" s="143"/>
      <c r="AG753" s="143"/>
      <c r="AH753" s="143"/>
      <c r="AI753" s="143"/>
      <c r="AJ753" s="143"/>
      <c r="AK753" s="143"/>
      <c r="AL753" s="143"/>
      <c r="AM753" s="143"/>
      <c r="AN753" s="143"/>
      <c r="AO753" s="143"/>
      <c r="AP753" s="143"/>
      <c r="AQ753" s="143"/>
      <c r="AR753" s="143"/>
      <c r="AS753" s="143"/>
    </row>
    <row r="754"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  <c r="AA754" s="143"/>
      <c r="AE754" s="143"/>
      <c r="AF754" s="143"/>
      <c r="AG754" s="143"/>
      <c r="AH754" s="143"/>
      <c r="AI754" s="143"/>
      <c r="AJ754" s="143"/>
      <c r="AK754" s="143"/>
      <c r="AL754" s="143"/>
      <c r="AM754" s="143"/>
      <c r="AN754" s="143"/>
      <c r="AO754" s="143"/>
      <c r="AP754" s="143"/>
      <c r="AQ754" s="143"/>
      <c r="AR754" s="143"/>
      <c r="AS754" s="143"/>
    </row>
    <row r="755"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  <c r="AA755" s="143"/>
      <c r="AE755" s="143"/>
      <c r="AF755" s="143"/>
      <c r="AG755" s="143"/>
      <c r="AH755" s="143"/>
      <c r="AI755" s="143"/>
      <c r="AJ755" s="143"/>
      <c r="AK755" s="143"/>
      <c r="AL755" s="143"/>
      <c r="AM755" s="143"/>
      <c r="AN755" s="143"/>
      <c r="AO755" s="143"/>
      <c r="AP755" s="143"/>
      <c r="AQ755" s="143"/>
      <c r="AR755" s="143"/>
      <c r="AS755" s="143"/>
    </row>
    <row r="756"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  <c r="AA756" s="143"/>
      <c r="AE756" s="143"/>
      <c r="AF756" s="143"/>
      <c r="AG756" s="143"/>
      <c r="AH756" s="143"/>
      <c r="AI756" s="143"/>
      <c r="AJ756" s="143"/>
      <c r="AK756" s="143"/>
      <c r="AL756" s="143"/>
      <c r="AM756" s="143"/>
      <c r="AN756" s="143"/>
      <c r="AO756" s="143"/>
      <c r="AP756" s="143"/>
      <c r="AQ756" s="143"/>
      <c r="AR756" s="143"/>
      <c r="AS756" s="143"/>
    </row>
    <row r="757"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  <c r="AA757" s="143"/>
      <c r="AE757" s="143"/>
      <c r="AF757" s="143"/>
      <c r="AG757" s="143"/>
      <c r="AH757" s="143"/>
      <c r="AI757" s="143"/>
      <c r="AJ757" s="143"/>
      <c r="AK757" s="143"/>
      <c r="AL757" s="143"/>
      <c r="AM757" s="143"/>
      <c r="AN757" s="143"/>
      <c r="AO757" s="143"/>
      <c r="AP757" s="143"/>
      <c r="AQ757" s="143"/>
      <c r="AR757" s="143"/>
      <c r="AS757" s="143"/>
    </row>
    <row r="758"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  <c r="AA758" s="143"/>
      <c r="AE758" s="143"/>
      <c r="AF758" s="143"/>
      <c r="AG758" s="143"/>
      <c r="AH758" s="143"/>
      <c r="AI758" s="143"/>
      <c r="AJ758" s="143"/>
      <c r="AK758" s="143"/>
      <c r="AL758" s="143"/>
      <c r="AM758" s="143"/>
      <c r="AN758" s="143"/>
      <c r="AO758" s="143"/>
      <c r="AP758" s="143"/>
      <c r="AQ758" s="143"/>
      <c r="AR758" s="143"/>
      <c r="AS758" s="143"/>
    </row>
    <row r="759"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  <c r="AA759" s="143"/>
      <c r="AE759" s="143"/>
      <c r="AF759" s="143"/>
      <c r="AG759" s="143"/>
      <c r="AH759" s="143"/>
      <c r="AI759" s="143"/>
      <c r="AJ759" s="143"/>
      <c r="AK759" s="143"/>
      <c r="AL759" s="143"/>
      <c r="AM759" s="143"/>
      <c r="AN759" s="143"/>
      <c r="AO759" s="143"/>
      <c r="AP759" s="143"/>
      <c r="AQ759" s="143"/>
      <c r="AR759" s="143"/>
      <c r="AS759" s="143"/>
    </row>
    <row r="760"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  <c r="AA760" s="143"/>
      <c r="AE760" s="143"/>
      <c r="AF760" s="143"/>
      <c r="AG760" s="143"/>
      <c r="AH760" s="143"/>
      <c r="AI760" s="143"/>
      <c r="AJ760" s="143"/>
      <c r="AK760" s="143"/>
      <c r="AL760" s="143"/>
      <c r="AM760" s="143"/>
      <c r="AN760" s="143"/>
      <c r="AO760" s="143"/>
      <c r="AP760" s="143"/>
      <c r="AQ760" s="143"/>
      <c r="AR760" s="143"/>
      <c r="AS760" s="143"/>
    </row>
    <row r="761"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  <c r="AA761" s="143"/>
      <c r="AE761" s="143"/>
      <c r="AF761" s="143"/>
      <c r="AG761" s="143"/>
      <c r="AH761" s="143"/>
      <c r="AI761" s="143"/>
      <c r="AJ761" s="143"/>
      <c r="AK761" s="143"/>
      <c r="AL761" s="143"/>
      <c r="AM761" s="143"/>
      <c r="AN761" s="143"/>
      <c r="AO761" s="143"/>
      <c r="AP761" s="143"/>
      <c r="AQ761" s="143"/>
      <c r="AR761" s="143"/>
      <c r="AS761" s="143"/>
    </row>
    <row r="762"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  <c r="AA762" s="143"/>
      <c r="AE762" s="143"/>
      <c r="AF762" s="143"/>
      <c r="AG762" s="143"/>
      <c r="AH762" s="143"/>
      <c r="AI762" s="143"/>
      <c r="AJ762" s="143"/>
      <c r="AK762" s="143"/>
      <c r="AL762" s="143"/>
      <c r="AM762" s="143"/>
      <c r="AN762" s="143"/>
      <c r="AO762" s="143"/>
      <c r="AP762" s="143"/>
      <c r="AQ762" s="143"/>
      <c r="AR762" s="143"/>
      <c r="AS762" s="143"/>
    </row>
    <row r="763"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  <c r="AA763" s="143"/>
      <c r="AE763" s="143"/>
      <c r="AF763" s="143"/>
      <c r="AG763" s="143"/>
      <c r="AH763" s="143"/>
      <c r="AI763" s="143"/>
      <c r="AJ763" s="143"/>
      <c r="AK763" s="143"/>
      <c r="AL763" s="143"/>
      <c r="AM763" s="143"/>
      <c r="AN763" s="143"/>
      <c r="AO763" s="143"/>
      <c r="AP763" s="143"/>
      <c r="AQ763" s="143"/>
      <c r="AR763" s="143"/>
      <c r="AS763" s="143"/>
    </row>
    <row r="764"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  <c r="AA764" s="143"/>
      <c r="AE764" s="143"/>
      <c r="AF764" s="143"/>
      <c r="AG764" s="143"/>
      <c r="AH764" s="143"/>
      <c r="AI764" s="143"/>
      <c r="AJ764" s="143"/>
      <c r="AK764" s="143"/>
      <c r="AL764" s="143"/>
      <c r="AM764" s="143"/>
      <c r="AN764" s="143"/>
      <c r="AO764" s="143"/>
      <c r="AP764" s="143"/>
      <c r="AQ764" s="143"/>
      <c r="AR764" s="143"/>
      <c r="AS764" s="143"/>
    </row>
    <row r="765"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  <c r="AA765" s="143"/>
      <c r="AE765" s="143"/>
      <c r="AF765" s="143"/>
      <c r="AG765" s="143"/>
      <c r="AH765" s="143"/>
      <c r="AI765" s="143"/>
      <c r="AJ765" s="143"/>
      <c r="AK765" s="143"/>
      <c r="AL765" s="143"/>
      <c r="AM765" s="143"/>
      <c r="AN765" s="143"/>
      <c r="AO765" s="143"/>
      <c r="AP765" s="143"/>
      <c r="AQ765" s="143"/>
      <c r="AR765" s="143"/>
      <c r="AS765" s="143"/>
    </row>
    <row r="766"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  <c r="AA766" s="143"/>
      <c r="AE766" s="143"/>
      <c r="AF766" s="143"/>
      <c r="AG766" s="143"/>
      <c r="AH766" s="143"/>
      <c r="AI766" s="143"/>
      <c r="AJ766" s="143"/>
      <c r="AK766" s="143"/>
      <c r="AL766" s="143"/>
      <c r="AM766" s="143"/>
      <c r="AN766" s="143"/>
      <c r="AO766" s="143"/>
      <c r="AP766" s="143"/>
      <c r="AQ766" s="143"/>
      <c r="AR766" s="143"/>
      <c r="AS766" s="143"/>
    </row>
    <row r="767"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  <c r="AA767" s="143"/>
      <c r="AE767" s="143"/>
      <c r="AF767" s="143"/>
      <c r="AG767" s="143"/>
      <c r="AH767" s="143"/>
      <c r="AI767" s="143"/>
      <c r="AJ767" s="143"/>
      <c r="AK767" s="143"/>
      <c r="AL767" s="143"/>
      <c r="AM767" s="143"/>
      <c r="AN767" s="143"/>
      <c r="AO767" s="143"/>
      <c r="AP767" s="143"/>
      <c r="AQ767" s="143"/>
      <c r="AR767" s="143"/>
      <c r="AS767" s="143"/>
    </row>
    <row r="768"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  <c r="AA768" s="143"/>
      <c r="AE768" s="143"/>
      <c r="AF768" s="143"/>
      <c r="AG768" s="143"/>
      <c r="AH768" s="143"/>
      <c r="AI768" s="143"/>
      <c r="AJ768" s="143"/>
      <c r="AK768" s="143"/>
      <c r="AL768" s="143"/>
      <c r="AM768" s="143"/>
      <c r="AN768" s="143"/>
      <c r="AO768" s="143"/>
      <c r="AP768" s="143"/>
      <c r="AQ768" s="143"/>
      <c r="AR768" s="143"/>
      <c r="AS768" s="143"/>
    </row>
    <row r="769"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  <c r="AA769" s="143"/>
      <c r="AE769" s="143"/>
      <c r="AF769" s="143"/>
      <c r="AG769" s="143"/>
      <c r="AH769" s="143"/>
      <c r="AI769" s="143"/>
      <c r="AJ769" s="143"/>
      <c r="AK769" s="143"/>
      <c r="AL769" s="143"/>
      <c r="AM769" s="143"/>
      <c r="AN769" s="143"/>
      <c r="AO769" s="143"/>
      <c r="AP769" s="143"/>
      <c r="AQ769" s="143"/>
      <c r="AR769" s="143"/>
      <c r="AS769" s="143"/>
    </row>
    <row r="770"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  <c r="AA770" s="143"/>
      <c r="AE770" s="143"/>
      <c r="AF770" s="143"/>
      <c r="AG770" s="143"/>
      <c r="AH770" s="143"/>
      <c r="AI770" s="143"/>
      <c r="AJ770" s="143"/>
      <c r="AK770" s="143"/>
      <c r="AL770" s="143"/>
      <c r="AM770" s="143"/>
      <c r="AN770" s="143"/>
      <c r="AO770" s="143"/>
      <c r="AP770" s="143"/>
      <c r="AQ770" s="143"/>
      <c r="AR770" s="143"/>
      <c r="AS770" s="143"/>
    </row>
    <row r="771"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  <c r="AA771" s="143"/>
      <c r="AE771" s="143"/>
      <c r="AF771" s="143"/>
      <c r="AG771" s="143"/>
      <c r="AH771" s="143"/>
      <c r="AI771" s="143"/>
      <c r="AJ771" s="143"/>
      <c r="AK771" s="143"/>
      <c r="AL771" s="143"/>
      <c r="AM771" s="143"/>
      <c r="AN771" s="143"/>
      <c r="AO771" s="143"/>
      <c r="AP771" s="143"/>
      <c r="AQ771" s="143"/>
      <c r="AR771" s="143"/>
      <c r="AS771" s="143"/>
    </row>
    <row r="772"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  <c r="AA772" s="143"/>
      <c r="AE772" s="143"/>
      <c r="AF772" s="143"/>
      <c r="AG772" s="143"/>
      <c r="AH772" s="143"/>
      <c r="AI772" s="143"/>
      <c r="AJ772" s="143"/>
      <c r="AK772" s="143"/>
      <c r="AL772" s="143"/>
      <c r="AM772" s="143"/>
      <c r="AN772" s="143"/>
      <c r="AO772" s="143"/>
      <c r="AP772" s="143"/>
      <c r="AQ772" s="143"/>
      <c r="AR772" s="143"/>
      <c r="AS772" s="143"/>
    </row>
    <row r="773"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  <c r="AA773" s="143"/>
      <c r="AE773" s="143"/>
      <c r="AF773" s="143"/>
      <c r="AG773" s="143"/>
      <c r="AH773" s="143"/>
      <c r="AI773" s="143"/>
      <c r="AJ773" s="143"/>
      <c r="AK773" s="143"/>
      <c r="AL773" s="143"/>
      <c r="AM773" s="143"/>
      <c r="AN773" s="143"/>
      <c r="AO773" s="143"/>
      <c r="AP773" s="143"/>
      <c r="AQ773" s="143"/>
      <c r="AR773" s="143"/>
      <c r="AS773" s="143"/>
    </row>
    <row r="774"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  <c r="AA774" s="143"/>
      <c r="AE774" s="143"/>
      <c r="AF774" s="143"/>
      <c r="AG774" s="143"/>
      <c r="AH774" s="143"/>
      <c r="AI774" s="143"/>
      <c r="AJ774" s="143"/>
      <c r="AK774" s="143"/>
      <c r="AL774" s="143"/>
      <c r="AM774" s="143"/>
      <c r="AN774" s="143"/>
      <c r="AO774" s="143"/>
      <c r="AP774" s="143"/>
      <c r="AQ774" s="143"/>
      <c r="AR774" s="143"/>
      <c r="AS774" s="143"/>
    </row>
    <row r="775"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  <c r="AA775" s="143"/>
      <c r="AE775" s="143"/>
      <c r="AF775" s="143"/>
      <c r="AG775" s="143"/>
      <c r="AH775" s="143"/>
      <c r="AI775" s="143"/>
      <c r="AJ775" s="143"/>
      <c r="AK775" s="143"/>
      <c r="AL775" s="143"/>
      <c r="AM775" s="143"/>
      <c r="AN775" s="143"/>
      <c r="AO775" s="143"/>
      <c r="AP775" s="143"/>
      <c r="AQ775" s="143"/>
      <c r="AR775" s="143"/>
      <c r="AS775" s="143"/>
    </row>
    <row r="776"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  <c r="AA776" s="143"/>
      <c r="AE776" s="143"/>
      <c r="AF776" s="143"/>
      <c r="AG776" s="143"/>
      <c r="AH776" s="143"/>
      <c r="AI776" s="143"/>
      <c r="AJ776" s="143"/>
      <c r="AK776" s="143"/>
      <c r="AL776" s="143"/>
      <c r="AM776" s="143"/>
      <c r="AN776" s="143"/>
      <c r="AO776" s="143"/>
      <c r="AP776" s="143"/>
      <c r="AQ776" s="143"/>
      <c r="AR776" s="143"/>
      <c r="AS776" s="143"/>
    </row>
    <row r="777"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  <c r="AA777" s="143"/>
      <c r="AE777" s="143"/>
      <c r="AF777" s="143"/>
      <c r="AG777" s="143"/>
      <c r="AH777" s="143"/>
      <c r="AI777" s="143"/>
      <c r="AJ777" s="143"/>
      <c r="AK777" s="143"/>
      <c r="AL777" s="143"/>
      <c r="AM777" s="143"/>
      <c r="AN777" s="143"/>
      <c r="AO777" s="143"/>
      <c r="AP777" s="143"/>
      <c r="AQ777" s="143"/>
      <c r="AR777" s="143"/>
      <c r="AS777" s="143"/>
    </row>
    <row r="778"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  <c r="AA778" s="143"/>
      <c r="AE778" s="143"/>
      <c r="AF778" s="143"/>
      <c r="AG778" s="143"/>
      <c r="AH778" s="143"/>
      <c r="AI778" s="143"/>
      <c r="AJ778" s="143"/>
      <c r="AK778" s="143"/>
      <c r="AL778" s="143"/>
      <c r="AM778" s="143"/>
      <c r="AN778" s="143"/>
      <c r="AO778" s="143"/>
      <c r="AP778" s="143"/>
      <c r="AQ778" s="143"/>
      <c r="AR778" s="143"/>
      <c r="AS778" s="143"/>
    </row>
    <row r="779"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  <c r="AA779" s="143"/>
      <c r="AE779" s="143"/>
      <c r="AF779" s="143"/>
      <c r="AG779" s="143"/>
      <c r="AH779" s="143"/>
      <c r="AI779" s="143"/>
      <c r="AJ779" s="143"/>
      <c r="AK779" s="143"/>
      <c r="AL779" s="143"/>
      <c r="AM779" s="143"/>
      <c r="AN779" s="143"/>
      <c r="AO779" s="143"/>
      <c r="AP779" s="143"/>
      <c r="AQ779" s="143"/>
      <c r="AR779" s="143"/>
      <c r="AS779" s="143"/>
    </row>
    <row r="780"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  <c r="AA780" s="143"/>
      <c r="AE780" s="143"/>
      <c r="AF780" s="143"/>
      <c r="AG780" s="143"/>
      <c r="AH780" s="143"/>
      <c r="AI780" s="143"/>
      <c r="AJ780" s="143"/>
      <c r="AK780" s="143"/>
      <c r="AL780" s="143"/>
      <c r="AM780" s="143"/>
      <c r="AN780" s="143"/>
      <c r="AO780" s="143"/>
      <c r="AP780" s="143"/>
      <c r="AQ780" s="143"/>
      <c r="AR780" s="143"/>
      <c r="AS780" s="143"/>
    </row>
    <row r="781"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  <c r="AA781" s="143"/>
      <c r="AE781" s="143"/>
      <c r="AF781" s="143"/>
      <c r="AG781" s="143"/>
      <c r="AH781" s="143"/>
      <c r="AI781" s="143"/>
      <c r="AJ781" s="143"/>
      <c r="AK781" s="143"/>
      <c r="AL781" s="143"/>
      <c r="AM781" s="143"/>
      <c r="AN781" s="143"/>
      <c r="AO781" s="143"/>
      <c r="AP781" s="143"/>
      <c r="AQ781" s="143"/>
      <c r="AR781" s="143"/>
      <c r="AS781" s="143"/>
    </row>
    <row r="782"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  <c r="AA782" s="143"/>
      <c r="AE782" s="143"/>
      <c r="AF782" s="143"/>
      <c r="AG782" s="143"/>
      <c r="AH782" s="143"/>
      <c r="AI782" s="143"/>
      <c r="AJ782" s="143"/>
      <c r="AK782" s="143"/>
      <c r="AL782" s="143"/>
      <c r="AM782" s="143"/>
      <c r="AN782" s="143"/>
      <c r="AO782" s="143"/>
      <c r="AP782" s="143"/>
      <c r="AQ782" s="143"/>
      <c r="AR782" s="143"/>
      <c r="AS782" s="143"/>
    </row>
    <row r="783"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  <c r="AA783" s="143"/>
      <c r="AE783" s="143"/>
      <c r="AF783" s="143"/>
      <c r="AG783" s="143"/>
      <c r="AH783" s="143"/>
      <c r="AI783" s="143"/>
      <c r="AJ783" s="143"/>
      <c r="AK783" s="143"/>
      <c r="AL783" s="143"/>
      <c r="AM783" s="143"/>
      <c r="AN783" s="143"/>
      <c r="AO783" s="143"/>
      <c r="AP783" s="143"/>
      <c r="AQ783" s="143"/>
      <c r="AR783" s="143"/>
      <c r="AS783" s="143"/>
    </row>
    <row r="784"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  <c r="AA784" s="143"/>
      <c r="AE784" s="143"/>
      <c r="AF784" s="143"/>
      <c r="AG784" s="143"/>
      <c r="AH784" s="143"/>
      <c r="AI784" s="143"/>
      <c r="AJ784" s="143"/>
      <c r="AK784" s="143"/>
      <c r="AL784" s="143"/>
      <c r="AM784" s="143"/>
      <c r="AN784" s="143"/>
      <c r="AO784" s="143"/>
      <c r="AP784" s="143"/>
      <c r="AQ784" s="143"/>
      <c r="AR784" s="143"/>
      <c r="AS784" s="143"/>
    </row>
    <row r="785"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  <c r="AA785" s="143"/>
      <c r="AE785" s="143"/>
      <c r="AF785" s="143"/>
      <c r="AG785" s="143"/>
      <c r="AH785" s="143"/>
      <c r="AI785" s="143"/>
      <c r="AJ785" s="143"/>
      <c r="AK785" s="143"/>
      <c r="AL785" s="143"/>
      <c r="AM785" s="143"/>
      <c r="AN785" s="143"/>
      <c r="AO785" s="143"/>
      <c r="AP785" s="143"/>
      <c r="AQ785" s="143"/>
      <c r="AR785" s="143"/>
      <c r="AS785" s="143"/>
    </row>
    <row r="786"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  <c r="AA786" s="143"/>
      <c r="AE786" s="143"/>
      <c r="AF786" s="143"/>
      <c r="AG786" s="143"/>
      <c r="AH786" s="143"/>
      <c r="AI786" s="143"/>
      <c r="AJ786" s="143"/>
      <c r="AK786" s="143"/>
      <c r="AL786" s="143"/>
      <c r="AM786" s="143"/>
      <c r="AN786" s="143"/>
      <c r="AO786" s="143"/>
      <c r="AP786" s="143"/>
      <c r="AQ786" s="143"/>
      <c r="AR786" s="143"/>
      <c r="AS786" s="143"/>
    </row>
    <row r="787"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  <c r="AA787" s="143"/>
      <c r="AE787" s="143"/>
      <c r="AF787" s="143"/>
      <c r="AG787" s="143"/>
      <c r="AH787" s="143"/>
      <c r="AI787" s="143"/>
      <c r="AJ787" s="143"/>
      <c r="AK787" s="143"/>
      <c r="AL787" s="143"/>
      <c r="AM787" s="143"/>
      <c r="AN787" s="143"/>
      <c r="AO787" s="143"/>
      <c r="AP787" s="143"/>
      <c r="AQ787" s="143"/>
      <c r="AR787" s="143"/>
      <c r="AS787" s="143"/>
    </row>
    <row r="788"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  <c r="AA788" s="143"/>
      <c r="AE788" s="143"/>
      <c r="AF788" s="143"/>
      <c r="AG788" s="143"/>
      <c r="AH788" s="143"/>
      <c r="AI788" s="143"/>
      <c r="AJ788" s="143"/>
      <c r="AK788" s="143"/>
      <c r="AL788" s="143"/>
      <c r="AM788" s="143"/>
      <c r="AN788" s="143"/>
      <c r="AO788" s="143"/>
      <c r="AP788" s="143"/>
      <c r="AQ788" s="143"/>
      <c r="AR788" s="143"/>
      <c r="AS788" s="143"/>
    </row>
    <row r="789"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  <c r="AA789" s="143"/>
      <c r="AE789" s="143"/>
      <c r="AF789" s="143"/>
      <c r="AG789" s="143"/>
      <c r="AH789" s="143"/>
      <c r="AI789" s="143"/>
      <c r="AJ789" s="143"/>
      <c r="AK789" s="143"/>
      <c r="AL789" s="143"/>
      <c r="AM789" s="143"/>
      <c r="AN789" s="143"/>
      <c r="AO789" s="143"/>
      <c r="AP789" s="143"/>
      <c r="AQ789" s="143"/>
      <c r="AR789" s="143"/>
      <c r="AS789" s="143"/>
    </row>
    <row r="790"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  <c r="AA790" s="143"/>
      <c r="AE790" s="143"/>
      <c r="AF790" s="143"/>
      <c r="AG790" s="143"/>
      <c r="AH790" s="143"/>
      <c r="AI790" s="143"/>
      <c r="AJ790" s="143"/>
      <c r="AK790" s="143"/>
      <c r="AL790" s="143"/>
      <c r="AM790" s="143"/>
      <c r="AN790" s="143"/>
      <c r="AO790" s="143"/>
      <c r="AP790" s="143"/>
      <c r="AQ790" s="143"/>
      <c r="AR790" s="143"/>
      <c r="AS790" s="143"/>
    </row>
    <row r="791"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  <c r="AA791" s="143"/>
      <c r="AE791" s="143"/>
      <c r="AF791" s="143"/>
      <c r="AG791" s="143"/>
      <c r="AH791" s="143"/>
      <c r="AI791" s="143"/>
      <c r="AJ791" s="143"/>
      <c r="AK791" s="143"/>
      <c r="AL791" s="143"/>
      <c r="AM791" s="143"/>
      <c r="AN791" s="143"/>
      <c r="AO791" s="143"/>
      <c r="AP791" s="143"/>
      <c r="AQ791" s="143"/>
      <c r="AR791" s="143"/>
      <c r="AS791" s="143"/>
    </row>
    <row r="792"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  <c r="AA792" s="143"/>
      <c r="AE792" s="143"/>
      <c r="AF792" s="143"/>
      <c r="AG792" s="143"/>
      <c r="AH792" s="143"/>
      <c r="AI792" s="143"/>
      <c r="AJ792" s="143"/>
      <c r="AK792" s="143"/>
      <c r="AL792" s="143"/>
      <c r="AM792" s="143"/>
      <c r="AN792" s="143"/>
      <c r="AO792" s="143"/>
      <c r="AP792" s="143"/>
      <c r="AQ792" s="143"/>
      <c r="AR792" s="143"/>
      <c r="AS792" s="143"/>
    </row>
    <row r="793"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  <c r="AA793" s="143"/>
      <c r="AE793" s="143"/>
      <c r="AF793" s="143"/>
      <c r="AG793" s="143"/>
      <c r="AH793" s="143"/>
      <c r="AI793" s="143"/>
      <c r="AJ793" s="143"/>
      <c r="AK793" s="143"/>
      <c r="AL793" s="143"/>
      <c r="AM793" s="143"/>
      <c r="AN793" s="143"/>
      <c r="AO793" s="143"/>
      <c r="AP793" s="143"/>
      <c r="AQ793" s="143"/>
      <c r="AR793" s="143"/>
      <c r="AS793" s="143"/>
    </row>
    <row r="794"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  <c r="AA794" s="143"/>
      <c r="AE794" s="143"/>
      <c r="AF794" s="143"/>
      <c r="AG794" s="143"/>
      <c r="AH794" s="143"/>
      <c r="AI794" s="143"/>
      <c r="AJ794" s="143"/>
      <c r="AK794" s="143"/>
      <c r="AL794" s="143"/>
      <c r="AM794" s="143"/>
      <c r="AN794" s="143"/>
      <c r="AO794" s="143"/>
      <c r="AP794" s="143"/>
      <c r="AQ794" s="143"/>
      <c r="AR794" s="143"/>
      <c r="AS794" s="143"/>
    </row>
    <row r="795"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  <c r="AA795" s="143"/>
      <c r="AE795" s="143"/>
      <c r="AF795" s="143"/>
      <c r="AG795" s="143"/>
      <c r="AH795" s="143"/>
      <c r="AI795" s="143"/>
      <c r="AJ795" s="143"/>
      <c r="AK795" s="143"/>
      <c r="AL795" s="143"/>
      <c r="AM795" s="143"/>
      <c r="AN795" s="143"/>
      <c r="AO795" s="143"/>
      <c r="AP795" s="143"/>
      <c r="AQ795" s="143"/>
      <c r="AR795" s="143"/>
      <c r="AS795" s="143"/>
    </row>
    <row r="796"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  <c r="AA796" s="143"/>
      <c r="AE796" s="143"/>
      <c r="AF796" s="143"/>
      <c r="AG796" s="143"/>
      <c r="AH796" s="143"/>
      <c r="AI796" s="143"/>
      <c r="AJ796" s="143"/>
      <c r="AK796" s="143"/>
      <c r="AL796" s="143"/>
      <c r="AM796" s="143"/>
      <c r="AN796" s="143"/>
      <c r="AO796" s="143"/>
      <c r="AP796" s="143"/>
      <c r="AQ796" s="143"/>
      <c r="AR796" s="143"/>
      <c r="AS796" s="143"/>
    </row>
    <row r="797"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  <c r="AA797" s="143"/>
      <c r="AE797" s="143"/>
      <c r="AF797" s="143"/>
      <c r="AG797" s="143"/>
      <c r="AH797" s="143"/>
      <c r="AI797" s="143"/>
      <c r="AJ797" s="143"/>
      <c r="AK797" s="143"/>
      <c r="AL797" s="143"/>
      <c r="AM797" s="143"/>
      <c r="AN797" s="143"/>
      <c r="AO797" s="143"/>
      <c r="AP797" s="143"/>
      <c r="AQ797" s="143"/>
      <c r="AR797" s="143"/>
      <c r="AS797" s="143"/>
    </row>
    <row r="798"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  <c r="AA798" s="143"/>
      <c r="AE798" s="143"/>
      <c r="AF798" s="143"/>
      <c r="AG798" s="143"/>
      <c r="AH798" s="143"/>
      <c r="AI798" s="143"/>
      <c r="AJ798" s="143"/>
      <c r="AK798" s="143"/>
      <c r="AL798" s="143"/>
      <c r="AM798" s="143"/>
      <c r="AN798" s="143"/>
      <c r="AO798" s="143"/>
      <c r="AP798" s="143"/>
      <c r="AQ798" s="143"/>
      <c r="AR798" s="143"/>
      <c r="AS798" s="143"/>
    </row>
    <row r="799"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  <c r="AA799" s="143"/>
      <c r="AE799" s="143"/>
      <c r="AF799" s="143"/>
      <c r="AG799" s="143"/>
      <c r="AH799" s="143"/>
      <c r="AI799" s="143"/>
      <c r="AJ799" s="143"/>
      <c r="AK799" s="143"/>
      <c r="AL799" s="143"/>
      <c r="AM799" s="143"/>
      <c r="AN799" s="143"/>
      <c r="AO799" s="143"/>
      <c r="AP799" s="143"/>
      <c r="AQ799" s="143"/>
      <c r="AR799" s="143"/>
      <c r="AS799" s="143"/>
    </row>
    <row r="800"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  <c r="AA800" s="143"/>
      <c r="AE800" s="143"/>
      <c r="AF800" s="143"/>
      <c r="AG800" s="143"/>
      <c r="AH800" s="143"/>
      <c r="AI800" s="143"/>
      <c r="AJ800" s="143"/>
      <c r="AK800" s="143"/>
      <c r="AL800" s="143"/>
      <c r="AM800" s="143"/>
      <c r="AN800" s="143"/>
      <c r="AO800" s="143"/>
      <c r="AP800" s="143"/>
      <c r="AQ800" s="143"/>
      <c r="AR800" s="143"/>
      <c r="AS800" s="143"/>
    </row>
    <row r="801"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  <c r="AA801" s="143"/>
      <c r="AE801" s="143"/>
      <c r="AF801" s="143"/>
      <c r="AG801" s="143"/>
      <c r="AH801" s="143"/>
      <c r="AI801" s="143"/>
      <c r="AJ801" s="143"/>
      <c r="AK801" s="143"/>
      <c r="AL801" s="143"/>
      <c r="AM801" s="143"/>
      <c r="AN801" s="143"/>
      <c r="AO801" s="143"/>
      <c r="AP801" s="143"/>
      <c r="AQ801" s="143"/>
      <c r="AR801" s="143"/>
      <c r="AS801" s="143"/>
    </row>
    <row r="802"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  <c r="AA802" s="143"/>
      <c r="AE802" s="143"/>
      <c r="AF802" s="143"/>
      <c r="AG802" s="143"/>
      <c r="AH802" s="143"/>
      <c r="AI802" s="143"/>
      <c r="AJ802" s="143"/>
      <c r="AK802" s="143"/>
      <c r="AL802" s="143"/>
      <c r="AM802" s="143"/>
      <c r="AN802" s="143"/>
      <c r="AO802" s="143"/>
      <c r="AP802" s="143"/>
      <c r="AQ802" s="143"/>
      <c r="AR802" s="143"/>
      <c r="AS802" s="143"/>
    </row>
    <row r="803"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  <c r="AA803" s="143"/>
      <c r="AE803" s="143"/>
      <c r="AF803" s="143"/>
      <c r="AG803" s="143"/>
      <c r="AH803" s="143"/>
      <c r="AI803" s="143"/>
      <c r="AJ803" s="143"/>
      <c r="AK803" s="143"/>
      <c r="AL803" s="143"/>
      <c r="AM803" s="143"/>
      <c r="AN803" s="143"/>
      <c r="AO803" s="143"/>
      <c r="AP803" s="143"/>
      <c r="AQ803" s="143"/>
      <c r="AR803" s="143"/>
      <c r="AS803" s="143"/>
    </row>
    <row r="804"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  <c r="AA804" s="143"/>
      <c r="AE804" s="143"/>
      <c r="AF804" s="143"/>
      <c r="AG804" s="143"/>
      <c r="AH804" s="143"/>
      <c r="AI804" s="143"/>
      <c r="AJ804" s="143"/>
      <c r="AK804" s="143"/>
      <c r="AL804" s="143"/>
      <c r="AM804" s="143"/>
      <c r="AN804" s="143"/>
      <c r="AO804" s="143"/>
      <c r="AP804" s="143"/>
      <c r="AQ804" s="143"/>
      <c r="AR804" s="143"/>
      <c r="AS804" s="143"/>
    </row>
    <row r="805"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  <c r="AA805" s="143"/>
      <c r="AE805" s="143"/>
      <c r="AF805" s="143"/>
      <c r="AG805" s="143"/>
      <c r="AH805" s="143"/>
      <c r="AI805" s="143"/>
      <c r="AJ805" s="143"/>
      <c r="AK805" s="143"/>
      <c r="AL805" s="143"/>
      <c r="AM805" s="143"/>
      <c r="AN805" s="143"/>
      <c r="AO805" s="143"/>
      <c r="AP805" s="143"/>
      <c r="AQ805" s="143"/>
      <c r="AR805" s="143"/>
      <c r="AS805" s="143"/>
    </row>
    <row r="806"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  <c r="AA806" s="143"/>
      <c r="AE806" s="143"/>
      <c r="AF806" s="143"/>
      <c r="AG806" s="143"/>
      <c r="AH806" s="143"/>
      <c r="AI806" s="143"/>
      <c r="AJ806" s="143"/>
      <c r="AK806" s="143"/>
      <c r="AL806" s="143"/>
      <c r="AM806" s="143"/>
      <c r="AN806" s="143"/>
      <c r="AO806" s="143"/>
      <c r="AP806" s="143"/>
      <c r="AQ806" s="143"/>
      <c r="AR806" s="143"/>
      <c r="AS806" s="143"/>
    </row>
    <row r="807"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  <c r="AA807" s="143"/>
      <c r="AE807" s="143"/>
      <c r="AF807" s="143"/>
      <c r="AG807" s="143"/>
      <c r="AH807" s="143"/>
      <c r="AI807" s="143"/>
      <c r="AJ807" s="143"/>
      <c r="AK807" s="143"/>
      <c r="AL807" s="143"/>
      <c r="AM807" s="143"/>
      <c r="AN807" s="143"/>
      <c r="AO807" s="143"/>
      <c r="AP807" s="143"/>
      <c r="AQ807" s="143"/>
      <c r="AR807" s="143"/>
      <c r="AS807" s="143"/>
    </row>
    <row r="808"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  <c r="AA808" s="143"/>
      <c r="AE808" s="143"/>
      <c r="AF808" s="143"/>
      <c r="AG808" s="143"/>
      <c r="AH808" s="143"/>
      <c r="AI808" s="143"/>
      <c r="AJ808" s="143"/>
      <c r="AK808" s="143"/>
      <c r="AL808" s="143"/>
      <c r="AM808" s="143"/>
      <c r="AN808" s="143"/>
      <c r="AO808" s="143"/>
      <c r="AP808" s="143"/>
      <c r="AQ808" s="143"/>
      <c r="AR808" s="143"/>
      <c r="AS808" s="143"/>
    </row>
    <row r="809"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  <c r="AA809" s="143"/>
      <c r="AE809" s="143"/>
      <c r="AF809" s="143"/>
      <c r="AG809" s="143"/>
      <c r="AH809" s="143"/>
      <c r="AI809" s="143"/>
      <c r="AJ809" s="143"/>
      <c r="AK809" s="143"/>
      <c r="AL809" s="143"/>
      <c r="AM809" s="143"/>
      <c r="AN809" s="143"/>
      <c r="AO809" s="143"/>
      <c r="AP809" s="143"/>
      <c r="AQ809" s="143"/>
      <c r="AR809" s="143"/>
      <c r="AS809" s="143"/>
    </row>
    <row r="810"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  <c r="AA810" s="143"/>
      <c r="AE810" s="143"/>
      <c r="AF810" s="143"/>
      <c r="AG810" s="143"/>
      <c r="AH810" s="143"/>
      <c r="AI810" s="143"/>
      <c r="AJ810" s="143"/>
      <c r="AK810" s="143"/>
      <c r="AL810" s="143"/>
      <c r="AM810" s="143"/>
      <c r="AN810" s="143"/>
      <c r="AO810" s="143"/>
      <c r="AP810" s="143"/>
      <c r="AQ810" s="143"/>
      <c r="AR810" s="143"/>
      <c r="AS810" s="143"/>
    </row>
    <row r="811"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  <c r="AA811" s="143"/>
      <c r="AE811" s="143"/>
      <c r="AF811" s="143"/>
      <c r="AG811" s="143"/>
      <c r="AH811" s="143"/>
      <c r="AI811" s="143"/>
      <c r="AJ811" s="143"/>
      <c r="AK811" s="143"/>
      <c r="AL811" s="143"/>
      <c r="AM811" s="143"/>
      <c r="AN811" s="143"/>
      <c r="AO811" s="143"/>
      <c r="AP811" s="143"/>
      <c r="AQ811" s="143"/>
      <c r="AR811" s="143"/>
      <c r="AS811" s="143"/>
    </row>
    <row r="812"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  <c r="AA812" s="143"/>
      <c r="AE812" s="143"/>
      <c r="AF812" s="143"/>
      <c r="AG812" s="143"/>
      <c r="AH812" s="143"/>
      <c r="AI812" s="143"/>
      <c r="AJ812" s="143"/>
      <c r="AK812" s="143"/>
      <c r="AL812" s="143"/>
      <c r="AM812" s="143"/>
      <c r="AN812" s="143"/>
      <c r="AO812" s="143"/>
      <c r="AP812" s="143"/>
      <c r="AQ812" s="143"/>
      <c r="AR812" s="143"/>
      <c r="AS812" s="143"/>
    </row>
    <row r="813"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  <c r="AA813" s="143"/>
      <c r="AE813" s="143"/>
      <c r="AF813" s="143"/>
      <c r="AG813" s="143"/>
      <c r="AH813" s="143"/>
      <c r="AI813" s="143"/>
      <c r="AJ813" s="143"/>
      <c r="AK813" s="143"/>
      <c r="AL813" s="143"/>
      <c r="AM813" s="143"/>
      <c r="AN813" s="143"/>
      <c r="AO813" s="143"/>
      <c r="AP813" s="143"/>
      <c r="AQ813" s="143"/>
      <c r="AR813" s="143"/>
      <c r="AS813" s="143"/>
    </row>
    <row r="814"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  <c r="AA814" s="143"/>
      <c r="AE814" s="143"/>
      <c r="AF814" s="143"/>
      <c r="AG814" s="143"/>
      <c r="AH814" s="143"/>
      <c r="AI814" s="143"/>
      <c r="AJ814" s="143"/>
      <c r="AK814" s="143"/>
      <c r="AL814" s="143"/>
      <c r="AM814" s="143"/>
      <c r="AN814" s="143"/>
      <c r="AO814" s="143"/>
      <c r="AP814" s="143"/>
      <c r="AQ814" s="143"/>
      <c r="AR814" s="143"/>
      <c r="AS814" s="143"/>
    </row>
    <row r="815"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  <c r="AA815" s="143"/>
      <c r="AE815" s="143"/>
      <c r="AF815" s="143"/>
      <c r="AG815" s="143"/>
      <c r="AH815" s="143"/>
      <c r="AI815" s="143"/>
      <c r="AJ815" s="143"/>
      <c r="AK815" s="143"/>
      <c r="AL815" s="143"/>
      <c r="AM815" s="143"/>
      <c r="AN815" s="143"/>
      <c r="AO815" s="143"/>
      <c r="AP815" s="143"/>
      <c r="AQ815" s="143"/>
      <c r="AR815" s="143"/>
      <c r="AS815" s="143"/>
    </row>
    <row r="816"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  <c r="AA816" s="143"/>
      <c r="AE816" s="143"/>
      <c r="AF816" s="143"/>
      <c r="AG816" s="143"/>
      <c r="AH816" s="143"/>
      <c r="AI816" s="143"/>
      <c r="AJ816" s="143"/>
      <c r="AK816" s="143"/>
      <c r="AL816" s="143"/>
      <c r="AM816" s="143"/>
      <c r="AN816" s="143"/>
      <c r="AO816" s="143"/>
      <c r="AP816" s="143"/>
      <c r="AQ816" s="143"/>
      <c r="AR816" s="143"/>
      <c r="AS816" s="143"/>
    </row>
    <row r="817"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  <c r="AA817" s="143"/>
      <c r="AE817" s="143"/>
      <c r="AF817" s="143"/>
      <c r="AG817" s="143"/>
      <c r="AH817" s="143"/>
      <c r="AI817" s="143"/>
      <c r="AJ817" s="143"/>
      <c r="AK817" s="143"/>
      <c r="AL817" s="143"/>
      <c r="AM817" s="143"/>
      <c r="AN817" s="143"/>
      <c r="AO817" s="143"/>
      <c r="AP817" s="143"/>
      <c r="AQ817" s="143"/>
      <c r="AR817" s="143"/>
      <c r="AS817" s="143"/>
    </row>
    <row r="818"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  <c r="AA818" s="143"/>
      <c r="AE818" s="143"/>
      <c r="AF818" s="143"/>
      <c r="AG818" s="143"/>
      <c r="AH818" s="143"/>
      <c r="AI818" s="143"/>
      <c r="AJ818" s="143"/>
      <c r="AK818" s="143"/>
      <c r="AL818" s="143"/>
      <c r="AM818" s="143"/>
      <c r="AN818" s="143"/>
      <c r="AO818" s="143"/>
      <c r="AP818" s="143"/>
      <c r="AQ818" s="143"/>
      <c r="AR818" s="143"/>
      <c r="AS818" s="143"/>
    </row>
    <row r="819"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  <c r="AA819" s="143"/>
      <c r="AE819" s="143"/>
      <c r="AF819" s="143"/>
      <c r="AG819" s="143"/>
      <c r="AH819" s="143"/>
      <c r="AI819" s="143"/>
      <c r="AJ819" s="143"/>
      <c r="AK819" s="143"/>
      <c r="AL819" s="143"/>
      <c r="AM819" s="143"/>
      <c r="AN819" s="143"/>
      <c r="AO819" s="143"/>
      <c r="AP819" s="143"/>
      <c r="AQ819" s="143"/>
      <c r="AR819" s="143"/>
      <c r="AS819" s="143"/>
    </row>
    <row r="820"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  <c r="AA820" s="143"/>
      <c r="AE820" s="143"/>
      <c r="AF820" s="143"/>
      <c r="AG820" s="143"/>
      <c r="AH820" s="143"/>
      <c r="AI820" s="143"/>
      <c r="AJ820" s="143"/>
      <c r="AK820" s="143"/>
      <c r="AL820" s="143"/>
      <c r="AM820" s="143"/>
      <c r="AN820" s="143"/>
      <c r="AO820" s="143"/>
      <c r="AP820" s="143"/>
      <c r="AQ820" s="143"/>
      <c r="AR820" s="143"/>
      <c r="AS820" s="143"/>
    </row>
    <row r="821"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  <c r="AA821" s="143"/>
      <c r="AE821" s="143"/>
      <c r="AF821" s="143"/>
      <c r="AG821" s="143"/>
      <c r="AH821" s="143"/>
      <c r="AI821" s="143"/>
      <c r="AJ821" s="143"/>
      <c r="AK821" s="143"/>
      <c r="AL821" s="143"/>
      <c r="AM821" s="143"/>
      <c r="AN821" s="143"/>
      <c r="AO821" s="143"/>
      <c r="AP821" s="143"/>
      <c r="AQ821" s="143"/>
      <c r="AR821" s="143"/>
      <c r="AS821" s="143"/>
    </row>
    <row r="822"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  <c r="AA822" s="143"/>
      <c r="AE822" s="143"/>
      <c r="AF822" s="143"/>
      <c r="AG822" s="143"/>
      <c r="AH822" s="143"/>
      <c r="AI822" s="143"/>
      <c r="AJ822" s="143"/>
      <c r="AK822" s="143"/>
      <c r="AL822" s="143"/>
      <c r="AM822" s="143"/>
      <c r="AN822" s="143"/>
      <c r="AO822" s="143"/>
      <c r="AP822" s="143"/>
      <c r="AQ822" s="143"/>
      <c r="AR822" s="143"/>
      <c r="AS822" s="143"/>
    </row>
    <row r="823"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  <c r="AA823" s="143"/>
      <c r="AE823" s="143"/>
      <c r="AF823" s="143"/>
      <c r="AG823" s="143"/>
      <c r="AH823" s="143"/>
      <c r="AI823" s="143"/>
      <c r="AJ823" s="143"/>
      <c r="AK823" s="143"/>
      <c r="AL823" s="143"/>
      <c r="AM823" s="143"/>
      <c r="AN823" s="143"/>
      <c r="AO823" s="143"/>
      <c r="AP823" s="143"/>
      <c r="AQ823" s="143"/>
      <c r="AR823" s="143"/>
      <c r="AS823" s="143"/>
    </row>
    <row r="824"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  <c r="AA824" s="143"/>
      <c r="AE824" s="143"/>
      <c r="AF824" s="143"/>
      <c r="AG824" s="143"/>
      <c r="AH824" s="143"/>
      <c r="AI824" s="143"/>
      <c r="AJ824" s="143"/>
      <c r="AK824" s="143"/>
      <c r="AL824" s="143"/>
      <c r="AM824" s="143"/>
      <c r="AN824" s="143"/>
      <c r="AO824" s="143"/>
      <c r="AP824" s="143"/>
      <c r="AQ824" s="143"/>
      <c r="AR824" s="143"/>
      <c r="AS824" s="143"/>
    </row>
    <row r="825"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  <c r="AA825" s="143"/>
      <c r="AE825" s="143"/>
      <c r="AF825" s="143"/>
      <c r="AG825" s="143"/>
      <c r="AH825" s="143"/>
      <c r="AI825" s="143"/>
      <c r="AJ825" s="143"/>
      <c r="AK825" s="143"/>
      <c r="AL825" s="143"/>
      <c r="AM825" s="143"/>
      <c r="AN825" s="143"/>
      <c r="AO825" s="143"/>
      <c r="AP825" s="143"/>
      <c r="AQ825" s="143"/>
      <c r="AR825" s="143"/>
      <c r="AS825" s="143"/>
    </row>
    <row r="826"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  <c r="AA826" s="143"/>
      <c r="AE826" s="143"/>
      <c r="AF826" s="143"/>
      <c r="AG826" s="143"/>
      <c r="AH826" s="143"/>
      <c r="AI826" s="143"/>
      <c r="AJ826" s="143"/>
      <c r="AK826" s="143"/>
      <c r="AL826" s="143"/>
      <c r="AM826" s="143"/>
      <c r="AN826" s="143"/>
      <c r="AO826" s="143"/>
      <c r="AP826" s="143"/>
      <c r="AQ826" s="143"/>
      <c r="AR826" s="143"/>
      <c r="AS826" s="143"/>
    </row>
    <row r="827"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  <c r="AA827" s="143"/>
      <c r="AE827" s="143"/>
      <c r="AF827" s="143"/>
      <c r="AG827" s="143"/>
      <c r="AH827" s="143"/>
      <c r="AI827" s="143"/>
      <c r="AJ827" s="143"/>
      <c r="AK827" s="143"/>
      <c r="AL827" s="143"/>
      <c r="AM827" s="143"/>
      <c r="AN827" s="143"/>
      <c r="AO827" s="143"/>
      <c r="AP827" s="143"/>
      <c r="AQ827" s="143"/>
      <c r="AR827" s="143"/>
      <c r="AS827" s="143"/>
    </row>
    <row r="828"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  <c r="AA828" s="143"/>
      <c r="AE828" s="143"/>
      <c r="AF828" s="143"/>
      <c r="AG828" s="143"/>
      <c r="AH828" s="143"/>
      <c r="AI828" s="143"/>
      <c r="AJ828" s="143"/>
      <c r="AK828" s="143"/>
      <c r="AL828" s="143"/>
      <c r="AM828" s="143"/>
      <c r="AN828" s="143"/>
      <c r="AO828" s="143"/>
      <c r="AP828" s="143"/>
      <c r="AQ828" s="143"/>
      <c r="AR828" s="143"/>
      <c r="AS828" s="143"/>
    </row>
    <row r="829"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  <c r="AA829" s="143"/>
      <c r="AE829" s="143"/>
      <c r="AF829" s="143"/>
      <c r="AG829" s="143"/>
      <c r="AH829" s="143"/>
      <c r="AI829" s="143"/>
      <c r="AJ829" s="143"/>
      <c r="AK829" s="143"/>
      <c r="AL829" s="143"/>
      <c r="AM829" s="143"/>
      <c r="AN829" s="143"/>
      <c r="AO829" s="143"/>
      <c r="AP829" s="143"/>
      <c r="AQ829" s="143"/>
      <c r="AR829" s="143"/>
      <c r="AS829" s="143"/>
    </row>
    <row r="830"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  <c r="AA830" s="143"/>
      <c r="AE830" s="143"/>
      <c r="AF830" s="143"/>
      <c r="AG830" s="143"/>
      <c r="AH830" s="143"/>
      <c r="AI830" s="143"/>
      <c r="AJ830" s="143"/>
      <c r="AK830" s="143"/>
      <c r="AL830" s="143"/>
      <c r="AM830" s="143"/>
      <c r="AN830" s="143"/>
      <c r="AO830" s="143"/>
      <c r="AP830" s="143"/>
      <c r="AQ830" s="143"/>
      <c r="AR830" s="143"/>
      <c r="AS830" s="143"/>
    </row>
    <row r="831"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  <c r="AA831" s="143"/>
      <c r="AE831" s="143"/>
      <c r="AF831" s="143"/>
      <c r="AG831" s="143"/>
      <c r="AH831" s="143"/>
      <c r="AI831" s="143"/>
      <c r="AJ831" s="143"/>
      <c r="AK831" s="143"/>
      <c r="AL831" s="143"/>
      <c r="AM831" s="143"/>
      <c r="AN831" s="143"/>
      <c r="AO831" s="143"/>
      <c r="AP831" s="143"/>
      <c r="AQ831" s="143"/>
      <c r="AR831" s="143"/>
      <c r="AS831" s="143"/>
    </row>
    <row r="832"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  <c r="AA832" s="143"/>
      <c r="AE832" s="143"/>
      <c r="AF832" s="143"/>
      <c r="AG832" s="143"/>
      <c r="AH832" s="143"/>
      <c r="AI832" s="143"/>
      <c r="AJ832" s="143"/>
      <c r="AK832" s="143"/>
      <c r="AL832" s="143"/>
      <c r="AM832" s="143"/>
      <c r="AN832" s="143"/>
      <c r="AO832" s="143"/>
      <c r="AP832" s="143"/>
      <c r="AQ832" s="143"/>
      <c r="AR832" s="143"/>
      <c r="AS832" s="143"/>
    </row>
    <row r="833"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  <c r="AA833" s="143"/>
      <c r="AE833" s="143"/>
      <c r="AF833" s="143"/>
      <c r="AG833" s="143"/>
      <c r="AH833" s="143"/>
      <c r="AI833" s="143"/>
      <c r="AJ833" s="143"/>
      <c r="AK833" s="143"/>
      <c r="AL833" s="143"/>
      <c r="AM833" s="143"/>
      <c r="AN833" s="143"/>
      <c r="AO833" s="143"/>
      <c r="AP833" s="143"/>
      <c r="AQ833" s="143"/>
      <c r="AR833" s="143"/>
      <c r="AS833" s="143"/>
    </row>
    <row r="834"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  <c r="AA834" s="143"/>
      <c r="AE834" s="143"/>
      <c r="AF834" s="143"/>
      <c r="AG834" s="143"/>
      <c r="AH834" s="143"/>
      <c r="AI834" s="143"/>
      <c r="AJ834" s="143"/>
      <c r="AK834" s="143"/>
      <c r="AL834" s="143"/>
      <c r="AM834" s="143"/>
      <c r="AN834" s="143"/>
      <c r="AO834" s="143"/>
      <c r="AP834" s="143"/>
      <c r="AQ834" s="143"/>
      <c r="AR834" s="143"/>
      <c r="AS834" s="143"/>
    </row>
    <row r="835"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  <c r="AA835" s="143"/>
      <c r="AE835" s="143"/>
      <c r="AF835" s="143"/>
      <c r="AG835" s="143"/>
      <c r="AH835" s="143"/>
      <c r="AI835" s="143"/>
      <c r="AJ835" s="143"/>
      <c r="AK835" s="143"/>
      <c r="AL835" s="143"/>
      <c r="AM835" s="143"/>
      <c r="AN835" s="143"/>
      <c r="AO835" s="143"/>
      <c r="AP835" s="143"/>
      <c r="AQ835" s="143"/>
      <c r="AR835" s="143"/>
      <c r="AS835" s="143"/>
    </row>
    <row r="836"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  <c r="AA836" s="143"/>
      <c r="AE836" s="143"/>
      <c r="AF836" s="143"/>
      <c r="AG836" s="143"/>
      <c r="AH836" s="143"/>
      <c r="AI836" s="143"/>
      <c r="AJ836" s="143"/>
      <c r="AK836" s="143"/>
      <c r="AL836" s="143"/>
      <c r="AM836" s="143"/>
      <c r="AN836" s="143"/>
      <c r="AO836" s="143"/>
      <c r="AP836" s="143"/>
      <c r="AQ836" s="143"/>
      <c r="AR836" s="143"/>
      <c r="AS836" s="143"/>
    </row>
    <row r="837"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  <c r="AA837" s="143"/>
      <c r="AE837" s="143"/>
      <c r="AF837" s="143"/>
      <c r="AG837" s="143"/>
      <c r="AH837" s="143"/>
      <c r="AI837" s="143"/>
      <c r="AJ837" s="143"/>
      <c r="AK837" s="143"/>
      <c r="AL837" s="143"/>
      <c r="AM837" s="143"/>
      <c r="AN837" s="143"/>
      <c r="AO837" s="143"/>
      <c r="AP837" s="143"/>
      <c r="AQ837" s="143"/>
      <c r="AR837" s="143"/>
      <c r="AS837" s="143"/>
    </row>
    <row r="838"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  <c r="AA838" s="143"/>
      <c r="AE838" s="143"/>
      <c r="AF838" s="143"/>
      <c r="AG838" s="143"/>
      <c r="AH838" s="143"/>
      <c r="AI838" s="143"/>
      <c r="AJ838" s="143"/>
      <c r="AK838" s="143"/>
      <c r="AL838" s="143"/>
      <c r="AM838" s="143"/>
      <c r="AN838" s="143"/>
      <c r="AO838" s="143"/>
      <c r="AP838" s="143"/>
      <c r="AQ838" s="143"/>
      <c r="AR838" s="143"/>
      <c r="AS838" s="143"/>
    </row>
    <row r="839"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  <c r="AA839" s="143"/>
      <c r="AE839" s="143"/>
      <c r="AF839" s="143"/>
      <c r="AG839" s="143"/>
      <c r="AH839" s="143"/>
      <c r="AI839" s="143"/>
      <c r="AJ839" s="143"/>
      <c r="AK839" s="143"/>
      <c r="AL839" s="143"/>
      <c r="AM839" s="143"/>
      <c r="AN839" s="143"/>
      <c r="AO839" s="143"/>
      <c r="AP839" s="143"/>
      <c r="AQ839" s="143"/>
      <c r="AR839" s="143"/>
      <c r="AS839" s="143"/>
    </row>
    <row r="840"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  <c r="AA840" s="143"/>
      <c r="AE840" s="143"/>
      <c r="AF840" s="143"/>
      <c r="AG840" s="143"/>
      <c r="AH840" s="143"/>
      <c r="AI840" s="143"/>
      <c r="AJ840" s="143"/>
      <c r="AK840" s="143"/>
      <c r="AL840" s="143"/>
      <c r="AM840" s="143"/>
      <c r="AN840" s="143"/>
      <c r="AO840" s="143"/>
      <c r="AP840" s="143"/>
      <c r="AQ840" s="143"/>
      <c r="AR840" s="143"/>
      <c r="AS840" s="143"/>
    </row>
    <row r="841"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  <c r="AA841" s="143"/>
      <c r="AE841" s="143"/>
      <c r="AF841" s="143"/>
      <c r="AG841" s="143"/>
      <c r="AH841" s="143"/>
      <c r="AI841" s="143"/>
      <c r="AJ841" s="143"/>
      <c r="AK841" s="143"/>
      <c r="AL841" s="143"/>
      <c r="AM841" s="143"/>
      <c r="AN841" s="143"/>
      <c r="AO841" s="143"/>
      <c r="AP841" s="143"/>
      <c r="AQ841" s="143"/>
      <c r="AR841" s="143"/>
      <c r="AS841" s="143"/>
    </row>
    <row r="842"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  <c r="AA842" s="143"/>
      <c r="AE842" s="143"/>
      <c r="AF842" s="143"/>
      <c r="AG842" s="143"/>
      <c r="AH842" s="143"/>
      <c r="AI842" s="143"/>
      <c r="AJ842" s="143"/>
      <c r="AK842" s="143"/>
      <c r="AL842" s="143"/>
      <c r="AM842" s="143"/>
      <c r="AN842" s="143"/>
      <c r="AO842" s="143"/>
      <c r="AP842" s="143"/>
      <c r="AQ842" s="143"/>
      <c r="AR842" s="143"/>
      <c r="AS842" s="143"/>
    </row>
    <row r="843"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  <c r="AA843" s="143"/>
      <c r="AE843" s="143"/>
      <c r="AF843" s="143"/>
      <c r="AG843" s="143"/>
      <c r="AH843" s="143"/>
      <c r="AI843" s="143"/>
      <c r="AJ843" s="143"/>
      <c r="AK843" s="143"/>
      <c r="AL843" s="143"/>
      <c r="AM843" s="143"/>
      <c r="AN843" s="143"/>
      <c r="AO843" s="143"/>
      <c r="AP843" s="143"/>
      <c r="AQ843" s="143"/>
      <c r="AR843" s="143"/>
      <c r="AS843" s="143"/>
    </row>
    <row r="844"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  <c r="AA844" s="143"/>
      <c r="AE844" s="143"/>
      <c r="AF844" s="143"/>
      <c r="AG844" s="143"/>
      <c r="AH844" s="143"/>
      <c r="AI844" s="143"/>
      <c r="AJ844" s="143"/>
      <c r="AK844" s="143"/>
      <c r="AL844" s="143"/>
      <c r="AM844" s="143"/>
      <c r="AN844" s="143"/>
      <c r="AO844" s="143"/>
      <c r="AP844" s="143"/>
      <c r="AQ844" s="143"/>
      <c r="AR844" s="143"/>
      <c r="AS844" s="143"/>
    </row>
    <row r="845"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  <c r="AA845" s="143"/>
      <c r="AE845" s="143"/>
      <c r="AF845" s="143"/>
      <c r="AG845" s="143"/>
      <c r="AH845" s="143"/>
      <c r="AI845" s="143"/>
      <c r="AJ845" s="143"/>
      <c r="AK845" s="143"/>
      <c r="AL845" s="143"/>
      <c r="AM845" s="143"/>
      <c r="AN845" s="143"/>
      <c r="AO845" s="143"/>
      <c r="AP845" s="143"/>
      <c r="AQ845" s="143"/>
      <c r="AR845" s="143"/>
      <c r="AS845" s="143"/>
    </row>
    <row r="846"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  <c r="AA846" s="143"/>
      <c r="AE846" s="143"/>
      <c r="AF846" s="143"/>
      <c r="AG846" s="143"/>
      <c r="AH846" s="143"/>
      <c r="AI846" s="143"/>
      <c r="AJ846" s="143"/>
      <c r="AK846" s="143"/>
      <c r="AL846" s="143"/>
      <c r="AM846" s="143"/>
      <c r="AN846" s="143"/>
      <c r="AO846" s="143"/>
      <c r="AP846" s="143"/>
      <c r="AQ846" s="143"/>
      <c r="AR846" s="143"/>
      <c r="AS846" s="143"/>
    </row>
    <row r="847"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  <c r="AA847" s="143"/>
      <c r="AE847" s="143"/>
      <c r="AF847" s="143"/>
      <c r="AG847" s="143"/>
      <c r="AH847" s="143"/>
      <c r="AI847" s="143"/>
      <c r="AJ847" s="143"/>
      <c r="AK847" s="143"/>
      <c r="AL847" s="143"/>
      <c r="AM847" s="143"/>
      <c r="AN847" s="143"/>
      <c r="AO847" s="143"/>
      <c r="AP847" s="143"/>
      <c r="AQ847" s="143"/>
      <c r="AR847" s="143"/>
      <c r="AS847" s="143"/>
    </row>
    <row r="848"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  <c r="AA848" s="143"/>
      <c r="AE848" s="143"/>
      <c r="AF848" s="143"/>
      <c r="AG848" s="143"/>
      <c r="AH848" s="143"/>
      <c r="AI848" s="143"/>
      <c r="AJ848" s="143"/>
      <c r="AK848" s="143"/>
      <c r="AL848" s="143"/>
      <c r="AM848" s="143"/>
      <c r="AN848" s="143"/>
      <c r="AO848" s="143"/>
      <c r="AP848" s="143"/>
      <c r="AQ848" s="143"/>
      <c r="AR848" s="143"/>
      <c r="AS848" s="143"/>
    </row>
    <row r="849"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  <c r="AA849" s="143"/>
      <c r="AE849" s="143"/>
      <c r="AF849" s="143"/>
      <c r="AG849" s="143"/>
      <c r="AH849" s="143"/>
      <c r="AI849" s="143"/>
      <c r="AJ849" s="143"/>
      <c r="AK849" s="143"/>
      <c r="AL849" s="143"/>
      <c r="AM849" s="143"/>
      <c r="AN849" s="143"/>
      <c r="AO849" s="143"/>
      <c r="AP849" s="143"/>
      <c r="AQ849" s="143"/>
      <c r="AR849" s="143"/>
      <c r="AS849" s="143"/>
    </row>
    <row r="850"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  <c r="AA850" s="143"/>
      <c r="AE850" s="143"/>
      <c r="AF850" s="143"/>
      <c r="AG850" s="143"/>
      <c r="AH850" s="143"/>
      <c r="AI850" s="143"/>
      <c r="AJ850" s="143"/>
      <c r="AK850" s="143"/>
      <c r="AL850" s="143"/>
      <c r="AM850" s="143"/>
      <c r="AN850" s="143"/>
      <c r="AO850" s="143"/>
      <c r="AP850" s="143"/>
      <c r="AQ850" s="143"/>
      <c r="AR850" s="143"/>
      <c r="AS850" s="143"/>
    </row>
    <row r="851"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  <c r="AA851" s="143"/>
      <c r="AE851" s="143"/>
      <c r="AF851" s="143"/>
      <c r="AG851" s="143"/>
      <c r="AH851" s="143"/>
      <c r="AI851" s="143"/>
      <c r="AJ851" s="143"/>
      <c r="AK851" s="143"/>
      <c r="AL851" s="143"/>
      <c r="AM851" s="143"/>
      <c r="AN851" s="143"/>
      <c r="AO851" s="143"/>
      <c r="AP851" s="143"/>
      <c r="AQ851" s="143"/>
      <c r="AR851" s="143"/>
      <c r="AS851" s="143"/>
    </row>
    <row r="852"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  <c r="AA852" s="143"/>
      <c r="AE852" s="143"/>
      <c r="AF852" s="143"/>
      <c r="AG852" s="143"/>
      <c r="AH852" s="143"/>
      <c r="AI852" s="143"/>
      <c r="AJ852" s="143"/>
      <c r="AK852" s="143"/>
      <c r="AL852" s="143"/>
      <c r="AM852" s="143"/>
      <c r="AN852" s="143"/>
      <c r="AO852" s="143"/>
      <c r="AP852" s="143"/>
      <c r="AQ852" s="143"/>
      <c r="AR852" s="143"/>
      <c r="AS852" s="143"/>
    </row>
    <row r="853"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  <c r="AA853" s="143"/>
      <c r="AE853" s="143"/>
      <c r="AF853" s="143"/>
      <c r="AG853" s="143"/>
      <c r="AH853" s="143"/>
      <c r="AI853" s="143"/>
      <c r="AJ853" s="143"/>
      <c r="AK853" s="143"/>
      <c r="AL853" s="143"/>
      <c r="AM853" s="143"/>
      <c r="AN853" s="143"/>
      <c r="AO853" s="143"/>
      <c r="AP853" s="143"/>
      <c r="AQ853" s="143"/>
      <c r="AR853" s="143"/>
      <c r="AS853" s="143"/>
    </row>
    <row r="854"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  <c r="AA854" s="143"/>
      <c r="AE854" s="143"/>
      <c r="AF854" s="143"/>
      <c r="AG854" s="143"/>
      <c r="AH854" s="143"/>
      <c r="AI854" s="143"/>
      <c r="AJ854" s="143"/>
      <c r="AK854" s="143"/>
      <c r="AL854" s="143"/>
      <c r="AM854" s="143"/>
      <c r="AN854" s="143"/>
      <c r="AO854" s="143"/>
      <c r="AP854" s="143"/>
      <c r="AQ854" s="143"/>
      <c r="AR854" s="143"/>
      <c r="AS854" s="143"/>
    </row>
    <row r="855"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  <c r="AA855" s="143"/>
      <c r="AE855" s="143"/>
      <c r="AF855" s="143"/>
      <c r="AG855" s="143"/>
      <c r="AH855" s="143"/>
      <c r="AI855" s="143"/>
      <c r="AJ855" s="143"/>
      <c r="AK855" s="143"/>
      <c r="AL855" s="143"/>
      <c r="AM855" s="143"/>
      <c r="AN855" s="143"/>
      <c r="AO855" s="143"/>
      <c r="AP855" s="143"/>
      <c r="AQ855" s="143"/>
      <c r="AR855" s="143"/>
      <c r="AS855" s="143"/>
    </row>
    <row r="856"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  <c r="AA856" s="143"/>
      <c r="AE856" s="143"/>
      <c r="AF856" s="143"/>
      <c r="AG856" s="143"/>
      <c r="AH856" s="143"/>
      <c r="AI856" s="143"/>
      <c r="AJ856" s="143"/>
      <c r="AK856" s="143"/>
      <c r="AL856" s="143"/>
      <c r="AM856" s="143"/>
      <c r="AN856" s="143"/>
      <c r="AO856" s="143"/>
      <c r="AP856" s="143"/>
      <c r="AQ856" s="143"/>
      <c r="AR856" s="143"/>
      <c r="AS856" s="143"/>
    </row>
    <row r="857"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  <c r="AA857" s="143"/>
      <c r="AE857" s="143"/>
      <c r="AF857" s="143"/>
      <c r="AG857" s="143"/>
      <c r="AH857" s="143"/>
      <c r="AI857" s="143"/>
      <c r="AJ857" s="143"/>
      <c r="AK857" s="143"/>
      <c r="AL857" s="143"/>
      <c r="AM857" s="143"/>
      <c r="AN857" s="143"/>
      <c r="AO857" s="143"/>
      <c r="AP857" s="143"/>
      <c r="AQ857" s="143"/>
      <c r="AR857" s="143"/>
      <c r="AS857" s="143"/>
    </row>
    <row r="858"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  <c r="AA858" s="143"/>
      <c r="AE858" s="143"/>
      <c r="AF858" s="143"/>
      <c r="AG858" s="143"/>
      <c r="AH858" s="143"/>
      <c r="AI858" s="143"/>
      <c r="AJ858" s="143"/>
      <c r="AK858" s="143"/>
      <c r="AL858" s="143"/>
      <c r="AM858" s="143"/>
      <c r="AN858" s="143"/>
      <c r="AO858" s="143"/>
      <c r="AP858" s="143"/>
      <c r="AQ858" s="143"/>
      <c r="AR858" s="143"/>
      <c r="AS858" s="143"/>
    </row>
    <row r="859"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  <c r="AA859" s="143"/>
      <c r="AE859" s="143"/>
      <c r="AF859" s="143"/>
      <c r="AG859" s="143"/>
      <c r="AH859" s="143"/>
      <c r="AI859" s="143"/>
      <c r="AJ859" s="143"/>
      <c r="AK859" s="143"/>
      <c r="AL859" s="143"/>
      <c r="AM859" s="143"/>
      <c r="AN859" s="143"/>
      <c r="AO859" s="143"/>
      <c r="AP859" s="143"/>
      <c r="AQ859" s="143"/>
      <c r="AR859" s="143"/>
      <c r="AS859" s="143"/>
    </row>
    <row r="860"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  <c r="AA860" s="143"/>
      <c r="AE860" s="143"/>
      <c r="AF860" s="143"/>
      <c r="AG860" s="143"/>
      <c r="AH860" s="143"/>
      <c r="AI860" s="143"/>
      <c r="AJ860" s="143"/>
      <c r="AK860" s="143"/>
      <c r="AL860" s="143"/>
      <c r="AM860" s="143"/>
      <c r="AN860" s="143"/>
      <c r="AO860" s="143"/>
      <c r="AP860" s="143"/>
      <c r="AQ860" s="143"/>
      <c r="AR860" s="143"/>
      <c r="AS860" s="143"/>
    </row>
    <row r="861"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  <c r="AA861" s="143"/>
      <c r="AE861" s="143"/>
      <c r="AF861" s="143"/>
      <c r="AG861" s="143"/>
      <c r="AH861" s="143"/>
      <c r="AI861" s="143"/>
      <c r="AJ861" s="143"/>
      <c r="AK861" s="143"/>
      <c r="AL861" s="143"/>
      <c r="AM861" s="143"/>
      <c r="AN861" s="143"/>
      <c r="AO861" s="143"/>
      <c r="AP861" s="143"/>
      <c r="AQ861" s="143"/>
      <c r="AR861" s="143"/>
      <c r="AS861" s="143"/>
    </row>
    <row r="862"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  <c r="AA862" s="143"/>
      <c r="AE862" s="143"/>
      <c r="AF862" s="143"/>
      <c r="AG862" s="143"/>
      <c r="AH862" s="143"/>
      <c r="AI862" s="143"/>
      <c r="AJ862" s="143"/>
      <c r="AK862" s="143"/>
      <c r="AL862" s="143"/>
      <c r="AM862" s="143"/>
      <c r="AN862" s="143"/>
      <c r="AO862" s="143"/>
      <c r="AP862" s="143"/>
      <c r="AQ862" s="143"/>
      <c r="AR862" s="143"/>
      <c r="AS862" s="143"/>
    </row>
    <row r="863"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  <c r="AA863" s="143"/>
      <c r="AE863" s="143"/>
      <c r="AF863" s="143"/>
      <c r="AG863" s="143"/>
      <c r="AH863" s="143"/>
      <c r="AI863" s="143"/>
      <c r="AJ863" s="143"/>
      <c r="AK863" s="143"/>
      <c r="AL863" s="143"/>
      <c r="AM863" s="143"/>
      <c r="AN863" s="143"/>
      <c r="AO863" s="143"/>
      <c r="AP863" s="143"/>
      <c r="AQ863" s="143"/>
      <c r="AR863" s="143"/>
      <c r="AS863" s="143"/>
    </row>
    <row r="864"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  <c r="AA864" s="143"/>
      <c r="AE864" s="143"/>
      <c r="AF864" s="143"/>
      <c r="AG864" s="143"/>
      <c r="AH864" s="143"/>
      <c r="AI864" s="143"/>
      <c r="AJ864" s="143"/>
      <c r="AK864" s="143"/>
      <c r="AL864" s="143"/>
      <c r="AM864" s="143"/>
      <c r="AN864" s="143"/>
      <c r="AO864" s="143"/>
      <c r="AP864" s="143"/>
      <c r="AQ864" s="143"/>
      <c r="AR864" s="143"/>
      <c r="AS864" s="143"/>
    </row>
    <row r="865"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  <c r="AA865" s="143"/>
      <c r="AE865" s="143"/>
      <c r="AF865" s="143"/>
      <c r="AG865" s="143"/>
      <c r="AH865" s="143"/>
      <c r="AI865" s="143"/>
      <c r="AJ865" s="143"/>
      <c r="AK865" s="143"/>
      <c r="AL865" s="143"/>
      <c r="AM865" s="143"/>
      <c r="AN865" s="143"/>
      <c r="AO865" s="143"/>
      <c r="AP865" s="143"/>
      <c r="AQ865" s="143"/>
      <c r="AR865" s="143"/>
      <c r="AS865" s="143"/>
    </row>
    <row r="866"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  <c r="AA866" s="143"/>
      <c r="AE866" s="143"/>
      <c r="AF866" s="143"/>
      <c r="AG866" s="143"/>
      <c r="AH866" s="143"/>
      <c r="AI866" s="143"/>
      <c r="AJ866" s="143"/>
      <c r="AK866" s="143"/>
      <c r="AL866" s="143"/>
      <c r="AM866" s="143"/>
      <c r="AN866" s="143"/>
      <c r="AO866" s="143"/>
      <c r="AP866" s="143"/>
      <c r="AQ866" s="143"/>
      <c r="AR866" s="143"/>
      <c r="AS866" s="143"/>
    </row>
    <row r="867"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  <c r="AA867" s="143"/>
      <c r="AE867" s="143"/>
      <c r="AF867" s="143"/>
      <c r="AG867" s="143"/>
      <c r="AH867" s="143"/>
      <c r="AI867" s="143"/>
      <c r="AJ867" s="143"/>
      <c r="AK867" s="143"/>
      <c r="AL867" s="143"/>
      <c r="AM867" s="143"/>
      <c r="AN867" s="143"/>
      <c r="AO867" s="143"/>
      <c r="AP867" s="143"/>
      <c r="AQ867" s="143"/>
      <c r="AR867" s="143"/>
      <c r="AS867" s="143"/>
    </row>
    <row r="868"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  <c r="AA868" s="143"/>
      <c r="AE868" s="143"/>
      <c r="AF868" s="143"/>
      <c r="AG868" s="143"/>
      <c r="AH868" s="143"/>
      <c r="AI868" s="143"/>
      <c r="AJ868" s="143"/>
      <c r="AK868" s="143"/>
      <c r="AL868" s="143"/>
      <c r="AM868" s="143"/>
      <c r="AN868" s="143"/>
      <c r="AO868" s="143"/>
      <c r="AP868" s="143"/>
      <c r="AQ868" s="143"/>
      <c r="AR868" s="143"/>
      <c r="AS868" s="143"/>
    </row>
    <row r="869"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  <c r="AA869" s="143"/>
      <c r="AE869" s="143"/>
      <c r="AF869" s="143"/>
      <c r="AG869" s="143"/>
      <c r="AH869" s="143"/>
      <c r="AI869" s="143"/>
      <c r="AJ869" s="143"/>
      <c r="AK869" s="143"/>
      <c r="AL869" s="143"/>
      <c r="AM869" s="143"/>
      <c r="AN869" s="143"/>
      <c r="AO869" s="143"/>
      <c r="AP869" s="143"/>
      <c r="AQ869" s="143"/>
      <c r="AR869" s="143"/>
      <c r="AS869" s="143"/>
    </row>
    <row r="870"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  <c r="AA870" s="143"/>
      <c r="AE870" s="143"/>
      <c r="AF870" s="143"/>
      <c r="AG870" s="143"/>
      <c r="AH870" s="143"/>
      <c r="AI870" s="143"/>
      <c r="AJ870" s="143"/>
      <c r="AK870" s="143"/>
      <c r="AL870" s="143"/>
      <c r="AM870" s="143"/>
      <c r="AN870" s="143"/>
      <c r="AO870" s="143"/>
      <c r="AP870" s="143"/>
      <c r="AQ870" s="143"/>
      <c r="AR870" s="143"/>
      <c r="AS870" s="143"/>
    </row>
    <row r="871"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  <c r="AA871" s="143"/>
      <c r="AE871" s="143"/>
      <c r="AF871" s="143"/>
      <c r="AG871" s="143"/>
      <c r="AH871" s="143"/>
      <c r="AI871" s="143"/>
      <c r="AJ871" s="143"/>
      <c r="AK871" s="143"/>
      <c r="AL871" s="143"/>
      <c r="AM871" s="143"/>
      <c r="AN871" s="143"/>
      <c r="AO871" s="143"/>
      <c r="AP871" s="143"/>
      <c r="AQ871" s="143"/>
      <c r="AR871" s="143"/>
      <c r="AS871" s="143"/>
    </row>
    <row r="872"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  <c r="AA872" s="143"/>
      <c r="AE872" s="143"/>
      <c r="AF872" s="143"/>
      <c r="AG872" s="143"/>
      <c r="AH872" s="143"/>
      <c r="AI872" s="143"/>
      <c r="AJ872" s="143"/>
      <c r="AK872" s="143"/>
      <c r="AL872" s="143"/>
      <c r="AM872" s="143"/>
      <c r="AN872" s="143"/>
      <c r="AO872" s="143"/>
      <c r="AP872" s="143"/>
      <c r="AQ872" s="143"/>
      <c r="AR872" s="143"/>
      <c r="AS872" s="143"/>
    </row>
    <row r="873"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  <c r="AA873" s="143"/>
      <c r="AE873" s="143"/>
      <c r="AF873" s="143"/>
      <c r="AG873" s="143"/>
      <c r="AH873" s="143"/>
      <c r="AI873" s="143"/>
      <c r="AJ873" s="143"/>
      <c r="AK873" s="143"/>
      <c r="AL873" s="143"/>
      <c r="AM873" s="143"/>
      <c r="AN873" s="143"/>
      <c r="AO873" s="143"/>
      <c r="AP873" s="143"/>
      <c r="AQ873" s="143"/>
      <c r="AR873" s="143"/>
      <c r="AS873" s="143"/>
    </row>
    <row r="874"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  <c r="AA874" s="143"/>
      <c r="AE874" s="143"/>
      <c r="AF874" s="143"/>
      <c r="AG874" s="143"/>
      <c r="AH874" s="143"/>
      <c r="AI874" s="143"/>
      <c r="AJ874" s="143"/>
      <c r="AK874" s="143"/>
      <c r="AL874" s="143"/>
      <c r="AM874" s="143"/>
      <c r="AN874" s="143"/>
      <c r="AO874" s="143"/>
      <c r="AP874" s="143"/>
      <c r="AQ874" s="143"/>
      <c r="AR874" s="143"/>
      <c r="AS874" s="143"/>
    </row>
    <row r="875"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  <c r="AA875" s="143"/>
      <c r="AE875" s="143"/>
      <c r="AF875" s="143"/>
      <c r="AG875" s="143"/>
      <c r="AH875" s="143"/>
      <c r="AI875" s="143"/>
      <c r="AJ875" s="143"/>
      <c r="AK875" s="143"/>
      <c r="AL875" s="143"/>
      <c r="AM875" s="143"/>
      <c r="AN875" s="143"/>
      <c r="AO875" s="143"/>
      <c r="AP875" s="143"/>
      <c r="AQ875" s="143"/>
      <c r="AR875" s="143"/>
      <c r="AS875" s="143"/>
    </row>
    <row r="876"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  <c r="AA876" s="143"/>
      <c r="AE876" s="143"/>
      <c r="AF876" s="143"/>
      <c r="AG876" s="143"/>
      <c r="AH876" s="143"/>
      <c r="AI876" s="143"/>
      <c r="AJ876" s="143"/>
      <c r="AK876" s="143"/>
      <c r="AL876" s="143"/>
      <c r="AM876" s="143"/>
      <c r="AN876" s="143"/>
      <c r="AO876" s="143"/>
      <c r="AP876" s="143"/>
      <c r="AQ876" s="143"/>
      <c r="AR876" s="143"/>
      <c r="AS876" s="143"/>
    </row>
    <row r="877"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  <c r="AA877" s="143"/>
      <c r="AE877" s="143"/>
      <c r="AF877" s="143"/>
      <c r="AG877" s="143"/>
      <c r="AH877" s="143"/>
      <c r="AI877" s="143"/>
      <c r="AJ877" s="143"/>
      <c r="AK877" s="143"/>
      <c r="AL877" s="143"/>
      <c r="AM877" s="143"/>
      <c r="AN877" s="143"/>
      <c r="AO877" s="143"/>
      <c r="AP877" s="143"/>
      <c r="AQ877" s="143"/>
      <c r="AR877" s="143"/>
      <c r="AS877" s="143"/>
    </row>
    <row r="878"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  <c r="AA878" s="143"/>
      <c r="AE878" s="143"/>
      <c r="AF878" s="143"/>
      <c r="AG878" s="143"/>
      <c r="AH878" s="143"/>
      <c r="AI878" s="143"/>
      <c r="AJ878" s="143"/>
      <c r="AK878" s="143"/>
      <c r="AL878" s="143"/>
      <c r="AM878" s="143"/>
      <c r="AN878" s="143"/>
      <c r="AO878" s="143"/>
      <c r="AP878" s="143"/>
      <c r="AQ878" s="143"/>
      <c r="AR878" s="143"/>
      <c r="AS878" s="143"/>
    </row>
    <row r="879"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  <c r="AA879" s="143"/>
      <c r="AE879" s="143"/>
      <c r="AF879" s="143"/>
      <c r="AG879" s="143"/>
      <c r="AH879" s="143"/>
      <c r="AI879" s="143"/>
      <c r="AJ879" s="143"/>
      <c r="AK879" s="143"/>
      <c r="AL879" s="143"/>
      <c r="AM879" s="143"/>
      <c r="AN879" s="143"/>
      <c r="AO879" s="143"/>
      <c r="AP879" s="143"/>
      <c r="AQ879" s="143"/>
      <c r="AR879" s="143"/>
      <c r="AS879" s="143"/>
    </row>
    <row r="880"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  <c r="AA880" s="143"/>
      <c r="AE880" s="143"/>
      <c r="AF880" s="143"/>
      <c r="AG880" s="143"/>
      <c r="AH880" s="143"/>
      <c r="AI880" s="143"/>
      <c r="AJ880" s="143"/>
      <c r="AK880" s="143"/>
      <c r="AL880" s="143"/>
      <c r="AM880" s="143"/>
      <c r="AN880" s="143"/>
      <c r="AO880" s="143"/>
      <c r="AP880" s="143"/>
      <c r="AQ880" s="143"/>
      <c r="AR880" s="143"/>
      <c r="AS880" s="143"/>
    </row>
    <row r="881"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  <c r="AA881" s="143"/>
      <c r="AE881" s="143"/>
      <c r="AF881" s="143"/>
      <c r="AG881" s="143"/>
      <c r="AH881" s="143"/>
      <c r="AI881" s="143"/>
      <c r="AJ881" s="143"/>
      <c r="AK881" s="143"/>
      <c r="AL881" s="143"/>
      <c r="AM881" s="143"/>
      <c r="AN881" s="143"/>
      <c r="AO881" s="143"/>
      <c r="AP881" s="143"/>
      <c r="AQ881" s="143"/>
      <c r="AR881" s="143"/>
      <c r="AS881" s="143"/>
    </row>
    <row r="882"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  <c r="AA882" s="143"/>
      <c r="AE882" s="143"/>
      <c r="AF882" s="143"/>
      <c r="AG882" s="143"/>
      <c r="AH882" s="143"/>
      <c r="AI882" s="143"/>
      <c r="AJ882" s="143"/>
      <c r="AK882" s="143"/>
      <c r="AL882" s="143"/>
      <c r="AM882" s="143"/>
      <c r="AN882" s="143"/>
      <c r="AO882" s="143"/>
      <c r="AP882" s="143"/>
      <c r="AQ882" s="143"/>
      <c r="AR882" s="143"/>
      <c r="AS882" s="143"/>
    </row>
    <row r="883"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  <c r="AA883" s="143"/>
      <c r="AE883" s="143"/>
      <c r="AF883" s="143"/>
      <c r="AG883" s="143"/>
      <c r="AH883" s="143"/>
      <c r="AI883" s="143"/>
      <c r="AJ883" s="143"/>
      <c r="AK883" s="143"/>
      <c r="AL883" s="143"/>
      <c r="AM883" s="143"/>
      <c r="AN883" s="143"/>
      <c r="AO883" s="143"/>
      <c r="AP883" s="143"/>
      <c r="AQ883" s="143"/>
      <c r="AR883" s="143"/>
      <c r="AS883" s="143"/>
    </row>
    <row r="884"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  <c r="AA884" s="143"/>
      <c r="AE884" s="143"/>
      <c r="AF884" s="143"/>
      <c r="AG884" s="143"/>
      <c r="AH884" s="143"/>
      <c r="AI884" s="143"/>
      <c r="AJ884" s="143"/>
      <c r="AK884" s="143"/>
      <c r="AL884" s="143"/>
      <c r="AM884" s="143"/>
      <c r="AN884" s="143"/>
      <c r="AO884" s="143"/>
      <c r="AP884" s="143"/>
      <c r="AQ884" s="143"/>
      <c r="AR884" s="143"/>
      <c r="AS884" s="143"/>
    </row>
    <row r="885"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  <c r="AA885" s="143"/>
      <c r="AE885" s="143"/>
      <c r="AF885" s="143"/>
      <c r="AG885" s="143"/>
      <c r="AH885" s="143"/>
      <c r="AI885" s="143"/>
      <c r="AJ885" s="143"/>
      <c r="AK885" s="143"/>
      <c r="AL885" s="143"/>
      <c r="AM885" s="143"/>
      <c r="AN885" s="143"/>
      <c r="AO885" s="143"/>
      <c r="AP885" s="143"/>
      <c r="AQ885" s="143"/>
      <c r="AR885" s="143"/>
      <c r="AS885" s="143"/>
    </row>
    <row r="886"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  <c r="AA886" s="143"/>
      <c r="AE886" s="143"/>
      <c r="AF886" s="143"/>
      <c r="AG886" s="143"/>
      <c r="AH886" s="143"/>
      <c r="AI886" s="143"/>
      <c r="AJ886" s="143"/>
      <c r="AK886" s="143"/>
      <c r="AL886" s="143"/>
      <c r="AM886" s="143"/>
      <c r="AN886" s="143"/>
      <c r="AO886" s="143"/>
      <c r="AP886" s="143"/>
      <c r="AQ886" s="143"/>
      <c r="AR886" s="143"/>
      <c r="AS886" s="143"/>
    </row>
    <row r="887"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  <c r="AA887" s="143"/>
      <c r="AE887" s="143"/>
      <c r="AF887" s="143"/>
      <c r="AG887" s="143"/>
      <c r="AH887" s="143"/>
      <c r="AI887" s="143"/>
      <c r="AJ887" s="143"/>
      <c r="AK887" s="143"/>
      <c r="AL887" s="143"/>
      <c r="AM887" s="143"/>
      <c r="AN887" s="143"/>
      <c r="AO887" s="143"/>
      <c r="AP887" s="143"/>
      <c r="AQ887" s="143"/>
      <c r="AR887" s="143"/>
      <c r="AS887" s="143"/>
    </row>
    <row r="888"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  <c r="AA888" s="143"/>
      <c r="AE888" s="143"/>
      <c r="AF888" s="143"/>
      <c r="AG888" s="143"/>
      <c r="AH888" s="143"/>
      <c r="AI888" s="143"/>
      <c r="AJ888" s="143"/>
      <c r="AK888" s="143"/>
      <c r="AL888" s="143"/>
      <c r="AM888" s="143"/>
      <c r="AN888" s="143"/>
      <c r="AO888" s="143"/>
      <c r="AP888" s="143"/>
      <c r="AQ888" s="143"/>
      <c r="AR888" s="143"/>
      <c r="AS888" s="143"/>
    </row>
    <row r="889"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  <c r="AA889" s="143"/>
      <c r="AE889" s="143"/>
      <c r="AF889" s="143"/>
      <c r="AG889" s="143"/>
      <c r="AH889" s="143"/>
      <c r="AI889" s="143"/>
      <c r="AJ889" s="143"/>
      <c r="AK889" s="143"/>
      <c r="AL889" s="143"/>
      <c r="AM889" s="143"/>
      <c r="AN889" s="143"/>
      <c r="AO889" s="143"/>
      <c r="AP889" s="143"/>
      <c r="AQ889" s="143"/>
      <c r="AR889" s="143"/>
      <c r="AS889" s="143"/>
    </row>
    <row r="890"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  <c r="AA890" s="143"/>
      <c r="AE890" s="143"/>
      <c r="AF890" s="143"/>
      <c r="AG890" s="143"/>
      <c r="AH890" s="143"/>
      <c r="AI890" s="143"/>
      <c r="AJ890" s="143"/>
      <c r="AK890" s="143"/>
      <c r="AL890" s="143"/>
      <c r="AM890" s="143"/>
      <c r="AN890" s="143"/>
      <c r="AO890" s="143"/>
      <c r="AP890" s="143"/>
      <c r="AQ890" s="143"/>
      <c r="AR890" s="143"/>
      <c r="AS890" s="143"/>
    </row>
    <row r="891"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  <c r="AA891" s="143"/>
      <c r="AE891" s="143"/>
      <c r="AF891" s="143"/>
      <c r="AG891" s="143"/>
      <c r="AH891" s="143"/>
      <c r="AI891" s="143"/>
      <c r="AJ891" s="143"/>
      <c r="AK891" s="143"/>
      <c r="AL891" s="143"/>
      <c r="AM891" s="143"/>
      <c r="AN891" s="143"/>
      <c r="AO891" s="143"/>
      <c r="AP891" s="143"/>
      <c r="AQ891" s="143"/>
      <c r="AR891" s="143"/>
      <c r="AS891" s="143"/>
    </row>
    <row r="892"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  <c r="AA892" s="143"/>
      <c r="AE892" s="143"/>
      <c r="AF892" s="143"/>
      <c r="AG892" s="143"/>
      <c r="AH892" s="143"/>
      <c r="AI892" s="143"/>
      <c r="AJ892" s="143"/>
      <c r="AK892" s="143"/>
      <c r="AL892" s="143"/>
      <c r="AM892" s="143"/>
      <c r="AN892" s="143"/>
      <c r="AO892" s="143"/>
      <c r="AP892" s="143"/>
      <c r="AQ892" s="143"/>
      <c r="AR892" s="143"/>
      <c r="AS892" s="143"/>
    </row>
    <row r="893"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  <c r="AA893" s="143"/>
      <c r="AE893" s="143"/>
      <c r="AF893" s="143"/>
      <c r="AG893" s="143"/>
      <c r="AH893" s="143"/>
      <c r="AI893" s="143"/>
      <c r="AJ893" s="143"/>
      <c r="AK893" s="143"/>
      <c r="AL893" s="143"/>
      <c r="AM893" s="143"/>
      <c r="AN893" s="143"/>
      <c r="AO893" s="143"/>
      <c r="AP893" s="143"/>
      <c r="AQ893" s="143"/>
      <c r="AR893" s="143"/>
      <c r="AS893" s="143"/>
    </row>
    <row r="894"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  <c r="AA894" s="143"/>
      <c r="AE894" s="143"/>
      <c r="AF894" s="143"/>
      <c r="AG894" s="143"/>
      <c r="AH894" s="143"/>
      <c r="AI894" s="143"/>
      <c r="AJ894" s="143"/>
      <c r="AK894" s="143"/>
      <c r="AL894" s="143"/>
      <c r="AM894" s="143"/>
      <c r="AN894" s="143"/>
      <c r="AO894" s="143"/>
      <c r="AP894" s="143"/>
      <c r="AQ894" s="143"/>
      <c r="AR894" s="143"/>
      <c r="AS894" s="143"/>
    </row>
    <row r="895"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  <c r="AA895" s="143"/>
      <c r="AE895" s="143"/>
      <c r="AF895" s="143"/>
      <c r="AG895" s="143"/>
      <c r="AH895" s="143"/>
      <c r="AI895" s="143"/>
      <c r="AJ895" s="143"/>
      <c r="AK895" s="143"/>
      <c r="AL895" s="143"/>
      <c r="AM895" s="143"/>
      <c r="AN895" s="143"/>
      <c r="AO895" s="143"/>
      <c r="AP895" s="143"/>
      <c r="AQ895" s="143"/>
      <c r="AR895" s="143"/>
      <c r="AS895" s="143"/>
    </row>
    <row r="896"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  <c r="AA896" s="143"/>
      <c r="AE896" s="143"/>
      <c r="AF896" s="143"/>
      <c r="AG896" s="143"/>
      <c r="AH896" s="143"/>
      <c r="AI896" s="143"/>
      <c r="AJ896" s="143"/>
      <c r="AK896" s="143"/>
      <c r="AL896" s="143"/>
      <c r="AM896" s="143"/>
      <c r="AN896" s="143"/>
      <c r="AO896" s="143"/>
      <c r="AP896" s="143"/>
      <c r="AQ896" s="143"/>
      <c r="AR896" s="143"/>
      <c r="AS896" s="143"/>
    </row>
    <row r="897"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  <c r="AA897" s="143"/>
      <c r="AE897" s="143"/>
      <c r="AF897" s="143"/>
      <c r="AG897" s="143"/>
      <c r="AH897" s="143"/>
      <c r="AI897" s="143"/>
      <c r="AJ897" s="143"/>
      <c r="AK897" s="143"/>
      <c r="AL897" s="143"/>
      <c r="AM897" s="143"/>
      <c r="AN897" s="143"/>
      <c r="AO897" s="143"/>
      <c r="AP897" s="143"/>
      <c r="AQ897" s="143"/>
      <c r="AR897" s="143"/>
      <c r="AS897" s="143"/>
    </row>
    <row r="898"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  <c r="AA898" s="143"/>
      <c r="AE898" s="143"/>
      <c r="AF898" s="143"/>
      <c r="AG898" s="143"/>
      <c r="AH898" s="143"/>
      <c r="AI898" s="143"/>
      <c r="AJ898" s="143"/>
      <c r="AK898" s="143"/>
      <c r="AL898" s="143"/>
      <c r="AM898" s="143"/>
      <c r="AN898" s="143"/>
      <c r="AO898" s="143"/>
      <c r="AP898" s="143"/>
      <c r="AQ898" s="143"/>
      <c r="AR898" s="143"/>
      <c r="AS898" s="143"/>
    </row>
    <row r="899"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  <c r="AA899" s="143"/>
      <c r="AE899" s="143"/>
      <c r="AF899" s="143"/>
      <c r="AG899" s="143"/>
      <c r="AH899" s="143"/>
      <c r="AI899" s="143"/>
      <c r="AJ899" s="143"/>
      <c r="AK899" s="143"/>
      <c r="AL899" s="143"/>
      <c r="AM899" s="143"/>
      <c r="AN899" s="143"/>
      <c r="AO899" s="143"/>
      <c r="AP899" s="143"/>
      <c r="AQ899" s="143"/>
      <c r="AR899" s="143"/>
      <c r="AS899" s="143"/>
    </row>
    <row r="900"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  <c r="AA900" s="143"/>
      <c r="AE900" s="143"/>
      <c r="AF900" s="143"/>
      <c r="AG900" s="143"/>
      <c r="AH900" s="143"/>
      <c r="AI900" s="143"/>
      <c r="AJ900" s="143"/>
      <c r="AK900" s="143"/>
      <c r="AL900" s="143"/>
      <c r="AM900" s="143"/>
      <c r="AN900" s="143"/>
      <c r="AO900" s="143"/>
      <c r="AP900" s="143"/>
      <c r="AQ900" s="143"/>
      <c r="AR900" s="143"/>
      <c r="AS900" s="143"/>
    </row>
    <row r="901"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  <c r="AA901" s="143"/>
      <c r="AE901" s="143"/>
      <c r="AF901" s="143"/>
      <c r="AG901" s="143"/>
      <c r="AH901" s="143"/>
      <c r="AI901" s="143"/>
      <c r="AJ901" s="143"/>
      <c r="AK901" s="143"/>
      <c r="AL901" s="143"/>
      <c r="AM901" s="143"/>
      <c r="AN901" s="143"/>
      <c r="AO901" s="143"/>
      <c r="AP901" s="143"/>
      <c r="AQ901" s="143"/>
      <c r="AR901" s="143"/>
      <c r="AS901" s="143"/>
    </row>
    <row r="902"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  <c r="AA902" s="143"/>
      <c r="AE902" s="143"/>
      <c r="AF902" s="143"/>
      <c r="AG902" s="143"/>
      <c r="AH902" s="143"/>
      <c r="AI902" s="143"/>
      <c r="AJ902" s="143"/>
      <c r="AK902" s="143"/>
      <c r="AL902" s="143"/>
      <c r="AM902" s="143"/>
      <c r="AN902" s="143"/>
      <c r="AO902" s="143"/>
      <c r="AP902" s="143"/>
      <c r="AQ902" s="143"/>
      <c r="AR902" s="143"/>
      <c r="AS902" s="143"/>
    </row>
    <row r="903"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  <c r="AA903" s="143"/>
      <c r="AE903" s="143"/>
      <c r="AF903" s="143"/>
      <c r="AG903" s="143"/>
      <c r="AH903" s="143"/>
      <c r="AI903" s="143"/>
      <c r="AJ903" s="143"/>
      <c r="AK903" s="143"/>
      <c r="AL903" s="143"/>
      <c r="AM903" s="143"/>
      <c r="AN903" s="143"/>
      <c r="AO903" s="143"/>
      <c r="AP903" s="143"/>
      <c r="AQ903" s="143"/>
      <c r="AR903" s="143"/>
      <c r="AS903" s="143"/>
    </row>
    <row r="904"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  <c r="AA904" s="143"/>
      <c r="AE904" s="143"/>
      <c r="AF904" s="143"/>
      <c r="AG904" s="143"/>
      <c r="AH904" s="143"/>
      <c r="AI904" s="143"/>
      <c r="AJ904" s="143"/>
      <c r="AK904" s="143"/>
      <c r="AL904" s="143"/>
      <c r="AM904" s="143"/>
      <c r="AN904" s="143"/>
      <c r="AO904" s="143"/>
      <c r="AP904" s="143"/>
      <c r="AQ904" s="143"/>
      <c r="AR904" s="143"/>
      <c r="AS904" s="143"/>
    </row>
    <row r="905"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  <c r="AA905" s="143"/>
      <c r="AE905" s="143"/>
      <c r="AF905" s="143"/>
      <c r="AG905" s="143"/>
      <c r="AH905" s="143"/>
      <c r="AI905" s="143"/>
      <c r="AJ905" s="143"/>
      <c r="AK905" s="143"/>
      <c r="AL905" s="143"/>
      <c r="AM905" s="143"/>
      <c r="AN905" s="143"/>
      <c r="AO905" s="143"/>
      <c r="AP905" s="143"/>
      <c r="AQ905" s="143"/>
      <c r="AR905" s="143"/>
      <c r="AS905" s="143"/>
    </row>
    <row r="906"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  <c r="AA906" s="143"/>
      <c r="AE906" s="143"/>
      <c r="AF906" s="143"/>
      <c r="AG906" s="143"/>
      <c r="AH906" s="143"/>
      <c r="AI906" s="143"/>
      <c r="AJ906" s="143"/>
      <c r="AK906" s="143"/>
      <c r="AL906" s="143"/>
      <c r="AM906" s="143"/>
      <c r="AN906" s="143"/>
      <c r="AO906" s="143"/>
      <c r="AP906" s="143"/>
      <c r="AQ906" s="143"/>
      <c r="AR906" s="143"/>
      <c r="AS906" s="143"/>
    </row>
    <row r="907"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  <c r="AA907" s="143"/>
      <c r="AE907" s="143"/>
      <c r="AF907" s="143"/>
      <c r="AG907" s="143"/>
      <c r="AH907" s="143"/>
      <c r="AI907" s="143"/>
      <c r="AJ907" s="143"/>
      <c r="AK907" s="143"/>
      <c r="AL907" s="143"/>
      <c r="AM907" s="143"/>
      <c r="AN907" s="143"/>
      <c r="AO907" s="143"/>
      <c r="AP907" s="143"/>
      <c r="AQ907" s="143"/>
      <c r="AR907" s="143"/>
      <c r="AS907" s="143"/>
    </row>
    <row r="908"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  <c r="AA908" s="143"/>
      <c r="AE908" s="143"/>
      <c r="AF908" s="143"/>
      <c r="AG908" s="143"/>
      <c r="AH908" s="143"/>
      <c r="AI908" s="143"/>
      <c r="AJ908" s="143"/>
      <c r="AK908" s="143"/>
      <c r="AL908" s="143"/>
      <c r="AM908" s="143"/>
      <c r="AN908" s="143"/>
      <c r="AO908" s="143"/>
      <c r="AP908" s="143"/>
      <c r="AQ908" s="143"/>
      <c r="AR908" s="143"/>
      <c r="AS908" s="143"/>
    </row>
    <row r="909"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  <c r="AA909" s="143"/>
      <c r="AE909" s="143"/>
      <c r="AF909" s="143"/>
      <c r="AG909" s="143"/>
      <c r="AH909" s="143"/>
      <c r="AI909" s="143"/>
      <c r="AJ909" s="143"/>
      <c r="AK909" s="143"/>
      <c r="AL909" s="143"/>
      <c r="AM909" s="143"/>
      <c r="AN909" s="143"/>
      <c r="AO909" s="143"/>
      <c r="AP909" s="143"/>
      <c r="AQ909" s="143"/>
      <c r="AR909" s="143"/>
      <c r="AS909" s="143"/>
    </row>
    <row r="910"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  <c r="AA910" s="143"/>
      <c r="AE910" s="143"/>
      <c r="AF910" s="143"/>
      <c r="AG910" s="143"/>
      <c r="AH910" s="143"/>
      <c r="AI910" s="143"/>
      <c r="AJ910" s="143"/>
      <c r="AK910" s="143"/>
      <c r="AL910" s="143"/>
      <c r="AM910" s="143"/>
      <c r="AN910" s="143"/>
      <c r="AO910" s="143"/>
      <c r="AP910" s="143"/>
      <c r="AQ910" s="143"/>
      <c r="AR910" s="143"/>
      <c r="AS910" s="143"/>
    </row>
    <row r="911"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  <c r="AA911" s="143"/>
      <c r="AE911" s="143"/>
      <c r="AF911" s="143"/>
      <c r="AG911" s="143"/>
      <c r="AH911" s="143"/>
      <c r="AI911" s="143"/>
      <c r="AJ911" s="143"/>
      <c r="AK911" s="143"/>
      <c r="AL911" s="143"/>
      <c r="AM911" s="143"/>
      <c r="AN911" s="143"/>
      <c r="AO911" s="143"/>
      <c r="AP911" s="143"/>
      <c r="AQ911" s="143"/>
      <c r="AR911" s="143"/>
      <c r="AS911" s="143"/>
    </row>
    <row r="912"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  <c r="AA912" s="143"/>
      <c r="AE912" s="143"/>
      <c r="AF912" s="143"/>
      <c r="AG912" s="143"/>
      <c r="AH912" s="143"/>
      <c r="AI912" s="143"/>
      <c r="AJ912" s="143"/>
      <c r="AK912" s="143"/>
      <c r="AL912" s="143"/>
      <c r="AM912" s="143"/>
      <c r="AN912" s="143"/>
      <c r="AO912" s="143"/>
      <c r="AP912" s="143"/>
      <c r="AQ912" s="143"/>
      <c r="AR912" s="143"/>
      <c r="AS912" s="143"/>
    </row>
    <row r="913"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  <c r="AA913" s="143"/>
      <c r="AE913" s="143"/>
      <c r="AF913" s="143"/>
      <c r="AG913" s="143"/>
      <c r="AH913" s="143"/>
      <c r="AI913" s="143"/>
      <c r="AJ913" s="143"/>
      <c r="AK913" s="143"/>
      <c r="AL913" s="143"/>
      <c r="AM913" s="143"/>
      <c r="AN913" s="143"/>
      <c r="AO913" s="143"/>
      <c r="AP913" s="143"/>
      <c r="AQ913" s="143"/>
      <c r="AR913" s="143"/>
      <c r="AS913" s="143"/>
    </row>
    <row r="914"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  <c r="AA914" s="143"/>
      <c r="AE914" s="143"/>
      <c r="AF914" s="143"/>
      <c r="AG914" s="143"/>
      <c r="AH914" s="143"/>
      <c r="AI914" s="143"/>
      <c r="AJ914" s="143"/>
      <c r="AK914" s="143"/>
      <c r="AL914" s="143"/>
      <c r="AM914" s="143"/>
      <c r="AN914" s="143"/>
      <c r="AO914" s="143"/>
      <c r="AP914" s="143"/>
      <c r="AQ914" s="143"/>
      <c r="AR914" s="143"/>
      <c r="AS914" s="143"/>
    </row>
    <row r="915"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  <c r="AA915" s="143"/>
      <c r="AE915" s="143"/>
      <c r="AF915" s="143"/>
      <c r="AG915" s="143"/>
      <c r="AH915" s="143"/>
      <c r="AI915" s="143"/>
      <c r="AJ915" s="143"/>
      <c r="AK915" s="143"/>
      <c r="AL915" s="143"/>
      <c r="AM915" s="143"/>
      <c r="AN915" s="143"/>
      <c r="AO915" s="143"/>
      <c r="AP915" s="143"/>
      <c r="AQ915" s="143"/>
      <c r="AR915" s="143"/>
      <c r="AS915" s="143"/>
    </row>
    <row r="916"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  <c r="AA916" s="143"/>
      <c r="AE916" s="143"/>
      <c r="AF916" s="143"/>
      <c r="AG916" s="143"/>
      <c r="AH916" s="143"/>
      <c r="AI916" s="143"/>
      <c r="AJ916" s="143"/>
      <c r="AK916" s="143"/>
      <c r="AL916" s="143"/>
      <c r="AM916" s="143"/>
      <c r="AN916" s="143"/>
      <c r="AO916" s="143"/>
      <c r="AP916" s="143"/>
      <c r="AQ916" s="143"/>
      <c r="AR916" s="143"/>
      <c r="AS916" s="143"/>
    </row>
    <row r="917"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  <c r="AA917" s="143"/>
      <c r="AE917" s="143"/>
      <c r="AF917" s="143"/>
      <c r="AG917" s="143"/>
      <c r="AH917" s="143"/>
      <c r="AI917" s="143"/>
      <c r="AJ917" s="143"/>
      <c r="AK917" s="143"/>
      <c r="AL917" s="143"/>
      <c r="AM917" s="143"/>
      <c r="AN917" s="143"/>
      <c r="AO917" s="143"/>
      <c r="AP917" s="143"/>
      <c r="AQ917" s="143"/>
      <c r="AR917" s="143"/>
      <c r="AS917" s="143"/>
    </row>
    <row r="918"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  <c r="AA918" s="143"/>
      <c r="AE918" s="143"/>
      <c r="AF918" s="143"/>
      <c r="AG918" s="143"/>
      <c r="AH918" s="143"/>
      <c r="AI918" s="143"/>
      <c r="AJ918" s="143"/>
      <c r="AK918" s="143"/>
      <c r="AL918" s="143"/>
      <c r="AM918" s="143"/>
      <c r="AN918" s="143"/>
      <c r="AO918" s="143"/>
      <c r="AP918" s="143"/>
      <c r="AQ918" s="143"/>
      <c r="AR918" s="143"/>
      <c r="AS918" s="143"/>
    </row>
    <row r="919"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  <c r="AA919" s="143"/>
      <c r="AE919" s="143"/>
      <c r="AF919" s="143"/>
      <c r="AG919" s="143"/>
      <c r="AH919" s="143"/>
      <c r="AI919" s="143"/>
      <c r="AJ919" s="143"/>
      <c r="AK919" s="143"/>
      <c r="AL919" s="143"/>
      <c r="AM919" s="143"/>
      <c r="AN919" s="143"/>
      <c r="AO919" s="143"/>
      <c r="AP919" s="143"/>
      <c r="AQ919" s="143"/>
      <c r="AR919" s="143"/>
      <c r="AS919" s="143"/>
    </row>
    <row r="920"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  <c r="AA920" s="143"/>
      <c r="AE920" s="143"/>
      <c r="AF920" s="143"/>
      <c r="AG920" s="143"/>
      <c r="AH920" s="143"/>
      <c r="AI920" s="143"/>
      <c r="AJ920" s="143"/>
      <c r="AK920" s="143"/>
      <c r="AL920" s="143"/>
      <c r="AM920" s="143"/>
      <c r="AN920" s="143"/>
      <c r="AO920" s="143"/>
      <c r="AP920" s="143"/>
      <c r="AQ920" s="143"/>
      <c r="AR920" s="143"/>
      <c r="AS920" s="143"/>
    </row>
    <row r="921"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  <c r="AA921" s="143"/>
      <c r="AE921" s="143"/>
      <c r="AF921" s="143"/>
      <c r="AG921" s="143"/>
      <c r="AH921" s="143"/>
      <c r="AI921" s="143"/>
      <c r="AJ921" s="143"/>
      <c r="AK921" s="143"/>
      <c r="AL921" s="143"/>
      <c r="AM921" s="143"/>
      <c r="AN921" s="143"/>
      <c r="AO921" s="143"/>
      <c r="AP921" s="143"/>
      <c r="AQ921" s="143"/>
      <c r="AR921" s="143"/>
      <c r="AS921" s="143"/>
    </row>
    <row r="922"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  <c r="AA922" s="143"/>
      <c r="AE922" s="143"/>
      <c r="AF922" s="143"/>
      <c r="AG922" s="143"/>
      <c r="AH922" s="143"/>
      <c r="AI922" s="143"/>
      <c r="AJ922" s="143"/>
      <c r="AK922" s="143"/>
      <c r="AL922" s="143"/>
      <c r="AM922" s="143"/>
      <c r="AN922" s="143"/>
      <c r="AO922" s="143"/>
      <c r="AP922" s="143"/>
      <c r="AQ922" s="143"/>
      <c r="AR922" s="143"/>
      <c r="AS922" s="143"/>
    </row>
    <row r="923"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  <c r="AA923" s="143"/>
      <c r="AE923" s="143"/>
      <c r="AF923" s="143"/>
      <c r="AG923" s="143"/>
      <c r="AH923" s="143"/>
      <c r="AI923" s="143"/>
      <c r="AJ923" s="143"/>
      <c r="AK923" s="143"/>
      <c r="AL923" s="143"/>
      <c r="AM923" s="143"/>
      <c r="AN923" s="143"/>
      <c r="AO923" s="143"/>
      <c r="AP923" s="143"/>
      <c r="AQ923" s="143"/>
      <c r="AR923" s="143"/>
      <c r="AS923" s="143"/>
    </row>
    <row r="924"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  <c r="AA924" s="143"/>
      <c r="AE924" s="143"/>
      <c r="AF924" s="143"/>
      <c r="AG924" s="143"/>
      <c r="AH924" s="143"/>
      <c r="AI924" s="143"/>
      <c r="AJ924" s="143"/>
      <c r="AK924" s="143"/>
      <c r="AL924" s="143"/>
      <c r="AM924" s="143"/>
      <c r="AN924" s="143"/>
      <c r="AO924" s="143"/>
      <c r="AP924" s="143"/>
      <c r="AQ924" s="143"/>
      <c r="AR924" s="143"/>
      <c r="AS924" s="143"/>
    </row>
    <row r="925"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  <c r="AA925" s="143"/>
      <c r="AE925" s="143"/>
      <c r="AF925" s="143"/>
      <c r="AG925" s="143"/>
      <c r="AH925" s="143"/>
      <c r="AI925" s="143"/>
      <c r="AJ925" s="143"/>
      <c r="AK925" s="143"/>
      <c r="AL925" s="143"/>
      <c r="AM925" s="143"/>
      <c r="AN925" s="143"/>
      <c r="AO925" s="143"/>
      <c r="AP925" s="143"/>
      <c r="AQ925" s="143"/>
      <c r="AR925" s="143"/>
      <c r="AS925" s="143"/>
    </row>
    <row r="926"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  <c r="AA926" s="143"/>
      <c r="AE926" s="143"/>
      <c r="AF926" s="143"/>
      <c r="AG926" s="143"/>
      <c r="AH926" s="143"/>
      <c r="AI926" s="143"/>
      <c r="AJ926" s="143"/>
      <c r="AK926" s="143"/>
      <c r="AL926" s="143"/>
      <c r="AM926" s="143"/>
      <c r="AN926" s="143"/>
      <c r="AO926" s="143"/>
      <c r="AP926" s="143"/>
      <c r="AQ926" s="143"/>
      <c r="AR926" s="143"/>
      <c r="AS926" s="143"/>
    </row>
    <row r="927"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  <c r="AA927" s="143"/>
      <c r="AE927" s="143"/>
      <c r="AF927" s="143"/>
      <c r="AG927" s="143"/>
      <c r="AH927" s="143"/>
      <c r="AI927" s="143"/>
      <c r="AJ927" s="143"/>
      <c r="AK927" s="143"/>
      <c r="AL927" s="143"/>
      <c r="AM927" s="143"/>
      <c r="AN927" s="143"/>
      <c r="AO927" s="143"/>
      <c r="AP927" s="143"/>
      <c r="AQ927" s="143"/>
      <c r="AR927" s="143"/>
      <c r="AS927" s="143"/>
    </row>
    <row r="928"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  <c r="AA928" s="143"/>
      <c r="AE928" s="143"/>
      <c r="AF928" s="143"/>
      <c r="AG928" s="143"/>
      <c r="AH928" s="143"/>
      <c r="AI928" s="143"/>
      <c r="AJ928" s="143"/>
      <c r="AK928" s="143"/>
      <c r="AL928" s="143"/>
      <c r="AM928" s="143"/>
      <c r="AN928" s="143"/>
      <c r="AO928" s="143"/>
      <c r="AP928" s="143"/>
      <c r="AQ928" s="143"/>
      <c r="AR928" s="143"/>
      <c r="AS928" s="143"/>
    </row>
    <row r="929"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  <c r="AA929" s="143"/>
      <c r="AE929" s="143"/>
      <c r="AF929" s="143"/>
      <c r="AG929" s="143"/>
      <c r="AH929" s="143"/>
      <c r="AI929" s="143"/>
      <c r="AJ929" s="143"/>
      <c r="AK929" s="143"/>
      <c r="AL929" s="143"/>
      <c r="AM929" s="143"/>
      <c r="AN929" s="143"/>
      <c r="AO929" s="143"/>
      <c r="AP929" s="143"/>
      <c r="AQ929" s="143"/>
      <c r="AR929" s="143"/>
      <c r="AS929" s="143"/>
    </row>
    <row r="930"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  <c r="AA930" s="143"/>
      <c r="AE930" s="143"/>
      <c r="AF930" s="143"/>
      <c r="AG930" s="143"/>
      <c r="AH930" s="143"/>
      <c r="AI930" s="143"/>
      <c r="AJ930" s="143"/>
      <c r="AK930" s="143"/>
      <c r="AL930" s="143"/>
      <c r="AM930" s="143"/>
      <c r="AN930" s="143"/>
      <c r="AO930" s="143"/>
      <c r="AP930" s="143"/>
      <c r="AQ930" s="143"/>
      <c r="AR930" s="143"/>
      <c r="AS930" s="143"/>
    </row>
    <row r="931"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  <c r="AA931" s="143"/>
      <c r="AE931" s="143"/>
      <c r="AF931" s="143"/>
      <c r="AG931" s="143"/>
      <c r="AH931" s="143"/>
      <c r="AI931" s="143"/>
      <c r="AJ931" s="143"/>
      <c r="AK931" s="143"/>
      <c r="AL931" s="143"/>
      <c r="AM931" s="143"/>
      <c r="AN931" s="143"/>
      <c r="AO931" s="143"/>
      <c r="AP931" s="143"/>
      <c r="AQ931" s="143"/>
      <c r="AR931" s="143"/>
      <c r="AS931" s="143"/>
    </row>
    <row r="932"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  <c r="AA932" s="143"/>
      <c r="AE932" s="143"/>
      <c r="AF932" s="143"/>
      <c r="AG932" s="143"/>
      <c r="AH932" s="143"/>
      <c r="AI932" s="143"/>
      <c r="AJ932" s="143"/>
      <c r="AK932" s="143"/>
      <c r="AL932" s="143"/>
      <c r="AM932" s="143"/>
      <c r="AN932" s="143"/>
      <c r="AO932" s="143"/>
      <c r="AP932" s="143"/>
      <c r="AQ932" s="143"/>
      <c r="AR932" s="143"/>
      <c r="AS932" s="143"/>
    </row>
    <row r="933"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  <c r="AA933" s="143"/>
      <c r="AE933" s="143"/>
      <c r="AF933" s="143"/>
      <c r="AG933" s="143"/>
      <c r="AH933" s="143"/>
      <c r="AI933" s="143"/>
      <c r="AJ933" s="143"/>
      <c r="AK933" s="143"/>
      <c r="AL933" s="143"/>
      <c r="AM933" s="143"/>
      <c r="AN933" s="143"/>
      <c r="AO933" s="143"/>
      <c r="AP933" s="143"/>
      <c r="AQ933" s="143"/>
      <c r="AR933" s="143"/>
      <c r="AS933" s="143"/>
    </row>
    <row r="934"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  <c r="AA934" s="143"/>
      <c r="AE934" s="143"/>
      <c r="AF934" s="143"/>
      <c r="AG934" s="143"/>
      <c r="AH934" s="143"/>
      <c r="AI934" s="143"/>
      <c r="AJ934" s="143"/>
      <c r="AK934" s="143"/>
      <c r="AL934" s="143"/>
      <c r="AM934" s="143"/>
      <c r="AN934" s="143"/>
      <c r="AO934" s="143"/>
      <c r="AP934" s="143"/>
      <c r="AQ934" s="143"/>
      <c r="AR934" s="143"/>
      <c r="AS934" s="143"/>
    </row>
    <row r="935"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  <c r="AA935" s="143"/>
      <c r="AE935" s="143"/>
      <c r="AF935" s="143"/>
      <c r="AG935" s="143"/>
      <c r="AH935" s="143"/>
      <c r="AI935" s="143"/>
      <c r="AJ935" s="143"/>
      <c r="AK935" s="143"/>
      <c r="AL935" s="143"/>
      <c r="AM935" s="143"/>
      <c r="AN935" s="143"/>
      <c r="AO935" s="143"/>
      <c r="AP935" s="143"/>
      <c r="AQ935" s="143"/>
      <c r="AR935" s="143"/>
      <c r="AS935" s="143"/>
    </row>
    <row r="936"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  <c r="AA936" s="143"/>
      <c r="AE936" s="143"/>
      <c r="AF936" s="143"/>
      <c r="AG936" s="143"/>
      <c r="AH936" s="143"/>
      <c r="AI936" s="143"/>
      <c r="AJ936" s="143"/>
      <c r="AK936" s="143"/>
      <c r="AL936" s="143"/>
      <c r="AM936" s="143"/>
      <c r="AN936" s="143"/>
      <c r="AO936" s="143"/>
      <c r="AP936" s="143"/>
      <c r="AQ936" s="143"/>
      <c r="AR936" s="143"/>
      <c r="AS936" s="143"/>
    </row>
    <row r="937"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  <c r="AA937" s="143"/>
      <c r="AE937" s="143"/>
      <c r="AF937" s="143"/>
      <c r="AG937" s="143"/>
      <c r="AH937" s="143"/>
      <c r="AI937" s="143"/>
      <c r="AJ937" s="143"/>
      <c r="AK937" s="143"/>
      <c r="AL937" s="143"/>
      <c r="AM937" s="143"/>
      <c r="AN937" s="143"/>
      <c r="AO937" s="143"/>
      <c r="AP937" s="143"/>
      <c r="AQ937" s="143"/>
      <c r="AR937" s="143"/>
      <c r="AS937" s="143"/>
    </row>
    <row r="938"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  <c r="AA938" s="143"/>
      <c r="AE938" s="143"/>
      <c r="AF938" s="143"/>
      <c r="AG938" s="143"/>
      <c r="AH938" s="143"/>
      <c r="AI938" s="143"/>
      <c r="AJ938" s="143"/>
      <c r="AK938" s="143"/>
      <c r="AL938" s="143"/>
      <c r="AM938" s="143"/>
      <c r="AN938" s="143"/>
      <c r="AO938" s="143"/>
      <c r="AP938" s="143"/>
      <c r="AQ938" s="143"/>
      <c r="AR938" s="143"/>
      <c r="AS938" s="143"/>
    </row>
    <row r="939"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  <c r="AA939" s="143"/>
      <c r="AE939" s="143"/>
      <c r="AF939" s="143"/>
      <c r="AG939" s="143"/>
      <c r="AH939" s="143"/>
      <c r="AI939" s="143"/>
      <c r="AJ939" s="143"/>
      <c r="AK939" s="143"/>
      <c r="AL939" s="143"/>
      <c r="AM939" s="143"/>
      <c r="AN939" s="143"/>
      <c r="AO939" s="143"/>
      <c r="AP939" s="143"/>
      <c r="AQ939" s="143"/>
      <c r="AR939" s="143"/>
      <c r="AS939" s="143"/>
    </row>
    <row r="940"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  <c r="AA940" s="143"/>
      <c r="AE940" s="143"/>
      <c r="AF940" s="143"/>
      <c r="AG940" s="143"/>
      <c r="AH940" s="143"/>
      <c r="AI940" s="143"/>
      <c r="AJ940" s="143"/>
      <c r="AK940" s="143"/>
      <c r="AL940" s="143"/>
      <c r="AM940" s="143"/>
      <c r="AN940" s="143"/>
      <c r="AO940" s="143"/>
      <c r="AP940" s="143"/>
      <c r="AQ940" s="143"/>
      <c r="AR940" s="143"/>
      <c r="AS940" s="143"/>
    </row>
    <row r="941"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  <c r="AA941" s="143"/>
      <c r="AE941" s="143"/>
      <c r="AF941" s="143"/>
      <c r="AG941" s="143"/>
      <c r="AH941" s="143"/>
      <c r="AI941" s="143"/>
      <c r="AJ941" s="143"/>
      <c r="AK941" s="143"/>
      <c r="AL941" s="143"/>
      <c r="AM941" s="143"/>
      <c r="AN941" s="143"/>
      <c r="AO941" s="143"/>
      <c r="AP941" s="143"/>
      <c r="AQ941" s="143"/>
      <c r="AR941" s="143"/>
      <c r="AS941" s="143"/>
    </row>
    <row r="942"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  <c r="AA942" s="143"/>
      <c r="AE942" s="143"/>
      <c r="AF942" s="143"/>
      <c r="AG942" s="143"/>
      <c r="AH942" s="143"/>
      <c r="AI942" s="143"/>
      <c r="AJ942" s="143"/>
      <c r="AK942" s="143"/>
      <c r="AL942" s="143"/>
      <c r="AM942" s="143"/>
      <c r="AN942" s="143"/>
      <c r="AO942" s="143"/>
      <c r="AP942" s="143"/>
      <c r="AQ942" s="143"/>
      <c r="AR942" s="143"/>
      <c r="AS942" s="143"/>
    </row>
    <row r="943"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  <c r="AA943" s="143"/>
      <c r="AE943" s="143"/>
      <c r="AF943" s="143"/>
      <c r="AG943" s="143"/>
      <c r="AH943" s="143"/>
      <c r="AI943" s="143"/>
      <c r="AJ943" s="143"/>
      <c r="AK943" s="143"/>
      <c r="AL943" s="143"/>
      <c r="AM943" s="143"/>
      <c r="AN943" s="143"/>
      <c r="AO943" s="143"/>
      <c r="AP943" s="143"/>
      <c r="AQ943" s="143"/>
      <c r="AR943" s="143"/>
      <c r="AS943" s="143"/>
    </row>
    <row r="944"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  <c r="AA944" s="143"/>
      <c r="AE944" s="143"/>
      <c r="AF944" s="143"/>
      <c r="AG944" s="143"/>
      <c r="AH944" s="143"/>
      <c r="AI944" s="143"/>
      <c r="AJ944" s="143"/>
      <c r="AK944" s="143"/>
      <c r="AL944" s="143"/>
      <c r="AM944" s="143"/>
      <c r="AN944" s="143"/>
      <c r="AO944" s="143"/>
      <c r="AP944" s="143"/>
      <c r="AQ944" s="143"/>
      <c r="AR944" s="143"/>
      <c r="AS944" s="143"/>
    </row>
    <row r="945"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  <c r="AA945" s="143"/>
      <c r="AE945" s="143"/>
      <c r="AF945" s="143"/>
      <c r="AG945" s="143"/>
      <c r="AH945" s="143"/>
      <c r="AI945" s="143"/>
      <c r="AJ945" s="143"/>
      <c r="AK945" s="143"/>
      <c r="AL945" s="143"/>
      <c r="AM945" s="143"/>
      <c r="AN945" s="143"/>
      <c r="AO945" s="143"/>
      <c r="AP945" s="143"/>
      <c r="AQ945" s="143"/>
      <c r="AR945" s="143"/>
      <c r="AS945" s="143"/>
    </row>
    <row r="946"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  <c r="AA946" s="143"/>
      <c r="AE946" s="143"/>
      <c r="AF946" s="143"/>
      <c r="AG946" s="143"/>
      <c r="AH946" s="143"/>
      <c r="AI946" s="143"/>
      <c r="AJ946" s="143"/>
      <c r="AK946" s="143"/>
      <c r="AL946" s="143"/>
      <c r="AM946" s="143"/>
      <c r="AN946" s="143"/>
      <c r="AO946" s="143"/>
      <c r="AP946" s="143"/>
      <c r="AQ946" s="143"/>
      <c r="AR946" s="143"/>
      <c r="AS946" s="143"/>
    </row>
    <row r="947"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  <c r="AA947" s="143"/>
      <c r="AE947" s="143"/>
      <c r="AF947" s="143"/>
      <c r="AG947" s="143"/>
      <c r="AH947" s="143"/>
      <c r="AI947" s="143"/>
      <c r="AJ947" s="143"/>
      <c r="AK947" s="143"/>
      <c r="AL947" s="143"/>
      <c r="AM947" s="143"/>
      <c r="AN947" s="143"/>
      <c r="AO947" s="143"/>
      <c r="AP947" s="143"/>
      <c r="AQ947" s="143"/>
      <c r="AR947" s="143"/>
      <c r="AS947" s="143"/>
    </row>
    <row r="948"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  <c r="AA948" s="143"/>
      <c r="AE948" s="143"/>
      <c r="AF948" s="143"/>
      <c r="AG948" s="143"/>
      <c r="AH948" s="143"/>
      <c r="AI948" s="143"/>
      <c r="AJ948" s="143"/>
      <c r="AK948" s="143"/>
      <c r="AL948" s="143"/>
      <c r="AM948" s="143"/>
      <c r="AN948" s="143"/>
      <c r="AO948" s="143"/>
      <c r="AP948" s="143"/>
      <c r="AQ948" s="143"/>
      <c r="AR948" s="143"/>
      <c r="AS948" s="143"/>
    </row>
    <row r="949"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  <c r="AA949" s="143"/>
      <c r="AE949" s="143"/>
      <c r="AF949" s="143"/>
      <c r="AG949" s="143"/>
      <c r="AH949" s="143"/>
      <c r="AI949" s="143"/>
      <c r="AJ949" s="143"/>
      <c r="AK949" s="143"/>
      <c r="AL949" s="143"/>
      <c r="AM949" s="143"/>
      <c r="AN949" s="143"/>
      <c r="AO949" s="143"/>
      <c r="AP949" s="143"/>
      <c r="AQ949" s="143"/>
      <c r="AR949" s="143"/>
      <c r="AS949" s="143"/>
    </row>
    <row r="950"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  <c r="AA950" s="143"/>
      <c r="AE950" s="143"/>
      <c r="AF950" s="143"/>
      <c r="AG950" s="143"/>
      <c r="AH950" s="143"/>
      <c r="AI950" s="143"/>
      <c r="AJ950" s="143"/>
      <c r="AK950" s="143"/>
      <c r="AL950" s="143"/>
      <c r="AM950" s="143"/>
      <c r="AN950" s="143"/>
      <c r="AO950" s="143"/>
      <c r="AP950" s="143"/>
      <c r="AQ950" s="143"/>
      <c r="AR950" s="143"/>
      <c r="AS950" s="143"/>
    </row>
    <row r="951"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  <c r="AA951" s="143"/>
      <c r="AE951" s="143"/>
      <c r="AF951" s="143"/>
      <c r="AG951" s="143"/>
      <c r="AH951" s="143"/>
      <c r="AI951" s="143"/>
      <c r="AJ951" s="143"/>
      <c r="AK951" s="143"/>
      <c r="AL951" s="143"/>
      <c r="AM951" s="143"/>
      <c r="AN951" s="143"/>
      <c r="AO951" s="143"/>
      <c r="AP951" s="143"/>
      <c r="AQ951" s="143"/>
      <c r="AR951" s="143"/>
      <c r="AS951" s="143"/>
    </row>
    <row r="952"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  <c r="AA952" s="143"/>
      <c r="AE952" s="143"/>
      <c r="AF952" s="143"/>
      <c r="AG952" s="143"/>
      <c r="AH952" s="143"/>
      <c r="AI952" s="143"/>
      <c r="AJ952" s="143"/>
      <c r="AK952" s="143"/>
      <c r="AL952" s="143"/>
      <c r="AM952" s="143"/>
      <c r="AN952" s="143"/>
      <c r="AO952" s="143"/>
      <c r="AP952" s="143"/>
      <c r="AQ952" s="143"/>
      <c r="AR952" s="143"/>
      <c r="AS952" s="143"/>
    </row>
    <row r="953"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  <c r="AA953" s="143"/>
      <c r="AE953" s="143"/>
      <c r="AF953" s="143"/>
      <c r="AG953" s="143"/>
      <c r="AH953" s="143"/>
      <c r="AI953" s="143"/>
      <c r="AJ953" s="143"/>
      <c r="AK953" s="143"/>
      <c r="AL953" s="143"/>
      <c r="AM953" s="143"/>
      <c r="AN953" s="143"/>
      <c r="AO953" s="143"/>
      <c r="AP953" s="143"/>
      <c r="AQ953" s="143"/>
      <c r="AR953" s="143"/>
      <c r="AS953" s="143"/>
    </row>
    <row r="954"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  <c r="AA954" s="143"/>
      <c r="AE954" s="143"/>
      <c r="AF954" s="143"/>
      <c r="AG954" s="143"/>
      <c r="AH954" s="143"/>
      <c r="AI954" s="143"/>
      <c r="AJ954" s="143"/>
      <c r="AK954" s="143"/>
      <c r="AL954" s="143"/>
      <c r="AM954" s="143"/>
      <c r="AN954" s="143"/>
      <c r="AO954" s="143"/>
      <c r="AP954" s="143"/>
      <c r="AQ954" s="143"/>
      <c r="AR954" s="143"/>
      <c r="AS954" s="143"/>
    </row>
    <row r="955"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  <c r="AA955" s="143"/>
      <c r="AE955" s="143"/>
      <c r="AF955" s="143"/>
      <c r="AG955" s="143"/>
      <c r="AH955" s="143"/>
      <c r="AI955" s="143"/>
      <c r="AJ955" s="143"/>
      <c r="AK955" s="143"/>
      <c r="AL955" s="143"/>
      <c r="AM955" s="143"/>
      <c r="AN955" s="143"/>
      <c r="AO955" s="143"/>
      <c r="AP955" s="143"/>
      <c r="AQ955" s="143"/>
      <c r="AR955" s="143"/>
      <c r="AS955" s="143"/>
    </row>
    <row r="956"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  <c r="AA956" s="143"/>
      <c r="AE956" s="143"/>
      <c r="AF956" s="143"/>
      <c r="AG956" s="143"/>
      <c r="AH956" s="143"/>
      <c r="AI956" s="143"/>
      <c r="AJ956" s="143"/>
      <c r="AK956" s="143"/>
      <c r="AL956" s="143"/>
      <c r="AM956" s="143"/>
      <c r="AN956" s="143"/>
      <c r="AO956" s="143"/>
      <c r="AP956" s="143"/>
      <c r="AQ956" s="143"/>
      <c r="AR956" s="143"/>
      <c r="AS956" s="143"/>
    </row>
    <row r="957"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  <c r="AA957" s="143"/>
      <c r="AE957" s="143"/>
      <c r="AF957" s="143"/>
      <c r="AG957" s="143"/>
      <c r="AH957" s="143"/>
      <c r="AI957" s="143"/>
      <c r="AJ957" s="143"/>
      <c r="AK957" s="143"/>
      <c r="AL957" s="143"/>
      <c r="AM957" s="143"/>
      <c r="AN957" s="143"/>
      <c r="AO957" s="143"/>
      <c r="AP957" s="143"/>
      <c r="AQ957" s="143"/>
      <c r="AR957" s="143"/>
      <c r="AS957" s="143"/>
    </row>
    <row r="958"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  <c r="AA958" s="143"/>
      <c r="AE958" s="143"/>
      <c r="AF958" s="143"/>
      <c r="AG958" s="143"/>
      <c r="AH958" s="143"/>
      <c r="AI958" s="143"/>
      <c r="AJ958" s="143"/>
      <c r="AK958" s="143"/>
      <c r="AL958" s="143"/>
      <c r="AM958" s="143"/>
      <c r="AN958" s="143"/>
      <c r="AO958" s="143"/>
      <c r="AP958" s="143"/>
      <c r="AQ958" s="143"/>
      <c r="AR958" s="143"/>
      <c r="AS958" s="143"/>
    </row>
    <row r="959"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  <c r="AA959" s="143"/>
      <c r="AE959" s="143"/>
      <c r="AF959" s="143"/>
      <c r="AG959" s="143"/>
      <c r="AH959" s="143"/>
      <c r="AI959" s="143"/>
      <c r="AJ959" s="143"/>
      <c r="AK959" s="143"/>
      <c r="AL959" s="143"/>
      <c r="AM959" s="143"/>
      <c r="AN959" s="143"/>
      <c r="AO959" s="143"/>
      <c r="AP959" s="143"/>
      <c r="AQ959" s="143"/>
      <c r="AR959" s="143"/>
      <c r="AS959" s="143"/>
    </row>
    <row r="960"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  <c r="AA960" s="143"/>
      <c r="AE960" s="143"/>
      <c r="AF960" s="143"/>
      <c r="AG960" s="143"/>
      <c r="AH960" s="143"/>
      <c r="AI960" s="143"/>
      <c r="AJ960" s="143"/>
      <c r="AK960" s="143"/>
      <c r="AL960" s="143"/>
      <c r="AM960" s="143"/>
      <c r="AN960" s="143"/>
      <c r="AO960" s="143"/>
      <c r="AP960" s="143"/>
      <c r="AQ960" s="143"/>
      <c r="AR960" s="143"/>
      <c r="AS960" s="143"/>
    </row>
    <row r="961"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  <c r="AA961" s="143"/>
      <c r="AE961" s="143"/>
      <c r="AF961" s="143"/>
      <c r="AG961" s="143"/>
      <c r="AH961" s="143"/>
      <c r="AI961" s="143"/>
      <c r="AJ961" s="143"/>
      <c r="AK961" s="143"/>
      <c r="AL961" s="143"/>
      <c r="AM961" s="143"/>
      <c r="AN961" s="143"/>
      <c r="AO961" s="143"/>
      <c r="AP961" s="143"/>
      <c r="AQ961" s="143"/>
      <c r="AR961" s="143"/>
      <c r="AS961" s="143"/>
    </row>
    <row r="962"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  <c r="AA962" s="143"/>
      <c r="AE962" s="143"/>
      <c r="AF962" s="143"/>
      <c r="AG962" s="143"/>
      <c r="AH962" s="143"/>
      <c r="AI962" s="143"/>
      <c r="AJ962" s="143"/>
      <c r="AK962" s="143"/>
      <c r="AL962" s="143"/>
      <c r="AM962" s="143"/>
      <c r="AN962" s="143"/>
      <c r="AO962" s="143"/>
      <c r="AP962" s="143"/>
      <c r="AQ962" s="143"/>
      <c r="AR962" s="143"/>
      <c r="AS962" s="143"/>
    </row>
    <row r="963"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  <c r="AA963" s="143"/>
      <c r="AE963" s="143"/>
      <c r="AF963" s="143"/>
      <c r="AG963" s="143"/>
      <c r="AH963" s="143"/>
      <c r="AI963" s="143"/>
      <c r="AJ963" s="143"/>
      <c r="AK963" s="143"/>
      <c r="AL963" s="143"/>
      <c r="AM963" s="143"/>
      <c r="AN963" s="143"/>
      <c r="AO963" s="143"/>
      <c r="AP963" s="143"/>
      <c r="AQ963" s="143"/>
      <c r="AR963" s="143"/>
      <c r="AS963" s="143"/>
    </row>
    <row r="964"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  <c r="AA964" s="143"/>
      <c r="AE964" s="143"/>
      <c r="AF964" s="143"/>
      <c r="AG964" s="143"/>
      <c r="AH964" s="143"/>
      <c r="AI964" s="143"/>
      <c r="AJ964" s="143"/>
      <c r="AK964" s="143"/>
      <c r="AL964" s="143"/>
      <c r="AM964" s="143"/>
      <c r="AN964" s="143"/>
      <c r="AO964" s="143"/>
      <c r="AP964" s="143"/>
      <c r="AQ964" s="143"/>
      <c r="AR964" s="143"/>
      <c r="AS964" s="143"/>
    </row>
    <row r="965"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  <c r="AA965" s="143"/>
      <c r="AE965" s="143"/>
      <c r="AF965" s="143"/>
      <c r="AG965" s="143"/>
      <c r="AH965" s="143"/>
      <c r="AI965" s="143"/>
      <c r="AJ965" s="143"/>
      <c r="AK965" s="143"/>
      <c r="AL965" s="143"/>
      <c r="AM965" s="143"/>
      <c r="AN965" s="143"/>
      <c r="AO965" s="143"/>
      <c r="AP965" s="143"/>
      <c r="AQ965" s="143"/>
      <c r="AR965" s="143"/>
      <c r="AS965" s="143"/>
    </row>
    <row r="966"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  <c r="AA966" s="143"/>
      <c r="AE966" s="143"/>
      <c r="AF966" s="143"/>
      <c r="AG966" s="143"/>
      <c r="AH966" s="143"/>
      <c r="AI966" s="143"/>
      <c r="AJ966" s="143"/>
      <c r="AK966" s="143"/>
      <c r="AL966" s="143"/>
      <c r="AM966" s="143"/>
      <c r="AN966" s="143"/>
      <c r="AO966" s="143"/>
      <c r="AP966" s="143"/>
      <c r="AQ966" s="143"/>
      <c r="AR966" s="143"/>
      <c r="AS966" s="143"/>
    </row>
    <row r="967"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  <c r="AA967" s="143"/>
      <c r="AE967" s="143"/>
      <c r="AF967" s="143"/>
      <c r="AG967" s="143"/>
      <c r="AH967" s="143"/>
      <c r="AI967" s="143"/>
      <c r="AJ967" s="143"/>
      <c r="AK967" s="143"/>
      <c r="AL967" s="143"/>
      <c r="AM967" s="143"/>
      <c r="AN967" s="143"/>
      <c r="AO967" s="143"/>
      <c r="AP967" s="143"/>
      <c r="AQ967" s="143"/>
      <c r="AR967" s="143"/>
      <c r="AS967" s="143"/>
    </row>
    <row r="968"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  <c r="AA968" s="143"/>
      <c r="AE968" s="143"/>
      <c r="AF968" s="143"/>
      <c r="AG968" s="143"/>
      <c r="AH968" s="143"/>
      <c r="AI968" s="143"/>
      <c r="AJ968" s="143"/>
      <c r="AK968" s="143"/>
      <c r="AL968" s="143"/>
      <c r="AM968" s="143"/>
      <c r="AN968" s="143"/>
      <c r="AO968" s="143"/>
      <c r="AP968" s="143"/>
      <c r="AQ968" s="143"/>
      <c r="AR968" s="143"/>
      <c r="AS968" s="143"/>
    </row>
    <row r="969"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  <c r="AA969" s="143"/>
      <c r="AE969" s="143"/>
      <c r="AF969" s="143"/>
      <c r="AG969" s="143"/>
      <c r="AH969" s="143"/>
      <c r="AI969" s="143"/>
      <c r="AJ969" s="143"/>
      <c r="AK969" s="143"/>
      <c r="AL969" s="143"/>
      <c r="AM969" s="143"/>
      <c r="AN969" s="143"/>
      <c r="AO969" s="143"/>
      <c r="AP969" s="143"/>
      <c r="AQ969" s="143"/>
      <c r="AR969" s="143"/>
      <c r="AS969" s="143"/>
    </row>
    <row r="970"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  <c r="AA970" s="143"/>
      <c r="AE970" s="143"/>
      <c r="AF970" s="143"/>
      <c r="AG970" s="143"/>
      <c r="AH970" s="143"/>
      <c r="AI970" s="143"/>
      <c r="AJ970" s="143"/>
      <c r="AK970" s="143"/>
      <c r="AL970" s="143"/>
      <c r="AM970" s="143"/>
      <c r="AN970" s="143"/>
      <c r="AO970" s="143"/>
      <c r="AP970" s="143"/>
      <c r="AQ970" s="143"/>
      <c r="AR970" s="143"/>
      <c r="AS970" s="143"/>
    </row>
    <row r="971"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  <c r="AA971" s="143"/>
      <c r="AE971" s="143"/>
      <c r="AF971" s="143"/>
      <c r="AG971" s="143"/>
      <c r="AH971" s="143"/>
      <c r="AI971" s="143"/>
      <c r="AJ971" s="143"/>
      <c r="AK971" s="143"/>
      <c r="AL971" s="143"/>
      <c r="AM971" s="143"/>
      <c r="AN971" s="143"/>
      <c r="AO971" s="143"/>
      <c r="AP971" s="143"/>
      <c r="AQ971" s="143"/>
      <c r="AR971" s="143"/>
      <c r="AS971" s="143"/>
    </row>
    <row r="972"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  <c r="AA972" s="143"/>
      <c r="AE972" s="143"/>
      <c r="AF972" s="143"/>
      <c r="AG972" s="143"/>
      <c r="AH972" s="143"/>
      <c r="AI972" s="143"/>
      <c r="AJ972" s="143"/>
      <c r="AK972" s="143"/>
      <c r="AL972" s="143"/>
      <c r="AM972" s="143"/>
      <c r="AN972" s="143"/>
      <c r="AO972" s="143"/>
      <c r="AP972" s="143"/>
      <c r="AQ972" s="143"/>
      <c r="AR972" s="143"/>
      <c r="AS972" s="143"/>
    </row>
    <row r="973"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  <c r="AA973" s="143"/>
      <c r="AE973" s="143"/>
      <c r="AF973" s="143"/>
      <c r="AG973" s="143"/>
      <c r="AH973" s="143"/>
      <c r="AI973" s="143"/>
      <c r="AJ973" s="143"/>
      <c r="AK973" s="143"/>
      <c r="AL973" s="143"/>
      <c r="AM973" s="143"/>
      <c r="AN973" s="143"/>
      <c r="AO973" s="143"/>
      <c r="AP973" s="143"/>
      <c r="AQ973" s="143"/>
      <c r="AR973" s="143"/>
      <c r="AS973" s="143"/>
    </row>
    <row r="974"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  <c r="AA974" s="143"/>
      <c r="AE974" s="143"/>
      <c r="AF974" s="143"/>
      <c r="AG974" s="143"/>
      <c r="AH974" s="143"/>
      <c r="AI974" s="143"/>
      <c r="AJ974" s="143"/>
      <c r="AK974" s="143"/>
      <c r="AL974" s="143"/>
      <c r="AM974" s="143"/>
      <c r="AN974" s="143"/>
      <c r="AO974" s="143"/>
      <c r="AP974" s="143"/>
      <c r="AQ974" s="143"/>
      <c r="AR974" s="143"/>
      <c r="AS974" s="143"/>
    </row>
    <row r="975"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  <c r="AA975" s="143"/>
      <c r="AE975" s="143"/>
      <c r="AF975" s="143"/>
      <c r="AG975" s="143"/>
      <c r="AH975" s="143"/>
      <c r="AI975" s="143"/>
      <c r="AJ975" s="143"/>
      <c r="AK975" s="143"/>
      <c r="AL975" s="143"/>
      <c r="AM975" s="143"/>
      <c r="AN975" s="143"/>
      <c r="AO975" s="143"/>
      <c r="AP975" s="143"/>
      <c r="AQ975" s="143"/>
      <c r="AR975" s="143"/>
      <c r="AS975" s="143"/>
    </row>
    <row r="976"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  <c r="AA976" s="143"/>
      <c r="AE976" s="143"/>
      <c r="AF976" s="143"/>
      <c r="AG976" s="143"/>
      <c r="AH976" s="143"/>
      <c r="AI976" s="143"/>
      <c r="AJ976" s="143"/>
      <c r="AK976" s="143"/>
      <c r="AL976" s="143"/>
      <c r="AM976" s="143"/>
      <c r="AN976" s="143"/>
      <c r="AO976" s="143"/>
      <c r="AP976" s="143"/>
      <c r="AQ976" s="143"/>
      <c r="AR976" s="143"/>
      <c r="AS976" s="143"/>
    </row>
    <row r="977"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  <c r="AA977" s="143"/>
      <c r="AE977" s="143"/>
      <c r="AF977" s="143"/>
      <c r="AG977" s="143"/>
      <c r="AH977" s="143"/>
      <c r="AI977" s="143"/>
      <c r="AJ977" s="143"/>
      <c r="AK977" s="143"/>
      <c r="AL977" s="143"/>
      <c r="AM977" s="143"/>
      <c r="AN977" s="143"/>
      <c r="AO977" s="143"/>
      <c r="AP977" s="143"/>
      <c r="AQ977" s="143"/>
      <c r="AR977" s="143"/>
      <c r="AS977" s="143"/>
    </row>
    <row r="978"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  <c r="AA978" s="143"/>
      <c r="AE978" s="143"/>
      <c r="AF978" s="143"/>
      <c r="AG978" s="143"/>
      <c r="AH978" s="143"/>
      <c r="AI978" s="143"/>
      <c r="AJ978" s="143"/>
      <c r="AK978" s="143"/>
      <c r="AL978" s="143"/>
      <c r="AM978" s="143"/>
      <c r="AN978" s="143"/>
      <c r="AO978" s="143"/>
      <c r="AP978" s="143"/>
      <c r="AQ978" s="143"/>
      <c r="AR978" s="143"/>
      <c r="AS978" s="143"/>
    </row>
    <row r="979"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  <c r="AA979" s="143"/>
      <c r="AE979" s="143"/>
      <c r="AF979" s="143"/>
      <c r="AG979" s="143"/>
      <c r="AH979" s="143"/>
      <c r="AI979" s="143"/>
      <c r="AJ979" s="143"/>
      <c r="AK979" s="143"/>
      <c r="AL979" s="143"/>
      <c r="AM979" s="143"/>
      <c r="AN979" s="143"/>
      <c r="AO979" s="143"/>
      <c r="AP979" s="143"/>
      <c r="AQ979" s="143"/>
      <c r="AR979" s="143"/>
      <c r="AS979" s="143"/>
    </row>
    <row r="980"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  <c r="AA980" s="143"/>
      <c r="AE980" s="143"/>
      <c r="AF980" s="143"/>
      <c r="AG980" s="143"/>
      <c r="AH980" s="143"/>
      <c r="AI980" s="143"/>
      <c r="AJ980" s="143"/>
      <c r="AK980" s="143"/>
      <c r="AL980" s="143"/>
      <c r="AM980" s="143"/>
      <c r="AN980" s="143"/>
      <c r="AO980" s="143"/>
      <c r="AP980" s="143"/>
      <c r="AQ980" s="143"/>
      <c r="AR980" s="143"/>
      <c r="AS980" s="143"/>
    </row>
    <row r="981"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  <c r="AA981" s="143"/>
      <c r="AE981" s="143"/>
      <c r="AF981" s="143"/>
      <c r="AG981" s="143"/>
      <c r="AH981" s="143"/>
      <c r="AI981" s="143"/>
      <c r="AJ981" s="143"/>
      <c r="AK981" s="143"/>
      <c r="AL981" s="143"/>
      <c r="AM981" s="143"/>
      <c r="AN981" s="143"/>
      <c r="AO981" s="143"/>
      <c r="AP981" s="143"/>
      <c r="AQ981" s="143"/>
      <c r="AR981" s="143"/>
      <c r="AS981" s="143"/>
    </row>
    <row r="982"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  <c r="AA982" s="143"/>
      <c r="AE982" s="143"/>
      <c r="AF982" s="143"/>
      <c r="AG982" s="143"/>
      <c r="AH982" s="143"/>
      <c r="AI982" s="143"/>
      <c r="AJ982" s="143"/>
      <c r="AK982" s="143"/>
      <c r="AL982" s="143"/>
      <c r="AM982" s="143"/>
      <c r="AN982" s="143"/>
      <c r="AO982" s="143"/>
      <c r="AP982" s="143"/>
      <c r="AQ982" s="143"/>
      <c r="AR982" s="143"/>
      <c r="AS982" s="143"/>
    </row>
    <row r="983"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  <c r="AA983" s="143"/>
      <c r="AE983" s="143"/>
      <c r="AF983" s="143"/>
      <c r="AG983" s="143"/>
      <c r="AH983" s="143"/>
      <c r="AI983" s="143"/>
      <c r="AJ983" s="143"/>
      <c r="AK983" s="143"/>
      <c r="AL983" s="143"/>
      <c r="AM983" s="143"/>
      <c r="AN983" s="143"/>
      <c r="AO983" s="143"/>
      <c r="AP983" s="143"/>
      <c r="AQ983" s="143"/>
      <c r="AR983" s="143"/>
      <c r="AS983" s="143"/>
    </row>
    <row r="984"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  <c r="AA984" s="143"/>
      <c r="AE984" s="143"/>
      <c r="AF984" s="143"/>
      <c r="AG984" s="143"/>
      <c r="AH984" s="143"/>
      <c r="AI984" s="143"/>
      <c r="AJ984" s="143"/>
      <c r="AK984" s="143"/>
      <c r="AL984" s="143"/>
      <c r="AM984" s="143"/>
      <c r="AN984" s="143"/>
      <c r="AO984" s="143"/>
      <c r="AP984" s="143"/>
      <c r="AQ984" s="143"/>
      <c r="AR984" s="143"/>
      <c r="AS984" s="143"/>
    </row>
    <row r="985"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  <c r="AA985" s="143"/>
      <c r="AE985" s="143"/>
      <c r="AF985" s="143"/>
      <c r="AG985" s="143"/>
      <c r="AH985" s="143"/>
      <c r="AI985" s="143"/>
      <c r="AJ985" s="143"/>
      <c r="AK985" s="143"/>
      <c r="AL985" s="143"/>
      <c r="AM985" s="143"/>
      <c r="AN985" s="143"/>
      <c r="AO985" s="143"/>
      <c r="AP985" s="143"/>
      <c r="AQ985" s="143"/>
      <c r="AR985" s="143"/>
      <c r="AS985" s="143"/>
    </row>
    <row r="986"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  <c r="AA986" s="143"/>
      <c r="AE986" s="143"/>
      <c r="AF986" s="143"/>
      <c r="AG986" s="143"/>
      <c r="AH986" s="143"/>
      <c r="AI986" s="143"/>
      <c r="AJ986" s="143"/>
      <c r="AK986" s="143"/>
      <c r="AL986" s="143"/>
      <c r="AM986" s="143"/>
      <c r="AN986" s="143"/>
      <c r="AO986" s="143"/>
      <c r="AP986" s="143"/>
      <c r="AQ986" s="143"/>
      <c r="AR986" s="143"/>
      <c r="AS986" s="143"/>
    </row>
    <row r="987"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  <c r="AA987" s="143"/>
      <c r="AE987" s="143"/>
      <c r="AF987" s="143"/>
      <c r="AG987" s="143"/>
      <c r="AH987" s="143"/>
      <c r="AI987" s="143"/>
      <c r="AJ987" s="143"/>
      <c r="AK987" s="143"/>
      <c r="AL987" s="143"/>
      <c r="AM987" s="143"/>
      <c r="AN987" s="143"/>
      <c r="AO987" s="143"/>
      <c r="AP987" s="143"/>
      <c r="AQ987" s="143"/>
      <c r="AR987" s="143"/>
      <c r="AS987" s="143"/>
    </row>
    <row r="988"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  <c r="AA988" s="143"/>
      <c r="AE988" s="143"/>
      <c r="AF988" s="143"/>
      <c r="AG988" s="143"/>
      <c r="AH988" s="143"/>
      <c r="AI988" s="143"/>
      <c r="AJ988" s="143"/>
      <c r="AK988" s="143"/>
      <c r="AL988" s="143"/>
      <c r="AM988" s="143"/>
      <c r="AN988" s="143"/>
      <c r="AO988" s="143"/>
      <c r="AP988" s="143"/>
      <c r="AQ988" s="143"/>
      <c r="AR988" s="143"/>
      <c r="AS988" s="143"/>
    </row>
    <row r="989"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  <c r="AA989" s="143"/>
      <c r="AE989" s="143"/>
      <c r="AF989" s="143"/>
      <c r="AG989" s="143"/>
      <c r="AH989" s="143"/>
      <c r="AI989" s="143"/>
      <c r="AJ989" s="143"/>
      <c r="AK989" s="143"/>
      <c r="AL989" s="143"/>
      <c r="AM989" s="143"/>
      <c r="AN989" s="143"/>
      <c r="AO989" s="143"/>
      <c r="AP989" s="143"/>
      <c r="AQ989" s="143"/>
      <c r="AR989" s="143"/>
      <c r="AS989" s="143"/>
    </row>
    <row r="990"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  <c r="AA990" s="143"/>
      <c r="AE990" s="143"/>
      <c r="AF990" s="143"/>
      <c r="AG990" s="143"/>
      <c r="AH990" s="143"/>
      <c r="AI990" s="143"/>
      <c r="AJ990" s="143"/>
      <c r="AK990" s="143"/>
      <c r="AL990" s="143"/>
      <c r="AM990" s="143"/>
      <c r="AN990" s="143"/>
      <c r="AO990" s="143"/>
      <c r="AP990" s="143"/>
      <c r="AQ990" s="143"/>
      <c r="AR990" s="143"/>
      <c r="AS990" s="143"/>
    </row>
    <row r="991"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  <c r="AA991" s="143"/>
      <c r="AE991" s="143"/>
      <c r="AF991" s="143"/>
      <c r="AG991" s="143"/>
      <c r="AH991" s="143"/>
      <c r="AI991" s="143"/>
      <c r="AJ991" s="143"/>
      <c r="AK991" s="143"/>
      <c r="AL991" s="143"/>
      <c r="AM991" s="143"/>
      <c r="AN991" s="143"/>
      <c r="AO991" s="143"/>
      <c r="AP991" s="143"/>
      <c r="AQ991" s="143"/>
      <c r="AR991" s="143"/>
      <c r="AS991" s="143"/>
    </row>
    <row r="992"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  <c r="AA992" s="143"/>
      <c r="AE992" s="143"/>
      <c r="AF992" s="143"/>
      <c r="AG992" s="143"/>
      <c r="AH992" s="143"/>
      <c r="AI992" s="143"/>
      <c r="AJ992" s="143"/>
      <c r="AK992" s="143"/>
      <c r="AL992" s="143"/>
      <c r="AM992" s="143"/>
      <c r="AN992" s="143"/>
      <c r="AO992" s="143"/>
      <c r="AP992" s="143"/>
      <c r="AQ992" s="143"/>
      <c r="AR992" s="143"/>
      <c r="AS992" s="143"/>
    </row>
    <row r="993"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  <c r="AA993" s="143"/>
      <c r="AE993" s="143"/>
      <c r="AF993" s="143"/>
      <c r="AG993" s="143"/>
      <c r="AH993" s="143"/>
      <c r="AI993" s="143"/>
      <c r="AJ993" s="143"/>
      <c r="AK993" s="143"/>
      <c r="AL993" s="143"/>
      <c r="AM993" s="143"/>
      <c r="AN993" s="143"/>
      <c r="AO993" s="143"/>
      <c r="AP993" s="143"/>
      <c r="AQ993" s="143"/>
      <c r="AR993" s="143"/>
      <c r="AS993" s="143"/>
    </row>
    <row r="994"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3"/>
      <c r="AA994" s="143"/>
      <c r="AE994" s="143"/>
      <c r="AF994" s="143"/>
      <c r="AG994" s="143"/>
      <c r="AH994" s="143"/>
      <c r="AI994" s="143"/>
      <c r="AJ994" s="143"/>
      <c r="AK994" s="143"/>
      <c r="AL994" s="143"/>
      <c r="AM994" s="143"/>
      <c r="AN994" s="143"/>
      <c r="AO994" s="143"/>
      <c r="AP994" s="143"/>
      <c r="AQ994" s="143"/>
      <c r="AR994" s="143"/>
      <c r="AS994" s="143"/>
    </row>
    <row r="995"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3"/>
      <c r="AA995" s="143"/>
      <c r="AE995" s="143"/>
      <c r="AF995" s="143"/>
      <c r="AG995" s="143"/>
      <c r="AH995" s="143"/>
      <c r="AI995" s="143"/>
      <c r="AJ995" s="143"/>
      <c r="AK995" s="143"/>
      <c r="AL995" s="143"/>
      <c r="AM995" s="143"/>
      <c r="AN995" s="143"/>
      <c r="AO995" s="143"/>
      <c r="AP995" s="143"/>
      <c r="AQ995" s="143"/>
      <c r="AR995" s="143"/>
      <c r="AS995" s="143"/>
    </row>
    <row r="996"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3"/>
      <c r="AA996" s="143"/>
      <c r="AE996" s="143"/>
      <c r="AF996" s="143"/>
      <c r="AG996" s="143"/>
      <c r="AH996" s="143"/>
      <c r="AI996" s="143"/>
      <c r="AJ996" s="143"/>
      <c r="AK996" s="143"/>
      <c r="AL996" s="143"/>
      <c r="AM996" s="143"/>
      <c r="AN996" s="143"/>
      <c r="AO996" s="143"/>
      <c r="AP996" s="143"/>
      <c r="AQ996" s="143"/>
      <c r="AR996" s="143"/>
      <c r="AS996" s="143"/>
    </row>
    <row r="997"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3"/>
      <c r="AA997" s="143"/>
      <c r="AE997" s="143"/>
      <c r="AF997" s="143"/>
      <c r="AG997" s="143"/>
      <c r="AH997" s="143"/>
      <c r="AI997" s="143"/>
      <c r="AJ997" s="143"/>
      <c r="AK997" s="143"/>
      <c r="AL997" s="143"/>
      <c r="AM997" s="143"/>
      <c r="AN997" s="143"/>
      <c r="AO997" s="143"/>
      <c r="AP997" s="143"/>
      <c r="AQ997" s="143"/>
      <c r="AR997" s="143"/>
      <c r="AS997" s="143"/>
    </row>
    <row r="998"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3"/>
      <c r="AA998" s="143"/>
      <c r="AE998" s="143"/>
      <c r="AF998" s="143"/>
      <c r="AG998" s="143"/>
      <c r="AH998" s="143"/>
      <c r="AI998" s="143"/>
      <c r="AJ998" s="143"/>
      <c r="AK998" s="143"/>
      <c r="AL998" s="143"/>
      <c r="AM998" s="143"/>
      <c r="AN998" s="143"/>
      <c r="AO998" s="143"/>
      <c r="AP998" s="143"/>
      <c r="AQ998" s="143"/>
      <c r="AR998" s="143"/>
      <c r="AS998" s="143"/>
    </row>
    <row r="999"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3"/>
      <c r="AA999" s="143"/>
      <c r="AE999" s="143"/>
      <c r="AF999" s="143"/>
      <c r="AG999" s="143"/>
      <c r="AH999" s="143"/>
      <c r="AI999" s="143"/>
      <c r="AJ999" s="143"/>
      <c r="AK999" s="143"/>
      <c r="AL999" s="143"/>
      <c r="AM999" s="143"/>
      <c r="AN999" s="143"/>
      <c r="AO999" s="143"/>
      <c r="AP999" s="143"/>
      <c r="AQ999" s="143"/>
      <c r="AR999" s="143"/>
      <c r="AS999" s="143"/>
    </row>
    <row r="1000"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3"/>
      <c r="AA1000" s="143"/>
      <c r="AE1000" s="143"/>
      <c r="AF1000" s="143"/>
      <c r="AG1000" s="143"/>
      <c r="AH1000" s="143"/>
      <c r="AI1000" s="143"/>
      <c r="AJ1000" s="143"/>
      <c r="AK1000" s="143"/>
      <c r="AL1000" s="143"/>
      <c r="AM1000" s="143"/>
      <c r="AN1000" s="143"/>
      <c r="AO1000" s="143"/>
      <c r="AP1000" s="143"/>
      <c r="AQ1000" s="143"/>
      <c r="AR1000" s="143"/>
      <c r="AS1000" s="143"/>
    </row>
    <row r="1001">
      <c r="M1001" s="143"/>
      <c r="N1001" s="143"/>
      <c r="O1001" s="143"/>
      <c r="P1001" s="143"/>
      <c r="Q1001" s="143"/>
      <c r="R1001" s="143"/>
      <c r="S1001" s="143"/>
      <c r="T1001" s="143"/>
      <c r="U1001" s="143"/>
      <c r="V1001" s="143"/>
      <c r="W1001" s="143"/>
      <c r="X1001" s="143"/>
      <c r="Y1001" s="143"/>
      <c r="Z1001" s="143"/>
      <c r="AA1001" s="143"/>
      <c r="AE1001" s="143"/>
      <c r="AF1001" s="143"/>
      <c r="AG1001" s="143"/>
      <c r="AH1001" s="143"/>
      <c r="AI1001" s="143"/>
      <c r="AJ1001" s="143"/>
      <c r="AK1001" s="143"/>
      <c r="AL1001" s="143"/>
      <c r="AM1001" s="143"/>
      <c r="AN1001" s="143"/>
      <c r="AO1001" s="143"/>
      <c r="AP1001" s="143"/>
      <c r="AQ1001" s="143"/>
      <c r="AR1001" s="143"/>
      <c r="AS1001" s="143"/>
    </row>
    <row r="1002">
      <c r="M1002" s="143"/>
      <c r="N1002" s="143"/>
      <c r="O1002" s="143"/>
      <c r="P1002" s="143"/>
      <c r="Q1002" s="143"/>
      <c r="R1002" s="143"/>
      <c r="S1002" s="143"/>
      <c r="T1002" s="143"/>
      <c r="U1002" s="143"/>
      <c r="V1002" s="143"/>
      <c r="W1002" s="143"/>
      <c r="X1002" s="143"/>
      <c r="Y1002" s="143"/>
      <c r="Z1002" s="143"/>
      <c r="AA1002" s="143"/>
      <c r="AE1002" s="143"/>
      <c r="AF1002" s="143"/>
      <c r="AG1002" s="143"/>
      <c r="AH1002" s="143"/>
      <c r="AI1002" s="143"/>
      <c r="AJ1002" s="143"/>
      <c r="AK1002" s="143"/>
      <c r="AL1002" s="143"/>
      <c r="AM1002" s="143"/>
      <c r="AN1002" s="143"/>
      <c r="AO1002" s="143"/>
      <c r="AP1002" s="143"/>
      <c r="AQ1002" s="143"/>
      <c r="AR1002" s="143"/>
      <c r="AS1002" s="143"/>
    </row>
    <row r="1003">
      <c r="M1003" s="143"/>
      <c r="N1003" s="143"/>
      <c r="O1003" s="143"/>
      <c r="P1003" s="143"/>
      <c r="Q1003" s="143"/>
      <c r="R1003" s="143"/>
      <c r="S1003" s="143"/>
      <c r="T1003" s="143"/>
      <c r="U1003" s="143"/>
      <c r="V1003" s="143"/>
      <c r="W1003" s="143"/>
      <c r="X1003" s="143"/>
      <c r="Y1003" s="143"/>
      <c r="Z1003" s="143"/>
      <c r="AA1003" s="143"/>
      <c r="AE1003" s="143"/>
      <c r="AF1003" s="143"/>
      <c r="AG1003" s="143"/>
      <c r="AH1003" s="143"/>
      <c r="AI1003" s="143"/>
      <c r="AJ1003" s="143"/>
      <c r="AK1003" s="143"/>
      <c r="AL1003" s="143"/>
      <c r="AM1003" s="143"/>
      <c r="AN1003" s="143"/>
      <c r="AO1003" s="143"/>
      <c r="AP1003" s="143"/>
      <c r="AQ1003" s="143"/>
      <c r="AR1003" s="143"/>
      <c r="AS1003" s="143"/>
    </row>
    <row r="1004">
      <c r="M1004" s="143"/>
      <c r="N1004" s="143"/>
      <c r="O1004" s="143"/>
      <c r="P1004" s="143"/>
      <c r="Q1004" s="143"/>
      <c r="R1004" s="143"/>
      <c r="S1004" s="143"/>
      <c r="T1004" s="143"/>
      <c r="U1004" s="143"/>
      <c r="V1004" s="143"/>
      <c r="W1004" s="143"/>
      <c r="X1004" s="143"/>
      <c r="Y1004" s="143"/>
      <c r="Z1004" s="143"/>
      <c r="AA1004" s="143"/>
      <c r="AE1004" s="143"/>
      <c r="AF1004" s="143"/>
      <c r="AG1004" s="143"/>
      <c r="AH1004" s="143"/>
      <c r="AI1004" s="143"/>
      <c r="AJ1004" s="143"/>
      <c r="AK1004" s="143"/>
      <c r="AL1004" s="143"/>
      <c r="AM1004" s="143"/>
      <c r="AN1004" s="143"/>
      <c r="AO1004" s="143"/>
      <c r="AP1004" s="143"/>
      <c r="AQ1004" s="143"/>
      <c r="AR1004" s="143"/>
      <c r="AS1004" s="143"/>
    </row>
    <row r="1005">
      <c r="M1005" s="143"/>
      <c r="N1005" s="143"/>
      <c r="O1005" s="143"/>
      <c r="P1005" s="143"/>
      <c r="Q1005" s="143"/>
      <c r="R1005" s="143"/>
      <c r="S1005" s="143"/>
      <c r="T1005" s="143"/>
      <c r="U1005" s="143"/>
      <c r="V1005" s="143"/>
      <c r="W1005" s="143"/>
      <c r="X1005" s="143"/>
      <c r="Y1005" s="143"/>
      <c r="Z1005" s="143"/>
      <c r="AA1005" s="143"/>
      <c r="AE1005" s="143"/>
      <c r="AF1005" s="143"/>
      <c r="AG1005" s="143"/>
      <c r="AH1005" s="143"/>
      <c r="AI1005" s="143"/>
      <c r="AJ1005" s="143"/>
      <c r="AK1005" s="143"/>
      <c r="AL1005" s="143"/>
      <c r="AM1005" s="143"/>
      <c r="AN1005" s="143"/>
      <c r="AO1005" s="143"/>
      <c r="AP1005" s="143"/>
      <c r="AQ1005" s="143"/>
      <c r="AR1005" s="143"/>
      <c r="AS1005" s="143"/>
    </row>
    <row r="1006">
      <c r="M1006" s="143"/>
      <c r="N1006" s="143"/>
      <c r="O1006" s="143"/>
      <c r="P1006" s="143"/>
      <c r="Q1006" s="143"/>
      <c r="R1006" s="143"/>
      <c r="S1006" s="143"/>
      <c r="T1006" s="143"/>
      <c r="U1006" s="143"/>
      <c r="V1006" s="143"/>
      <c r="W1006" s="143"/>
      <c r="X1006" s="143"/>
      <c r="Y1006" s="143"/>
      <c r="Z1006" s="143"/>
      <c r="AA1006" s="143"/>
      <c r="AE1006" s="143"/>
      <c r="AF1006" s="143"/>
      <c r="AG1006" s="143"/>
      <c r="AH1006" s="143"/>
      <c r="AI1006" s="143"/>
      <c r="AJ1006" s="143"/>
      <c r="AK1006" s="143"/>
      <c r="AL1006" s="143"/>
      <c r="AM1006" s="143"/>
      <c r="AN1006" s="143"/>
      <c r="AO1006" s="143"/>
      <c r="AP1006" s="143"/>
      <c r="AQ1006" s="143"/>
      <c r="AR1006" s="143"/>
      <c r="AS1006" s="143"/>
    </row>
    <row r="1007">
      <c r="M1007" s="143"/>
      <c r="N1007" s="143"/>
      <c r="O1007" s="143"/>
      <c r="P1007" s="143"/>
      <c r="Q1007" s="143"/>
      <c r="R1007" s="143"/>
      <c r="S1007" s="143"/>
      <c r="T1007" s="143"/>
      <c r="U1007" s="143"/>
      <c r="V1007" s="143"/>
      <c r="W1007" s="143"/>
      <c r="X1007" s="143"/>
      <c r="Y1007" s="143"/>
      <c r="Z1007" s="143"/>
      <c r="AA1007" s="143"/>
      <c r="AE1007" s="143"/>
      <c r="AF1007" s="143"/>
      <c r="AG1007" s="143"/>
      <c r="AH1007" s="143"/>
      <c r="AI1007" s="143"/>
      <c r="AJ1007" s="143"/>
      <c r="AK1007" s="143"/>
      <c r="AL1007" s="143"/>
      <c r="AM1007" s="143"/>
      <c r="AN1007" s="143"/>
      <c r="AO1007" s="143"/>
      <c r="AP1007" s="143"/>
      <c r="AQ1007" s="143"/>
      <c r="AR1007" s="143"/>
      <c r="AS1007" s="143"/>
    </row>
    <row r="1008">
      <c r="M1008" s="143"/>
      <c r="N1008" s="143"/>
      <c r="O1008" s="143"/>
      <c r="P1008" s="143"/>
      <c r="Q1008" s="143"/>
      <c r="R1008" s="143"/>
      <c r="S1008" s="143"/>
      <c r="T1008" s="143"/>
      <c r="U1008" s="143"/>
      <c r="V1008" s="143"/>
      <c r="W1008" s="143"/>
      <c r="X1008" s="143"/>
      <c r="Y1008" s="143"/>
      <c r="Z1008" s="143"/>
      <c r="AA1008" s="143"/>
      <c r="AE1008" s="143"/>
      <c r="AF1008" s="143"/>
      <c r="AG1008" s="143"/>
      <c r="AH1008" s="143"/>
      <c r="AI1008" s="143"/>
      <c r="AJ1008" s="143"/>
      <c r="AK1008" s="143"/>
      <c r="AL1008" s="143"/>
      <c r="AM1008" s="143"/>
      <c r="AN1008" s="143"/>
      <c r="AO1008" s="143"/>
      <c r="AP1008" s="143"/>
      <c r="AQ1008" s="143"/>
      <c r="AR1008" s="143"/>
      <c r="AS1008" s="143"/>
    </row>
    <row r="1009">
      <c r="M1009" s="143"/>
      <c r="N1009" s="143"/>
      <c r="O1009" s="143"/>
      <c r="P1009" s="143"/>
      <c r="Q1009" s="143"/>
      <c r="R1009" s="143"/>
      <c r="S1009" s="143"/>
      <c r="T1009" s="143"/>
      <c r="U1009" s="143"/>
      <c r="V1009" s="143"/>
      <c r="W1009" s="143"/>
      <c r="X1009" s="143"/>
      <c r="Y1009" s="143"/>
      <c r="Z1009" s="143"/>
      <c r="AA1009" s="143"/>
      <c r="AE1009" s="143"/>
      <c r="AF1009" s="143"/>
      <c r="AG1009" s="143"/>
      <c r="AH1009" s="143"/>
      <c r="AI1009" s="143"/>
      <c r="AJ1009" s="143"/>
      <c r="AK1009" s="143"/>
      <c r="AL1009" s="143"/>
      <c r="AM1009" s="143"/>
      <c r="AN1009" s="143"/>
      <c r="AO1009" s="143"/>
      <c r="AP1009" s="143"/>
      <c r="AQ1009" s="143"/>
      <c r="AR1009" s="143"/>
      <c r="AS1009" s="143"/>
    </row>
    <row r="1010">
      <c r="M1010" s="143"/>
      <c r="N1010" s="143"/>
      <c r="O1010" s="143"/>
      <c r="P1010" s="143"/>
      <c r="Q1010" s="143"/>
      <c r="R1010" s="143"/>
      <c r="S1010" s="143"/>
      <c r="T1010" s="143"/>
      <c r="U1010" s="143"/>
      <c r="V1010" s="143"/>
      <c r="W1010" s="143"/>
      <c r="X1010" s="143"/>
      <c r="Y1010" s="143"/>
      <c r="Z1010" s="143"/>
      <c r="AA1010" s="143"/>
      <c r="AE1010" s="143"/>
      <c r="AF1010" s="143"/>
      <c r="AG1010" s="143"/>
      <c r="AH1010" s="143"/>
      <c r="AI1010" s="143"/>
      <c r="AJ1010" s="143"/>
      <c r="AK1010" s="143"/>
      <c r="AL1010" s="143"/>
      <c r="AM1010" s="143"/>
      <c r="AN1010" s="143"/>
      <c r="AO1010" s="143"/>
      <c r="AP1010" s="143"/>
      <c r="AQ1010" s="143"/>
      <c r="AR1010" s="143"/>
      <c r="AS1010" s="143"/>
    </row>
    <row r="1011">
      <c r="M1011" s="143"/>
      <c r="N1011" s="143"/>
      <c r="O1011" s="143"/>
      <c r="P1011" s="143"/>
      <c r="Q1011" s="143"/>
      <c r="R1011" s="143"/>
      <c r="S1011" s="143"/>
      <c r="T1011" s="143"/>
      <c r="U1011" s="143"/>
      <c r="V1011" s="143"/>
      <c r="W1011" s="143"/>
      <c r="X1011" s="143"/>
      <c r="Y1011" s="143"/>
      <c r="Z1011" s="143"/>
      <c r="AA1011" s="143"/>
      <c r="AE1011" s="143"/>
      <c r="AF1011" s="143"/>
      <c r="AG1011" s="143"/>
      <c r="AH1011" s="143"/>
      <c r="AI1011" s="143"/>
      <c r="AJ1011" s="143"/>
      <c r="AK1011" s="143"/>
      <c r="AL1011" s="143"/>
      <c r="AM1011" s="143"/>
      <c r="AN1011" s="143"/>
      <c r="AO1011" s="143"/>
      <c r="AP1011" s="143"/>
      <c r="AQ1011" s="143"/>
      <c r="AR1011" s="143"/>
      <c r="AS1011" s="143"/>
    </row>
    <row r="1012">
      <c r="M1012" s="143"/>
      <c r="N1012" s="143"/>
      <c r="O1012" s="143"/>
      <c r="P1012" s="143"/>
      <c r="Q1012" s="143"/>
      <c r="R1012" s="143"/>
      <c r="S1012" s="143"/>
      <c r="T1012" s="143"/>
      <c r="U1012" s="143"/>
      <c r="V1012" s="143"/>
      <c r="W1012" s="143"/>
      <c r="X1012" s="143"/>
      <c r="Y1012" s="143"/>
      <c r="Z1012" s="143"/>
      <c r="AA1012" s="143"/>
      <c r="AE1012" s="143"/>
      <c r="AF1012" s="143"/>
      <c r="AG1012" s="143"/>
      <c r="AH1012" s="143"/>
      <c r="AI1012" s="143"/>
      <c r="AJ1012" s="143"/>
      <c r="AK1012" s="143"/>
      <c r="AL1012" s="143"/>
      <c r="AM1012" s="143"/>
      <c r="AN1012" s="143"/>
      <c r="AO1012" s="143"/>
      <c r="AP1012" s="143"/>
      <c r="AQ1012" s="143"/>
      <c r="AR1012" s="143"/>
      <c r="AS1012" s="143"/>
    </row>
    <row r="1013">
      <c r="M1013" s="143"/>
      <c r="N1013" s="143"/>
      <c r="O1013" s="143"/>
      <c r="P1013" s="143"/>
      <c r="Q1013" s="143"/>
      <c r="R1013" s="143"/>
      <c r="S1013" s="143"/>
      <c r="T1013" s="143"/>
      <c r="U1013" s="143"/>
      <c r="V1013" s="143"/>
      <c r="W1013" s="143"/>
      <c r="X1013" s="143"/>
      <c r="Y1013" s="143"/>
      <c r="Z1013" s="143"/>
      <c r="AA1013" s="143"/>
      <c r="AE1013" s="143"/>
      <c r="AF1013" s="143"/>
      <c r="AG1013" s="143"/>
      <c r="AH1013" s="143"/>
      <c r="AI1013" s="143"/>
      <c r="AJ1013" s="143"/>
      <c r="AK1013" s="143"/>
      <c r="AL1013" s="143"/>
      <c r="AM1013" s="143"/>
      <c r="AN1013" s="143"/>
      <c r="AO1013" s="143"/>
      <c r="AP1013" s="143"/>
      <c r="AQ1013" s="143"/>
      <c r="AR1013" s="143"/>
      <c r="AS1013" s="143"/>
    </row>
    <row r="1014">
      <c r="M1014" s="143"/>
      <c r="N1014" s="143"/>
      <c r="O1014" s="143"/>
      <c r="P1014" s="143"/>
      <c r="Q1014" s="143"/>
      <c r="R1014" s="143"/>
      <c r="S1014" s="143"/>
      <c r="T1014" s="143"/>
      <c r="U1014" s="143"/>
      <c r="V1014" s="143"/>
      <c r="W1014" s="143"/>
      <c r="X1014" s="143"/>
      <c r="Y1014" s="143"/>
      <c r="Z1014" s="143"/>
      <c r="AA1014" s="143"/>
      <c r="AE1014" s="143"/>
      <c r="AF1014" s="143"/>
      <c r="AG1014" s="143"/>
      <c r="AH1014" s="143"/>
      <c r="AI1014" s="143"/>
      <c r="AJ1014" s="143"/>
      <c r="AK1014" s="143"/>
      <c r="AL1014" s="143"/>
      <c r="AM1014" s="143"/>
      <c r="AN1014" s="143"/>
      <c r="AO1014" s="143"/>
      <c r="AP1014" s="143"/>
      <c r="AQ1014" s="143"/>
      <c r="AR1014" s="143"/>
      <c r="AS1014" s="143"/>
    </row>
    <row r="1015">
      <c r="M1015" s="143"/>
      <c r="N1015" s="143"/>
      <c r="O1015" s="143"/>
      <c r="P1015" s="143"/>
      <c r="Q1015" s="143"/>
      <c r="R1015" s="143"/>
      <c r="S1015" s="143"/>
      <c r="T1015" s="143"/>
      <c r="U1015" s="143"/>
      <c r="V1015" s="143"/>
      <c r="W1015" s="143"/>
      <c r="X1015" s="143"/>
      <c r="Y1015" s="143"/>
      <c r="Z1015" s="143"/>
      <c r="AA1015" s="143"/>
      <c r="AE1015" s="143"/>
      <c r="AF1015" s="143"/>
      <c r="AG1015" s="143"/>
      <c r="AH1015" s="143"/>
      <c r="AI1015" s="143"/>
      <c r="AJ1015" s="143"/>
      <c r="AK1015" s="143"/>
      <c r="AL1015" s="143"/>
      <c r="AM1015" s="143"/>
      <c r="AN1015" s="143"/>
      <c r="AO1015" s="143"/>
      <c r="AP1015" s="143"/>
      <c r="AQ1015" s="143"/>
      <c r="AR1015" s="143"/>
      <c r="AS1015" s="143"/>
    </row>
    <row r="1016">
      <c r="M1016" s="143"/>
      <c r="N1016" s="143"/>
      <c r="O1016" s="143"/>
      <c r="P1016" s="143"/>
      <c r="Q1016" s="143"/>
      <c r="R1016" s="143"/>
      <c r="S1016" s="143"/>
      <c r="T1016" s="143"/>
      <c r="U1016" s="143"/>
      <c r="V1016" s="143"/>
      <c r="W1016" s="143"/>
      <c r="X1016" s="143"/>
      <c r="Y1016" s="143"/>
      <c r="Z1016" s="143"/>
      <c r="AA1016" s="143"/>
      <c r="AE1016" s="143"/>
      <c r="AF1016" s="143"/>
      <c r="AG1016" s="143"/>
      <c r="AH1016" s="143"/>
      <c r="AI1016" s="143"/>
      <c r="AJ1016" s="143"/>
      <c r="AK1016" s="143"/>
      <c r="AL1016" s="143"/>
      <c r="AM1016" s="143"/>
      <c r="AN1016" s="143"/>
      <c r="AO1016" s="143"/>
      <c r="AP1016" s="143"/>
      <c r="AQ1016" s="143"/>
      <c r="AR1016" s="143"/>
      <c r="AS1016" s="143"/>
    </row>
    <row r="1017">
      <c r="M1017" s="143"/>
      <c r="N1017" s="143"/>
      <c r="O1017" s="143"/>
      <c r="P1017" s="143"/>
      <c r="Q1017" s="143"/>
      <c r="R1017" s="143"/>
      <c r="S1017" s="143"/>
      <c r="T1017" s="143"/>
      <c r="U1017" s="143"/>
      <c r="V1017" s="143"/>
      <c r="W1017" s="143"/>
      <c r="X1017" s="143"/>
      <c r="Y1017" s="143"/>
      <c r="Z1017" s="143"/>
      <c r="AA1017" s="143"/>
      <c r="AE1017" s="143"/>
      <c r="AF1017" s="143"/>
      <c r="AG1017" s="143"/>
      <c r="AH1017" s="143"/>
      <c r="AI1017" s="143"/>
      <c r="AJ1017" s="143"/>
      <c r="AK1017" s="143"/>
      <c r="AL1017" s="143"/>
      <c r="AM1017" s="143"/>
      <c r="AN1017" s="143"/>
      <c r="AO1017" s="143"/>
      <c r="AP1017" s="143"/>
      <c r="AQ1017" s="143"/>
      <c r="AR1017" s="143"/>
      <c r="AS1017" s="143"/>
    </row>
    <row r="1018">
      <c r="M1018" s="143"/>
      <c r="N1018" s="143"/>
      <c r="O1018" s="143"/>
      <c r="P1018" s="143"/>
      <c r="Q1018" s="143"/>
      <c r="R1018" s="143"/>
      <c r="S1018" s="143"/>
      <c r="T1018" s="143"/>
      <c r="U1018" s="143"/>
      <c r="V1018" s="143"/>
      <c r="W1018" s="143"/>
      <c r="X1018" s="143"/>
      <c r="Y1018" s="143"/>
      <c r="Z1018" s="143"/>
      <c r="AA1018" s="143"/>
      <c r="AE1018" s="143"/>
      <c r="AF1018" s="143"/>
      <c r="AG1018" s="143"/>
      <c r="AH1018" s="143"/>
      <c r="AI1018" s="143"/>
      <c r="AJ1018" s="143"/>
      <c r="AK1018" s="143"/>
      <c r="AL1018" s="143"/>
      <c r="AM1018" s="143"/>
      <c r="AN1018" s="143"/>
      <c r="AO1018" s="143"/>
      <c r="AP1018" s="143"/>
      <c r="AQ1018" s="143"/>
      <c r="AR1018" s="143"/>
      <c r="AS1018" s="143"/>
    </row>
    <row r="1019">
      <c r="M1019" s="143"/>
      <c r="N1019" s="143"/>
      <c r="O1019" s="143"/>
      <c r="P1019" s="143"/>
      <c r="Q1019" s="143"/>
      <c r="R1019" s="143"/>
      <c r="S1019" s="143"/>
      <c r="T1019" s="143"/>
      <c r="U1019" s="143"/>
      <c r="V1019" s="143"/>
      <c r="W1019" s="143"/>
      <c r="X1019" s="143"/>
      <c r="Y1019" s="143"/>
      <c r="Z1019" s="143"/>
      <c r="AA1019" s="143"/>
      <c r="AE1019" s="143"/>
      <c r="AF1019" s="143"/>
      <c r="AG1019" s="143"/>
      <c r="AH1019" s="143"/>
      <c r="AI1019" s="143"/>
      <c r="AJ1019" s="143"/>
      <c r="AK1019" s="143"/>
      <c r="AL1019" s="143"/>
      <c r="AM1019" s="143"/>
      <c r="AN1019" s="143"/>
      <c r="AO1019" s="143"/>
      <c r="AP1019" s="143"/>
      <c r="AQ1019" s="143"/>
      <c r="AR1019" s="143"/>
      <c r="AS1019" s="143"/>
    </row>
    <row r="1020">
      <c r="M1020" s="143"/>
      <c r="N1020" s="143"/>
      <c r="O1020" s="143"/>
      <c r="P1020" s="143"/>
      <c r="Q1020" s="143"/>
      <c r="R1020" s="143"/>
      <c r="S1020" s="143"/>
      <c r="T1020" s="143"/>
      <c r="U1020" s="143"/>
      <c r="V1020" s="143"/>
      <c r="W1020" s="143"/>
      <c r="X1020" s="143"/>
      <c r="Y1020" s="143"/>
      <c r="Z1020" s="143"/>
      <c r="AA1020" s="143"/>
      <c r="AE1020" s="143"/>
      <c r="AF1020" s="143"/>
      <c r="AG1020" s="143"/>
      <c r="AH1020" s="143"/>
      <c r="AI1020" s="143"/>
      <c r="AJ1020" s="143"/>
      <c r="AK1020" s="143"/>
      <c r="AL1020" s="143"/>
      <c r="AM1020" s="143"/>
      <c r="AN1020" s="143"/>
      <c r="AO1020" s="143"/>
      <c r="AP1020" s="143"/>
      <c r="AQ1020" s="143"/>
      <c r="AR1020" s="143"/>
      <c r="AS1020" s="143"/>
    </row>
    <row r="1021">
      <c r="M1021" s="143"/>
      <c r="N1021" s="143"/>
      <c r="O1021" s="143"/>
      <c r="P1021" s="143"/>
      <c r="Q1021" s="143"/>
      <c r="R1021" s="143"/>
      <c r="S1021" s="143"/>
      <c r="T1021" s="143"/>
      <c r="U1021" s="143"/>
      <c r="V1021" s="143"/>
      <c r="W1021" s="143"/>
      <c r="X1021" s="143"/>
      <c r="Y1021" s="143"/>
      <c r="Z1021" s="143"/>
      <c r="AA1021" s="143"/>
      <c r="AE1021" s="143"/>
      <c r="AF1021" s="143"/>
      <c r="AG1021" s="143"/>
      <c r="AH1021" s="143"/>
      <c r="AI1021" s="143"/>
      <c r="AJ1021" s="143"/>
      <c r="AK1021" s="143"/>
      <c r="AL1021" s="143"/>
      <c r="AM1021" s="143"/>
      <c r="AN1021" s="143"/>
      <c r="AO1021" s="143"/>
      <c r="AP1021" s="143"/>
      <c r="AQ1021" s="143"/>
      <c r="AR1021" s="143"/>
      <c r="AS1021" s="143"/>
    </row>
    <row r="1022">
      <c r="M1022" s="143"/>
      <c r="N1022" s="143"/>
      <c r="O1022" s="143"/>
      <c r="P1022" s="143"/>
      <c r="Q1022" s="143"/>
      <c r="R1022" s="143"/>
      <c r="S1022" s="143"/>
      <c r="T1022" s="143"/>
      <c r="U1022" s="143"/>
      <c r="V1022" s="143"/>
      <c r="W1022" s="143"/>
      <c r="X1022" s="143"/>
      <c r="Y1022" s="143"/>
      <c r="Z1022" s="143"/>
      <c r="AA1022" s="143"/>
      <c r="AE1022" s="143"/>
      <c r="AF1022" s="143"/>
      <c r="AG1022" s="143"/>
      <c r="AH1022" s="143"/>
      <c r="AI1022" s="143"/>
      <c r="AJ1022" s="143"/>
      <c r="AK1022" s="143"/>
      <c r="AL1022" s="143"/>
      <c r="AM1022" s="143"/>
      <c r="AN1022" s="143"/>
      <c r="AO1022" s="143"/>
      <c r="AP1022" s="143"/>
      <c r="AQ1022" s="143"/>
      <c r="AR1022" s="143"/>
      <c r="AS1022" s="143"/>
    </row>
    <row r="1023">
      <c r="M1023" s="143"/>
      <c r="N1023" s="143"/>
      <c r="O1023" s="143"/>
      <c r="P1023" s="143"/>
      <c r="Q1023" s="143"/>
      <c r="R1023" s="143"/>
      <c r="S1023" s="143"/>
      <c r="T1023" s="143"/>
      <c r="U1023" s="143"/>
      <c r="V1023" s="143"/>
      <c r="W1023" s="143"/>
      <c r="X1023" s="143"/>
      <c r="Y1023" s="143"/>
      <c r="Z1023" s="143"/>
      <c r="AA1023" s="143"/>
      <c r="AE1023" s="143"/>
      <c r="AF1023" s="143"/>
      <c r="AG1023" s="143"/>
      <c r="AH1023" s="143"/>
      <c r="AI1023" s="143"/>
      <c r="AJ1023" s="143"/>
      <c r="AK1023" s="143"/>
      <c r="AL1023" s="143"/>
      <c r="AM1023" s="143"/>
      <c r="AN1023" s="143"/>
      <c r="AO1023" s="143"/>
      <c r="AP1023" s="143"/>
      <c r="AQ1023" s="143"/>
      <c r="AR1023" s="143"/>
      <c r="AS1023" s="143"/>
    </row>
    <row r="1024">
      <c r="M1024" s="143"/>
      <c r="N1024" s="143"/>
      <c r="O1024" s="143"/>
      <c r="P1024" s="143"/>
      <c r="Q1024" s="143"/>
      <c r="R1024" s="143"/>
      <c r="S1024" s="143"/>
      <c r="T1024" s="143"/>
      <c r="U1024" s="143"/>
      <c r="V1024" s="143"/>
      <c r="W1024" s="143"/>
      <c r="X1024" s="143"/>
      <c r="Y1024" s="143"/>
      <c r="Z1024" s="143"/>
      <c r="AA1024" s="143"/>
      <c r="AE1024" s="143"/>
      <c r="AF1024" s="143"/>
      <c r="AG1024" s="143"/>
      <c r="AH1024" s="143"/>
      <c r="AI1024" s="143"/>
      <c r="AJ1024" s="143"/>
      <c r="AK1024" s="143"/>
      <c r="AL1024" s="143"/>
      <c r="AM1024" s="143"/>
      <c r="AN1024" s="143"/>
      <c r="AO1024" s="143"/>
      <c r="AP1024" s="143"/>
      <c r="AQ1024" s="143"/>
      <c r="AR1024" s="143"/>
      <c r="AS1024" s="143"/>
    </row>
    <row r="1025">
      <c r="M1025" s="143"/>
      <c r="N1025" s="143"/>
      <c r="O1025" s="143"/>
      <c r="P1025" s="143"/>
      <c r="Q1025" s="143"/>
      <c r="R1025" s="143"/>
      <c r="S1025" s="143"/>
      <c r="T1025" s="143"/>
      <c r="U1025" s="143"/>
      <c r="V1025" s="143"/>
      <c r="W1025" s="143"/>
      <c r="X1025" s="143"/>
      <c r="Y1025" s="143"/>
      <c r="Z1025" s="143"/>
      <c r="AA1025" s="143"/>
      <c r="AE1025" s="143"/>
      <c r="AF1025" s="143"/>
      <c r="AG1025" s="143"/>
      <c r="AH1025" s="143"/>
      <c r="AI1025" s="143"/>
      <c r="AJ1025" s="143"/>
      <c r="AK1025" s="143"/>
      <c r="AL1025" s="143"/>
      <c r="AM1025" s="143"/>
      <c r="AN1025" s="143"/>
      <c r="AO1025" s="143"/>
      <c r="AP1025" s="143"/>
      <c r="AQ1025" s="143"/>
      <c r="AR1025" s="143"/>
      <c r="AS1025" s="143"/>
    </row>
    <row r="1026">
      <c r="M1026" s="143"/>
      <c r="N1026" s="178"/>
      <c r="O1026" s="143"/>
      <c r="P1026" s="143"/>
      <c r="Q1026" s="143"/>
      <c r="R1026" s="143"/>
      <c r="S1026" s="143"/>
      <c r="T1026" s="143"/>
      <c r="U1026" s="143"/>
      <c r="V1026" s="143"/>
      <c r="W1026" s="143"/>
      <c r="X1026" s="143"/>
      <c r="Y1026" s="143"/>
      <c r="Z1026" s="143"/>
      <c r="AA1026" s="143"/>
      <c r="AE1026" s="143"/>
      <c r="AF1026" s="143"/>
      <c r="AG1026" s="143"/>
      <c r="AH1026" s="143"/>
      <c r="AI1026" s="143"/>
      <c r="AJ1026" s="143"/>
      <c r="AK1026" s="143"/>
      <c r="AL1026" s="143"/>
      <c r="AM1026" s="143"/>
      <c r="AN1026" s="143"/>
      <c r="AO1026" s="143"/>
      <c r="AP1026" s="143"/>
      <c r="AQ1026" s="143"/>
      <c r="AR1026" s="143"/>
      <c r="AS1026" s="143"/>
    </row>
  </sheetData>
  <dataValidations>
    <dataValidation type="custom" allowBlank="1" showDropDown="1" sqref="B6:D7 I6:K7 C11:C16 I11:I17">
      <formula1>AND(ISNUMBER(B6),(NOT(OR(NOT(ISERROR(DATEVALUE(B6))), AND(ISNUMBER(B6), LEFT(CELL("format", B6))="D")))))</formula1>
    </dataValidation>
  </dataValidations>
  <hyperlinks>
    <hyperlink r:id="rId1" ref="N34"/>
    <hyperlink r:id="rId2" ref="AF34"/>
    <hyperlink r:id="rId3" ref="N35"/>
    <hyperlink r:id="rId4" ref="AF35"/>
    <hyperlink r:id="rId5" ref="N36"/>
    <hyperlink r:id="rId6" ref="AF36"/>
    <hyperlink r:id="rId7" ref="N37"/>
    <hyperlink r:id="rId8" ref="AF37"/>
    <hyperlink r:id="rId9" ref="N38"/>
    <hyperlink r:id="rId10" ref="AF38"/>
    <hyperlink r:id="rId11" ref="AF39"/>
    <hyperlink r:id="rId12" ref="N40"/>
    <hyperlink r:id="rId13" ref="AF40"/>
    <hyperlink r:id="rId14" ref="N41"/>
    <hyperlink r:id="rId15" ref="AF41"/>
    <hyperlink r:id="rId16" ref="N42"/>
    <hyperlink r:id="rId17" ref="AF42"/>
    <hyperlink r:id="rId18" ref="N43"/>
    <hyperlink r:id="rId19" ref="AF43"/>
    <hyperlink r:id="rId20" ref="N44"/>
    <hyperlink r:id="rId21" ref="AF44"/>
    <hyperlink r:id="rId22" ref="N45"/>
    <hyperlink r:id="rId23" ref="AF45"/>
    <hyperlink r:id="rId24" ref="N46"/>
    <hyperlink r:id="rId25" ref="AF46"/>
    <hyperlink r:id="rId26" ref="N47"/>
    <hyperlink r:id="rId27" ref="AF47"/>
    <hyperlink r:id="rId28" ref="N48"/>
    <hyperlink r:id="rId29" ref="AF48"/>
    <hyperlink r:id="rId30" ref="N49"/>
    <hyperlink r:id="rId31" ref="AF49"/>
    <hyperlink r:id="rId32" ref="N50"/>
    <hyperlink r:id="rId33" ref="AF50"/>
    <hyperlink r:id="rId34" ref="N51"/>
    <hyperlink r:id="rId35" ref="AF51"/>
    <hyperlink r:id="rId36" ref="N52"/>
    <hyperlink r:id="rId37" ref="AF52"/>
    <hyperlink r:id="rId38" ref="N53"/>
    <hyperlink r:id="rId39" ref="N54"/>
    <hyperlink r:id="rId40" ref="AF54"/>
    <hyperlink r:id="rId41" ref="N55"/>
    <hyperlink r:id="rId42" ref="AF55"/>
    <hyperlink r:id="rId43" ref="N56"/>
    <hyperlink r:id="rId44" ref="AF56"/>
    <hyperlink r:id="rId45" ref="N57"/>
    <hyperlink r:id="rId46" ref="AF57"/>
    <hyperlink r:id="rId47" ref="N58"/>
    <hyperlink r:id="rId48" ref="AF58"/>
    <hyperlink r:id="rId49" ref="N59"/>
    <hyperlink r:id="rId50" ref="AF59"/>
    <hyperlink r:id="rId51" ref="N60"/>
    <hyperlink r:id="rId52" ref="AF60"/>
    <hyperlink r:id="rId53" ref="N61"/>
    <hyperlink r:id="rId54" ref="AF61"/>
    <hyperlink r:id="rId55" ref="N62"/>
    <hyperlink r:id="rId56" ref="AF62"/>
    <hyperlink r:id="rId57" ref="N63"/>
    <hyperlink r:id="rId58" ref="AF63"/>
    <hyperlink r:id="rId59" ref="AF64"/>
    <hyperlink r:id="rId60" ref="AF65"/>
    <hyperlink r:id="rId61" ref="AF67"/>
    <hyperlink r:id="rId62" ref="AF68"/>
    <hyperlink r:id="rId63" ref="AF69"/>
  </hyperlinks>
  <drawing r:id="rId64"/>
  <tableParts count="4">
    <tablePart r:id="rId69"/>
    <tablePart r:id="rId70"/>
    <tablePart r:id="rId71"/>
    <tablePart r:id="rId7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7.63"/>
    <col customWidth="1" min="2" max="2" width="30.88"/>
    <col customWidth="1" min="3" max="3" width="36.38"/>
    <col customWidth="1" min="4" max="4" width="20.38"/>
    <col customWidth="1" min="5" max="5" width="25.0"/>
    <col customWidth="1" min="6" max="6" width="19.38"/>
    <col customWidth="1" min="7" max="7" width="17.63"/>
    <col customWidth="1" min="11" max="11" width="24.38"/>
    <col customWidth="1" min="12" max="12" width="14.75"/>
  </cols>
  <sheetData>
    <row r="1">
      <c r="A1" s="174" t="s">
        <v>170</v>
      </c>
      <c r="B1" s="176">
        <f>SUM(C22:C23)+SUM(C25:C32)+C34</f>
        <v>0.9123</v>
      </c>
      <c r="J1" s="241"/>
      <c r="K1" s="242"/>
      <c r="L1" s="243"/>
    </row>
    <row r="2">
      <c r="A2" s="174" t="s">
        <v>171</v>
      </c>
      <c r="B2" s="176">
        <f>C24+C34</f>
        <v>0.1302</v>
      </c>
      <c r="J2" s="241"/>
      <c r="K2" s="242"/>
      <c r="L2" s="243"/>
    </row>
    <row r="3">
      <c r="J3" s="241"/>
      <c r="K3" s="242"/>
      <c r="L3" s="243"/>
    </row>
    <row r="4">
      <c r="J4" s="244"/>
      <c r="K4" s="244"/>
      <c r="L4" s="245"/>
    </row>
    <row r="5">
      <c r="A5" s="246" t="s">
        <v>137</v>
      </c>
      <c r="B5" s="247" t="s">
        <v>138</v>
      </c>
      <c r="C5" s="248" t="s">
        <v>143</v>
      </c>
      <c r="D5" s="249" t="s">
        <v>140</v>
      </c>
      <c r="J5" s="244"/>
      <c r="K5" s="244"/>
      <c r="L5" s="245"/>
    </row>
    <row r="6">
      <c r="A6" s="250" t="s">
        <v>172</v>
      </c>
      <c r="B6" s="251">
        <v>0.1032</v>
      </c>
      <c r="C6" s="252">
        <v>0.01</v>
      </c>
      <c r="D6" s="253">
        <f t="shared" ref="D6:D18" si="1">C6+B6</f>
        <v>0.1132</v>
      </c>
      <c r="J6" s="244"/>
      <c r="K6" s="244"/>
      <c r="L6" s="245"/>
    </row>
    <row r="7">
      <c r="A7" s="254" t="s">
        <v>173</v>
      </c>
      <c r="B7" s="255">
        <v>0.0922</v>
      </c>
      <c r="C7" s="256">
        <v>0.01</v>
      </c>
      <c r="D7" s="257">
        <f t="shared" si="1"/>
        <v>0.1022</v>
      </c>
      <c r="J7" s="244"/>
      <c r="K7" s="244"/>
      <c r="L7" s="245"/>
    </row>
    <row r="8">
      <c r="A8" s="250" t="s">
        <v>174</v>
      </c>
      <c r="B8" s="251">
        <v>0.0863</v>
      </c>
      <c r="C8" s="252">
        <v>-0.03</v>
      </c>
      <c r="D8" s="253">
        <f t="shared" si="1"/>
        <v>0.0563</v>
      </c>
      <c r="J8" s="244"/>
      <c r="K8" s="244"/>
      <c r="L8" s="245"/>
    </row>
    <row r="9">
      <c r="A9" s="254" t="s">
        <v>175</v>
      </c>
      <c r="B9" s="255">
        <v>0.0861</v>
      </c>
      <c r="C9" s="256">
        <v>0.0</v>
      </c>
      <c r="D9" s="257">
        <f t="shared" si="1"/>
        <v>0.0861</v>
      </c>
      <c r="J9" s="244"/>
      <c r="K9" s="244"/>
      <c r="L9" s="245"/>
    </row>
    <row r="10">
      <c r="A10" s="250" t="s">
        <v>176</v>
      </c>
      <c r="B10" s="251">
        <v>0.0828</v>
      </c>
      <c r="C10" s="252">
        <v>0.0</v>
      </c>
      <c r="D10" s="253">
        <f t="shared" si="1"/>
        <v>0.0828</v>
      </c>
      <c r="J10" s="244"/>
      <c r="K10" s="244"/>
      <c r="L10" s="245"/>
    </row>
    <row r="11">
      <c r="A11" s="254" t="s">
        <v>177</v>
      </c>
      <c r="B11" s="255">
        <v>0.0776</v>
      </c>
      <c r="C11" s="256">
        <v>0.01</v>
      </c>
      <c r="D11" s="257">
        <f t="shared" si="1"/>
        <v>0.0876</v>
      </c>
      <c r="J11" s="244"/>
      <c r="K11" s="244"/>
      <c r="L11" s="245"/>
    </row>
    <row r="12">
      <c r="A12" s="250" t="s">
        <v>178</v>
      </c>
      <c r="B12" s="251">
        <v>0.0765</v>
      </c>
      <c r="C12" s="252">
        <v>0.0</v>
      </c>
      <c r="D12" s="253">
        <f t="shared" si="1"/>
        <v>0.0765</v>
      </c>
      <c r="J12" s="244"/>
      <c r="K12" s="244"/>
      <c r="L12" s="245"/>
    </row>
    <row r="13">
      <c r="A13" s="254" t="s">
        <v>179</v>
      </c>
      <c r="B13" s="255">
        <v>0.0745</v>
      </c>
      <c r="C13" s="256">
        <v>0.01</v>
      </c>
      <c r="D13" s="257">
        <f t="shared" si="1"/>
        <v>0.0845</v>
      </c>
      <c r="J13" s="244"/>
      <c r="K13" s="244"/>
      <c r="L13" s="245"/>
    </row>
    <row r="14">
      <c r="A14" s="250" t="s">
        <v>180</v>
      </c>
      <c r="B14" s="251">
        <v>0.0741</v>
      </c>
      <c r="C14" s="252">
        <v>0.0</v>
      </c>
      <c r="D14" s="253">
        <f t="shared" si="1"/>
        <v>0.0741</v>
      </c>
      <c r="J14" s="244"/>
      <c r="K14" s="244"/>
      <c r="L14" s="245"/>
    </row>
    <row r="15">
      <c r="A15" s="254" t="s">
        <v>181</v>
      </c>
      <c r="B15" s="255">
        <v>0.068</v>
      </c>
      <c r="C15" s="256">
        <v>0.0</v>
      </c>
      <c r="D15" s="257">
        <f t="shared" si="1"/>
        <v>0.068</v>
      </c>
      <c r="J15" s="244"/>
      <c r="K15" s="244"/>
      <c r="L15" s="245"/>
    </row>
    <row r="16">
      <c r="A16" s="250" t="s">
        <v>182</v>
      </c>
      <c r="B16" s="251">
        <v>0.0634</v>
      </c>
      <c r="C16" s="252">
        <v>0.0</v>
      </c>
      <c r="D16" s="253">
        <f t="shared" si="1"/>
        <v>0.0634</v>
      </c>
      <c r="J16" s="244"/>
      <c r="K16" s="244"/>
      <c r="L16" s="245"/>
    </row>
    <row r="17">
      <c r="A17" s="254" t="s">
        <v>183</v>
      </c>
      <c r="B17" s="255">
        <v>0.0614</v>
      </c>
      <c r="C17" s="256">
        <v>-0.03</v>
      </c>
      <c r="D17" s="257">
        <f t="shared" si="1"/>
        <v>0.0314</v>
      </c>
      <c r="J17" s="244"/>
      <c r="K17" s="244"/>
      <c r="L17" s="245"/>
    </row>
    <row r="18">
      <c r="A18" s="250" t="s">
        <v>184</v>
      </c>
      <c r="B18" s="251">
        <v>0.0539</v>
      </c>
      <c r="C18" s="252">
        <v>0.02</v>
      </c>
      <c r="D18" s="253">
        <f t="shared" si="1"/>
        <v>0.0739</v>
      </c>
      <c r="J18" s="244"/>
      <c r="K18" s="244"/>
      <c r="L18" s="245"/>
    </row>
    <row r="19">
      <c r="A19" s="258"/>
      <c r="B19" s="259">
        <f>SUM(Pulse[Modelo])</f>
        <v>1</v>
      </c>
      <c r="C19" s="260">
        <f>SUM(Pulse[Corredor +/- 5%])</f>
        <v>0</v>
      </c>
      <c r="D19" s="261">
        <f>SUM(Pulse[TAA])</f>
        <v>1</v>
      </c>
      <c r="E19" s="136"/>
      <c r="J19" s="244"/>
      <c r="K19" s="244"/>
      <c r="L19" s="245"/>
    </row>
    <row r="20">
      <c r="A20" s="173"/>
      <c r="B20" s="173"/>
      <c r="C20" s="173"/>
      <c r="E20" s="173"/>
      <c r="F20" s="173"/>
      <c r="G20" s="173"/>
      <c r="J20" s="244"/>
      <c r="K20" s="244"/>
      <c r="L20" s="245"/>
    </row>
    <row r="21">
      <c r="A21" s="246" t="s">
        <v>185</v>
      </c>
      <c r="B21" s="248" t="s">
        <v>66</v>
      </c>
      <c r="C21" s="262" t="s">
        <v>55</v>
      </c>
      <c r="E21" s="173"/>
      <c r="F21" s="173"/>
      <c r="G21" s="173"/>
      <c r="J21" s="244"/>
      <c r="K21" s="244"/>
      <c r="L21" s="245"/>
    </row>
    <row r="22">
      <c r="A22" s="263" t="str">
        <f t="shared" ref="A22:A34" si="2">A6</f>
        <v>Energía eléctrica/Agua/Gas natural</v>
      </c>
      <c r="B22" s="209" t="s">
        <v>186</v>
      </c>
      <c r="C22" s="166">
        <f t="shared" ref="C22:C34" si="3">D6</f>
        <v>0.1132</v>
      </c>
      <c r="E22" s="173"/>
      <c r="F22" s="173"/>
      <c r="G22" s="173"/>
      <c r="J22" s="244"/>
      <c r="K22" s="244"/>
      <c r="L22" s="245"/>
    </row>
    <row r="23">
      <c r="A23" s="264" t="str">
        <f t="shared" si="2"/>
        <v>Estados Unidos Mid-cap</v>
      </c>
      <c r="B23" s="209" t="s">
        <v>187</v>
      </c>
      <c r="C23" s="166">
        <f t="shared" si="3"/>
        <v>0.1022</v>
      </c>
      <c r="E23" s="173"/>
      <c r="F23" s="173"/>
      <c r="G23" s="173"/>
      <c r="J23" s="244"/>
      <c r="K23" s="244"/>
      <c r="L23" s="245"/>
    </row>
    <row r="24">
      <c r="A24" s="265" t="str">
        <f t="shared" si="2"/>
        <v>Bitcoin</v>
      </c>
      <c r="B24" s="209" t="s">
        <v>188</v>
      </c>
      <c r="C24" s="166">
        <f t="shared" si="3"/>
        <v>0.0563</v>
      </c>
      <c r="E24" s="173"/>
      <c r="F24" s="173"/>
      <c r="G24" s="173"/>
      <c r="J24" s="244"/>
      <c r="K24" s="244"/>
      <c r="L24" s="245"/>
    </row>
    <row r="25">
      <c r="A25" s="264" t="str">
        <f t="shared" si="2"/>
        <v>Países desarrollados SML</v>
      </c>
      <c r="B25" s="209" t="s">
        <v>189</v>
      </c>
      <c r="C25" s="166">
        <f t="shared" si="3"/>
        <v>0.0861</v>
      </c>
      <c r="D25" s="136"/>
      <c r="E25" s="173"/>
      <c r="F25" s="173"/>
      <c r="G25" s="173"/>
      <c r="J25" s="244"/>
      <c r="K25" s="244"/>
      <c r="L25" s="245"/>
    </row>
    <row r="26">
      <c r="A26" s="263" t="str">
        <f t="shared" si="2"/>
        <v>Semiconductores</v>
      </c>
      <c r="B26" s="209" t="s">
        <v>190</v>
      </c>
      <c r="C26" s="166">
        <f t="shared" si="3"/>
        <v>0.0828</v>
      </c>
      <c r="E26" s="173"/>
      <c r="F26" s="173"/>
      <c r="G26" s="173"/>
    </row>
    <row r="27">
      <c r="A27" s="264" t="str">
        <f t="shared" si="2"/>
        <v>Países emergentes</v>
      </c>
      <c r="B27" s="266" t="s">
        <v>191</v>
      </c>
      <c r="C27" s="166">
        <f t="shared" si="3"/>
        <v>0.0876</v>
      </c>
      <c r="D27" s="173"/>
      <c r="E27" s="173"/>
      <c r="F27" s="173"/>
      <c r="G27" s="173"/>
    </row>
    <row r="28">
      <c r="A28" s="263" t="str">
        <f t="shared" si="2"/>
        <v>Estados Unidos Small-cap</v>
      </c>
      <c r="B28" s="209" t="s">
        <v>192</v>
      </c>
      <c r="C28" s="166">
        <f t="shared" si="3"/>
        <v>0.0765</v>
      </c>
      <c r="D28" s="173"/>
      <c r="E28" s="173"/>
      <c r="F28" s="173"/>
      <c r="G28" s="173"/>
    </row>
    <row r="29">
      <c r="A29" s="264" t="str">
        <f t="shared" si="2"/>
        <v>Hardware y Software</v>
      </c>
      <c r="B29" s="209" t="s">
        <v>193</v>
      </c>
      <c r="C29" s="166">
        <f t="shared" si="3"/>
        <v>0.0845</v>
      </c>
      <c r="D29" s="173"/>
    </row>
    <row r="30">
      <c r="A30" s="263" t="str">
        <f t="shared" si="2"/>
        <v>Ciberseguridad</v>
      </c>
      <c r="B30" s="209" t="s">
        <v>194</v>
      </c>
      <c r="C30" s="166">
        <f t="shared" si="3"/>
        <v>0.0741</v>
      </c>
      <c r="D30" s="173"/>
    </row>
    <row r="31">
      <c r="A31" s="264" t="str">
        <f t="shared" si="2"/>
        <v>Servicios de internet/Plataformas digitales /Redes sociales</v>
      </c>
      <c r="B31" s="209" t="s">
        <v>195</v>
      </c>
      <c r="C31" s="166">
        <f t="shared" si="3"/>
        <v>0.068</v>
      </c>
      <c r="D31" s="173"/>
    </row>
    <row r="32">
      <c r="A32" s="263" t="str">
        <f t="shared" si="2"/>
        <v>Empresas de Uranio</v>
      </c>
      <c r="B32" s="209" t="s">
        <v>196</v>
      </c>
      <c r="C32" s="166">
        <f t="shared" si="3"/>
        <v>0.0634</v>
      </c>
      <c r="D32" s="173"/>
    </row>
    <row r="33">
      <c r="A33" s="267" t="str">
        <f t="shared" si="2"/>
        <v>Ethereum</v>
      </c>
      <c r="B33" s="209" t="s">
        <v>197</v>
      </c>
      <c r="C33" s="166">
        <f t="shared" si="3"/>
        <v>0.0314</v>
      </c>
      <c r="D33" s="173"/>
    </row>
    <row r="34">
      <c r="A34" s="263" t="str">
        <f t="shared" si="2"/>
        <v>Empresas mineras</v>
      </c>
      <c r="B34" s="268" t="s">
        <v>198</v>
      </c>
      <c r="C34" s="269">
        <f t="shared" si="3"/>
        <v>0.0739</v>
      </c>
      <c r="D34" s="173"/>
    </row>
    <row r="35">
      <c r="A35" s="270"/>
      <c r="B35" s="271"/>
      <c r="C35" s="272">
        <f>SUM(Innova[Weight])</f>
        <v>1</v>
      </c>
    </row>
    <row r="37">
      <c r="E37" s="187"/>
      <c r="J37" s="185"/>
      <c r="K37" s="186"/>
    </row>
    <row r="38">
      <c r="D38" s="273"/>
      <c r="E38" s="187"/>
      <c r="F38" s="173"/>
      <c r="G38" s="173"/>
      <c r="H38" s="173"/>
      <c r="J38" s="185"/>
      <c r="K38" s="186"/>
    </row>
    <row r="39">
      <c r="D39" s="181"/>
      <c r="E39" s="187"/>
      <c r="J39" s="185"/>
      <c r="K39" s="186"/>
    </row>
    <row r="40">
      <c r="D40" s="181"/>
      <c r="E40" s="187"/>
      <c r="J40" s="185"/>
      <c r="K40" s="186"/>
    </row>
    <row r="41">
      <c r="D41" s="181"/>
      <c r="E41" s="187"/>
      <c r="J41" s="188"/>
      <c r="K41" s="186"/>
    </row>
    <row r="42">
      <c r="E42" s="187"/>
      <c r="J42" s="188"/>
      <c r="K42" s="186"/>
    </row>
    <row r="43">
      <c r="E43" s="187"/>
      <c r="J43" s="188"/>
      <c r="K43" s="186"/>
    </row>
    <row r="44">
      <c r="C44" s="173"/>
      <c r="D44" s="173"/>
      <c r="E44" s="187"/>
      <c r="F44" s="173"/>
      <c r="G44" s="173"/>
      <c r="H44" s="173"/>
      <c r="J44" s="188"/>
      <c r="K44" s="186"/>
    </row>
    <row r="45">
      <c r="E45" s="187"/>
      <c r="J45" s="188"/>
      <c r="K45" s="186"/>
    </row>
    <row r="46">
      <c r="E46" s="187"/>
      <c r="J46" s="188"/>
      <c r="K46" s="186"/>
    </row>
    <row r="47">
      <c r="E47" s="187"/>
      <c r="J47" s="188"/>
      <c r="K47" s="186"/>
    </row>
    <row r="48">
      <c r="E48" s="187"/>
      <c r="F48" s="173"/>
      <c r="G48" s="173"/>
      <c r="H48" s="173"/>
      <c r="J48" s="188"/>
      <c r="K48" s="186"/>
    </row>
    <row r="49">
      <c r="E49" s="187"/>
      <c r="F49" s="173"/>
      <c r="G49" s="173"/>
      <c r="H49" s="173"/>
      <c r="J49" s="188"/>
      <c r="K49" s="186"/>
    </row>
    <row r="50">
      <c r="C50" s="173"/>
      <c r="D50" s="173"/>
      <c r="E50" s="187"/>
      <c r="J50" s="188"/>
      <c r="K50" s="186"/>
    </row>
    <row r="51">
      <c r="E51" s="187"/>
      <c r="F51" s="173"/>
      <c r="G51" s="173"/>
      <c r="H51" s="173"/>
      <c r="J51" s="188"/>
      <c r="K51" s="186"/>
    </row>
    <row r="52">
      <c r="E52" s="187"/>
      <c r="F52" s="173"/>
      <c r="G52" s="173"/>
      <c r="H52" s="173"/>
      <c r="J52" s="188"/>
      <c r="K52" s="186"/>
    </row>
    <row r="53">
      <c r="E53" s="187"/>
      <c r="J53" s="188"/>
      <c r="K53" s="186"/>
    </row>
    <row r="54">
      <c r="C54" s="173"/>
      <c r="D54" s="173"/>
      <c r="E54" s="187"/>
      <c r="F54" s="173"/>
      <c r="G54" s="173"/>
      <c r="H54" s="173"/>
      <c r="J54" s="188"/>
      <c r="K54" s="186"/>
    </row>
    <row r="55">
      <c r="C55" s="173"/>
      <c r="D55" s="173"/>
      <c r="E55" s="187"/>
      <c r="J55" s="188"/>
      <c r="K55" s="186"/>
    </row>
    <row r="56">
      <c r="E56" s="187"/>
      <c r="J56" s="188"/>
      <c r="K56" s="186"/>
    </row>
    <row r="57">
      <c r="C57" s="173"/>
      <c r="D57" s="173"/>
      <c r="E57" s="187"/>
      <c r="J57" s="188"/>
      <c r="K57" s="186"/>
    </row>
    <row r="58">
      <c r="C58" s="173"/>
      <c r="D58" s="173"/>
      <c r="E58" s="187"/>
      <c r="F58" s="173"/>
      <c r="G58" s="173"/>
      <c r="H58" s="173"/>
      <c r="J58" s="188"/>
      <c r="K58" s="186"/>
    </row>
    <row r="60">
      <c r="C60" s="173"/>
      <c r="D60" s="173"/>
    </row>
    <row r="64">
      <c r="C64" s="173"/>
      <c r="D64" s="173"/>
    </row>
  </sheetData>
  <dataValidations>
    <dataValidation type="custom" allowBlank="1" showDropDown="1" sqref="B6:D18 C22:C34">
      <formula1>AND(ISNUMBER(B6),(NOT(OR(NOT(ISERROR(DATEVALUE(B6))), AND(ISNUMBER(B6), LEFT(CELL("format", B6))="D")))))</formula1>
    </dataValidation>
  </dataValidation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8.0"/>
    <col customWidth="1" min="2" max="2" width="30.88"/>
    <col customWidth="1" min="3" max="3" width="36.38"/>
    <col customWidth="1" min="4" max="4" width="20.38"/>
    <col customWidth="1" min="5" max="5" width="25.0"/>
    <col customWidth="1" min="6" max="6" width="19.38"/>
    <col customWidth="1" min="7" max="7" width="17.63"/>
    <col customWidth="1" min="8" max="8" width="17.38"/>
    <col customWidth="1" min="11" max="11" width="24.38"/>
    <col customWidth="1" min="12" max="12" width="14.75"/>
  </cols>
  <sheetData>
    <row r="1" ht="24.75" customHeight="1">
      <c r="A1" s="147" t="s">
        <v>199</v>
      </c>
      <c r="B1" s="179">
        <f>D6</f>
        <v>0.1849</v>
      </c>
    </row>
    <row r="2">
      <c r="A2" s="147" t="s">
        <v>170</v>
      </c>
      <c r="B2" s="179">
        <f>D8+D10+D11+D12+D13</f>
        <v>0.5344</v>
      </c>
      <c r="E2" s="231"/>
      <c r="F2" s="231"/>
      <c r="J2" s="274"/>
      <c r="K2" s="275"/>
      <c r="L2" s="276"/>
    </row>
    <row r="3" ht="19.5" customHeight="1">
      <c r="A3" s="147" t="s">
        <v>171</v>
      </c>
      <c r="B3" s="179">
        <f>D7+D9+D14+D15</f>
        <v>0.2807</v>
      </c>
      <c r="J3" s="274"/>
      <c r="K3" s="275"/>
      <c r="L3" s="276"/>
    </row>
    <row r="4">
      <c r="J4" s="274"/>
      <c r="K4" s="275"/>
      <c r="L4" s="276"/>
    </row>
    <row r="5">
      <c r="A5" s="277" t="s">
        <v>137</v>
      </c>
      <c r="B5" s="278" t="s">
        <v>138</v>
      </c>
      <c r="C5" s="279" t="s">
        <v>143</v>
      </c>
      <c r="D5" s="280" t="s">
        <v>140</v>
      </c>
      <c r="J5" s="281"/>
      <c r="K5" s="281"/>
      <c r="L5" s="282"/>
    </row>
    <row r="6">
      <c r="A6" s="283" t="s">
        <v>200</v>
      </c>
      <c r="B6" s="251">
        <v>0.2249</v>
      </c>
      <c r="C6" s="252">
        <v>-0.04</v>
      </c>
      <c r="D6" s="284">
        <f t="shared" ref="D6:D15" si="1">C6+B6</f>
        <v>0.1849</v>
      </c>
      <c r="J6" s="281"/>
      <c r="K6" s="281"/>
      <c r="L6" s="282"/>
    </row>
    <row r="7">
      <c r="A7" s="285" t="s">
        <v>145</v>
      </c>
      <c r="B7" s="255">
        <v>0.1903</v>
      </c>
      <c r="C7" s="256">
        <v>-0.04</v>
      </c>
      <c r="D7" s="286">
        <f t="shared" si="1"/>
        <v>0.1503</v>
      </c>
      <c r="J7" s="281"/>
      <c r="K7" s="281"/>
      <c r="L7" s="282"/>
    </row>
    <row r="8">
      <c r="A8" s="287" t="s">
        <v>201</v>
      </c>
      <c r="B8" s="251">
        <v>0.1108</v>
      </c>
      <c r="C8" s="252">
        <v>0.01</v>
      </c>
      <c r="D8" s="284">
        <f t="shared" si="1"/>
        <v>0.1208</v>
      </c>
      <c r="J8" s="281"/>
      <c r="K8" s="281"/>
      <c r="L8" s="282"/>
    </row>
    <row r="9">
      <c r="A9" s="288" t="s">
        <v>202</v>
      </c>
      <c r="B9" s="255">
        <v>0.0978</v>
      </c>
      <c r="C9" s="256">
        <v>-0.02</v>
      </c>
      <c r="D9" s="286">
        <f t="shared" si="1"/>
        <v>0.0778</v>
      </c>
      <c r="J9" s="281"/>
      <c r="K9" s="281"/>
      <c r="L9" s="282"/>
    </row>
    <row r="10">
      <c r="A10" s="287" t="s">
        <v>173</v>
      </c>
      <c r="B10" s="251">
        <v>0.0908</v>
      </c>
      <c r="C10" s="252">
        <v>0.02</v>
      </c>
      <c r="D10" s="284">
        <f t="shared" si="1"/>
        <v>0.1108</v>
      </c>
      <c r="J10" s="281"/>
      <c r="K10" s="281"/>
      <c r="L10" s="282"/>
    </row>
    <row r="11">
      <c r="A11" s="289" t="s">
        <v>178</v>
      </c>
      <c r="B11" s="255">
        <v>0.0761</v>
      </c>
      <c r="C11" s="256">
        <v>0.01</v>
      </c>
      <c r="D11" s="286">
        <f t="shared" si="1"/>
        <v>0.0861</v>
      </c>
      <c r="J11" s="281"/>
      <c r="K11" s="281"/>
      <c r="L11" s="282"/>
    </row>
    <row r="12">
      <c r="A12" s="287" t="s">
        <v>203</v>
      </c>
      <c r="B12" s="251">
        <v>0.0701</v>
      </c>
      <c r="C12" s="252">
        <v>0.04</v>
      </c>
      <c r="D12" s="284">
        <f t="shared" si="1"/>
        <v>0.1101</v>
      </c>
      <c r="J12" s="281"/>
      <c r="K12" s="281"/>
      <c r="L12" s="282"/>
    </row>
    <row r="13">
      <c r="A13" s="289" t="s">
        <v>204</v>
      </c>
      <c r="B13" s="255">
        <v>0.0566</v>
      </c>
      <c r="C13" s="256">
        <v>0.05</v>
      </c>
      <c r="D13" s="286">
        <f t="shared" si="1"/>
        <v>0.1066</v>
      </c>
      <c r="J13" s="281"/>
      <c r="K13" s="281"/>
      <c r="L13" s="282"/>
    </row>
    <row r="14">
      <c r="A14" s="290" t="s">
        <v>205</v>
      </c>
      <c r="B14" s="251">
        <v>0.0451</v>
      </c>
      <c r="C14" s="252">
        <v>-0.03</v>
      </c>
      <c r="D14" s="284">
        <f t="shared" si="1"/>
        <v>0.0151</v>
      </c>
      <c r="J14" s="281"/>
      <c r="K14" s="281"/>
      <c r="L14" s="282"/>
    </row>
    <row r="15">
      <c r="A15" s="291" t="s">
        <v>206</v>
      </c>
      <c r="B15" s="255">
        <v>0.0375</v>
      </c>
      <c r="C15" s="256">
        <v>0.0</v>
      </c>
      <c r="D15" s="286">
        <f t="shared" si="1"/>
        <v>0.0375</v>
      </c>
      <c r="J15" s="281"/>
      <c r="K15" s="281"/>
      <c r="L15" s="282"/>
    </row>
    <row r="16">
      <c r="A16" s="292"/>
      <c r="B16" s="293">
        <f>SUM(E[Modelo])</f>
        <v>1</v>
      </c>
      <c r="C16" s="294">
        <f>SUM(E[Corredor +/- 5%])</f>
        <v>0</v>
      </c>
      <c r="D16" s="295">
        <f>SUM(E[TAA])</f>
        <v>1</v>
      </c>
      <c r="J16" s="281"/>
      <c r="K16" s="281"/>
      <c r="L16" s="282"/>
    </row>
    <row r="17">
      <c r="A17" s="173"/>
      <c r="B17" s="173"/>
      <c r="C17" s="173"/>
      <c r="J17" s="281"/>
      <c r="K17" s="281"/>
      <c r="L17" s="282"/>
    </row>
    <row r="18">
      <c r="A18" s="277" t="s">
        <v>185</v>
      </c>
      <c r="B18" s="279" t="s">
        <v>66</v>
      </c>
      <c r="C18" s="296" t="s">
        <v>55</v>
      </c>
      <c r="J18" s="281"/>
      <c r="K18" s="281"/>
      <c r="L18" s="282"/>
    </row>
    <row r="19">
      <c r="A19" s="297" t="str">
        <f>A6</f>
        <v>Obligaciones Negociables</v>
      </c>
      <c r="B19" s="298" t="str">
        <f>Ons!B6</f>
        <v>TLCPD</v>
      </c>
      <c r="C19" s="299">
        <f>$D$6*Ons!G6</f>
        <v>0.03241490246</v>
      </c>
      <c r="J19" s="281"/>
      <c r="K19" s="281"/>
      <c r="L19" s="282"/>
    </row>
    <row r="20">
      <c r="A20" s="300" t="str">
        <f>A6</f>
        <v>Obligaciones Negociables</v>
      </c>
      <c r="B20" s="301" t="str">
        <f>Ons!B7</f>
        <v>BACGD</v>
      </c>
      <c r="C20" s="302">
        <f>$D$6*Ons!G7</f>
        <v>0.05216730052</v>
      </c>
      <c r="G20" s="147"/>
      <c r="J20" s="281"/>
      <c r="K20" s="281"/>
      <c r="L20" s="282"/>
    </row>
    <row r="21">
      <c r="A21" s="297" t="str">
        <f>A20</f>
        <v>Obligaciones Negociables</v>
      </c>
      <c r="B21" s="298" t="str">
        <f>Ons!B8</f>
        <v>IRCPD</v>
      </c>
      <c r="C21" s="299">
        <f>$D$6*Ons!G8</f>
        <v>0.02664536113</v>
      </c>
      <c r="H21" s="177"/>
      <c r="J21" s="281"/>
      <c r="K21" s="281"/>
      <c r="L21" s="282"/>
    </row>
    <row r="22">
      <c r="A22" s="300" t="str">
        <f>A6</f>
        <v>Obligaciones Negociables</v>
      </c>
      <c r="B22" s="301" t="str">
        <f>Ons!B9</f>
        <v>YM34D</v>
      </c>
      <c r="C22" s="302">
        <f>$D$6*Ons!G9</f>
        <v>0.03031998393</v>
      </c>
      <c r="D22" s="136"/>
      <c r="E22" s="136"/>
      <c r="J22" s="281"/>
      <c r="K22" s="281"/>
      <c r="L22" s="282"/>
    </row>
    <row r="23">
      <c r="A23" s="297" t="str">
        <f t="shared" ref="A23:A32" si="2">A6</f>
        <v>Obligaciones Negociables</v>
      </c>
      <c r="B23" s="298" t="str">
        <f>Ons!B10</f>
        <v>TLCMD</v>
      </c>
      <c r="C23" s="299">
        <f>$D$6*Ons!G10</f>
        <v>0.04335245196</v>
      </c>
      <c r="E23" s="173"/>
      <c r="F23" s="173"/>
      <c r="G23" s="173"/>
      <c r="J23" s="281"/>
      <c r="K23" s="281"/>
      <c r="L23" s="282"/>
    </row>
    <row r="24">
      <c r="A24" s="303" t="str">
        <f t="shared" si="2"/>
        <v>Oro</v>
      </c>
      <c r="B24" s="304" t="s">
        <v>168</v>
      </c>
      <c r="C24" s="302">
        <f t="shared" ref="C24:C32" si="3">D7</f>
        <v>0.1503</v>
      </c>
      <c r="D24" s="173"/>
      <c r="E24" s="173"/>
      <c r="F24" s="173"/>
      <c r="G24" s="173"/>
      <c r="J24" s="281"/>
      <c r="K24" s="281"/>
      <c r="L24" s="282"/>
    </row>
    <row r="25">
      <c r="A25" s="305" t="str">
        <f t="shared" si="2"/>
        <v>Estados Unidos Large-cap</v>
      </c>
      <c r="B25" s="298" t="s">
        <v>207</v>
      </c>
      <c r="C25" s="299">
        <f t="shared" si="3"/>
        <v>0.1208</v>
      </c>
      <c r="D25" s="173"/>
      <c r="E25" s="173"/>
      <c r="F25" s="173"/>
      <c r="G25" s="173"/>
      <c r="J25" s="281"/>
      <c r="K25" s="281"/>
      <c r="L25" s="282"/>
    </row>
    <row r="26">
      <c r="A26" s="306" t="str">
        <f t="shared" si="2"/>
        <v>Plata</v>
      </c>
      <c r="B26" s="301" t="s">
        <v>208</v>
      </c>
      <c r="C26" s="302">
        <f t="shared" si="3"/>
        <v>0.0778</v>
      </c>
      <c r="D26" s="173"/>
      <c r="E26" s="173"/>
      <c r="F26" s="173"/>
      <c r="G26" s="173"/>
      <c r="J26" s="281"/>
      <c r="K26" s="281"/>
      <c r="L26" s="282"/>
    </row>
    <row r="27">
      <c r="A27" s="305" t="str">
        <f t="shared" si="2"/>
        <v>Estados Unidos Mid-cap</v>
      </c>
      <c r="B27" s="298" t="s">
        <v>187</v>
      </c>
      <c r="C27" s="299">
        <f t="shared" si="3"/>
        <v>0.1108</v>
      </c>
      <c r="D27" s="173"/>
      <c r="E27" s="173"/>
      <c r="F27" s="173"/>
      <c r="G27" s="173"/>
      <c r="J27" s="281"/>
      <c r="K27" s="281"/>
      <c r="L27" s="282"/>
    </row>
    <row r="28">
      <c r="A28" s="307" t="str">
        <f t="shared" si="2"/>
        <v>Estados Unidos Small-cap</v>
      </c>
      <c r="B28" s="301" t="s">
        <v>192</v>
      </c>
      <c r="C28" s="302">
        <f t="shared" si="3"/>
        <v>0.0861</v>
      </c>
      <c r="D28" s="173"/>
      <c r="E28" s="173"/>
      <c r="F28" s="173"/>
      <c r="G28" s="173"/>
      <c r="J28" s="281"/>
      <c r="K28" s="281"/>
      <c r="L28" s="282"/>
    </row>
    <row r="29">
      <c r="A29" s="305" t="str">
        <f t="shared" si="2"/>
        <v>Países desarrollados LMS</v>
      </c>
      <c r="B29" s="298" t="s">
        <v>191</v>
      </c>
      <c r="C29" s="299">
        <f t="shared" si="3"/>
        <v>0.1101</v>
      </c>
      <c r="D29" s="173"/>
      <c r="E29" s="173"/>
      <c r="F29" s="173"/>
      <c r="G29" s="173"/>
    </row>
    <row r="30">
      <c r="A30" s="307" t="str">
        <f t="shared" si="2"/>
        <v>Países emergentes LMS</v>
      </c>
      <c r="B30" s="301" t="s">
        <v>189</v>
      </c>
      <c r="C30" s="302">
        <f t="shared" si="3"/>
        <v>0.1066</v>
      </c>
      <c r="D30" s="173"/>
      <c r="E30" s="173"/>
      <c r="F30" s="173"/>
      <c r="G30" s="173"/>
    </row>
    <row r="31">
      <c r="A31" s="308" t="str">
        <f t="shared" si="2"/>
        <v>Petróleo</v>
      </c>
      <c r="B31" s="298" t="s">
        <v>209</v>
      </c>
      <c r="C31" s="299">
        <f t="shared" si="3"/>
        <v>0.0151</v>
      </c>
      <c r="D31" s="173"/>
      <c r="E31" s="173"/>
      <c r="F31" s="173"/>
      <c r="G31" s="173"/>
    </row>
    <row r="32">
      <c r="A32" s="309" t="str">
        <f t="shared" si="2"/>
        <v>Crypto</v>
      </c>
      <c r="B32" s="310" t="s">
        <v>188</v>
      </c>
      <c r="C32" s="302">
        <f t="shared" si="3"/>
        <v>0.0375</v>
      </c>
    </row>
    <row r="33">
      <c r="A33" s="311"/>
      <c r="B33" s="312"/>
      <c r="C33" s="313">
        <f>SUM(Equilibrium[Weight])</f>
        <v>1</v>
      </c>
    </row>
    <row r="34">
      <c r="D34" s="273"/>
    </row>
    <row r="35">
      <c r="E35" s="187"/>
      <c r="J35" s="185"/>
      <c r="K35" s="186"/>
    </row>
    <row r="36">
      <c r="C36" s="173"/>
      <c r="D36" s="173"/>
      <c r="E36" s="187"/>
      <c r="F36" s="173"/>
      <c r="G36" s="173"/>
      <c r="H36" s="173"/>
      <c r="J36" s="185"/>
      <c r="K36" s="186"/>
    </row>
    <row r="37">
      <c r="E37" s="187"/>
      <c r="J37" s="185"/>
      <c r="K37" s="186"/>
    </row>
    <row r="38">
      <c r="E38" s="187"/>
      <c r="J38" s="185"/>
      <c r="K38" s="186"/>
    </row>
    <row r="39">
      <c r="E39" s="187"/>
      <c r="J39" s="188"/>
      <c r="K39" s="186"/>
    </row>
    <row r="40">
      <c r="E40" s="187"/>
      <c r="J40" s="188"/>
      <c r="K40" s="186"/>
    </row>
    <row r="41">
      <c r="E41" s="187"/>
      <c r="J41" s="188"/>
      <c r="K41" s="186"/>
    </row>
    <row r="42">
      <c r="C42" s="173"/>
      <c r="D42" s="173"/>
      <c r="E42" s="187"/>
      <c r="F42" s="173"/>
      <c r="G42" s="173"/>
      <c r="H42" s="173"/>
      <c r="J42" s="188"/>
      <c r="K42" s="186"/>
    </row>
    <row r="43">
      <c r="E43" s="187"/>
      <c r="J43" s="188"/>
      <c r="K43" s="186"/>
    </row>
    <row r="44">
      <c r="E44" s="187"/>
      <c r="J44" s="188"/>
      <c r="K44" s="186"/>
    </row>
    <row r="45">
      <c r="E45" s="187"/>
      <c r="J45" s="188"/>
      <c r="K45" s="186"/>
    </row>
    <row r="46">
      <c r="C46" s="173"/>
      <c r="D46" s="173"/>
      <c r="E46" s="187"/>
      <c r="F46" s="173"/>
      <c r="G46" s="173"/>
      <c r="H46" s="173"/>
      <c r="J46" s="188"/>
      <c r="K46" s="186"/>
    </row>
    <row r="47">
      <c r="C47" s="173"/>
      <c r="D47" s="173"/>
      <c r="E47" s="187"/>
      <c r="F47" s="173"/>
      <c r="G47" s="173"/>
      <c r="H47" s="173"/>
      <c r="J47" s="188"/>
      <c r="K47" s="186"/>
    </row>
    <row r="48">
      <c r="E48" s="187"/>
      <c r="J48" s="188"/>
      <c r="K48" s="186"/>
    </row>
    <row r="49">
      <c r="C49" s="173"/>
      <c r="D49" s="173"/>
      <c r="E49" s="187"/>
      <c r="F49" s="173"/>
      <c r="G49" s="173"/>
      <c r="H49" s="173"/>
      <c r="J49" s="188"/>
      <c r="K49" s="186"/>
    </row>
    <row r="50">
      <c r="C50" s="173"/>
      <c r="D50" s="173"/>
      <c r="E50" s="187"/>
      <c r="F50" s="173"/>
      <c r="G50" s="173"/>
      <c r="H50" s="173"/>
      <c r="J50" s="188"/>
      <c r="K50" s="186"/>
    </row>
    <row r="51">
      <c r="E51" s="187"/>
      <c r="J51" s="188"/>
      <c r="K51" s="186"/>
    </row>
    <row r="52">
      <c r="C52" s="173"/>
      <c r="D52" s="173"/>
      <c r="E52" s="187"/>
      <c r="F52" s="173"/>
      <c r="G52" s="173"/>
      <c r="H52" s="173"/>
      <c r="J52" s="188"/>
      <c r="K52" s="186"/>
    </row>
    <row r="53">
      <c r="E53" s="187"/>
      <c r="J53" s="188"/>
      <c r="K53" s="186"/>
    </row>
    <row r="54">
      <c r="E54" s="187"/>
      <c r="J54" s="188"/>
      <c r="K54" s="186"/>
    </row>
    <row r="55">
      <c r="E55" s="187"/>
      <c r="J55" s="188"/>
      <c r="K55" s="186"/>
    </row>
    <row r="56">
      <c r="C56" s="173"/>
      <c r="D56" s="173"/>
      <c r="E56" s="187"/>
      <c r="F56" s="173"/>
      <c r="G56" s="173"/>
      <c r="H56" s="173"/>
      <c r="J56" s="188"/>
      <c r="K56" s="186"/>
    </row>
  </sheetData>
  <dataValidations>
    <dataValidation type="custom" allowBlank="1" showDropDown="1" sqref="B6:D15 C19:C32">
      <formula1>AND(ISNUMBER(B6),(NOT(OR(NOT(ISERROR(DATEVALUE(B6))), AND(ISNUMBER(B6), LEFT(CELL("format", B6))="D")))))</formula1>
    </dataValidation>
  </dataValidations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8.0"/>
    <col customWidth="1" min="2" max="2" width="30.88"/>
    <col customWidth="1" min="3" max="3" width="36.38"/>
    <col customWidth="1" min="4" max="4" width="20.38"/>
    <col customWidth="1" min="5" max="5" width="25.0"/>
    <col customWidth="1" min="6" max="6" width="19.38"/>
    <col customWidth="1" min="7" max="7" width="17.63"/>
    <col customWidth="1" min="11" max="11" width="24.38"/>
    <col customWidth="1" min="12" max="12" width="14.75"/>
  </cols>
  <sheetData>
    <row r="1">
      <c r="A1" s="174" t="s">
        <v>210</v>
      </c>
      <c r="B1" s="314">
        <f>F[[#TOTALS],[ER Weighted]]</f>
        <v>0.058931</v>
      </c>
      <c r="F1" s="231"/>
      <c r="J1" s="241"/>
      <c r="K1" s="242"/>
      <c r="L1" s="243"/>
    </row>
    <row r="2">
      <c r="A2" s="189" t="s">
        <v>170</v>
      </c>
      <c r="B2" s="191">
        <f>D8+D9+D11+D12+D13</f>
        <v>0.7752</v>
      </c>
      <c r="J2" s="241"/>
      <c r="K2" s="242"/>
      <c r="L2" s="243"/>
    </row>
    <row r="3">
      <c r="A3" s="189" t="s">
        <v>211</v>
      </c>
      <c r="B3" s="191">
        <f>D7+D10+D14+D15</f>
        <v>0.2247</v>
      </c>
      <c r="J3" s="241"/>
      <c r="K3" s="242"/>
      <c r="L3" s="243"/>
    </row>
    <row r="4">
      <c r="J4" s="241"/>
      <c r="K4" s="242"/>
      <c r="L4" s="243"/>
    </row>
    <row r="5">
      <c r="J5" s="244"/>
      <c r="K5" s="244"/>
      <c r="L5" s="245"/>
    </row>
    <row r="6">
      <c r="A6" s="315" t="s">
        <v>137</v>
      </c>
      <c r="B6" s="316" t="s">
        <v>138</v>
      </c>
      <c r="C6" s="317" t="s">
        <v>143</v>
      </c>
      <c r="D6" s="316" t="s">
        <v>140</v>
      </c>
      <c r="E6" s="318" t="s">
        <v>212</v>
      </c>
      <c r="F6" s="319" t="s">
        <v>213</v>
      </c>
      <c r="J6" s="244"/>
      <c r="K6" s="244"/>
      <c r="L6" s="245"/>
    </row>
    <row r="7">
      <c r="A7" s="320" t="s">
        <v>145</v>
      </c>
      <c r="B7" s="251">
        <v>0.192</v>
      </c>
      <c r="C7" s="252">
        <v>-0.05</v>
      </c>
      <c r="D7" s="321">
        <f t="shared" ref="D7:D15" si="1">C7+B7</f>
        <v>0.142</v>
      </c>
      <c r="E7" s="322">
        <v>0.029</v>
      </c>
      <c r="F7" s="323">
        <f t="shared" ref="F7:F15" si="2">E7*D7</f>
        <v>0.004118</v>
      </c>
      <c r="J7" s="244"/>
      <c r="K7" s="244"/>
      <c r="L7" s="245"/>
    </row>
    <row r="8">
      <c r="A8" s="324" t="s">
        <v>201</v>
      </c>
      <c r="B8" s="255">
        <v>0.1515</v>
      </c>
      <c r="C8" s="256">
        <v>0.01</v>
      </c>
      <c r="D8" s="325">
        <f t="shared" si="1"/>
        <v>0.1615</v>
      </c>
      <c r="E8" s="326">
        <v>0.032</v>
      </c>
      <c r="F8" s="327">
        <f t="shared" si="2"/>
        <v>0.005168</v>
      </c>
      <c r="J8" s="244"/>
      <c r="K8" s="244"/>
      <c r="L8" s="245"/>
    </row>
    <row r="9">
      <c r="A9" s="328" t="s">
        <v>204</v>
      </c>
      <c r="B9" s="251">
        <v>0.113</v>
      </c>
      <c r="C9" s="252">
        <v>0.03</v>
      </c>
      <c r="D9" s="321">
        <f t="shared" si="1"/>
        <v>0.143</v>
      </c>
      <c r="E9" s="329">
        <v>0.08</v>
      </c>
      <c r="F9" s="323">
        <f t="shared" si="2"/>
        <v>0.01144</v>
      </c>
      <c r="J9" s="244"/>
      <c r="K9" s="244"/>
      <c r="L9" s="245"/>
    </row>
    <row r="10">
      <c r="A10" s="330" t="s">
        <v>202</v>
      </c>
      <c r="B10" s="255">
        <v>0.1156</v>
      </c>
      <c r="C10" s="256">
        <v>-0.05</v>
      </c>
      <c r="D10" s="325">
        <f t="shared" si="1"/>
        <v>0.0656</v>
      </c>
      <c r="E10" s="331">
        <v>0.029</v>
      </c>
      <c r="F10" s="327">
        <f t="shared" si="2"/>
        <v>0.0019024</v>
      </c>
      <c r="J10" s="244"/>
      <c r="K10" s="244"/>
      <c r="L10" s="245"/>
    </row>
    <row r="11">
      <c r="A11" s="328" t="s">
        <v>203</v>
      </c>
      <c r="B11" s="251">
        <v>0.1264</v>
      </c>
      <c r="C11" s="252">
        <v>0.03</v>
      </c>
      <c r="D11" s="321">
        <f t="shared" si="1"/>
        <v>0.1564</v>
      </c>
      <c r="E11" s="322">
        <v>0.08</v>
      </c>
      <c r="F11" s="323">
        <f t="shared" si="2"/>
        <v>0.012512</v>
      </c>
      <c r="J11" s="244"/>
      <c r="K11" s="244"/>
      <c r="L11" s="245"/>
    </row>
    <row r="12">
      <c r="A12" s="324" t="s">
        <v>173</v>
      </c>
      <c r="B12" s="255">
        <v>0.143</v>
      </c>
      <c r="C12" s="256">
        <v>0.035</v>
      </c>
      <c r="D12" s="325">
        <f t="shared" si="1"/>
        <v>0.178</v>
      </c>
      <c r="E12" s="331">
        <v>0.074</v>
      </c>
      <c r="F12" s="327">
        <f t="shared" si="2"/>
        <v>0.013172</v>
      </c>
      <c r="J12" s="244"/>
      <c r="K12" s="244"/>
      <c r="L12" s="245"/>
    </row>
    <row r="13">
      <c r="A13" s="328" t="s">
        <v>178</v>
      </c>
      <c r="B13" s="251">
        <v>0.1163</v>
      </c>
      <c r="C13" s="252">
        <v>0.02</v>
      </c>
      <c r="D13" s="321">
        <f t="shared" si="1"/>
        <v>0.1363</v>
      </c>
      <c r="E13" s="329">
        <v>0.074</v>
      </c>
      <c r="F13" s="323">
        <f t="shared" si="2"/>
        <v>0.0100862</v>
      </c>
      <c r="J13" s="244"/>
      <c r="K13" s="244"/>
      <c r="L13" s="245"/>
    </row>
    <row r="14">
      <c r="A14" s="332" t="s">
        <v>205</v>
      </c>
      <c r="B14" s="255">
        <v>0.0421</v>
      </c>
      <c r="C14" s="256">
        <v>-0.03</v>
      </c>
      <c r="D14" s="325">
        <f t="shared" si="1"/>
        <v>0.0121</v>
      </c>
      <c r="E14" s="326">
        <v>0.044</v>
      </c>
      <c r="F14" s="327">
        <f t="shared" si="2"/>
        <v>0.0005324</v>
      </c>
      <c r="J14" s="244"/>
      <c r="K14" s="244"/>
      <c r="L14" s="245"/>
    </row>
    <row r="15">
      <c r="A15" s="333" t="s">
        <v>206</v>
      </c>
      <c r="B15" s="251">
        <v>0.0</v>
      </c>
      <c r="C15" s="252">
        <v>0.005</v>
      </c>
      <c r="D15" s="321">
        <f t="shared" si="1"/>
        <v>0.005</v>
      </c>
      <c r="E15" s="322">
        <v>0.0</v>
      </c>
      <c r="F15" s="323">
        <f t="shared" si="2"/>
        <v>0</v>
      </c>
      <c r="J15" s="244"/>
      <c r="K15" s="244"/>
      <c r="L15" s="245"/>
    </row>
    <row r="16">
      <c r="A16" s="334"/>
      <c r="B16" s="335">
        <f>SUM(F[Modelo])</f>
        <v>0.9999</v>
      </c>
      <c r="C16" s="336">
        <f>SUM(F[Corredor +/- 5%])</f>
        <v>0</v>
      </c>
      <c r="D16" s="335">
        <f>SUM(F[TAA])</f>
        <v>0.9999</v>
      </c>
      <c r="E16" s="337"/>
      <c r="F16" s="338">
        <f>SUM(F[ER Weighted])</f>
        <v>0.058931</v>
      </c>
      <c r="J16" s="244"/>
      <c r="K16" s="244"/>
      <c r="L16" s="245"/>
    </row>
    <row r="17">
      <c r="A17" s="173"/>
      <c r="B17" s="173"/>
      <c r="C17" s="173"/>
      <c r="E17" s="173"/>
      <c r="F17" s="173"/>
      <c r="G17" s="173"/>
      <c r="J17" s="244"/>
      <c r="K17" s="244"/>
      <c r="L17" s="245"/>
    </row>
    <row r="18">
      <c r="A18" s="315" t="s">
        <v>185</v>
      </c>
      <c r="B18" s="317" t="s">
        <v>66</v>
      </c>
      <c r="C18" s="339" t="s">
        <v>55</v>
      </c>
      <c r="E18" s="173"/>
      <c r="F18" s="173"/>
      <c r="G18" s="173"/>
      <c r="J18" s="244"/>
      <c r="K18" s="244"/>
      <c r="L18" s="245"/>
    </row>
    <row r="19">
      <c r="A19" s="340" t="str">
        <f t="shared" ref="A19:A27" si="3">A7</f>
        <v>Oro</v>
      </c>
      <c r="B19" s="298" t="s">
        <v>168</v>
      </c>
      <c r="C19" s="341">
        <f t="shared" ref="C19:C27" si="4">D7</f>
        <v>0.142</v>
      </c>
      <c r="E19" s="173"/>
      <c r="F19" s="173"/>
      <c r="G19" s="173"/>
      <c r="J19" s="244"/>
      <c r="K19" s="244"/>
      <c r="L19" s="245"/>
    </row>
    <row r="20">
      <c r="A20" s="342" t="str">
        <f t="shared" si="3"/>
        <v>Estados Unidos Large-cap</v>
      </c>
      <c r="B20" s="301" t="s">
        <v>207</v>
      </c>
      <c r="C20" s="343">
        <f t="shared" si="4"/>
        <v>0.1615</v>
      </c>
      <c r="E20" s="173"/>
      <c r="F20" s="173"/>
      <c r="G20" s="173"/>
      <c r="J20" s="244"/>
      <c r="K20" s="244"/>
      <c r="L20" s="245"/>
    </row>
    <row r="21">
      <c r="A21" s="344" t="str">
        <f t="shared" si="3"/>
        <v>Países emergentes LMS</v>
      </c>
      <c r="B21" s="298" t="s">
        <v>191</v>
      </c>
      <c r="C21" s="341">
        <f t="shared" si="4"/>
        <v>0.143</v>
      </c>
      <c r="E21" s="173"/>
      <c r="F21" s="173"/>
      <c r="G21" s="173"/>
      <c r="J21" s="244"/>
      <c r="K21" s="244"/>
      <c r="L21" s="245"/>
    </row>
    <row r="22">
      <c r="A22" s="345" t="str">
        <f t="shared" si="3"/>
        <v>Plata</v>
      </c>
      <c r="B22" s="301" t="s">
        <v>208</v>
      </c>
      <c r="C22" s="343">
        <f t="shared" si="4"/>
        <v>0.0656</v>
      </c>
      <c r="D22" s="136"/>
      <c r="E22" s="173"/>
      <c r="F22" s="173"/>
      <c r="G22" s="173"/>
      <c r="J22" s="244"/>
      <c r="K22" s="244"/>
      <c r="L22" s="245"/>
    </row>
    <row r="23">
      <c r="A23" s="344" t="str">
        <f t="shared" si="3"/>
        <v>Países desarrollados LMS</v>
      </c>
      <c r="B23" s="298" t="s">
        <v>189</v>
      </c>
      <c r="C23" s="341">
        <f t="shared" si="4"/>
        <v>0.1564</v>
      </c>
      <c r="E23" s="173"/>
      <c r="F23" s="173"/>
      <c r="G23" s="173"/>
    </row>
    <row r="24">
      <c r="A24" s="342" t="str">
        <f t="shared" si="3"/>
        <v>Estados Unidos Mid-cap</v>
      </c>
      <c r="B24" s="304" t="s">
        <v>187</v>
      </c>
      <c r="C24" s="343">
        <f t="shared" si="4"/>
        <v>0.178</v>
      </c>
      <c r="D24" s="173"/>
      <c r="E24" s="173"/>
      <c r="F24" s="173"/>
      <c r="G24" s="173"/>
    </row>
    <row r="25">
      <c r="A25" s="344" t="str">
        <f t="shared" si="3"/>
        <v>Estados Unidos Small-cap</v>
      </c>
      <c r="B25" s="298" t="s">
        <v>192</v>
      </c>
      <c r="C25" s="341">
        <f t="shared" si="4"/>
        <v>0.1363</v>
      </c>
      <c r="D25" s="173"/>
      <c r="E25" s="173"/>
      <c r="F25" s="173"/>
      <c r="G25" s="173"/>
    </row>
    <row r="26">
      <c r="A26" s="346" t="str">
        <f t="shared" si="3"/>
        <v>Petróleo</v>
      </c>
      <c r="B26" s="301" t="s">
        <v>209</v>
      </c>
      <c r="C26" s="343">
        <f t="shared" si="4"/>
        <v>0.0121</v>
      </c>
      <c r="D26" s="173"/>
    </row>
    <row r="27">
      <c r="A27" s="347" t="str">
        <f t="shared" si="3"/>
        <v>Crypto</v>
      </c>
      <c r="B27" s="298" t="s">
        <v>188</v>
      </c>
      <c r="C27" s="341">
        <f t="shared" si="4"/>
        <v>0.005</v>
      </c>
      <c r="D27" s="173"/>
    </row>
    <row r="28">
      <c r="A28" s="348"/>
      <c r="B28" s="349"/>
      <c r="C28" s="350">
        <f>SUM(Future[Weight])</f>
        <v>0.9999</v>
      </c>
    </row>
    <row r="30">
      <c r="E30" s="187"/>
      <c r="J30" s="185"/>
      <c r="K30" s="186"/>
    </row>
    <row r="31">
      <c r="D31" s="273"/>
      <c r="E31" s="187"/>
      <c r="F31" s="173"/>
      <c r="G31" s="173"/>
      <c r="H31" s="173"/>
      <c r="J31" s="185"/>
      <c r="K31" s="186"/>
    </row>
    <row r="32">
      <c r="D32" s="181"/>
      <c r="E32" s="187"/>
      <c r="J32" s="185"/>
      <c r="K32" s="186"/>
    </row>
    <row r="33">
      <c r="D33" s="181"/>
      <c r="E33" s="187"/>
      <c r="J33" s="185"/>
      <c r="K33" s="186"/>
    </row>
    <row r="34">
      <c r="D34" s="181"/>
      <c r="E34" s="187"/>
      <c r="J34" s="188"/>
      <c r="K34" s="186"/>
    </row>
    <row r="35">
      <c r="E35" s="187"/>
      <c r="J35" s="188"/>
      <c r="K35" s="186"/>
    </row>
    <row r="36">
      <c r="E36" s="187"/>
      <c r="J36" s="188"/>
      <c r="K36" s="186"/>
    </row>
    <row r="37">
      <c r="C37" s="173"/>
      <c r="D37" s="173"/>
      <c r="E37" s="187"/>
      <c r="F37" s="173"/>
      <c r="G37" s="173"/>
      <c r="H37" s="173"/>
      <c r="J37" s="188"/>
      <c r="K37" s="186"/>
    </row>
    <row r="38">
      <c r="E38" s="187"/>
      <c r="J38" s="188"/>
      <c r="K38" s="186"/>
    </row>
    <row r="39">
      <c r="E39" s="187"/>
      <c r="J39" s="188"/>
      <c r="K39" s="186"/>
    </row>
    <row r="40">
      <c r="E40" s="187"/>
      <c r="J40" s="188"/>
      <c r="K40" s="186"/>
    </row>
    <row r="41">
      <c r="E41" s="187"/>
      <c r="F41" s="173"/>
      <c r="G41" s="173"/>
      <c r="H41" s="173"/>
      <c r="J41" s="188"/>
      <c r="K41" s="186"/>
    </row>
    <row r="42">
      <c r="E42" s="187"/>
      <c r="F42" s="173"/>
      <c r="G42" s="173"/>
      <c r="H42" s="173"/>
      <c r="J42" s="188"/>
      <c r="K42" s="186"/>
    </row>
    <row r="43">
      <c r="C43" s="173"/>
      <c r="D43" s="173"/>
      <c r="E43" s="187"/>
      <c r="J43" s="188"/>
      <c r="K43" s="186"/>
    </row>
    <row r="44">
      <c r="E44" s="187"/>
      <c r="F44" s="173"/>
      <c r="G44" s="173"/>
      <c r="H44" s="173"/>
      <c r="J44" s="188"/>
      <c r="K44" s="186"/>
    </row>
    <row r="45">
      <c r="E45" s="187"/>
      <c r="F45" s="173"/>
      <c r="G45" s="173"/>
      <c r="H45" s="173"/>
      <c r="J45" s="188"/>
      <c r="K45" s="186"/>
    </row>
    <row r="46">
      <c r="E46" s="187"/>
      <c r="J46" s="188"/>
      <c r="K46" s="186"/>
    </row>
    <row r="47">
      <c r="C47" s="173"/>
      <c r="D47" s="173"/>
      <c r="E47" s="187"/>
      <c r="F47" s="173"/>
      <c r="G47" s="173"/>
      <c r="H47" s="173"/>
      <c r="J47" s="188"/>
      <c r="K47" s="186"/>
    </row>
    <row r="48">
      <c r="C48" s="173"/>
      <c r="D48" s="173"/>
      <c r="E48" s="187"/>
      <c r="J48" s="188"/>
      <c r="K48" s="186"/>
    </row>
    <row r="49">
      <c r="E49" s="187"/>
      <c r="J49" s="188"/>
      <c r="K49" s="186"/>
    </row>
    <row r="50">
      <c r="C50" s="173"/>
      <c r="D50" s="173"/>
      <c r="E50" s="187"/>
      <c r="J50" s="188"/>
      <c r="K50" s="186"/>
    </row>
    <row r="51">
      <c r="C51" s="173"/>
      <c r="D51" s="173"/>
      <c r="E51" s="187"/>
      <c r="F51" s="173"/>
      <c r="G51" s="173"/>
      <c r="H51" s="173"/>
      <c r="J51" s="188"/>
      <c r="K51" s="186"/>
    </row>
    <row r="53">
      <c r="C53" s="173"/>
      <c r="D53" s="173"/>
    </row>
    <row r="57">
      <c r="C57" s="173"/>
      <c r="D57" s="173"/>
    </row>
  </sheetData>
  <dataValidations>
    <dataValidation type="custom" allowBlank="1" showDropDown="1" sqref="B7:F15 C19:C27">
      <formula1>AND(ISNUMBER(B7),(NOT(OR(NOT(ISERROR(DATEVALUE(B7))), AND(ISNUMBER(B7), LEFT(CELL("format", B7))="D")))))</formula1>
    </dataValidation>
  </dataValidations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30.88"/>
    <col customWidth="1" min="3" max="3" width="36.38"/>
    <col customWidth="1" min="4" max="4" width="20.38"/>
    <col customWidth="1" min="5" max="5" width="25.0"/>
    <col customWidth="1" min="7" max="7" width="17.63"/>
  </cols>
  <sheetData>
    <row r="1">
      <c r="B1" s="158"/>
      <c r="C1" s="160"/>
    </row>
    <row r="3">
      <c r="A3" s="351" t="s">
        <v>137</v>
      </c>
      <c r="B3" s="352" t="s">
        <v>138</v>
      </c>
      <c r="C3" s="353" t="s">
        <v>139</v>
      </c>
      <c r="D3" s="354" t="s">
        <v>140</v>
      </c>
    </row>
    <row r="4">
      <c r="A4" s="165" t="s">
        <v>25</v>
      </c>
      <c r="B4" s="355">
        <v>0.25</v>
      </c>
      <c r="C4" s="167">
        <v>0.0</v>
      </c>
      <c r="D4" s="356">
        <f t="shared" ref="D4:D7" si="1">C4+B4</f>
        <v>0.25</v>
      </c>
    </row>
    <row r="5">
      <c r="A5" s="165" t="s">
        <v>28</v>
      </c>
      <c r="B5" s="355">
        <v>0.25</v>
      </c>
      <c r="C5" s="167">
        <v>0.0</v>
      </c>
      <c r="D5" s="356">
        <f t="shared" si="1"/>
        <v>0.25</v>
      </c>
      <c r="G5" s="147"/>
    </row>
    <row r="6">
      <c r="A6" s="165" t="s">
        <v>214</v>
      </c>
      <c r="B6" s="355">
        <v>0.25</v>
      </c>
      <c r="C6" s="167">
        <v>0.0</v>
      </c>
      <c r="D6" s="356">
        <f t="shared" si="1"/>
        <v>0.25</v>
      </c>
      <c r="H6" s="177"/>
    </row>
    <row r="7">
      <c r="A7" s="165" t="s">
        <v>215</v>
      </c>
      <c r="B7" s="355">
        <v>0.25</v>
      </c>
      <c r="C7" s="167">
        <v>0.0</v>
      </c>
      <c r="D7" s="356">
        <f t="shared" si="1"/>
        <v>0.25</v>
      </c>
      <c r="H7" s="177"/>
    </row>
    <row r="8">
      <c r="A8" s="357"/>
      <c r="B8" s="358">
        <f>SUM(Factor_alfa[Modelo])</f>
        <v>1</v>
      </c>
      <c r="C8" s="359">
        <f>SUM(Factor_alfa[Corredor +/- 10%])</f>
        <v>0</v>
      </c>
      <c r="D8" s="360">
        <f>SUM(Factor_alfa[TAA])</f>
        <v>1</v>
      </c>
      <c r="E8" s="173"/>
      <c r="F8" s="173"/>
      <c r="G8" s="173"/>
    </row>
    <row r="9">
      <c r="B9" s="158">
        <f>1/24</f>
        <v>0.04166666667</v>
      </c>
      <c r="C9" s="160"/>
      <c r="E9" s="173"/>
      <c r="F9" s="173"/>
      <c r="G9" s="173"/>
    </row>
    <row r="10">
      <c r="E10" s="173"/>
      <c r="F10" s="173"/>
      <c r="G10" s="173"/>
    </row>
    <row r="11">
      <c r="A11" s="361" t="s">
        <v>216</v>
      </c>
      <c r="B11" s="204" t="s">
        <v>66</v>
      </c>
      <c r="C11" s="206" t="s">
        <v>55</v>
      </c>
      <c r="E11" s="173"/>
      <c r="F11" s="173"/>
      <c r="G11" s="173"/>
    </row>
    <row r="12">
      <c r="A12" s="362"/>
      <c r="B12" s="209" t="str">
        <f>Value!B9</f>
        <v>SLB</v>
      </c>
      <c r="C12" s="167">
        <v>0.04166</v>
      </c>
      <c r="J12" s="180"/>
    </row>
    <row r="13">
      <c r="A13" s="362"/>
      <c r="B13" s="209" t="str">
        <f>Value!B11</f>
        <v>MO</v>
      </c>
      <c r="C13" s="167">
        <v>0.04166</v>
      </c>
      <c r="J13" s="180"/>
    </row>
    <row r="14">
      <c r="A14" s="362"/>
      <c r="B14" s="209" t="str">
        <f>Value!B12</f>
        <v>MRK</v>
      </c>
      <c r="C14" s="167">
        <v>0.04166</v>
      </c>
      <c r="E14" s="187"/>
      <c r="F14" s="173"/>
      <c r="G14" s="173"/>
      <c r="H14" s="173"/>
      <c r="I14" s="173"/>
      <c r="J14" s="173"/>
      <c r="K14" s="185"/>
      <c r="L14" s="186"/>
    </row>
    <row r="15">
      <c r="A15" s="362"/>
      <c r="B15" s="209" t="str">
        <f>Value!B13</f>
        <v>UAL</v>
      </c>
      <c r="C15" s="167">
        <v>0.04166</v>
      </c>
      <c r="E15" s="187"/>
      <c r="F15" s="173"/>
      <c r="G15" s="173"/>
      <c r="H15" s="173"/>
      <c r="I15" s="173"/>
      <c r="J15" s="173"/>
      <c r="K15" s="185"/>
      <c r="L15" s="186"/>
    </row>
    <row r="16">
      <c r="A16" s="362"/>
      <c r="B16" s="209" t="str">
        <f>Value!B14</f>
        <v>PFE</v>
      </c>
      <c r="C16" s="167">
        <v>0.04166</v>
      </c>
      <c r="E16" s="187"/>
      <c r="F16" s="173"/>
      <c r="G16" s="173"/>
      <c r="H16" s="173"/>
      <c r="I16" s="173"/>
      <c r="J16" s="173"/>
      <c r="K16" s="185"/>
      <c r="L16" s="186"/>
    </row>
    <row r="17">
      <c r="A17" s="362"/>
      <c r="B17" s="209" t="str">
        <f>Value!B15</f>
        <v>AVGO</v>
      </c>
      <c r="C17" s="167">
        <v>0.04166</v>
      </c>
      <c r="E17" s="187"/>
      <c r="F17" s="173"/>
      <c r="G17" s="173"/>
      <c r="H17" s="173"/>
      <c r="I17" s="173"/>
      <c r="J17" s="173"/>
      <c r="K17" s="185"/>
      <c r="L17" s="186"/>
    </row>
    <row r="18">
      <c r="A18" s="363"/>
      <c r="B18" s="209" t="str">
        <f>Momentum!B9</f>
        <v>SAN</v>
      </c>
      <c r="C18" s="167">
        <v>0.04166</v>
      </c>
      <c r="E18" s="187"/>
      <c r="F18" s="173"/>
      <c r="G18" s="173"/>
      <c r="H18" s="173"/>
      <c r="I18" s="173"/>
      <c r="J18" s="173"/>
      <c r="K18" s="185"/>
      <c r="L18" s="186"/>
    </row>
    <row r="19">
      <c r="A19" s="363"/>
      <c r="B19" s="209" t="str">
        <f>Momentum!B10</f>
        <v>CLS</v>
      </c>
      <c r="C19" s="167">
        <v>0.04166</v>
      </c>
      <c r="E19" s="187"/>
      <c r="F19" s="173"/>
      <c r="G19" s="173"/>
      <c r="H19" s="173"/>
      <c r="I19" s="173"/>
      <c r="J19" s="173"/>
      <c r="K19" s="185"/>
      <c r="L19" s="186"/>
    </row>
    <row r="20">
      <c r="A20" s="363"/>
      <c r="B20" s="209" t="str">
        <f>Momentum!B11</f>
        <v>KGC</v>
      </c>
      <c r="C20" s="167">
        <v>0.04166</v>
      </c>
      <c r="E20" s="187"/>
      <c r="F20" s="173"/>
      <c r="G20" s="173"/>
      <c r="H20" s="173"/>
      <c r="I20" s="173"/>
      <c r="J20" s="173"/>
      <c r="K20" s="185"/>
      <c r="L20" s="186"/>
    </row>
    <row r="21">
      <c r="A21" s="363"/>
      <c r="B21" s="209" t="str">
        <f>Momentum!B12</f>
        <v>SNOW</v>
      </c>
      <c r="C21" s="167">
        <v>0.04166</v>
      </c>
      <c r="E21" s="187"/>
      <c r="F21" s="173"/>
      <c r="G21" s="173"/>
      <c r="H21" s="173"/>
      <c r="I21" s="173"/>
      <c r="J21" s="173"/>
      <c r="K21" s="185"/>
      <c r="L21" s="186"/>
    </row>
    <row r="22">
      <c r="A22" s="363"/>
      <c r="B22" s="209" t="str">
        <f>Momentum!B13</f>
        <v>PLTR</v>
      </c>
      <c r="C22" s="167">
        <v>0.04166</v>
      </c>
      <c r="E22" s="187"/>
      <c r="F22" s="173"/>
      <c r="G22" s="173"/>
      <c r="H22" s="173"/>
      <c r="I22" s="173"/>
      <c r="J22" s="173"/>
      <c r="K22" s="185"/>
      <c r="L22" s="186"/>
    </row>
    <row r="23">
      <c r="A23" s="363"/>
      <c r="B23" s="209" t="str">
        <f>Momentum!B15</f>
        <v>ORCL</v>
      </c>
      <c r="C23" s="167">
        <v>0.04166</v>
      </c>
      <c r="E23" s="187"/>
      <c r="F23" s="173"/>
      <c r="G23" s="173"/>
      <c r="H23" s="173"/>
      <c r="I23" s="173"/>
      <c r="J23" s="173"/>
      <c r="K23" s="185"/>
      <c r="L23" s="186"/>
    </row>
    <row r="24">
      <c r="A24" s="364"/>
      <c r="B24" s="209" t="str">
        <f>'Low Vol'!B9</f>
        <v>KO</v>
      </c>
      <c r="C24" s="167">
        <v>0.04166</v>
      </c>
      <c r="E24" s="187"/>
      <c r="K24" s="185"/>
      <c r="L24" s="186"/>
    </row>
    <row r="25">
      <c r="A25" s="364"/>
      <c r="B25" s="209" t="str">
        <f>'Low Vol'!B10</f>
        <v>MMC</v>
      </c>
      <c r="C25" s="167">
        <v>0.04166</v>
      </c>
      <c r="E25" s="187"/>
      <c r="K25" s="188"/>
      <c r="L25" s="186"/>
    </row>
    <row r="26">
      <c r="A26" s="364"/>
      <c r="B26" s="209" t="str">
        <f>'Low Vol'!B11</f>
        <v>UL</v>
      </c>
      <c r="C26" s="167">
        <v>0.04166</v>
      </c>
      <c r="E26" s="187"/>
      <c r="K26" s="188"/>
      <c r="L26" s="186"/>
    </row>
    <row r="27">
      <c r="A27" s="364"/>
      <c r="B27" s="209" t="str">
        <f>'Low Vol'!B12</f>
        <v>TJX</v>
      </c>
      <c r="C27" s="167">
        <v>0.04166</v>
      </c>
      <c r="E27" s="187"/>
      <c r="K27" s="188"/>
      <c r="L27" s="186"/>
    </row>
    <row r="28">
      <c r="A28" s="364"/>
      <c r="B28" s="209" t="str">
        <f>'Low Vol'!B13</f>
        <v>ADP</v>
      </c>
      <c r="C28" s="167">
        <v>0.04166</v>
      </c>
      <c r="E28" s="187"/>
      <c r="K28" s="188"/>
      <c r="L28" s="186"/>
    </row>
    <row r="29">
      <c r="A29" s="364"/>
      <c r="B29" s="209" t="str">
        <f>'Low Vol'!B14</f>
        <v>PEP</v>
      </c>
      <c r="C29" s="167">
        <v>0.04166</v>
      </c>
      <c r="E29" s="187"/>
      <c r="K29" s="188"/>
      <c r="L29" s="186"/>
    </row>
    <row r="30">
      <c r="A30" s="365"/>
      <c r="B30" s="366" t="str">
        <f>Skewness!B9</f>
        <v>VRTX</v>
      </c>
      <c r="C30" s="167">
        <v>0.04166</v>
      </c>
      <c r="E30" s="187"/>
      <c r="K30" s="188"/>
      <c r="L30" s="186"/>
    </row>
    <row r="31">
      <c r="A31" s="365"/>
      <c r="B31" s="366" t="str">
        <f>Skewness!B10</f>
        <v>GLOB</v>
      </c>
      <c r="C31" s="167">
        <v>0.04166</v>
      </c>
      <c r="E31" s="187"/>
      <c r="K31" s="188"/>
      <c r="L31" s="186"/>
    </row>
    <row r="32">
      <c r="A32" s="365"/>
      <c r="B32" s="366" t="str">
        <f>Skewness!B11</f>
        <v>TGT</v>
      </c>
      <c r="C32" s="167">
        <v>0.04166</v>
      </c>
      <c r="E32" s="187"/>
      <c r="K32" s="188"/>
      <c r="L32" s="186"/>
    </row>
    <row r="33">
      <c r="A33" s="365"/>
      <c r="B33" s="366" t="str">
        <f>Skewness!B12</f>
        <v>UNH</v>
      </c>
      <c r="C33" s="167">
        <v>0.04166</v>
      </c>
      <c r="E33" s="187"/>
      <c r="K33" s="188"/>
      <c r="L33" s="186"/>
    </row>
    <row r="34">
      <c r="A34" s="365"/>
      <c r="B34" s="366" t="str">
        <f>Skewness!B13</f>
        <v>ADBE</v>
      </c>
      <c r="C34" s="167">
        <v>0.04166</v>
      </c>
      <c r="E34" s="187"/>
      <c r="F34" s="173"/>
      <c r="G34" s="173"/>
      <c r="H34" s="173"/>
      <c r="I34" s="173"/>
      <c r="J34" s="173"/>
      <c r="K34" s="188"/>
      <c r="L34" s="186"/>
    </row>
    <row r="35">
      <c r="A35" s="367"/>
      <c r="B35" s="366" t="str">
        <f>Skewness!B14</f>
        <v>LMT</v>
      </c>
      <c r="C35" s="167">
        <v>0.04166</v>
      </c>
      <c r="E35" s="187"/>
      <c r="F35" s="173"/>
      <c r="G35" s="173"/>
      <c r="H35" s="173"/>
      <c r="I35" s="173"/>
      <c r="J35" s="173"/>
      <c r="K35" s="188"/>
      <c r="L35" s="186"/>
    </row>
    <row r="36">
      <c r="A36" s="368"/>
      <c r="B36" s="143">
        <f>1/20</f>
        <v>0.05</v>
      </c>
      <c r="C36" s="177">
        <f>SUM(C12:C35)</f>
        <v>0.99984</v>
      </c>
      <c r="E36" s="187"/>
      <c r="F36" s="173"/>
      <c r="G36" s="173"/>
      <c r="H36" s="173"/>
      <c r="I36" s="173"/>
      <c r="J36" s="173"/>
      <c r="K36" s="188"/>
      <c r="L36" s="186"/>
    </row>
    <row r="37">
      <c r="E37" s="187"/>
      <c r="K37" s="188"/>
      <c r="L37" s="186"/>
    </row>
    <row r="38">
      <c r="F38" s="173"/>
      <c r="G38" s="173"/>
      <c r="H38" s="173"/>
      <c r="I38" s="173"/>
      <c r="J38" s="173"/>
      <c r="K38" s="188"/>
      <c r="L38" s="186"/>
    </row>
    <row r="39">
      <c r="E39" s="187"/>
      <c r="F39" s="173"/>
      <c r="G39" s="173"/>
      <c r="H39" s="173"/>
      <c r="I39" s="173"/>
      <c r="J39" s="173"/>
      <c r="K39" s="188"/>
      <c r="L39" s="186"/>
    </row>
    <row r="40">
      <c r="B40" s="173"/>
      <c r="D40" s="369"/>
      <c r="E40" s="187"/>
      <c r="K40" s="188"/>
      <c r="L40" s="186"/>
    </row>
    <row r="41">
      <c r="B41" s="173"/>
      <c r="E41" s="187"/>
      <c r="F41" s="173"/>
      <c r="G41" s="173"/>
      <c r="H41" s="173"/>
      <c r="I41" s="173"/>
      <c r="J41" s="173"/>
      <c r="K41" s="188"/>
      <c r="L41" s="186"/>
    </row>
    <row r="42">
      <c r="B42" s="173"/>
      <c r="E42" s="187"/>
      <c r="K42" s="188"/>
      <c r="L42" s="186"/>
    </row>
    <row r="43">
      <c r="B43" s="173"/>
      <c r="E43" s="187"/>
      <c r="K43" s="188"/>
      <c r="L43" s="186"/>
    </row>
    <row r="44">
      <c r="B44" s="173"/>
      <c r="E44" s="187"/>
      <c r="K44" s="188"/>
      <c r="L44" s="186"/>
    </row>
    <row r="45">
      <c r="B45" s="173"/>
      <c r="E45" s="187"/>
      <c r="F45" s="173"/>
      <c r="G45" s="173"/>
      <c r="H45" s="173"/>
      <c r="I45" s="173"/>
      <c r="J45" s="173"/>
      <c r="K45" s="188"/>
      <c r="L45" s="186"/>
    </row>
    <row r="46">
      <c r="B46" s="173"/>
    </row>
    <row r="47">
      <c r="B47" s="173"/>
    </row>
    <row r="48">
      <c r="B48" s="173"/>
    </row>
    <row r="49">
      <c r="B49" s="173"/>
    </row>
    <row r="50">
      <c r="B50" s="173"/>
    </row>
    <row r="51">
      <c r="B51" s="173"/>
    </row>
    <row r="52">
      <c r="B52" s="173"/>
    </row>
    <row r="53">
      <c r="B53" s="173"/>
    </row>
    <row r="54">
      <c r="B54" s="173"/>
    </row>
    <row r="983">
      <c r="A983" s="370"/>
      <c r="M983" s="178"/>
    </row>
  </sheetData>
  <dataValidations>
    <dataValidation type="custom" allowBlank="1" showDropDown="1" sqref="B4:D7 C12:C35">
      <formula1>AND(ISNUMBER(B4),(NOT(OR(NOT(ISERROR(DATEVALUE(B4))), AND(ISNUMBER(B4), LEFT(CELL("format", B4))="D")))))</formula1>
    </dataValidation>
  </dataValidations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30.88"/>
    <col customWidth="1" min="3" max="3" width="36.38"/>
    <col customWidth="1" min="4" max="4" width="26.0"/>
    <col customWidth="1" min="5" max="5" width="25.0"/>
    <col customWidth="1" min="7" max="7" width="17.63"/>
  </cols>
  <sheetData>
    <row r="1">
      <c r="B1" s="371" t="s">
        <v>217</v>
      </c>
      <c r="C1" s="372">
        <f>SUMPRODUCT(C9:C48,E9:E48)</f>
        <v>0.1055548369</v>
      </c>
    </row>
    <row r="3">
      <c r="A3" s="161" t="s">
        <v>137</v>
      </c>
      <c r="B3" s="162" t="s">
        <v>138</v>
      </c>
      <c r="C3" s="163" t="s">
        <v>139</v>
      </c>
      <c r="D3" s="164" t="s">
        <v>140</v>
      </c>
    </row>
    <row r="4">
      <c r="A4" s="165" t="s">
        <v>25</v>
      </c>
      <c r="B4" s="355">
        <v>1.0</v>
      </c>
      <c r="C4" s="167">
        <v>0.0</v>
      </c>
      <c r="D4" s="168">
        <f>C4+B4</f>
        <v>1</v>
      </c>
    </row>
    <row r="5">
      <c r="A5" s="169"/>
      <c r="B5" s="170">
        <f>SUM(Tactical_4[Modelo])</f>
        <v>1</v>
      </c>
      <c r="C5" s="171">
        <f>SUM(Tactical_4[Corredor +/- 10%])</f>
        <v>0</v>
      </c>
      <c r="D5" s="172">
        <f>SUM(Tactical_4[TAA])</f>
        <v>1</v>
      </c>
      <c r="E5" s="173"/>
      <c r="F5" s="173"/>
      <c r="G5" s="173"/>
    </row>
    <row r="6">
      <c r="B6" s="158"/>
      <c r="C6" s="160"/>
      <c r="E6" s="173"/>
      <c r="F6" s="173"/>
      <c r="G6" s="173"/>
    </row>
    <row r="7">
      <c r="E7" s="173"/>
      <c r="F7" s="173"/>
      <c r="G7" s="173"/>
    </row>
    <row r="8">
      <c r="A8" s="173" t="s">
        <v>134</v>
      </c>
      <c r="B8" s="173" t="s">
        <v>66</v>
      </c>
      <c r="C8" s="173" t="s">
        <v>55</v>
      </c>
      <c r="D8" s="173" t="s">
        <v>93</v>
      </c>
      <c r="E8" s="238">
        <v>45839.0</v>
      </c>
      <c r="F8" s="173"/>
      <c r="G8" s="173"/>
    </row>
    <row r="9">
      <c r="A9" s="373" t="str">
        <f>IFERROR(__xludf.DUMMYFUNCTION("GOOGLEFINANCE(B9,""name"")"),"Schlumberger NV")</f>
        <v>Schlumberger NV</v>
      </c>
      <c r="B9" s="374" t="s">
        <v>218</v>
      </c>
      <c r="C9" s="175">
        <v>0.025</v>
      </c>
      <c r="D9" s="178">
        <f>IFERROR(__xludf.DUMMYFUNCTION("GOOGLEFINANCE(B9)/(INDEX(GOOGLEFINANCE(B9 ,""price"",DATE(2025,1,1)),2,2))-1"),-0.11536458333333333)</f>
        <v>-0.1153645833</v>
      </c>
      <c r="E9" s="179">
        <f>IFERROR(__xludf.DUMMYFUNCTION("googlefinance(B9)/(INDEX(GOOGLEFINANCE(B9 ,""price"",DATE(2025,7,1)),2,2))-1"),-0.0349431818181819)</f>
        <v>-0.03494318182</v>
      </c>
      <c r="J9" s="180"/>
    </row>
    <row r="10">
      <c r="A10" s="373" t="str">
        <f>IFERROR(__xludf.DUMMYFUNCTION("GOOGLEFINANCE(B10,""name"")"),"Weibo Corp")</f>
        <v>Weibo Corp</v>
      </c>
      <c r="B10" s="374" t="s">
        <v>219</v>
      </c>
      <c r="C10" s="175">
        <v>0.025</v>
      </c>
      <c r="D10" s="178">
        <f>IFERROR(__xludf.DUMMYFUNCTION("GOOGLEFINANCE(B10)/(INDEX(GOOGLEFINANCE(B10 ,""price"",DATE(2025,1,1)),2,2))-1"),0.36206896551724155)</f>
        <v>0.3620689655</v>
      </c>
      <c r="E10" s="179">
        <f>IFERROR(__xludf.DUMMYFUNCTION("googlefinance(B10)/(INDEX(GOOGLEFINANCE(B10 ,""price"",DATE(2025,7,1)),2,2))-1"),0.32773109243697496)</f>
        <v>0.3277310924</v>
      </c>
      <c r="J10" s="180"/>
    </row>
    <row r="11">
      <c r="A11" s="373" t="str">
        <f>IFERROR(__xludf.DUMMYFUNCTION("GOOGLEFINANCE(B11,""name"")"),"Altria Group Inc")</f>
        <v>Altria Group Inc</v>
      </c>
      <c r="B11" s="374" t="s">
        <v>220</v>
      </c>
      <c r="C11" s="175">
        <v>0.025</v>
      </c>
      <c r="D11" s="178">
        <f>IFERROR(__xludf.DUMMYFUNCTION("GOOGLEFINANCE(B11)/(INDEX(GOOGLEFINANCE(B11 ,""price"",DATE(2025,1,1)),2,2))-1"),0.24547705199009728)</f>
        <v>0.245477052</v>
      </c>
      <c r="E11" s="179">
        <f>IFERROR(__xludf.DUMMYFUNCTION("googlefinance(B11)/(INDEX(GOOGLEFINANCE(B11 ,""price"",DATE(2025,7,1)),2,2))-1"),0.12487100103199178)</f>
        <v>0.124871001</v>
      </c>
      <c r="J11" s="180"/>
    </row>
    <row r="12">
      <c r="A12" s="373" t="str">
        <f>IFERROR(__xludf.DUMMYFUNCTION("GOOGLEFINANCE(B12,""name"")"),"Merck &amp; Co Inc")</f>
        <v>Merck &amp; Co Inc</v>
      </c>
      <c r="B12" s="374" t="s">
        <v>221</v>
      </c>
      <c r="C12" s="175">
        <v>0.025</v>
      </c>
      <c r="D12" s="178">
        <f>IFERROR(__xludf.DUMMYFUNCTION("GOOGLEFINANCE(B12)/(INDEX(GOOGLEFINANCE(B12 ,""price"",DATE(2025,1,1)),2,2))-1"),-0.12876878088131483)</f>
        <v>-0.1287687809</v>
      </c>
      <c r="E12" s="179">
        <f>IFERROR(__xludf.DUMMYFUNCTION("googlefinance(B12)/(INDEX(GOOGLEFINANCE(B12 ,""price"",DATE(2025,7,1)),2,2))-1"),0.05610561056105623)</f>
        <v>0.05610561056</v>
      </c>
      <c r="F12" s="173"/>
      <c r="G12" s="173"/>
      <c r="H12" s="173"/>
      <c r="I12" s="173"/>
      <c r="J12" s="173"/>
      <c r="K12" s="185"/>
      <c r="L12" s="186"/>
    </row>
    <row r="13">
      <c r="A13" s="373" t="str">
        <f>IFERROR(__xludf.DUMMYFUNCTION("GOOGLEFINANCE(B13,""name"")"),"United Airlines Holdings Inc")</f>
        <v>United Airlines Holdings Inc</v>
      </c>
      <c r="B13" s="374" t="s">
        <v>123</v>
      </c>
      <c r="C13" s="175">
        <v>0.025</v>
      </c>
      <c r="D13" s="178">
        <f>IFERROR(__xludf.DUMMYFUNCTION("GOOGLEFINANCE(B13)/(INDEX(GOOGLEFINANCE(B13 ,""price"",DATE(2025,1,1)),2,2))-1"),0.02745467882217323)</f>
        <v>0.02745467882</v>
      </c>
      <c r="E13" s="179">
        <f>IFERROR(__xludf.DUMMYFUNCTION("googlefinance(B13)/(INDEX(GOOGLEFINANCE(B13 ,""price"",DATE(2025,7,1)),2,2))-1"),0.22485946283572766)</f>
        <v>0.2248594628</v>
      </c>
      <c r="F13" s="173"/>
      <c r="G13" s="173"/>
      <c r="H13" s="173"/>
      <c r="I13" s="173"/>
      <c r="J13" s="173"/>
      <c r="K13" s="185"/>
      <c r="L13" s="186"/>
    </row>
    <row r="14">
      <c r="A14" s="373" t="str">
        <f>IFERROR(__xludf.DUMMYFUNCTION("GOOGLEFINANCE(B14,""name"")"),"Pfizer Inc")</f>
        <v>Pfizer Inc</v>
      </c>
      <c r="B14" s="374" t="s">
        <v>222</v>
      </c>
      <c r="C14" s="175">
        <v>0.025</v>
      </c>
      <c r="D14" s="178">
        <f>IFERROR(__xludf.DUMMYFUNCTION("GOOGLEFINANCE(B14)/(INDEX(GOOGLEFINANCE(B14 ,""price"",DATE(2025,1,1)),2,2))-1"),-0.034573468620819225)</f>
        <v>-0.03457346862</v>
      </c>
      <c r="E14" s="179">
        <f>IFERROR(__xludf.DUMMYFUNCTION("googlefinance(B14)/(INDEX(GOOGLEFINANCE(B14 ,""price"",DATE(2025,7,1)),2,2))-1"),0.025958466453674278)</f>
        <v>0.02595846645</v>
      </c>
      <c r="F14" s="173"/>
      <c r="G14" s="173"/>
      <c r="H14" s="173"/>
      <c r="I14" s="173"/>
      <c r="J14" s="173"/>
      <c r="K14" s="185"/>
      <c r="L14" s="186"/>
    </row>
    <row r="15">
      <c r="A15" s="373" t="str">
        <f>IFERROR(__xludf.DUMMYFUNCTION("GOOGLEFINANCE(B15,""name"")"),"Broadcom Inc")</f>
        <v>Broadcom Inc</v>
      </c>
      <c r="B15" s="374" t="s">
        <v>129</v>
      </c>
      <c r="C15" s="175">
        <v>0.025</v>
      </c>
      <c r="D15" s="178">
        <f>IFERROR(__xludf.DUMMYFUNCTION("GOOGLEFINANCE(B15)/(INDEX(GOOGLEFINANCE(B15 ,""price"",DATE(2025,1,1)),2,2))-1"),0.48935253039055104)</f>
        <v>0.4893525304</v>
      </c>
      <c r="E15" s="179">
        <f>IFERROR(__xludf.DUMMYFUNCTION("googlefinance(B15)/(INDEX(GOOGLEFINANCE(B15 ,""price"",DATE(2025,7,1)),2,2))-1"),0.3050540152602552)</f>
        <v>0.3050540153</v>
      </c>
      <c r="F15" s="173"/>
      <c r="G15" s="173"/>
      <c r="H15" s="173"/>
      <c r="I15" s="173"/>
      <c r="J15" s="173"/>
      <c r="K15" s="185"/>
      <c r="L15" s="186"/>
    </row>
    <row r="16">
      <c r="A16" s="373" t="str">
        <f>IFERROR(__xludf.DUMMYFUNCTION("GOOGLEFINANCE(B16,""name"")"),"Abercrombie &amp; Fitch Co")</f>
        <v>Abercrombie &amp; Fitch Co</v>
      </c>
      <c r="B16" s="374" t="s">
        <v>223</v>
      </c>
      <c r="C16" s="175">
        <v>0.025</v>
      </c>
      <c r="D16" s="178">
        <f>IFERROR(__xludf.DUMMYFUNCTION("GOOGLEFINANCE(B16)/(INDEX(GOOGLEFINANCE(B16 ,""price"",DATE(2025,1,1)),2,2))-1"),-0.5060036543983295)</f>
        <v>-0.5060036544</v>
      </c>
      <c r="E16" s="179">
        <f>IFERROR(__xludf.DUMMYFUNCTION("googlefinance(B16)/(INDEX(GOOGLEFINANCE(B16 ,""price"",DATE(2025,7,1)),2,2))-1"),-0.14240398776481245)</f>
        <v>-0.1424039878</v>
      </c>
      <c r="F16" s="173"/>
      <c r="G16" s="173"/>
      <c r="H16" s="173"/>
      <c r="I16" s="173"/>
      <c r="J16" s="173"/>
      <c r="K16" s="185"/>
      <c r="L16" s="186"/>
    </row>
    <row r="17">
      <c r="A17" s="373" t="str">
        <f>IFERROR(__xludf.DUMMYFUNCTION("GOOGLEFINANCE(B17,""name"")"),"Corporacion America Airports SA")</f>
        <v>Corporacion America Airports SA</v>
      </c>
      <c r="B17" s="374" t="s">
        <v>224</v>
      </c>
      <c r="C17" s="175">
        <v>0.025</v>
      </c>
      <c r="D17" s="178">
        <f>IFERROR(__xludf.DUMMYFUNCTION("GOOGLEFINANCE(B17)/(INDEX(GOOGLEFINANCE(B17 ,""price"",DATE(2025,1,1)),2,2))-1"),-0.08411214953271029)</f>
        <v>-0.08411214953</v>
      </c>
      <c r="E17" s="179">
        <f>IFERROR(__xludf.DUMMYFUNCTION("googlefinance(B17)/(INDEX(GOOGLEFINANCE(B17 ,""price"",DATE(2025,7,1)),2,2))-1"),-0.12543381259295994)</f>
        <v>-0.1254338126</v>
      </c>
      <c r="F17" s="173"/>
      <c r="G17" s="173"/>
      <c r="H17" s="173"/>
      <c r="I17" s="173"/>
      <c r="J17" s="173"/>
      <c r="K17" s="185"/>
      <c r="L17" s="186"/>
    </row>
    <row r="18">
      <c r="A18" s="373" t="str">
        <f>IFERROR(__xludf.DUMMYFUNCTION("GOOGLEFINANCE(B18,""name"")"),"HP Inc")</f>
        <v>HP Inc</v>
      </c>
      <c r="B18" s="374" t="s">
        <v>225</v>
      </c>
      <c r="C18" s="175">
        <v>0.025</v>
      </c>
      <c r="D18" s="178">
        <f>IFERROR(__xludf.DUMMYFUNCTION("GOOGLEFINANCE(B18)/(INDEX(GOOGLEFINANCE(B18 ,""price"",DATE(2025,1,1)),2,2))-1"),-0.16723129042192797)</f>
        <v>-0.1672312904</v>
      </c>
      <c r="E18" s="179">
        <f>IFERROR(__xludf.DUMMYFUNCTION("googlefinance(B18)/(INDEX(GOOGLEFINANCE(B18 ,""price"",DATE(2025,7,1)),2,2))-1"),0.06039215686274502)</f>
        <v>0.06039215686</v>
      </c>
      <c r="F18" s="173"/>
      <c r="G18" s="173"/>
      <c r="H18" s="173"/>
      <c r="I18" s="173"/>
      <c r="J18" s="173"/>
      <c r="K18" s="185"/>
      <c r="L18" s="186"/>
    </row>
    <row r="19">
      <c r="A19" s="373" t="str">
        <f>IFERROR(__xludf.DUMMYFUNCTION("GOOGLEFINANCE(B19,""name"")"),"Biogen Inc")</f>
        <v>Biogen Inc</v>
      </c>
      <c r="B19" s="374" t="s">
        <v>226</v>
      </c>
      <c r="C19" s="175">
        <v>0.025</v>
      </c>
      <c r="D19" s="178">
        <f>IFERROR(__xludf.DUMMYFUNCTION("GOOGLEFINANCE(B19)/(INDEX(GOOGLEFINANCE(B19 ,""price"",DATE(2025,1,1)),2,2))-1"),0.005066666666666553)</f>
        <v>0.005066666667</v>
      </c>
      <c r="E19" s="179">
        <f>IFERROR(__xludf.DUMMYFUNCTION("googlefinance(B19)/(INDEX(GOOGLEFINANCE(B19 ,""price"",DATE(2025,7,1)),2,2))-1"),0.15906819404935812)</f>
        <v>0.159068194</v>
      </c>
      <c r="F19" s="173"/>
      <c r="G19" s="173"/>
      <c r="H19" s="173"/>
      <c r="I19" s="173"/>
      <c r="J19" s="173"/>
      <c r="K19" s="188"/>
      <c r="L19" s="186"/>
    </row>
    <row r="20">
      <c r="A20" s="373" t="str">
        <f>IFERROR(__xludf.DUMMYFUNCTION("GOOGLEFINANCE(B20,""name"")"),"Halliburton Co")</f>
        <v>Halliburton Co</v>
      </c>
      <c r="B20" s="374" t="s">
        <v>227</v>
      </c>
      <c r="C20" s="175">
        <v>0.025</v>
      </c>
      <c r="D20" s="178">
        <f>IFERROR(__xludf.DUMMYFUNCTION("GOOGLEFINANCE(B20)/(INDEX(GOOGLEFINANCE(B20 ,""price"",DATE(2025,1,1)),2,2))-1"),-0.13739632167327798)</f>
        <v>-0.1373963217</v>
      </c>
      <c r="E20" s="179">
        <f>IFERROR(__xludf.DUMMYFUNCTION("googlefinance(B20)/(INDEX(GOOGLEFINANCE(B20 ,""price"",DATE(2025,7,1)),2,2))-1"),0.12776991984912778)</f>
        <v>0.1277699198</v>
      </c>
      <c r="K20" s="188"/>
      <c r="L20" s="186"/>
    </row>
    <row r="21">
      <c r="A21" s="373" t="str">
        <f>IFERROR(__xludf.DUMMYFUNCTION("GOOGLEFINANCE(B21,""name"")"),"Equinor ASA")</f>
        <v>Equinor ASA</v>
      </c>
      <c r="B21" s="374" t="s">
        <v>228</v>
      </c>
      <c r="C21" s="175">
        <v>0.025</v>
      </c>
      <c r="D21" s="178">
        <f>IFERROR(__xludf.DUMMYFUNCTION("GOOGLEFINANCE(B21)/(INDEX(GOOGLEFINANCE(B21 ,""price"",DATE(2025,1,1)),2,2))-1"),0.002849002849002913)</f>
        <v>0.002849002849</v>
      </c>
      <c r="E21" s="179">
        <f>IFERROR(__xludf.DUMMYFUNCTION("googlefinance(B21)/(INDEX(GOOGLEFINANCE(B21 ,""price"",DATE(2025,7,1)),2,2))-1"),-0.023771790808240767)</f>
        <v>-0.02377179081</v>
      </c>
      <c r="F21" s="173"/>
      <c r="G21" s="173"/>
      <c r="H21" s="173"/>
      <c r="I21" s="173"/>
      <c r="J21" s="173"/>
      <c r="K21" s="188"/>
      <c r="L21" s="186"/>
    </row>
    <row r="22">
      <c r="A22" s="373" t="str">
        <f>IFERROR(__xludf.DUMMYFUNCTION("GOOGLEFINANCE(B22,""name"")"),"Kinross Gold Corp")</f>
        <v>Kinross Gold Corp</v>
      </c>
      <c r="B22" s="374" t="s">
        <v>110</v>
      </c>
      <c r="C22" s="175">
        <v>0.025</v>
      </c>
      <c r="D22" s="178">
        <f>IFERROR(__xludf.DUMMYFUNCTION("GOOGLEFINANCE(B22)/(INDEX(GOOGLEFINANCE(B22 ,""price"",DATE(2025,1,1)),2,2))-1"),1.559716599190283)</f>
        <v>1.559716599</v>
      </c>
      <c r="E22" s="179">
        <f>IFERROR(__xludf.DUMMYFUNCTION("googlefinance(B22)/(INDEX(GOOGLEFINANCE(B22 ,""price"",DATE(2025,7,1)),2,2))-1"),0.6284610431423052)</f>
        <v>0.6284610431</v>
      </c>
      <c r="F22" s="173"/>
      <c r="G22" s="173"/>
      <c r="H22" s="173"/>
      <c r="I22" s="173"/>
      <c r="J22" s="173"/>
      <c r="K22" s="188"/>
      <c r="L22" s="186"/>
    </row>
    <row r="23">
      <c r="A23" s="373" t="str">
        <f>IFERROR(__xludf.DUMMYFUNCTION("GOOGLEFINANCE(B23,""name"")"),"Deckers Outdoor Corp")</f>
        <v>Deckers Outdoor Corp</v>
      </c>
      <c r="B23" s="374" t="s">
        <v>229</v>
      </c>
      <c r="C23" s="175">
        <v>0.025</v>
      </c>
      <c r="D23" s="178">
        <f>IFERROR(__xludf.DUMMYFUNCTION("GOOGLEFINANCE(B23)/(INDEX(GOOGLEFINANCE(B23 ,""price"",DATE(2025,1,1)),2,2))-1"),-0.5033734232912878)</f>
        <v>-0.5033734233</v>
      </c>
      <c r="E23" s="179">
        <f>IFERROR(__xludf.DUMMYFUNCTION("googlefinance(B23)/(INDEX(GOOGLEFINANCE(B23 ,""price"",DATE(2025,7,1)),2,2))-1"),-0.036242884250474505)</f>
        <v>-0.03624288425</v>
      </c>
      <c r="K23" s="188"/>
      <c r="L23" s="186"/>
    </row>
    <row r="24">
      <c r="A24" s="373" t="str">
        <f>IFERROR(__xludf.DUMMYFUNCTION("GOOGLEFINANCE(B24,""name"")"),"Rio Tinto plc ADR Common Stock")</f>
        <v>Rio Tinto plc ADR Common Stock</v>
      </c>
      <c r="B24" s="374" t="s">
        <v>230</v>
      </c>
      <c r="C24" s="175">
        <v>0.025</v>
      </c>
      <c r="D24" s="178">
        <f>IFERROR(__xludf.DUMMYFUNCTION("GOOGLEFINANCE(B24)/(INDEX(GOOGLEFINANCE(B24 ,""price"",DATE(2025,1,1)),2,2))-1"),0.15143780840564913)</f>
        <v>0.1514378084</v>
      </c>
      <c r="E24" s="179">
        <f>IFERROR(__xludf.DUMMYFUNCTION("googlefinance(B24)/(INDEX(GOOGLEFINANCE(B24 ,""price"",DATE(2025,7,1)),2,2))-1"),0.1607204116638079)</f>
        <v>0.1607204117</v>
      </c>
      <c r="F24" s="173"/>
      <c r="G24" s="173"/>
      <c r="H24" s="173"/>
      <c r="I24" s="173"/>
      <c r="J24" s="173"/>
      <c r="K24" s="188"/>
      <c r="L24" s="186"/>
    </row>
    <row r="25">
      <c r="A25" s="373" t="str">
        <f>IFERROR(__xludf.DUMMYFUNCTION("GOOGLEFINANCE(B25,""name"")"),"Delta Air Lines Inc")</f>
        <v>Delta Air Lines Inc</v>
      </c>
      <c r="B25" s="374" t="s">
        <v>231</v>
      </c>
      <c r="C25" s="175">
        <v>0.025</v>
      </c>
      <c r="D25" s="178">
        <f>IFERROR(__xludf.DUMMYFUNCTION("GOOGLEFINANCE(B25)/(INDEX(GOOGLEFINANCE(B25 ,""price"",DATE(2025,1,1)),2,2))-1"),-0.03114948366345016)</f>
        <v>-0.03114948366</v>
      </c>
      <c r="E25" s="179">
        <f>IFERROR(__xludf.DUMMYFUNCTION("googlefinance(B25)/(INDEX(GOOGLEFINANCE(B25 ,""price"",DATE(2025,7,1)),2,2))-1"),0.1679591836734693)</f>
        <v>0.1679591837</v>
      </c>
      <c r="K25" s="188"/>
      <c r="L25" s="186"/>
    </row>
    <row r="26">
      <c r="A26" s="373" t="str">
        <f>IFERROR(__xludf.DUMMYFUNCTION("GOOGLEFINANCE(B26,""name"")"),"BHP Group Ltd")</f>
        <v>BHP Group Ltd</v>
      </c>
      <c r="B26" s="374" t="s">
        <v>232</v>
      </c>
      <c r="C26" s="175">
        <v>0.025</v>
      </c>
      <c r="D26" s="178">
        <f>IFERROR(__xludf.DUMMYFUNCTION("GOOGLEFINANCE(B26)/(INDEX(GOOGLEFINANCE(B26 ,""price"",DATE(2025,1,1)),2,2))-1"),0.1391993497256656)</f>
        <v>0.1391993497</v>
      </c>
      <c r="E26" s="179">
        <f>IFERROR(__xludf.DUMMYFUNCTION("googlefinance(B26)/(INDEX(GOOGLEFINANCE(B26 ,""price"",DATE(2025,7,1)),2,2))-1"),0.15183891514279835)</f>
        <v>0.1518389151</v>
      </c>
      <c r="K26" s="188"/>
      <c r="L26" s="186"/>
    </row>
    <row r="27">
      <c r="A27" s="373" t="str">
        <f>IFERROR(__xludf.DUMMYFUNCTION("GOOGLEFINANCE(B27,""name"")"),"Target Corp")</f>
        <v>Target Corp</v>
      </c>
      <c r="B27" s="374" t="s">
        <v>233</v>
      </c>
      <c r="C27" s="175">
        <v>0.025</v>
      </c>
      <c r="D27" s="178">
        <f>IFERROR(__xludf.DUMMYFUNCTION("GOOGLEFINANCE(B27)/(INDEX(GOOGLEFINANCE(B27 ,""price"",DATE(2025,1,1)),2,2))-1"),-0.34120562723230563)</f>
        <v>-0.3412056272</v>
      </c>
      <c r="E27" s="179">
        <f>IFERROR(__xludf.DUMMYFUNCTION("googlefinance(B27)/(INDEX(GOOGLEFINANCE(B27 ,""price"",DATE(2025,7,1)),2,2))-1"),-0.12970630717380838)</f>
        <v>-0.1297063072</v>
      </c>
      <c r="K27" s="188"/>
      <c r="L27" s="186"/>
    </row>
    <row r="28">
      <c r="A28" s="373" t="str">
        <f>IFERROR(__xludf.DUMMYFUNCTION("GOOGLEFINANCE(B28,""name"")"),"Newmont Corporation")</f>
        <v>Newmont Corporation</v>
      </c>
      <c r="B28" s="374" t="s">
        <v>234</v>
      </c>
      <c r="C28" s="175">
        <v>0.025</v>
      </c>
      <c r="D28" s="178">
        <f>IFERROR(__xludf.DUMMYFUNCTION("GOOGLEFINANCE(B28)/(INDEX(GOOGLEFINANCE(B28 ,""price"",DATE(2025,1,1)),2,2))-1"),1.3038832421162367)</f>
        <v>1.303883242</v>
      </c>
      <c r="E28" s="179">
        <f>IFERROR(__xludf.DUMMYFUNCTION("googlefinance(B28)/(INDEX(GOOGLEFINANCE(B28 ,""price"",DATE(2025,7,1)),2,2))-1"),0.5026347101818802)</f>
        <v>0.5026347102</v>
      </c>
      <c r="F28" s="173"/>
      <c r="G28" s="173"/>
      <c r="H28" s="173"/>
      <c r="I28" s="173"/>
      <c r="J28" s="173"/>
      <c r="K28" s="188"/>
      <c r="L28" s="186"/>
    </row>
    <row r="29">
      <c r="A29" s="373" t="str">
        <f>IFERROR(__xludf.DUMMYFUNCTION("GOOGLEFINANCE(B29,""name"")"),"Baker Hughes Co")</f>
        <v>Baker Hughes Co</v>
      </c>
      <c r="B29" s="374" t="s">
        <v>235</v>
      </c>
      <c r="C29" s="175">
        <v>0.025</v>
      </c>
      <c r="D29" s="178">
        <f>IFERROR(__xludf.DUMMYFUNCTION("GOOGLEFINANCE(B29)/(INDEX(GOOGLEFINANCE(B29 ,""price"",DATE(2025,1,1)),2,2))-1"),0.15158806544754566)</f>
        <v>0.1515880654</v>
      </c>
      <c r="E29" s="179">
        <f>IFERROR(__xludf.DUMMYFUNCTION("googlefinance(B29)/(INDEX(GOOGLEFINANCE(B29 ,""price"",DATE(2025,7,1)),2,2))-1"),0.23701214784181968)</f>
        <v>0.2370121478</v>
      </c>
    </row>
    <row r="30">
      <c r="A30" s="373" t="str">
        <f>IFERROR(__xludf.DUMMYFUNCTION("GOOGLEFINANCE(B30,""name"")"),"Pitney Bowes Inc")</f>
        <v>Pitney Bowes Inc</v>
      </c>
      <c r="B30" s="374" t="s">
        <v>236</v>
      </c>
      <c r="C30" s="175">
        <v>0.025</v>
      </c>
      <c r="D30" s="178">
        <f>IFERROR(__xludf.DUMMYFUNCTION("GOOGLEFINANCE(B30)/(INDEX(GOOGLEFINANCE(B30 ,""price"",DATE(2025,1,1)),2,2))-1"),0.5429362880886428)</f>
        <v>0.5429362881</v>
      </c>
      <c r="E30" s="179">
        <f>IFERROR(__xludf.DUMMYFUNCTION("googlefinance(B30)/(INDEX(GOOGLEFINANCE(B30 ,""price"",DATE(2025,7,1)),2,2))-1"),-0.007130124777183555)</f>
        <v>-0.007130124777</v>
      </c>
    </row>
    <row r="31">
      <c r="A31" s="373" t="str">
        <f>IFERROR(__xludf.DUMMYFUNCTION("GOOGLEFINANCE(B31,""name"")"),"Yelp Inc")</f>
        <v>Yelp Inc</v>
      </c>
      <c r="B31" s="374" t="s">
        <v>237</v>
      </c>
      <c r="C31" s="175">
        <v>0.025</v>
      </c>
      <c r="D31" s="178">
        <f>IFERROR(__xludf.DUMMYFUNCTION("GOOGLEFINANCE(B31)/(INDEX(GOOGLEFINANCE(B31 ,""price"",DATE(2025,1,1)),2,2))-1"),-0.19017148707448173)</f>
        <v>-0.1901714871</v>
      </c>
      <c r="E31" s="179">
        <f>IFERROR(__xludf.DUMMYFUNCTION("googlefinance(B31)/(INDEX(GOOGLEFINANCE(B31 ,""price"",DATE(2025,7,1)),2,2))-1"),-0.10036963321012227)</f>
        <v>-0.1003696332</v>
      </c>
    </row>
    <row r="32">
      <c r="A32" s="373" t="str">
        <f>IFERROR(__xludf.DUMMYFUNCTION("GOOGLEFINANCE(B32,""name"")"),"Barrick Mining Corp")</f>
        <v>Barrick Mining Corp</v>
      </c>
      <c r="B32" s="374" t="s">
        <v>238</v>
      </c>
      <c r="C32" s="175">
        <v>0.025</v>
      </c>
      <c r="D32" s="178">
        <f>IFERROR(__xludf.DUMMYFUNCTION("GOOGLEFINANCE(B32)/(INDEX(GOOGLEFINANCE(B32 ,""price"",DATE(2025,1,1)),2,2))-1"),1.1227301189730743)</f>
        <v>1.122730119</v>
      </c>
      <c r="E32" s="179">
        <f>IFERROR(__xludf.DUMMYFUNCTION("googlefinance(B32)/(INDEX(GOOGLEFINANCE(B32 ,""price"",DATE(2025,7,1)),2,2))-1"),0.6258992805755395)</f>
        <v>0.6258992806</v>
      </c>
    </row>
    <row r="33">
      <c r="A33" s="373" t="str">
        <f>IFERROR(__xludf.DUMMYFUNCTION("GOOGLEFINANCE(B33,""name"")"),"TotalEnergies SE")</f>
        <v>TotalEnergies SE</v>
      </c>
      <c r="B33" s="374" t="s">
        <v>239</v>
      </c>
      <c r="C33" s="175">
        <v>0.025</v>
      </c>
      <c r="D33" s="178">
        <f>IFERROR(__xludf.DUMMYFUNCTION("GOOGLEFINANCE(B33)/(INDEX(GOOGLEFINANCE(B33 ,""price"",DATE(2025,1,1)),2,2))-1"),0.0746187363834423)</f>
        <v>0.07461873638</v>
      </c>
      <c r="E33" s="179">
        <f>IFERROR(__xludf.DUMMYFUNCTION("googlefinance(B33)/(INDEX(GOOGLEFINANCE(B33 ,""price"",DATE(2025,7,1)),2,2))-1"),-0.04393474398320141)</f>
        <v>-0.04393474398</v>
      </c>
    </row>
    <row r="34">
      <c r="A34" s="373" t="str">
        <f>IFERROR(__xludf.DUMMYFUNCTION("GOOGLEFINANCE(B34,""name"")"),"AstraZeneca PLC")</f>
        <v>AstraZeneca PLC</v>
      </c>
      <c r="B34" s="374" t="s">
        <v>240</v>
      </c>
      <c r="C34" s="175">
        <v>0.025</v>
      </c>
      <c r="D34" s="178">
        <f>IFERROR(__xludf.DUMMYFUNCTION("GOOGLEFINANCE(B34)/(INDEX(GOOGLEFINANCE(B34 ,""price"",DATE(2025,1,1)),2,2))-1"),0.295992714025501)</f>
        <v>0.295992714</v>
      </c>
      <c r="E34" s="179">
        <f>IFERROR(__xludf.DUMMYFUNCTION("googlefinance(B34)/(INDEX(GOOGLEFINANCE(B34 ,""price"",DATE(2025,7,1)),2,2))-1"),0.19479429051217467)</f>
        <v>0.1947942905</v>
      </c>
    </row>
    <row r="35">
      <c r="A35" s="373" t="str">
        <f>IFERROR(__xludf.DUMMYFUNCTION("GOOGLEFINANCE(B35,""name"")"),"UnitedHealth Group Inc")</f>
        <v>UnitedHealth Group Inc</v>
      </c>
      <c r="B35" s="374" t="s">
        <v>241</v>
      </c>
      <c r="C35" s="175">
        <v>0.025</v>
      </c>
      <c r="D35" s="178">
        <f>IFERROR(__xludf.DUMMYFUNCTION("GOOGLEFINANCE(B35)/(INDEX(GOOGLEFINANCE(B35 ,""price"",DATE(2025,1,1)),2,2))-1"),-0.26516818298943523)</f>
        <v>-0.265168183</v>
      </c>
      <c r="E35" s="179">
        <f>IFERROR(__xludf.DUMMYFUNCTION("googlefinance(B35)/(INDEX(GOOGLEFINANCE(B35 ,""price"",DATE(2025,7,1)),2,2))-1"),0.13672042681057217)</f>
        <v>0.1367204268</v>
      </c>
    </row>
    <row r="36">
      <c r="A36" s="373" t="str">
        <f>IFERROR(__xludf.DUMMYFUNCTION("GOOGLEFINANCE(B36,""name"")"),"Gold Fields Ltd")</f>
        <v>Gold Fields Ltd</v>
      </c>
      <c r="B36" s="374" t="s">
        <v>125</v>
      </c>
      <c r="C36" s="175">
        <v>0.025</v>
      </c>
      <c r="D36" s="178">
        <f>IFERROR(__xludf.DUMMYFUNCTION("GOOGLEFINANCE(B36)/(INDEX(GOOGLEFINANCE(B36 ,""price"",DATE(2025,1,1)),2,2))-1"),2.086059743954481)</f>
        <v>2.086059744</v>
      </c>
      <c r="E36" s="179">
        <f>IFERROR(__xludf.DUMMYFUNCTION("googlefinance(B36)/(INDEX(GOOGLEFINANCE(B36 ,""price"",DATE(2025,7,1)),2,2))-1"),0.8284871470712178)</f>
        <v>0.8284871471</v>
      </c>
    </row>
    <row r="37">
      <c r="A37" s="373" t="str">
        <f>IFERROR(__xludf.DUMMYFUNCTION("GOOGLEFINANCE(B37,""name"")"),"Verizon Communications Inc")</f>
        <v>Verizon Communications Inc</v>
      </c>
      <c r="B37" s="374" t="s">
        <v>242</v>
      </c>
      <c r="C37" s="175">
        <v>0.025</v>
      </c>
      <c r="D37" s="178">
        <f>IFERROR(__xludf.DUMMYFUNCTION("GOOGLEFINANCE(B37)/(INDEX(GOOGLEFINANCE(B37 ,""price"",DATE(2025,1,1)),2,2))-1"),0.028599850783387115)</f>
        <v>0.02859985078</v>
      </c>
      <c r="E37" s="179">
        <f>IFERROR(__xludf.DUMMYFUNCTION("googlefinance(B37)/(INDEX(GOOGLEFINANCE(B37 ,""price"",DATE(2025,7,1)),2,2))-1"),-0.05311355311355315)</f>
        <v>-0.05311355311</v>
      </c>
    </row>
    <row r="38">
      <c r="A38" s="373" t="str">
        <f>IFERROR(__xludf.DUMMYFUNCTION("GOOGLEFINANCE(B38,""name"")"),"Freeport-McMoRan Inc")</f>
        <v>Freeport-McMoRan Inc</v>
      </c>
      <c r="B38" s="374" t="s">
        <v>243</v>
      </c>
      <c r="C38" s="175">
        <v>0.025</v>
      </c>
      <c r="D38" s="178">
        <f>IFERROR(__xludf.DUMMYFUNCTION("GOOGLEFINANCE(B38)/(INDEX(GOOGLEFINANCE(B38 ,""price"",DATE(2025,1,1)),2,2))-1"),0.1293558606124603)</f>
        <v>0.1293558606</v>
      </c>
      <c r="E38" s="179">
        <f>IFERROR(__xludf.DUMMYFUNCTION("googlefinance(B38)/(INDEX(GOOGLEFINANCE(B38 ,""price"",DATE(2025,7,1)),2,2))-1"),-0.028830874006810392)</f>
        <v>-0.02883087401</v>
      </c>
    </row>
    <row r="39">
      <c r="A39" s="373" t="str">
        <f>IFERROR(__xludf.DUMMYFUNCTION("GOOGLEFINANCE(B39,""name"")"),"American Airlines Group Inc")</f>
        <v>American Airlines Group Inc</v>
      </c>
      <c r="B39" s="374" t="s">
        <v>244</v>
      </c>
      <c r="C39" s="175">
        <v>0.025</v>
      </c>
      <c r="D39" s="178">
        <f>IFERROR(__xludf.DUMMYFUNCTION("GOOGLEFINANCE(B39)/(INDEX(GOOGLEFINANCE(B39 ,""price"",DATE(2025,1,1)),2,2))-1"),-0.30470588235294116)</f>
        <v>-0.3047058824</v>
      </c>
      <c r="E39" s="179">
        <f>IFERROR(__xludf.DUMMYFUNCTION("googlefinance(B39)/(INDEX(GOOGLEFINANCE(B39 ,""price"",DATE(2025,7,1)),2,2))-1"),0.02604166666666674)</f>
        <v>0.02604166667</v>
      </c>
    </row>
    <row r="40">
      <c r="A40" s="373" t="str">
        <f>IFERROR(__xludf.DUMMYFUNCTION("GOOGLEFINANCE(B40,""name"")"),"Occidental Petroleum Corp")</f>
        <v>Occidental Petroleum Corp</v>
      </c>
      <c r="B40" s="374" t="s">
        <v>245</v>
      </c>
      <c r="C40" s="175">
        <v>0.025</v>
      </c>
      <c r="D40" s="178">
        <f>IFERROR(__xludf.DUMMYFUNCTION("GOOGLEFINANCE(B40)/(INDEX(GOOGLEFINANCE(B40 ,""price"",DATE(2025,1,1)),2,2))-1"),-0.09576390283075698)</f>
        <v>-0.09576390283</v>
      </c>
      <c r="E40" s="179">
        <f>IFERROR(__xludf.DUMMYFUNCTION("googlefinance(B40)/(INDEX(GOOGLEFINANCE(B40 ,""price"",DATE(2025,7,1)),2,2))-1"),0.050863275781614536)</f>
        <v>0.05086327578</v>
      </c>
    </row>
    <row r="41">
      <c r="A41" s="373" t="str">
        <f>IFERROR(__xludf.DUMMYFUNCTION("GOOGLEFINANCE(B41,""name"")"),"Vista Energy SAB de CV - ADR")</f>
        <v>Vista Energy SAB de CV - ADR</v>
      </c>
      <c r="B41" s="374" t="s">
        <v>246</v>
      </c>
      <c r="C41" s="175">
        <v>0.025</v>
      </c>
      <c r="D41" s="178">
        <f>IFERROR(__xludf.DUMMYFUNCTION("GOOGLEFINANCE(B41)/(INDEX(GOOGLEFINANCE(B41 ,""price"",DATE(2025,1,1)),2,2))-1"),-0.3756708407871199)</f>
        <v>-0.3756708408</v>
      </c>
      <c r="E41" s="179">
        <f>IFERROR(__xludf.DUMMYFUNCTION("googlefinance(B41)/(INDEX(GOOGLEFINANCE(B41 ,""price"",DATE(2025,7,1)),2,2))-1"),-0.2626241284597507)</f>
        <v>-0.2626241285</v>
      </c>
    </row>
    <row r="42">
      <c r="A42" s="373" t="str">
        <f>IFERROR(__xludf.DUMMYFUNCTION("GOOGLEFINANCE(B42,""name"")"),"PayPal Holdings Inc")</f>
        <v>PayPal Holdings Inc</v>
      </c>
      <c r="B42" s="374" t="s">
        <v>247</v>
      </c>
      <c r="C42" s="175">
        <v>0.025</v>
      </c>
      <c r="D42" s="178">
        <f>IFERROR(__xludf.DUMMYFUNCTION("GOOGLEFINANCE(B42)/(INDEX(GOOGLEFINANCE(B42 ,""price"",DATE(2025,1,1)),2,2))-1"),-0.11650034810860999)</f>
        <v>-0.1165003481</v>
      </c>
      <c r="E42" s="179">
        <f>IFERROR(__xludf.DUMMYFUNCTION("googlefinance(B42)/(INDEX(GOOGLEFINANCE(B42 ,""price"",DATE(2025,7,1)),2,2))-1"),0.011289679904369798)</f>
        <v>0.0112896799</v>
      </c>
    </row>
    <row r="43">
      <c r="A43" s="373" t="str">
        <f>IFERROR(__xludf.DUMMYFUNCTION("GOOGLEFINANCE(B43,""name"")"),"First Solar Inc")</f>
        <v>First Solar Inc</v>
      </c>
      <c r="B43" s="374" t="s">
        <v>248</v>
      </c>
      <c r="C43" s="175">
        <v>0.025</v>
      </c>
      <c r="D43" s="178">
        <f>IFERROR(__xludf.DUMMYFUNCTION("GOOGLEFINANCE(B43)/(INDEX(GOOGLEFINANCE(B43 ,""price"",DATE(2025,1,1)),2,2))-1"),0.2407894031211455)</f>
        <v>0.2407894031</v>
      </c>
      <c r="E43" s="179">
        <f>IFERROR(__xludf.DUMMYFUNCTION("googlefinance(B43)/(INDEX(GOOGLEFINANCE(B43 ,""price"",DATE(2025,7,1)),2,2))-1"),0.4197962690230732)</f>
        <v>0.419796269</v>
      </c>
    </row>
    <row r="44">
      <c r="A44" s="373" t="str">
        <f>IFERROR(__xludf.DUMMYFUNCTION("GOOGLEFINANCE(B44,""name"")"),"Exxon Mobil Corp")</f>
        <v>Exxon Mobil Corp</v>
      </c>
      <c r="B44" s="374" t="s">
        <v>249</v>
      </c>
      <c r="C44" s="175">
        <v>0.025</v>
      </c>
      <c r="D44" s="178">
        <f>IFERROR(__xludf.DUMMYFUNCTION("GOOGLEFINANCE(B44)/(INDEX(GOOGLEFINANCE(B44 ,""price"",DATE(2025,1,1)),2,2))-1"),0.06457925636007822)</f>
        <v>0.06457925636</v>
      </c>
      <c r="E44" s="179">
        <f>IFERROR(__xludf.DUMMYFUNCTION("googlefinance(B44)/(INDEX(GOOGLEFINANCE(B44 ,""price"",DATE(2025,7,1)),2,2))-1"),0.04577077993409007)</f>
        <v>0.04577077993</v>
      </c>
    </row>
    <row r="45">
      <c r="A45" s="373" t="str">
        <f>IFERROR(__xludf.DUMMYFUNCTION("GOOGLEFINANCE(B45,""name"")"),"Arcos Dorados Holdings Inc")</f>
        <v>Arcos Dorados Holdings Inc</v>
      </c>
      <c r="B45" s="374" t="s">
        <v>250</v>
      </c>
      <c r="C45" s="175">
        <v>0.025</v>
      </c>
      <c r="D45" s="178">
        <f>IFERROR(__xludf.DUMMYFUNCTION("GOOGLEFINANCE(B45)/(INDEX(GOOGLEFINANCE(B45 ,""price"",DATE(2025,1,1)),2,2))-1"),-0.08799999999999997)</f>
        <v>-0.088</v>
      </c>
      <c r="E45" s="179">
        <f>IFERROR(__xludf.DUMMYFUNCTION("googlefinance(B45)/(INDEX(GOOGLEFINANCE(B45 ,""price"",DATE(2025,7,1)),2,2))-1"),-0.14178168130489333)</f>
        <v>-0.1417816813</v>
      </c>
    </row>
    <row r="46">
      <c r="A46" s="373" t="str">
        <f>IFERROR(__xludf.DUMMYFUNCTION("GOOGLEFINANCE(B46,""name"")"),"PACCAR Inc")</f>
        <v>PACCAR Inc</v>
      </c>
      <c r="B46" s="374" t="s">
        <v>251</v>
      </c>
      <c r="C46" s="175">
        <v>0.025</v>
      </c>
      <c r="D46" s="178">
        <f>IFERROR(__xludf.DUMMYFUNCTION("GOOGLEFINANCE(B46)/(INDEX(GOOGLEFINANCE(B46 ,""price"",DATE(2025,1,1)),2,2))-1"),-0.07126281183523497)</f>
        <v>-0.07126281184</v>
      </c>
      <c r="E46" s="179">
        <f>IFERROR(__xludf.DUMMYFUNCTION("googlefinance(B46)/(INDEX(GOOGLEFINANCE(B46 ,""price"",DATE(2025,7,1)),2,2))-1"),-0.02189409368635442)</f>
        <v>-0.02189409369</v>
      </c>
    </row>
    <row r="47">
      <c r="A47" s="373" t="str">
        <f>IFERROR(__xludf.DUMMYFUNCTION("GOOGLEFINANCE(B47,""name"")"),"Goodyear Tire &amp; Rubber Co")</f>
        <v>Goodyear Tire &amp; Rubber Co</v>
      </c>
      <c r="B47" s="374" t="s">
        <v>252</v>
      </c>
      <c r="C47" s="175">
        <v>0.025</v>
      </c>
      <c r="D47" s="178">
        <f>IFERROR(__xludf.DUMMYFUNCTION("GOOGLEFINANCE(B47)/(INDEX(GOOGLEFINANCE(B47 ,""price"",DATE(2025,1,1)),2,2))-1"),-0.16114285714285714)</f>
        <v>-0.1611428571</v>
      </c>
      <c r="E47" s="179">
        <f>IFERROR(__xludf.DUMMYFUNCTION("googlefinance(B47)/(INDEX(GOOGLEFINANCE(B47 ,""price"",DATE(2025,7,1)),2,2))-1"),-0.31144465290806755)</f>
        <v>-0.3114446529</v>
      </c>
    </row>
    <row r="48">
      <c r="A48" s="373" t="str">
        <f>IFERROR(__xludf.DUMMYFUNCTION("GOOGLEFINANCE(B48,""name"")"),"General Motors Co")</f>
        <v>General Motors Co</v>
      </c>
      <c r="B48" s="374" t="s">
        <v>253</v>
      </c>
      <c r="C48" s="175">
        <v>0.025</v>
      </c>
      <c r="D48" s="178">
        <f>IFERROR(__xludf.DUMMYFUNCTION("GOOGLEFINANCE(B48)/(INDEX(GOOGLEFINANCE(B48 ,""price"",DATE(2025,1,1)),2,2))-1"),0.09966906754915339)</f>
        <v>0.09966906755</v>
      </c>
      <c r="E48" s="179">
        <f>IFERROR(__xludf.DUMMYFUNCTION("googlefinance(B48)/(INDEX(GOOGLEFINANCE(B48 ,""price"",DATE(2025,7,1)),2,2))-1"),0.08571977705170086)</f>
        <v>0.08571977705</v>
      </c>
    </row>
    <row r="966">
      <c r="A966" s="370"/>
      <c r="M966" s="178"/>
    </row>
  </sheetData>
  <dataValidations>
    <dataValidation type="custom" allowBlank="1" showDropDown="1" sqref="B4:D4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30.88"/>
    <col customWidth="1" min="3" max="3" width="36.38"/>
    <col customWidth="1" min="4" max="4" width="26.0"/>
    <col customWidth="1" min="5" max="5" width="25.0"/>
    <col customWidth="1" min="7" max="7" width="17.63"/>
  </cols>
  <sheetData>
    <row r="1">
      <c r="B1" s="371" t="s">
        <v>254</v>
      </c>
      <c r="C1" s="372">
        <f>SUMPRODUCT(C9:C24,E9:E24)</f>
        <v>0.1117241271</v>
      </c>
    </row>
    <row r="3">
      <c r="A3" s="161" t="s">
        <v>137</v>
      </c>
      <c r="B3" s="162" t="s">
        <v>138</v>
      </c>
      <c r="C3" s="163" t="s">
        <v>139</v>
      </c>
      <c r="D3" s="164" t="s">
        <v>140</v>
      </c>
    </row>
    <row r="4">
      <c r="A4" s="165" t="s">
        <v>28</v>
      </c>
      <c r="B4" s="355">
        <v>1.0</v>
      </c>
      <c r="C4" s="167">
        <v>0.0</v>
      </c>
      <c r="D4" s="168">
        <f>C4+B4</f>
        <v>1</v>
      </c>
    </row>
    <row r="5">
      <c r="A5" s="169"/>
      <c r="B5" s="170">
        <f>SUM(Tactical_5[Modelo])</f>
        <v>1</v>
      </c>
      <c r="C5" s="171">
        <f>SUM(Tactical_5[Corredor +/- 10%])</f>
        <v>0</v>
      </c>
      <c r="D5" s="172">
        <f>SUM(Tactical_5[TAA])</f>
        <v>1</v>
      </c>
      <c r="E5" s="173"/>
      <c r="F5" s="173"/>
      <c r="G5" s="173"/>
    </row>
    <row r="6">
      <c r="B6" s="158"/>
      <c r="C6" s="160"/>
      <c r="E6" s="173"/>
      <c r="F6" s="173"/>
      <c r="G6" s="173"/>
    </row>
    <row r="7">
      <c r="C7" s="173">
        <f>1/16</f>
        <v>0.0625</v>
      </c>
      <c r="E7" s="173"/>
      <c r="F7" s="173"/>
      <c r="G7" s="173"/>
    </row>
    <row r="8">
      <c r="A8" s="173" t="s">
        <v>134</v>
      </c>
      <c r="B8" s="173" t="s">
        <v>66</v>
      </c>
      <c r="C8" s="173" t="s">
        <v>55</v>
      </c>
      <c r="D8" s="173" t="s">
        <v>93</v>
      </c>
      <c r="E8" s="238">
        <v>45901.0</v>
      </c>
      <c r="F8" s="173"/>
      <c r="G8" s="173"/>
    </row>
    <row r="9">
      <c r="A9" s="373" t="str">
        <f>IFERROR(__xludf.DUMMYFUNCTION("GOOGLEFINANCE(B9,""name"")"),"Banco Santander SA")</f>
        <v>Banco Santander SA</v>
      </c>
      <c r="B9" s="374" t="s">
        <v>105</v>
      </c>
      <c r="C9" s="175">
        <v>0.0625</v>
      </c>
      <c r="D9" s="178">
        <f>IFERROR(__xludf.DUMMYFUNCTION("GOOGLEFINANCE(B9)/(INDEX(GOOGLEFINANCE(B9 ,""price"",DATE(2025,1,1)),2,2))-1"),1.2713004484304933)</f>
        <v>1.271300448</v>
      </c>
      <c r="E9" s="179">
        <f>IFERROR(__xludf.DUMMYFUNCTION("googlefinance(B9)/(INDEX(GOOGLEFINANCE(B9 ,""price"",DATE(2025,9,1)),2,2))-1"),0.07309322033898313)</f>
        <v>0.07309322034</v>
      </c>
      <c r="J9" s="180"/>
    </row>
    <row r="10">
      <c r="A10" s="373" t="str">
        <f>IFERROR(__xludf.DUMMYFUNCTION("GOOGLEFINANCE(B10,""name"")"),"Celestica Inc")</f>
        <v>Celestica Inc</v>
      </c>
      <c r="B10" s="374" t="s">
        <v>106</v>
      </c>
      <c r="C10" s="175">
        <v>0.0625</v>
      </c>
      <c r="D10" s="178">
        <f>IFERROR(__xludf.DUMMYFUNCTION("GOOGLEFINANCE(B10)/(INDEX(GOOGLEFINANCE(B10 ,""price"",DATE(2025,1,1)),2,2))-1"),1.7369721714838295)</f>
        <v>1.736972171</v>
      </c>
      <c r="E10" s="179">
        <f>IFERROR(__xludf.DUMMYFUNCTION("googlefinance(B10)/(INDEX(GOOGLEFINANCE(B10 ,""price"",DATE(2025,9,1)),2,2))-1"),0.26965060060808455)</f>
        <v>0.2696506006</v>
      </c>
      <c r="J10" s="180"/>
    </row>
    <row r="11">
      <c r="A11" s="373" t="str">
        <f>IFERROR(__xludf.DUMMYFUNCTION("GOOGLEFINANCE(B11,""name"")"),"Kinross Gold Corp")</f>
        <v>Kinross Gold Corp</v>
      </c>
      <c r="B11" s="374" t="s">
        <v>110</v>
      </c>
      <c r="C11" s="175">
        <v>0.0625</v>
      </c>
      <c r="D11" s="178">
        <f>IFERROR(__xludf.DUMMYFUNCTION("GOOGLEFINANCE(B11)/(INDEX(GOOGLEFINANCE(B11 ,""price"",DATE(2025,1,1)),2,2))-1"),1.559716599190283)</f>
        <v>1.559716599</v>
      </c>
      <c r="E11" s="179">
        <f>IFERROR(__xludf.DUMMYFUNCTION("googlefinance(B11)/(INDEX(GOOGLEFINANCE(B11 ,""price"",DATE(2025,9,1)),2,2))-1"),0.17847157502329902)</f>
        <v>0.178471575</v>
      </c>
      <c r="J11" s="180"/>
    </row>
    <row r="12">
      <c r="A12" s="373" t="str">
        <f>IFERROR(__xludf.DUMMYFUNCTION("GOOGLEFINANCE(B12,""name"")"),"Snowflake Inc")</f>
        <v>Snowflake Inc</v>
      </c>
      <c r="B12" s="374" t="s">
        <v>111</v>
      </c>
      <c r="C12" s="175">
        <v>0.0625</v>
      </c>
      <c r="D12" s="178">
        <f>IFERROR(__xludf.DUMMYFUNCTION("GOOGLEFINANCE(B12)/(INDEX(GOOGLEFINANCE(B12 ,""price"",DATE(2025,1,1)),2,2))-1"),0.5877087169068633)</f>
        <v>0.5877087169</v>
      </c>
      <c r="E12" s="179">
        <f>IFERROR(__xludf.DUMMYFUNCTION("googlefinance(B12)/(INDEX(GOOGLEFINANCE(B12 ,""price"",DATE(2025,9,1)),2,2))-1"),0.07054794520547958)</f>
        <v>0.07054794521</v>
      </c>
      <c r="F12" s="173"/>
      <c r="G12" s="173"/>
      <c r="H12" s="173"/>
      <c r="I12" s="173"/>
      <c r="J12" s="173"/>
      <c r="K12" s="185"/>
      <c r="L12" s="186"/>
    </row>
    <row r="13">
      <c r="A13" s="373" t="str">
        <f>IFERROR(__xludf.DUMMYFUNCTION("GOOGLEFINANCE(B13,""name"")"),"Palantir Technologies Inc")</f>
        <v>Palantir Technologies Inc</v>
      </c>
      <c r="B13" s="374" t="s">
        <v>112</v>
      </c>
      <c r="C13" s="175">
        <v>0.0625</v>
      </c>
      <c r="D13" s="178">
        <f>IFERROR(__xludf.DUMMYFUNCTION("GOOGLEFINANCE(B13)/(INDEX(GOOGLEFINANCE(B13 ,""price"",DATE(2025,1,1)),2,2))-1"),1.4388881500199493)</f>
        <v>1.43888815</v>
      </c>
      <c r="E13" s="179">
        <f>IFERROR(__xludf.DUMMYFUNCTION("googlefinance(B13)/(INDEX(GOOGLEFINANCE(B13 ,""price"",DATE(2025,9,1)),2,2))-1"),0.1673562925711376)</f>
        <v>0.1673562926</v>
      </c>
      <c r="F13" s="173"/>
      <c r="G13" s="173"/>
      <c r="H13" s="173"/>
      <c r="I13" s="173"/>
      <c r="J13" s="173"/>
      <c r="K13" s="185"/>
      <c r="L13" s="186"/>
    </row>
    <row r="14">
      <c r="A14" s="373" t="str">
        <f>IFERROR(__xludf.DUMMYFUNCTION("GOOGLEFINANCE(B14,""name"")"),"Howmet Aerospace Inc")</f>
        <v>Howmet Aerospace Inc</v>
      </c>
      <c r="B14" s="374" t="s">
        <v>255</v>
      </c>
      <c r="C14" s="175">
        <v>0.0625</v>
      </c>
      <c r="D14" s="178">
        <f>IFERROR(__xludf.DUMMYFUNCTION("GOOGLEFINANCE(B14)/(INDEX(GOOGLEFINANCE(B14 ,""price"",DATE(2025,1,1)),2,2))-1"),0.7298492643740409)</f>
        <v>0.7298492644</v>
      </c>
      <c r="E14" s="179">
        <f>IFERROR(__xludf.DUMMYFUNCTION("googlefinance(B14)/(INDEX(GOOGLEFINANCE(B14 ,""price"",DATE(2025,9,1)),2,2))-1"),0.10639649001270057)</f>
        <v>0.10639649</v>
      </c>
      <c r="F14" s="173"/>
      <c r="G14" s="173"/>
      <c r="H14" s="173"/>
      <c r="I14" s="173"/>
      <c r="J14" s="173"/>
      <c r="K14" s="185"/>
      <c r="L14" s="186"/>
    </row>
    <row r="15">
      <c r="A15" s="373" t="str">
        <f>IFERROR(__xludf.DUMMYFUNCTION("GOOGLEFINANCE(B15,""name"")"),"Oracle Corp")</f>
        <v>Oracle Corp</v>
      </c>
      <c r="B15" s="374" t="s">
        <v>115</v>
      </c>
      <c r="C15" s="175">
        <v>0.0625</v>
      </c>
      <c r="D15" s="178">
        <f>IFERROR(__xludf.DUMMYFUNCTION("GOOGLEFINANCE(B15)/(INDEX(GOOGLEFINANCE(B15 ,""price"",DATE(2025,1,1)),2,2))-1"),0.7363729446485576)</f>
        <v>0.7363729446</v>
      </c>
      <c r="E15" s="179">
        <f>IFERROR(__xludf.DUMMYFUNCTION("googlefinance(B15)/(INDEX(GOOGLEFINANCE(B15 ,""price"",DATE(2025,9,1)),2,2))-1"),0.2795827785175322)</f>
        <v>0.2795827785</v>
      </c>
      <c r="F15" s="173"/>
      <c r="G15" s="173"/>
      <c r="H15" s="173"/>
      <c r="I15" s="173"/>
      <c r="J15" s="173"/>
      <c r="K15" s="185"/>
      <c r="L15" s="186"/>
    </row>
    <row r="16">
      <c r="A16" s="373" t="str">
        <f>IFERROR(__xludf.DUMMYFUNCTION("GOOGLEFINANCE(B16,""name"")"),"Banco Bilbao Vizcaya Argentaria SA")</f>
        <v>Banco Bilbao Vizcaya Argentaria SA</v>
      </c>
      <c r="B16" s="374" t="s">
        <v>117</v>
      </c>
      <c r="C16" s="175">
        <v>0.0625</v>
      </c>
      <c r="D16" s="178">
        <f>IFERROR(__xludf.DUMMYFUNCTION("GOOGLEFINANCE(B16)/(INDEX(GOOGLEFINANCE(B16 ,""price"",DATE(2025,1,1)),2,2))-1"),0.993677555321391)</f>
        <v>0.9936775553</v>
      </c>
      <c r="E16" s="179">
        <f>IFERROR(__xludf.DUMMYFUNCTION("googlefinance(B16)/(INDEX(GOOGLEFINANCE(B16 ,""price"",DATE(2025,9,1)),2,2))-1"),0.04646017699115057)</f>
        <v>0.04646017699</v>
      </c>
      <c r="F16" s="173"/>
      <c r="G16" s="173"/>
      <c r="H16" s="173"/>
      <c r="I16" s="173"/>
      <c r="J16" s="173"/>
      <c r="K16" s="185"/>
      <c r="L16" s="186"/>
    </row>
    <row r="17">
      <c r="A17" s="373" t="str">
        <f>IFERROR(__xludf.DUMMYFUNCTION("GOOGLEFINANCE(B17,""name"")"),"Spotify Technology SA")</f>
        <v>Spotify Technology SA</v>
      </c>
      <c r="B17" s="374" t="s">
        <v>118</v>
      </c>
      <c r="C17" s="175">
        <v>0.0625</v>
      </c>
      <c r="D17" s="178">
        <f>IFERROR(__xludf.DUMMYFUNCTION("GOOGLEFINANCE(B17)/(INDEX(GOOGLEFINANCE(B17 ,""price"",DATE(2025,1,1)),2,2))-1"),0.4739290941261276)</f>
        <v>0.4739290941</v>
      </c>
      <c r="E17" s="179">
        <f>IFERROR(__xludf.DUMMYFUNCTION("googlefinance(B17)/(INDEX(GOOGLEFINANCE(B17 ,""price"",DATE(2025,9,1)),2,2))-1"),-0.02156259969258434)</f>
        <v>-0.02156259969</v>
      </c>
      <c r="F17" s="173"/>
      <c r="G17" s="173"/>
      <c r="H17" s="173"/>
      <c r="I17" s="173"/>
      <c r="J17" s="173"/>
      <c r="K17" s="185"/>
      <c r="L17" s="186"/>
    </row>
    <row r="18">
      <c r="A18" s="373" t="str">
        <f>IFERROR(__xludf.DUMMYFUNCTION("GOOGLEFINANCE(B18,""name"")"),"Sea Ltd")</f>
        <v>Sea Ltd</v>
      </c>
      <c r="B18" s="374" t="s">
        <v>121</v>
      </c>
      <c r="C18" s="175">
        <v>0.0625</v>
      </c>
      <c r="D18" s="178">
        <f>IFERROR(__xludf.DUMMYFUNCTION("GOOGLEFINANCE(B18)/(INDEX(GOOGLEFINANCE(B18 ,""price"",DATE(2025,1,1)),2,2))-1"),0.8412320015256984)</f>
        <v>0.8412320015</v>
      </c>
      <c r="E18" s="179">
        <f>IFERROR(__xludf.DUMMYFUNCTION("googlefinance(B18)/(INDEX(GOOGLEFINANCE(B18 ,""price"",DATE(2025,9,1)),2,2))-1"),0.08004251034791365)</f>
        <v>0.08004251035</v>
      </c>
      <c r="F18" s="173"/>
      <c r="G18" s="173"/>
      <c r="H18" s="173"/>
      <c r="I18" s="173"/>
      <c r="J18" s="173"/>
      <c r="K18" s="185"/>
      <c r="L18" s="186"/>
    </row>
    <row r="19">
      <c r="A19" s="373" t="str">
        <f>IFERROR(__xludf.DUMMYFUNCTION("GOOGLEFINANCE(B19,""name"")"),"Roblox Corp")</f>
        <v>Roblox Corp</v>
      </c>
      <c r="B19" s="374" t="s">
        <v>120</v>
      </c>
      <c r="C19" s="175">
        <v>0.0625</v>
      </c>
      <c r="D19" s="178">
        <f>IFERROR(__xludf.DUMMYFUNCTION("GOOGLEFINANCE(B19)/(INDEX(GOOGLEFINANCE(B19 ,""price"",DATE(2025,1,1)),2,2))-1"),1.1359619306594153)</f>
        <v>1.135961931</v>
      </c>
      <c r="E19" s="179">
        <f>IFERROR(__xludf.DUMMYFUNCTION("googlefinance(B19)/(INDEX(GOOGLEFINANCE(B19 ,""price"",DATE(2025,9,1)),2,2))-1"),-0.02171713240445239)</f>
        <v>-0.0217171324</v>
      </c>
      <c r="F19" s="173"/>
      <c r="G19" s="173"/>
      <c r="H19" s="173"/>
      <c r="I19" s="173"/>
      <c r="J19" s="173"/>
      <c r="K19" s="188"/>
      <c r="L19" s="186"/>
    </row>
    <row r="20">
      <c r="A20" s="373" t="str">
        <f>IFERROR(__xludf.DUMMYFUNCTION("GOOGLEFINANCE(B20,""name"")"),"United Airlines Holdings Inc")</f>
        <v>United Airlines Holdings Inc</v>
      </c>
      <c r="B20" s="374" t="s">
        <v>123</v>
      </c>
      <c r="C20" s="175">
        <v>0.0625</v>
      </c>
      <c r="D20" s="178">
        <f>IFERROR(__xludf.DUMMYFUNCTION("GOOGLEFINANCE(B20)/(INDEX(GOOGLEFINANCE(B20 ,""price"",DATE(2025,1,1)),2,2))-1"),0.02745467882217323)</f>
        <v>0.02745467882</v>
      </c>
      <c r="E20" s="179">
        <f>IFERROR(__xludf.DUMMYFUNCTION("googlefinance(B20)/(INDEX(GOOGLEFINANCE(B20 ,""price"",DATE(2025,9,1)),2,2))-1"),-0.06333588077951857)</f>
        <v>-0.06333588078</v>
      </c>
      <c r="K20" s="188"/>
      <c r="L20" s="186"/>
    </row>
    <row r="21">
      <c r="A21" s="373" t="str">
        <f>IFERROR(__xludf.DUMMYFUNCTION("GOOGLEFINANCE(B21,""name"")"),"Gold Fields Ltd")</f>
        <v>Gold Fields Ltd</v>
      </c>
      <c r="B21" s="374" t="s">
        <v>125</v>
      </c>
      <c r="C21" s="175">
        <v>0.0625</v>
      </c>
      <c r="D21" s="178">
        <f>IFERROR(__xludf.DUMMYFUNCTION("GOOGLEFINANCE(B21)/(INDEX(GOOGLEFINANCE(B21 ,""price"",DATE(2025,1,1)),2,2))-1"),2.086059743954481)</f>
        <v>2.086059744</v>
      </c>
      <c r="E21" s="179">
        <f>IFERROR(__xludf.DUMMYFUNCTION("googlefinance(B21)/(INDEX(GOOGLEFINANCE(B21 ,""price"",DATE(2025,9,1)),2,2))-1"),0.2617039837161965)</f>
        <v>0.2617039837</v>
      </c>
      <c r="F21" s="173"/>
      <c r="G21" s="173"/>
      <c r="H21" s="173"/>
      <c r="I21" s="173"/>
      <c r="J21" s="173"/>
      <c r="K21" s="188"/>
      <c r="L21" s="186"/>
    </row>
    <row r="22">
      <c r="A22" s="373" t="str">
        <f>IFERROR(__xludf.DUMMYFUNCTION("GOOGLEFINANCE(B22,""name"")"),"Twilio Inc")</f>
        <v>Twilio Inc</v>
      </c>
      <c r="B22" s="374" t="s">
        <v>127</v>
      </c>
      <c r="C22" s="175">
        <v>0.0625</v>
      </c>
      <c r="D22" s="178">
        <f>IFERROR(__xludf.DUMMYFUNCTION("GOOGLEFINANCE(B22)/(INDEX(GOOGLEFINANCE(B22 ,""price"",DATE(2025,1,1)),2,2))-1"),0.045658751260658326)</f>
        <v>0.04565875126</v>
      </c>
      <c r="E22" s="179">
        <f>IFERROR(__xludf.DUMMYFUNCTION("googlefinance(B22)/(INDEX(GOOGLEFINANCE(B22 ,""price"",DATE(2025,9,1)),2,2))-1"),0.09463480180439587)</f>
        <v>0.0946348018</v>
      </c>
      <c r="F22" s="173"/>
      <c r="G22" s="173"/>
      <c r="H22" s="173"/>
      <c r="I22" s="173"/>
      <c r="J22" s="173"/>
      <c r="K22" s="188"/>
      <c r="L22" s="186"/>
    </row>
    <row r="23">
      <c r="A23" s="373" t="str">
        <f>IFERROR(__xludf.DUMMYFUNCTION("GOOGLEFINANCE(B23,""name"")"),"Broadcom Inc")</f>
        <v>Broadcom Inc</v>
      </c>
      <c r="B23" s="374" t="s">
        <v>129</v>
      </c>
      <c r="C23" s="175">
        <v>0.0625</v>
      </c>
      <c r="D23" s="178">
        <f>IFERROR(__xludf.DUMMYFUNCTION("GOOGLEFINANCE(B23)/(INDEX(GOOGLEFINANCE(B23 ,""price"",DATE(2025,1,1)),2,2))-1"),0.48935253039055104)</f>
        <v>0.4893525304</v>
      </c>
      <c r="E23" s="179">
        <f>IFERROR(__xludf.DUMMYFUNCTION("googlefinance(B23)/(INDEX(GOOGLEFINANCE(B23 ,""price"",DATE(2025,9,1)),2,2))-1"),0.15846298283261806)</f>
        <v>0.1584629828</v>
      </c>
      <c r="K23" s="188"/>
      <c r="L23" s="186"/>
    </row>
    <row r="24">
      <c r="A24" s="373" t="str">
        <f>IFERROR(__xludf.DUMMYFUNCTION("GOOGLEFINANCE(B24,""name"")"),"Vistra Corp")</f>
        <v>Vistra Corp</v>
      </c>
      <c r="B24" s="374" t="s">
        <v>131</v>
      </c>
      <c r="C24" s="175">
        <v>0.0625</v>
      </c>
      <c r="D24" s="178">
        <f>IFERROR(__xludf.DUMMYFUNCTION("GOOGLEFINANCE(B24)/(INDEX(GOOGLEFINANCE(B24 ,""price"",DATE(2025,1,1)),2,2))-1"),0.37538420419617813)</f>
        <v>0.3753842042</v>
      </c>
      <c r="E24" s="179">
        <f>IFERROR(__xludf.DUMMYFUNCTION("googlefinance(B24)/(INDEX(GOOGLEFINANCE(B24 ,""price"",DATE(2025,9,1)),2,2))-1"),0.10779828857435025)</f>
        <v>0.1077982886</v>
      </c>
      <c r="F24" s="173"/>
      <c r="G24" s="173"/>
      <c r="H24" s="173"/>
      <c r="I24" s="173"/>
      <c r="J24" s="173"/>
      <c r="K24" s="188"/>
      <c r="L24" s="186"/>
    </row>
    <row r="940">
      <c r="A940" s="370"/>
      <c r="M940" s="178"/>
    </row>
  </sheetData>
  <dataValidations>
    <dataValidation type="custom" allowBlank="1" showDropDown="1" sqref="B4:D4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30.88"/>
    <col customWidth="1" min="3" max="3" width="36.38"/>
    <col customWidth="1" min="4" max="4" width="26.0"/>
    <col customWidth="1" min="5" max="5" width="25.0"/>
    <col customWidth="1" min="7" max="7" width="17.63"/>
  </cols>
  <sheetData>
    <row r="1">
      <c r="B1" s="371" t="s">
        <v>217</v>
      </c>
      <c r="C1" s="372">
        <f>SUMPRODUCT(C9:C25,E9:E25)</f>
        <v>-0.007951859393</v>
      </c>
    </row>
    <row r="3">
      <c r="A3" s="161" t="s">
        <v>137</v>
      </c>
      <c r="B3" s="162" t="s">
        <v>138</v>
      </c>
      <c r="C3" s="163" t="s">
        <v>139</v>
      </c>
      <c r="D3" s="164" t="s">
        <v>140</v>
      </c>
    </row>
    <row r="4">
      <c r="A4" s="165" t="s">
        <v>214</v>
      </c>
      <c r="B4" s="355">
        <v>1.0</v>
      </c>
      <c r="C4" s="167">
        <v>0.0</v>
      </c>
      <c r="D4" s="168">
        <f>C4+B4</f>
        <v>1</v>
      </c>
    </row>
    <row r="5">
      <c r="A5" s="169"/>
      <c r="B5" s="170">
        <f>SUM(Tactical_6[Modelo])</f>
        <v>1</v>
      </c>
      <c r="C5" s="171">
        <f>SUM(Tactical_6[Corredor +/- 10%])</f>
        <v>0</v>
      </c>
      <c r="D5" s="172">
        <f>SUM(Tactical_6[TAA])</f>
        <v>1</v>
      </c>
      <c r="E5" s="173"/>
      <c r="F5" s="173"/>
      <c r="G5" s="173"/>
    </row>
    <row r="6">
      <c r="B6" s="158"/>
      <c r="C6" s="160"/>
      <c r="E6" s="173"/>
      <c r="F6" s="173"/>
      <c r="G6" s="173"/>
    </row>
    <row r="7">
      <c r="C7" s="375">
        <f>1/17</f>
        <v>0.05882352941</v>
      </c>
      <c r="E7" s="173"/>
      <c r="F7" s="173"/>
      <c r="G7" s="173"/>
    </row>
    <row r="8">
      <c r="A8" s="173" t="s">
        <v>134</v>
      </c>
      <c r="B8" s="173" t="s">
        <v>66</v>
      </c>
      <c r="C8" s="173" t="s">
        <v>55</v>
      </c>
      <c r="D8" s="173" t="s">
        <v>93</v>
      </c>
      <c r="E8" s="238">
        <v>45931.0</v>
      </c>
      <c r="F8" s="173"/>
      <c r="G8" s="173"/>
    </row>
    <row r="9">
      <c r="A9" s="373" t="str">
        <f>IFERROR(__xludf.DUMMYFUNCTION("GOOGLEFINANCE(B9,""name"")"),"Coca-Cola Co")</f>
        <v>Coca-Cola Co</v>
      </c>
      <c r="B9" s="374" t="s">
        <v>256</v>
      </c>
      <c r="C9" s="175">
        <v>0.05882</v>
      </c>
      <c r="D9" s="178">
        <f>IFERROR(__xludf.DUMMYFUNCTION("GOOGLEFINANCE(B9)/(INDEX(GOOGLEFINANCE(B9 ,""price"",DATE(2025,1,1)),2,2))-1"),0.06953428201811129)</f>
        <v>0.06953428202</v>
      </c>
      <c r="E9" s="179">
        <f>IFERROR(__xludf.DUMMYFUNCTION("googlefinance(B9)/(INDEX(GOOGLEFINANCE(B9 ,""price"",DATE(2025,10,1)),2,2))-1"),-0.0095837076969153)</f>
        <v>-0.009583707697</v>
      </c>
      <c r="J9" s="180"/>
    </row>
    <row r="10">
      <c r="A10" s="373" t="str">
        <f>IFERROR(__xludf.DUMMYFUNCTION("GOOGLEFINANCE(B10,""name"")"),"Marsh &amp; McLennan Companies Inc")</f>
        <v>Marsh &amp; McLennan Companies Inc</v>
      </c>
      <c r="B10" s="374" t="s">
        <v>257</v>
      </c>
      <c r="C10" s="175">
        <v>0.05882</v>
      </c>
      <c r="D10" s="178">
        <f>IFERROR(__xludf.DUMMYFUNCTION("GOOGLEFINANCE(B10)/(INDEX(GOOGLEFINANCE(B10 ,""price"",DATE(2025,1,1)),2,2))-1"),-0.031465884356960405)</f>
        <v>-0.03146588436</v>
      </c>
      <c r="E10" s="179">
        <f>IFERROR(__xludf.DUMMYFUNCTION("googlefinance(B10)/(INDEX(GOOGLEFINANCE(B10 ,""price"",DATE(2025,10,1)),2,2))-1"),0.016891052710020338)</f>
        <v>0.01689105271</v>
      </c>
      <c r="J10" s="180"/>
    </row>
    <row r="11">
      <c r="A11" s="373" t="str">
        <f>IFERROR(__xludf.DUMMYFUNCTION("GOOGLEFINANCE(B11,""name"")"),"Unilever PLC")</f>
        <v>Unilever PLC</v>
      </c>
      <c r="B11" s="374" t="s">
        <v>258</v>
      </c>
      <c r="C11" s="175">
        <v>0.05882</v>
      </c>
      <c r="D11" s="178">
        <f>IFERROR(__xludf.DUMMYFUNCTION("GOOGLEFINANCE(B11)/(INDEX(GOOGLEFINANCE(B11 ,""price"",DATE(2025,1,1)),2,2))-1"),0.037508846426043796)</f>
        <v>0.03750884643</v>
      </c>
      <c r="E11" s="179">
        <f>IFERROR(__xludf.DUMMYFUNCTION("googlefinance(B11)/(INDEX(GOOGLEFINANCE(B11 ,""price"",DATE(2025,10,1)),2,2))-1"),-0.002890664852916225)</f>
        <v>-0.002890664853</v>
      </c>
      <c r="J11" s="180"/>
    </row>
    <row r="12">
      <c r="A12" s="373" t="str">
        <f>IFERROR(__xludf.DUMMYFUNCTION("GOOGLEFINANCE(B12,""name"")"),"TJX Companies Inc")</f>
        <v>TJX Companies Inc</v>
      </c>
      <c r="B12" s="374" t="s">
        <v>259</v>
      </c>
      <c r="C12" s="175">
        <v>0.05882</v>
      </c>
      <c r="D12" s="178">
        <f>IFERROR(__xludf.DUMMYFUNCTION("GOOGLEFINANCE(B12)/(INDEX(GOOGLEFINANCE(B12 ,""price"",DATE(2025,1,1)),2,2))-1"),0.16087494841106054)</f>
        <v>0.1608749484</v>
      </c>
      <c r="E12" s="179">
        <f>IFERROR(__xludf.DUMMYFUNCTION("googlefinance(B12)/(INDEX(GOOGLEFINANCE(B12 ,""price"",DATE(2025,10,1)),2,2))-1"),-0.0254988913525499)</f>
        <v>-0.02549889135</v>
      </c>
      <c r="F12" s="173"/>
      <c r="G12" s="173"/>
      <c r="H12" s="173"/>
      <c r="I12" s="173"/>
      <c r="J12" s="173"/>
      <c r="K12" s="185"/>
      <c r="L12" s="186"/>
    </row>
    <row r="13">
      <c r="A13" s="373" t="str">
        <f>IFERROR(__xludf.DUMMYFUNCTION("GOOGLEFINANCE(B13,""name"")"),"Automatic Data Processing Inc")</f>
        <v>Automatic Data Processing Inc</v>
      </c>
      <c r="B13" s="374" t="s">
        <v>260</v>
      </c>
      <c r="C13" s="175">
        <v>0.05882</v>
      </c>
      <c r="D13" s="178">
        <f>IFERROR(__xludf.DUMMYFUNCTION("GOOGLEFINANCE(B13)/(INDEX(GOOGLEFINANCE(B13 ,""price"",DATE(2025,1,1)),2,2))-1"),0.002969100638702038)</f>
        <v>0.002969100639</v>
      </c>
      <c r="E13" s="179">
        <f>IFERROR(__xludf.DUMMYFUNCTION("googlefinance(B13)/(INDEX(GOOGLEFINANCE(B13 ,""price"",DATE(2025,10,1)),2,2))-1"),-0.003772161448510114)</f>
        <v>-0.003772161449</v>
      </c>
      <c r="F13" s="173"/>
      <c r="G13" s="173"/>
      <c r="H13" s="173"/>
      <c r="I13" s="173"/>
      <c r="J13" s="173"/>
      <c r="K13" s="185"/>
      <c r="L13" s="186"/>
    </row>
    <row r="14">
      <c r="A14" s="373" t="str">
        <f>IFERROR(__xludf.DUMMYFUNCTION("GOOGLEFINANCE(B14,""name"")"),"PepsiCo Inc")</f>
        <v>PepsiCo Inc</v>
      </c>
      <c r="B14" s="374" t="s">
        <v>261</v>
      </c>
      <c r="C14" s="175">
        <v>0.05882</v>
      </c>
      <c r="D14" s="178">
        <f>IFERROR(__xludf.DUMMYFUNCTION("GOOGLEFINANCE(B14)/(INDEX(GOOGLEFINANCE(B14 ,""price"",DATE(2025,1,1)),2,2))-1"),-0.07602689567938226)</f>
        <v>-0.07602689568</v>
      </c>
      <c r="E14" s="179">
        <f>IFERROR(__xludf.DUMMYFUNCTION("googlefinance(B14)/(INDEX(GOOGLEFINANCE(B14 ,""price"",DATE(2025,10,1)),2,2))-1"),-0.030389828140282238)</f>
        <v>-0.03038982814</v>
      </c>
      <c r="F14" s="173"/>
      <c r="G14" s="173"/>
      <c r="H14" s="173"/>
      <c r="I14" s="173"/>
      <c r="J14" s="173"/>
      <c r="K14" s="185"/>
      <c r="L14" s="186"/>
    </row>
    <row r="15">
      <c r="A15" s="373" t="str">
        <f>IFERROR(__xludf.DUMMYFUNCTION("GOOGLEFINANCE(B15,""name"")"),"Johnson &amp; Johnson")</f>
        <v>Johnson &amp; Johnson</v>
      </c>
      <c r="B15" s="374" t="s">
        <v>262</v>
      </c>
      <c r="C15" s="175">
        <v>0.05882</v>
      </c>
      <c r="D15" s="178">
        <f>IFERROR(__xludf.DUMMYFUNCTION("GOOGLEFINANCE(B15)/(INDEX(GOOGLEFINANCE(B15 ,""price"",DATE(2025,1,1)),2,2))-1"),0.3187751701152617)</f>
        <v>0.3187751701</v>
      </c>
      <c r="E15" s="179">
        <f>IFERROR(__xludf.DUMMYFUNCTION("googlefinance(B15)/(INDEX(GOOGLEFINANCE(B15 ,""price"",DATE(2025,10,1)),2,2))-1"),0.020854608976081712)</f>
        <v>0.02085460898</v>
      </c>
      <c r="F15" s="173"/>
      <c r="G15" s="173"/>
      <c r="H15" s="173"/>
      <c r="I15" s="173"/>
      <c r="J15" s="173"/>
      <c r="K15" s="185"/>
      <c r="L15" s="186"/>
    </row>
    <row r="16">
      <c r="A16" s="373" t="str">
        <f>IFERROR(__xludf.DUMMYFUNCTION("GOOGLEFINANCE(B16,""name"")"),"Procter &amp; Gamble Co")</f>
        <v>Procter &amp; Gamble Co</v>
      </c>
      <c r="B16" s="374" t="s">
        <v>263</v>
      </c>
      <c r="C16" s="175">
        <v>0.05882</v>
      </c>
      <c r="D16" s="178">
        <f>IFERROR(__xludf.DUMMYFUNCTION("GOOGLEFINANCE(B16)/(INDEX(GOOGLEFINANCE(B16 ,""price"",DATE(2025,1,1)),2,2))-1"),-0.09211953247379201)</f>
        <v>-0.09211953247</v>
      </c>
      <c r="E16" s="179">
        <f>IFERROR(__xludf.DUMMYFUNCTION("googlefinance(B16)/(INDEX(GOOGLEFINANCE(B16 ,""price"",DATE(2025,10,1)),2,2))-1"),-0.016255385820603263)</f>
        <v>-0.01625538582</v>
      </c>
      <c r="F16" s="173"/>
      <c r="G16" s="173"/>
      <c r="H16" s="173"/>
      <c r="I16" s="173"/>
      <c r="J16" s="173"/>
      <c r="K16" s="185"/>
      <c r="L16" s="186"/>
    </row>
    <row r="17">
      <c r="A17" s="373" t="str">
        <f>IFERROR(__xludf.DUMMYFUNCTION("GOOGLEFINANCE(B17,""name"")"),"Berkshire Hathaway Inc Cedear")</f>
        <v>Berkshire Hathaway Inc Cedear</v>
      </c>
      <c r="B17" s="374" t="s">
        <v>264</v>
      </c>
      <c r="C17" s="175">
        <v>0.05882</v>
      </c>
      <c r="D17" s="178">
        <f>IFERROR(__xludf.DUMMYFUNCTION("GOOGLEFINANCE(B17)/(INDEX(GOOGLEFINANCE(B17 ,""price"",DATE(2025,1,1)),2,2))-1"),0.4676318510858324)</f>
        <v>0.4676318511</v>
      </c>
      <c r="E17" s="179">
        <f>IFERROR(__xludf.DUMMYFUNCTION("googlefinance(B17)/(INDEX(GOOGLEFINANCE(B17 ,""price"",DATE(2025,10,1)),2,2))-1"),-0.004489337822671136)</f>
        <v>-0.004489337823</v>
      </c>
      <c r="F17" s="173"/>
      <c r="G17" s="173"/>
      <c r="H17" s="173"/>
      <c r="I17" s="173"/>
      <c r="J17" s="173"/>
      <c r="K17" s="185"/>
      <c r="L17" s="186"/>
    </row>
    <row r="18">
      <c r="A18" s="373" t="str">
        <f>IFERROR(__xludf.DUMMYFUNCTION("GOOGLEFINANCE(B18,""name"")"),"Telefonica SA")</f>
        <v>Telefonica SA</v>
      </c>
      <c r="B18" s="374" t="s">
        <v>265</v>
      </c>
      <c r="C18" s="175">
        <v>0.05882</v>
      </c>
      <c r="D18" s="178">
        <f>IFERROR(__xludf.DUMMYFUNCTION("GOOGLEFINANCE(B18)/(INDEX(GOOGLEFINANCE(B18 ,""price"",DATE(2025,1,1)),2,2))-1"),0.22906403940886721)</f>
        <v>0.2290640394</v>
      </c>
      <c r="E18" s="179">
        <f>IFERROR(__xludf.DUMMYFUNCTION("googlefinance(B18)/(INDEX(GOOGLEFINANCE(B18 ,""price"",DATE(2025,10,1)),2,2))-1"),-0.017716535433070835)</f>
        <v>-0.01771653543</v>
      </c>
      <c r="F18" s="173"/>
      <c r="G18" s="173"/>
      <c r="H18" s="173"/>
      <c r="I18" s="173"/>
      <c r="J18" s="173"/>
      <c r="K18" s="185"/>
      <c r="L18" s="186"/>
    </row>
    <row r="19">
      <c r="A19" s="373" t="str">
        <f>IFERROR(__xludf.DUMMYFUNCTION("GOOGLEFINANCE(B19,""name"")"),"Kimberly-Clark Corp")</f>
        <v>Kimberly-Clark Corp</v>
      </c>
      <c r="B19" s="374" t="s">
        <v>266</v>
      </c>
      <c r="C19" s="175">
        <v>0.05882</v>
      </c>
      <c r="D19" s="178">
        <f>IFERROR(__xludf.DUMMYFUNCTION("GOOGLEFINANCE(B19)/(INDEX(GOOGLEFINANCE(B19 ,""price"",DATE(2025,1,1)),2,2))-1"),-0.084207303069739)</f>
        <v>-0.08420730307</v>
      </c>
      <c r="E19" s="179">
        <f>IFERROR(__xludf.DUMMYFUNCTION("googlefinance(B19)/(INDEX(GOOGLEFINANCE(B19 ,""price"",DATE(2025,10,1)),2,2))-1"),-0.029213665503530106)</f>
        <v>-0.0292136655</v>
      </c>
      <c r="F19" s="173"/>
      <c r="G19" s="173"/>
      <c r="H19" s="173"/>
      <c r="I19" s="173"/>
      <c r="J19" s="173"/>
      <c r="K19" s="188"/>
      <c r="L19" s="186"/>
    </row>
    <row r="20">
      <c r="A20" s="373" t="str">
        <f>IFERROR(__xludf.DUMMYFUNCTION("GOOGLEFINANCE(B20,""name"")"),"McDonald's Corp")</f>
        <v>McDonald's Corp</v>
      </c>
      <c r="B20" s="374" t="s">
        <v>267</v>
      </c>
      <c r="C20" s="175">
        <v>0.05882</v>
      </c>
      <c r="D20" s="178">
        <f>IFERROR(__xludf.DUMMYFUNCTION("GOOGLEFINANCE(B20)/(INDEX(GOOGLEFINANCE(B20 ,""price"",DATE(2025,1,1)),2,2))-1"),0.006871559946668437)</f>
        <v>0.006871559947</v>
      </c>
      <c r="E20" s="179">
        <f>IFERROR(__xludf.DUMMYFUNCTION("googlefinance(B20)/(INDEX(GOOGLEFINANCE(B20 ,""price"",DATE(2025,10,1)),2,2))-1"),-0.019965393318248426)</f>
        <v>-0.01996539332</v>
      </c>
      <c r="K20" s="188"/>
      <c r="L20" s="186"/>
    </row>
    <row r="21">
      <c r="A21" s="373" t="str">
        <f>IFERROR(__xludf.DUMMYFUNCTION("GOOGLEFINANCE(B21,""name"")"),"Altria Group Inc")</f>
        <v>Altria Group Inc</v>
      </c>
      <c r="B21" s="374" t="s">
        <v>220</v>
      </c>
      <c r="C21" s="175">
        <v>0.05882</v>
      </c>
      <c r="D21" s="178">
        <f>IFERROR(__xludf.DUMMYFUNCTION("GOOGLEFINANCE(B21)/(INDEX(GOOGLEFINANCE(B21 ,""price"",DATE(2025,1,1)),2,2))-1"),0.24547705199009728)</f>
        <v>0.245477052</v>
      </c>
      <c r="E21" s="179">
        <f>IFERROR(__xludf.DUMMYFUNCTION("googlefinance(B21)/(INDEX(GOOGLEFINANCE(B21 ,""price"",DATE(2025,10,1)),2,2))-1"),-0.013425856086890953)</f>
        <v>-0.01342585609</v>
      </c>
      <c r="F21" s="173"/>
      <c r="G21" s="173"/>
      <c r="H21" s="173"/>
      <c r="I21" s="173"/>
      <c r="J21" s="173"/>
      <c r="K21" s="188"/>
      <c r="L21" s="186"/>
    </row>
    <row r="22">
      <c r="A22" s="373" t="str">
        <f>IFERROR(__xludf.DUMMYFUNCTION("GOOGLEFINANCE(B22,""name"")"),"Medtronic PLC")</f>
        <v>Medtronic PLC</v>
      </c>
      <c r="B22" s="374" t="s">
        <v>268</v>
      </c>
      <c r="C22" s="175">
        <v>0.05882</v>
      </c>
      <c r="D22" s="178">
        <f>IFERROR(__xludf.DUMMYFUNCTION("GOOGLEFINANCE(B22)/(INDEX(GOOGLEFINANCE(B22 ,""price"",DATE(2025,1,1)),2,2))-1"),0.22076788830715532)</f>
        <v>0.2207678883</v>
      </c>
      <c r="E22" s="179">
        <f>IFERROR(__xludf.DUMMYFUNCTION("googlefinance(B22)/(INDEX(GOOGLEFINANCE(B22 ,""price"",DATE(2025,10,1)),2,2))-1"),0.032907921105368665)</f>
        <v>0.03290792111</v>
      </c>
      <c r="F22" s="173"/>
      <c r="G22" s="173"/>
      <c r="H22" s="173"/>
      <c r="I22" s="173"/>
      <c r="J22" s="173"/>
      <c r="K22" s="188"/>
      <c r="L22" s="186"/>
    </row>
    <row r="23">
      <c r="A23" s="373" t="str">
        <f>IFERROR(__xludf.DUMMYFUNCTION("GOOGLEFINANCE(B23,""name"")"),"ICICI Bank Ltd")</f>
        <v>ICICI Bank Ltd</v>
      </c>
      <c r="B23" s="374" t="s">
        <v>269</v>
      </c>
      <c r="C23" s="175">
        <v>0.05882</v>
      </c>
      <c r="D23" s="178">
        <f>IFERROR(__xludf.DUMMYFUNCTION("GOOGLEFINANCE(B23)/(INDEX(GOOGLEFINANCE(B23 ,""price"",DATE(2025,1,1)),2,2))-1"),0.03388124790338809)</f>
        <v>0.0338812479</v>
      </c>
      <c r="E23" s="179">
        <f>IFERROR(__xludf.DUMMYFUNCTION("googlefinance(B23)/(INDEX(GOOGLEFINANCE(B23 ,""price"",DATE(2025,10,1)),2,2))-1"),0.00916830386378531)</f>
        <v>0.009168303864</v>
      </c>
      <c r="K23" s="188"/>
      <c r="L23" s="186"/>
    </row>
    <row r="24">
      <c r="A24" s="373" t="str">
        <f>IFERROR(__xludf.DUMMYFUNCTION("GOOGLEFINANCE(B24,""name"")"),"Novartis AG")</f>
        <v>Novartis AG</v>
      </c>
      <c r="B24" s="374" t="s">
        <v>270</v>
      </c>
      <c r="C24" s="175">
        <v>0.05882</v>
      </c>
      <c r="D24" s="178">
        <f>IFERROR(__xludf.DUMMYFUNCTION("GOOGLEFINANCE(B24)/(INDEX(GOOGLEFINANCE(B24 ,""price"",DATE(2025,1,1)),2,2))-1"),0.36267243154210416)</f>
        <v>0.3626724315</v>
      </c>
      <c r="E24" s="179">
        <f>IFERROR(__xludf.DUMMYFUNCTION("googlefinance(B24)/(INDEX(GOOGLEFINANCE(B24 ,""price"",DATE(2025,10,1)),2,2))-1"),0.004934709990889852)</f>
        <v>0.004934709991</v>
      </c>
      <c r="F24" s="173"/>
      <c r="G24" s="173"/>
      <c r="H24" s="173"/>
      <c r="I24" s="173"/>
      <c r="J24" s="173"/>
      <c r="K24" s="188"/>
      <c r="L24" s="186"/>
    </row>
    <row r="25">
      <c r="A25" s="373" t="str">
        <f>IFERROR(__xludf.DUMMYFUNCTION("GOOGLEFINANCE(B25,""name"")"),"O'Reilly Automotive Inc")</f>
        <v>O'Reilly Automotive Inc</v>
      </c>
      <c r="B25" s="374" t="s">
        <v>271</v>
      </c>
      <c r="C25" s="175">
        <v>0.05882</v>
      </c>
      <c r="D25" s="178">
        <f>IFERROR(__xludf.DUMMYFUNCTION("GOOGLEFINANCE(B25)/(INDEX(GOOGLEFINANCE(B25 ,""price"",DATE(2025,1,1)),2,2))-1"),0.2722909825713562)</f>
        <v>0.2722909826</v>
      </c>
      <c r="E25" s="179">
        <f>IFERROR(__xludf.DUMMYFUNCTION("googlefinance(B25)/(INDEX(GOOGLEFINANCE(B25 ,""price"",DATE(2025,10,1)),2,2))-1"),-0.046744890234670766)</f>
        <v>-0.04674489023</v>
      </c>
      <c r="K25" s="188"/>
      <c r="L25" s="186"/>
    </row>
    <row r="943">
      <c r="A943" s="370"/>
      <c r="M943" s="178"/>
    </row>
  </sheetData>
  <dataValidations>
    <dataValidation type="custom" allowBlank="1" showDropDown="1" sqref="B4:D4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30.88"/>
    <col customWidth="1" min="3" max="3" width="36.38"/>
    <col customWidth="1" min="4" max="4" width="26.0"/>
    <col customWidth="1" min="5" max="5" width="25.0"/>
    <col customWidth="1" min="7" max="7" width="17.63"/>
  </cols>
  <sheetData>
    <row r="1">
      <c r="A1" s="376"/>
      <c r="B1" s="377" t="s">
        <v>217</v>
      </c>
      <c r="C1" s="378">
        <f>SUMPRODUCT(C9:C25,E9:E25)</f>
        <v>0.01156772464</v>
      </c>
      <c r="D1" s="376"/>
      <c r="E1" s="376"/>
      <c r="F1" s="376"/>
      <c r="G1" s="376"/>
      <c r="H1" s="376"/>
      <c r="I1" s="376"/>
      <c r="J1" s="376"/>
      <c r="K1" s="376"/>
      <c r="L1" s="376"/>
      <c r="M1" s="376"/>
      <c r="N1" s="376"/>
      <c r="O1" s="376"/>
      <c r="P1" s="376"/>
      <c r="Q1" s="376"/>
      <c r="R1" s="376"/>
      <c r="S1" s="376"/>
      <c r="T1" s="376"/>
      <c r="U1" s="376"/>
      <c r="V1" s="376"/>
      <c r="W1" s="376"/>
      <c r="X1" s="376"/>
      <c r="Y1" s="376"/>
      <c r="Z1" s="376"/>
    </row>
    <row r="2">
      <c r="A2" s="376"/>
      <c r="B2" s="376"/>
      <c r="C2" s="376"/>
      <c r="D2" s="376"/>
      <c r="E2" s="376"/>
      <c r="F2" s="376"/>
      <c r="G2" s="376"/>
      <c r="H2" s="376"/>
      <c r="I2" s="376"/>
      <c r="J2" s="376"/>
      <c r="K2" s="376"/>
      <c r="L2" s="376"/>
      <c r="M2" s="376"/>
      <c r="N2" s="376"/>
      <c r="O2" s="376"/>
      <c r="P2" s="376"/>
      <c r="Q2" s="376"/>
      <c r="R2" s="376"/>
      <c r="S2" s="376"/>
      <c r="T2" s="376"/>
      <c r="U2" s="376"/>
      <c r="V2" s="376"/>
      <c r="W2" s="376"/>
      <c r="X2" s="376"/>
      <c r="Y2" s="376"/>
      <c r="Z2" s="376"/>
    </row>
    <row r="3">
      <c r="A3" s="379" t="s">
        <v>137</v>
      </c>
      <c r="B3" s="380" t="s">
        <v>138</v>
      </c>
      <c r="C3" s="381" t="s">
        <v>139</v>
      </c>
      <c r="D3" s="382" t="s">
        <v>140</v>
      </c>
      <c r="E3" s="376"/>
      <c r="F3" s="376"/>
      <c r="G3" s="376"/>
      <c r="H3" s="376"/>
      <c r="I3" s="376"/>
      <c r="J3" s="376"/>
      <c r="K3" s="376"/>
      <c r="L3" s="376"/>
      <c r="M3" s="376"/>
      <c r="N3" s="376"/>
      <c r="O3" s="376"/>
      <c r="P3" s="376"/>
      <c r="Q3" s="376"/>
      <c r="R3" s="376"/>
      <c r="S3" s="376"/>
      <c r="T3" s="376"/>
      <c r="U3" s="376"/>
      <c r="V3" s="376"/>
      <c r="W3" s="376"/>
      <c r="X3" s="376"/>
      <c r="Y3" s="376"/>
      <c r="Z3" s="376"/>
    </row>
    <row r="4">
      <c r="A4" s="383" t="s">
        <v>31</v>
      </c>
      <c r="B4" s="384">
        <v>1.0</v>
      </c>
      <c r="C4" s="385">
        <v>0.0</v>
      </c>
      <c r="D4" s="195">
        <f>C4+B4</f>
        <v>1</v>
      </c>
      <c r="E4" s="376"/>
      <c r="F4" s="376"/>
      <c r="G4" s="376"/>
      <c r="H4" s="376"/>
      <c r="I4" s="376"/>
      <c r="J4" s="376"/>
      <c r="K4" s="376"/>
      <c r="L4" s="376"/>
      <c r="M4" s="376"/>
      <c r="N4" s="376"/>
      <c r="O4" s="376"/>
      <c r="P4" s="376"/>
      <c r="Q4" s="376"/>
      <c r="R4" s="376"/>
      <c r="S4" s="376"/>
      <c r="T4" s="376"/>
      <c r="U4" s="376"/>
      <c r="V4" s="376"/>
      <c r="W4" s="376"/>
      <c r="X4" s="376"/>
      <c r="Y4" s="376"/>
      <c r="Z4" s="376"/>
    </row>
    <row r="5">
      <c r="A5" s="386"/>
      <c r="B5" s="387">
        <f>SUM(Tactical_7[Modelo])</f>
        <v>1</v>
      </c>
      <c r="C5" s="388">
        <f>SUM(Tactical_7[Corredor +/- 10%])</f>
        <v>0</v>
      </c>
      <c r="D5" s="389">
        <f>SUM(Tactical_7[TAA])</f>
        <v>1</v>
      </c>
      <c r="E5" s="390"/>
      <c r="F5" s="390"/>
      <c r="G5" s="390"/>
      <c r="H5" s="376"/>
      <c r="I5" s="376"/>
      <c r="J5" s="376"/>
      <c r="K5" s="376"/>
      <c r="L5" s="376"/>
      <c r="M5" s="376"/>
      <c r="N5" s="376"/>
      <c r="O5" s="376"/>
      <c r="P5" s="376"/>
      <c r="Q5" s="376"/>
      <c r="R5" s="376"/>
      <c r="S5" s="376"/>
      <c r="T5" s="376"/>
      <c r="U5" s="376"/>
      <c r="V5" s="376"/>
      <c r="W5" s="376"/>
      <c r="X5" s="376"/>
      <c r="Y5" s="376"/>
      <c r="Z5" s="376"/>
    </row>
    <row r="6">
      <c r="A6" s="376"/>
      <c r="B6" s="391"/>
      <c r="C6" s="392"/>
      <c r="D6" s="376"/>
      <c r="E6" s="390"/>
      <c r="F6" s="390"/>
      <c r="G6" s="390"/>
      <c r="H6" s="376"/>
      <c r="I6" s="376"/>
      <c r="J6" s="376"/>
      <c r="K6" s="376"/>
      <c r="L6" s="376"/>
      <c r="M6" s="376"/>
      <c r="N6" s="376"/>
      <c r="O6" s="376"/>
      <c r="P6" s="376"/>
      <c r="Q6" s="376"/>
      <c r="R6" s="376"/>
      <c r="S6" s="376"/>
      <c r="T6" s="376"/>
      <c r="U6" s="376"/>
      <c r="V6" s="376"/>
      <c r="W6" s="376"/>
      <c r="X6" s="376"/>
      <c r="Y6" s="376"/>
      <c r="Z6" s="376"/>
    </row>
    <row r="7">
      <c r="A7" s="376"/>
      <c r="B7" s="376"/>
      <c r="C7" s="393">
        <f>1/17</f>
        <v>0.05882352941</v>
      </c>
      <c r="D7" s="376"/>
      <c r="E7" s="390"/>
      <c r="F7" s="390"/>
      <c r="G7" s="390"/>
      <c r="H7" s="376"/>
      <c r="I7" s="376"/>
      <c r="J7" s="376"/>
      <c r="K7" s="376"/>
      <c r="L7" s="376"/>
      <c r="M7" s="376"/>
      <c r="N7" s="376"/>
      <c r="O7" s="376"/>
      <c r="P7" s="376"/>
      <c r="Q7" s="376"/>
      <c r="R7" s="376"/>
      <c r="S7" s="376"/>
      <c r="T7" s="376"/>
      <c r="U7" s="376"/>
      <c r="V7" s="376"/>
      <c r="W7" s="376"/>
      <c r="X7" s="376"/>
      <c r="Y7" s="376"/>
      <c r="Z7" s="376"/>
    </row>
    <row r="8">
      <c r="A8" s="390" t="s">
        <v>134</v>
      </c>
      <c r="B8" s="390" t="s">
        <v>66</v>
      </c>
      <c r="C8" s="390" t="s">
        <v>55</v>
      </c>
      <c r="D8" s="390" t="s">
        <v>93</v>
      </c>
      <c r="E8" s="394">
        <v>45931.0</v>
      </c>
      <c r="F8" s="390"/>
      <c r="G8" s="390"/>
      <c r="H8" s="376"/>
      <c r="I8" s="376"/>
      <c r="J8" s="376"/>
      <c r="K8" s="376"/>
      <c r="L8" s="376"/>
      <c r="M8" s="376"/>
      <c r="N8" s="376"/>
      <c r="O8" s="376"/>
      <c r="P8" s="376"/>
      <c r="Q8" s="376"/>
      <c r="R8" s="376"/>
      <c r="S8" s="376"/>
      <c r="T8" s="376"/>
      <c r="U8" s="376"/>
      <c r="V8" s="376"/>
      <c r="W8" s="376"/>
      <c r="X8" s="376"/>
      <c r="Y8" s="376"/>
      <c r="Z8" s="376"/>
    </row>
    <row r="9">
      <c r="A9" s="395" t="str">
        <f>IFERROR(__xludf.DUMMYFUNCTION("GOOGLEFINANCE(B9,""name"")"),"Vertex Pharmaceuticals Inc")</f>
        <v>Vertex Pharmaceuticals Inc</v>
      </c>
      <c r="B9" s="374" t="s">
        <v>272</v>
      </c>
      <c r="C9" s="396">
        <v>0.05882</v>
      </c>
      <c r="D9" s="397">
        <f>IFERROR(__xludf.DUMMYFUNCTION("GOOGLEFINANCE(B9)/(INDEX(GOOGLEFINANCE(B9 ,""price"",DATE(2025,1,1)),2,2))-1"),0.038224566246056746)</f>
        <v>0.03822456625</v>
      </c>
      <c r="E9" s="398">
        <f>IFERROR(__xludf.DUMMYFUNCTION("googlefinance(B9)/(INDEX(GOOGLEFINANCE(B9 ,""price"",DATE(2025,10,1)),2,2))-1"),0.04220578412211484)</f>
        <v>0.04220578412</v>
      </c>
      <c r="F9" s="376"/>
      <c r="G9" s="376"/>
      <c r="H9" s="376"/>
      <c r="I9" s="376"/>
      <c r="J9" s="399"/>
      <c r="K9" s="376"/>
      <c r="L9" s="376"/>
      <c r="M9" s="376"/>
      <c r="N9" s="376"/>
      <c r="O9" s="376"/>
      <c r="P9" s="376"/>
      <c r="Q9" s="376"/>
      <c r="R9" s="376"/>
      <c r="S9" s="376"/>
      <c r="T9" s="376"/>
      <c r="U9" s="376"/>
      <c r="V9" s="376"/>
      <c r="W9" s="376"/>
      <c r="X9" s="376"/>
      <c r="Y9" s="376"/>
      <c r="Z9" s="376"/>
    </row>
    <row r="10">
      <c r="A10" s="395" t="str">
        <f>IFERROR(__xludf.DUMMYFUNCTION("GOOGLEFINANCE(B10,""name"")"),"Globant SA")</f>
        <v>Globant SA</v>
      </c>
      <c r="B10" s="374" t="s">
        <v>273</v>
      </c>
      <c r="C10" s="396">
        <v>0.05882</v>
      </c>
      <c r="D10" s="397">
        <f>IFERROR(__xludf.DUMMYFUNCTION("GOOGLEFINANCE(B10)/(INDEX(GOOGLEFINANCE(B10 ,""price"",DATE(2025,1,1)),2,2))-1"),-0.7212314623615543)</f>
        <v>-0.7212314624</v>
      </c>
      <c r="E10" s="398">
        <f>IFERROR(__xludf.DUMMYFUNCTION("googlefinance(B10)/(INDEX(GOOGLEFINANCE(B10 ,""price"",DATE(2025,10,1)),2,2))-1"),0.044303797468354444)</f>
        <v>0.04430379747</v>
      </c>
      <c r="F10" s="376"/>
      <c r="G10" s="376"/>
      <c r="H10" s="376"/>
      <c r="I10" s="376"/>
      <c r="J10" s="399"/>
      <c r="K10" s="376"/>
      <c r="L10" s="376"/>
      <c r="M10" s="376"/>
      <c r="N10" s="376"/>
      <c r="O10" s="376"/>
      <c r="P10" s="376"/>
      <c r="Q10" s="376"/>
      <c r="R10" s="376"/>
      <c r="S10" s="376"/>
      <c r="T10" s="376"/>
      <c r="U10" s="376"/>
      <c r="V10" s="376"/>
      <c r="W10" s="376"/>
      <c r="X10" s="376"/>
      <c r="Y10" s="376"/>
      <c r="Z10" s="376"/>
    </row>
    <row r="11">
      <c r="A11" s="395" t="str">
        <f>IFERROR(__xludf.DUMMYFUNCTION("GOOGLEFINANCE(B11,""name"")"),"Target Corp")</f>
        <v>Target Corp</v>
      </c>
      <c r="B11" s="374" t="s">
        <v>233</v>
      </c>
      <c r="C11" s="396">
        <v>0.05882</v>
      </c>
      <c r="D11" s="397">
        <f>IFERROR(__xludf.DUMMYFUNCTION("GOOGLEFINANCE(B11)/(INDEX(GOOGLEFINANCE(B11 ,""price"",DATE(2025,1,1)),2,2))-1"),-0.34120562723230563)</f>
        <v>-0.3412056272</v>
      </c>
      <c r="E11" s="398">
        <f>IFERROR(__xludf.DUMMYFUNCTION("googlefinance(B11)/(INDEX(GOOGLEFINANCE(B11 ,""price"",DATE(2025,10,1)),2,2))-1"),0.013910702266098252)</f>
        <v>0.01391070227</v>
      </c>
      <c r="F11" s="376"/>
      <c r="G11" s="376"/>
      <c r="H11" s="376"/>
      <c r="I11" s="376"/>
      <c r="J11" s="399"/>
      <c r="K11" s="376"/>
      <c r="L11" s="376"/>
      <c r="M11" s="376"/>
      <c r="N11" s="376"/>
      <c r="O11" s="376"/>
      <c r="P11" s="376"/>
      <c r="Q11" s="376"/>
      <c r="R11" s="376"/>
      <c r="S11" s="376"/>
      <c r="T11" s="376"/>
      <c r="U11" s="376"/>
      <c r="V11" s="376"/>
      <c r="W11" s="376"/>
      <c r="X11" s="376"/>
      <c r="Y11" s="376"/>
      <c r="Z11" s="376"/>
    </row>
    <row r="12">
      <c r="A12" s="395" t="str">
        <f>IFERROR(__xludf.DUMMYFUNCTION("GOOGLEFINANCE(B12,""name"")"),"UnitedHealth Group Inc")</f>
        <v>UnitedHealth Group Inc</v>
      </c>
      <c r="B12" s="374" t="s">
        <v>241</v>
      </c>
      <c r="C12" s="396">
        <v>0.05882</v>
      </c>
      <c r="D12" s="397">
        <f>IFERROR(__xludf.DUMMYFUNCTION("GOOGLEFINANCE(B12)/(INDEX(GOOGLEFINANCE(B12 ,""price"",DATE(2025,1,1)),2,2))-1"),-0.26516818298943523)</f>
        <v>-0.265168183</v>
      </c>
      <c r="E12" s="398">
        <f>IFERROR(__xludf.DUMMYFUNCTION("googlefinance(B12)/(INDEX(GOOGLEFINANCE(B12 ,""price"",DATE(2025,10,1)),2,2))-1"),0.06439850703416594)</f>
        <v>0.06439850703</v>
      </c>
      <c r="F12" s="390"/>
      <c r="G12" s="390"/>
      <c r="H12" s="390"/>
      <c r="I12" s="390"/>
      <c r="J12" s="390"/>
      <c r="K12" s="400"/>
      <c r="L12" s="401"/>
      <c r="M12" s="376"/>
      <c r="N12" s="376"/>
      <c r="O12" s="376"/>
      <c r="P12" s="376"/>
      <c r="Q12" s="376"/>
      <c r="R12" s="376"/>
      <c r="S12" s="376"/>
      <c r="T12" s="376"/>
      <c r="U12" s="376"/>
      <c r="V12" s="376"/>
      <c r="W12" s="376"/>
      <c r="X12" s="376"/>
      <c r="Y12" s="376"/>
      <c r="Z12" s="376"/>
    </row>
    <row r="13">
      <c r="A13" s="395" t="str">
        <f>IFERROR(__xludf.DUMMYFUNCTION("GOOGLEFINANCE(B13,""name"")"),"Adobe Inc")</f>
        <v>Adobe Inc</v>
      </c>
      <c r="B13" s="374" t="s">
        <v>274</v>
      </c>
      <c r="C13" s="396">
        <v>0.05882</v>
      </c>
      <c r="D13" s="397">
        <f>IFERROR(__xludf.DUMMYFUNCTION("GOOGLEFINANCE(B13)/(INDEX(GOOGLEFINANCE(B13 ,""price"",DATE(2025,1,1)),2,2))-1"),-0.2091383219954649)</f>
        <v>-0.209138322</v>
      </c>
      <c r="E13" s="398">
        <f>IFERROR(__xludf.DUMMYFUNCTION("googlefinance(B13)/(INDEX(GOOGLEFINANCE(B13 ,""price"",DATE(2025,10,1)),2,2))-1"),0.014692191318514958)</f>
        <v>0.01469219132</v>
      </c>
      <c r="F13" s="390"/>
      <c r="G13" s="390"/>
      <c r="H13" s="390"/>
      <c r="I13" s="390"/>
      <c r="J13" s="390"/>
      <c r="K13" s="400"/>
      <c r="L13" s="401"/>
      <c r="M13" s="376"/>
      <c r="N13" s="376"/>
      <c r="O13" s="376"/>
      <c r="P13" s="376"/>
      <c r="Q13" s="376"/>
      <c r="R13" s="376"/>
      <c r="S13" s="376"/>
      <c r="T13" s="376"/>
      <c r="U13" s="376"/>
      <c r="V13" s="376"/>
      <c r="W13" s="376"/>
      <c r="X13" s="376"/>
      <c r="Y13" s="376"/>
      <c r="Z13" s="376"/>
    </row>
    <row r="14">
      <c r="A14" s="395" t="str">
        <f>IFERROR(__xludf.DUMMYFUNCTION("GOOGLEFINANCE(B14,""name"")"),"Lockheed Martin Corp")</f>
        <v>Lockheed Martin Corp</v>
      </c>
      <c r="B14" s="374" t="s">
        <v>275</v>
      </c>
      <c r="C14" s="396">
        <v>0.05882</v>
      </c>
      <c r="D14" s="397">
        <f>IFERROR(__xludf.DUMMYFUNCTION("GOOGLEFINANCE(B14)/(INDEX(GOOGLEFINANCE(B14 ,""price"",DATE(2025,1,1)),2,2))-1"),0.06587869362363907)</f>
        <v>0.06587869362</v>
      </c>
      <c r="E14" s="398">
        <f>IFERROR(__xludf.DUMMYFUNCTION("googlefinance(B14)/(INDEX(GOOGLEFINANCE(B14 ,""price"",DATE(2025,10,1)),2,2))-1"),0.030100200400801524)</f>
        <v>0.0301002004</v>
      </c>
      <c r="F14" s="390"/>
      <c r="G14" s="390"/>
      <c r="H14" s="390"/>
      <c r="I14" s="390"/>
      <c r="J14" s="390"/>
      <c r="K14" s="400"/>
      <c r="L14" s="401"/>
      <c r="M14" s="376"/>
      <c r="N14" s="376"/>
      <c r="O14" s="376"/>
      <c r="P14" s="376"/>
      <c r="Q14" s="376"/>
      <c r="R14" s="376"/>
      <c r="S14" s="376"/>
      <c r="T14" s="376"/>
      <c r="U14" s="376"/>
      <c r="V14" s="376"/>
      <c r="W14" s="376"/>
      <c r="X14" s="376"/>
      <c r="Y14" s="376"/>
      <c r="Z14" s="376"/>
    </row>
    <row r="15">
      <c r="A15" s="395" t="str">
        <f>IFERROR(__xludf.DUMMYFUNCTION("GOOGLEFINANCE(B15,""name"")"),"AbbVie Inc")</f>
        <v>AbbVie Inc</v>
      </c>
      <c r="B15" s="374" t="s">
        <v>276</v>
      </c>
      <c r="C15" s="396">
        <v>0.05882</v>
      </c>
      <c r="D15" s="397">
        <f>IFERROR(__xludf.DUMMYFUNCTION("GOOGLEFINANCE(B15)/(INDEX(GOOGLEFINANCE(B15 ,""price"",DATE(2025,1,1)),2,2))-1"),0.28884306732055287)</f>
        <v>0.2888430673</v>
      </c>
      <c r="E15" s="398">
        <f>IFERROR(__xludf.DUMMYFUNCTION("googlefinance(B15)/(INDEX(GOOGLEFINANCE(B15 ,""price"",DATE(2025,10,1)),2,2))-1"),-0.05364596120795473)</f>
        <v>-0.05364596121</v>
      </c>
      <c r="F15" s="390"/>
      <c r="G15" s="390"/>
      <c r="H15" s="390"/>
      <c r="I15" s="390"/>
      <c r="J15" s="390"/>
      <c r="K15" s="400"/>
      <c r="L15" s="401"/>
      <c r="M15" s="376"/>
      <c r="N15" s="376"/>
      <c r="O15" s="376"/>
      <c r="P15" s="376"/>
      <c r="Q15" s="376"/>
      <c r="R15" s="376"/>
      <c r="S15" s="376"/>
      <c r="T15" s="376"/>
      <c r="U15" s="376"/>
      <c r="V15" s="376"/>
      <c r="W15" s="376"/>
      <c r="X15" s="376"/>
      <c r="Y15" s="376"/>
      <c r="Z15" s="376"/>
    </row>
    <row r="16">
      <c r="A16" s="395" t="str">
        <f>IFERROR(__xludf.DUMMYFUNCTION("GOOGLEFINANCE(B16,""name"")"),"Koninklijke Philips NV")</f>
        <v>Koninklijke Philips NV</v>
      </c>
      <c r="B16" s="374" t="s">
        <v>277</v>
      </c>
      <c r="C16" s="396">
        <v>0.05882</v>
      </c>
      <c r="D16" s="397">
        <f>IFERROR(__xludf.DUMMYFUNCTION("GOOGLEFINANCE(B16)/(INDEX(GOOGLEFINANCE(B16 ,""price"",DATE(2025,1,1)),2,2))-1"),0.13130504403522814)</f>
        <v>0.131305044</v>
      </c>
      <c r="E16" s="398">
        <f>IFERROR(__xludf.DUMMYFUNCTION("googlefinance(B16)/(INDEX(GOOGLEFINANCE(B16 ,""price"",DATE(2025,10,1)),2,2))-1"),0.02243125904486254)</f>
        <v>0.02243125904</v>
      </c>
      <c r="F16" s="390"/>
      <c r="G16" s="390"/>
      <c r="H16" s="390"/>
      <c r="I16" s="390"/>
      <c r="J16" s="390"/>
      <c r="K16" s="400"/>
      <c r="L16" s="401"/>
      <c r="M16" s="376"/>
      <c r="N16" s="376"/>
      <c r="O16" s="376"/>
      <c r="P16" s="376"/>
      <c r="Q16" s="376"/>
      <c r="R16" s="376"/>
      <c r="S16" s="376"/>
      <c r="T16" s="376"/>
      <c r="U16" s="376"/>
      <c r="V16" s="376"/>
      <c r="W16" s="376"/>
      <c r="X16" s="376"/>
      <c r="Y16" s="376"/>
      <c r="Z16" s="376"/>
    </row>
    <row r="17">
      <c r="A17" s="395" t="str">
        <f>IFERROR(__xludf.DUMMYFUNCTION("GOOGLEFINANCE(B17,""name"")"),"Deckers Outdoor Corp")</f>
        <v>Deckers Outdoor Corp</v>
      </c>
      <c r="B17" s="374" t="s">
        <v>229</v>
      </c>
      <c r="C17" s="396">
        <v>0.05882</v>
      </c>
      <c r="D17" s="397">
        <f>IFERROR(__xludf.DUMMYFUNCTION("GOOGLEFINANCE(B17)/(INDEX(GOOGLEFINANCE(B17 ,""price"",DATE(2025,1,1)),2,2))-1"),-0.5033734232912878)</f>
        <v>-0.5033734233</v>
      </c>
      <c r="E17" s="398">
        <f>IFERROR(__xludf.DUMMYFUNCTION("googlefinance(B17)/(INDEX(GOOGLEFINANCE(B17 ,""price"",DATE(2025,10,1)),2,2))-1"),0.003953350464518612)</f>
        <v>0.003953350465</v>
      </c>
      <c r="F17" s="390"/>
      <c r="G17" s="390"/>
      <c r="H17" s="390"/>
      <c r="I17" s="390"/>
      <c r="J17" s="390"/>
      <c r="K17" s="400"/>
      <c r="L17" s="401"/>
      <c r="M17" s="376"/>
      <c r="N17" s="376"/>
      <c r="O17" s="376"/>
      <c r="P17" s="376"/>
      <c r="Q17" s="376"/>
      <c r="R17" s="376"/>
      <c r="S17" s="376"/>
      <c r="T17" s="376"/>
      <c r="U17" s="376"/>
      <c r="V17" s="376"/>
      <c r="W17" s="376"/>
      <c r="X17" s="376"/>
      <c r="Y17" s="376"/>
      <c r="Z17" s="376"/>
    </row>
    <row r="18">
      <c r="A18" s="395" t="str">
        <f>IFERROR(__xludf.DUMMYFUNCTION("GOOGLEFINANCE(B18,""name"")"),"Rtx Corp")</f>
        <v>Rtx Corp</v>
      </c>
      <c r="B18" s="374" t="s">
        <v>278</v>
      </c>
      <c r="C18" s="396">
        <v>0.05882</v>
      </c>
      <c r="D18" s="397">
        <f>IFERROR(__xludf.DUMMYFUNCTION("GOOGLEFINANCE(B18)/(INDEX(GOOGLEFINANCE(B18 ,""price"",DATE(2025,1,1)),2,2))-1"),0.45427118351866214)</f>
        <v>0.4542711835</v>
      </c>
      <c r="E18" s="398">
        <f>IFERROR(__xludf.DUMMYFUNCTION("googlefinance(B18)/(INDEX(GOOGLEFINANCE(B18 ,""price"",DATE(2025,10,1)),2,2))-1"),0.009031100478469112)</f>
        <v>0.009031100478</v>
      </c>
      <c r="F18" s="390"/>
      <c r="G18" s="390"/>
      <c r="H18" s="390"/>
      <c r="I18" s="390"/>
      <c r="J18" s="390"/>
      <c r="K18" s="400"/>
      <c r="L18" s="401"/>
      <c r="M18" s="376"/>
      <c r="N18" s="376"/>
      <c r="O18" s="376"/>
      <c r="P18" s="376"/>
      <c r="Q18" s="376"/>
      <c r="R18" s="376"/>
      <c r="S18" s="376"/>
      <c r="T18" s="376"/>
      <c r="U18" s="376"/>
      <c r="V18" s="376"/>
      <c r="W18" s="376"/>
      <c r="X18" s="376"/>
      <c r="Y18" s="376"/>
      <c r="Z18" s="376"/>
    </row>
    <row r="19">
      <c r="A19" s="395" t="str">
        <f>IFERROR(__xludf.DUMMYFUNCTION("GOOGLEFINANCE(B19,""name"")"),"HP Inc")</f>
        <v>HP Inc</v>
      </c>
      <c r="B19" s="374" t="s">
        <v>225</v>
      </c>
      <c r="C19" s="396">
        <v>0.05882</v>
      </c>
      <c r="D19" s="397">
        <f>IFERROR(__xludf.DUMMYFUNCTION("GOOGLEFINANCE(B19)/(INDEX(GOOGLEFINANCE(B19 ,""price"",DATE(2025,1,1)),2,2))-1"),-0.16723129042192797)</f>
        <v>-0.1672312904</v>
      </c>
      <c r="E19" s="398">
        <f>IFERROR(__xludf.DUMMYFUNCTION("googlefinance(B19)/(INDEX(GOOGLEFINANCE(B19 ,""price"",DATE(2025,10,1)),2,2))-1"),0.012734082397003688)</f>
        <v>0.0127340824</v>
      </c>
      <c r="F19" s="390"/>
      <c r="G19" s="390"/>
      <c r="H19" s="390"/>
      <c r="I19" s="390"/>
      <c r="J19" s="390"/>
      <c r="K19" s="402"/>
      <c r="L19" s="401"/>
      <c r="M19" s="376"/>
      <c r="N19" s="376"/>
      <c r="O19" s="376"/>
      <c r="P19" s="376"/>
      <c r="Q19" s="376"/>
      <c r="R19" s="376"/>
      <c r="S19" s="376"/>
      <c r="T19" s="376"/>
      <c r="U19" s="376"/>
      <c r="V19" s="376"/>
      <c r="W19" s="376"/>
      <c r="X19" s="376"/>
      <c r="Y19" s="376"/>
      <c r="Z19" s="376"/>
    </row>
    <row r="20">
      <c r="A20" s="395" t="str">
        <f>IFERROR(__xludf.DUMMYFUNCTION("GOOGLEFINANCE(B20,""name"")"),"T-Mobile Us Inc")</f>
        <v>T-Mobile Us Inc</v>
      </c>
      <c r="B20" s="374" t="s">
        <v>279</v>
      </c>
      <c r="C20" s="396">
        <v>0.05882</v>
      </c>
      <c r="D20" s="397">
        <f>IFERROR(__xludf.DUMMYFUNCTION("GOOGLEFINANCE(B20)/(INDEX(GOOGLEFINANCE(B20 ,""price"",DATE(2025,1,1)),2,2))-1"),0.032615132328155605)</f>
        <v>0.03261513233</v>
      </c>
      <c r="E20" s="398">
        <f>IFERROR(__xludf.DUMMYFUNCTION("googlefinance(B20)/(INDEX(GOOGLEFINANCE(B20 ,""price"",DATE(2025,10,1)),2,2))-1"),-0.02816599502700845)</f>
        <v>-0.02816599503</v>
      </c>
      <c r="F20" s="376"/>
      <c r="G20" s="376"/>
      <c r="H20" s="376"/>
      <c r="I20" s="376"/>
      <c r="J20" s="376"/>
      <c r="K20" s="402"/>
      <c r="L20" s="401"/>
      <c r="M20" s="376"/>
      <c r="N20" s="376"/>
      <c r="O20" s="376"/>
      <c r="P20" s="376"/>
      <c r="Q20" s="376"/>
      <c r="R20" s="376"/>
      <c r="S20" s="376"/>
      <c r="T20" s="376"/>
      <c r="U20" s="376"/>
      <c r="V20" s="376"/>
      <c r="W20" s="376"/>
      <c r="X20" s="376"/>
      <c r="Y20" s="376"/>
      <c r="Z20" s="376"/>
    </row>
    <row r="21">
      <c r="A21" s="395" t="str">
        <f>IFERROR(__xludf.DUMMYFUNCTION("GOOGLEFINANCE(B21,""name"")"),"Chevron Corp")</f>
        <v>Chevron Corp</v>
      </c>
      <c r="B21" s="374" t="s">
        <v>280</v>
      </c>
      <c r="C21" s="396">
        <v>0.05882</v>
      </c>
      <c r="D21" s="397">
        <f>IFERROR(__xludf.DUMMYFUNCTION("GOOGLEFINANCE(B21)/(INDEX(GOOGLEFINANCE(B21 ,""price"",DATE(2025,1,1)),2,2))-1"),0.047917660691159325)</f>
        <v>0.04791766069</v>
      </c>
      <c r="E21" s="398">
        <f>IFERROR(__xludf.DUMMYFUNCTION("googlefinance(B21)/(INDEX(GOOGLEFINANCE(B21 ,""price"",DATE(2025,10,1)),2,2))-1"),-0.005434079441066109)</f>
        <v>-0.005434079441</v>
      </c>
      <c r="F21" s="390"/>
      <c r="G21" s="390"/>
      <c r="H21" s="390"/>
      <c r="I21" s="390"/>
      <c r="J21" s="390"/>
      <c r="K21" s="402"/>
      <c r="L21" s="401"/>
      <c r="M21" s="376"/>
      <c r="N21" s="376"/>
      <c r="O21" s="376"/>
      <c r="P21" s="376"/>
      <c r="Q21" s="376"/>
      <c r="R21" s="376"/>
      <c r="S21" s="376"/>
      <c r="T21" s="376"/>
      <c r="U21" s="376"/>
      <c r="V21" s="376"/>
      <c r="W21" s="376"/>
      <c r="X21" s="376"/>
      <c r="Y21" s="376"/>
      <c r="Z21" s="376"/>
    </row>
    <row r="22">
      <c r="A22" s="395" t="str">
        <f>IFERROR(__xludf.DUMMYFUNCTION("GOOGLEFINANCE(B22,""name"")"),"Vistra Corp")</f>
        <v>Vistra Corp</v>
      </c>
      <c r="B22" s="374" t="s">
        <v>131</v>
      </c>
      <c r="C22" s="396">
        <v>0.05882</v>
      </c>
      <c r="D22" s="397">
        <f>IFERROR(__xludf.DUMMYFUNCTION("GOOGLEFINANCE(B22)/(INDEX(GOOGLEFINANCE(B22 ,""price"",DATE(2025,1,1)),2,2))-1"),0.37538420419617813)</f>
        <v>0.3753842042</v>
      </c>
      <c r="E22" s="398">
        <f>IFERROR(__xludf.DUMMYFUNCTION("googlefinance(B22)/(INDEX(GOOGLEFINANCE(B22 ,""price"",DATE(2025,10,1)),2,2))-1"),0.021487767356458853)</f>
        <v>0.02148776736</v>
      </c>
      <c r="F22" s="390"/>
      <c r="G22" s="390"/>
      <c r="H22" s="390"/>
      <c r="I22" s="390"/>
      <c r="J22" s="390"/>
      <c r="K22" s="402"/>
      <c r="L22" s="401"/>
      <c r="M22" s="376"/>
      <c r="N22" s="376"/>
      <c r="O22" s="376"/>
      <c r="P22" s="376"/>
      <c r="Q22" s="376"/>
      <c r="R22" s="376"/>
      <c r="S22" s="376"/>
      <c r="T22" s="376"/>
      <c r="U22" s="376"/>
      <c r="V22" s="376"/>
      <c r="W22" s="376"/>
      <c r="X22" s="376"/>
      <c r="Y22" s="376"/>
      <c r="Z22" s="376"/>
    </row>
    <row r="23">
      <c r="A23" s="395" t="str">
        <f>IFERROR(__xludf.DUMMYFUNCTION("GOOGLEFINANCE(B23,""name"")"),"HSBC Holdings PLC")</f>
        <v>HSBC Holdings PLC</v>
      </c>
      <c r="B23" s="374" t="s">
        <v>103</v>
      </c>
      <c r="C23" s="396">
        <v>0.05882</v>
      </c>
      <c r="D23" s="397">
        <f>IFERROR(__xludf.DUMMYFUNCTION("GOOGLEFINANCE(B23)/(INDEX(GOOGLEFINANCE(B23 ,""price"",DATE(2025,1,1)),2,2))-1"),0.4687756778964667)</f>
        <v>0.4687756779</v>
      </c>
      <c r="E23" s="398">
        <f>IFERROR(__xludf.DUMMYFUNCTION("googlefinance(B23)/(INDEX(GOOGLEFINANCE(B23 ,""price"",DATE(2025,10,1)),2,2))-1"),0.001961883408071685)</f>
        <v>0.001961883408</v>
      </c>
      <c r="F23" s="376"/>
      <c r="G23" s="376"/>
      <c r="H23" s="376"/>
      <c r="I23" s="376"/>
      <c r="J23" s="376"/>
      <c r="K23" s="402"/>
      <c r="L23" s="401"/>
      <c r="M23" s="376"/>
      <c r="N23" s="376"/>
      <c r="O23" s="376"/>
      <c r="P23" s="376"/>
      <c r="Q23" s="376"/>
      <c r="R23" s="376"/>
      <c r="S23" s="376"/>
      <c r="T23" s="376"/>
      <c r="U23" s="376"/>
      <c r="V23" s="376"/>
      <c r="W23" s="376"/>
      <c r="X23" s="376"/>
      <c r="Y23" s="376"/>
      <c r="Z23" s="376"/>
    </row>
    <row r="24">
      <c r="A24" s="395" t="str">
        <f>IFERROR(__xludf.DUMMYFUNCTION("GOOGLEFINANCE(B24,""name"")"),"MercadoLibre Inc")</f>
        <v>MercadoLibre Inc</v>
      </c>
      <c r="B24" s="374" t="s">
        <v>281</v>
      </c>
      <c r="C24" s="396">
        <v>0.05882</v>
      </c>
      <c r="D24" s="397">
        <f>IFERROR(__xludf.DUMMYFUNCTION("GOOGLEFINANCE(B24)/(INDEX(GOOGLEFINANCE(B24 ,""price"",DATE(2025,1,1)),2,2))-1"),0.23002832861189804)</f>
        <v>0.2300283286</v>
      </c>
      <c r="E24" s="398">
        <f>IFERROR(__xludf.DUMMYFUNCTION("googlefinance(B24)/(INDEX(GOOGLEFINANCE(B24 ,""price"",DATE(2025,10,1)),2,2))-1"),-0.002714857297729245)</f>
        <v>-0.002714857298</v>
      </c>
      <c r="F24" s="390"/>
      <c r="G24" s="390"/>
      <c r="H24" s="390"/>
      <c r="I24" s="390"/>
      <c r="J24" s="390"/>
      <c r="K24" s="402"/>
      <c r="L24" s="401"/>
      <c r="M24" s="376"/>
      <c r="N24" s="376"/>
      <c r="O24" s="376"/>
      <c r="P24" s="376"/>
      <c r="Q24" s="376"/>
      <c r="R24" s="376"/>
      <c r="S24" s="376"/>
      <c r="T24" s="376"/>
      <c r="U24" s="376"/>
      <c r="V24" s="376"/>
      <c r="W24" s="376"/>
      <c r="X24" s="376"/>
      <c r="Y24" s="376"/>
      <c r="Z24" s="376"/>
    </row>
    <row r="25">
      <c r="A25" s="395" t="str">
        <f>IFERROR(__xludf.DUMMYFUNCTION("GOOGLEFINANCE(B25,""name"")"),"International Flavors &amp; Fragrances Inc")</f>
        <v>International Flavors &amp; Fragrances Inc</v>
      </c>
      <c r="B25" s="374" t="s">
        <v>282</v>
      </c>
      <c r="C25" s="396">
        <v>0.05882</v>
      </c>
      <c r="D25" s="397">
        <f>IFERROR(__xludf.DUMMYFUNCTION("GOOGLEFINANCE(B25)/(INDEX(GOOGLEFINANCE(B25 ,""price"",DATE(2025,1,1)),2,2))-1"),-0.2623661090383922)</f>
        <v>-0.262366109</v>
      </c>
      <c r="E25" s="398">
        <f>IFERROR(__xludf.DUMMYFUNCTION("googlefinance(B25)/(INDEX(GOOGLEFINANCE(B25 ,""price"",DATE(2025,10,1)),2,2))-1"),0.005413385826771533)</f>
        <v>0.005413385827</v>
      </c>
      <c r="F25" s="376"/>
      <c r="G25" s="376"/>
      <c r="H25" s="376"/>
      <c r="I25" s="376"/>
      <c r="J25" s="376"/>
      <c r="K25" s="402"/>
      <c r="L25" s="401"/>
      <c r="M25" s="376"/>
      <c r="N25" s="376"/>
      <c r="O25" s="376"/>
      <c r="P25" s="376"/>
      <c r="Q25" s="376"/>
      <c r="R25" s="376"/>
      <c r="S25" s="376"/>
      <c r="T25" s="376"/>
      <c r="U25" s="376"/>
      <c r="V25" s="376"/>
      <c r="W25" s="376"/>
      <c r="X25" s="376"/>
      <c r="Y25" s="376"/>
      <c r="Z25" s="376"/>
    </row>
    <row r="26">
      <c r="A26" s="376"/>
      <c r="B26" s="376"/>
      <c r="C26" s="376"/>
      <c r="D26" s="376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  <c r="R26" s="376"/>
      <c r="S26" s="376"/>
      <c r="T26" s="376"/>
      <c r="U26" s="376"/>
      <c r="V26" s="376"/>
      <c r="W26" s="376"/>
      <c r="X26" s="376"/>
      <c r="Y26" s="376"/>
      <c r="Z26" s="376"/>
    </row>
    <row r="27">
      <c r="A27" s="376"/>
      <c r="B27" s="376"/>
      <c r="C27" s="376"/>
      <c r="D27" s="376"/>
      <c r="E27" s="376"/>
      <c r="F27" s="376"/>
      <c r="G27" s="376"/>
      <c r="H27" s="376"/>
      <c r="I27" s="376"/>
      <c r="J27" s="376"/>
      <c r="K27" s="376"/>
      <c r="L27" s="376"/>
      <c r="M27" s="376"/>
      <c r="N27" s="376"/>
      <c r="O27" s="376"/>
      <c r="P27" s="376"/>
      <c r="Q27" s="376"/>
      <c r="R27" s="376"/>
      <c r="S27" s="376"/>
      <c r="T27" s="376"/>
      <c r="U27" s="376"/>
      <c r="V27" s="376"/>
      <c r="W27" s="376"/>
      <c r="X27" s="376"/>
      <c r="Y27" s="376"/>
      <c r="Z27" s="376"/>
    </row>
    <row r="28">
      <c r="A28" s="376"/>
      <c r="B28" s="376"/>
      <c r="C28" s="376"/>
      <c r="D28" s="376"/>
      <c r="E28" s="376"/>
      <c r="F28" s="376"/>
      <c r="G28" s="376"/>
      <c r="H28" s="376"/>
      <c r="I28" s="376"/>
      <c r="J28" s="376"/>
      <c r="K28" s="376"/>
      <c r="L28" s="376"/>
      <c r="M28" s="376"/>
      <c r="N28" s="376"/>
      <c r="O28" s="376"/>
      <c r="P28" s="376"/>
      <c r="Q28" s="376"/>
      <c r="R28" s="376"/>
      <c r="S28" s="376"/>
      <c r="T28" s="376"/>
      <c r="U28" s="376"/>
      <c r="V28" s="376"/>
      <c r="W28" s="376"/>
      <c r="X28" s="376"/>
      <c r="Y28" s="376"/>
      <c r="Z28" s="376"/>
    </row>
    <row r="29">
      <c r="A29" s="376"/>
      <c r="B29" s="376"/>
      <c r="C29" s="376"/>
      <c r="D29" s="376"/>
      <c r="E29" s="376"/>
      <c r="F29" s="376"/>
      <c r="G29" s="376"/>
      <c r="H29" s="376"/>
      <c r="I29" s="376"/>
      <c r="J29" s="376"/>
      <c r="K29" s="376"/>
      <c r="L29" s="376"/>
      <c r="M29" s="376"/>
      <c r="N29" s="376"/>
      <c r="O29" s="376"/>
      <c r="P29" s="376"/>
      <c r="Q29" s="376"/>
      <c r="R29" s="376"/>
      <c r="S29" s="376"/>
      <c r="T29" s="376"/>
      <c r="U29" s="376"/>
      <c r="V29" s="376"/>
      <c r="W29" s="376"/>
      <c r="X29" s="376"/>
      <c r="Y29" s="376"/>
      <c r="Z29" s="376"/>
    </row>
    <row r="30">
      <c r="A30" s="376"/>
      <c r="B30" s="376"/>
      <c r="C30" s="376"/>
      <c r="D30" s="376"/>
      <c r="E30" s="376"/>
      <c r="F30" s="376"/>
      <c r="G30" s="376"/>
      <c r="H30" s="376"/>
      <c r="I30" s="376"/>
      <c r="J30" s="376"/>
      <c r="K30" s="376"/>
      <c r="L30" s="376"/>
      <c r="M30" s="376"/>
      <c r="N30" s="376"/>
      <c r="O30" s="376"/>
      <c r="P30" s="376"/>
      <c r="Q30" s="376"/>
      <c r="R30" s="376"/>
      <c r="S30" s="376"/>
      <c r="T30" s="376"/>
      <c r="U30" s="376"/>
      <c r="V30" s="376"/>
      <c r="W30" s="376"/>
      <c r="X30" s="376"/>
      <c r="Y30" s="376"/>
      <c r="Z30" s="376"/>
    </row>
    <row r="31">
      <c r="A31" s="376"/>
      <c r="B31" s="376"/>
      <c r="C31" s="376"/>
      <c r="D31" s="376"/>
      <c r="E31" s="376"/>
      <c r="F31" s="376"/>
      <c r="G31" s="376"/>
      <c r="H31" s="376"/>
      <c r="I31" s="376"/>
      <c r="J31" s="376"/>
      <c r="K31" s="376"/>
      <c r="L31" s="376"/>
      <c r="M31" s="376"/>
      <c r="N31" s="376"/>
      <c r="O31" s="376"/>
      <c r="P31" s="376"/>
      <c r="Q31" s="376"/>
      <c r="R31" s="376"/>
      <c r="S31" s="376"/>
      <c r="T31" s="376"/>
      <c r="U31" s="376"/>
      <c r="V31" s="376"/>
      <c r="W31" s="376"/>
      <c r="X31" s="376"/>
      <c r="Y31" s="376"/>
      <c r="Z31" s="376"/>
    </row>
    <row r="32">
      <c r="A32" s="376"/>
      <c r="B32" s="376"/>
      <c r="C32" s="376"/>
      <c r="D32" s="376"/>
      <c r="E32" s="376"/>
      <c r="F32" s="376"/>
      <c r="G32" s="376"/>
      <c r="H32" s="376"/>
      <c r="I32" s="376"/>
      <c r="J32" s="376"/>
      <c r="K32" s="376"/>
      <c r="L32" s="376"/>
      <c r="M32" s="376"/>
      <c r="N32" s="376"/>
      <c r="O32" s="376"/>
      <c r="P32" s="376"/>
      <c r="Q32" s="376"/>
      <c r="R32" s="376"/>
      <c r="S32" s="376"/>
      <c r="T32" s="376"/>
      <c r="U32" s="376"/>
      <c r="V32" s="376"/>
      <c r="W32" s="376"/>
      <c r="X32" s="376"/>
      <c r="Y32" s="376"/>
      <c r="Z32" s="376"/>
    </row>
    <row r="33">
      <c r="A33" s="376"/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6"/>
      <c r="Q33" s="376"/>
      <c r="R33" s="376"/>
      <c r="S33" s="376"/>
      <c r="T33" s="376"/>
      <c r="U33" s="376"/>
      <c r="V33" s="376"/>
      <c r="W33" s="376"/>
      <c r="X33" s="376"/>
      <c r="Y33" s="376"/>
      <c r="Z33" s="376"/>
    </row>
    <row r="34">
      <c r="A34" s="376"/>
      <c r="B34" s="376"/>
      <c r="C34" s="376"/>
      <c r="D34" s="376"/>
      <c r="E34" s="376"/>
      <c r="F34" s="376"/>
      <c r="G34" s="376"/>
      <c r="H34" s="376"/>
      <c r="I34" s="376"/>
      <c r="J34" s="376"/>
      <c r="K34" s="376"/>
      <c r="L34" s="376"/>
      <c r="M34" s="376"/>
      <c r="N34" s="376"/>
      <c r="O34" s="376"/>
      <c r="P34" s="376"/>
      <c r="Q34" s="376"/>
      <c r="R34" s="376"/>
      <c r="S34" s="376"/>
      <c r="T34" s="376"/>
      <c r="U34" s="376"/>
      <c r="V34" s="376"/>
      <c r="W34" s="376"/>
      <c r="X34" s="376"/>
      <c r="Y34" s="376"/>
      <c r="Z34" s="376"/>
    </row>
    <row r="35">
      <c r="A35" s="376"/>
      <c r="B35" s="376"/>
      <c r="C35" s="376"/>
      <c r="D35" s="376"/>
      <c r="E35" s="376"/>
      <c r="F35" s="376"/>
      <c r="G35" s="376"/>
      <c r="H35" s="376"/>
      <c r="I35" s="376"/>
      <c r="J35" s="376"/>
      <c r="K35" s="376"/>
      <c r="L35" s="376"/>
      <c r="M35" s="376"/>
      <c r="N35" s="376"/>
      <c r="O35" s="376"/>
      <c r="P35" s="376"/>
      <c r="Q35" s="376"/>
      <c r="R35" s="376"/>
      <c r="S35" s="376"/>
      <c r="T35" s="376"/>
      <c r="U35" s="376"/>
      <c r="V35" s="376"/>
      <c r="W35" s="376"/>
      <c r="X35" s="376"/>
      <c r="Y35" s="376"/>
      <c r="Z35" s="376"/>
    </row>
    <row r="36">
      <c r="A36" s="376"/>
      <c r="B36" s="376"/>
      <c r="C36" s="376"/>
      <c r="D36" s="376"/>
      <c r="E36" s="376"/>
      <c r="F36" s="376"/>
      <c r="G36" s="376"/>
      <c r="H36" s="376"/>
      <c r="I36" s="376"/>
      <c r="J36" s="376"/>
      <c r="K36" s="376"/>
      <c r="L36" s="376"/>
      <c r="M36" s="376"/>
      <c r="N36" s="376"/>
      <c r="O36" s="376"/>
      <c r="P36" s="376"/>
      <c r="Q36" s="376"/>
      <c r="R36" s="376"/>
      <c r="S36" s="376"/>
      <c r="T36" s="376"/>
      <c r="U36" s="376"/>
      <c r="V36" s="376"/>
      <c r="W36" s="376"/>
      <c r="X36" s="376"/>
      <c r="Y36" s="376"/>
      <c r="Z36" s="376"/>
    </row>
    <row r="37">
      <c r="A37" s="376"/>
      <c r="B37" s="376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</row>
    <row r="38">
      <c r="A38" s="376"/>
      <c r="B38" s="376"/>
      <c r="C38" s="376"/>
      <c r="D38" s="376"/>
      <c r="E38" s="376"/>
      <c r="F38" s="376"/>
      <c r="G38" s="376"/>
      <c r="H38" s="376"/>
      <c r="I38" s="376"/>
      <c r="J38" s="376"/>
      <c r="K38" s="376"/>
      <c r="L38" s="376"/>
      <c r="M38" s="376"/>
      <c r="N38" s="376"/>
      <c r="O38" s="376"/>
      <c r="P38" s="376"/>
      <c r="Q38" s="376"/>
      <c r="R38" s="376"/>
      <c r="S38" s="376"/>
      <c r="T38" s="376"/>
      <c r="U38" s="376"/>
      <c r="V38" s="376"/>
      <c r="W38" s="376"/>
      <c r="X38" s="376"/>
      <c r="Y38" s="376"/>
      <c r="Z38" s="376"/>
    </row>
    <row r="39">
      <c r="A39" s="376"/>
      <c r="B39" s="376"/>
      <c r="C39" s="376"/>
      <c r="D39" s="376"/>
      <c r="E39" s="376"/>
      <c r="F39" s="376"/>
      <c r="G39" s="376"/>
      <c r="H39" s="376"/>
      <c r="I39" s="376"/>
      <c r="J39" s="376"/>
      <c r="K39" s="376"/>
      <c r="L39" s="376"/>
      <c r="M39" s="376"/>
      <c r="N39" s="376"/>
      <c r="O39" s="376"/>
      <c r="P39" s="376"/>
      <c r="Q39" s="376"/>
      <c r="R39" s="376"/>
      <c r="S39" s="376"/>
      <c r="T39" s="376"/>
      <c r="U39" s="376"/>
      <c r="V39" s="376"/>
      <c r="W39" s="376"/>
      <c r="X39" s="376"/>
      <c r="Y39" s="376"/>
      <c r="Z39" s="376"/>
    </row>
    <row r="40">
      <c r="A40" s="376"/>
      <c r="B40" s="376"/>
      <c r="C40" s="376"/>
      <c r="D40" s="376"/>
      <c r="E40" s="376"/>
      <c r="F40" s="376"/>
      <c r="G40" s="376"/>
      <c r="H40" s="376"/>
      <c r="I40" s="376"/>
      <c r="J40" s="376"/>
      <c r="K40" s="376"/>
      <c r="L40" s="376"/>
      <c r="M40" s="376"/>
      <c r="N40" s="376"/>
      <c r="O40" s="376"/>
      <c r="P40" s="376"/>
      <c r="Q40" s="376"/>
      <c r="R40" s="376"/>
      <c r="S40" s="376"/>
      <c r="T40" s="376"/>
      <c r="U40" s="376"/>
      <c r="V40" s="376"/>
      <c r="W40" s="376"/>
      <c r="X40" s="376"/>
      <c r="Y40" s="376"/>
      <c r="Z40" s="376"/>
    </row>
    <row r="41">
      <c r="A41" s="376"/>
      <c r="B41" s="376"/>
      <c r="C41" s="376"/>
      <c r="D41" s="376"/>
      <c r="E41" s="376"/>
      <c r="F41" s="376"/>
      <c r="G41" s="376"/>
      <c r="H41" s="376"/>
      <c r="I41" s="376"/>
      <c r="J41" s="376"/>
      <c r="K41" s="376"/>
      <c r="L41" s="376"/>
      <c r="M41" s="376"/>
      <c r="N41" s="376"/>
      <c r="O41" s="376"/>
      <c r="P41" s="376"/>
      <c r="Q41" s="376"/>
      <c r="R41" s="376"/>
      <c r="S41" s="376"/>
      <c r="T41" s="376"/>
      <c r="U41" s="376"/>
      <c r="V41" s="376"/>
      <c r="W41" s="376"/>
      <c r="X41" s="376"/>
      <c r="Y41" s="376"/>
      <c r="Z41" s="376"/>
    </row>
    <row r="42">
      <c r="A42" s="376"/>
      <c r="B42" s="376"/>
      <c r="C42" s="376"/>
      <c r="D42" s="376"/>
      <c r="E42" s="376"/>
      <c r="F42" s="376"/>
      <c r="G42" s="376"/>
      <c r="H42" s="376"/>
      <c r="I42" s="376"/>
      <c r="J42" s="376"/>
      <c r="K42" s="376"/>
      <c r="L42" s="376"/>
      <c r="M42" s="376"/>
      <c r="N42" s="376"/>
      <c r="O42" s="376"/>
      <c r="P42" s="376"/>
      <c r="Q42" s="376"/>
      <c r="R42" s="376"/>
      <c r="S42" s="376"/>
      <c r="T42" s="376"/>
      <c r="U42" s="376"/>
      <c r="V42" s="376"/>
      <c r="W42" s="376"/>
      <c r="X42" s="376"/>
      <c r="Y42" s="376"/>
      <c r="Z42" s="376"/>
    </row>
    <row r="43">
      <c r="A43" s="376"/>
      <c r="B43" s="376"/>
      <c r="C43" s="376"/>
      <c r="D43" s="376"/>
      <c r="E43" s="376"/>
      <c r="F43" s="376"/>
      <c r="G43" s="376"/>
      <c r="H43" s="376"/>
      <c r="I43" s="376"/>
      <c r="J43" s="376"/>
      <c r="K43" s="376"/>
      <c r="L43" s="376"/>
      <c r="M43" s="376"/>
      <c r="N43" s="376"/>
      <c r="O43" s="376"/>
      <c r="P43" s="376"/>
      <c r="Q43" s="376"/>
      <c r="R43" s="376"/>
      <c r="S43" s="376"/>
      <c r="T43" s="376"/>
      <c r="U43" s="376"/>
      <c r="V43" s="376"/>
      <c r="W43" s="376"/>
      <c r="X43" s="376"/>
      <c r="Y43" s="376"/>
      <c r="Z43" s="376"/>
    </row>
    <row r="44">
      <c r="A44" s="376"/>
      <c r="B44" s="376"/>
      <c r="C44" s="376"/>
      <c r="D44" s="376"/>
      <c r="E44" s="376"/>
      <c r="F44" s="376"/>
      <c r="G44" s="376"/>
      <c r="H44" s="376"/>
      <c r="I44" s="376"/>
      <c r="J44" s="376"/>
      <c r="K44" s="376"/>
      <c r="L44" s="376"/>
      <c r="M44" s="376"/>
      <c r="N44" s="376"/>
      <c r="O44" s="376"/>
      <c r="P44" s="376"/>
      <c r="Q44" s="376"/>
      <c r="R44" s="376"/>
      <c r="S44" s="376"/>
      <c r="T44" s="376"/>
      <c r="U44" s="376"/>
      <c r="V44" s="376"/>
      <c r="W44" s="376"/>
      <c r="X44" s="376"/>
      <c r="Y44" s="376"/>
      <c r="Z44" s="376"/>
    </row>
    <row r="45">
      <c r="A45" s="376"/>
      <c r="B45" s="376"/>
      <c r="C45" s="376"/>
      <c r="D45" s="376"/>
      <c r="E45" s="376"/>
      <c r="F45" s="376"/>
      <c r="G45" s="376"/>
      <c r="H45" s="376"/>
      <c r="I45" s="376"/>
      <c r="J45" s="376"/>
      <c r="K45" s="376"/>
      <c r="L45" s="376"/>
      <c r="M45" s="376"/>
      <c r="N45" s="376"/>
      <c r="O45" s="376"/>
      <c r="P45" s="376"/>
      <c r="Q45" s="376"/>
      <c r="R45" s="376"/>
      <c r="S45" s="376"/>
      <c r="T45" s="376"/>
      <c r="U45" s="376"/>
      <c r="V45" s="376"/>
      <c r="W45" s="376"/>
      <c r="X45" s="376"/>
      <c r="Y45" s="376"/>
      <c r="Z45" s="376"/>
    </row>
    <row r="46">
      <c r="A46" s="376"/>
      <c r="B46" s="376"/>
      <c r="C46" s="376"/>
      <c r="D46" s="376"/>
      <c r="E46" s="376"/>
      <c r="F46" s="376"/>
      <c r="G46" s="376"/>
      <c r="H46" s="376"/>
      <c r="I46" s="376"/>
      <c r="J46" s="376"/>
      <c r="K46" s="376"/>
      <c r="L46" s="376"/>
      <c r="M46" s="376"/>
      <c r="N46" s="376"/>
      <c r="O46" s="376"/>
      <c r="P46" s="376"/>
      <c r="Q46" s="376"/>
      <c r="R46" s="376"/>
      <c r="S46" s="376"/>
      <c r="T46" s="376"/>
      <c r="U46" s="376"/>
      <c r="V46" s="376"/>
      <c r="W46" s="376"/>
      <c r="X46" s="376"/>
      <c r="Y46" s="376"/>
      <c r="Z46" s="376"/>
    </row>
    <row r="47">
      <c r="A47" s="376"/>
      <c r="B47" s="376"/>
      <c r="C47" s="376"/>
      <c r="D47" s="376"/>
      <c r="E47" s="376"/>
      <c r="F47" s="376"/>
      <c r="G47" s="376"/>
      <c r="H47" s="376"/>
      <c r="I47" s="376"/>
      <c r="J47" s="376"/>
      <c r="K47" s="376"/>
      <c r="L47" s="376"/>
      <c r="M47" s="376"/>
      <c r="N47" s="376"/>
      <c r="O47" s="376"/>
      <c r="P47" s="376"/>
      <c r="Q47" s="376"/>
      <c r="R47" s="376"/>
      <c r="S47" s="376"/>
      <c r="T47" s="376"/>
      <c r="U47" s="376"/>
      <c r="V47" s="376"/>
      <c r="W47" s="376"/>
      <c r="X47" s="376"/>
      <c r="Y47" s="376"/>
      <c r="Z47" s="376"/>
    </row>
    <row r="48">
      <c r="A48" s="376"/>
      <c r="B48" s="376"/>
      <c r="C48" s="376"/>
      <c r="D48" s="376"/>
      <c r="E48" s="376"/>
      <c r="F48" s="376"/>
      <c r="G48" s="376"/>
      <c r="H48" s="376"/>
      <c r="I48" s="376"/>
      <c r="J48" s="376"/>
      <c r="K48" s="376"/>
      <c r="L48" s="376"/>
      <c r="M48" s="376"/>
      <c r="N48" s="376"/>
      <c r="O48" s="376"/>
      <c r="P48" s="376"/>
      <c r="Q48" s="376"/>
      <c r="R48" s="376"/>
      <c r="S48" s="376"/>
      <c r="T48" s="376"/>
      <c r="U48" s="376"/>
      <c r="V48" s="376"/>
      <c r="W48" s="376"/>
      <c r="X48" s="376"/>
      <c r="Y48" s="376"/>
      <c r="Z48" s="376"/>
    </row>
    <row r="49">
      <c r="A49" s="376"/>
      <c r="B49" s="376"/>
      <c r="C49" s="376"/>
      <c r="D49" s="376"/>
      <c r="E49" s="376"/>
      <c r="F49" s="376"/>
      <c r="G49" s="376"/>
      <c r="H49" s="376"/>
      <c r="I49" s="376"/>
      <c r="J49" s="376"/>
      <c r="K49" s="376"/>
      <c r="L49" s="376"/>
      <c r="M49" s="376"/>
      <c r="N49" s="376"/>
      <c r="O49" s="376"/>
      <c r="P49" s="376"/>
      <c r="Q49" s="376"/>
      <c r="R49" s="376"/>
      <c r="S49" s="376"/>
      <c r="T49" s="376"/>
      <c r="U49" s="376"/>
      <c r="V49" s="376"/>
      <c r="W49" s="376"/>
      <c r="X49" s="376"/>
      <c r="Y49" s="376"/>
      <c r="Z49" s="376"/>
    </row>
    <row r="50">
      <c r="A50" s="376"/>
      <c r="B50" s="376"/>
      <c r="C50" s="376"/>
      <c r="D50" s="376"/>
      <c r="E50" s="376"/>
      <c r="F50" s="376"/>
      <c r="G50" s="376"/>
      <c r="H50" s="376"/>
      <c r="I50" s="376"/>
      <c r="J50" s="376"/>
      <c r="K50" s="376"/>
      <c r="L50" s="376"/>
      <c r="M50" s="376"/>
      <c r="N50" s="376"/>
      <c r="O50" s="376"/>
      <c r="P50" s="376"/>
      <c r="Q50" s="376"/>
      <c r="R50" s="376"/>
      <c r="S50" s="376"/>
      <c r="T50" s="376"/>
      <c r="U50" s="376"/>
      <c r="V50" s="376"/>
      <c r="W50" s="376"/>
      <c r="X50" s="376"/>
      <c r="Y50" s="376"/>
      <c r="Z50" s="376"/>
    </row>
    <row r="51">
      <c r="A51" s="376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</row>
    <row r="52">
      <c r="A52" s="376"/>
      <c r="B52" s="376"/>
      <c r="C52" s="376"/>
      <c r="D52" s="376"/>
      <c r="E52" s="376"/>
      <c r="F52" s="376"/>
      <c r="G52" s="376"/>
      <c r="H52" s="376"/>
      <c r="I52" s="376"/>
      <c r="J52" s="376"/>
      <c r="K52" s="376"/>
      <c r="L52" s="376"/>
      <c r="M52" s="376"/>
      <c r="N52" s="376"/>
      <c r="O52" s="376"/>
      <c r="P52" s="376"/>
      <c r="Q52" s="376"/>
      <c r="R52" s="376"/>
      <c r="S52" s="376"/>
      <c r="T52" s="376"/>
      <c r="U52" s="376"/>
      <c r="V52" s="376"/>
      <c r="W52" s="376"/>
      <c r="X52" s="376"/>
      <c r="Y52" s="376"/>
      <c r="Z52" s="376"/>
    </row>
    <row r="53">
      <c r="A53" s="376"/>
      <c r="B53" s="376"/>
      <c r="C53" s="376"/>
      <c r="D53" s="376"/>
      <c r="E53" s="376"/>
      <c r="F53" s="376"/>
      <c r="G53" s="376"/>
      <c r="H53" s="376"/>
      <c r="I53" s="376"/>
      <c r="J53" s="376"/>
      <c r="K53" s="376"/>
      <c r="L53" s="376"/>
      <c r="M53" s="376"/>
      <c r="N53" s="376"/>
      <c r="O53" s="376"/>
      <c r="P53" s="376"/>
      <c r="Q53" s="376"/>
      <c r="R53" s="376"/>
      <c r="S53" s="376"/>
      <c r="T53" s="376"/>
      <c r="U53" s="376"/>
      <c r="V53" s="376"/>
      <c r="W53" s="376"/>
      <c r="X53" s="376"/>
      <c r="Y53" s="376"/>
      <c r="Z53" s="376"/>
    </row>
    <row r="54">
      <c r="A54" s="376"/>
      <c r="B54" s="376"/>
      <c r="C54" s="376"/>
      <c r="D54" s="376"/>
      <c r="E54" s="376"/>
      <c r="F54" s="376"/>
      <c r="G54" s="376"/>
      <c r="H54" s="376"/>
      <c r="I54" s="376"/>
      <c r="J54" s="376"/>
      <c r="K54" s="376"/>
      <c r="L54" s="376"/>
      <c r="M54" s="376"/>
      <c r="N54" s="376"/>
      <c r="O54" s="376"/>
      <c r="P54" s="376"/>
      <c r="Q54" s="376"/>
      <c r="R54" s="376"/>
      <c r="S54" s="376"/>
      <c r="T54" s="376"/>
      <c r="U54" s="376"/>
      <c r="V54" s="376"/>
      <c r="W54" s="376"/>
      <c r="X54" s="376"/>
      <c r="Y54" s="376"/>
      <c r="Z54" s="376"/>
    </row>
    <row r="55">
      <c r="A55" s="376"/>
      <c r="B55" s="376"/>
      <c r="C55" s="376"/>
      <c r="D55" s="376"/>
      <c r="E55" s="376"/>
      <c r="F55" s="376"/>
      <c r="G55" s="376"/>
      <c r="H55" s="376"/>
      <c r="I55" s="376"/>
      <c r="J55" s="376"/>
      <c r="K55" s="376"/>
      <c r="L55" s="376"/>
      <c r="M55" s="376"/>
      <c r="N55" s="376"/>
      <c r="O55" s="376"/>
      <c r="P55" s="376"/>
      <c r="Q55" s="376"/>
      <c r="R55" s="376"/>
      <c r="S55" s="376"/>
      <c r="T55" s="376"/>
      <c r="U55" s="376"/>
      <c r="V55" s="376"/>
      <c r="W55" s="376"/>
      <c r="X55" s="376"/>
      <c r="Y55" s="376"/>
      <c r="Z55" s="376"/>
    </row>
    <row r="56">
      <c r="A56" s="376"/>
      <c r="B56" s="376"/>
      <c r="C56" s="376"/>
      <c r="D56" s="376"/>
      <c r="E56" s="376"/>
      <c r="F56" s="376"/>
      <c r="G56" s="376"/>
      <c r="H56" s="376"/>
      <c r="I56" s="376"/>
      <c r="J56" s="376"/>
      <c r="K56" s="376"/>
      <c r="L56" s="376"/>
      <c r="M56" s="376"/>
      <c r="N56" s="376"/>
      <c r="O56" s="376"/>
      <c r="P56" s="376"/>
      <c r="Q56" s="376"/>
      <c r="R56" s="376"/>
      <c r="S56" s="376"/>
      <c r="T56" s="376"/>
      <c r="U56" s="376"/>
      <c r="V56" s="376"/>
      <c r="W56" s="376"/>
      <c r="X56" s="376"/>
      <c r="Y56" s="376"/>
      <c r="Z56" s="376"/>
    </row>
    <row r="57">
      <c r="A57" s="376"/>
      <c r="B57" s="376"/>
      <c r="C57" s="376"/>
      <c r="D57" s="376"/>
      <c r="E57" s="376"/>
      <c r="F57" s="376"/>
      <c r="G57" s="376"/>
      <c r="H57" s="376"/>
      <c r="I57" s="376"/>
      <c r="J57" s="376"/>
      <c r="K57" s="376"/>
      <c r="L57" s="376"/>
      <c r="M57" s="376"/>
      <c r="N57" s="376"/>
      <c r="O57" s="376"/>
      <c r="P57" s="376"/>
      <c r="Q57" s="376"/>
      <c r="R57" s="376"/>
      <c r="S57" s="376"/>
      <c r="T57" s="376"/>
      <c r="U57" s="376"/>
      <c r="V57" s="376"/>
      <c r="W57" s="376"/>
      <c r="X57" s="376"/>
      <c r="Y57" s="376"/>
      <c r="Z57" s="376"/>
    </row>
    <row r="58">
      <c r="A58" s="376"/>
      <c r="B58" s="376"/>
      <c r="C58" s="376"/>
      <c r="D58" s="376"/>
      <c r="E58" s="376"/>
      <c r="F58" s="376"/>
      <c r="G58" s="376"/>
      <c r="H58" s="376"/>
      <c r="I58" s="376"/>
      <c r="J58" s="376"/>
      <c r="K58" s="376"/>
      <c r="L58" s="376"/>
      <c r="M58" s="376"/>
      <c r="N58" s="376"/>
      <c r="O58" s="376"/>
      <c r="P58" s="376"/>
      <c r="Q58" s="376"/>
      <c r="R58" s="376"/>
      <c r="S58" s="376"/>
      <c r="T58" s="376"/>
      <c r="U58" s="376"/>
      <c r="V58" s="376"/>
      <c r="W58" s="376"/>
      <c r="X58" s="376"/>
      <c r="Y58" s="376"/>
      <c r="Z58" s="376"/>
    </row>
    <row r="59">
      <c r="A59" s="376"/>
      <c r="B59" s="376"/>
      <c r="C59" s="376"/>
      <c r="D59" s="376"/>
      <c r="E59" s="376"/>
      <c r="F59" s="376"/>
      <c r="G59" s="376"/>
      <c r="H59" s="376"/>
      <c r="I59" s="376"/>
      <c r="J59" s="376"/>
      <c r="K59" s="376"/>
      <c r="L59" s="376"/>
      <c r="M59" s="376"/>
      <c r="N59" s="376"/>
      <c r="O59" s="376"/>
      <c r="P59" s="376"/>
      <c r="Q59" s="376"/>
      <c r="R59" s="376"/>
      <c r="S59" s="376"/>
      <c r="T59" s="376"/>
      <c r="U59" s="376"/>
      <c r="V59" s="376"/>
      <c r="W59" s="376"/>
      <c r="X59" s="376"/>
      <c r="Y59" s="376"/>
      <c r="Z59" s="376"/>
    </row>
    <row r="60">
      <c r="A60" s="376"/>
      <c r="B60" s="376"/>
      <c r="C60" s="376"/>
      <c r="D60" s="376"/>
      <c r="E60" s="376"/>
      <c r="F60" s="376"/>
      <c r="G60" s="376"/>
      <c r="H60" s="376"/>
      <c r="I60" s="376"/>
      <c r="J60" s="376"/>
      <c r="K60" s="376"/>
      <c r="L60" s="376"/>
      <c r="M60" s="376"/>
      <c r="N60" s="376"/>
      <c r="O60" s="376"/>
      <c r="P60" s="376"/>
      <c r="Q60" s="376"/>
      <c r="R60" s="376"/>
      <c r="S60" s="376"/>
      <c r="T60" s="376"/>
      <c r="U60" s="376"/>
      <c r="V60" s="376"/>
      <c r="W60" s="376"/>
      <c r="X60" s="376"/>
      <c r="Y60" s="376"/>
      <c r="Z60" s="376"/>
    </row>
    <row r="61">
      <c r="A61" s="376"/>
      <c r="B61" s="376"/>
      <c r="C61" s="376"/>
      <c r="D61" s="376"/>
      <c r="E61" s="376"/>
      <c r="F61" s="376"/>
      <c r="G61" s="376"/>
      <c r="H61" s="376"/>
      <c r="I61" s="376"/>
      <c r="J61" s="376"/>
      <c r="K61" s="376"/>
      <c r="L61" s="376"/>
      <c r="M61" s="376"/>
      <c r="N61" s="376"/>
      <c r="O61" s="376"/>
      <c r="P61" s="376"/>
      <c r="Q61" s="376"/>
      <c r="R61" s="376"/>
      <c r="S61" s="376"/>
      <c r="T61" s="376"/>
      <c r="U61" s="376"/>
      <c r="V61" s="376"/>
      <c r="W61" s="376"/>
      <c r="X61" s="376"/>
      <c r="Y61" s="376"/>
      <c r="Z61" s="376"/>
    </row>
    <row r="62">
      <c r="A62" s="376"/>
      <c r="B62" s="376"/>
      <c r="C62" s="376"/>
      <c r="D62" s="376"/>
      <c r="E62" s="376"/>
      <c r="F62" s="376"/>
      <c r="G62" s="376"/>
      <c r="H62" s="376"/>
      <c r="I62" s="376"/>
      <c r="J62" s="376"/>
      <c r="K62" s="376"/>
      <c r="L62" s="376"/>
      <c r="M62" s="376"/>
      <c r="N62" s="376"/>
      <c r="O62" s="376"/>
      <c r="P62" s="376"/>
      <c r="Q62" s="376"/>
      <c r="R62" s="376"/>
      <c r="S62" s="376"/>
      <c r="T62" s="376"/>
      <c r="U62" s="376"/>
      <c r="V62" s="376"/>
      <c r="W62" s="376"/>
      <c r="X62" s="376"/>
      <c r="Y62" s="376"/>
      <c r="Z62" s="376"/>
    </row>
    <row r="63">
      <c r="A63" s="376"/>
      <c r="B63" s="376"/>
      <c r="C63" s="376"/>
      <c r="D63" s="376"/>
      <c r="E63" s="376"/>
      <c r="F63" s="376"/>
      <c r="G63" s="376"/>
      <c r="H63" s="376"/>
      <c r="I63" s="376"/>
      <c r="J63" s="376"/>
      <c r="K63" s="376"/>
      <c r="L63" s="376"/>
      <c r="M63" s="376"/>
      <c r="N63" s="376"/>
      <c r="O63" s="376"/>
      <c r="P63" s="376"/>
      <c r="Q63" s="376"/>
      <c r="R63" s="376"/>
      <c r="S63" s="376"/>
      <c r="T63" s="376"/>
      <c r="U63" s="376"/>
      <c r="V63" s="376"/>
      <c r="W63" s="376"/>
      <c r="X63" s="376"/>
      <c r="Y63" s="376"/>
      <c r="Z63" s="376"/>
    </row>
    <row r="64">
      <c r="A64" s="376"/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6"/>
      <c r="Q64" s="376"/>
      <c r="R64" s="376"/>
      <c r="S64" s="376"/>
      <c r="T64" s="376"/>
      <c r="U64" s="376"/>
      <c r="V64" s="376"/>
      <c r="W64" s="376"/>
      <c r="X64" s="376"/>
      <c r="Y64" s="376"/>
      <c r="Z64" s="376"/>
    </row>
    <row r="65">
      <c r="A65" s="376"/>
      <c r="B65" s="376"/>
      <c r="C65" s="376"/>
      <c r="D65" s="376"/>
      <c r="E65" s="376"/>
      <c r="F65" s="376"/>
      <c r="G65" s="376"/>
      <c r="H65" s="376"/>
      <c r="I65" s="376"/>
      <c r="J65" s="376"/>
      <c r="K65" s="376"/>
      <c r="L65" s="376"/>
      <c r="M65" s="376"/>
      <c r="N65" s="376"/>
      <c r="O65" s="376"/>
      <c r="P65" s="376"/>
      <c r="Q65" s="376"/>
      <c r="R65" s="376"/>
      <c r="S65" s="376"/>
      <c r="T65" s="376"/>
      <c r="U65" s="376"/>
      <c r="V65" s="376"/>
      <c r="W65" s="376"/>
      <c r="X65" s="376"/>
      <c r="Y65" s="376"/>
      <c r="Z65" s="376"/>
    </row>
    <row r="66">
      <c r="A66" s="376"/>
      <c r="B66" s="376"/>
      <c r="C66" s="376"/>
      <c r="D66" s="376"/>
      <c r="E66" s="376"/>
      <c r="F66" s="376"/>
      <c r="G66" s="376"/>
      <c r="H66" s="376"/>
      <c r="I66" s="376"/>
      <c r="J66" s="376"/>
      <c r="K66" s="376"/>
      <c r="L66" s="376"/>
      <c r="M66" s="376"/>
      <c r="N66" s="376"/>
      <c r="O66" s="376"/>
      <c r="P66" s="376"/>
      <c r="Q66" s="376"/>
      <c r="R66" s="376"/>
      <c r="S66" s="376"/>
      <c r="T66" s="376"/>
      <c r="U66" s="376"/>
      <c r="V66" s="376"/>
      <c r="W66" s="376"/>
      <c r="X66" s="376"/>
      <c r="Y66" s="376"/>
      <c r="Z66" s="376"/>
    </row>
    <row r="67">
      <c r="A67" s="376"/>
      <c r="B67" s="376"/>
      <c r="C67" s="376"/>
      <c r="D67" s="376"/>
      <c r="E67" s="376"/>
      <c r="F67" s="376"/>
      <c r="G67" s="376"/>
      <c r="H67" s="376"/>
      <c r="I67" s="376"/>
      <c r="J67" s="376"/>
      <c r="K67" s="376"/>
      <c r="L67" s="376"/>
      <c r="M67" s="376"/>
      <c r="N67" s="376"/>
      <c r="O67" s="376"/>
      <c r="P67" s="376"/>
      <c r="Q67" s="376"/>
      <c r="R67" s="376"/>
      <c r="S67" s="376"/>
      <c r="T67" s="376"/>
      <c r="U67" s="376"/>
      <c r="V67" s="376"/>
      <c r="W67" s="376"/>
      <c r="X67" s="376"/>
      <c r="Y67" s="376"/>
      <c r="Z67" s="376"/>
    </row>
    <row r="68">
      <c r="A68" s="376"/>
      <c r="B68" s="376"/>
      <c r="C68" s="376"/>
      <c r="D68" s="376"/>
      <c r="E68" s="376"/>
      <c r="F68" s="376"/>
      <c r="G68" s="376"/>
      <c r="H68" s="376"/>
      <c r="I68" s="376"/>
      <c r="J68" s="376"/>
      <c r="K68" s="376"/>
      <c r="L68" s="376"/>
      <c r="M68" s="376"/>
      <c r="N68" s="376"/>
      <c r="O68" s="376"/>
      <c r="P68" s="376"/>
      <c r="Q68" s="376"/>
      <c r="R68" s="376"/>
      <c r="S68" s="376"/>
      <c r="T68" s="376"/>
      <c r="U68" s="376"/>
      <c r="V68" s="376"/>
      <c r="W68" s="376"/>
      <c r="X68" s="376"/>
      <c r="Y68" s="376"/>
      <c r="Z68" s="376"/>
    </row>
    <row r="69">
      <c r="A69" s="376"/>
      <c r="B69" s="376"/>
      <c r="C69" s="376"/>
      <c r="D69" s="376"/>
      <c r="E69" s="376"/>
      <c r="F69" s="376"/>
      <c r="G69" s="376"/>
      <c r="H69" s="376"/>
      <c r="I69" s="376"/>
      <c r="J69" s="376"/>
      <c r="K69" s="376"/>
      <c r="L69" s="376"/>
      <c r="M69" s="376"/>
      <c r="N69" s="376"/>
      <c r="O69" s="376"/>
      <c r="P69" s="376"/>
      <c r="Q69" s="376"/>
      <c r="R69" s="376"/>
      <c r="S69" s="376"/>
      <c r="T69" s="376"/>
      <c r="U69" s="376"/>
      <c r="V69" s="376"/>
      <c r="W69" s="376"/>
      <c r="X69" s="376"/>
      <c r="Y69" s="376"/>
      <c r="Z69" s="376"/>
    </row>
    <row r="70">
      <c r="A70" s="376"/>
      <c r="B70" s="376"/>
      <c r="C70" s="376"/>
      <c r="D70" s="376"/>
      <c r="E70" s="376"/>
      <c r="F70" s="376"/>
      <c r="G70" s="376"/>
      <c r="H70" s="376"/>
      <c r="I70" s="376"/>
      <c r="J70" s="376"/>
      <c r="K70" s="376"/>
      <c r="L70" s="376"/>
      <c r="M70" s="376"/>
      <c r="N70" s="376"/>
      <c r="O70" s="376"/>
      <c r="P70" s="376"/>
      <c r="Q70" s="376"/>
      <c r="R70" s="376"/>
      <c r="S70" s="376"/>
      <c r="T70" s="376"/>
      <c r="U70" s="376"/>
      <c r="V70" s="376"/>
      <c r="W70" s="376"/>
      <c r="X70" s="376"/>
      <c r="Y70" s="376"/>
      <c r="Z70" s="376"/>
    </row>
    <row r="71">
      <c r="A71" s="376"/>
      <c r="B71" s="376"/>
      <c r="C71" s="376"/>
      <c r="D71" s="376"/>
      <c r="E71" s="376"/>
      <c r="F71" s="376"/>
      <c r="G71" s="376"/>
      <c r="H71" s="376"/>
      <c r="I71" s="376"/>
      <c r="J71" s="376"/>
      <c r="K71" s="376"/>
      <c r="L71" s="376"/>
      <c r="M71" s="376"/>
      <c r="N71" s="376"/>
      <c r="O71" s="376"/>
      <c r="P71" s="376"/>
      <c r="Q71" s="376"/>
      <c r="R71" s="376"/>
      <c r="S71" s="376"/>
      <c r="T71" s="376"/>
      <c r="U71" s="376"/>
      <c r="V71" s="376"/>
      <c r="W71" s="376"/>
      <c r="X71" s="376"/>
      <c r="Y71" s="376"/>
      <c r="Z71" s="376"/>
    </row>
    <row r="72">
      <c r="A72" s="376"/>
      <c r="B72" s="376"/>
      <c r="C72" s="376"/>
      <c r="D72" s="376"/>
      <c r="E72" s="376"/>
      <c r="F72" s="376"/>
      <c r="G72" s="376"/>
      <c r="H72" s="376"/>
      <c r="I72" s="376"/>
      <c r="J72" s="376"/>
      <c r="K72" s="376"/>
      <c r="L72" s="376"/>
      <c r="M72" s="376"/>
      <c r="N72" s="376"/>
      <c r="O72" s="376"/>
      <c r="P72" s="376"/>
      <c r="Q72" s="376"/>
      <c r="R72" s="376"/>
      <c r="S72" s="376"/>
      <c r="T72" s="376"/>
      <c r="U72" s="376"/>
      <c r="V72" s="376"/>
      <c r="W72" s="376"/>
      <c r="X72" s="376"/>
      <c r="Y72" s="376"/>
      <c r="Z72" s="376"/>
    </row>
    <row r="73">
      <c r="A73" s="376"/>
      <c r="B73" s="376"/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6"/>
      <c r="P73" s="376"/>
      <c r="Q73" s="376"/>
      <c r="R73" s="376"/>
      <c r="S73" s="376"/>
      <c r="T73" s="376"/>
      <c r="U73" s="376"/>
      <c r="V73" s="376"/>
      <c r="W73" s="376"/>
      <c r="X73" s="376"/>
      <c r="Y73" s="376"/>
      <c r="Z73" s="376"/>
    </row>
    <row r="74">
      <c r="A74" s="376"/>
      <c r="B74" s="376"/>
      <c r="C74" s="376"/>
      <c r="D74" s="376"/>
      <c r="E74" s="376"/>
      <c r="F74" s="376"/>
      <c r="G74" s="376"/>
      <c r="H74" s="376"/>
      <c r="I74" s="376"/>
      <c r="J74" s="376"/>
      <c r="K74" s="376"/>
      <c r="L74" s="376"/>
      <c r="M74" s="376"/>
      <c r="N74" s="376"/>
      <c r="O74" s="376"/>
      <c r="P74" s="376"/>
      <c r="Q74" s="376"/>
      <c r="R74" s="376"/>
      <c r="S74" s="376"/>
      <c r="T74" s="376"/>
      <c r="U74" s="376"/>
      <c r="V74" s="376"/>
      <c r="W74" s="376"/>
      <c r="X74" s="376"/>
      <c r="Y74" s="376"/>
      <c r="Z74" s="376"/>
    </row>
    <row r="75">
      <c r="A75" s="376"/>
      <c r="B75" s="376"/>
      <c r="C75" s="376"/>
      <c r="D75" s="376"/>
      <c r="E75" s="376"/>
      <c r="F75" s="376"/>
      <c r="G75" s="376"/>
      <c r="H75" s="376"/>
      <c r="I75" s="376"/>
      <c r="J75" s="376"/>
      <c r="K75" s="376"/>
      <c r="L75" s="376"/>
      <c r="M75" s="376"/>
      <c r="N75" s="376"/>
      <c r="O75" s="376"/>
      <c r="P75" s="376"/>
      <c r="Q75" s="376"/>
      <c r="R75" s="376"/>
      <c r="S75" s="376"/>
      <c r="T75" s="376"/>
      <c r="U75" s="376"/>
      <c r="V75" s="376"/>
      <c r="W75" s="376"/>
      <c r="X75" s="376"/>
      <c r="Y75" s="376"/>
      <c r="Z75" s="376"/>
    </row>
    <row r="76">
      <c r="A76" s="376"/>
      <c r="B76" s="376"/>
      <c r="C76" s="376"/>
      <c r="D76" s="376"/>
      <c r="E76" s="376"/>
      <c r="F76" s="376"/>
      <c r="G76" s="376"/>
      <c r="H76" s="376"/>
      <c r="I76" s="376"/>
      <c r="J76" s="376"/>
      <c r="K76" s="376"/>
      <c r="L76" s="376"/>
      <c r="M76" s="376"/>
      <c r="N76" s="376"/>
      <c r="O76" s="376"/>
      <c r="P76" s="376"/>
      <c r="Q76" s="376"/>
      <c r="R76" s="376"/>
      <c r="S76" s="376"/>
      <c r="T76" s="376"/>
      <c r="U76" s="376"/>
      <c r="V76" s="376"/>
      <c r="W76" s="376"/>
      <c r="X76" s="376"/>
      <c r="Y76" s="376"/>
      <c r="Z76" s="376"/>
    </row>
    <row r="77">
      <c r="A77" s="376"/>
      <c r="B77" s="376"/>
      <c r="C77" s="376"/>
      <c r="D77" s="376"/>
      <c r="E77" s="376"/>
      <c r="F77" s="376"/>
      <c r="G77" s="376"/>
      <c r="H77" s="376"/>
      <c r="I77" s="376"/>
      <c r="J77" s="376"/>
      <c r="K77" s="376"/>
      <c r="L77" s="376"/>
      <c r="M77" s="376"/>
      <c r="N77" s="376"/>
      <c r="O77" s="376"/>
      <c r="P77" s="376"/>
      <c r="Q77" s="376"/>
      <c r="R77" s="376"/>
      <c r="S77" s="376"/>
      <c r="T77" s="376"/>
      <c r="U77" s="376"/>
      <c r="V77" s="376"/>
      <c r="W77" s="376"/>
      <c r="X77" s="376"/>
      <c r="Y77" s="376"/>
      <c r="Z77" s="376"/>
    </row>
    <row r="78">
      <c r="A78" s="376"/>
      <c r="B78" s="376"/>
      <c r="C78" s="376"/>
      <c r="D78" s="376"/>
      <c r="E78" s="376"/>
      <c r="F78" s="376"/>
      <c r="G78" s="376"/>
      <c r="H78" s="376"/>
      <c r="I78" s="376"/>
      <c r="J78" s="376"/>
      <c r="K78" s="376"/>
      <c r="L78" s="376"/>
      <c r="M78" s="376"/>
      <c r="N78" s="376"/>
      <c r="O78" s="376"/>
      <c r="P78" s="376"/>
      <c r="Q78" s="376"/>
      <c r="R78" s="376"/>
      <c r="S78" s="376"/>
      <c r="T78" s="376"/>
      <c r="U78" s="376"/>
      <c r="V78" s="376"/>
      <c r="W78" s="376"/>
      <c r="X78" s="376"/>
      <c r="Y78" s="376"/>
      <c r="Z78" s="376"/>
    </row>
    <row r="79">
      <c r="A79" s="376"/>
      <c r="B79" s="376"/>
      <c r="C79" s="376"/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6"/>
      <c r="P79" s="376"/>
      <c r="Q79" s="376"/>
      <c r="R79" s="376"/>
      <c r="S79" s="376"/>
      <c r="T79" s="376"/>
      <c r="U79" s="376"/>
      <c r="V79" s="376"/>
      <c r="W79" s="376"/>
      <c r="X79" s="376"/>
      <c r="Y79" s="376"/>
      <c r="Z79" s="376"/>
    </row>
    <row r="80">
      <c r="A80" s="376"/>
      <c r="B80" s="376"/>
      <c r="C80" s="376"/>
      <c r="D80" s="376"/>
      <c r="E80" s="376"/>
      <c r="F80" s="376"/>
      <c r="G80" s="376"/>
      <c r="H80" s="376"/>
      <c r="I80" s="376"/>
      <c r="J80" s="376"/>
      <c r="K80" s="376"/>
      <c r="L80" s="376"/>
      <c r="M80" s="376"/>
      <c r="N80" s="376"/>
      <c r="O80" s="376"/>
      <c r="P80" s="376"/>
      <c r="Q80" s="376"/>
      <c r="R80" s="376"/>
      <c r="S80" s="376"/>
      <c r="T80" s="376"/>
      <c r="U80" s="376"/>
      <c r="V80" s="376"/>
      <c r="W80" s="376"/>
      <c r="X80" s="376"/>
      <c r="Y80" s="376"/>
      <c r="Z80" s="376"/>
    </row>
    <row r="81">
      <c r="A81" s="376"/>
      <c r="B81" s="376"/>
      <c r="C81" s="376"/>
      <c r="D81" s="376"/>
      <c r="E81" s="376"/>
      <c r="F81" s="376"/>
      <c r="G81" s="376"/>
      <c r="H81" s="376"/>
      <c r="I81" s="376"/>
      <c r="J81" s="376"/>
      <c r="K81" s="376"/>
      <c r="L81" s="376"/>
      <c r="M81" s="376"/>
      <c r="N81" s="376"/>
      <c r="O81" s="376"/>
      <c r="P81" s="376"/>
      <c r="Q81" s="376"/>
      <c r="R81" s="376"/>
      <c r="S81" s="376"/>
      <c r="T81" s="376"/>
      <c r="U81" s="376"/>
      <c r="V81" s="376"/>
      <c r="W81" s="376"/>
      <c r="X81" s="376"/>
      <c r="Y81" s="376"/>
      <c r="Z81" s="376"/>
    </row>
    <row r="82">
      <c r="A82" s="376"/>
      <c r="B82" s="376"/>
      <c r="C82" s="376"/>
      <c r="D82" s="376"/>
      <c r="E82" s="376"/>
      <c r="F82" s="376"/>
      <c r="G82" s="376"/>
      <c r="H82" s="376"/>
      <c r="I82" s="376"/>
      <c r="J82" s="376"/>
      <c r="K82" s="376"/>
      <c r="L82" s="376"/>
      <c r="M82" s="376"/>
      <c r="N82" s="376"/>
      <c r="O82" s="376"/>
      <c r="P82" s="376"/>
      <c r="Q82" s="376"/>
      <c r="R82" s="376"/>
      <c r="S82" s="376"/>
      <c r="T82" s="376"/>
      <c r="U82" s="376"/>
      <c r="V82" s="376"/>
      <c r="W82" s="376"/>
      <c r="X82" s="376"/>
      <c r="Y82" s="376"/>
      <c r="Z82" s="376"/>
    </row>
    <row r="83">
      <c r="A83" s="376"/>
      <c r="B83" s="376"/>
      <c r="C83" s="376"/>
      <c r="D83" s="376"/>
      <c r="E83" s="376"/>
      <c r="F83" s="376"/>
      <c r="G83" s="376"/>
      <c r="H83" s="376"/>
      <c r="I83" s="376"/>
      <c r="J83" s="376"/>
      <c r="K83" s="376"/>
      <c r="L83" s="376"/>
      <c r="M83" s="376"/>
      <c r="N83" s="376"/>
      <c r="O83" s="376"/>
      <c r="P83" s="376"/>
      <c r="Q83" s="376"/>
      <c r="R83" s="376"/>
      <c r="S83" s="376"/>
      <c r="T83" s="376"/>
      <c r="U83" s="376"/>
      <c r="V83" s="376"/>
      <c r="W83" s="376"/>
      <c r="X83" s="376"/>
      <c r="Y83" s="376"/>
      <c r="Z83" s="376"/>
    </row>
    <row r="84">
      <c r="A84" s="376"/>
      <c r="B84" s="376"/>
      <c r="C84" s="376"/>
      <c r="D84" s="376"/>
      <c r="E84" s="376"/>
      <c r="F84" s="376"/>
      <c r="G84" s="376"/>
      <c r="H84" s="376"/>
      <c r="I84" s="376"/>
      <c r="J84" s="376"/>
      <c r="K84" s="376"/>
      <c r="L84" s="376"/>
      <c r="M84" s="376"/>
      <c r="N84" s="376"/>
      <c r="O84" s="376"/>
      <c r="P84" s="376"/>
      <c r="Q84" s="376"/>
      <c r="R84" s="376"/>
      <c r="S84" s="376"/>
      <c r="T84" s="376"/>
      <c r="U84" s="376"/>
      <c r="V84" s="376"/>
      <c r="W84" s="376"/>
      <c r="X84" s="376"/>
      <c r="Y84" s="376"/>
      <c r="Z84" s="376"/>
    </row>
    <row r="85">
      <c r="A85" s="376"/>
      <c r="B85" s="376"/>
      <c r="C85" s="376"/>
      <c r="D85" s="376"/>
      <c r="E85" s="376"/>
      <c r="F85" s="376"/>
      <c r="G85" s="376"/>
      <c r="H85" s="376"/>
      <c r="I85" s="376"/>
      <c r="J85" s="376"/>
      <c r="K85" s="376"/>
      <c r="L85" s="376"/>
      <c r="M85" s="376"/>
      <c r="N85" s="376"/>
      <c r="O85" s="376"/>
      <c r="P85" s="376"/>
      <c r="Q85" s="376"/>
      <c r="R85" s="376"/>
      <c r="S85" s="376"/>
      <c r="T85" s="376"/>
      <c r="U85" s="376"/>
      <c r="V85" s="376"/>
      <c r="W85" s="376"/>
      <c r="X85" s="376"/>
      <c r="Y85" s="376"/>
      <c r="Z85" s="376"/>
    </row>
    <row r="86">
      <c r="A86" s="376"/>
      <c r="B86" s="376"/>
      <c r="C86" s="376"/>
      <c r="D86" s="376"/>
      <c r="E86" s="376"/>
      <c r="F86" s="376"/>
      <c r="G86" s="376"/>
      <c r="H86" s="376"/>
      <c r="I86" s="376"/>
      <c r="J86" s="376"/>
      <c r="K86" s="376"/>
      <c r="L86" s="376"/>
      <c r="M86" s="376"/>
      <c r="N86" s="376"/>
      <c r="O86" s="376"/>
      <c r="P86" s="376"/>
      <c r="Q86" s="376"/>
      <c r="R86" s="376"/>
      <c r="S86" s="376"/>
      <c r="T86" s="376"/>
      <c r="U86" s="376"/>
      <c r="V86" s="376"/>
      <c r="W86" s="376"/>
      <c r="X86" s="376"/>
      <c r="Y86" s="376"/>
      <c r="Z86" s="376"/>
    </row>
    <row r="87">
      <c r="A87" s="376"/>
      <c r="B87" s="376"/>
      <c r="C87" s="376"/>
      <c r="D87" s="376"/>
      <c r="E87" s="376"/>
      <c r="F87" s="376"/>
      <c r="G87" s="376"/>
      <c r="H87" s="376"/>
      <c r="I87" s="376"/>
      <c r="J87" s="376"/>
      <c r="K87" s="376"/>
      <c r="L87" s="376"/>
      <c r="M87" s="376"/>
      <c r="N87" s="376"/>
      <c r="O87" s="376"/>
      <c r="P87" s="376"/>
      <c r="Q87" s="376"/>
      <c r="R87" s="376"/>
      <c r="S87" s="376"/>
      <c r="T87" s="376"/>
      <c r="U87" s="376"/>
      <c r="V87" s="376"/>
      <c r="W87" s="376"/>
      <c r="X87" s="376"/>
      <c r="Y87" s="376"/>
      <c r="Z87" s="376"/>
    </row>
    <row r="88">
      <c r="A88" s="376"/>
      <c r="B88" s="376"/>
      <c r="C88" s="376"/>
      <c r="D88" s="376"/>
      <c r="E88" s="376"/>
      <c r="F88" s="376"/>
      <c r="G88" s="376"/>
      <c r="H88" s="376"/>
      <c r="I88" s="376"/>
      <c r="J88" s="376"/>
      <c r="K88" s="376"/>
      <c r="L88" s="376"/>
      <c r="M88" s="376"/>
      <c r="N88" s="376"/>
      <c r="O88" s="376"/>
      <c r="P88" s="376"/>
      <c r="Q88" s="376"/>
      <c r="R88" s="376"/>
      <c r="S88" s="376"/>
      <c r="T88" s="376"/>
      <c r="U88" s="376"/>
      <c r="V88" s="376"/>
      <c r="W88" s="376"/>
      <c r="X88" s="376"/>
      <c r="Y88" s="376"/>
      <c r="Z88" s="376"/>
    </row>
    <row r="89">
      <c r="A89" s="376"/>
      <c r="B89" s="376"/>
      <c r="C89" s="376"/>
      <c r="D89" s="376"/>
      <c r="E89" s="376"/>
      <c r="F89" s="376"/>
      <c r="G89" s="376"/>
      <c r="H89" s="376"/>
      <c r="I89" s="376"/>
      <c r="J89" s="376"/>
      <c r="K89" s="376"/>
      <c r="L89" s="376"/>
      <c r="M89" s="376"/>
      <c r="N89" s="376"/>
      <c r="O89" s="376"/>
      <c r="P89" s="376"/>
      <c r="Q89" s="376"/>
      <c r="R89" s="376"/>
      <c r="S89" s="376"/>
      <c r="T89" s="376"/>
      <c r="U89" s="376"/>
      <c r="V89" s="376"/>
      <c r="W89" s="376"/>
      <c r="X89" s="376"/>
      <c r="Y89" s="376"/>
      <c r="Z89" s="376"/>
    </row>
    <row r="90">
      <c r="A90" s="376"/>
      <c r="B90" s="376"/>
      <c r="C90" s="376"/>
      <c r="D90" s="376"/>
      <c r="E90" s="376"/>
      <c r="F90" s="376"/>
      <c r="G90" s="376"/>
      <c r="H90" s="376"/>
      <c r="I90" s="376"/>
      <c r="J90" s="376"/>
      <c r="K90" s="376"/>
      <c r="L90" s="376"/>
      <c r="M90" s="376"/>
      <c r="N90" s="376"/>
      <c r="O90" s="376"/>
      <c r="P90" s="376"/>
      <c r="Q90" s="376"/>
      <c r="R90" s="376"/>
      <c r="S90" s="376"/>
      <c r="T90" s="376"/>
      <c r="U90" s="376"/>
      <c r="V90" s="376"/>
      <c r="W90" s="376"/>
      <c r="X90" s="376"/>
      <c r="Y90" s="376"/>
      <c r="Z90" s="376"/>
    </row>
    <row r="91">
      <c r="A91" s="376"/>
      <c r="B91" s="376"/>
      <c r="C91" s="376"/>
      <c r="D91" s="376"/>
      <c r="E91" s="376"/>
      <c r="F91" s="376"/>
      <c r="G91" s="376"/>
      <c r="H91" s="376"/>
      <c r="I91" s="376"/>
      <c r="J91" s="376"/>
      <c r="K91" s="376"/>
      <c r="L91" s="376"/>
      <c r="M91" s="376"/>
      <c r="N91" s="376"/>
      <c r="O91" s="376"/>
      <c r="P91" s="376"/>
      <c r="Q91" s="376"/>
      <c r="R91" s="376"/>
      <c r="S91" s="376"/>
      <c r="T91" s="376"/>
      <c r="U91" s="376"/>
      <c r="V91" s="376"/>
      <c r="W91" s="376"/>
      <c r="X91" s="376"/>
      <c r="Y91" s="376"/>
      <c r="Z91" s="376"/>
    </row>
    <row r="92">
      <c r="A92" s="376"/>
      <c r="B92" s="376"/>
      <c r="C92" s="376"/>
      <c r="D92" s="376"/>
      <c r="E92" s="376"/>
      <c r="F92" s="376"/>
      <c r="G92" s="376"/>
      <c r="H92" s="376"/>
      <c r="I92" s="376"/>
      <c r="J92" s="376"/>
      <c r="K92" s="376"/>
      <c r="L92" s="376"/>
      <c r="M92" s="376"/>
      <c r="N92" s="376"/>
      <c r="O92" s="376"/>
      <c r="P92" s="376"/>
      <c r="Q92" s="376"/>
      <c r="R92" s="376"/>
      <c r="S92" s="376"/>
      <c r="T92" s="376"/>
      <c r="U92" s="376"/>
      <c r="V92" s="376"/>
      <c r="W92" s="376"/>
      <c r="X92" s="376"/>
      <c r="Y92" s="376"/>
      <c r="Z92" s="376"/>
    </row>
    <row r="93">
      <c r="A93" s="376"/>
      <c r="B93" s="376"/>
      <c r="C93" s="376"/>
      <c r="D93" s="376"/>
      <c r="E93" s="376"/>
      <c r="F93" s="376"/>
      <c r="G93" s="376"/>
      <c r="H93" s="376"/>
      <c r="I93" s="376"/>
      <c r="J93" s="376"/>
      <c r="K93" s="376"/>
      <c r="L93" s="376"/>
      <c r="M93" s="376"/>
      <c r="N93" s="376"/>
      <c r="O93" s="376"/>
      <c r="P93" s="376"/>
      <c r="Q93" s="376"/>
      <c r="R93" s="376"/>
      <c r="S93" s="376"/>
      <c r="T93" s="376"/>
      <c r="U93" s="376"/>
      <c r="V93" s="376"/>
      <c r="W93" s="376"/>
      <c r="X93" s="376"/>
      <c r="Y93" s="376"/>
      <c r="Z93" s="376"/>
    </row>
    <row r="94">
      <c r="A94" s="376"/>
      <c r="B94" s="376"/>
      <c r="C94" s="376"/>
      <c r="D94" s="376"/>
      <c r="E94" s="376"/>
      <c r="F94" s="376"/>
      <c r="G94" s="376"/>
      <c r="H94" s="376"/>
      <c r="I94" s="376"/>
      <c r="J94" s="376"/>
      <c r="K94" s="376"/>
      <c r="L94" s="376"/>
      <c r="M94" s="376"/>
      <c r="N94" s="376"/>
      <c r="O94" s="376"/>
      <c r="P94" s="376"/>
      <c r="Q94" s="376"/>
      <c r="R94" s="376"/>
      <c r="S94" s="376"/>
      <c r="T94" s="376"/>
      <c r="U94" s="376"/>
      <c r="V94" s="376"/>
      <c r="W94" s="376"/>
      <c r="X94" s="376"/>
      <c r="Y94" s="376"/>
      <c r="Z94" s="376"/>
    </row>
    <row r="95">
      <c r="A95" s="376"/>
      <c r="B95" s="376"/>
      <c r="C95" s="376"/>
      <c r="D95" s="376"/>
      <c r="E95" s="376"/>
      <c r="F95" s="376"/>
      <c r="G95" s="376"/>
      <c r="H95" s="376"/>
      <c r="I95" s="376"/>
      <c r="J95" s="376"/>
      <c r="K95" s="376"/>
      <c r="L95" s="376"/>
      <c r="M95" s="376"/>
      <c r="N95" s="376"/>
      <c r="O95" s="376"/>
      <c r="P95" s="376"/>
      <c r="Q95" s="376"/>
      <c r="R95" s="376"/>
      <c r="S95" s="376"/>
      <c r="T95" s="376"/>
      <c r="U95" s="376"/>
      <c r="V95" s="376"/>
      <c r="W95" s="376"/>
      <c r="X95" s="376"/>
      <c r="Y95" s="376"/>
      <c r="Z95" s="376"/>
    </row>
    <row r="96">
      <c r="A96" s="376"/>
      <c r="B96" s="376"/>
      <c r="C96" s="376"/>
      <c r="D96" s="376"/>
      <c r="E96" s="376"/>
      <c r="F96" s="376"/>
      <c r="G96" s="376"/>
      <c r="H96" s="376"/>
      <c r="I96" s="376"/>
      <c r="J96" s="376"/>
      <c r="K96" s="376"/>
      <c r="L96" s="376"/>
      <c r="M96" s="376"/>
      <c r="N96" s="376"/>
      <c r="O96" s="376"/>
      <c r="P96" s="376"/>
      <c r="Q96" s="376"/>
      <c r="R96" s="376"/>
      <c r="S96" s="376"/>
      <c r="T96" s="376"/>
      <c r="U96" s="376"/>
      <c r="V96" s="376"/>
      <c r="W96" s="376"/>
      <c r="X96" s="376"/>
      <c r="Y96" s="376"/>
      <c r="Z96" s="376"/>
    </row>
    <row r="97">
      <c r="A97" s="376"/>
      <c r="B97" s="376"/>
      <c r="C97" s="376"/>
      <c r="D97" s="376"/>
      <c r="E97" s="376"/>
      <c r="F97" s="376"/>
      <c r="G97" s="376"/>
      <c r="H97" s="376"/>
      <c r="I97" s="376"/>
      <c r="J97" s="376"/>
      <c r="K97" s="376"/>
      <c r="L97" s="376"/>
      <c r="M97" s="376"/>
      <c r="N97" s="376"/>
      <c r="O97" s="376"/>
      <c r="P97" s="376"/>
      <c r="Q97" s="376"/>
      <c r="R97" s="376"/>
      <c r="S97" s="376"/>
      <c r="T97" s="376"/>
      <c r="U97" s="376"/>
      <c r="V97" s="376"/>
      <c r="W97" s="376"/>
      <c r="X97" s="376"/>
      <c r="Y97" s="376"/>
      <c r="Z97" s="376"/>
    </row>
    <row r="98">
      <c r="A98" s="376"/>
      <c r="B98" s="376"/>
      <c r="C98" s="376"/>
      <c r="D98" s="376"/>
      <c r="E98" s="376"/>
      <c r="F98" s="376"/>
      <c r="G98" s="376"/>
      <c r="H98" s="376"/>
      <c r="I98" s="376"/>
      <c r="J98" s="376"/>
      <c r="K98" s="376"/>
      <c r="L98" s="376"/>
      <c r="M98" s="376"/>
      <c r="N98" s="376"/>
      <c r="O98" s="376"/>
      <c r="P98" s="376"/>
      <c r="Q98" s="376"/>
      <c r="R98" s="376"/>
      <c r="S98" s="376"/>
      <c r="T98" s="376"/>
      <c r="U98" s="376"/>
      <c r="V98" s="376"/>
      <c r="W98" s="376"/>
      <c r="X98" s="376"/>
      <c r="Y98" s="376"/>
      <c r="Z98" s="376"/>
    </row>
    <row r="99">
      <c r="A99" s="376"/>
      <c r="B99" s="376"/>
      <c r="C99" s="376"/>
      <c r="D99" s="376"/>
      <c r="E99" s="376"/>
      <c r="F99" s="376"/>
      <c r="G99" s="376"/>
      <c r="H99" s="376"/>
      <c r="I99" s="376"/>
      <c r="J99" s="376"/>
      <c r="K99" s="376"/>
      <c r="L99" s="376"/>
      <c r="M99" s="376"/>
      <c r="N99" s="376"/>
      <c r="O99" s="376"/>
      <c r="P99" s="376"/>
      <c r="Q99" s="376"/>
      <c r="R99" s="376"/>
      <c r="S99" s="376"/>
      <c r="T99" s="376"/>
      <c r="U99" s="376"/>
      <c r="V99" s="376"/>
      <c r="W99" s="376"/>
      <c r="X99" s="376"/>
      <c r="Y99" s="376"/>
      <c r="Z99" s="376"/>
    </row>
    <row r="100">
      <c r="A100" s="376"/>
      <c r="B100" s="376"/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6"/>
      <c r="P100" s="376"/>
      <c r="Q100" s="376"/>
      <c r="R100" s="376"/>
      <c r="S100" s="376"/>
      <c r="T100" s="376"/>
      <c r="U100" s="376"/>
      <c r="V100" s="376"/>
      <c r="W100" s="376"/>
      <c r="X100" s="376"/>
      <c r="Y100" s="376"/>
      <c r="Z100" s="376"/>
    </row>
    <row r="101">
      <c r="A101" s="376"/>
      <c r="B101" s="376"/>
      <c r="C101" s="376"/>
      <c r="D101" s="376"/>
      <c r="E101" s="376"/>
      <c r="F101" s="376"/>
      <c r="G101" s="376"/>
      <c r="H101" s="376"/>
      <c r="I101" s="376"/>
      <c r="J101" s="376"/>
      <c r="K101" s="376"/>
      <c r="L101" s="376"/>
      <c r="M101" s="376"/>
      <c r="N101" s="376"/>
      <c r="O101" s="376"/>
      <c r="P101" s="376"/>
      <c r="Q101" s="376"/>
      <c r="R101" s="376"/>
      <c r="S101" s="376"/>
      <c r="T101" s="376"/>
      <c r="U101" s="376"/>
      <c r="V101" s="376"/>
      <c r="W101" s="376"/>
      <c r="X101" s="376"/>
      <c r="Y101" s="376"/>
      <c r="Z101" s="376"/>
    </row>
    <row r="102">
      <c r="A102" s="376"/>
      <c r="B102" s="376"/>
      <c r="C102" s="376"/>
      <c r="D102" s="376"/>
      <c r="E102" s="376"/>
      <c r="F102" s="376"/>
      <c r="G102" s="376"/>
      <c r="H102" s="376"/>
      <c r="I102" s="376"/>
      <c r="J102" s="376"/>
      <c r="K102" s="376"/>
      <c r="L102" s="376"/>
      <c r="M102" s="376"/>
      <c r="N102" s="376"/>
      <c r="O102" s="376"/>
      <c r="P102" s="376"/>
      <c r="Q102" s="376"/>
      <c r="R102" s="376"/>
      <c r="S102" s="376"/>
      <c r="T102" s="376"/>
      <c r="U102" s="376"/>
      <c r="V102" s="376"/>
      <c r="W102" s="376"/>
      <c r="X102" s="376"/>
      <c r="Y102" s="376"/>
      <c r="Z102" s="376"/>
    </row>
    <row r="103">
      <c r="A103" s="376"/>
      <c r="B103" s="376"/>
      <c r="C103" s="376"/>
      <c r="D103" s="376"/>
      <c r="E103" s="376"/>
      <c r="F103" s="376"/>
      <c r="G103" s="376"/>
      <c r="H103" s="376"/>
      <c r="I103" s="376"/>
      <c r="J103" s="376"/>
      <c r="K103" s="376"/>
      <c r="L103" s="376"/>
      <c r="M103" s="376"/>
      <c r="N103" s="376"/>
      <c r="O103" s="376"/>
      <c r="P103" s="376"/>
      <c r="Q103" s="376"/>
      <c r="R103" s="376"/>
      <c r="S103" s="376"/>
      <c r="T103" s="376"/>
      <c r="U103" s="376"/>
      <c r="V103" s="376"/>
      <c r="W103" s="376"/>
      <c r="X103" s="376"/>
      <c r="Y103" s="376"/>
      <c r="Z103" s="376"/>
    </row>
    <row r="104">
      <c r="A104" s="376"/>
      <c r="B104" s="376"/>
      <c r="C104" s="376"/>
      <c r="D104" s="376"/>
      <c r="E104" s="376"/>
      <c r="F104" s="376"/>
      <c r="G104" s="376"/>
      <c r="H104" s="376"/>
      <c r="I104" s="376"/>
      <c r="J104" s="376"/>
      <c r="K104" s="376"/>
      <c r="L104" s="376"/>
      <c r="M104" s="376"/>
      <c r="N104" s="376"/>
      <c r="O104" s="376"/>
      <c r="P104" s="376"/>
      <c r="Q104" s="376"/>
      <c r="R104" s="376"/>
      <c r="S104" s="376"/>
      <c r="T104" s="376"/>
      <c r="U104" s="376"/>
      <c r="V104" s="376"/>
      <c r="W104" s="376"/>
      <c r="X104" s="376"/>
      <c r="Y104" s="376"/>
      <c r="Z104" s="376"/>
    </row>
    <row r="105">
      <c r="A105" s="376"/>
      <c r="B105" s="376"/>
      <c r="C105" s="376"/>
      <c r="D105" s="376"/>
      <c r="E105" s="376"/>
      <c r="F105" s="376"/>
      <c r="G105" s="376"/>
      <c r="H105" s="376"/>
      <c r="I105" s="376"/>
      <c r="J105" s="376"/>
      <c r="K105" s="376"/>
      <c r="L105" s="376"/>
      <c r="M105" s="376"/>
      <c r="N105" s="376"/>
      <c r="O105" s="376"/>
      <c r="P105" s="376"/>
      <c r="Q105" s="376"/>
      <c r="R105" s="376"/>
      <c r="S105" s="376"/>
      <c r="T105" s="376"/>
      <c r="U105" s="376"/>
      <c r="V105" s="376"/>
      <c r="W105" s="376"/>
      <c r="X105" s="376"/>
      <c r="Y105" s="376"/>
      <c r="Z105" s="376"/>
    </row>
    <row r="106">
      <c r="A106" s="376"/>
      <c r="B106" s="376"/>
      <c r="C106" s="376"/>
      <c r="D106" s="376"/>
      <c r="E106" s="376"/>
      <c r="F106" s="376"/>
      <c r="G106" s="376"/>
      <c r="H106" s="376"/>
      <c r="I106" s="376"/>
      <c r="J106" s="376"/>
      <c r="K106" s="376"/>
      <c r="L106" s="376"/>
      <c r="M106" s="376"/>
      <c r="N106" s="376"/>
      <c r="O106" s="376"/>
      <c r="P106" s="376"/>
      <c r="Q106" s="376"/>
      <c r="R106" s="376"/>
      <c r="S106" s="376"/>
      <c r="T106" s="376"/>
      <c r="U106" s="376"/>
      <c r="V106" s="376"/>
      <c r="W106" s="376"/>
      <c r="X106" s="376"/>
      <c r="Y106" s="376"/>
      <c r="Z106" s="376"/>
    </row>
    <row r="107">
      <c r="A107" s="376"/>
      <c r="B107" s="376"/>
      <c r="C107" s="376"/>
      <c r="D107" s="376"/>
      <c r="E107" s="376"/>
      <c r="F107" s="376"/>
      <c r="G107" s="376"/>
      <c r="H107" s="376"/>
      <c r="I107" s="376"/>
      <c r="J107" s="376"/>
      <c r="K107" s="376"/>
      <c r="L107" s="376"/>
      <c r="M107" s="376"/>
      <c r="N107" s="376"/>
      <c r="O107" s="376"/>
      <c r="P107" s="376"/>
      <c r="Q107" s="376"/>
      <c r="R107" s="376"/>
      <c r="S107" s="376"/>
      <c r="T107" s="376"/>
      <c r="U107" s="376"/>
      <c r="V107" s="376"/>
      <c r="W107" s="376"/>
      <c r="X107" s="376"/>
      <c r="Y107" s="376"/>
      <c r="Z107" s="376"/>
    </row>
    <row r="108">
      <c r="A108" s="376"/>
      <c r="B108" s="376"/>
      <c r="C108" s="376"/>
      <c r="D108" s="376"/>
      <c r="E108" s="376"/>
      <c r="F108" s="376"/>
      <c r="G108" s="376"/>
      <c r="H108" s="376"/>
      <c r="I108" s="376"/>
      <c r="J108" s="376"/>
      <c r="K108" s="376"/>
      <c r="L108" s="376"/>
      <c r="M108" s="376"/>
      <c r="N108" s="376"/>
      <c r="O108" s="376"/>
      <c r="P108" s="376"/>
      <c r="Q108" s="376"/>
      <c r="R108" s="376"/>
      <c r="S108" s="376"/>
      <c r="T108" s="376"/>
      <c r="U108" s="376"/>
      <c r="V108" s="376"/>
      <c r="W108" s="376"/>
      <c r="X108" s="376"/>
      <c r="Y108" s="376"/>
      <c r="Z108" s="376"/>
    </row>
    <row r="109">
      <c r="A109" s="376"/>
      <c r="B109" s="376"/>
      <c r="C109" s="376"/>
      <c r="D109" s="376"/>
      <c r="E109" s="376"/>
      <c r="F109" s="376"/>
      <c r="G109" s="376"/>
      <c r="H109" s="376"/>
      <c r="I109" s="376"/>
      <c r="J109" s="376"/>
      <c r="K109" s="376"/>
      <c r="L109" s="376"/>
      <c r="M109" s="376"/>
      <c r="N109" s="376"/>
      <c r="O109" s="376"/>
      <c r="P109" s="376"/>
      <c r="Q109" s="376"/>
      <c r="R109" s="376"/>
      <c r="S109" s="376"/>
      <c r="T109" s="376"/>
      <c r="U109" s="376"/>
      <c r="V109" s="376"/>
      <c r="W109" s="376"/>
      <c r="X109" s="376"/>
      <c r="Y109" s="376"/>
      <c r="Z109" s="376"/>
    </row>
    <row r="110">
      <c r="A110" s="376"/>
      <c r="B110" s="376"/>
      <c r="C110" s="376"/>
      <c r="D110" s="376"/>
      <c r="E110" s="376"/>
      <c r="F110" s="376"/>
      <c r="G110" s="376"/>
      <c r="H110" s="376"/>
      <c r="I110" s="376"/>
      <c r="J110" s="376"/>
      <c r="K110" s="376"/>
      <c r="L110" s="376"/>
      <c r="M110" s="376"/>
      <c r="N110" s="376"/>
      <c r="O110" s="376"/>
      <c r="P110" s="376"/>
      <c r="Q110" s="376"/>
      <c r="R110" s="376"/>
      <c r="S110" s="376"/>
      <c r="T110" s="376"/>
      <c r="U110" s="376"/>
      <c r="V110" s="376"/>
      <c r="W110" s="376"/>
      <c r="X110" s="376"/>
      <c r="Y110" s="376"/>
      <c r="Z110" s="376"/>
    </row>
    <row r="111">
      <c r="A111" s="376"/>
      <c r="B111" s="376"/>
      <c r="C111" s="376"/>
      <c r="D111" s="376"/>
      <c r="E111" s="376"/>
      <c r="F111" s="376"/>
      <c r="G111" s="376"/>
      <c r="H111" s="376"/>
      <c r="I111" s="376"/>
      <c r="J111" s="376"/>
      <c r="K111" s="376"/>
      <c r="L111" s="376"/>
      <c r="M111" s="376"/>
      <c r="N111" s="376"/>
      <c r="O111" s="376"/>
      <c r="P111" s="376"/>
      <c r="Q111" s="376"/>
      <c r="R111" s="376"/>
      <c r="S111" s="376"/>
      <c r="T111" s="376"/>
      <c r="U111" s="376"/>
      <c r="V111" s="376"/>
      <c r="W111" s="376"/>
      <c r="X111" s="376"/>
      <c r="Y111" s="376"/>
      <c r="Z111" s="376"/>
    </row>
    <row r="112">
      <c r="A112" s="376"/>
      <c r="B112" s="376"/>
      <c r="C112" s="376"/>
      <c r="D112" s="376"/>
      <c r="E112" s="376"/>
      <c r="F112" s="376"/>
      <c r="G112" s="376"/>
      <c r="H112" s="376"/>
      <c r="I112" s="376"/>
      <c r="J112" s="376"/>
      <c r="K112" s="376"/>
      <c r="L112" s="376"/>
      <c r="M112" s="376"/>
      <c r="N112" s="376"/>
      <c r="O112" s="376"/>
      <c r="P112" s="376"/>
      <c r="Q112" s="376"/>
      <c r="R112" s="376"/>
      <c r="S112" s="376"/>
      <c r="T112" s="376"/>
      <c r="U112" s="376"/>
      <c r="V112" s="376"/>
      <c r="W112" s="376"/>
      <c r="X112" s="376"/>
      <c r="Y112" s="376"/>
      <c r="Z112" s="376"/>
    </row>
    <row r="113">
      <c r="A113" s="376"/>
      <c r="B113" s="376"/>
      <c r="C113" s="376"/>
      <c r="D113" s="376"/>
      <c r="E113" s="376"/>
      <c r="F113" s="376"/>
      <c r="G113" s="376"/>
      <c r="H113" s="376"/>
      <c r="I113" s="376"/>
      <c r="J113" s="376"/>
      <c r="K113" s="376"/>
      <c r="L113" s="376"/>
      <c r="M113" s="376"/>
      <c r="N113" s="376"/>
      <c r="O113" s="376"/>
      <c r="P113" s="376"/>
      <c r="Q113" s="376"/>
      <c r="R113" s="376"/>
      <c r="S113" s="376"/>
      <c r="T113" s="376"/>
      <c r="U113" s="376"/>
      <c r="V113" s="376"/>
      <c r="W113" s="376"/>
      <c r="X113" s="376"/>
      <c r="Y113" s="376"/>
      <c r="Z113" s="376"/>
    </row>
    <row r="114">
      <c r="A114" s="376"/>
      <c r="B114" s="376"/>
      <c r="C114" s="376"/>
      <c r="D114" s="376"/>
      <c r="E114" s="376"/>
      <c r="F114" s="376"/>
      <c r="G114" s="376"/>
      <c r="H114" s="376"/>
      <c r="I114" s="376"/>
      <c r="J114" s="376"/>
      <c r="K114" s="376"/>
      <c r="L114" s="376"/>
      <c r="M114" s="376"/>
      <c r="N114" s="376"/>
      <c r="O114" s="376"/>
      <c r="P114" s="376"/>
      <c r="Q114" s="376"/>
      <c r="R114" s="376"/>
      <c r="S114" s="376"/>
      <c r="T114" s="376"/>
      <c r="U114" s="376"/>
      <c r="V114" s="376"/>
      <c r="W114" s="376"/>
      <c r="X114" s="376"/>
      <c r="Y114" s="376"/>
      <c r="Z114" s="376"/>
    </row>
    <row r="115">
      <c r="A115" s="376"/>
      <c r="B115" s="376"/>
      <c r="C115" s="376"/>
      <c r="D115" s="376"/>
      <c r="E115" s="376"/>
      <c r="F115" s="376"/>
      <c r="G115" s="376"/>
      <c r="H115" s="376"/>
      <c r="I115" s="376"/>
      <c r="J115" s="376"/>
      <c r="K115" s="376"/>
      <c r="L115" s="376"/>
      <c r="M115" s="376"/>
      <c r="N115" s="376"/>
      <c r="O115" s="376"/>
      <c r="P115" s="376"/>
      <c r="Q115" s="376"/>
      <c r="R115" s="376"/>
      <c r="S115" s="376"/>
      <c r="T115" s="376"/>
      <c r="U115" s="376"/>
      <c r="V115" s="376"/>
      <c r="W115" s="376"/>
      <c r="X115" s="376"/>
      <c r="Y115" s="376"/>
      <c r="Z115" s="376"/>
    </row>
    <row r="116">
      <c r="A116" s="376"/>
      <c r="B116" s="376"/>
      <c r="C116" s="376"/>
      <c r="D116" s="376"/>
      <c r="E116" s="376"/>
      <c r="F116" s="376"/>
      <c r="G116" s="376"/>
      <c r="H116" s="376"/>
      <c r="I116" s="376"/>
      <c r="J116" s="376"/>
      <c r="K116" s="376"/>
      <c r="L116" s="376"/>
      <c r="M116" s="376"/>
      <c r="N116" s="376"/>
      <c r="O116" s="376"/>
      <c r="P116" s="376"/>
      <c r="Q116" s="376"/>
      <c r="R116" s="376"/>
      <c r="S116" s="376"/>
      <c r="T116" s="376"/>
      <c r="U116" s="376"/>
      <c r="V116" s="376"/>
      <c r="W116" s="376"/>
      <c r="X116" s="376"/>
      <c r="Y116" s="376"/>
      <c r="Z116" s="376"/>
    </row>
    <row r="117">
      <c r="A117" s="376"/>
      <c r="B117" s="376"/>
      <c r="C117" s="376"/>
      <c r="D117" s="376"/>
      <c r="E117" s="376"/>
      <c r="F117" s="376"/>
      <c r="G117" s="376"/>
      <c r="H117" s="376"/>
      <c r="I117" s="376"/>
      <c r="J117" s="376"/>
      <c r="K117" s="376"/>
      <c r="L117" s="376"/>
      <c r="M117" s="376"/>
      <c r="N117" s="376"/>
      <c r="O117" s="376"/>
      <c r="P117" s="376"/>
      <c r="Q117" s="376"/>
      <c r="R117" s="376"/>
      <c r="S117" s="376"/>
      <c r="T117" s="376"/>
      <c r="U117" s="376"/>
      <c r="V117" s="376"/>
      <c r="W117" s="376"/>
      <c r="X117" s="376"/>
      <c r="Y117" s="376"/>
      <c r="Z117" s="376"/>
    </row>
    <row r="118">
      <c r="A118" s="376"/>
      <c r="B118" s="376"/>
      <c r="C118" s="376"/>
      <c r="D118" s="376"/>
      <c r="E118" s="376"/>
      <c r="F118" s="376"/>
      <c r="G118" s="376"/>
      <c r="H118" s="376"/>
      <c r="I118" s="376"/>
      <c r="J118" s="376"/>
      <c r="K118" s="376"/>
      <c r="L118" s="376"/>
      <c r="M118" s="376"/>
      <c r="N118" s="376"/>
      <c r="O118" s="376"/>
      <c r="P118" s="376"/>
      <c r="Q118" s="376"/>
      <c r="R118" s="376"/>
      <c r="S118" s="376"/>
      <c r="T118" s="376"/>
      <c r="U118" s="376"/>
      <c r="V118" s="376"/>
      <c r="W118" s="376"/>
      <c r="X118" s="376"/>
      <c r="Y118" s="376"/>
      <c r="Z118" s="376"/>
    </row>
    <row r="119">
      <c r="A119" s="376"/>
      <c r="B119" s="376"/>
      <c r="C119" s="376"/>
      <c r="D119" s="376"/>
      <c r="E119" s="376"/>
      <c r="F119" s="376"/>
      <c r="G119" s="376"/>
      <c r="H119" s="376"/>
      <c r="I119" s="376"/>
      <c r="J119" s="376"/>
      <c r="K119" s="376"/>
      <c r="L119" s="376"/>
      <c r="M119" s="376"/>
      <c r="N119" s="376"/>
      <c r="O119" s="376"/>
      <c r="P119" s="376"/>
      <c r="Q119" s="376"/>
      <c r="R119" s="376"/>
      <c r="S119" s="376"/>
      <c r="T119" s="376"/>
      <c r="U119" s="376"/>
      <c r="V119" s="376"/>
      <c r="W119" s="376"/>
      <c r="X119" s="376"/>
      <c r="Y119" s="376"/>
      <c r="Z119" s="376"/>
    </row>
    <row r="120">
      <c r="A120" s="376"/>
      <c r="B120" s="376"/>
      <c r="C120" s="376"/>
      <c r="D120" s="376"/>
      <c r="E120" s="376"/>
      <c r="F120" s="376"/>
      <c r="G120" s="376"/>
      <c r="H120" s="376"/>
      <c r="I120" s="376"/>
      <c r="J120" s="376"/>
      <c r="K120" s="376"/>
      <c r="L120" s="376"/>
      <c r="M120" s="376"/>
      <c r="N120" s="376"/>
      <c r="O120" s="376"/>
      <c r="P120" s="376"/>
      <c r="Q120" s="376"/>
      <c r="R120" s="376"/>
      <c r="S120" s="376"/>
      <c r="T120" s="376"/>
      <c r="U120" s="376"/>
      <c r="V120" s="376"/>
      <c r="W120" s="376"/>
      <c r="X120" s="376"/>
      <c r="Y120" s="376"/>
      <c r="Z120" s="376"/>
    </row>
    <row r="121">
      <c r="A121" s="376"/>
      <c r="B121" s="376"/>
      <c r="C121" s="376"/>
      <c r="D121" s="376"/>
      <c r="E121" s="376"/>
      <c r="F121" s="376"/>
      <c r="G121" s="376"/>
      <c r="H121" s="376"/>
      <c r="I121" s="376"/>
      <c r="J121" s="376"/>
      <c r="K121" s="376"/>
      <c r="L121" s="376"/>
      <c r="M121" s="376"/>
      <c r="N121" s="376"/>
      <c r="O121" s="376"/>
      <c r="P121" s="376"/>
      <c r="Q121" s="376"/>
      <c r="R121" s="376"/>
      <c r="S121" s="376"/>
      <c r="T121" s="376"/>
      <c r="U121" s="376"/>
      <c r="V121" s="376"/>
      <c r="W121" s="376"/>
      <c r="X121" s="376"/>
      <c r="Y121" s="376"/>
      <c r="Z121" s="376"/>
    </row>
    <row r="122">
      <c r="A122" s="376"/>
      <c r="B122" s="376"/>
      <c r="C122" s="376"/>
      <c r="D122" s="376"/>
      <c r="E122" s="376"/>
      <c r="F122" s="376"/>
      <c r="G122" s="376"/>
      <c r="H122" s="376"/>
      <c r="I122" s="376"/>
      <c r="J122" s="376"/>
      <c r="K122" s="376"/>
      <c r="L122" s="376"/>
      <c r="M122" s="376"/>
      <c r="N122" s="376"/>
      <c r="O122" s="376"/>
      <c r="P122" s="376"/>
      <c r="Q122" s="376"/>
      <c r="R122" s="376"/>
      <c r="S122" s="376"/>
      <c r="T122" s="376"/>
      <c r="U122" s="376"/>
      <c r="V122" s="376"/>
      <c r="W122" s="376"/>
      <c r="X122" s="376"/>
      <c r="Y122" s="376"/>
      <c r="Z122" s="376"/>
    </row>
    <row r="123">
      <c r="A123" s="376"/>
      <c r="B123" s="376"/>
      <c r="C123" s="376"/>
      <c r="D123" s="376"/>
      <c r="E123" s="376"/>
      <c r="F123" s="376"/>
      <c r="G123" s="376"/>
      <c r="H123" s="376"/>
      <c r="I123" s="376"/>
      <c r="J123" s="376"/>
      <c r="K123" s="376"/>
      <c r="L123" s="376"/>
      <c r="M123" s="376"/>
      <c r="N123" s="376"/>
      <c r="O123" s="376"/>
      <c r="P123" s="376"/>
      <c r="Q123" s="376"/>
      <c r="R123" s="376"/>
      <c r="S123" s="376"/>
      <c r="T123" s="376"/>
      <c r="U123" s="376"/>
      <c r="V123" s="376"/>
      <c r="W123" s="376"/>
      <c r="X123" s="376"/>
      <c r="Y123" s="376"/>
      <c r="Z123" s="376"/>
    </row>
    <row r="124">
      <c r="A124" s="376"/>
      <c r="B124" s="376"/>
      <c r="C124" s="376"/>
      <c r="D124" s="376"/>
      <c r="E124" s="376"/>
      <c r="F124" s="376"/>
      <c r="G124" s="376"/>
      <c r="H124" s="376"/>
      <c r="I124" s="376"/>
      <c r="J124" s="376"/>
      <c r="K124" s="376"/>
      <c r="L124" s="376"/>
      <c r="M124" s="376"/>
      <c r="N124" s="376"/>
      <c r="O124" s="376"/>
      <c r="P124" s="376"/>
      <c r="Q124" s="376"/>
      <c r="R124" s="376"/>
      <c r="S124" s="376"/>
      <c r="T124" s="376"/>
      <c r="U124" s="376"/>
      <c r="V124" s="376"/>
      <c r="W124" s="376"/>
      <c r="X124" s="376"/>
      <c r="Y124" s="376"/>
      <c r="Z124" s="376"/>
    </row>
    <row r="125">
      <c r="A125" s="376"/>
      <c r="B125" s="376"/>
      <c r="C125" s="376"/>
      <c r="D125" s="376"/>
      <c r="E125" s="376"/>
      <c r="F125" s="376"/>
      <c r="G125" s="376"/>
      <c r="H125" s="376"/>
      <c r="I125" s="376"/>
      <c r="J125" s="376"/>
      <c r="K125" s="376"/>
      <c r="L125" s="376"/>
      <c r="M125" s="376"/>
      <c r="N125" s="376"/>
      <c r="O125" s="376"/>
      <c r="P125" s="376"/>
      <c r="Q125" s="376"/>
      <c r="R125" s="376"/>
      <c r="S125" s="376"/>
      <c r="T125" s="376"/>
      <c r="U125" s="376"/>
      <c r="V125" s="376"/>
      <c r="W125" s="376"/>
      <c r="X125" s="376"/>
      <c r="Y125" s="376"/>
      <c r="Z125" s="376"/>
    </row>
    <row r="126">
      <c r="A126" s="376"/>
      <c r="B126" s="376"/>
      <c r="C126" s="376"/>
      <c r="D126" s="376"/>
      <c r="E126" s="376"/>
      <c r="F126" s="376"/>
      <c r="G126" s="376"/>
      <c r="H126" s="376"/>
      <c r="I126" s="376"/>
      <c r="J126" s="376"/>
      <c r="K126" s="376"/>
      <c r="L126" s="376"/>
      <c r="M126" s="376"/>
      <c r="N126" s="376"/>
      <c r="O126" s="376"/>
      <c r="P126" s="376"/>
      <c r="Q126" s="376"/>
      <c r="R126" s="376"/>
      <c r="S126" s="376"/>
      <c r="T126" s="376"/>
      <c r="U126" s="376"/>
      <c r="V126" s="376"/>
      <c r="W126" s="376"/>
      <c r="X126" s="376"/>
      <c r="Y126" s="376"/>
      <c r="Z126" s="376"/>
    </row>
    <row r="127">
      <c r="A127" s="376"/>
      <c r="B127" s="376"/>
      <c r="C127" s="376"/>
      <c r="D127" s="376"/>
      <c r="E127" s="376"/>
      <c r="F127" s="376"/>
      <c r="G127" s="376"/>
      <c r="H127" s="376"/>
      <c r="I127" s="376"/>
      <c r="J127" s="376"/>
      <c r="K127" s="376"/>
      <c r="L127" s="376"/>
      <c r="M127" s="376"/>
      <c r="N127" s="376"/>
      <c r="O127" s="376"/>
      <c r="P127" s="376"/>
      <c r="Q127" s="376"/>
      <c r="R127" s="376"/>
      <c r="S127" s="376"/>
      <c r="T127" s="376"/>
      <c r="U127" s="376"/>
      <c r="V127" s="376"/>
      <c r="W127" s="376"/>
      <c r="X127" s="376"/>
      <c r="Y127" s="376"/>
      <c r="Z127" s="376"/>
    </row>
    <row r="128">
      <c r="A128" s="376"/>
      <c r="B128" s="376"/>
      <c r="C128" s="376"/>
      <c r="D128" s="376"/>
      <c r="E128" s="376"/>
      <c r="F128" s="376"/>
      <c r="G128" s="376"/>
      <c r="H128" s="376"/>
      <c r="I128" s="376"/>
      <c r="J128" s="376"/>
      <c r="K128" s="376"/>
      <c r="L128" s="376"/>
      <c r="M128" s="376"/>
      <c r="N128" s="376"/>
      <c r="O128" s="376"/>
      <c r="P128" s="376"/>
      <c r="Q128" s="376"/>
      <c r="R128" s="376"/>
      <c r="S128" s="376"/>
      <c r="T128" s="376"/>
      <c r="U128" s="376"/>
      <c r="V128" s="376"/>
      <c r="W128" s="376"/>
      <c r="X128" s="376"/>
      <c r="Y128" s="376"/>
      <c r="Z128" s="376"/>
    </row>
    <row r="129">
      <c r="A129" s="376"/>
      <c r="B129" s="376"/>
      <c r="C129" s="376"/>
      <c r="D129" s="376"/>
      <c r="E129" s="376"/>
      <c r="F129" s="376"/>
      <c r="G129" s="376"/>
      <c r="H129" s="376"/>
      <c r="I129" s="376"/>
      <c r="J129" s="376"/>
      <c r="K129" s="376"/>
      <c r="L129" s="376"/>
      <c r="M129" s="376"/>
      <c r="N129" s="376"/>
      <c r="O129" s="376"/>
      <c r="P129" s="376"/>
      <c r="Q129" s="376"/>
      <c r="R129" s="376"/>
      <c r="S129" s="376"/>
      <c r="T129" s="376"/>
      <c r="U129" s="376"/>
      <c r="V129" s="376"/>
      <c r="W129" s="376"/>
      <c r="X129" s="376"/>
      <c r="Y129" s="376"/>
      <c r="Z129" s="376"/>
    </row>
    <row r="130">
      <c r="A130" s="376"/>
      <c r="B130" s="376"/>
      <c r="C130" s="376"/>
      <c r="D130" s="376"/>
      <c r="E130" s="376"/>
      <c r="F130" s="376"/>
      <c r="G130" s="376"/>
      <c r="H130" s="376"/>
      <c r="I130" s="376"/>
      <c r="J130" s="376"/>
      <c r="K130" s="376"/>
      <c r="L130" s="376"/>
      <c r="M130" s="376"/>
      <c r="N130" s="376"/>
      <c r="O130" s="376"/>
      <c r="P130" s="376"/>
      <c r="Q130" s="376"/>
      <c r="R130" s="376"/>
      <c r="S130" s="376"/>
      <c r="T130" s="376"/>
      <c r="U130" s="376"/>
      <c r="V130" s="376"/>
      <c r="W130" s="376"/>
      <c r="X130" s="376"/>
      <c r="Y130" s="376"/>
      <c r="Z130" s="376"/>
    </row>
    <row r="131">
      <c r="A131" s="376"/>
      <c r="B131" s="376"/>
      <c r="C131" s="376"/>
      <c r="D131" s="376"/>
      <c r="E131" s="376"/>
      <c r="F131" s="376"/>
      <c r="G131" s="376"/>
      <c r="H131" s="376"/>
      <c r="I131" s="376"/>
      <c r="J131" s="376"/>
      <c r="K131" s="376"/>
      <c r="L131" s="376"/>
      <c r="M131" s="376"/>
      <c r="N131" s="376"/>
      <c r="O131" s="376"/>
      <c r="P131" s="376"/>
      <c r="Q131" s="376"/>
      <c r="R131" s="376"/>
      <c r="S131" s="376"/>
      <c r="T131" s="376"/>
      <c r="U131" s="376"/>
      <c r="V131" s="376"/>
      <c r="W131" s="376"/>
      <c r="X131" s="376"/>
      <c r="Y131" s="376"/>
      <c r="Z131" s="376"/>
    </row>
    <row r="132">
      <c r="A132" s="376"/>
      <c r="B132" s="376"/>
      <c r="C132" s="376"/>
      <c r="D132" s="376"/>
      <c r="E132" s="376"/>
      <c r="F132" s="376"/>
      <c r="G132" s="376"/>
      <c r="H132" s="376"/>
      <c r="I132" s="376"/>
      <c r="J132" s="376"/>
      <c r="K132" s="376"/>
      <c r="L132" s="376"/>
      <c r="M132" s="376"/>
      <c r="N132" s="376"/>
      <c r="O132" s="376"/>
      <c r="P132" s="376"/>
      <c r="Q132" s="376"/>
      <c r="R132" s="376"/>
      <c r="S132" s="376"/>
      <c r="T132" s="376"/>
      <c r="U132" s="376"/>
      <c r="V132" s="376"/>
      <c r="W132" s="376"/>
      <c r="X132" s="376"/>
      <c r="Y132" s="376"/>
      <c r="Z132" s="376"/>
    </row>
    <row r="133">
      <c r="A133" s="376"/>
      <c r="B133" s="376"/>
      <c r="C133" s="376"/>
      <c r="D133" s="376"/>
      <c r="E133" s="376"/>
      <c r="F133" s="376"/>
      <c r="G133" s="376"/>
      <c r="H133" s="376"/>
      <c r="I133" s="376"/>
      <c r="J133" s="376"/>
      <c r="K133" s="376"/>
      <c r="L133" s="376"/>
      <c r="M133" s="376"/>
      <c r="N133" s="376"/>
      <c r="O133" s="376"/>
      <c r="P133" s="376"/>
      <c r="Q133" s="376"/>
      <c r="R133" s="376"/>
      <c r="S133" s="376"/>
      <c r="T133" s="376"/>
      <c r="U133" s="376"/>
      <c r="V133" s="376"/>
      <c r="W133" s="376"/>
      <c r="X133" s="376"/>
      <c r="Y133" s="376"/>
      <c r="Z133" s="376"/>
    </row>
    <row r="134">
      <c r="A134" s="376"/>
      <c r="B134" s="376"/>
      <c r="C134" s="376"/>
      <c r="D134" s="376"/>
      <c r="E134" s="376"/>
      <c r="F134" s="376"/>
      <c r="G134" s="376"/>
      <c r="H134" s="376"/>
      <c r="I134" s="376"/>
      <c r="J134" s="376"/>
      <c r="K134" s="376"/>
      <c r="L134" s="376"/>
      <c r="M134" s="376"/>
      <c r="N134" s="376"/>
      <c r="O134" s="376"/>
      <c r="P134" s="376"/>
      <c r="Q134" s="376"/>
      <c r="R134" s="376"/>
      <c r="S134" s="376"/>
      <c r="T134" s="376"/>
      <c r="U134" s="376"/>
      <c r="V134" s="376"/>
      <c r="W134" s="376"/>
      <c r="X134" s="376"/>
      <c r="Y134" s="376"/>
      <c r="Z134" s="376"/>
    </row>
    <row r="135">
      <c r="A135" s="376"/>
      <c r="B135" s="376"/>
      <c r="C135" s="376"/>
      <c r="D135" s="376"/>
      <c r="E135" s="376"/>
      <c r="F135" s="376"/>
      <c r="G135" s="376"/>
      <c r="H135" s="376"/>
      <c r="I135" s="376"/>
      <c r="J135" s="376"/>
      <c r="K135" s="376"/>
      <c r="L135" s="376"/>
      <c r="M135" s="376"/>
      <c r="N135" s="376"/>
      <c r="O135" s="376"/>
      <c r="P135" s="376"/>
      <c r="Q135" s="376"/>
      <c r="R135" s="376"/>
      <c r="S135" s="376"/>
      <c r="T135" s="376"/>
      <c r="U135" s="376"/>
      <c r="V135" s="376"/>
      <c r="W135" s="376"/>
      <c r="X135" s="376"/>
      <c r="Y135" s="376"/>
      <c r="Z135" s="376"/>
    </row>
    <row r="136">
      <c r="A136" s="376"/>
      <c r="B136" s="376"/>
      <c r="C136" s="376"/>
      <c r="D136" s="376"/>
      <c r="E136" s="376"/>
      <c r="F136" s="376"/>
      <c r="G136" s="376"/>
      <c r="H136" s="376"/>
      <c r="I136" s="376"/>
      <c r="J136" s="376"/>
      <c r="K136" s="376"/>
      <c r="L136" s="376"/>
      <c r="M136" s="376"/>
      <c r="N136" s="376"/>
      <c r="O136" s="376"/>
      <c r="P136" s="376"/>
      <c r="Q136" s="376"/>
      <c r="R136" s="376"/>
      <c r="S136" s="376"/>
      <c r="T136" s="376"/>
      <c r="U136" s="376"/>
      <c r="V136" s="376"/>
      <c r="W136" s="376"/>
      <c r="X136" s="376"/>
      <c r="Y136" s="376"/>
      <c r="Z136" s="376"/>
    </row>
    <row r="137">
      <c r="A137" s="376"/>
      <c r="B137" s="376"/>
      <c r="C137" s="376"/>
      <c r="D137" s="376"/>
      <c r="E137" s="376"/>
      <c r="F137" s="376"/>
      <c r="G137" s="376"/>
      <c r="H137" s="376"/>
      <c r="I137" s="376"/>
      <c r="J137" s="376"/>
      <c r="K137" s="376"/>
      <c r="L137" s="376"/>
      <c r="M137" s="376"/>
      <c r="N137" s="376"/>
      <c r="O137" s="376"/>
      <c r="P137" s="376"/>
      <c r="Q137" s="376"/>
      <c r="R137" s="376"/>
      <c r="S137" s="376"/>
      <c r="T137" s="376"/>
      <c r="U137" s="376"/>
      <c r="V137" s="376"/>
      <c r="W137" s="376"/>
      <c r="X137" s="376"/>
      <c r="Y137" s="376"/>
      <c r="Z137" s="376"/>
    </row>
    <row r="138">
      <c r="A138" s="376"/>
      <c r="B138" s="376"/>
      <c r="C138" s="376"/>
      <c r="D138" s="376"/>
      <c r="E138" s="376"/>
      <c r="F138" s="376"/>
      <c r="G138" s="376"/>
      <c r="H138" s="376"/>
      <c r="I138" s="376"/>
      <c r="J138" s="376"/>
      <c r="K138" s="376"/>
      <c r="L138" s="376"/>
      <c r="M138" s="376"/>
      <c r="N138" s="376"/>
      <c r="O138" s="376"/>
      <c r="P138" s="376"/>
      <c r="Q138" s="376"/>
      <c r="R138" s="376"/>
      <c r="S138" s="376"/>
      <c r="T138" s="376"/>
      <c r="U138" s="376"/>
      <c r="V138" s="376"/>
      <c r="W138" s="376"/>
      <c r="X138" s="376"/>
      <c r="Y138" s="376"/>
      <c r="Z138" s="376"/>
    </row>
    <row r="139">
      <c r="A139" s="376"/>
      <c r="B139" s="376"/>
      <c r="C139" s="376"/>
      <c r="D139" s="376"/>
      <c r="E139" s="376"/>
      <c r="F139" s="376"/>
      <c r="G139" s="376"/>
      <c r="H139" s="376"/>
      <c r="I139" s="376"/>
      <c r="J139" s="376"/>
      <c r="K139" s="376"/>
      <c r="L139" s="376"/>
      <c r="M139" s="376"/>
      <c r="N139" s="376"/>
      <c r="O139" s="376"/>
      <c r="P139" s="376"/>
      <c r="Q139" s="376"/>
      <c r="R139" s="376"/>
      <c r="S139" s="376"/>
      <c r="T139" s="376"/>
      <c r="U139" s="376"/>
      <c r="V139" s="376"/>
      <c r="W139" s="376"/>
      <c r="X139" s="376"/>
      <c r="Y139" s="376"/>
      <c r="Z139" s="376"/>
    </row>
    <row r="140">
      <c r="A140" s="376"/>
      <c r="B140" s="376"/>
      <c r="C140" s="376"/>
      <c r="D140" s="376"/>
      <c r="E140" s="376"/>
      <c r="F140" s="376"/>
      <c r="G140" s="376"/>
      <c r="H140" s="376"/>
      <c r="I140" s="376"/>
      <c r="J140" s="376"/>
      <c r="K140" s="376"/>
      <c r="L140" s="376"/>
      <c r="M140" s="376"/>
      <c r="N140" s="376"/>
      <c r="O140" s="376"/>
      <c r="P140" s="376"/>
      <c r="Q140" s="376"/>
      <c r="R140" s="376"/>
      <c r="S140" s="376"/>
      <c r="T140" s="376"/>
      <c r="U140" s="376"/>
      <c r="V140" s="376"/>
      <c r="W140" s="376"/>
      <c r="X140" s="376"/>
      <c r="Y140" s="376"/>
      <c r="Z140" s="376"/>
    </row>
    <row r="141">
      <c r="A141" s="376"/>
      <c r="B141" s="376"/>
      <c r="C141" s="376"/>
      <c r="D141" s="376"/>
      <c r="E141" s="376"/>
      <c r="F141" s="376"/>
      <c r="G141" s="376"/>
      <c r="H141" s="376"/>
      <c r="I141" s="376"/>
      <c r="J141" s="376"/>
      <c r="K141" s="376"/>
      <c r="L141" s="376"/>
      <c r="M141" s="376"/>
      <c r="N141" s="376"/>
      <c r="O141" s="376"/>
      <c r="P141" s="376"/>
      <c r="Q141" s="376"/>
      <c r="R141" s="376"/>
      <c r="S141" s="376"/>
      <c r="T141" s="376"/>
      <c r="U141" s="376"/>
      <c r="V141" s="376"/>
      <c r="W141" s="376"/>
      <c r="X141" s="376"/>
      <c r="Y141" s="376"/>
      <c r="Z141" s="376"/>
    </row>
    <row r="142">
      <c r="A142" s="376"/>
      <c r="B142" s="376"/>
      <c r="C142" s="376"/>
      <c r="D142" s="376"/>
      <c r="E142" s="376"/>
      <c r="F142" s="376"/>
      <c r="G142" s="376"/>
      <c r="H142" s="376"/>
      <c r="I142" s="376"/>
      <c r="J142" s="376"/>
      <c r="K142" s="376"/>
      <c r="L142" s="376"/>
      <c r="M142" s="376"/>
      <c r="N142" s="376"/>
      <c r="O142" s="376"/>
      <c r="P142" s="376"/>
      <c r="Q142" s="376"/>
      <c r="R142" s="376"/>
      <c r="S142" s="376"/>
      <c r="T142" s="376"/>
      <c r="U142" s="376"/>
      <c r="V142" s="376"/>
      <c r="W142" s="376"/>
      <c r="X142" s="376"/>
      <c r="Y142" s="376"/>
      <c r="Z142" s="376"/>
    </row>
    <row r="143">
      <c r="A143" s="376"/>
      <c r="B143" s="376"/>
      <c r="C143" s="376"/>
      <c r="D143" s="376"/>
      <c r="E143" s="376"/>
      <c r="F143" s="376"/>
      <c r="G143" s="376"/>
      <c r="H143" s="376"/>
      <c r="I143" s="376"/>
      <c r="J143" s="376"/>
      <c r="K143" s="376"/>
      <c r="L143" s="376"/>
      <c r="M143" s="376"/>
      <c r="N143" s="376"/>
      <c r="O143" s="376"/>
      <c r="P143" s="376"/>
      <c r="Q143" s="376"/>
      <c r="R143" s="376"/>
      <c r="S143" s="376"/>
      <c r="T143" s="376"/>
      <c r="U143" s="376"/>
      <c r="V143" s="376"/>
      <c r="W143" s="376"/>
      <c r="X143" s="376"/>
      <c r="Y143" s="376"/>
      <c r="Z143" s="376"/>
    </row>
    <row r="144">
      <c r="A144" s="376"/>
      <c r="B144" s="376"/>
      <c r="C144" s="376"/>
      <c r="D144" s="376"/>
      <c r="E144" s="376"/>
      <c r="F144" s="376"/>
      <c r="G144" s="376"/>
      <c r="H144" s="376"/>
      <c r="I144" s="376"/>
      <c r="J144" s="376"/>
      <c r="K144" s="376"/>
      <c r="L144" s="376"/>
      <c r="M144" s="376"/>
      <c r="N144" s="376"/>
      <c r="O144" s="376"/>
      <c r="P144" s="376"/>
      <c r="Q144" s="376"/>
      <c r="R144" s="376"/>
      <c r="S144" s="376"/>
      <c r="T144" s="376"/>
      <c r="U144" s="376"/>
      <c r="V144" s="376"/>
      <c r="W144" s="376"/>
      <c r="X144" s="376"/>
      <c r="Y144" s="376"/>
      <c r="Z144" s="376"/>
    </row>
    <row r="145">
      <c r="A145" s="376"/>
      <c r="B145" s="376"/>
      <c r="C145" s="376"/>
      <c r="D145" s="376"/>
      <c r="E145" s="376"/>
      <c r="F145" s="376"/>
      <c r="G145" s="376"/>
      <c r="H145" s="376"/>
      <c r="I145" s="376"/>
      <c r="J145" s="376"/>
      <c r="K145" s="376"/>
      <c r="L145" s="376"/>
      <c r="M145" s="376"/>
      <c r="N145" s="376"/>
      <c r="O145" s="376"/>
      <c r="P145" s="376"/>
      <c r="Q145" s="376"/>
      <c r="R145" s="376"/>
      <c r="S145" s="376"/>
      <c r="T145" s="376"/>
      <c r="U145" s="376"/>
      <c r="V145" s="376"/>
      <c r="W145" s="376"/>
      <c r="X145" s="376"/>
      <c r="Y145" s="376"/>
      <c r="Z145" s="376"/>
    </row>
    <row r="146">
      <c r="A146" s="376"/>
      <c r="B146" s="376"/>
      <c r="C146" s="376"/>
      <c r="D146" s="376"/>
      <c r="E146" s="376"/>
      <c r="F146" s="376"/>
      <c r="G146" s="376"/>
      <c r="H146" s="376"/>
      <c r="I146" s="376"/>
      <c r="J146" s="376"/>
      <c r="K146" s="376"/>
      <c r="L146" s="376"/>
      <c r="M146" s="376"/>
      <c r="N146" s="376"/>
      <c r="O146" s="376"/>
      <c r="P146" s="376"/>
      <c r="Q146" s="376"/>
      <c r="R146" s="376"/>
      <c r="S146" s="376"/>
      <c r="T146" s="376"/>
      <c r="U146" s="376"/>
      <c r="V146" s="376"/>
      <c r="W146" s="376"/>
      <c r="X146" s="376"/>
      <c r="Y146" s="376"/>
      <c r="Z146" s="376"/>
    </row>
    <row r="147">
      <c r="A147" s="376"/>
      <c r="B147" s="376"/>
      <c r="C147" s="376"/>
      <c r="D147" s="376"/>
      <c r="E147" s="376"/>
      <c r="F147" s="376"/>
      <c r="G147" s="376"/>
      <c r="H147" s="376"/>
      <c r="I147" s="376"/>
      <c r="J147" s="376"/>
      <c r="K147" s="376"/>
      <c r="L147" s="376"/>
      <c r="M147" s="376"/>
      <c r="N147" s="376"/>
      <c r="O147" s="376"/>
      <c r="P147" s="376"/>
      <c r="Q147" s="376"/>
      <c r="R147" s="376"/>
      <c r="S147" s="376"/>
      <c r="T147" s="376"/>
      <c r="U147" s="376"/>
      <c r="V147" s="376"/>
      <c r="W147" s="376"/>
      <c r="X147" s="376"/>
      <c r="Y147" s="376"/>
      <c r="Z147" s="376"/>
    </row>
    <row r="148">
      <c r="A148" s="376"/>
      <c r="B148" s="376"/>
      <c r="C148" s="376"/>
      <c r="D148" s="376"/>
      <c r="E148" s="376"/>
      <c r="F148" s="376"/>
      <c r="G148" s="376"/>
      <c r="H148" s="376"/>
      <c r="I148" s="376"/>
      <c r="J148" s="376"/>
      <c r="K148" s="376"/>
      <c r="L148" s="376"/>
      <c r="M148" s="376"/>
      <c r="N148" s="376"/>
      <c r="O148" s="376"/>
      <c r="P148" s="376"/>
      <c r="Q148" s="376"/>
      <c r="R148" s="376"/>
      <c r="S148" s="376"/>
      <c r="T148" s="376"/>
      <c r="U148" s="376"/>
      <c r="V148" s="376"/>
      <c r="W148" s="376"/>
      <c r="X148" s="376"/>
      <c r="Y148" s="376"/>
      <c r="Z148" s="376"/>
    </row>
    <row r="149">
      <c r="A149" s="376"/>
      <c r="B149" s="376"/>
      <c r="C149" s="376"/>
      <c r="D149" s="376"/>
      <c r="E149" s="376"/>
      <c r="F149" s="376"/>
      <c r="G149" s="376"/>
      <c r="H149" s="376"/>
      <c r="I149" s="376"/>
      <c r="J149" s="376"/>
      <c r="K149" s="376"/>
      <c r="L149" s="376"/>
      <c r="M149" s="376"/>
      <c r="N149" s="376"/>
      <c r="O149" s="376"/>
      <c r="P149" s="376"/>
      <c r="Q149" s="376"/>
      <c r="R149" s="376"/>
      <c r="S149" s="376"/>
      <c r="T149" s="376"/>
      <c r="U149" s="376"/>
      <c r="V149" s="376"/>
      <c r="W149" s="376"/>
      <c r="X149" s="376"/>
      <c r="Y149" s="376"/>
      <c r="Z149" s="376"/>
    </row>
    <row r="150">
      <c r="A150" s="376"/>
      <c r="B150" s="376"/>
      <c r="C150" s="376"/>
      <c r="D150" s="376"/>
      <c r="E150" s="376"/>
      <c r="F150" s="376"/>
      <c r="G150" s="376"/>
      <c r="H150" s="376"/>
      <c r="I150" s="376"/>
      <c r="J150" s="376"/>
      <c r="K150" s="376"/>
      <c r="L150" s="376"/>
      <c r="M150" s="376"/>
      <c r="N150" s="376"/>
      <c r="O150" s="376"/>
      <c r="P150" s="376"/>
      <c r="Q150" s="376"/>
      <c r="R150" s="376"/>
      <c r="S150" s="376"/>
      <c r="T150" s="376"/>
      <c r="U150" s="376"/>
      <c r="V150" s="376"/>
      <c r="W150" s="376"/>
      <c r="X150" s="376"/>
      <c r="Y150" s="376"/>
      <c r="Z150" s="376"/>
    </row>
    <row r="151">
      <c r="A151" s="376"/>
      <c r="B151" s="376"/>
      <c r="C151" s="376"/>
      <c r="D151" s="376"/>
      <c r="E151" s="376"/>
      <c r="F151" s="376"/>
      <c r="G151" s="376"/>
      <c r="H151" s="376"/>
      <c r="I151" s="376"/>
      <c r="J151" s="376"/>
      <c r="K151" s="376"/>
      <c r="L151" s="376"/>
      <c r="M151" s="376"/>
      <c r="N151" s="376"/>
      <c r="O151" s="376"/>
      <c r="P151" s="376"/>
      <c r="Q151" s="376"/>
      <c r="R151" s="376"/>
      <c r="S151" s="376"/>
      <c r="T151" s="376"/>
      <c r="U151" s="376"/>
      <c r="V151" s="376"/>
      <c r="W151" s="376"/>
      <c r="X151" s="376"/>
      <c r="Y151" s="376"/>
      <c r="Z151" s="376"/>
    </row>
    <row r="152">
      <c r="A152" s="376"/>
      <c r="B152" s="376"/>
      <c r="C152" s="376"/>
      <c r="D152" s="376"/>
      <c r="E152" s="376"/>
      <c r="F152" s="376"/>
      <c r="G152" s="376"/>
      <c r="H152" s="376"/>
      <c r="I152" s="376"/>
      <c r="J152" s="376"/>
      <c r="K152" s="376"/>
      <c r="L152" s="376"/>
      <c r="M152" s="376"/>
      <c r="N152" s="376"/>
      <c r="O152" s="376"/>
      <c r="P152" s="376"/>
      <c r="Q152" s="376"/>
      <c r="R152" s="376"/>
      <c r="S152" s="376"/>
      <c r="T152" s="376"/>
      <c r="U152" s="376"/>
      <c r="V152" s="376"/>
      <c r="W152" s="376"/>
      <c r="X152" s="376"/>
      <c r="Y152" s="376"/>
      <c r="Z152" s="376"/>
    </row>
    <row r="153">
      <c r="A153" s="376"/>
      <c r="B153" s="376"/>
      <c r="C153" s="376"/>
      <c r="D153" s="376"/>
      <c r="E153" s="376"/>
      <c r="F153" s="376"/>
      <c r="G153" s="376"/>
      <c r="H153" s="376"/>
      <c r="I153" s="376"/>
      <c r="J153" s="376"/>
      <c r="K153" s="376"/>
      <c r="L153" s="376"/>
      <c r="M153" s="376"/>
      <c r="N153" s="376"/>
      <c r="O153" s="376"/>
      <c r="P153" s="376"/>
      <c r="Q153" s="376"/>
      <c r="R153" s="376"/>
      <c r="S153" s="376"/>
      <c r="T153" s="376"/>
      <c r="U153" s="376"/>
      <c r="V153" s="376"/>
      <c r="W153" s="376"/>
      <c r="X153" s="376"/>
      <c r="Y153" s="376"/>
      <c r="Z153" s="376"/>
    </row>
    <row r="154">
      <c r="A154" s="376"/>
      <c r="B154" s="376"/>
      <c r="C154" s="376"/>
      <c r="D154" s="376"/>
      <c r="E154" s="376"/>
      <c r="F154" s="376"/>
      <c r="G154" s="376"/>
      <c r="H154" s="376"/>
      <c r="I154" s="376"/>
      <c r="J154" s="376"/>
      <c r="K154" s="376"/>
      <c r="L154" s="376"/>
      <c r="M154" s="376"/>
      <c r="N154" s="376"/>
      <c r="O154" s="376"/>
      <c r="P154" s="376"/>
      <c r="Q154" s="376"/>
      <c r="R154" s="376"/>
      <c r="S154" s="376"/>
      <c r="T154" s="376"/>
      <c r="U154" s="376"/>
      <c r="V154" s="376"/>
      <c r="W154" s="376"/>
      <c r="X154" s="376"/>
      <c r="Y154" s="376"/>
      <c r="Z154" s="376"/>
    </row>
    <row r="155">
      <c r="A155" s="376"/>
      <c r="B155" s="376"/>
      <c r="C155" s="376"/>
      <c r="D155" s="376"/>
      <c r="E155" s="376"/>
      <c r="F155" s="376"/>
      <c r="G155" s="376"/>
      <c r="H155" s="376"/>
      <c r="I155" s="376"/>
      <c r="J155" s="376"/>
      <c r="K155" s="376"/>
      <c r="L155" s="376"/>
      <c r="M155" s="376"/>
      <c r="N155" s="376"/>
      <c r="O155" s="376"/>
      <c r="P155" s="376"/>
      <c r="Q155" s="376"/>
      <c r="R155" s="376"/>
      <c r="S155" s="376"/>
      <c r="T155" s="376"/>
      <c r="U155" s="376"/>
      <c r="V155" s="376"/>
      <c r="W155" s="376"/>
      <c r="X155" s="376"/>
      <c r="Y155" s="376"/>
      <c r="Z155" s="376"/>
    </row>
    <row r="156">
      <c r="A156" s="376"/>
      <c r="B156" s="376"/>
      <c r="C156" s="376"/>
      <c r="D156" s="376"/>
      <c r="E156" s="376"/>
      <c r="F156" s="376"/>
      <c r="G156" s="376"/>
      <c r="H156" s="376"/>
      <c r="I156" s="376"/>
      <c r="J156" s="376"/>
      <c r="K156" s="376"/>
      <c r="L156" s="376"/>
      <c r="M156" s="376"/>
      <c r="N156" s="376"/>
      <c r="O156" s="376"/>
      <c r="P156" s="376"/>
      <c r="Q156" s="376"/>
      <c r="R156" s="376"/>
      <c r="S156" s="376"/>
      <c r="T156" s="376"/>
      <c r="U156" s="376"/>
      <c r="V156" s="376"/>
      <c r="W156" s="376"/>
      <c r="X156" s="376"/>
      <c r="Y156" s="376"/>
      <c r="Z156" s="376"/>
    </row>
    <row r="157">
      <c r="A157" s="376"/>
      <c r="B157" s="376"/>
      <c r="C157" s="376"/>
      <c r="D157" s="376"/>
      <c r="E157" s="376"/>
      <c r="F157" s="376"/>
      <c r="G157" s="376"/>
      <c r="H157" s="376"/>
      <c r="I157" s="376"/>
      <c r="J157" s="376"/>
      <c r="K157" s="376"/>
      <c r="L157" s="376"/>
      <c r="M157" s="376"/>
      <c r="N157" s="376"/>
      <c r="O157" s="376"/>
      <c r="P157" s="376"/>
      <c r="Q157" s="376"/>
      <c r="R157" s="376"/>
      <c r="S157" s="376"/>
      <c r="T157" s="376"/>
      <c r="U157" s="376"/>
      <c r="V157" s="376"/>
      <c r="W157" s="376"/>
      <c r="X157" s="376"/>
      <c r="Y157" s="376"/>
      <c r="Z157" s="376"/>
    </row>
    <row r="158">
      <c r="A158" s="376"/>
      <c r="B158" s="376"/>
      <c r="C158" s="376"/>
      <c r="D158" s="376"/>
      <c r="E158" s="376"/>
      <c r="F158" s="376"/>
      <c r="G158" s="376"/>
      <c r="H158" s="376"/>
      <c r="I158" s="376"/>
      <c r="J158" s="376"/>
      <c r="K158" s="376"/>
      <c r="L158" s="376"/>
      <c r="M158" s="376"/>
      <c r="N158" s="376"/>
      <c r="O158" s="376"/>
      <c r="P158" s="376"/>
      <c r="Q158" s="376"/>
      <c r="R158" s="376"/>
      <c r="S158" s="376"/>
      <c r="T158" s="376"/>
      <c r="U158" s="376"/>
      <c r="V158" s="376"/>
      <c r="W158" s="376"/>
      <c r="X158" s="376"/>
      <c r="Y158" s="376"/>
      <c r="Z158" s="376"/>
    </row>
    <row r="159">
      <c r="A159" s="376"/>
      <c r="B159" s="376"/>
      <c r="C159" s="376"/>
      <c r="D159" s="376"/>
      <c r="E159" s="376"/>
      <c r="F159" s="376"/>
      <c r="G159" s="376"/>
      <c r="H159" s="376"/>
      <c r="I159" s="376"/>
      <c r="J159" s="376"/>
      <c r="K159" s="376"/>
      <c r="L159" s="376"/>
      <c r="M159" s="376"/>
      <c r="N159" s="376"/>
      <c r="O159" s="376"/>
      <c r="P159" s="376"/>
      <c r="Q159" s="376"/>
      <c r="R159" s="376"/>
      <c r="S159" s="376"/>
      <c r="T159" s="376"/>
      <c r="U159" s="376"/>
      <c r="V159" s="376"/>
      <c r="W159" s="376"/>
      <c r="X159" s="376"/>
      <c r="Y159" s="376"/>
      <c r="Z159" s="376"/>
    </row>
    <row r="160">
      <c r="A160" s="376"/>
      <c r="B160" s="376"/>
      <c r="C160" s="376"/>
      <c r="D160" s="376"/>
      <c r="E160" s="376"/>
      <c r="F160" s="376"/>
      <c r="G160" s="376"/>
      <c r="H160" s="376"/>
      <c r="I160" s="376"/>
      <c r="J160" s="376"/>
      <c r="K160" s="376"/>
      <c r="L160" s="376"/>
      <c r="M160" s="376"/>
      <c r="N160" s="376"/>
      <c r="O160" s="376"/>
      <c r="P160" s="376"/>
      <c r="Q160" s="376"/>
      <c r="R160" s="376"/>
      <c r="S160" s="376"/>
      <c r="T160" s="376"/>
      <c r="U160" s="376"/>
      <c r="V160" s="376"/>
      <c r="W160" s="376"/>
      <c r="X160" s="376"/>
      <c r="Y160" s="376"/>
      <c r="Z160" s="376"/>
    </row>
    <row r="161">
      <c r="A161" s="376"/>
      <c r="B161" s="376"/>
      <c r="C161" s="376"/>
      <c r="D161" s="376"/>
      <c r="E161" s="376"/>
      <c r="F161" s="376"/>
      <c r="G161" s="376"/>
      <c r="H161" s="376"/>
      <c r="I161" s="376"/>
      <c r="J161" s="376"/>
      <c r="K161" s="376"/>
      <c r="L161" s="376"/>
      <c r="M161" s="376"/>
      <c r="N161" s="376"/>
      <c r="O161" s="376"/>
      <c r="P161" s="376"/>
      <c r="Q161" s="376"/>
      <c r="R161" s="376"/>
      <c r="S161" s="376"/>
      <c r="T161" s="376"/>
      <c r="U161" s="376"/>
      <c r="V161" s="376"/>
      <c r="W161" s="376"/>
      <c r="X161" s="376"/>
      <c r="Y161" s="376"/>
      <c r="Z161" s="376"/>
    </row>
    <row r="162">
      <c r="A162" s="376"/>
      <c r="B162" s="376"/>
      <c r="C162" s="376"/>
      <c r="D162" s="376"/>
      <c r="E162" s="376"/>
      <c r="F162" s="376"/>
      <c r="G162" s="376"/>
      <c r="H162" s="376"/>
      <c r="I162" s="376"/>
      <c r="J162" s="376"/>
      <c r="K162" s="376"/>
      <c r="L162" s="376"/>
      <c r="M162" s="376"/>
      <c r="N162" s="376"/>
      <c r="O162" s="376"/>
      <c r="P162" s="376"/>
      <c r="Q162" s="376"/>
      <c r="R162" s="376"/>
      <c r="S162" s="376"/>
      <c r="T162" s="376"/>
      <c r="U162" s="376"/>
      <c r="V162" s="376"/>
      <c r="W162" s="376"/>
      <c r="X162" s="376"/>
      <c r="Y162" s="376"/>
      <c r="Z162" s="376"/>
    </row>
    <row r="163">
      <c r="A163" s="376"/>
      <c r="B163" s="376"/>
      <c r="C163" s="376"/>
      <c r="D163" s="376"/>
      <c r="E163" s="376"/>
      <c r="F163" s="376"/>
      <c r="G163" s="376"/>
      <c r="H163" s="376"/>
      <c r="I163" s="376"/>
      <c r="J163" s="376"/>
      <c r="K163" s="376"/>
      <c r="L163" s="376"/>
      <c r="M163" s="376"/>
      <c r="N163" s="376"/>
      <c r="O163" s="376"/>
      <c r="P163" s="376"/>
      <c r="Q163" s="376"/>
      <c r="R163" s="376"/>
      <c r="S163" s="376"/>
      <c r="T163" s="376"/>
      <c r="U163" s="376"/>
      <c r="V163" s="376"/>
      <c r="W163" s="376"/>
      <c r="X163" s="376"/>
      <c r="Y163" s="376"/>
      <c r="Z163" s="376"/>
    </row>
    <row r="164">
      <c r="A164" s="376"/>
      <c r="B164" s="376"/>
      <c r="C164" s="376"/>
      <c r="D164" s="376"/>
      <c r="E164" s="376"/>
      <c r="F164" s="376"/>
      <c r="G164" s="376"/>
      <c r="H164" s="376"/>
      <c r="I164" s="376"/>
      <c r="J164" s="376"/>
      <c r="K164" s="376"/>
      <c r="L164" s="376"/>
      <c r="M164" s="376"/>
      <c r="N164" s="376"/>
      <c r="O164" s="376"/>
      <c r="P164" s="376"/>
      <c r="Q164" s="376"/>
      <c r="R164" s="376"/>
      <c r="S164" s="376"/>
      <c r="T164" s="376"/>
      <c r="U164" s="376"/>
      <c r="V164" s="376"/>
      <c r="W164" s="376"/>
      <c r="X164" s="376"/>
      <c r="Y164" s="376"/>
      <c r="Z164" s="376"/>
    </row>
    <row r="165">
      <c r="A165" s="376"/>
      <c r="B165" s="376"/>
      <c r="C165" s="376"/>
      <c r="D165" s="376"/>
      <c r="E165" s="376"/>
      <c r="F165" s="376"/>
      <c r="G165" s="376"/>
      <c r="H165" s="376"/>
      <c r="I165" s="376"/>
      <c r="J165" s="376"/>
      <c r="K165" s="376"/>
      <c r="L165" s="376"/>
      <c r="M165" s="376"/>
      <c r="N165" s="376"/>
      <c r="O165" s="376"/>
      <c r="P165" s="376"/>
      <c r="Q165" s="376"/>
      <c r="R165" s="376"/>
      <c r="S165" s="376"/>
      <c r="T165" s="376"/>
      <c r="U165" s="376"/>
      <c r="V165" s="376"/>
      <c r="W165" s="376"/>
      <c r="X165" s="376"/>
      <c r="Y165" s="376"/>
      <c r="Z165" s="376"/>
    </row>
    <row r="166">
      <c r="A166" s="376"/>
      <c r="B166" s="376"/>
      <c r="C166" s="376"/>
      <c r="D166" s="376"/>
      <c r="E166" s="376"/>
      <c r="F166" s="376"/>
      <c r="G166" s="376"/>
      <c r="H166" s="376"/>
      <c r="I166" s="376"/>
      <c r="J166" s="376"/>
      <c r="K166" s="376"/>
      <c r="L166" s="376"/>
      <c r="M166" s="376"/>
      <c r="N166" s="376"/>
      <c r="O166" s="376"/>
      <c r="P166" s="376"/>
      <c r="Q166" s="376"/>
      <c r="R166" s="376"/>
      <c r="S166" s="376"/>
      <c r="T166" s="376"/>
      <c r="U166" s="376"/>
      <c r="V166" s="376"/>
      <c r="W166" s="376"/>
      <c r="X166" s="376"/>
      <c r="Y166" s="376"/>
      <c r="Z166" s="376"/>
    </row>
    <row r="167">
      <c r="A167" s="376"/>
      <c r="B167" s="376"/>
      <c r="C167" s="376"/>
      <c r="D167" s="376"/>
      <c r="E167" s="376"/>
      <c r="F167" s="376"/>
      <c r="G167" s="376"/>
      <c r="H167" s="376"/>
      <c r="I167" s="376"/>
      <c r="J167" s="376"/>
      <c r="K167" s="376"/>
      <c r="L167" s="376"/>
      <c r="M167" s="376"/>
      <c r="N167" s="376"/>
      <c r="O167" s="376"/>
      <c r="P167" s="376"/>
      <c r="Q167" s="376"/>
      <c r="R167" s="376"/>
      <c r="S167" s="376"/>
      <c r="T167" s="376"/>
      <c r="U167" s="376"/>
      <c r="V167" s="376"/>
      <c r="W167" s="376"/>
      <c r="X167" s="376"/>
      <c r="Y167" s="376"/>
      <c r="Z167" s="376"/>
    </row>
    <row r="168">
      <c r="A168" s="376"/>
      <c r="B168" s="376"/>
      <c r="C168" s="376"/>
      <c r="D168" s="376"/>
      <c r="E168" s="376"/>
      <c r="F168" s="376"/>
      <c r="G168" s="376"/>
      <c r="H168" s="376"/>
      <c r="I168" s="376"/>
      <c r="J168" s="376"/>
      <c r="K168" s="376"/>
      <c r="L168" s="376"/>
      <c r="M168" s="376"/>
      <c r="N168" s="376"/>
      <c r="O168" s="376"/>
      <c r="P168" s="376"/>
      <c r="Q168" s="376"/>
      <c r="R168" s="376"/>
      <c r="S168" s="376"/>
      <c r="T168" s="376"/>
      <c r="U168" s="376"/>
      <c r="V168" s="376"/>
      <c r="W168" s="376"/>
      <c r="X168" s="376"/>
      <c r="Y168" s="376"/>
      <c r="Z168" s="376"/>
    </row>
    <row r="169">
      <c r="A169" s="376"/>
      <c r="B169" s="376"/>
      <c r="C169" s="376"/>
      <c r="D169" s="376"/>
      <c r="E169" s="376"/>
      <c r="F169" s="376"/>
      <c r="G169" s="376"/>
      <c r="H169" s="376"/>
      <c r="I169" s="376"/>
      <c r="J169" s="376"/>
      <c r="K169" s="376"/>
      <c r="L169" s="376"/>
      <c r="M169" s="376"/>
      <c r="N169" s="376"/>
      <c r="O169" s="376"/>
      <c r="P169" s="376"/>
      <c r="Q169" s="376"/>
      <c r="R169" s="376"/>
      <c r="S169" s="376"/>
      <c r="T169" s="376"/>
      <c r="U169" s="376"/>
      <c r="V169" s="376"/>
      <c r="W169" s="376"/>
      <c r="X169" s="376"/>
      <c r="Y169" s="376"/>
      <c r="Z169" s="376"/>
    </row>
    <row r="170">
      <c r="A170" s="376"/>
      <c r="B170" s="376"/>
      <c r="C170" s="376"/>
      <c r="D170" s="376"/>
      <c r="E170" s="376"/>
      <c r="F170" s="376"/>
      <c r="G170" s="376"/>
      <c r="H170" s="376"/>
      <c r="I170" s="376"/>
      <c r="J170" s="376"/>
      <c r="K170" s="376"/>
      <c r="L170" s="376"/>
      <c r="M170" s="376"/>
      <c r="N170" s="376"/>
      <c r="O170" s="376"/>
      <c r="P170" s="376"/>
      <c r="Q170" s="376"/>
      <c r="R170" s="376"/>
      <c r="S170" s="376"/>
      <c r="T170" s="376"/>
      <c r="U170" s="376"/>
      <c r="V170" s="376"/>
      <c r="W170" s="376"/>
      <c r="X170" s="376"/>
      <c r="Y170" s="376"/>
      <c r="Z170" s="376"/>
    </row>
    <row r="171">
      <c r="A171" s="376"/>
      <c r="B171" s="376"/>
      <c r="C171" s="376"/>
      <c r="D171" s="376"/>
      <c r="E171" s="376"/>
      <c r="F171" s="376"/>
      <c r="G171" s="376"/>
      <c r="H171" s="376"/>
      <c r="I171" s="376"/>
      <c r="J171" s="376"/>
      <c r="K171" s="376"/>
      <c r="L171" s="376"/>
      <c r="M171" s="376"/>
      <c r="N171" s="376"/>
      <c r="O171" s="376"/>
      <c r="P171" s="376"/>
      <c r="Q171" s="376"/>
      <c r="R171" s="376"/>
      <c r="S171" s="376"/>
      <c r="T171" s="376"/>
      <c r="U171" s="376"/>
      <c r="V171" s="376"/>
      <c r="W171" s="376"/>
      <c r="X171" s="376"/>
      <c r="Y171" s="376"/>
      <c r="Z171" s="376"/>
    </row>
    <row r="172">
      <c r="A172" s="376"/>
      <c r="B172" s="376"/>
      <c r="C172" s="376"/>
      <c r="D172" s="376"/>
      <c r="E172" s="376"/>
      <c r="F172" s="376"/>
      <c r="G172" s="376"/>
      <c r="H172" s="376"/>
      <c r="I172" s="376"/>
      <c r="J172" s="376"/>
      <c r="K172" s="376"/>
      <c r="L172" s="376"/>
      <c r="M172" s="376"/>
      <c r="N172" s="376"/>
      <c r="O172" s="376"/>
      <c r="P172" s="376"/>
      <c r="Q172" s="376"/>
      <c r="R172" s="376"/>
      <c r="S172" s="376"/>
      <c r="T172" s="376"/>
      <c r="U172" s="376"/>
      <c r="V172" s="376"/>
      <c r="W172" s="376"/>
      <c r="X172" s="376"/>
      <c r="Y172" s="376"/>
      <c r="Z172" s="376"/>
    </row>
    <row r="173">
      <c r="A173" s="376"/>
      <c r="B173" s="376"/>
      <c r="C173" s="376"/>
      <c r="D173" s="376"/>
      <c r="E173" s="376"/>
      <c r="F173" s="376"/>
      <c r="G173" s="376"/>
      <c r="H173" s="376"/>
      <c r="I173" s="376"/>
      <c r="J173" s="376"/>
      <c r="K173" s="376"/>
      <c r="L173" s="376"/>
      <c r="M173" s="376"/>
      <c r="N173" s="376"/>
      <c r="O173" s="376"/>
      <c r="P173" s="376"/>
      <c r="Q173" s="376"/>
      <c r="R173" s="376"/>
      <c r="S173" s="376"/>
      <c r="T173" s="376"/>
      <c r="U173" s="376"/>
      <c r="V173" s="376"/>
      <c r="W173" s="376"/>
      <c r="X173" s="376"/>
      <c r="Y173" s="376"/>
      <c r="Z173" s="376"/>
    </row>
    <row r="174">
      <c r="A174" s="376"/>
      <c r="B174" s="376"/>
      <c r="C174" s="376"/>
      <c r="D174" s="376"/>
      <c r="E174" s="376"/>
      <c r="F174" s="376"/>
      <c r="G174" s="376"/>
      <c r="H174" s="376"/>
      <c r="I174" s="376"/>
      <c r="J174" s="376"/>
      <c r="K174" s="376"/>
      <c r="L174" s="376"/>
      <c r="M174" s="376"/>
      <c r="N174" s="376"/>
      <c r="O174" s="376"/>
      <c r="P174" s="376"/>
      <c r="Q174" s="376"/>
      <c r="R174" s="376"/>
      <c r="S174" s="376"/>
      <c r="T174" s="376"/>
      <c r="U174" s="376"/>
      <c r="V174" s="376"/>
      <c r="W174" s="376"/>
      <c r="X174" s="376"/>
      <c r="Y174" s="376"/>
      <c r="Z174" s="376"/>
    </row>
    <row r="175">
      <c r="A175" s="376"/>
      <c r="B175" s="376"/>
      <c r="C175" s="376"/>
      <c r="D175" s="376"/>
      <c r="E175" s="376"/>
      <c r="F175" s="376"/>
      <c r="G175" s="376"/>
      <c r="H175" s="376"/>
      <c r="I175" s="376"/>
      <c r="J175" s="376"/>
      <c r="K175" s="376"/>
      <c r="L175" s="376"/>
      <c r="M175" s="376"/>
      <c r="N175" s="376"/>
      <c r="O175" s="376"/>
      <c r="P175" s="376"/>
      <c r="Q175" s="376"/>
      <c r="R175" s="376"/>
      <c r="S175" s="376"/>
      <c r="T175" s="376"/>
      <c r="U175" s="376"/>
      <c r="V175" s="376"/>
      <c r="W175" s="376"/>
      <c r="X175" s="376"/>
      <c r="Y175" s="376"/>
      <c r="Z175" s="376"/>
    </row>
    <row r="176">
      <c r="A176" s="376"/>
      <c r="B176" s="376"/>
      <c r="C176" s="376"/>
      <c r="D176" s="376"/>
      <c r="E176" s="376"/>
      <c r="F176" s="376"/>
      <c r="G176" s="376"/>
      <c r="H176" s="376"/>
      <c r="I176" s="376"/>
      <c r="J176" s="376"/>
      <c r="K176" s="376"/>
      <c r="L176" s="376"/>
      <c r="M176" s="376"/>
      <c r="N176" s="376"/>
      <c r="O176" s="376"/>
      <c r="P176" s="376"/>
      <c r="Q176" s="376"/>
      <c r="R176" s="376"/>
      <c r="S176" s="376"/>
      <c r="T176" s="376"/>
      <c r="U176" s="376"/>
      <c r="V176" s="376"/>
      <c r="W176" s="376"/>
      <c r="X176" s="376"/>
      <c r="Y176" s="376"/>
      <c r="Z176" s="376"/>
    </row>
    <row r="177">
      <c r="A177" s="376"/>
      <c r="B177" s="376"/>
      <c r="C177" s="376"/>
      <c r="D177" s="376"/>
      <c r="E177" s="376"/>
      <c r="F177" s="376"/>
      <c r="G177" s="376"/>
      <c r="H177" s="376"/>
      <c r="I177" s="376"/>
      <c r="J177" s="376"/>
      <c r="K177" s="376"/>
      <c r="L177" s="376"/>
      <c r="M177" s="376"/>
      <c r="N177" s="376"/>
      <c r="O177" s="376"/>
      <c r="P177" s="376"/>
      <c r="Q177" s="376"/>
      <c r="R177" s="376"/>
      <c r="S177" s="376"/>
      <c r="T177" s="376"/>
      <c r="U177" s="376"/>
      <c r="V177" s="376"/>
      <c r="W177" s="376"/>
      <c r="X177" s="376"/>
      <c r="Y177" s="376"/>
      <c r="Z177" s="376"/>
    </row>
    <row r="178">
      <c r="A178" s="376"/>
      <c r="B178" s="376"/>
      <c r="C178" s="376"/>
      <c r="D178" s="376"/>
      <c r="E178" s="376"/>
      <c r="F178" s="376"/>
      <c r="G178" s="376"/>
      <c r="H178" s="376"/>
      <c r="I178" s="376"/>
      <c r="J178" s="376"/>
      <c r="K178" s="376"/>
      <c r="L178" s="376"/>
      <c r="M178" s="376"/>
      <c r="N178" s="376"/>
      <c r="O178" s="376"/>
      <c r="P178" s="376"/>
      <c r="Q178" s="376"/>
      <c r="R178" s="376"/>
      <c r="S178" s="376"/>
      <c r="T178" s="376"/>
      <c r="U178" s="376"/>
      <c r="V178" s="376"/>
      <c r="W178" s="376"/>
      <c r="X178" s="376"/>
      <c r="Y178" s="376"/>
      <c r="Z178" s="376"/>
    </row>
    <row r="179">
      <c r="A179" s="376"/>
      <c r="B179" s="376"/>
      <c r="C179" s="376"/>
      <c r="D179" s="376"/>
      <c r="E179" s="376"/>
      <c r="F179" s="376"/>
      <c r="G179" s="376"/>
      <c r="H179" s="376"/>
      <c r="I179" s="376"/>
      <c r="J179" s="376"/>
      <c r="K179" s="376"/>
      <c r="L179" s="376"/>
      <c r="M179" s="376"/>
      <c r="N179" s="376"/>
      <c r="O179" s="376"/>
      <c r="P179" s="376"/>
      <c r="Q179" s="376"/>
      <c r="R179" s="376"/>
      <c r="S179" s="376"/>
      <c r="T179" s="376"/>
      <c r="U179" s="376"/>
      <c r="V179" s="376"/>
      <c r="W179" s="376"/>
      <c r="X179" s="376"/>
      <c r="Y179" s="376"/>
      <c r="Z179" s="376"/>
    </row>
    <row r="180">
      <c r="A180" s="376"/>
      <c r="B180" s="376"/>
      <c r="C180" s="376"/>
      <c r="D180" s="376"/>
      <c r="E180" s="376"/>
      <c r="F180" s="376"/>
      <c r="G180" s="376"/>
      <c r="H180" s="376"/>
      <c r="I180" s="376"/>
      <c r="J180" s="376"/>
      <c r="K180" s="376"/>
      <c r="L180" s="376"/>
      <c r="M180" s="376"/>
      <c r="N180" s="376"/>
      <c r="O180" s="376"/>
      <c r="P180" s="376"/>
      <c r="Q180" s="376"/>
      <c r="R180" s="376"/>
      <c r="S180" s="376"/>
      <c r="T180" s="376"/>
      <c r="U180" s="376"/>
      <c r="V180" s="376"/>
      <c r="W180" s="376"/>
      <c r="X180" s="376"/>
      <c r="Y180" s="376"/>
      <c r="Z180" s="376"/>
    </row>
    <row r="181">
      <c r="A181" s="376"/>
      <c r="B181" s="376"/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6"/>
      <c r="P181" s="376"/>
      <c r="Q181" s="376"/>
      <c r="R181" s="376"/>
      <c r="S181" s="376"/>
      <c r="T181" s="376"/>
      <c r="U181" s="376"/>
      <c r="V181" s="376"/>
      <c r="W181" s="376"/>
      <c r="X181" s="376"/>
      <c r="Y181" s="376"/>
      <c r="Z181" s="376"/>
    </row>
    <row r="182">
      <c r="A182" s="376"/>
      <c r="B182" s="376"/>
      <c r="C182" s="376"/>
      <c r="D182" s="376"/>
      <c r="E182" s="376"/>
      <c r="F182" s="376"/>
      <c r="G182" s="376"/>
      <c r="H182" s="376"/>
      <c r="I182" s="376"/>
      <c r="J182" s="376"/>
      <c r="K182" s="376"/>
      <c r="L182" s="376"/>
      <c r="M182" s="376"/>
      <c r="N182" s="376"/>
      <c r="O182" s="376"/>
      <c r="P182" s="376"/>
      <c r="Q182" s="376"/>
      <c r="R182" s="376"/>
      <c r="S182" s="376"/>
      <c r="T182" s="376"/>
      <c r="U182" s="376"/>
      <c r="V182" s="376"/>
      <c r="W182" s="376"/>
      <c r="X182" s="376"/>
      <c r="Y182" s="376"/>
      <c r="Z182" s="376"/>
    </row>
    <row r="183">
      <c r="A183" s="376"/>
      <c r="B183" s="376"/>
      <c r="C183" s="376"/>
      <c r="D183" s="376"/>
      <c r="E183" s="376"/>
      <c r="F183" s="376"/>
      <c r="G183" s="376"/>
      <c r="H183" s="376"/>
      <c r="I183" s="376"/>
      <c r="J183" s="376"/>
      <c r="K183" s="376"/>
      <c r="L183" s="376"/>
      <c r="M183" s="376"/>
      <c r="N183" s="376"/>
      <c r="O183" s="376"/>
      <c r="P183" s="376"/>
      <c r="Q183" s="376"/>
      <c r="R183" s="376"/>
      <c r="S183" s="376"/>
      <c r="T183" s="376"/>
      <c r="U183" s="376"/>
      <c r="V183" s="376"/>
      <c r="W183" s="376"/>
      <c r="X183" s="376"/>
      <c r="Y183" s="376"/>
      <c r="Z183" s="376"/>
    </row>
    <row r="184">
      <c r="A184" s="376"/>
      <c r="B184" s="376"/>
      <c r="C184" s="376"/>
      <c r="D184" s="376"/>
      <c r="E184" s="376"/>
      <c r="F184" s="376"/>
      <c r="G184" s="376"/>
      <c r="H184" s="376"/>
      <c r="I184" s="376"/>
      <c r="J184" s="376"/>
      <c r="K184" s="376"/>
      <c r="L184" s="376"/>
      <c r="M184" s="376"/>
      <c r="N184" s="376"/>
      <c r="O184" s="376"/>
      <c r="P184" s="376"/>
      <c r="Q184" s="376"/>
      <c r="R184" s="376"/>
      <c r="S184" s="376"/>
      <c r="T184" s="376"/>
      <c r="U184" s="376"/>
      <c r="V184" s="376"/>
      <c r="W184" s="376"/>
      <c r="X184" s="376"/>
      <c r="Y184" s="376"/>
      <c r="Z184" s="376"/>
    </row>
    <row r="185">
      <c r="A185" s="376"/>
      <c r="B185" s="376"/>
      <c r="C185" s="376"/>
      <c r="D185" s="376"/>
      <c r="E185" s="376"/>
      <c r="F185" s="376"/>
      <c r="G185" s="376"/>
      <c r="H185" s="376"/>
      <c r="I185" s="376"/>
      <c r="J185" s="376"/>
      <c r="K185" s="376"/>
      <c r="L185" s="376"/>
      <c r="M185" s="376"/>
      <c r="N185" s="376"/>
      <c r="O185" s="376"/>
      <c r="P185" s="376"/>
      <c r="Q185" s="376"/>
      <c r="R185" s="376"/>
      <c r="S185" s="376"/>
      <c r="T185" s="376"/>
      <c r="U185" s="376"/>
      <c r="V185" s="376"/>
      <c r="W185" s="376"/>
      <c r="X185" s="376"/>
      <c r="Y185" s="376"/>
      <c r="Z185" s="376"/>
    </row>
    <row r="186">
      <c r="A186" s="376"/>
      <c r="B186" s="376"/>
      <c r="C186" s="376"/>
      <c r="D186" s="376"/>
      <c r="E186" s="376"/>
      <c r="F186" s="376"/>
      <c r="G186" s="376"/>
      <c r="H186" s="376"/>
      <c r="I186" s="376"/>
      <c r="J186" s="376"/>
      <c r="K186" s="376"/>
      <c r="L186" s="376"/>
      <c r="M186" s="376"/>
      <c r="N186" s="376"/>
      <c r="O186" s="376"/>
      <c r="P186" s="376"/>
      <c r="Q186" s="376"/>
      <c r="R186" s="376"/>
      <c r="S186" s="376"/>
      <c r="T186" s="376"/>
      <c r="U186" s="376"/>
      <c r="V186" s="376"/>
      <c r="W186" s="376"/>
      <c r="X186" s="376"/>
      <c r="Y186" s="376"/>
      <c r="Z186" s="376"/>
    </row>
    <row r="187">
      <c r="A187" s="376"/>
      <c r="B187" s="376"/>
      <c r="C187" s="376"/>
      <c r="D187" s="376"/>
      <c r="E187" s="376"/>
      <c r="F187" s="376"/>
      <c r="G187" s="376"/>
      <c r="H187" s="376"/>
      <c r="I187" s="376"/>
      <c r="J187" s="376"/>
      <c r="K187" s="376"/>
      <c r="L187" s="376"/>
      <c r="M187" s="376"/>
      <c r="N187" s="376"/>
      <c r="O187" s="376"/>
      <c r="P187" s="376"/>
      <c r="Q187" s="376"/>
      <c r="R187" s="376"/>
      <c r="S187" s="376"/>
      <c r="T187" s="376"/>
      <c r="U187" s="376"/>
      <c r="V187" s="376"/>
      <c r="W187" s="376"/>
      <c r="X187" s="376"/>
      <c r="Y187" s="376"/>
      <c r="Z187" s="376"/>
    </row>
    <row r="188">
      <c r="A188" s="376"/>
      <c r="B188" s="376"/>
      <c r="C188" s="376"/>
      <c r="D188" s="376"/>
      <c r="E188" s="376"/>
      <c r="F188" s="376"/>
      <c r="G188" s="376"/>
      <c r="H188" s="376"/>
      <c r="I188" s="376"/>
      <c r="J188" s="376"/>
      <c r="K188" s="376"/>
      <c r="L188" s="376"/>
      <c r="M188" s="376"/>
      <c r="N188" s="376"/>
      <c r="O188" s="376"/>
      <c r="P188" s="376"/>
      <c r="Q188" s="376"/>
      <c r="R188" s="376"/>
      <c r="S188" s="376"/>
      <c r="T188" s="376"/>
      <c r="U188" s="376"/>
      <c r="V188" s="376"/>
      <c r="W188" s="376"/>
      <c r="X188" s="376"/>
      <c r="Y188" s="376"/>
      <c r="Z188" s="376"/>
    </row>
    <row r="189">
      <c r="A189" s="376"/>
      <c r="B189" s="376"/>
      <c r="C189" s="376"/>
      <c r="D189" s="376"/>
      <c r="E189" s="376"/>
      <c r="F189" s="376"/>
      <c r="G189" s="376"/>
      <c r="H189" s="376"/>
      <c r="I189" s="376"/>
      <c r="J189" s="376"/>
      <c r="K189" s="376"/>
      <c r="L189" s="376"/>
      <c r="M189" s="376"/>
      <c r="N189" s="376"/>
      <c r="O189" s="376"/>
      <c r="P189" s="376"/>
      <c r="Q189" s="376"/>
      <c r="R189" s="376"/>
      <c r="S189" s="376"/>
      <c r="T189" s="376"/>
      <c r="U189" s="376"/>
      <c r="V189" s="376"/>
      <c r="W189" s="376"/>
      <c r="X189" s="376"/>
      <c r="Y189" s="376"/>
      <c r="Z189" s="376"/>
    </row>
    <row r="190">
      <c r="A190" s="376"/>
      <c r="B190" s="376"/>
      <c r="C190" s="376"/>
      <c r="D190" s="376"/>
      <c r="E190" s="376"/>
      <c r="F190" s="376"/>
      <c r="G190" s="376"/>
      <c r="H190" s="376"/>
      <c r="I190" s="376"/>
      <c r="J190" s="376"/>
      <c r="K190" s="376"/>
      <c r="L190" s="376"/>
      <c r="M190" s="376"/>
      <c r="N190" s="376"/>
      <c r="O190" s="376"/>
      <c r="P190" s="376"/>
      <c r="Q190" s="376"/>
      <c r="R190" s="376"/>
      <c r="S190" s="376"/>
      <c r="T190" s="376"/>
      <c r="U190" s="376"/>
      <c r="V190" s="376"/>
      <c r="W190" s="376"/>
      <c r="X190" s="376"/>
      <c r="Y190" s="376"/>
      <c r="Z190" s="376"/>
    </row>
    <row r="191">
      <c r="A191" s="376"/>
      <c r="B191" s="376"/>
      <c r="C191" s="376"/>
      <c r="D191" s="376"/>
      <c r="E191" s="376"/>
      <c r="F191" s="376"/>
      <c r="G191" s="376"/>
      <c r="H191" s="376"/>
      <c r="I191" s="376"/>
      <c r="J191" s="376"/>
      <c r="K191" s="376"/>
      <c r="L191" s="376"/>
      <c r="M191" s="376"/>
      <c r="N191" s="376"/>
      <c r="O191" s="376"/>
      <c r="P191" s="376"/>
      <c r="Q191" s="376"/>
      <c r="R191" s="376"/>
      <c r="S191" s="376"/>
      <c r="T191" s="376"/>
      <c r="U191" s="376"/>
      <c r="V191" s="376"/>
      <c r="W191" s="376"/>
      <c r="X191" s="376"/>
      <c r="Y191" s="376"/>
      <c r="Z191" s="376"/>
    </row>
    <row r="192">
      <c r="A192" s="376"/>
      <c r="B192" s="376"/>
      <c r="C192" s="376"/>
      <c r="D192" s="376"/>
      <c r="E192" s="376"/>
      <c r="F192" s="376"/>
      <c r="G192" s="376"/>
      <c r="H192" s="376"/>
      <c r="I192" s="376"/>
      <c r="J192" s="376"/>
      <c r="K192" s="376"/>
      <c r="L192" s="376"/>
      <c r="M192" s="376"/>
      <c r="N192" s="376"/>
      <c r="O192" s="376"/>
      <c r="P192" s="376"/>
      <c r="Q192" s="376"/>
      <c r="R192" s="376"/>
      <c r="S192" s="376"/>
      <c r="T192" s="376"/>
      <c r="U192" s="376"/>
      <c r="V192" s="376"/>
      <c r="W192" s="376"/>
      <c r="X192" s="376"/>
      <c r="Y192" s="376"/>
      <c r="Z192" s="376"/>
    </row>
    <row r="193">
      <c r="A193" s="376"/>
      <c r="B193" s="376"/>
      <c r="C193" s="376"/>
      <c r="D193" s="376"/>
      <c r="E193" s="376"/>
      <c r="F193" s="376"/>
      <c r="G193" s="376"/>
      <c r="H193" s="376"/>
      <c r="I193" s="376"/>
      <c r="J193" s="376"/>
      <c r="K193" s="376"/>
      <c r="L193" s="376"/>
      <c r="M193" s="376"/>
      <c r="N193" s="376"/>
      <c r="O193" s="376"/>
      <c r="P193" s="376"/>
      <c r="Q193" s="376"/>
      <c r="R193" s="376"/>
      <c r="S193" s="376"/>
      <c r="T193" s="376"/>
      <c r="U193" s="376"/>
      <c r="V193" s="376"/>
      <c r="W193" s="376"/>
      <c r="X193" s="376"/>
      <c r="Y193" s="376"/>
      <c r="Z193" s="376"/>
    </row>
    <row r="194">
      <c r="A194" s="376"/>
      <c r="B194" s="376"/>
      <c r="C194" s="376"/>
      <c r="D194" s="376"/>
      <c r="E194" s="376"/>
      <c r="F194" s="376"/>
      <c r="G194" s="376"/>
      <c r="H194" s="376"/>
      <c r="I194" s="376"/>
      <c r="J194" s="376"/>
      <c r="K194" s="376"/>
      <c r="L194" s="376"/>
      <c r="M194" s="376"/>
      <c r="N194" s="376"/>
      <c r="O194" s="376"/>
      <c r="P194" s="376"/>
      <c r="Q194" s="376"/>
      <c r="R194" s="376"/>
      <c r="S194" s="376"/>
      <c r="T194" s="376"/>
      <c r="U194" s="376"/>
      <c r="V194" s="376"/>
      <c r="W194" s="376"/>
      <c r="X194" s="376"/>
      <c r="Y194" s="376"/>
      <c r="Z194" s="376"/>
    </row>
    <row r="195">
      <c r="A195" s="376"/>
      <c r="B195" s="376"/>
      <c r="C195" s="376"/>
      <c r="D195" s="376"/>
      <c r="E195" s="376"/>
      <c r="F195" s="376"/>
      <c r="G195" s="376"/>
      <c r="H195" s="376"/>
      <c r="I195" s="376"/>
      <c r="J195" s="376"/>
      <c r="K195" s="376"/>
      <c r="L195" s="376"/>
      <c r="M195" s="376"/>
      <c r="N195" s="376"/>
      <c r="O195" s="376"/>
      <c r="P195" s="376"/>
      <c r="Q195" s="376"/>
      <c r="R195" s="376"/>
      <c r="S195" s="376"/>
      <c r="T195" s="376"/>
      <c r="U195" s="376"/>
      <c r="V195" s="376"/>
      <c r="W195" s="376"/>
      <c r="X195" s="376"/>
      <c r="Y195" s="376"/>
      <c r="Z195" s="376"/>
    </row>
    <row r="196">
      <c r="A196" s="376"/>
      <c r="B196" s="376"/>
      <c r="C196" s="376"/>
      <c r="D196" s="376"/>
      <c r="E196" s="376"/>
      <c r="F196" s="376"/>
      <c r="G196" s="376"/>
      <c r="H196" s="376"/>
      <c r="I196" s="376"/>
      <c r="J196" s="376"/>
      <c r="K196" s="376"/>
      <c r="L196" s="376"/>
      <c r="M196" s="376"/>
      <c r="N196" s="376"/>
      <c r="O196" s="376"/>
      <c r="P196" s="376"/>
      <c r="Q196" s="376"/>
      <c r="R196" s="376"/>
      <c r="S196" s="376"/>
      <c r="T196" s="376"/>
      <c r="U196" s="376"/>
      <c r="V196" s="376"/>
      <c r="W196" s="376"/>
      <c r="X196" s="376"/>
      <c r="Y196" s="376"/>
      <c r="Z196" s="376"/>
    </row>
    <row r="197">
      <c r="A197" s="376"/>
      <c r="B197" s="376"/>
      <c r="C197" s="376"/>
      <c r="D197" s="376"/>
      <c r="E197" s="376"/>
      <c r="F197" s="376"/>
      <c r="G197" s="376"/>
      <c r="H197" s="376"/>
      <c r="I197" s="376"/>
      <c r="J197" s="376"/>
      <c r="K197" s="376"/>
      <c r="L197" s="376"/>
      <c r="M197" s="376"/>
      <c r="N197" s="376"/>
      <c r="O197" s="376"/>
      <c r="P197" s="376"/>
      <c r="Q197" s="376"/>
      <c r="R197" s="376"/>
      <c r="S197" s="376"/>
      <c r="T197" s="376"/>
      <c r="U197" s="376"/>
      <c r="V197" s="376"/>
      <c r="W197" s="376"/>
      <c r="X197" s="376"/>
      <c r="Y197" s="376"/>
      <c r="Z197" s="376"/>
    </row>
    <row r="198">
      <c r="A198" s="376"/>
      <c r="B198" s="376"/>
      <c r="C198" s="376"/>
      <c r="D198" s="376"/>
      <c r="E198" s="376"/>
      <c r="F198" s="376"/>
      <c r="G198" s="376"/>
      <c r="H198" s="376"/>
      <c r="I198" s="376"/>
      <c r="J198" s="376"/>
      <c r="K198" s="376"/>
      <c r="L198" s="376"/>
      <c r="M198" s="376"/>
      <c r="N198" s="376"/>
      <c r="O198" s="376"/>
      <c r="P198" s="376"/>
      <c r="Q198" s="376"/>
      <c r="R198" s="376"/>
      <c r="S198" s="376"/>
      <c r="T198" s="376"/>
      <c r="U198" s="376"/>
      <c r="V198" s="376"/>
      <c r="W198" s="376"/>
      <c r="X198" s="376"/>
      <c r="Y198" s="376"/>
      <c r="Z198" s="376"/>
    </row>
    <row r="199">
      <c r="A199" s="376"/>
      <c r="B199" s="376"/>
      <c r="C199" s="376"/>
      <c r="D199" s="376"/>
      <c r="E199" s="376"/>
      <c r="F199" s="376"/>
      <c r="G199" s="376"/>
      <c r="H199" s="376"/>
      <c r="I199" s="376"/>
      <c r="J199" s="376"/>
      <c r="K199" s="376"/>
      <c r="L199" s="376"/>
      <c r="M199" s="376"/>
      <c r="N199" s="376"/>
      <c r="O199" s="376"/>
      <c r="P199" s="376"/>
      <c r="Q199" s="376"/>
      <c r="R199" s="376"/>
      <c r="S199" s="376"/>
      <c r="T199" s="376"/>
      <c r="U199" s="376"/>
      <c r="V199" s="376"/>
      <c r="W199" s="376"/>
      <c r="X199" s="376"/>
      <c r="Y199" s="376"/>
      <c r="Z199" s="376"/>
    </row>
    <row r="200">
      <c r="A200" s="376"/>
      <c r="B200" s="376"/>
      <c r="C200" s="376"/>
      <c r="D200" s="376"/>
      <c r="E200" s="376"/>
      <c r="F200" s="376"/>
      <c r="G200" s="376"/>
      <c r="H200" s="376"/>
      <c r="I200" s="376"/>
      <c r="J200" s="376"/>
      <c r="K200" s="376"/>
      <c r="L200" s="376"/>
      <c r="M200" s="376"/>
      <c r="N200" s="376"/>
      <c r="O200" s="376"/>
      <c r="P200" s="376"/>
      <c r="Q200" s="376"/>
      <c r="R200" s="376"/>
      <c r="S200" s="376"/>
      <c r="T200" s="376"/>
      <c r="U200" s="376"/>
      <c r="V200" s="376"/>
      <c r="W200" s="376"/>
      <c r="X200" s="376"/>
      <c r="Y200" s="376"/>
      <c r="Z200" s="376"/>
    </row>
    <row r="201">
      <c r="A201" s="376"/>
      <c r="B201" s="376"/>
      <c r="C201" s="376"/>
      <c r="D201" s="376"/>
      <c r="E201" s="376"/>
      <c r="F201" s="376"/>
      <c r="G201" s="376"/>
      <c r="H201" s="376"/>
      <c r="I201" s="376"/>
      <c r="J201" s="376"/>
      <c r="K201" s="376"/>
      <c r="L201" s="376"/>
      <c r="M201" s="376"/>
      <c r="N201" s="376"/>
      <c r="O201" s="376"/>
      <c r="P201" s="376"/>
      <c r="Q201" s="376"/>
      <c r="R201" s="376"/>
      <c r="S201" s="376"/>
      <c r="T201" s="376"/>
      <c r="U201" s="376"/>
      <c r="V201" s="376"/>
      <c r="W201" s="376"/>
      <c r="X201" s="376"/>
      <c r="Y201" s="376"/>
      <c r="Z201" s="376"/>
    </row>
    <row r="202">
      <c r="A202" s="376"/>
      <c r="B202" s="376"/>
      <c r="C202" s="376"/>
      <c r="D202" s="376"/>
      <c r="E202" s="376"/>
      <c r="F202" s="376"/>
      <c r="G202" s="376"/>
      <c r="H202" s="376"/>
      <c r="I202" s="376"/>
      <c r="J202" s="376"/>
      <c r="K202" s="376"/>
      <c r="L202" s="376"/>
      <c r="M202" s="376"/>
      <c r="N202" s="376"/>
      <c r="O202" s="376"/>
      <c r="P202" s="376"/>
      <c r="Q202" s="376"/>
      <c r="R202" s="376"/>
      <c r="S202" s="376"/>
      <c r="T202" s="376"/>
      <c r="U202" s="376"/>
      <c r="V202" s="376"/>
      <c r="W202" s="376"/>
      <c r="X202" s="376"/>
      <c r="Y202" s="376"/>
      <c r="Z202" s="376"/>
    </row>
    <row r="203">
      <c r="A203" s="376"/>
      <c r="B203" s="376"/>
      <c r="C203" s="376"/>
      <c r="D203" s="376"/>
      <c r="E203" s="376"/>
      <c r="F203" s="376"/>
      <c r="G203" s="376"/>
      <c r="H203" s="376"/>
      <c r="I203" s="376"/>
      <c r="J203" s="376"/>
      <c r="K203" s="376"/>
      <c r="L203" s="376"/>
      <c r="M203" s="376"/>
      <c r="N203" s="376"/>
      <c r="O203" s="376"/>
      <c r="P203" s="376"/>
      <c r="Q203" s="376"/>
      <c r="R203" s="376"/>
      <c r="S203" s="376"/>
      <c r="T203" s="376"/>
      <c r="U203" s="376"/>
      <c r="V203" s="376"/>
      <c r="W203" s="376"/>
      <c r="X203" s="376"/>
      <c r="Y203" s="376"/>
      <c r="Z203" s="376"/>
    </row>
    <row r="204">
      <c r="A204" s="376"/>
      <c r="B204" s="376"/>
      <c r="C204" s="376"/>
      <c r="D204" s="376"/>
      <c r="E204" s="376"/>
      <c r="F204" s="376"/>
      <c r="G204" s="376"/>
      <c r="H204" s="376"/>
      <c r="I204" s="376"/>
      <c r="J204" s="376"/>
      <c r="K204" s="376"/>
      <c r="L204" s="376"/>
      <c r="M204" s="376"/>
      <c r="N204" s="376"/>
      <c r="O204" s="376"/>
      <c r="P204" s="376"/>
      <c r="Q204" s="376"/>
      <c r="R204" s="376"/>
      <c r="S204" s="376"/>
      <c r="T204" s="376"/>
      <c r="U204" s="376"/>
      <c r="V204" s="376"/>
      <c r="W204" s="376"/>
      <c r="X204" s="376"/>
      <c r="Y204" s="376"/>
      <c r="Z204" s="376"/>
    </row>
    <row r="205">
      <c r="A205" s="376"/>
      <c r="B205" s="376"/>
      <c r="C205" s="376"/>
      <c r="D205" s="376"/>
      <c r="E205" s="376"/>
      <c r="F205" s="376"/>
      <c r="G205" s="376"/>
      <c r="H205" s="376"/>
      <c r="I205" s="376"/>
      <c r="J205" s="376"/>
      <c r="K205" s="376"/>
      <c r="L205" s="376"/>
      <c r="M205" s="376"/>
      <c r="N205" s="376"/>
      <c r="O205" s="376"/>
      <c r="P205" s="376"/>
      <c r="Q205" s="376"/>
      <c r="R205" s="376"/>
      <c r="S205" s="376"/>
      <c r="T205" s="376"/>
      <c r="U205" s="376"/>
      <c r="V205" s="376"/>
      <c r="W205" s="376"/>
      <c r="X205" s="376"/>
      <c r="Y205" s="376"/>
      <c r="Z205" s="376"/>
    </row>
    <row r="206">
      <c r="A206" s="376"/>
      <c r="B206" s="376"/>
      <c r="C206" s="376"/>
      <c r="D206" s="376"/>
      <c r="E206" s="376"/>
      <c r="F206" s="376"/>
      <c r="G206" s="376"/>
      <c r="H206" s="376"/>
      <c r="I206" s="376"/>
      <c r="J206" s="376"/>
      <c r="K206" s="376"/>
      <c r="L206" s="376"/>
      <c r="M206" s="376"/>
      <c r="N206" s="376"/>
      <c r="O206" s="376"/>
      <c r="P206" s="376"/>
      <c r="Q206" s="376"/>
      <c r="R206" s="376"/>
      <c r="S206" s="376"/>
      <c r="T206" s="376"/>
      <c r="U206" s="376"/>
      <c r="V206" s="376"/>
      <c r="W206" s="376"/>
      <c r="X206" s="376"/>
      <c r="Y206" s="376"/>
      <c r="Z206" s="376"/>
    </row>
    <row r="207">
      <c r="A207" s="376"/>
      <c r="B207" s="376"/>
      <c r="C207" s="376"/>
      <c r="D207" s="376"/>
      <c r="E207" s="376"/>
      <c r="F207" s="376"/>
      <c r="G207" s="376"/>
      <c r="H207" s="376"/>
      <c r="I207" s="376"/>
      <c r="J207" s="376"/>
      <c r="K207" s="376"/>
      <c r="L207" s="376"/>
      <c r="M207" s="376"/>
      <c r="N207" s="376"/>
      <c r="O207" s="376"/>
      <c r="P207" s="376"/>
      <c r="Q207" s="376"/>
      <c r="R207" s="376"/>
      <c r="S207" s="376"/>
      <c r="T207" s="376"/>
      <c r="U207" s="376"/>
      <c r="V207" s="376"/>
      <c r="W207" s="376"/>
      <c r="X207" s="376"/>
      <c r="Y207" s="376"/>
      <c r="Z207" s="376"/>
    </row>
    <row r="208">
      <c r="A208" s="376"/>
      <c r="B208" s="376"/>
      <c r="C208" s="376"/>
      <c r="D208" s="376"/>
      <c r="E208" s="376"/>
      <c r="F208" s="376"/>
      <c r="G208" s="376"/>
      <c r="H208" s="376"/>
      <c r="I208" s="376"/>
      <c r="J208" s="376"/>
      <c r="K208" s="376"/>
      <c r="L208" s="376"/>
      <c r="M208" s="376"/>
      <c r="N208" s="376"/>
      <c r="O208" s="376"/>
      <c r="P208" s="376"/>
      <c r="Q208" s="376"/>
      <c r="R208" s="376"/>
      <c r="S208" s="376"/>
      <c r="T208" s="376"/>
      <c r="U208" s="376"/>
      <c r="V208" s="376"/>
      <c r="W208" s="376"/>
      <c r="X208" s="376"/>
      <c r="Y208" s="376"/>
      <c r="Z208" s="376"/>
    </row>
    <row r="209">
      <c r="A209" s="376"/>
      <c r="B209" s="376"/>
      <c r="C209" s="376"/>
      <c r="D209" s="376"/>
      <c r="E209" s="376"/>
      <c r="F209" s="376"/>
      <c r="G209" s="376"/>
      <c r="H209" s="376"/>
      <c r="I209" s="376"/>
      <c r="J209" s="376"/>
      <c r="K209" s="376"/>
      <c r="L209" s="376"/>
      <c r="M209" s="376"/>
      <c r="N209" s="376"/>
      <c r="O209" s="376"/>
      <c r="P209" s="376"/>
      <c r="Q209" s="376"/>
      <c r="R209" s="376"/>
      <c r="S209" s="376"/>
      <c r="T209" s="376"/>
      <c r="U209" s="376"/>
      <c r="V209" s="376"/>
      <c r="W209" s="376"/>
      <c r="X209" s="376"/>
      <c r="Y209" s="376"/>
      <c r="Z209" s="376"/>
    </row>
    <row r="210">
      <c r="A210" s="376"/>
      <c r="B210" s="376"/>
      <c r="C210" s="376"/>
      <c r="D210" s="376"/>
      <c r="E210" s="376"/>
      <c r="F210" s="376"/>
      <c r="G210" s="376"/>
      <c r="H210" s="376"/>
      <c r="I210" s="376"/>
      <c r="J210" s="376"/>
      <c r="K210" s="376"/>
      <c r="L210" s="376"/>
      <c r="M210" s="376"/>
      <c r="N210" s="376"/>
      <c r="O210" s="376"/>
      <c r="P210" s="376"/>
      <c r="Q210" s="376"/>
      <c r="R210" s="376"/>
      <c r="S210" s="376"/>
      <c r="T210" s="376"/>
      <c r="U210" s="376"/>
      <c r="V210" s="376"/>
      <c r="W210" s="376"/>
      <c r="X210" s="376"/>
      <c r="Y210" s="376"/>
      <c r="Z210" s="376"/>
    </row>
    <row r="211">
      <c r="A211" s="376"/>
      <c r="B211" s="376"/>
      <c r="C211" s="376"/>
      <c r="D211" s="376"/>
      <c r="E211" s="376"/>
      <c r="F211" s="376"/>
      <c r="G211" s="376"/>
      <c r="H211" s="376"/>
      <c r="I211" s="376"/>
      <c r="J211" s="376"/>
      <c r="K211" s="376"/>
      <c r="L211" s="376"/>
      <c r="M211" s="376"/>
      <c r="N211" s="376"/>
      <c r="O211" s="376"/>
      <c r="P211" s="376"/>
      <c r="Q211" s="376"/>
      <c r="R211" s="376"/>
      <c r="S211" s="376"/>
      <c r="T211" s="376"/>
      <c r="U211" s="376"/>
      <c r="V211" s="376"/>
      <c r="W211" s="376"/>
      <c r="X211" s="376"/>
      <c r="Y211" s="376"/>
      <c r="Z211" s="376"/>
    </row>
    <row r="212">
      <c r="A212" s="376"/>
      <c r="B212" s="376"/>
      <c r="C212" s="376"/>
      <c r="D212" s="376"/>
      <c r="E212" s="376"/>
      <c r="F212" s="376"/>
      <c r="G212" s="376"/>
      <c r="H212" s="376"/>
      <c r="I212" s="376"/>
      <c r="J212" s="376"/>
      <c r="K212" s="376"/>
      <c r="L212" s="376"/>
      <c r="M212" s="376"/>
      <c r="N212" s="376"/>
      <c r="O212" s="376"/>
      <c r="P212" s="376"/>
      <c r="Q212" s="376"/>
      <c r="R212" s="376"/>
      <c r="S212" s="376"/>
      <c r="T212" s="376"/>
      <c r="U212" s="376"/>
      <c r="V212" s="376"/>
      <c r="W212" s="376"/>
      <c r="X212" s="376"/>
      <c r="Y212" s="376"/>
      <c r="Z212" s="376"/>
    </row>
    <row r="213">
      <c r="A213" s="376"/>
      <c r="B213" s="376"/>
      <c r="C213" s="376"/>
      <c r="D213" s="376"/>
      <c r="E213" s="376"/>
      <c r="F213" s="376"/>
      <c r="G213" s="376"/>
      <c r="H213" s="376"/>
      <c r="I213" s="376"/>
      <c r="J213" s="376"/>
      <c r="K213" s="376"/>
      <c r="L213" s="376"/>
      <c r="M213" s="376"/>
      <c r="N213" s="376"/>
      <c r="O213" s="376"/>
      <c r="P213" s="376"/>
      <c r="Q213" s="376"/>
      <c r="R213" s="376"/>
      <c r="S213" s="376"/>
      <c r="T213" s="376"/>
      <c r="U213" s="376"/>
      <c r="V213" s="376"/>
      <c r="W213" s="376"/>
      <c r="X213" s="376"/>
      <c r="Y213" s="376"/>
      <c r="Z213" s="376"/>
    </row>
    <row r="214">
      <c r="A214" s="376"/>
      <c r="B214" s="376"/>
      <c r="C214" s="376"/>
      <c r="D214" s="376"/>
      <c r="E214" s="376"/>
      <c r="F214" s="376"/>
      <c r="G214" s="376"/>
      <c r="H214" s="376"/>
      <c r="I214" s="376"/>
      <c r="J214" s="376"/>
      <c r="K214" s="376"/>
      <c r="L214" s="376"/>
      <c r="M214" s="376"/>
      <c r="N214" s="376"/>
      <c r="O214" s="376"/>
      <c r="P214" s="376"/>
      <c r="Q214" s="376"/>
      <c r="R214" s="376"/>
      <c r="S214" s="376"/>
      <c r="T214" s="376"/>
      <c r="U214" s="376"/>
      <c r="V214" s="376"/>
      <c r="W214" s="376"/>
      <c r="X214" s="376"/>
      <c r="Y214" s="376"/>
      <c r="Z214" s="376"/>
    </row>
    <row r="215">
      <c r="A215" s="376"/>
      <c r="B215" s="376"/>
      <c r="C215" s="376"/>
      <c r="D215" s="376"/>
      <c r="E215" s="376"/>
      <c r="F215" s="376"/>
      <c r="G215" s="376"/>
      <c r="H215" s="376"/>
      <c r="I215" s="376"/>
      <c r="J215" s="376"/>
      <c r="K215" s="376"/>
      <c r="L215" s="376"/>
      <c r="M215" s="376"/>
      <c r="N215" s="376"/>
      <c r="O215" s="376"/>
      <c r="P215" s="376"/>
      <c r="Q215" s="376"/>
      <c r="R215" s="376"/>
      <c r="S215" s="376"/>
      <c r="T215" s="376"/>
      <c r="U215" s="376"/>
      <c r="V215" s="376"/>
      <c r="W215" s="376"/>
      <c r="X215" s="376"/>
      <c r="Y215" s="376"/>
      <c r="Z215" s="376"/>
    </row>
    <row r="216">
      <c r="A216" s="376"/>
      <c r="B216" s="376"/>
      <c r="C216" s="376"/>
      <c r="D216" s="376"/>
      <c r="E216" s="376"/>
      <c r="F216" s="376"/>
      <c r="G216" s="376"/>
      <c r="H216" s="376"/>
      <c r="I216" s="376"/>
      <c r="J216" s="376"/>
      <c r="K216" s="376"/>
      <c r="L216" s="376"/>
      <c r="M216" s="376"/>
      <c r="N216" s="376"/>
      <c r="O216" s="376"/>
      <c r="P216" s="376"/>
      <c r="Q216" s="376"/>
      <c r="R216" s="376"/>
      <c r="S216" s="376"/>
      <c r="T216" s="376"/>
      <c r="U216" s="376"/>
      <c r="V216" s="376"/>
      <c r="W216" s="376"/>
      <c r="X216" s="376"/>
      <c r="Y216" s="376"/>
      <c r="Z216" s="376"/>
    </row>
    <row r="217">
      <c r="A217" s="376"/>
      <c r="B217" s="376"/>
      <c r="C217" s="376"/>
      <c r="D217" s="376"/>
      <c r="E217" s="376"/>
      <c r="F217" s="376"/>
      <c r="G217" s="376"/>
      <c r="H217" s="376"/>
      <c r="I217" s="376"/>
      <c r="J217" s="376"/>
      <c r="K217" s="376"/>
      <c r="L217" s="376"/>
      <c r="M217" s="376"/>
      <c r="N217" s="376"/>
      <c r="O217" s="376"/>
      <c r="P217" s="376"/>
      <c r="Q217" s="376"/>
      <c r="R217" s="376"/>
      <c r="S217" s="376"/>
      <c r="T217" s="376"/>
      <c r="U217" s="376"/>
      <c r="V217" s="376"/>
      <c r="W217" s="376"/>
      <c r="X217" s="376"/>
      <c r="Y217" s="376"/>
      <c r="Z217" s="376"/>
    </row>
    <row r="218">
      <c r="A218" s="376"/>
      <c r="B218" s="376"/>
      <c r="C218" s="376"/>
      <c r="D218" s="376"/>
      <c r="E218" s="376"/>
      <c r="F218" s="376"/>
      <c r="G218" s="376"/>
      <c r="H218" s="376"/>
      <c r="I218" s="376"/>
      <c r="J218" s="376"/>
      <c r="K218" s="376"/>
      <c r="L218" s="376"/>
      <c r="M218" s="376"/>
      <c r="N218" s="376"/>
      <c r="O218" s="376"/>
      <c r="P218" s="376"/>
      <c r="Q218" s="376"/>
      <c r="R218" s="376"/>
      <c r="S218" s="376"/>
      <c r="T218" s="376"/>
      <c r="U218" s="376"/>
      <c r="V218" s="376"/>
      <c r="W218" s="376"/>
      <c r="X218" s="376"/>
      <c r="Y218" s="376"/>
      <c r="Z218" s="376"/>
    </row>
    <row r="219">
      <c r="A219" s="376"/>
      <c r="B219" s="376"/>
      <c r="C219" s="376"/>
      <c r="D219" s="376"/>
      <c r="E219" s="376"/>
      <c r="F219" s="376"/>
      <c r="G219" s="376"/>
      <c r="H219" s="376"/>
      <c r="I219" s="376"/>
      <c r="J219" s="376"/>
      <c r="K219" s="376"/>
      <c r="L219" s="376"/>
      <c r="M219" s="376"/>
      <c r="N219" s="376"/>
      <c r="O219" s="376"/>
      <c r="P219" s="376"/>
      <c r="Q219" s="376"/>
      <c r="R219" s="376"/>
      <c r="S219" s="376"/>
      <c r="T219" s="376"/>
      <c r="U219" s="376"/>
      <c r="V219" s="376"/>
      <c r="W219" s="376"/>
      <c r="X219" s="376"/>
      <c r="Y219" s="376"/>
      <c r="Z219" s="376"/>
    </row>
    <row r="220">
      <c r="A220" s="376"/>
      <c r="B220" s="376"/>
      <c r="C220" s="376"/>
      <c r="D220" s="376"/>
      <c r="E220" s="376"/>
      <c r="F220" s="376"/>
      <c r="G220" s="376"/>
      <c r="H220" s="376"/>
      <c r="I220" s="376"/>
      <c r="J220" s="376"/>
      <c r="K220" s="376"/>
      <c r="L220" s="376"/>
      <c r="M220" s="376"/>
      <c r="N220" s="376"/>
      <c r="O220" s="376"/>
      <c r="P220" s="376"/>
      <c r="Q220" s="376"/>
      <c r="R220" s="376"/>
      <c r="S220" s="376"/>
      <c r="T220" s="376"/>
      <c r="U220" s="376"/>
      <c r="V220" s="376"/>
      <c r="W220" s="376"/>
      <c r="X220" s="376"/>
      <c r="Y220" s="376"/>
      <c r="Z220" s="376"/>
    </row>
    <row r="221">
      <c r="A221" s="376"/>
      <c r="B221" s="376"/>
      <c r="C221" s="376"/>
      <c r="D221" s="376"/>
      <c r="E221" s="376"/>
      <c r="F221" s="376"/>
      <c r="G221" s="376"/>
      <c r="H221" s="376"/>
      <c r="I221" s="376"/>
      <c r="J221" s="376"/>
      <c r="K221" s="376"/>
      <c r="L221" s="376"/>
      <c r="M221" s="376"/>
      <c r="N221" s="376"/>
      <c r="O221" s="376"/>
      <c r="P221" s="376"/>
      <c r="Q221" s="376"/>
      <c r="R221" s="376"/>
      <c r="S221" s="376"/>
      <c r="T221" s="376"/>
      <c r="U221" s="376"/>
      <c r="V221" s="376"/>
      <c r="W221" s="376"/>
      <c r="X221" s="376"/>
      <c r="Y221" s="376"/>
      <c r="Z221" s="376"/>
    </row>
    <row r="222">
      <c r="A222" s="376"/>
      <c r="B222" s="376"/>
      <c r="C222" s="376"/>
      <c r="D222" s="376"/>
      <c r="E222" s="376"/>
      <c r="F222" s="376"/>
      <c r="G222" s="376"/>
      <c r="H222" s="376"/>
      <c r="I222" s="376"/>
      <c r="J222" s="376"/>
      <c r="K222" s="376"/>
      <c r="L222" s="376"/>
      <c r="M222" s="376"/>
      <c r="N222" s="376"/>
      <c r="O222" s="376"/>
      <c r="P222" s="376"/>
      <c r="Q222" s="376"/>
      <c r="R222" s="376"/>
      <c r="S222" s="376"/>
      <c r="T222" s="376"/>
      <c r="U222" s="376"/>
      <c r="V222" s="376"/>
      <c r="W222" s="376"/>
      <c r="X222" s="376"/>
      <c r="Y222" s="376"/>
      <c r="Z222" s="376"/>
    </row>
    <row r="223">
      <c r="A223" s="376"/>
      <c r="B223" s="376"/>
      <c r="C223" s="376"/>
      <c r="D223" s="376"/>
      <c r="E223" s="376"/>
      <c r="F223" s="376"/>
      <c r="G223" s="376"/>
      <c r="H223" s="376"/>
      <c r="I223" s="376"/>
      <c r="J223" s="376"/>
      <c r="K223" s="376"/>
      <c r="L223" s="376"/>
      <c r="M223" s="376"/>
      <c r="N223" s="376"/>
      <c r="O223" s="376"/>
      <c r="P223" s="376"/>
      <c r="Q223" s="376"/>
      <c r="R223" s="376"/>
      <c r="S223" s="376"/>
      <c r="T223" s="376"/>
      <c r="U223" s="376"/>
      <c r="V223" s="376"/>
      <c r="W223" s="376"/>
      <c r="X223" s="376"/>
      <c r="Y223" s="376"/>
      <c r="Z223" s="376"/>
    </row>
    <row r="224">
      <c r="A224" s="376"/>
      <c r="B224" s="376"/>
      <c r="C224" s="376"/>
      <c r="D224" s="376"/>
      <c r="E224" s="376"/>
      <c r="F224" s="376"/>
      <c r="G224" s="376"/>
      <c r="H224" s="376"/>
      <c r="I224" s="376"/>
      <c r="J224" s="376"/>
      <c r="K224" s="376"/>
      <c r="L224" s="376"/>
      <c r="M224" s="376"/>
      <c r="N224" s="376"/>
      <c r="O224" s="376"/>
      <c r="P224" s="376"/>
      <c r="Q224" s="376"/>
      <c r="R224" s="376"/>
      <c r="S224" s="376"/>
      <c r="T224" s="376"/>
      <c r="U224" s="376"/>
      <c r="V224" s="376"/>
      <c r="W224" s="376"/>
      <c r="X224" s="376"/>
      <c r="Y224" s="376"/>
      <c r="Z224" s="376"/>
    </row>
    <row r="225">
      <c r="A225" s="376"/>
      <c r="B225" s="376"/>
      <c r="C225" s="376"/>
      <c r="D225" s="376"/>
      <c r="E225" s="376"/>
      <c r="F225" s="376"/>
      <c r="G225" s="376"/>
      <c r="H225" s="376"/>
      <c r="I225" s="376"/>
      <c r="J225" s="376"/>
      <c r="K225" s="376"/>
      <c r="L225" s="376"/>
      <c r="M225" s="376"/>
      <c r="N225" s="376"/>
      <c r="O225" s="376"/>
      <c r="P225" s="376"/>
      <c r="Q225" s="376"/>
      <c r="R225" s="376"/>
      <c r="S225" s="376"/>
      <c r="T225" s="376"/>
      <c r="U225" s="376"/>
      <c r="V225" s="376"/>
      <c r="W225" s="376"/>
      <c r="X225" s="376"/>
      <c r="Y225" s="376"/>
      <c r="Z225" s="376"/>
    </row>
    <row r="226">
      <c r="A226" s="376"/>
      <c r="B226" s="376"/>
      <c r="C226" s="376"/>
      <c r="D226" s="376"/>
      <c r="E226" s="376"/>
      <c r="F226" s="376"/>
      <c r="G226" s="376"/>
      <c r="H226" s="376"/>
      <c r="I226" s="376"/>
      <c r="J226" s="376"/>
      <c r="K226" s="376"/>
      <c r="L226" s="376"/>
      <c r="M226" s="376"/>
      <c r="N226" s="376"/>
      <c r="O226" s="376"/>
      <c r="P226" s="376"/>
      <c r="Q226" s="376"/>
      <c r="R226" s="376"/>
      <c r="S226" s="376"/>
      <c r="T226" s="376"/>
      <c r="U226" s="376"/>
      <c r="V226" s="376"/>
      <c r="W226" s="376"/>
      <c r="X226" s="376"/>
      <c r="Y226" s="376"/>
      <c r="Z226" s="376"/>
    </row>
    <row r="227">
      <c r="A227" s="376"/>
      <c r="B227" s="376"/>
      <c r="C227" s="376"/>
      <c r="D227" s="376"/>
      <c r="E227" s="376"/>
      <c r="F227" s="376"/>
      <c r="G227" s="376"/>
      <c r="H227" s="376"/>
      <c r="I227" s="376"/>
      <c r="J227" s="376"/>
      <c r="K227" s="376"/>
      <c r="L227" s="376"/>
      <c r="M227" s="376"/>
      <c r="N227" s="376"/>
      <c r="O227" s="376"/>
      <c r="P227" s="376"/>
      <c r="Q227" s="376"/>
      <c r="R227" s="376"/>
      <c r="S227" s="376"/>
      <c r="T227" s="376"/>
      <c r="U227" s="376"/>
      <c r="V227" s="376"/>
      <c r="W227" s="376"/>
      <c r="X227" s="376"/>
      <c r="Y227" s="376"/>
      <c r="Z227" s="376"/>
    </row>
    <row r="228">
      <c r="A228" s="376"/>
      <c r="B228" s="376"/>
      <c r="C228" s="376"/>
      <c r="D228" s="376"/>
      <c r="E228" s="376"/>
      <c r="F228" s="376"/>
      <c r="G228" s="376"/>
      <c r="H228" s="376"/>
      <c r="I228" s="376"/>
      <c r="J228" s="376"/>
      <c r="K228" s="376"/>
      <c r="L228" s="376"/>
      <c r="M228" s="376"/>
      <c r="N228" s="376"/>
      <c r="O228" s="376"/>
      <c r="P228" s="376"/>
      <c r="Q228" s="376"/>
      <c r="R228" s="376"/>
      <c r="S228" s="376"/>
      <c r="T228" s="376"/>
      <c r="U228" s="376"/>
      <c r="V228" s="376"/>
      <c r="W228" s="376"/>
      <c r="X228" s="376"/>
      <c r="Y228" s="376"/>
      <c r="Z228" s="376"/>
    </row>
    <row r="229">
      <c r="A229" s="376"/>
      <c r="B229" s="376"/>
      <c r="C229" s="376"/>
      <c r="D229" s="376"/>
      <c r="E229" s="376"/>
      <c r="F229" s="376"/>
      <c r="G229" s="376"/>
      <c r="H229" s="376"/>
      <c r="I229" s="376"/>
      <c r="J229" s="376"/>
      <c r="K229" s="376"/>
      <c r="L229" s="376"/>
      <c r="M229" s="376"/>
      <c r="N229" s="376"/>
      <c r="O229" s="376"/>
      <c r="P229" s="376"/>
      <c r="Q229" s="376"/>
      <c r="R229" s="376"/>
      <c r="S229" s="376"/>
      <c r="T229" s="376"/>
      <c r="U229" s="376"/>
      <c r="V229" s="376"/>
      <c r="W229" s="376"/>
      <c r="X229" s="376"/>
      <c r="Y229" s="376"/>
      <c r="Z229" s="376"/>
    </row>
    <row r="230">
      <c r="A230" s="376"/>
      <c r="B230" s="376"/>
      <c r="C230" s="376"/>
      <c r="D230" s="376"/>
      <c r="E230" s="376"/>
      <c r="F230" s="376"/>
      <c r="G230" s="376"/>
      <c r="H230" s="376"/>
      <c r="I230" s="376"/>
      <c r="J230" s="376"/>
      <c r="K230" s="376"/>
      <c r="L230" s="376"/>
      <c r="M230" s="376"/>
      <c r="N230" s="376"/>
      <c r="O230" s="376"/>
      <c r="P230" s="376"/>
      <c r="Q230" s="376"/>
      <c r="R230" s="376"/>
      <c r="S230" s="376"/>
      <c r="T230" s="376"/>
      <c r="U230" s="376"/>
      <c r="V230" s="376"/>
      <c r="W230" s="376"/>
      <c r="X230" s="376"/>
      <c r="Y230" s="376"/>
      <c r="Z230" s="376"/>
    </row>
    <row r="231">
      <c r="A231" s="376"/>
      <c r="B231" s="376"/>
      <c r="C231" s="376"/>
      <c r="D231" s="376"/>
      <c r="E231" s="376"/>
      <c r="F231" s="376"/>
      <c r="G231" s="376"/>
      <c r="H231" s="376"/>
      <c r="I231" s="376"/>
      <c r="J231" s="376"/>
      <c r="K231" s="376"/>
      <c r="L231" s="376"/>
      <c r="M231" s="376"/>
      <c r="N231" s="376"/>
      <c r="O231" s="376"/>
      <c r="P231" s="376"/>
      <c r="Q231" s="376"/>
      <c r="R231" s="376"/>
      <c r="S231" s="376"/>
      <c r="T231" s="376"/>
      <c r="U231" s="376"/>
      <c r="V231" s="376"/>
      <c r="W231" s="376"/>
      <c r="X231" s="376"/>
      <c r="Y231" s="376"/>
      <c r="Z231" s="376"/>
    </row>
    <row r="232">
      <c r="A232" s="376"/>
      <c r="B232" s="376"/>
      <c r="C232" s="376"/>
      <c r="D232" s="376"/>
      <c r="E232" s="376"/>
      <c r="F232" s="376"/>
      <c r="G232" s="376"/>
      <c r="H232" s="376"/>
      <c r="I232" s="376"/>
      <c r="J232" s="376"/>
      <c r="K232" s="376"/>
      <c r="L232" s="376"/>
      <c r="M232" s="376"/>
      <c r="N232" s="376"/>
      <c r="O232" s="376"/>
      <c r="P232" s="376"/>
      <c r="Q232" s="376"/>
      <c r="R232" s="376"/>
      <c r="S232" s="376"/>
      <c r="T232" s="376"/>
      <c r="U232" s="376"/>
      <c r="V232" s="376"/>
      <c r="W232" s="376"/>
      <c r="X232" s="376"/>
      <c r="Y232" s="376"/>
      <c r="Z232" s="376"/>
    </row>
    <row r="233">
      <c r="A233" s="376"/>
      <c r="B233" s="376"/>
      <c r="C233" s="376"/>
      <c r="D233" s="376"/>
      <c r="E233" s="376"/>
      <c r="F233" s="376"/>
      <c r="G233" s="376"/>
      <c r="H233" s="376"/>
      <c r="I233" s="376"/>
      <c r="J233" s="376"/>
      <c r="K233" s="376"/>
      <c r="L233" s="376"/>
      <c r="M233" s="376"/>
      <c r="N233" s="376"/>
      <c r="O233" s="376"/>
      <c r="P233" s="376"/>
      <c r="Q233" s="376"/>
      <c r="R233" s="376"/>
      <c r="S233" s="376"/>
      <c r="T233" s="376"/>
      <c r="U233" s="376"/>
      <c r="V233" s="376"/>
      <c r="W233" s="376"/>
      <c r="X233" s="376"/>
      <c r="Y233" s="376"/>
      <c r="Z233" s="376"/>
    </row>
    <row r="234">
      <c r="A234" s="376"/>
      <c r="B234" s="376"/>
      <c r="C234" s="376"/>
      <c r="D234" s="376"/>
      <c r="E234" s="376"/>
      <c r="F234" s="376"/>
      <c r="G234" s="376"/>
      <c r="H234" s="376"/>
      <c r="I234" s="376"/>
      <c r="J234" s="376"/>
      <c r="K234" s="376"/>
      <c r="L234" s="376"/>
      <c r="M234" s="376"/>
      <c r="N234" s="376"/>
      <c r="O234" s="376"/>
      <c r="P234" s="376"/>
      <c r="Q234" s="376"/>
      <c r="R234" s="376"/>
      <c r="S234" s="376"/>
      <c r="T234" s="376"/>
      <c r="U234" s="376"/>
      <c r="V234" s="376"/>
      <c r="W234" s="376"/>
      <c r="X234" s="376"/>
      <c r="Y234" s="376"/>
      <c r="Z234" s="376"/>
    </row>
    <row r="235">
      <c r="A235" s="376"/>
      <c r="B235" s="376"/>
      <c r="C235" s="376"/>
      <c r="D235" s="376"/>
      <c r="E235" s="376"/>
      <c r="F235" s="376"/>
      <c r="G235" s="376"/>
      <c r="H235" s="376"/>
      <c r="I235" s="376"/>
      <c r="J235" s="376"/>
      <c r="K235" s="376"/>
      <c r="L235" s="376"/>
      <c r="M235" s="376"/>
      <c r="N235" s="376"/>
      <c r="O235" s="376"/>
      <c r="P235" s="376"/>
      <c r="Q235" s="376"/>
      <c r="R235" s="376"/>
      <c r="S235" s="376"/>
      <c r="T235" s="376"/>
      <c r="U235" s="376"/>
      <c r="V235" s="376"/>
      <c r="W235" s="376"/>
      <c r="X235" s="376"/>
      <c r="Y235" s="376"/>
      <c r="Z235" s="376"/>
    </row>
    <row r="236">
      <c r="A236" s="376"/>
      <c r="B236" s="376"/>
      <c r="C236" s="376"/>
      <c r="D236" s="376"/>
      <c r="E236" s="376"/>
      <c r="F236" s="376"/>
      <c r="G236" s="376"/>
      <c r="H236" s="376"/>
      <c r="I236" s="376"/>
      <c r="J236" s="376"/>
      <c r="K236" s="376"/>
      <c r="L236" s="376"/>
      <c r="M236" s="376"/>
      <c r="N236" s="376"/>
      <c r="O236" s="376"/>
      <c r="P236" s="376"/>
      <c r="Q236" s="376"/>
      <c r="R236" s="376"/>
      <c r="S236" s="376"/>
      <c r="T236" s="376"/>
      <c r="U236" s="376"/>
      <c r="V236" s="376"/>
      <c r="W236" s="376"/>
      <c r="X236" s="376"/>
      <c r="Y236" s="376"/>
      <c r="Z236" s="376"/>
    </row>
    <row r="237">
      <c r="A237" s="376"/>
      <c r="B237" s="376"/>
      <c r="C237" s="376"/>
      <c r="D237" s="376"/>
      <c r="E237" s="376"/>
      <c r="F237" s="376"/>
      <c r="G237" s="376"/>
      <c r="H237" s="376"/>
      <c r="I237" s="376"/>
      <c r="J237" s="376"/>
      <c r="K237" s="376"/>
      <c r="L237" s="376"/>
      <c r="M237" s="376"/>
      <c r="N237" s="376"/>
      <c r="O237" s="376"/>
      <c r="P237" s="376"/>
      <c r="Q237" s="376"/>
      <c r="R237" s="376"/>
      <c r="S237" s="376"/>
      <c r="T237" s="376"/>
      <c r="U237" s="376"/>
      <c r="V237" s="376"/>
      <c r="W237" s="376"/>
      <c r="X237" s="376"/>
      <c r="Y237" s="376"/>
      <c r="Z237" s="376"/>
    </row>
    <row r="238">
      <c r="A238" s="376"/>
      <c r="B238" s="376"/>
      <c r="C238" s="376"/>
      <c r="D238" s="376"/>
      <c r="E238" s="376"/>
      <c r="F238" s="376"/>
      <c r="G238" s="376"/>
      <c r="H238" s="376"/>
      <c r="I238" s="376"/>
      <c r="J238" s="376"/>
      <c r="K238" s="376"/>
      <c r="L238" s="376"/>
      <c r="M238" s="376"/>
      <c r="N238" s="376"/>
      <c r="O238" s="376"/>
      <c r="P238" s="376"/>
      <c r="Q238" s="376"/>
      <c r="R238" s="376"/>
      <c r="S238" s="376"/>
      <c r="T238" s="376"/>
      <c r="U238" s="376"/>
      <c r="V238" s="376"/>
      <c r="W238" s="376"/>
      <c r="X238" s="376"/>
      <c r="Y238" s="376"/>
      <c r="Z238" s="376"/>
    </row>
    <row r="239">
      <c r="A239" s="376"/>
      <c r="B239" s="376"/>
      <c r="C239" s="376"/>
      <c r="D239" s="376"/>
      <c r="E239" s="376"/>
      <c r="F239" s="376"/>
      <c r="G239" s="376"/>
      <c r="H239" s="376"/>
      <c r="I239" s="376"/>
      <c r="J239" s="376"/>
      <c r="K239" s="376"/>
      <c r="L239" s="376"/>
      <c r="M239" s="376"/>
      <c r="N239" s="376"/>
      <c r="O239" s="376"/>
      <c r="P239" s="376"/>
      <c r="Q239" s="376"/>
      <c r="R239" s="376"/>
      <c r="S239" s="376"/>
      <c r="T239" s="376"/>
      <c r="U239" s="376"/>
      <c r="V239" s="376"/>
      <c r="W239" s="376"/>
      <c r="X239" s="376"/>
      <c r="Y239" s="376"/>
      <c r="Z239" s="376"/>
    </row>
    <row r="240">
      <c r="A240" s="376"/>
      <c r="B240" s="376"/>
      <c r="C240" s="376"/>
      <c r="D240" s="376"/>
      <c r="E240" s="376"/>
      <c r="F240" s="376"/>
      <c r="G240" s="376"/>
      <c r="H240" s="376"/>
      <c r="I240" s="376"/>
      <c r="J240" s="376"/>
      <c r="K240" s="376"/>
      <c r="L240" s="376"/>
      <c r="M240" s="376"/>
      <c r="N240" s="376"/>
      <c r="O240" s="376"/>
      <c r="P240" s="376"/>
      <c r="Q240" s="376"/>
      <c r="R240" s="376"/>
      <c r="S240" s="376"/>
      <c r="T240" s="376"/>
      <c r="U240" s="376"/>
      <c r="V240" s="376"/>
      <c r="W240" s="376"/>
      <c r="X240" s="376"/>
      <c r="Y240" s="376"/>
      <c r="Z240" s="376"/>
    </row>
    <row r="241">
      <c r="A241" s="376"/>
      <c r="B241" s="376"/>
      <c r="C241" s="376"/>
      <c r="D241" s="376"/>
      <c r="E241" s="376"/>
      <c r="F241" s="376"/>
      <c r="G241" s="376"/>
      <c r="H241" s="376"/>
      <c r="I241" s="376"/>
      <c r="J241" s="376"/>
      <c r="K241" s="376"/>
      <c r="L241" s="376"/>
      <c r="M241" s="376"/>
      <c r="N241" s="376"/>
      <c r="O241" s="376"/>
      <c r="P241" s="376"/>
      <c r="Q241" s="376"/>
      <c r="R241" s="376"/>
      <c r="S241" s="376"/>
      <c r="T241" s="376"/>
      <c r="U241" s="376"/>
      <c r="V241" s="376"/>
      <c r="W241" s="376"/>
      <c r="X241" s="376"/>
      <c r="Y241" s="376"/>
      <c r="Z241" s="376"/>
    </row>
    <row r="242">
      <c r="A242" s="376"/>
      <c r="B242" s="376"/>
      <c r="C242" s="376"/>
      <c r="D242" s="376"/>
      <c r="E242" s="376"/>
      <c r="F242" s="376"/>
      <c r="G242" s="376"/>
      <c r="H242" s="376"/>
      <c r="I242" s="376"/>
      <c r="J242" s="376"/>
      <c r="K242" s="376"/>
      <c r="L242" s="376"/>
      <c r="M242" s="376"/>
      <c r="N242" s="376"/>
      <c r="O242" s="376"/>
      <c r="P242" s="376"/>
      <c r="Q242" s="376"/>
      <c r="R242" s="376"/>
      <c r="S242" s="376"/>
      <c r="T242" s="376"/>
      <c r="U242" s="376"/>
      <c r="V242" s="376"/>
      <c r="W242" s="376"/>
      <c r="X242" s="376"/>
      <c r="Y242" s="376"/>
      <c r="Z242" s="376"/>
    </row>
    <row r="243">
      <c r="A243" s="376"/>
      <c r="B243" s="376"/>
      <c r="C243" s="376"/>
      <c r="D243" s="376"/>
      <c r="E243" s="376"/>
      <c r="F243" s="376"/>
      <c r="G243" s="376"/>
      <c r="H243" s="376"/>
      <c r="I243" s="376"/>
      <c r="J243" s="376"/>
      <c r="K243" s="376"/>
      <c r="L243" s="376"/>
      <c r="M243" s="376"/>
      <c r="N243" s="376"/>
      <c r="O243" s="376"/>
      <c r="P243" s="376"/>
      <c r="Q243" s="376"/>
      <c r="R243" s="376"/>
      <c r="S243" s="376"/>
      <c r="T243" s="376"/>
      <c r="U243" s="376"/>
      <c r="V243" s="376"/>
      <c r="W243" s="376"/>
      <c r="X243" s="376"/>
      <c r="Y243" s="376"/>
      <c r="Z243" s="376"/>
    </row>
    <row r="244">
      <c r="A244" s="376"/>
      <c r="B244" s="376"/>
      <c r="C244" s="376"/>
      <c r="D244" s="376"/>
      <c r="E244" s="376"/>
      <c r="F244" s="376"/>
      <c r="G244" s="376"/>
      <c r="H244" s="376"/>
      <c r="I244" s="376"/>
      <c r="J244" s="376"/>
      <c r="K244" s="376"/>
      <c r="L244" s="376"/>
      <c r="M244" s="376"/>
      <c r="N244" s="376"/>
      <c r="O244" s="376"/>
      <c r="P244" s="376"/>
      <c r="Q244" s="376"/>
      <c r="R244" s="376"/>
      <c r="S244" s="376"/>
      <c r="T244" s="376"/>
      <c r="U244" s="376"/>
      <c r="V244" s="376"/>
      <c r="W244" s="376"/>
      <c r="X244" s="376"/>
      <c r="Y244" s="376"/>
      <c r="Z244" s="376"/>
    </row>
    <row r="245">
      <c r="A245" s="376"/>
      <c r="B245" s="376"/>
      <c r="C245" s="376"/>
      <c r="D245" s="376"/>
      <c r="E245" s="376"/>
      <c r="F245" s="376"/>
      <c r="G245" s="376"/>
      <c r="H245" s="376"/>
      <c r="I245" s="376"/>
      <c r="J245" s="376"/>
      <c r="K245" s="376"/>
      <c r="L245" s="376"/>
      <c r="M245" s="376"/>
      <c r="N245" s="376"/>
      <c r="O245" s="376"/>
      <c r="P245" s="376"/>
      <c r="Q245" s="376"/>
      <c r="R245" s="376"/>
      <c r="S245" s="376"/>
      <c r="T245" s="376"/>
      <c r="U245" s="376"/>
      <c r="V245" s="376"/>
      <c r="W245" s="376"/>
      <c r="X245" s="376"/>
      <c r="Y245" s="376"/>
      <c r="Z245" s="376"/>
    </row>
    <row r="246">
      <c r="A246" s="376"/>
      <c r="B246" s="376"/>
      <c r="C246" s="376"/>
      <c r="D246" s="376"/>
      <c r="E246" s="376"/>
      <c r="F246" s="376"/>
      <c r="G246" s="376"/>
      <c r="H246" s="376"/>
      <c r="I246" s="376"/>
      <c r="J246" s="376"/>
      <c r="K246" s="376"/>
      <c r="L246" s="376"/>
      <c r="M246" s="376"/>
      <c r="N246" s="376"/>
      <c r="O246" s="376"/>
      <c r="P246" s="376"/>
      <c r="Q246" s="376"/>
      <c r="R246" s="376"/>
      <c r="S246" s="376"/>
      <c r="T246" s="376"/>
      <c r="U246" s="376"/>
      <c r="V246" s="376"/>
      <c r="W246" s="376"/>
      <c r="X246" s="376"/>
      <c r="Y246" s="376"/>
      <c r="Z246" s="376"/>
    </row>
    <row r="247">
      <c r="A247" s="376"/>
      <c r="B247" s="376"/>
      <c r="C247" s="376"/>
      <c r="D247" s="376"/>
      <c r="E247" s="376"/>
      <c r="F247" s="376"/>
      <c r="G247" s="376"/>
      <c r="H247" s="376"/>
      <c r="I247" s="376"/>
      <c r="J247" s="376"/>
      <c r="K247" s="376"/>
      <c r="L247" s="376"/>
      <c r="M247" s="376"/>
      <c r="N247" s="376"/>
      <c r="O247" s="376"/>
      <c r="P247" s="376"/>
      <c r="Q247" s="376"/>
      <c r="R247" s="376"/>
      <c r="S247" s="376"/>
      <c r="T247" s="376"/>
      <c r="U247" s="376"/>
      <c r="V247" s="376"/>
      <c r="W247" s="376"/>
      <c r="X247" s="376"/>
      <c r="Y247" s="376"/>
      <c r="Z247" s="376"/>
    </row>
    <row r="248">
      <c r="A248" s="376"/>
      <c r="B248" s="376"/>
      <c r="C248" s="376"/>
      <c r="D248" s="376"/>
      <c r="E248" s="376"/>
      <c r="F248" s="376"/>
      <c r="G248" s="376"/>
      <c r="H248" s="376"/>
      <c r="I248" s="376"/>
      <c r="J248" s="376"/>
      <c r="K248" s="376"/>
      <c r="L248" s="376"/>
      <c r="M248" s="376"/>
      <c r="N248" s="376"/>
      <c r="O248" s="376"/>
      <c r="P248" s="376"/>
      <c r="Q248" s="376"/>
      <c r="R248" s="376"/>
      <c r="S248" s="376"/>
      <c r="T248" s="376"/>
      <c r="U248" s="376"/>
      <c r="V248" s="376"/>
      <c r="W248" s="376"/>
      <c r="X248" s="376"/>
      <c r="Y248" s="376"/>
      <c r="Z248" s="376"/>
    </row>
    <row r="249">
      <c r="A249" s="376"/>
      <c r="B249" s="376"/>
      <c r="C249" s="376"/>
      <c r="D249" s="376"/>
      <c r="E249" s="376"/>
      <c r="F249" s="376"/>
      <c r="G249" s="376"/>
      <c r="H249" s="376"/>
      <c r="I249" s="376"/>
      <c r="J249" s="376"/>
      <c r="K249" s="376"/>
      <c r="L249" s="376"/>
      <c r="M249" s="376"/>
      <c r="N249" s="376"/>
      <c r="O249" s="376"/>
      <c r="P249" s="376"/>
      <c r="Q249" s="376"/>
      <c r="R249" s="376"/>
      <c r="S249" s="376"/>
      <c r="T249" s="376"/>
      <c r="U249" s="376"/>
      <c r="V249" s="376"/>
      <c r="W249" s="376"/>
      <c r="X249" s="376"/>
      <c r="Y249" s="376"/>
      <c r="Z249" s="376"/>
    </row>
    <row r="250">
      <c r="A250" s="376"/>
      <c r="B250" s="376"/>
      <c r="C250" s="376"/>
      <c r="D250" s="376"/>
      <c r="E250" s="376"/>
      <c r="F250" s="376"/>
      <c r="G250" s="376"/>
      <c r="H250" s="376"/>
      <c r="I250" s="376"/>
      <c r="J250" s="376"/>
      <c r="K250" s="376"/>
      <c r="L250" s="376"/>
      <c r="M250" s="376"/>
      <c r="N250" s="376"/>
      <c r="O250" s="376"/>
      <c r="P250" s="376"/>
      <c r="Q250" s="376"/>
      <c r="R250" s="376"/>
      <c r="S250" s="376"/>
      <c r="T250" s="376"/>
      <c r="U250" s="376"/>
      <c r="V250" s="376"/>
      <c r="W250" s="376"/>
      <c r="X250" s="376"/>
      <c r="Y250" s="376"/>
      <c r="Z250" s="376"/>
    </row>
    <row r="251">
      <c r="A251" s="376"/>
      <c r="B251" s="376"/>
      <c r="C251" s="376"/>
      <c r="D251" s="376"/>
      <c r="E251" s="376"/>
      <c r="F251" s="376"/>
      <c r="G251" s="376"/>
      <c r="H251" s="376"/>
      <c r="I251" s="376"/>
      <c r="J251" s="376"/>
      <c r="K251" s="376"/>
      <c r="L251" s="376"/>
      <c r="M251" s="376"/>
      <c r="N251" s="376"/>
      <c r="O251" s="376"/>
      <c r="P251" s="376"/>
      <c r="Q251" s="376"/>
      <c r="R251" s="376"/>
      <c r="S251" s="376"/>
      <c r="T251" s="376"/>
      <c r="U251" s="376"/>
      <c r="V251" s="376"/>
      <c r="W251" s="376"/>
      <c r="X251" s="376"/>
      <c r="Y251" s="376"/>
      <c r="Z251" s="376"/>
    </row>
    <row r="252">
      <c r="A252" s="376"/>
      <c r="B252" s="376"/>
      <c r="C252" s="376"/>
      <c r="D252" s="376"/>
      <c r="E252" s="376"/>
      <c r="F252" s="376"/>
      <c r="G252" s="376"/>
      <c r="H252" s="376"/>
      <c r="I252" s="376"/>
      <c r="J252" s="376"/>
      <c r="K252" s="376"/>
      <c r="L252" s="376"/>
      <c r="M252" s="376"/>
      <c r="N252" s="376"/>
      <c r="O252" s="376"/>
      <c r="P252" s="376"/>
      <c r="Q252" s="376"/>
      <c r="R252" s="376"/>
      <c r="S252" s="376"/>
      <c r="T252" s="376"/>
      <c r="U252" s="376"/>
      <c r="V252" s="376"/>
      <c r="W252" s="376"/>
      <c r="X252" s="376"/>
      <c r="Y252" s="376"/>
      <c r="Z252" s="376"/>
    </row>
    <row r="253">
      <c r="A253" s="376"/>
      <c r="B253" s="376"/>
      <c r="C253" s="376"/>
      <c r="D253" s="376"/>
      <c r="E253" s="376"/>
      <c r="F253" s="376"/>
      <c r="G253" s="376"/>
      <c r="H253" s="376"/>
      <c r="I253" s="376"/>
      <c r="J253" s="376"/>
      <c r="K253" s="376"/>
      <c r="L253" s="376"/>
      <c r="M253" s="376"/>
      <c r="N253" s="376"/>
      <c r="O253" s="376"/>
      <c r="P253" s="376"/>
      <c r="Q253" s="376"/>
      <c r="R253" s="376"/>
      <c r="S253" s="376"/>
      <c r="T253" s="376"/>
      <c r="U253" s="376"/>
      <c r="V253" s="376"/>
      <c r="W253" s="376"/>
      <c r="X253" s="376"/>
      <c r="Y253" s="376"/>
      <c r="Z253" s="376"/>
    </row>
    <row r="254">
      <c r="A254" s="376"/>
      <c r="B254" s="376"/>
      <c r="C254" s="376"/>
      <c r="D254" s="376"/>
      <c r="E254" s="376"/>
      <c r="F254" s="376"/>
      <c r="G254" s="376"/>
      <c r="H254" s="376"/>
      <c r="I254" s="376"/>
      <c r="J254" s="376"/>
      <c r="K254" s="376"/>
      <c r="L254" s="376"/>
      <c r="M254" s="376"/>
      <c r="N254" s="376"/>
      <c r="O254" s="376"/>
      <c r="P254" s="376"/>
      <c r="Q254" s="376"/>
      <c r="R254" s="376"/>
      <c r="S254" s="376"/>
      <c r="T254" s="376"/>
      <c r="U254" s="376"/>
      <c r="V254" s="376"/>
      <c r="W254" s="376"/>
      <c r="X254" s="376"/>
      <c r="Y254" s="376"/>
      <c r="Z254" s="376"/>
    </row>
    <row r="255">
      <c r="A255" s="376"/>
      <c r="B255" s="376"/>
      <c r="C255" s="376"/>
      <c r="D255" s="376"/>
      <c r="E255" s="376"/>
      <c r="F255" s="376"/>
      <c r="G255" s="376"/>
      <c r="H255" s="376"/>
      <c r="I255" s="376"/>
      <c r="J255" s="376"/>
      <c r="K255" s="376"/>
      <c r="L255" s="376"/>
      <c r="M255" s="376"/>
      <c r="N255" s="376"/>
      <c r="O255" s="376"/>
      <c r="P255" s="376"/>
      <c r="Q255" s="376"/>
      <c r="R255" s="376"/>
      <c r="S255" s="376"/>
      <c r="T255" s="376"/>
      <c r="U255" s="376"/>
      <c r="V255" s="376"/>
      <c r="W255" s="376"/>
      <c r="X255" s="376"/>
      <c r="Y255" s="376"/>
      <c r="Z255" s="376"/>
    </row>
    <row r="256">
      <c r="A256" s="376"/>
      <c r="B256" s="376"/>
      <c r="C256" s="376"/>
      <c r="D256" s="376"/>
      <c r="E256" s="376"/>
      <c r="F256" s="376"/>
      <c r="G256" s="376"/>
      <c r="H256" s="376"/>
      <c r="I256" s="376"/>
      <c r="J256" s="376"/>
      <c r="K256" s="376"/>
      <c r="L256" s="376"/>
      <c r="M256" s="376"/>
      <c r="N256" s="376"/>
      <c r="O256" s="376"/>
      <c r="P256" s="376"/>
      <c r="Q256" s="376"/>
      <c r="R256" s="376"/>
      <c r="S256" s="376"/>
      <c r="T256" s="376"/>
      <c r="U256" s="376"/>
      <c r="V256" s="376"/>
      <c r="W256" s="376"/>
      <c r="X256" s="376"/>
      <c r="Y256" s="376"/>
      <c r="Z256" s="376"/>
    </row>
    <row r="257">
      <c r="A257" s="376"/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376"/>
      <c r="P257" s="376"/>
      <c r="Q257" s="376"/>
      <c r="R257" s="376"/>
      <c r="S257" s="376"/>
      <c r="T257" s="376"/>
      <c r="U257" s="376"/>
      <c r="V257" s="376"/>
      <c r="W257" s="376"/>
      <c r="X257" s="376"/>
      <c r="Y257" s="376"/>
      <c r="Z257" s="376"/>
    </row>
    <row r="258">
      <c r="A258" s="376"/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6"/>
      <c r="P258" s="376"/>
      <c r="Q258" s="376"/>
      <c r="R258" s="376"/>
      <c r="S258" s="376"/>
      <c r="T258" s="376"/>
      <c r="U258" s="376"/>
      <c r="V258" s="376"/>
      <c r="W258" s="376"/>
      <c r="X258" s="376"/>
      <c r="Y258" s="376"/>
      <c r="Z258" s="376"/>
    </row>
    <row r="259">
      <c r="A259" s="376"/>
      <c r="B259" s="376"/>
      <c r="C259" s="376"/>
      <c r="D259" s="376"/>
      <c r="E259" s="376"/>
      <c r="F259" s="376"/>
      <c r="G259" s="376"/>
      <c r="H259" s="376"/>
      <c r="I259" s="376"/>
      <c r="J259" s="376"/>
      <c r="K259" s="376"/>
      <c r="L259" s="376"/>
      <c r="M259" s="376"/>
      <c r="N259" s="376"/>
      <c r="O259" s="376"/>
      <c r="P259" s="376"/>
      <c r="Q259" s="376"/>
      <c r="R259" s="376"/>
      <c r="S259" s="376"/>
      <c r="T259" s="376"/>
      <c r="U259" s="376"/>
      <c r="V259" s="376"/>
      <c r="W259" s="376"/>
      <c r="X259" s="376"/>
      <c r="Y259" s="376"/>
      <c r="Z259" s="376"/>
    </row>
    <row r="260">
      <c r="A260" s="376"/>
      <c r="B260" s="376"/>
      <c r="C260" s="376"/>
      <c r="D260" s="376"/>
      <c r="E260" s="376"/>
      <c r="F260" s="376"/>
      <c r="G260" s="376"/>
      <c r="H260" s="376"/>
      <c r="I260" s="376"/>
      <c r="J260" s="376"/>
      <c r="K260" s="376"/>
      <c r="L260" s="376"/>
      <c r="M260" s="376"/>
      <c r="N260" s="376"/>
      <c r="O260" s="376"/>
      <c r="P260" s="376"/>
      <c r="Q260" s="376"/>
      <c r="R260" s="376"/>
      <c r="S260" s="376"/>
      <c r="T260" s="376"/>
      <c r="U260" s="376"/>
      <c r="V260" s="376"/>
      <c r="W260" s="376"/>
      <c r="X260" s="376"/>
      <c r="Y260" s="376"/>
      <c r="Z260" s="376"/>
    </row>
    <row r="261">
      <c r="A261" s="376"/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6"/>
      <c r="P261" s="376"/>
      <c r="Q261" s="376"/>
      <c r="R261" s="376"/>
      <c r="S261" s="376"/>
      <c r="T261" s="376"/>
      <c r="U261" s="376"/>
      <c r="V261" s="376"/>
      <c r="W261" s="376"/>
      <c r="X261" s="376"/>
      <c r="Y261" s="376"/>
      <c r="Z261" s="376"/>
    </row>
    <row r="262">
      <c r="A262" s="376"/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6"/>
      <c r="P262" s="376"/>
      <c r="Q262" s="376"/>
      <c r="R262" s="376"/>
      <c r="S262" s="376"/>
      <c r="T262" s="376"/>
      <c r="U262" s="376"/>
      <c r="V262" s="376"/>
      <c r="W262" s="376"/>
      <c r="X262" s="376"/>
      <c r="Y262" s="376"/>
      <c r="Z262" s="376"/>
    </row>
    <row r="263">
      <c r="A263" s="376"/>
      <c r="B263" s="376"/>
      <c r="C263" s="376"/>
      <c r="D263" s="376"/>
      <c r="E263" s="376"/>
      <c r="F263" s="376"/>
      <c r="G263" s="376"/>
      <c r="H263" s="376"/>
      <c r="I263" s="376"/>
      <c r="J263" s="376"/>
      <c r="K263" s="376"/>
      <c r="L263" s="376"/>
      <c r="M263" s="376"/>
      <c r="N263" s="376"/>
      <c r="O263" s="376"/>
      <c r="P263" s="376"/>
      <c r="Q263" s="376"/>
      <c r="R263" s="376"/>
      <c r="S263" s="376"/>
      <c r="T263" s="376"/>
      <c r="U263" s="376"/>
      <c r="V263" s="376"/>
      <c r="W263" s="376"/>
      <c r="X263" s="376"/>
      <c r="Y263" s="376"/>
      <c r="Z263" s="376"/>
    </row>
    <row r="264">
      <c r="A264" s="376"/>
      <c r="B264" s="376"/>
      <c r="C264" s="376"/>
      <c r="D264" s="376"/>
      <c r="E264" s="376"/>
      <c r="F264" s="376"/>
      <c r="G264" s="376"/>
      <c r="H264" s="376"/>
      <c r="I264" s="376"/>
      <c r="J264" s="376"/>
      <c r="K264" s="376"/>
      <c r="L264" s="376"/>
      <c r="M264" s="376"/>
      <c r="N264" s="376"/>
      <c r="O264" s="376"/>
      <c r="P264" s="376"/>
      <c r="Q264" s="376"/>
      <c r="R264" s="376"/>
      <c r="S264" s="376"/>
      <c r="T264" s="376"/>
      <c r="U264" s="376"/>
      <c r="V264" s="376"/>
      <c r="W264" s="376"/>
      <c r="X264" s="376"/>
      <c r="Y264" s="376"/>
      <c r="Z264" s="376"/>
    </row>
    <row r="265">
      <c r="A265" s="376"/>
      <c r="B265" s="376"/>
      <c r="C265" s="376"/>
      <c r="D265" s="376"/>
      <c r="E265" s="376"/>
      <c r="F265" s="376"/>
      <c r="G265" s="376"/>
      <c r="H265" s="376"/>
      <c r="I265" s="376"/>
      <c r="J265" s="376"/>
      <c r="K265" s="376"/>
      <c r="L265" s="376"/>
      <c r="M265" s="376"/>
      <c r="N265" s="376"/>
      <c r="O265" s="376"/>
      <c r="P265" s="376"/>
      <c r="Q265" s="376"/>
      <c r="R265" s="376"/>
      <c r="S265" s="376"/>
      <c r="T265" s="376"/>
      <c r="U265" s="376"/>
      <c r="V265" s="376"/>
      <c r="W265" s="376"/>
      <c r="X265" s="376"/>
      <c r="Y265" s="376"/>
      <c r="Z265" s="376"/>
    </row>
    <row r="266">
      <c r="A266" s="376"/>
      <c r="B266" s="376"/>
      <c r="C266" s="376"/>
      <c r="D266" s="376"/>
      <c r="E266" s="376"/>
      <c r="F266" s="376"/>
      <c r="G266" s="376"/>
      <c r="H266" s="376"/>
      <c r="I266" s="376"/>
      <c r="J266" s="376"/>
      <c r="K266" s="376"/>
      <c r="L266" s="376"/>
      <c r="M266" s="376"/>
      <c r="N266" s="376"/>
      <c r="O266" s="376"/>
      <c r="P266" s="376"/>
      <c r="Q266" s="376"/>
      <c r="R266" s="376"/>
      <c r="S266" s="376"/>
      <c r="T266" s="376"/>
      <c r="U266" s="376"/>
      <c r="V266" s="376"/>
      <c r="W266" s="376"/>
      <c r="X266" s="376"/>
      <c r="Y266" s="376"/>
      <c r="Z266" s="376"/>
    </row>
    <row r="267">
      <c r="A267" s="376"/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6"/>
      <c r="P267" s="376"/>
      <c r="Q267" s="376"/>
      <c r="R267" s="376"/>
      <c r="S267" s="376"/>
      <c r="T267" s="376"/>
      <c r="U267" s="376"/>
      <c r="V267" s="376"/>
      <c r="W267" s="376"/>
      <c r="X267" s="376"/>
      <c r="Y267" s="376"/>
      <c r="Z267" s="376"/>
    </row>
    <row r="268">
      <c r="A268" s="376"/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6"/>
      <c r="P268" s="376"/>
      <c r="Q268" s="376"/>
      <c r="R268" s="376"/>
      <c r="S268" s="376"/>
      <c r="T268" s="376"/>
      <c r="U268" s="376"/>
      <c r="V268" s="376"/>
      <c r="W268" s="376"/>
      <c r="X268" s="376"/>
      <c r="Y268" s="376"/>
      <c r="Z268" s="376"/>
    </row>
    <row r="269">
      <c r="A269" s="376"/>
      <c r="B269" s="376"/>
      <c r="C269" s="376"/>
      <c r="D269" s="376"/>
      <c r="E269" s="376"/>
      <c r="F269" s="376"/>
      <c r="G269" s="376"/>
      <c r="H269" s="376"/>
      <c r="I269" s="376"/>
      <c r="J269" s="376"/>
      <c r="K269" s="376"/>
      <c r="L269" s="376"/>
      <c r="M269" s="376"/>
      <c r="N269" s="376"/>
      <c r="O269" s="376"/>
      <c r="P269" s="376"/>
      <c r="Q269" s="376"/>
      <c r="R269" s="376"/>
      <c r="S269" s="376"/>
      <c r="T269" s="376"/>
      <c r="U269" s="376"/>
      <c r="V269" s="376"/>
      <c r="W269" s="376"/>
      <c r="X269" s="376"/>
      <c r="Y269" s="376"/>
      <c r="Z269" s="376"/>
    </row>
    <row r="270">
      <c r="A270" s="376"/>
      <c r="B270" s="376"/>
      <c r="C270" s="376"/>
      <c r="D270" s="376"/>
      <c r="E270" s="376"/>
      <c r="F270" s="376"/>
      <c r="G270" s="376"/>
      <c r="H270" s="376"/>
      <c r="I270" s="376"/>
      <c r="J270" s="376"/>
      <c r="K270" s="376"/>
      <c r="L270" s="376"/>
      <c r="M270" s="376"/>
      <c r="N270" s="376"/>
      <c r="O270" s="376"/>
      <c r="P270" s="376"/>
      <c r="Q270" s="376"/>
      <c r="R270" s="376"/>
      <c r="S270" s="376"/>
      <c r="T270" s="376"/>
      <c r="U270" s="376"/>
      <c r="V270" s="376"/>
      <c r="W270" s="376"/>
      <c r="X270" s="376"/>
      <c r="Y270" s="376"/>
      <c r="Z270" s="376"/>
    </row>
    <row r="271">
      <c r="A271" s="376"/>
      <c r="B271" s="376"/>
      <c r="C271" s="376"/>
      <c r="D271" s="376"/>
      <c r="E271" s="376"/>
      <c r="F271" s="376"/>
      <c r="G271" s="376"/>
      <c r="H271" s="376"/>
      <c r="I271" s="376"/>
      <c r="J271" s="376"/>
      <c r="K271" s="376"/>
      <c r="L271" s="376"/>
      <c r="M271" s="376"/>
      <c r="N271" s="376"/>
      <c r="O271" s="376"/>
      <c r="P271" s="376"/>
      <c r="Q271" s="376"/>
      <c r="R271" s="376"/>
      <c r="S271" s="376"/>
      <c r="T271" s="376"/>
      <c r="U271" s="376"/>
      <c r="V271" s="376"/>
      <c r="W271" s="376"/>
      <c r="X271" s="376"/>
      <c r="Y271" s="376"/>
      <c r="Z271" s="376"/>
    </row>
    <row r="272">
      <c r="A272" s="376"/>
      <c r="B272" s="376"/>
      <c r="C272" s="376"/>
      <c r="D272" s="376"/>
      <c r="E272" s="376"/>
      <c r="F272" s="376"/>
      <c r="G272" s="376"/>
      <c r="H272" s="376"/>
      <c r="I272" s="376"/>
      <c r="J272" s="376"/>
      <c r="K272" s="376"/>
      <c r="L272" s="376"/>
      <c r="M272" s="376"/>
      <c r="N272" s="376"/>
      <c r="O272" s="376"/>
      <c r="P272" s="376"/>
      <c r="Q272" s="376"/>
      <c r="R272" s="376"/>
      <c r="S272" s="376"/>
      <c r="T272" s="376"/>
      <c r="U272" s="376"/>
      <c r="V272" s="376"/>
      <c r="W272" s="376"/>
      <c r="X272" s="376"/>
      <c r="Y272" s="376"/>
      <c r="Z272" s="376"/>
    </row>
    <row r="273">
      <c r="A273" s="376"/>
      <c r="B273" s="376"/>
      <c r="C273" s="376"/>
      <c r="D273" s="376"/>
      <c r="E273" s="376"/>
      <c r="F273" s="376"/>
      <c r="G273" s="376"/>
      <c r="H273" s="376"/>
      <c r="I273" s="376"/>
      <c r="J273" s="376"/>
      <c r="K273" s="376"/>
      <c r="L273" s="376"/>
      <c r="M273" s="376"/>
      <c r="N273" s="376"/>
      <c r="O273" s="376"/>
      <c r="P273" s="376"/>
      <c r="Q273" s="376"/>
      <c r="R273" s="376"/>
      <c r="S273" s="376"/>
      <c r="T273" s="376"/>
      <c r="U273" s="376"/>
      <c r="V273" s="376"/>
      <c r="W273" s="376"/>
      <c r="X273" s="376"/>
      <c r="Y273" s="376"/>
      <c r="Z273" s="376"/>
    </row>
    <row r="274">
      <c r="A274" s="376"/>
      <c r="B274" s="376"/>
      <c r="C274" s="376"/>
      <c r="D274" s="376"/>
      <c r="E274" s="376"/>
      <c r="F274" s="376"/>
      <c r="G274" s="376"/>
      <c r="H274" s="376"/>
      <c r="I274" s="376"/>
      <c r="J274" s="376"/>
      <c r="K274" s="376"/>
      <c r="L274" s="376"/>
      <c r="M274" s="376"/>
      <c r="N274" s="376"/>
      <c r="O274" s="376"/>
      <c r="P274" s="376"/>
      <c r="Q274" s="376"/>
      <c r="R274" s="376"/>
      <c r="S274" s="376"/>
      <c r="T274" s="376"/>
      <c r="U274" s="376"/>
      <c r="V274" s="376"/>
      <c r="W274" s="376"/>
      <c r="X274" s="376"/>
      <c r="Y274" s="376"/>
      <c r="Z274" s="376"/>
    </row>
    <row r="275">
      <c r="A275" s="376"/>
      <c r="B275" s="376"/>
      <c r="C275" s="376"/>
      <c r="D275" s="376"/>
      <c r="E275" s="376"/>
      <c r="F275" s="376"/>
      <c r="G275" s="376"/>
      <c r="H275" s="376"/>
      <c r="I275" s="376"/>
      <c r="J275" s="376"/>
      <c r="K275" s="376"/>
      <c r="L275" s="376"/>
      <c r="M275" s="376"/>
      <c r="N275" s="376"/>
      <c r="O275" s="376"/>
      <c r="P275" s="376"/>
      <c r="Q275" s="376"/>
      <c r="R275" s="376"/>
      <c r="S275" s="376"/>
      <c r="T275" s="376"/>
      <c r="U275" s="376"/>
      <c r="V275" s="376"/>
      <c r="W275" s="376"/>
      <c r="X275" s="376"/>
      <c r="Y275" s="376"/>
      <c r="Z275" s="376"/>
    </row>
    <row r="276">
      <c r="A276" s="376"/>
      <c r="B276" s="376"/>
      <c r="C276" s="376"/>
      <c r="D276" s="376"/>
      <c r="E276" s="376"/>
      <c r="F276" s="376"/>
      <c r="G276" s="376"/>
      <c r="H276" s="376"/>
      <c r="I276" s="376"/>
      <c r="J276" s="376"/>
      <c r="K276" s="376"/>
      <c r="L276" s="376"/>
      <c r="M276" s="376"/>
      <c r="N276" s="376"/>
      <c r="O276" s="376"/>
      <c r="P276" s="376"/>
      <c r="Q276" s="376"/>
      <c r="R276" s="376"/>
      <c r="S276" s="376"/>
      <c r="T276" s="376"/>
      <c r="U276" s="376"/>
      <c r="V276" s="376"/>
      <c r="W276" s="376"/>
      <c r="X276" s="376"/>
      <c r="Y276" s="376"/>
      <c r="Z276" s="376"/>
    </row>
    <row r="277">
      <c r="A277" s="376"/>
      <c r="B277" s="376"/>
      <c r="C277" s="376"/>
      <c r="D277" s="376"/>
      <c r="E277" s="376"/>
      <c r="F277" s="376"/>
      <c r="G277" s="376"/>
      <c r="H277" s="376"/>
      <c r="I277" s="376"/>
      <c r="J277" s="376"/>
      <c r="K277" s="376"/>
      <c r="L277" s="376"/>
      <c r="M277" s="376"/>
      <c r="N277" s="376"/>
      <c r="O277" s="376"/>
      <c r="P277" s="376"/>
      <c r="Q277" s="376"/>
      <c r="R277" s="376"/>
      <c r="S277" s="376"/>
      <c r="T277" s="376"/>
      <c r="U277" s="376"/>
      <c r="V277" s="376"/>
      <c r="W277" s="376"/>
      <c r="X277" s="376"/>
      <c r="Y277" s="376"/>
      <c r="Z277" s="376"/>
    </row>
    <row r="278">
      <c r="A278" s="376"/>
      <c r="B278" s="376"/>
      <c r="C278" s="376"/>
      <c r="D278" s="376"/>
      <c r="E278" s="376"/>
      <c r="F278" s="376"/>
      <c r="G278" s="376"/>
      <c r="H278" s="376"/>
      <c r="I278" s="376"/>
      <c r="J278" s="376"/>
      <c r="K278" s="376"/>
      <c r="L278" s="376"/>
      <c r="M278" s="376"/>
      <c r="N278" s="376"/>
      <c r="O278" s="376"/>
      <c r="P278" s="376"/>
      <c r="Q278" s="376"/>
      <c r="R278" s="376"/>
      <c r="S278" s="376"/>
      <c r="T278" s="376"/>
      <c r="U278" s="376"/>
      <c r="V278" s="376"/>
      <c r="W278" s="376"/>
      <c r="X278" s="376"/>
      <c r="Y278" s="376"/>
      <c r="Z278" s="376"/>
    </row>
    <row r="279">
      <c r="A279" s="376"/>
      <c r="B279" s="376"/>
      <c r="C279" s="376"/>
      <c r="D279" s="376"/>
      <c r="E279" s="376"/>
      <c r="F279" s="376"/>
      <c r="G279" s="376"/>
      <c r="H279" s="376"/>
      <c r="I279" s="376"/>
      <c r="J279" s="376"/>
      <c r="K279" s="376"/>
      <c r="L279" s="376"/>
      <c r="M279" s="376"/>
      <c r="N279" s="376"/>
      <c r="O279" s="376"/>
      <c r="P279" s="376"/>
      <c r="Q279" s="376"/>
      <c r="R279" s="376"/>
      <c r="S279" s="376"/>
      <c r="T279" s="376"/>
      <c r="U279" s="376"/>
      <c r="V279" s="376"/>
      <c r="W279" s="376"/>
      <c r="X279" s="376"/>
      <c r="Y279" s="376"/>
      <c r="Z279" s="376"/>
    </row>
    <row r="280">
      <c r="A280" s="376"/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6"/>
      <c r="P280" s="376"/>
      <c r="Q280" s="376"/>
      <c r="R280" s="376"/>
      <c r="S280" s="376"/>
      <c r="T280" s="376"/>
      <c r="U280" s="376"/>
      <c r="V280" s="376"/>
      <c r="W280" s="376"/>
      <c r="X280" s="376"/>
      <c r="Y280" s="376"/>
      <c r="Z280" s="376"/>
    </row>
    <row r="281">
      <c r="A281" s="376"/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6"/>
      <c r="P281" s="376"/>
      <c r="Q281" s="376"/>
      <c r="R281" s="376"/>
      <c r="S281" s="376"/>
      <c r="T281" s="376"/>
      <c r="U281" s="376"/>
      <c r="V281" s="376"/>
      <c r="W281" s="376"/>
      <c r="X281" s="376"/>
      <c r="Y281" s="376"/>
      <c r="Z281" s="376"/>
    </row>
    <row r="282">
      <c r="A282" s="376"/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376"/>
      <c r="P282" s="376"/>
      <c r="Q282" s="376"/>
      <c r="R282" s="376"/>
      <c r="S282" s="376"/>
      <c r="T282" s="376"/>
      <c r="U282" s="376"/>
      <c r="V282" s="376"/>
      <c r="W282" s="376"/>
      <c r="X282" s="376"/>
      <c r="Y282" s="376"/>
      <c r="Z282" s="376"/>
    </row>
    <row r="283">
      <c r="A283" s="376"/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376"/>
      <c r="P283" s="376"/>
      <c r="Q283" s="376"/>
      <c r="R283" s="376"/>
      <c r="S283" s="376"/>
      <c r="T283" s="376"/>
      <c r="U283" s="376"/>
      <c r="V283" s="376"/>
      <c r="W283" s="376"/>
      <c r="X283" s="376"/>
      <c r="Y283" s="376"/>
      <c r="Z283" s="376"/>
    </row>
    <row r="284">
      <c r="A284" s="376"/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376"/>
      <c r="P284" s="376"/>
      <c r="Q284" s="376"/>
      <c r="R284" s="376"/>
      <c r="S284" s="376"/>
      <c r="T284" s="376"/>
      <c r="U284" s="376"/>
      <c r="V284" s="376"/>
      <c r="W284" s="376"/>
      <c r="X284" s="376"/>
      <c r="Y284" s="376"/>
      <c r="Z284" s="376"/>
    </row>
    <row r="285">
      <c r="A285" s="376"/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376"/>
      <c r="P285" s="376"/>
      <c r="Q285" s="376"/>
      <c r="R285" s="376"/>
      <c r="S285" s="376"/>
      <c r="T285" s="376"/>
      <c r="U285" s="376"/>
      <c r="V285" s="376"/>
      <c r="W285" s="376"/>
      <c r="X285" s="376"/>
      <c r="Y285" s="376"/>
      <c r="Z285" s="376"/>
    </row>
    <row r="286">
      <c r="A286" s="376"/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376"/>
      <c r="P286" s="376"/>
      <c r="Q286" s="376"/>
      <c r="R286" s="376"/>
      <c r="S286" s="376"/>
      <c r="T286" s="376"/>
      <c r="U286" s="376"/>
      <c r="V286" s="376"/>
      <c r="W286" s="376"/>
      <c r="X286" s="376"/>
      <c r="Y286" s="376"/>
      <c r="Z286" s="376"/>
    </row>
    <row r="287">
      <c r="A287" s="376"/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376"/>
      <c r="P287" s="376"/>
      <c r="Q287" s="376"/>
      <c r="R287" s="376"/>
      <c r="S287" s="376"/>
      <c r="T287" s="376"/>
      <c r="U287" s="376"/>
      <c r="V287" s="376"/>
      <c r="W287" s="376"/>
      <c r="X287" s="376"/>
      <c r="Y287" s="376"/>
      <c r="Z287" s="376"/>
    </row>
    <row r="288">
      <c r="A288" s="376"/>
      <c r="B288" s="376"/>
      <c r="C288" s="376"/>
      <c r="D288" s="376"/>
      <c r="E288" s="376"/>
      <c r="F288" s="376"/>
      <c r="G288" s="376"/>
      <c r="H288" s="376"/>
      <c r="I288" s="376"/>
      <c r="J288" s="376"/>
      <c r="K288" s="376"/>
      <c r="L288" s="376"/>
      <c r="M288" s="376"/>
      <c r="N288" s="376"/>
      <c r="O288" s="376"/>
      <c r="P288" s="376"/>
      <c r="Q288" s="376"/>
      <c r="R288" s="376"/>
      <c r="S288" s="376"/>
      <c r="T288" s="376"/>
      <c r="U288" s="376"/>
      <c r="V288" s="376"/>
      <c r="W288" s="376"/>
      <c r="X288" s="376"/>
      <c r="Y288" s="376"/>
      <c r="Z288" s="376"/>
    </row>
    <row r="289">
      <c r="A289" s="376"/>
      <c r="B289" s="376"/>
      <c r="C289" s="376"/>
      <c r="D289" s="376"/>
      <c r="E289" s="376"/>
      <c r="F289" s="376"/>
      <c r="G289" s="376"/>
      <c r="H289" s="376"/>
      <c r="I289" s="376"/>
      <c r="J289" s="376"/>
      <c r="K289" s="376"/>
      <c r="L289" s="376"/>
      <c r="M289" s="376"/>
      <c r="N289" s="376"/>
      <c r="O289" s="376"/>
      <c r="P289" s="376"/>
      <c r="Q289" s="376"/>
      <c r="R289" s="376"/>
      <c r="S289" s="376"/>
      <c r="T289" s="376"/>
      <c r="U289" s="376"/>
      <c r="V289" s="376"/>
      <c r="W289" s="376"/>
      <c r="X289" s="376"/>
      <c r="Y289" s="376"/>
      <c r="Z289" s="376"/>
    </row>
    <row r="290">
      <c r="A290" s="376"/>
      <c r="B290" s="376"/>
      <c r="C290" s="376"/>
      <c r="D290" s="376"/>
      <c r="E290" s="376"/>
      <c r="F290" s="376"/>
      <c r="G290" s="376"/>
      <c r="H290" s="376"/>
      <c r="I290" s="376"/>
      <c r="J290" s="376"/>
      <c r="K290" s="376"/>
      <c r="L290" s="376"/>
      <c r="M290" s="376"/>
      <c r="N290" s="376"/>
      <c r="O290" s="376"/>
      <c r="P290" s="376"/>
      <c r="Q290" s="376"/>
      <c r="R290" s="376"/>
      <c r="S290" s="376"/>
      <c r="T290" s="376"/>
      <c r="U290" s="376"/>
      <c r="V290" s="376"/>
      <c r="W290" s="376"/>
      <c r="X290" s="376"/>
      <c r="Y290" s="376"/>
      <c r="Z290" s="376"/>
    </row>
    <row r="291">
      <c r="A291" s="376"/>
      <c r="B291" s="376"/>
      <c r="C291" s="376"/>
      <c r="D291" s="376"/>
      <c r="E291" s="376"/>
      <c r="F291" s="376"/>
      <c r="G291" s="376"/>
      <c r="H291" s="376"/>
      <c r="I291" s="376"/>
      <c r="J291" s="376"/>
      <c r="K291" s="376"/>
      <c r="L291" s="376"/>
      <c r="M291" s="376"/>
      <c r="N291" s="376"/>
      <c r="O291" s="376"/>
      <c r="P291" s="376"/>
      <c r="Q291" s="376"/>
      <c r="R291" s="376"/>
      <c r="S291" s="376"/>
      <c r="T291" s="376"/>
      <c r="U291" s="376"/>
      <c r="V291" s="376"/>
      <c r="W291" s="376"/>
      <c r="X291" s="376"/>
      <c r="Y291" s="376"/>
      <c r="Z291" s="376"/>
    </row>
    <row r="292">
      <c r="A292" s="376"/>
      <c r="B292" s="376"/>
      <c r="C292" s="376"/>
      <c r="D292" s="376"/>
      <c r="E292" s="376"/>
      <c r="F292" s="376"/>
      <c r="G292" s="376"/>
      <c r="H292" s="376"/>
      <c r="I292" s="376"/>
      <c r="J292" s="376"/>
      <c r="K292" s="376"/>
      <c r="L292" s="376"/>
      <c r="M292" s="376"/>
      <c r="N292" s="376"/>
      <c r="O292" s="376"/>
      <c r="P292" s="376"/>
      <c r="Q292" s="376"/>
      <c r="R292" s="376"/>
      <c r="S292" s="376"/>
      <c r="T292" s="376"/>
      <c r="U292" s="376"/>
      <c r="V292" s="376"/>
      <c r="W292" s="376"/>
      <c r="X292" s="376"/>
      <c r="Y292" s="376"/>
      <c r="Z292" s="376"/>
    </row>
    <row r="293">
      <c r="A293" s="376"/>
      <c r="B293" s="376"/>
      <c r="C293" s="376"/>
      <c r="D293" s="376"/>
      <c r="E293" s="376"/>
      <c r="F293" s="376"/>
      <c r="G293" s="376"/>
      <c r="H293" s="376"/>
      <c r="I293" s="376"/>
      <c r="J293" s="376"/>
      <c r="K293" s="376"/>
      <c r="L293" s="376"/>
      <c r="M293" s="376"/>
      <c r="N293" s="376"/>
      <c r="O293" s="376"/>
      <c r="P293" s="376"/>
      <c r="Q293" s="376"/>
      <c r="R293" s="376"/>
      <c r="S293" s="376"/>
      <c r="T293" s="376"/>
      <c r="U293" s="376"/>
      <c r="V293" s="376"/>
      <c r="W293" s="376"/>
      <c r="X293" s="376"/>
      <c r="Y293" s="376"/>
      <c r="Z293" s="376"/>
    </row>
    <row r="294">
      <c r="A294" s="376"/>
      <c r="B294" s="376"/>
      <c r="C294" s="376"/>
      <c r="D294" s="376"/>
      <c r="E294" s="376"/>
      <c r="F294" s="376"/>
      <c r="G294" s="376"/>
      <c r="H294" s="376"/>
      <c r="I294" s="376"/>
      <c r="J294" s="376"/>
      <c r="K294" s="376"/>
      <c r="L294" s="376"/>
      <c r="M294" s="376"/>
      <c r="N294" s="376"/>
      <c r="O294" s="376"/>
      <c r="P294" s="376"/>
      <c r="Q294" s="376"/>
      <c r="R294" s="376"/>
      <c r="S294" s="376"/>
      <c r="T294" s="376"/>
      <c r="U294" s="376"/>
      <c r="V294" s="376"/>
      <c r="W294" s="376"/>
      <c r="X294" s="376"/>
      <c r="Y294" s="376"/>
      <c r="Z294" s="376"/>
    </row>
    <row r="295">
      <c r="A295" s="376"/>
      <c r="B295" s="376"/>
      <c r="C295" s="376"/>
      <c r="D295" s="376"/>
      <c r="E295" s="376"/>
      <c r="F295" s="376"/>
      <c r="G295" s="376"/>
      <c r="H295" s="376"/>
      <c r="I295" s="376"/>
      <c r="J295" s="376"/>
      <c r="K295" s="376"/>
      <c r="L295" s="376"/>
      <c r="M295" s="376"/>
      <c r="N295" s="376"/>
      <c r="O295" s="376"/>
      <c r="P295" s="376"/>
      <c r="Q295" s="376"/>
      <c r="R295" s="376"/>
      <c r="S295" s="376"/>
      <c r="T295" s="376"/>
      <c r="U295" s="376"/>
      <c r="V295" s="376"/>
      <c r="W295" s="376"/>
      <c r="X295" s="376"/>
      <c r="Y295" s="376"/>
      <c r="Z295" s="376"/>
    </row>
    <row r="296">
      <c r="A296" s="376"/>
      <c r="B296" s="376"/>
      <c r="C296" s="376"/>
      <c r="D296" s="376"/>
      <c r="E296" s="376"/>
      <c r="F296" s="376"/>
      <c r="G296" s="376"/>
      <c r="H296" s="376"/>
      <c r="I296" s="376"/>
      <c r="J296" s="376"/>
      <c r="K296" s="376"/>
      <c r="L296" s="376"/>
      <c r="M296" s="376"/>
      <c r="N296" s="376"/>
      <c r="O296" s="376"/>
      <c r="P296" s="376"/>
      <c r="Q296" s="376"/>
      <c r="R296" s="376"/>
      <c r="S296" s="376"/>
      <c r="T296" s="376"/>
      <c r="U296" s="376"/>
      <c r="V296" s="376"/>
      <c r="W296" s="376"/>
      <c r="X296" s="376"/>
      <c r="Y296" s="376"/>
      <c r="Z296" s="376"/>
    </row>
    <row r="297">
      <c r="A297" s="376"/>
      <c r="B297" s="376"/>
      <c r="C297" s="376"/>
      <c r="D297" s="376"/>
      <c r="E297" s="376"/>
      <c r="F297" s="376"/>
      <c r="G297" s="376"/>
      <c r="H297" s="376"/>
      <c r="I297" s="376"/>
      <c r="J297" s="376"/>
      <c r="K297" s="376"/>
      <c r="L297" s="376"/>
      <c r="M297" s="376"/>
      <c r="N297" s="376"/>
      <c r="O297" s="376"/>
      <c r="P297" s="376"/>
      <c r="Q297" s="376"/>
      <c r="R297" s="376"/>
      <c r="S297" s="376"/>
      <c r="T297" s="376"/>
      <c r="U297" s="376"/>
      <c r="V297" s="376"/>
      <c r="W297" s="376"/>
      <c r="X297" s="376"/>
      <c r="Y297" s="376"/>
      <c r="Z297" s="376"/>
    </row>
    <row r="298">
      <c r="A298" s="376"/>
      <c r="B298" s="376"/>
      <c r="C298" s="376"/>
      <c r="D298" s="376"/>
      <c r="E298" s="376"/>
      <c r="F298" s="376"/>
      <c r="G298" s="376"/>
      <c r="H298" s="376"/>
      <c r="I298" s="376"/>
      <c r="J298" s="376"/>
      <c r="K298" s="376"/>
      <c r="L298" s="376"/>
      <c r="M298" s="376"/>
      <c r="N298" s="376"/>
      <c r="O298" s="376"/>
      <c r="P298" s="376"/>
      <c r="Q298" s="376"/>
      <c r="R298" s="376"/>
      <c r="S298" s="376"/>
      <c r="T298" s="376"/>
      <c r="U298" s="376"/>
      <c r="V298" s="376"/>
      <c r="W298" s="376"/>
      <c r="X298" s="376"/>
      <c r="Y298" s="376"/>
      <c r="Z298" s="376"/>
    </row>
    <row r="299">
      <c r="A299" s="376"/>
      <c r="B299" s="376"/>
      <c r="C299" s="376"/>
      <c r="D299" s="376"/>
      <c r="E299" s="376"/>
      <c r="F299" s="376"/>
      <c r="G299" s="376"/>
      <c r="H299" s="376"/>
      <c r="I299" s="376"/>
      <c r="J299" s="376"/>
      <c r="K299" s="376"/>
      <c r="L299" s="376"/>
      <c r="M299" s="376"/>
      <c r="N299" s="376"/>
      <c r="O299" s="376"/>
      <c r="P299" s="376"/>
      <c r="Q299" s="376"/>
      <c r="R299" s="376"/>
      <c r="S299" s="376"/>
      <c r="T299" s="376"/>
      <c r="U299" s="376"/>
      <c r="V299" s="376"/>
      <c r="W299" s="376"/>
      <c r="X299" s="376"/>
      <c r="Y299" s="376"/>
      <c r="Z299" s="376"/>
    </row>
    <row r="300">
      <c r="A300" s="376"/>
      <c r="B300" s="376"/>
      <c r="C300" s="376"/>
      <c r="D300" s="376"/>
      <c r="E300" s="376"/>
      <c r="F300" s="376"/>
      <c r="G300" s="376"/>
      <c r="H300" s="376"/>
      <c r="I300" s="376"/>
      <c r="J300" s="376"/>
      <c r="K300" s="376"/>
      <c r="L300" s="376"/>
      <c r="M300" s="376"/>
      <c r="N300" s="376"/>
      <c r="O300" s="376"/>
      <c r="P300" s="376"/>
      <c r="Q300" s="376"/>
      <c r="R300" s="376"/>
      <c r="S300" s="376"/>
      <c r="T300" s="376"/>
      <c r="U300" s="376"/>
      <c r="V300" s="376"/>
      <c r="W300" s="376"/>
      <c r="X300" s="376"/>
      <c r="Y300" s="376"/>
      <c r="Z300" s="376"/>
    </row>
    <row r="301">
      <c r="A301" s="376"/>
      <c r="B301" s="376"/>
      <c r="C301" s="376"/>
      <c r="D301" s="376"/>
      <c r="E301" s="376"/>
      <c r="F301" s="376"/>
      <c r="G301" s="376"/>
      <c r="H301" s="376"/>
      <c r="I301" s="376"/>
      <c r="J301" s="376"/>
      <c r="K301" s="376"/>
      <c r="L301" s="376"/>
      <c r="M301" s="376"/>
      <c r="N301" s="376"/>
      <c r="O301" s="376"/>
      <c r="P301" s="376"/>
      <c r="Q301" s="376"/>
      <c r="R301" s="376"/>
      <c r="S301" s="376"/>
      <c r="T301" s="376"/>
      <c r="U301" s="376"/>
      <c r="V301" s="376"/>
      <c r="W301" s="376"/>
      <c r="X301" s="376"/>
      <c r="Y301" s="376"/>
      <c r="Z301" s="376"/>
    </row>
    <row r="302">
      <c r="A302" s="376"/>
      <c r="B302" s="376"/>
      <c r="C302" s="376"/>
      <c r="D302" s="376"/>
      <c r="E302" s="376"/>
      <c r="F302" s="376"/>
      <c r="G302" s="376"/>
      <c r="H302" s="376"/>
      <c r="I302" s="376"/>
      <c r="J302" s="376"/>
      <c r="K302" s="376"/>
      <c r="L302" s="376"/>
      <c r="M302" s="376"/>
      <c r="N302" s="376"/>
      <c r="O302" s="376"/>
      <c r="P302" s="376"/>
      <c r="Q302" s="376"/>
      <c r="R302" s="376"/>
      <c r="S302" s="376"/>
      <c r="T302" s="376"/>
      <c r="U302" s="376"/>
      <c r="V302" s="376"/>
      <c r="W302" s="376"/>
      <c r="X302" s="376"/>
      <c r="Y302" s="376"/>
      <c r="Z302" s="376"/>
    </row>
    <row r="303">
      <c r="A303" s="376"/>
      <c r="B303" s="376"/>
      <c r="C303" s="376"/>
      <c r="D303" s="376"/>
      <c r="E303" s="376"/>
      <c r="F303" s="376"/>
      <c r="G303" s="376"/>
      <c r="H303" s="376"/>
      <c r="I303" s="376"/>
      <c r="J303" s="376"/>
      <c r="K303" s="376"/>
      <c r="L303" s="376"/>
      <c r="M303" s="376"/>
      <c r="N303" s="376"/>
      <c r="O303" s="376"/>
      <c r="P303" s="376"/>
      <c r="Q303" s="376"/>
      <c r="R303" s="376"/>
      <c r="S303" s="376"/>
      <c r="T303" s="376"/>
      <c r="U303" s="376"/>
      <c r="V303" s="376"/>
      <c r="W303" s="376"/>
      <c r="X303" s="376"/>
      <c r="Y303" s="376"/>
      <c r="Z303" s="376"/>
    </row>
    <row r="304">
      <c r="A304" s="376"/>
      <c r="B304" s="376"/>
      <c r="C304" s="376"/>
      <c r="D304" s="376"/>
      <c r="E304" s="376"/>
      <c r="F304" s="376"/>
      <c r="G304" s="376"/>
      <c r="H304" s="376"/>
      <c r="I304" s="376"/>
      <c r="J304" s="376"/>
      <c r="K304" s="376"/>
      <c r="L304" s="376"/>
      <c r="M304" s="376"/>
      <c r="N304" s="376"/>
      <c r="O304" s="376"/>
      <c r="P304" s="376"/>
      <c r="Q304" s="376"/>
      <c r="R304" s="376"/>
      <c r="S304" s="376"/>
      <c r="T304" s="376"/>
      <c r="U304" s="376"/>
      <c r="V304" s="376"/>
      <c r="W304" s="376"/>
      <c r="X304" s="376"/>
      <c r="Y304" s="376"/>
      <c r="Z304" s="376"/>
    </row>
    <row r="305">
      <c r="A305" s="376"/>
      <c r="B305" s="376"/>
      <c r="C305" s="376"/>
      <c r="D305" s="376"/>
      <c r="E305" s="376"/>
      <c r="F305" s="376"/>
      <c r="G305" s="376"/>
      <c r="H305" s="376"/>
      <c r="I305" s="376"/>
      <c r="J305" s="376"/>
      <c r="K305" s="376"/>
      <c r="L305" s="376"/>
      <c r="M305" s="376"/>
      <c r="N305" s="376"/>
      <c r="O305" s="376"/>
      <c r="P305" s="376"/>
      <c r="Q305" s="376"/>
      <c r="R305" s="376"/>
      <c r="S305" s="376"/>
      <c r="T305" s="376"/>
      <c r="U305" s="376"/>
      <c r="V305" s="376"/>
      <c r="W305" s="376"/>
      <c r="X305" s="376"/>
      <c r="Y305" s="376"/>
      <c r="Z305" s="376"/>
    </row>
    <row r="306">
      <c r="A306" s="376"/>
      <c r="B306" s="376"/>
      <c r="C306" s="376"/>
      <c r="D306" s="376"/>
      <c r="E306" s="376"/>
      <c r="F306" s="376"/>
      <c r="G306" s="376"/>
      <c r="H306" s="376"/>
      <c r="I306" s="376"/>
      <c r="J306" s="376"/>
      <c r="K306" s="376"/>
      <c r="L306" s="376"/>
      <c r="M306" s="376"/>
      <c r="N306" s="376"/>
      <c r="O306" s="376"/>
      <c r="P306" s="376"/>
      <c r="Q306" s="376"/>
      <c r="R306" s="376"/>
      <c r="S306" s="376"/>
      <c r="T306" s="376"/>
      <c r="U306" s="376"/>
      <c r="V306" s="376"/>
      <c r="W306" s="376"/>
      <c r="X306" s="376"/>
      <c r="Y306" s="376"/>
      <c r="Z306" s="376"/>
    </row>
    <row r="307">
      <c r="A307" s="376"/>
      <c r="B307" s="376"/>
      <c r="C307" s="376"/>
      <c r="D307" s="376"/>
      <c r="E307" s="376"/>
      <c r="F307" s="376"/>
      <c r="G307" s="376"/>
      <c r="H307" s="376"/>
      <c r="I307" s="376"/>
      <c r="J307" s="376"/>
      <c r="K307" s="376"/>
      <c r="L307" s="376"/>
      <c r="M307" s="376"/>
      <c r="N307" s="376"/>
      <c r="O307" s="376"/>
      <c r="P307" s="376"/>
      <c r="Q307" s="376"/>
      <c r="R307" s="376"/>
      <c r="S307" s="376"/>
      <c r="T307" s="376"/>
      <c r="U307" s="376"/>
      <c r="V307" s="376"/>
      <c r="W307" s="376"/>
      <c r="X307" s="376"/>
      <c r="Y307" s="376"/>
      <c r="Z307" s="376"/>
    </row>
    <row r="308">
      <c r="A308" s="376"/>
      <c r="B308" s="376"/>
      <c r="C308" s="376"/>
      <c r="D308" s="376"/>
      <c r="E308" s="376"/>
      <c r="F308" s="376"/>
      <c r="G308" s="376"/>
      <c r="H308" s="376"/>
      <c r="I308" s="376"/>
      <c r="J308" s="376"/>
      <c r="K308" s="376"/>
      <c r="L308" s="376"/>
      <c r="M308" s="376"/>
      <c r="N308" s="376"/>
      <c r="O308" s="376"/>
      <c r="P308" s="376"/>
      <c r="Q308" s="376"/>
      <c r="R308" s="376"/>
      <c r="S308" s="376"/>
      <c r="T308" s="376"/>
      <c r="U308" s="376"/>
      <c r="V308" s="376"/>
      <c r="W308" s="376"/>
      <c r="X308" s="376"/>
      <c r="Y308" s="376"/>
      <c r="Z308" s="376"/>
    </row>
    <row r="309">
      <c r="A309" s="376"/>
      <c r="B309" s="376"/>
      <c r="C309" s="376"/>
      <c r="D309" s="376"/>
      <c r="E309" s="376"/>
      <c r="F309" s="376"/>
      <c r="G309" s="376"/>
      <c r="H309" s="376"/>
      <c r="I309" s="376"/>
      <c r="J309" s="376"/>
      <c r="K309" s="376"/>
      <c r="L309" s="376"/>
      <c r="M309" s="376"/>
      <c r="N309" s="376"/>
      <c r="O309" s="376"/>
      <c r="P309" s="376"/>
      <c r="Q309" s="376"/>
      <c r="R309" s="376"/>
      <c r="S309" s="376"/>
      <c r="T309" s="376"/>
      <c r="U309" s="376"/>
      <c r="V309" s="376"/>
      <c r="W309" s="376"/>
      <c r="X309" s="376"/>
      <c r="Y309" s="376"/>
      <c r="Z309" s="376"/>
    </row>
    <row r="310">
      <c r="A310" s="376"/>
      <c r="B310" s="376"/>
      <c r="C310" s="376"/>
      <c r="D310" s="376"/>
      <c r="E310" s="376"/>
      <c r="F310" s="376"/>
      <c r="G310" s="376"/>
      <c r="H310" s="376"/>
      <c r="I310" s="376"/>
      <c r="J310" s="376"/>
      <c r="K310" s="376"/>
      <c r="L310" s="376"/>
      <c r="M310" s="376"/>
      <c r="N310" s="376"/>
      <c r="O310" s="376"/>
      <c r="P310" s="376"/>
      <c r="Q310" s="376"/>
      <c r="R310" s="376"/>
      <c r="S310" s="376"/>
      <c r="T310" s="376"/>
      <c r="U310" s="376"/>
      <c r="V310" s="376"/>
      <c r="W310" s="376"/>
      <c r="X310" s="376"/>
      <c r="Y310" s="376"/>
      <c r="Z310" s="376"/>
    </row>
    <row r="311">
      <c r="A311" s="376"/>
      <c r="B311" s="376"/>
      <c r="C311" s="376"/>
      <c r="D311" s="376"/>
      <c r="E311" s="376"/>
      <c r="F311" s="376"/>
      <c r="G311" s="376"/>
      <c r="H311" s="376"/>
      <c r="I311" s="376"/>
      <c r="J311" s="376"/>
      <c r="K311" s="376"/>
      <c r="L311" s="376"/>
      <c r="M311" s="376"/>
      <c r="N311" s="376"/>
      <c r="O311" s="376"/>
      <c r="P311" s="376"/>
      <c r="Q311" s="376"/>
      <c r="R311" s="376"/>
      <c r="S311" s="376"/>
      <c r="T311" s="376"/>
      <c r="U311" s="376"/>
      <c r="V311" s="376"/>
      <c r="W311" s="376"/>
      <c r="X311" s="376"/>
      <c r="Y311" s="376"/>
      <c r="Z311" s="376"/>
    </row>
    <row r="312">
      <c r="A312" s="376"/>
      <c r="B312" s="376"/>
      <c r="C312" s="376"/>
      <c r="D312" s="376"/>
      <c r="E312" s="376"/>
      <c r="F312" s="376"/>
      <c r="G312" s="376"/>
      <c r="H312" s="376"/>
      <c r="I312" s="376"/>
      <c r="J312" s="376"/>
      <c r="K312" s="376"/>
      <c r="L312" s="376"/>
      <c r="M312" s="376"/>
      <c r="N312" s="376"/>
      <c r="O312" s="376"/>
      <c r="P312" s="376"/>
      <c r="Q312" s="376"/>
      <c r="R312" s="376"/>
      <c r="S312" s="376"/>
      <c r="T312" s="376"/>
      <c r="U312" s="376"/>
      <c r="V312" s="376"/>
      <c r="W312" s="376"/>
      <c r="X312" s="376"/>
      <c r="Y312" s="376"/>
      <c r="Z312" s="376"/>
    </row>
    <row r="313">
      <c r="A313" s="376"/>
      <c r="B313" s="376"/>
      <c r="C313" s="376"/>
      <c r="D313" s="376"/>
      <c r="E313" s="376"/>
      <c r="F313" s="376"/>
      <c r="G313" s="376"/>
      <c r="H313" s="376"/>
      <c r="I313" s="376"/>
      <c r="J313" s="376"/>
      <c r="K313" s="376"/>
      <c r="L313" s="376"/>
      <c r="M313" s="376"/>
      <c r="N313" s="376"/>
      <c r="O313" s="376"/>
      <c r="P313" s="376"/>
      <c r="Q313" s="376"/>
      <c r="R313" s="376"/>
      <c r="S313" s="376"/>
      <c r="T313" s="376"/>
      <c r="U313" s="376"/>
      <c r="V313" s="376"/>
      <c r="W313" s="376"/>
      <c r="X313" s="376"/>
      <c r="Y313" s="376"/>
      <c r="Z313" s="376"/>
    </row>
    <row r="314">
      <c r="A314" s="376"/>
      <c r="B314" s="376"/>
      <c r="C314" s="376"/>
      <c r="D314" s="376"/>
      <c r="E314" s="376"/>
      <c r="F314" s="376"/>
      <c r="G314" s="376"/>
      <c r="H314" s="376"/>
      <c r="I314" s="376"/>
      <c r="J314" s="376"/>
      <c r="K314" s="376"/>
      <c r="L314" s="376"/>
      <c r="M314" s="376"/>
      <c r="N314" s="376"/>
      <c r="O314" s="376"/>
      <c r="P314" s="376"/>
      <c r="Q314" s="376"/>
      <c r="R314" s="376"/>
      <c r="S314" s="376"/>
      <c r="T314" s="376"/>
      <c r="U314" s="376"/>
      <c r="V314" s="376"/>
      <c r="W314" s="376"/>
      <c r="X314" s="376"/>
      <c r="Y314" s="376"/>
      <c r="Z314" s="376"/>
    </row>
    <row r="315">
      <c r="A315" s="376"/>
      <c r="B315" s="376"/>
      <c r="C315" s="376"/>
      <c r="D315" s="376"/>
      <c r="E315" s="376"/>
      <c r="F315" s="376"/>
      <c r="G315" s="376"/>
      <c r="H315" s="376"/>
      <c r="I315" s="376"/>
      <c r="J315" s="376"/>
      <c r="K315" s="376"/>
      <c r="L315" s="376"/>
      <c r="M315" s="376"/>
      <c r="N315" s="376"/>
      <c r="O315" s="376"/>
      <c r="P315" s="376"/>
      <c r="Q315" s="376"/>
      <c r="R315" s="376"/>
      <c r="S315" s="376"/>
      <c r="T315" s="376"/>
      <c r="U315" s="376"/>
      <c r="V315" s="376"/>
      <c r="W315" s="376"/>
      <c r="X315" s="376"/>
      <c r="Y315" s="376"/>
      <c r="Z315" s="376"/>
    </row>
    <row r="316">
      <c r="A316" s="376"/>
      <c r="B316" s="376"/>
      <c r="C316" s="376"/>
      <c r="D316" s="376"/>
      <c r="E316" s="376"/>
      <c r="F316" s="376"/>
      <c r="G316" s="376"/>
      <c r="H316" s="376"/>
      <c r="I316" s="376"/>
      <c r="J316" s="376"/>
      <c r="K316" s="376"/>
      <c r="L316" s="376"/>
      <c r="M316" s="376"/>
      <c r="N316" s="376"/>
      <c r="O316" s="376"/>
      <c r="P316" s="376"/>
      <c r="Q316" s="376"/>
      <c r="R316" s="376"/>
      <c r="S316" s="376"/>
      <c r="T316" s="376"/>
      <c r="U316" s="376"/>
      <c r="V316" s="376"/>
      <c r="W316" s="376"/>
      <c r="X316" s="376"/>
      <c r="Y316" s="376"/>
      <c r="Z316" s="376"/>
    </row>
    <row r="317">
      <c r="A317" s="376"/>
      <c r="B317" s="376"/>
      <c r="C317" s="376"/>
      <c r="D317" s="376"/>
      <c r="E317" s="376"/>
      <c r="F317" s="376"/>
      <c r="G317" s="376"/>
      <c r="H317" s="376"/>
      <c r="I317" s="376"/>
      <c r="J317" s="376"/>
      <c r="K317" s="376"/>
      <c r="L317" s="376"/>
      <c r="M317" s="376"/>
      <c r="N317" s="376"/>
      <c r="O317" s="376"/>
      <c r="P317" s="376"/>
      <c r="Q317" s="376"/>
      <c r="R317" s="376"/>
      <c r="S317" s="376"/>
      <c r="T317" s="376"/>
      <c r="U317" s="376"/>
      <c r="V317" s="376"/>
      <c r="W317" s="376"/>
      <c r="X317" s="376"/>
      <c r="Y317" s="376"/>
      <c r="Z317" s="376"/>
    </row>
    <row r="318">
      <c r="A318" s="376"/>
      <c r="B318" s="376"/>
      <c r="C318" s="376"/>
      <c r="D318" s="376"/>
      <c r="E318" s="376"/>
      <c r="F318" s="376"/>
      <c r="G318" s="376"/>
      <c r="H318" s="376"/>
      <c r="I318" s="376"/>
      <c r="J318" s="376"/>
      <c r="K318" s="376"/>
      <c r="L318" s="376"/>
      <c r="M318" s="376"/>
      <c r="N318" s="376"/>
      <c r="O318" s="376"/>
      <c r="P318" s="376"/>
      <c r="Q318" s="376"/>
      <c r="R318" s="376"/>
      <c r="S318" s="376"/>
      <c r="T318" s="376"/>
      <c r="U318" s="376"/>
      <c r="V318" s="376"/>
      <c r="W318" s="376"/>
      <c r="X318" s="376"/>
      <c r="Y318" s="376"/>
      <c r="Z318" s="376"/>
    </row>
    <row r="319">
      <c r="A319" s="376"/>
      <c r="B319" s="376"/>
      <c r="C319" s="376"/>
      <c r="D319" s="376"/>
      <c r="E319" s="376"/>
      <c r="F319" s="376"/>
      <c r="G319" s="376"/>
      <c r="H319" s="376"/>
      <c r="I319" s="376"/>
      <c r="J319" s="376"/>
      <c r="K319" s="376"/>
      <c r="L319" s="376"/>
      <c r="M319" s="376"/>
      <c r="N319" s="376"/>
      <c r="O319" s="376"/>
      <c r="P319" s="376"/>
      <c r="Q319" s="376"/>
      <c r="R319" s="376"/>
      <c r="S319" s="376"/>
      <c r="T319" s="376"/>
      <c r="U319" s="376"/>
      <c r="V319" s="376"/>
      <c r="W319" s="376"/>
      <c r="X319" s="376"/>
      <c r="Y319" s="376"/>
      <c r="Z319" s="376"/>
    </row>
    <row r="320">
      <c r="A320" s="376"/>
      <c r="B320" s="376"/>
      <c r="C320" s="376"/>
      <c r="D320" s="376"/>
      <c r="E320" s="376"/>
      <c r="F320" s="376"/>
      <c r="G320" s="376"/>
      <c r="H320" s="376"/>
      <c r="I320" s="376"/>
      <c r="J320" s="376"/>
      <c r="K320" s="376"/>
      <c r="L320" s="376"/>
      <c r="M320" s="376"/>
      <c r="N320" s="376"/>
      <c r="O320" s="376"/>
      <c r="P320" s="376"/>
      <c r="Q320" s="376"/>
      <c r="R320" s="376"/>
      <c r="S320" s="376"/>
      <c r="T320" s="376"/>
      <c r="U320" s="376"/>
      <c r="V320" s="376"/>
      <c r="W320" s="376"/>
      <c r="X320" s="376"/>
      <c r="Y320" s="376"/>
      <c r="Z320" s="376"/>
    </row>
    <row r="321">
      <c r="A321" s="376"/>
      <c r="B321" s="376"/>
      <c r="C321" s="376"/>
      <c r="D321" s="376"/>
      <c r="E321" s="376"/>
      <c r="F321" s="376"/>
      <c r="G321" s="376"/>
      <c r="H321" s="376"/>
      <c r="I321" s="376"/>
      <c r="J321" s="376"/>
      <c r="K321" s="376"/>
      <c r="L321" s="376"/>
      <c r="M321" s="376"/>
      <c r="N321" s="376"/>
      <c r="O321" s="376"/>
      <c r="P321" s="376"/>
      <c r="Q321" s="376"/>
      <c r="R321" s="376"/>
      <c r="S321" s="376"/>
      <c r="T321" s="376"/>
      <c r="U321" s="376"/>
      <c r="V321" s="376"/>
      <c r="W321" s="376"/>
      <c r="X321" s="376"/>
      <c r="Y321" s="376"/>
      <c r="Z321" s="376"/>
    </row>
    <row r="322">
      <c r="A322" s="376"/>
      <c r="B322" s="376"/>
      <c r="C322" s="376"/>
      <c r="D322" s="376"/>
      <c r="E322" s="376"/>
      <c r="F322" s="376"/>
      <c r="G322" s="376"/>
      <c r="H322" s="376"/>
      <c r="I322" s="376"/>
      <c r="J322" s="376"/>
      <c r="K322" s="376"/>
      <c r="L322" s="376"/>
      <c r="M322" s="376"/>
      <c r="N322" s="376"/>
      <c r="O322" s="376"/>
      <c r="P322" s="376"/>
      <c r="Q322" s="376"/>
      <c r="R322" s="376"/>
      <c r="S322" s="376"/>
      <c r="T322" s="376"/>
      <c r="U322" s="376"/>
      <c r="V322" s="376"/>
      <c r="W322" s="376"/>
      <c r="X322" s="376"/>
      <c r="Y322" s="376"/>
      <c r="Z322" s="376"/>
    </row>
    <row r="323">
      <c r="A323" s="376"/>
      <c r="B323" s="376"/>
      <c r="C323" s="376"/>
      <c r="D323" s="376"/>
      <c r="E323" s="376"/>
      <c r="F323" s="376"/>
      <c r="G323" s="376"/>
      <c r="H323" s="376"/>
      <c r="I323" s="376"/>
      <c r="J323" s="376"/>
      <c r="K323" s="376"/>
      <c r="L323" s="376"/>
      <c r="M323" s="376"/>
      <c r="N323" s="376"/>
      <c r="O323" s="376"/>
      <c r="P323" s="376"/>
      <c r="Q323" s="376"/>
      <c r="R323" s="376"/>
      <c r="S323" s="376"/>
      <c r="T323" s="376"/>
      <c r="U323" s="376"/>
      <c r="V323" s="376"/>
      <c r="W323" s="376"/>
      <c r="X323" s="376"/>
      <c r="Y323" s="376"/>
      <c r="Z323" s="376"/>
    </row>
    <row r="324">
      <c r="A324" s="376"/>
      <c r="B324" s="376"/>
      <c r="C324" s="376"/>
      <c r="D324" s="376"/>
      <c r="E324" s="376"/>
      <c r="F324" s="376"/>
      <c r="G324" s="376"/>
      <c r="H324" s="376"/>
      <c r="I324" s="376"/>
      <c r="J324" s="376"/>
      <c r="K324" s="376"/>
      <c r="L324" s="376"/>
      <c r="M324" s="376"/>
      <c r="N324" s="376"/>
      <c r="O324" s="376"/>
      <c r="P324" s="376"/>
      <c r="Q324" s="376"/>
      <c r="R324" s="376"/>
      <c r="S324" s="376"/>
      <c r="T324" s="376"/>
      <c r="U324" s="376"/>
      <c r="V324" s="376"/>
      <c r="W324" s="376"/>
      <c r="X324" s="376"/>
      <c r="Y324" s="376"/>
      <c r="Z324" s="376"/>
    </row>
    <row r="325">
      <c r="A325" s="376"/>
      <c r="B325" s="376"/>
      <c r="C325" s="376"/>
      <c r="D325" s="376"/>
      <c r="E325" s="376"/>
      <c r="F325" s="376"/>
      <c r="G325" s="376"/>
      <c r="H325" s="376"/>
      <c r="I325" s="376"/>
      <c r="J325" s="376"/>
      <c r="K325" s="376"/>
      <c r="L325" s="376"/>
      <c r="M325" s="376"/>
      <c r="N325" s="376"/>
      <c r="O325" s="376"/>
      <c r="P325" s="376"/>
      <c r="Q325" s="376"/>
      <c r="R325" s="376"/>
      <c r="S325" s="376"/>
      <c r="T325" s="376"/>
      <c r="U325" s="376"/>
      <c r="V325" s="376"/>
      <c r="W325" s="376"/>
      <c r="X325" s="376"/>
      <c r="Y325" s="376"/>
      <c r="Z325" s="376"/>
    </row>
    <row r="326">
      <c r="A326" s="376"/>
      <c r="B326" s="376"/>
      <c r="C326" s="376"/>
      <c r="D326" s="376"/>
      <c r="E326" s="376"/>
      <c r="F326" s="376"/>
      <c r="G326" s="376"/>
      <c r="H326" s="376"/>
      <c r="I326" s="376"/>
      <c r="J326" s="376"/>
      <c r="K326" s="376"/>
      <c r="L326" s="376"/>
      <c r="M326" s="376"/>
      <c r="N326" s="376"/>
      <c r="O326" s="376"/>
      <c r="P326" s="376"/>
      <c r="Q326" s="376"/>
      <c r="R326" s="376"/>
      <c r="S326" s="376"/>
      <c r="T326" s="376"/>
      <c r="U326" s="376"/>
      <c r="V326" s="376"/>
      <c r="W326" s="376"/>
      <c r="X326" s="376"/>
      <c r="Y326" s="376"/>
      <c r="Z326" s="376"/>
    </row>
    <row r="327">
      <c r="A327" s="376"/>
      <c r="B327" s="376"/>
      <c r="C327" s="376"/>
      <c r="D327" s="376"/>
      <c r="E327" s="376"/>
      <c r="F327" s="376"/>
      <c r="G327" s="376"/>
      <c r="H327" s="376"/>
      <c r="I327" s="376"/>
      <c r="J327" s="376"/>
      <c r="K327" s="376"/>
      <c r="L327" s="376"/>
      <c r="M327" s="376"/>
      <c r="N327" s="376"/>
      <c r="O327" s="376"/>
      <c r="P327" s="376"/>
      <c r="Q327" s="376"/>
      <c r="R327" s="376"/>
      <c r="S327" s="376"/>
      <c r="T327" s="376"/>
      <c r="U327" s="376"/>
      <c r="V327" s="376"/>
      <c r="W327" s="376"/>
      <c r="X327" s="376"/>
      <c r="Y327" s="376"/>
      <c r="Z327" s="376"/>
    </row>
    <row r="328">
      <c r="A328" s="376"/>
      <c r="B328" s="376"/>
      <c r="C328" s="376"/>
      <c r="D328" s="376"/>
      <c r="E328" s="376"/>
      <c r="F328" s="376"/>
      <c r="G328" s="376"/>
      <c r="H328" s="376"/>
      <c r="I328" s="376"/>
      <c r="J328" s="376"/>
      <c r="K328" s="376"/>
      <c r="L328" s="376"/>
      <c r="M328" s="376"/>
      <c r="N328" s="376"/>
      <c r="O328" s="376"/>
      <c r="P328" s="376"/>
      <c r="Q328" s="376"/>
      <c r="R328" s="376"/>
      <c r="S328" s="376"/>
      <c r="T328" s="376"/>
      <c r="U328" s="376"/>
      <c r="V328" s="376"/>
      <c r="W328" s="376"/>
      <c r="X328" s="376"/>
      <c r="Y328" s="376"/>
      <c r="Z328" s="376"/>
    </row>
    <row r="329">
      <c r="A329" s="376"/>
      <c r="B329" s="376"/>
      <c r="C329" s="376"/>
      <c r="D329" s="376"/>
      <c r="E329" s="376"/>
      <c r="F329" s="376"/>
      <c r="G329" s="376"/>
      <c r="H329" s="376"/>
      <c r="I329" s="376"/>
      <c r="J329" s="376"/>
      <c r="K329" s="376"/>
      <c r="L329" s="376"/>
      <c r="M329" s="376"/>
      <c r="N329" s="376"/>
      <c r="O329" s="376"/>
      <c r="P329" s="376"/>
      <c r="Q329" s="376"/>
      <c r="R329" s="376"/>
      <c r="S329" s="376"/>
      <c r="T329" s="376"/>
      <c r="U329" s="376"/>
      <c r="V329" s="376"/>
      <c r="W329" s="376"/>
      <c r="X329" s="376"/>
      <c r="Y329" s="376"/>
      <c r="Z329" s="376"/>
    </row>
    <row r="330">
      <c r="A330" s="376"/>
      <c r="B330" s="376"/>
      <c r="C330" s="376"/>
      <c r="D330" s="376"/>
      <c r="E330" s="376"/>
      <c r="F330" s="376"/>
      <c r="G330" s="376"/>
      <c r="H330" s="376"/>
      <c r="I330" s="376"/>
      <c r="J330" s="376"/>
      <c r="K330" s="376"/>
      <c r="L330" s="376"/>
      <c r="M330" s="376"/>
      <c r="N330" s="376"/>
      <c r="O330" s="376"/>
      <c r="P330" s="376"/>
      <c r="Q330" s="376"/>
      <c r="R330" s="376"/>
      <c r="S330" s="376"/>
      <c r="T330" s="376"/>
      <c r="U330" s="376"/>
      <c r="V330" s="376"/>
      <c r="W330" s="376"/>
      <c r="X330" s="376"/>
      <c r="Y330" s="376"/>
      <c r="Z330" s="376"/>
    </row>
    <row r="331">
      <c r="A331" s="376"/>
      <c r="B331" s="376"/>
      <c r="C331" s="376"/>
      <c r="D331" s="376"/>
      <c r="E331" s="376"/>
      <c r="F331" s="376"/>
      <c r="G331" s="376"/>
      <c r="H331" s="376"/>
      <c r="I331" s="376"/>
      <c r="J331" s="376"/>
      <c r="K331" s="376"/>
      <c r="L331" s="376"/>
      <c r="M331" s="376"/>
      <c r="N331" s="376"/>
      <c r="O331" s="376"/>
      <c r="P331" s="376"/>
      <c r="Q331" s="376"/>
      <c r="R331" s="376"/>
      <c r="S331" s="376"/>
      <c r="T331" s="376"/>
      <c r="U331" s="376"/>
      <c r="V331" s="376"/>
      <c r="W331" s="376"/>
      <c r="X331" s="376"/>
      <c r="Y331" s="376"/>
      <c r="Z331" s="376"/>
    </row>
    <row r="332">
      <c r="A332" s="376"/>
      <c r="B332" s="376"/>
      <c r="C332" s="376"/>
      <c r="D332" s="376"/>
      <c r="E332" s="376"/>
      <c r="F332" s="376"/>
      <c r="G332" s="376"/>
      <c r="H332" s="376"/>
      <c r="I332" s="376"/>
      <c r="J332" s="376"/>
      <c r="K332" s="376"/>
      <c r="L332" s="376"/>
      <c r="M332" s="376"/>
      <c r="N332" s="376"/>
      <c r="O332" s="376"/>
      <c r="P332" s="376"/>
      <c r="Q332" s="376"/>
      <c r="R332" s="376"/>
      <c r="S332" s="376"/>
      <c r="T332" s="376"/>
      <c r="U332" s="376"/>
      <c r="V332" s="376"/>
      <c r="W332" s="376"/>
      <c r="X332" s="376"/>
      <c r="Y332" s="376"/>
      <c r="Z332" s="376"/>
    </row>
    <row r="333">
      <c r="A333" s="376"/>
      <c r="B333" s="376"/>
      <c r="C333" s="376"/>
      <c r="D333" s="376"/>
      <c r="E333" s="376"/>
      <c r="F333" s="376"/>
      <c r="G333" s="376"/>
      <c r="H333" s="376"/>
      <c r="I333" s="376"/>
      <c r="J333" s="376"/>
      <c r="K333" s="376"/>
      <c r="L333" s="376"/>
      <c r="M333" s="376"/>
      <c r="N333" s="376"/>
      <c r="O333" s="376"/>
      <c r="P333" s="376"/>
      <c r="Q333" s="376"/>
      <c r="R333" s="376"/>
      <c r="S333" s="376"/>
      <c r="T333" s="376"/>
      <c r="U333" s="376"/>
      <c r="V333" s="376"/>
      <c r="W333" s="376"/>
      <c r="X333" s="376"/>
      <c r="Y333" s="376"/>
      <c r="Z333" s="376"/>
    </row>
    <row r="334">
      <c r="A334" s="376"/>
      <c r="B334" s="376"/>
      <c r="C334" s="376"/>
      <c r="D334" s="376"/>
      <c r="E334" s="376"/>
      <c r="F334" s="376"/>
      <c r="G334" s="376"/>
      <c r="H334" s="376"/>
      <c r="I334" s="376"/>
      <c r="J334" s="376"/>
      <c r="K334" s="376"/>
      <c r="L334" s="376"/>
      <c r="M334" s="376"/>
      <c r="N334" s="376"/>
      <c r="O334" s="376"/>
      <c r="P334" s="376"/>
      <c r="Q334" s="376"/>
      <c r="R334" s="376"/>
      <c r="S334" s="376"/>
      <c r="T334" s="376"/>
      <c r="U334" s="376"/>
      <c r="V334" s="376"/>
      <c r="W334" s="376"/>
      <c r="X334" s="376"/>
      <c r="Y334" s="376"/>
      <c r="Z334" s="376"/>
    </row>
    <row r="335">
      <c r="A335" s="376"/>
      <c r="B335" s="376"/>
      <c r="C335" s="376"/>
      <c r="D335" s="376"/>
      <c r="E335" s="376"/>
      <c r="F335" s="376"/>
      <c r="G335" s="376"/>
      <c r="H335" s="376"/>
      <c r="I335" s="376"/>
      <c r="J335" s="376"/>
      <c r="K335" s="376"/>
      <c r="L335" s="376"/>
      <c r="M335" s="376"/>
      <c r="N335" s="376"/>
      <c r="O335" s="376"/>
      <c r="P335" s="376"/>
      <c r="Q335" s="376"/>
      <c r="R335" s="376"/>
      <c r="S335" s="376"/>
      <c r="T335" s="376"/>
      <c r="U335" s="376"/>
      <c r="V335" s="376"/>
      <c r="W335" s="376"/>
      <c r="X335" s="376"/>
      <c r="Y335" s="376"/>
      <c r="Z335" s="376"/>
    </row>
    <row r="336">
      <c r="A336" s="376"/>
      <c r="B336" s="376"/>
      <c r="C336" s="376"/>
      <c r="D336" s="376"/>
      <c r="E336" s="376"/>
      <c r="F336" s="376"/>
      <c r="G336" s="376"/>
      <c r="H336" s="376"/>
      <c r="I336" s="376"/>
      <c r="J336" s="376"/>
      <c r="K336" s="376"/>
      <c r="L336" s="376"/>
      <c r="M336" s="376"/>
      <c r="N336" s="376"/>
      <c r="O336" s="376"/>
      <c r="P336" s="376"/>
      <c r="Q336" s="376"/>
      <c r="R336" s="376"/>
      <c r="S336" s="376"/>
      <c r="T336" s="376"/>
      <c r="U336" s="376"/>
      <c r="V336" s="376"/>
      <c r="W336" s="376"/>
      <c r="X336" s="376"/>
      <c r="Y336" s="376"/>
      <c r="Z336" s="376"/>
    </row>
    <row r="337">
      <c r="A337" s="376"/>
      <c r="B337" s="376"/>
      <c r="C337" s="376"/>
      <c r="D337" s="376"/>
      <c r="E337" s="376"/>
      <c r="F337" s="376"/>
      <c r="G337" s="376"/>
      <c r="H337" s="376"/>
      <c r="I337" s="376"/>
      <c r="J337" s="376"/>
      <c r="K337" s="376"/>
      <c r="L337" s="376"/>
      <c r="M337" s="376"/>
      <c r="N337" s="376"/>
      <c r="O337" s="376"/>
      <c r="P337" s="376"/>
      <c r="Q337" s="376"/>
      <c r="R337" s="376"/>
      <c r="S337" s="376"/>
      <c r="T337" s="376"/>
      <c r="U337" s="376"/>
      <c r="V337" s="376"/>
      <c r="W337" s="376"/>
      <c r="X337" s="376"/>
      <c r="Y337" s="376"/>
      <c r="Z337" s="376"/>
    </row>
    <row r="338">
      <c r="A338" s="376"/>
      <c r="B338" s="376"/>
      <c r="C338" s="376"/>
      <c r="D338" s="376"/>
      <c r="E338" s="376"/>
      <c r="F338" s="376"/>
      <c r="G338" s="376"/>
      <c r="H338" s="376"/>
      <c r="I338" s="376"/>
      <c r="J338" s="376"/>
      <c r="K338" s="376"/>
      <c r="L338" s="376"/>
      <c r="M338" s="376"/>
      <c r="N338" s="376"/>
      <c r="O338" s="376"/>
      <c r="P338" s="376"/>
      <c r="Q338" s="376"/>
      <c r="R338" s="376"/>
      <c r="S338" s="376"/>
      <c r="T338" s="376"/>
      <c r="U338" s="376"/>
      <c r="V338" s="376"/>
      <c r="W338" s="376"/>
      <c r="X338" s="376"/>
      <c r="Y338" s="376"/>
      <c r="Z338" s="376"/>
    </row>
    <row r="339">
      <c r="A339" s="376"/>
      <c r="B339" s="376"/>
      <c r="C339" s="376"/>
      <c r="D339" s="376"/>
      <c r="E339" s="376"/>
      <c r="F339" s="376"/>
      <c r="G339" s="376"/>
      <c r="H339" s="376"/>
      <c r="I339" s="376"/>
      <c r="J339" s="376"/>
      <c r="K339" s="376"/>
      <c r="L339" s="376"/>
      <c r="M339" s="376"/>
      <c r="N339" s="376"/>
      <c r="O339" s="376"/>
      <c r="P339" s="376"/>
      <c r="Q339" s="376"/>
      <c r="R339" s="376"/>
      <c r="S339" s="376"/>
      <c r="T339" s="376"/>
      <c r="U339" s="376"/>
      <c r="V339" s="376"/>
      <c r="W339" s="376"/>
      <c r="X339" s="376"/>
      <c r="Y339" s="376"/>
      <c r="Z339" s="376"/>
    </row>
    <row r="340">
      <c r="A340" s="376"/>
      <c r="B340" s="376"/>
      <c r="C340" s="376"/>
      <c r="D340" s="376"/>
      <c r="E340" s="376"/>
      <c r="F340" s="376"/>
      <c r="G340" s="376"/>
      <c r="H340" s="376"/>
      <c r="I340" s="376"/>
      <c r="J340" s="376"/>
      <c r="K340" s="376"/>
      <c r="L340" s="376"/>
      <c r="M340" s="376"/>
      <c r="N340" s="376"/>
      <c r="O340" s="376"/>
      <c r="P340" s="376"/>
      <c r="Q340" s="376"/>
      <c r="R340" s="376"/>
      <c r="S340" s="376"/>
      <c r="T340" s="376"/>
      <c r="U340" s="376"/>
      <c r="V340" s="376"/>
      <c r="W340" s="376"/>
      <c r="X340" s="376"/>
      <c r="Y340" s="376"/>
      <c r="Z340" s="376"/>
    </row>
    <row r="341">
      <c r="A341" s="376"/>
      <c r="B341" s="376"/>
      <c r="C341" s="376"/>
      <c r="D341" s="376"/>
      <c r="E341" s="376"/>
      <c r="F341" s="376"/>
      <c r="G341" s="376"/>
      <c r="H341" s="376"/>
      <c r="I341" s="376"/>
      <c r="J341" s="376"/>
      <c r="K341" s="376"/>
      <c r="L341" s="376"/>
      <c r="M341" s="376"/>
      <c r="N341" s="376"/>
      <c r="O341" s="376"/>
      <c r="P341" s="376"/>
      <c r="Q341" s="376"/>
      <c r="R341" s="376"/>
      <c r="S341" s="376"/>
      <c r="T341" s="376"/>
      <c r="U341" s="376"/>
      <c r="V341" s="376"/>
      <c r="W341" s="376"/>
      <c r="X341" s="376"/>
      <c r="Y341" s="376"/>
      <c r="Z341" s="376"/>
    </row>
    <row r="342">
      <c r="A342" s="376"/>
      <c r="B342" s="376"/>
      <c r="C342" s="376"/>
      <c r="D342" s="376"/>
      <c r="E342" s="376"/>
      <c r="F342" s="376"/>
      <c r="G342" s="376"/>
      <c r="H342" s="376"/>
      <c r="I342" s="376"/>
      <c r="J342" s="376"/>
      <c r="K342" s="376"/>
      <c r="L342" s="376"/>
      <c r="M342" s="376"/>
      <c r="N342" s="376"/>
      <c r="O342" s="376"/>
      <c r="P342" s="376"/>
      <c r="Q342" s="376"/>
      <c r="R342" s="376"/>
      <c r="S342" s="376"/>
      <c r="T342" s="376"/>
      <c r="U342" s="376"/>
      <c r="V342" s="376"/>
      <c r="W342" s="376"/>
      <c r="X342" s="376"/>
      <c r="Y342" s="376"/>
      <c r="Z342" s="376"/>
    </row>
    <row r="343">
      <c r="A343" s="376"/>
      <c r="B343" s="376"/>
      <c r="C343" s="376"/>
      <c r="D343" s="376"/>
      <c r="E343" s="376"/>
      <c r="F343" s="376"/>
      <c r="G343" s="376"/>
      <c r="H343" s="376"/>
      <c r="I343" s="376"/>
      <c r="J343" s="376"/>
      <c r="K343" s="376"/>
      <c r="L343" s="376"/>
      <c r="M343" s="376"/>
      <c r="N343" s="376"/>
      <c r="O343" s="376"/>
      <c r="P343" s="376"/>
      <c r="Q343" s="376"/>
      <c r="R343" s="376"/>
      <c r="S343" s="376"/>
      <c r="T343" s="376"/>
      <c r="U343" s="376"/>
      <c r="V343" s="376"/>
      <c r="W343" s="376"/>
      <c r="X343" s="376"/>
      <c r="Y343" s="376"/>
      <c r="Z343" s="376"/>
    </row>
    <row r="344">
      <c r="A344" s="376"/>
      <c r="B344" s="376"/>
      <c r="C344" s="376"/>
      <c r="D344" s="376"/>
      <c r="E344" s="376"/>
      <c r="F344" s="376"/>
      <c r="G344" s="376"/>
      <c r="H344" s="376"/>
      <c r="I344" s="376"/>
      <c r="J344" s="376"/>
      <c r="K344" s="376"/>
      <c r="L344" s="376"/>
      <c r="M344" s="376"/>
      <c r="N344" s="376"/>
      <c r="O344" s="376"/>
      <c r="P344" s="376"/>
      <c r="Q344" s="376"/>
      <c r="R344" s="376"/>
      <c r="S344" s="376"/>
      <c r="T344" s="376"/>
      <c r="U344" s="376"/>
      <c r="V344" s="376"/>
      <c r="W344" s="376"/>
      <c r="X344" s="376"/>
      <c r="Y344" s="376"/>
      <c r="Z344" s="376"/>
    </row>
    <row r="345">
      <c r="A345" s="376"/>
      <c r="B345" s="376"/>
      <c r="C345" s="376"/>
      <c r="D345" s="376"/>
      <c r="E345" s="376"/>
      <c r="F345" s="376"/>
      <c r="G345" s="376"/>
      <c r="H345" s="376"/>
      <c r="I345" s="376"/>
      <c r="J345" s="376"/>
      <c r="K345" s="376"/>
      <c r="L345" s="376"/>
      <c r="M345" s="376"/>
      <c r="N345" s="376"/>
      <c r="O345" s="376"/>
      <c r="P345" s="376"/>
      <c r="Q345" s="376"/>
      <c r="R345" s="376"/>
      <c r="S345" s="376"/>
      <c r="T345" s="376"/>
      <c r="U345" s="376"/>
      <c r="V345" s="376"/>
      <c r="W345" s="376"/>
      <c r="X345" s="376"/>
      <c r="Y345" s="376"/>
      <c r="Z345" s="376"/>
    </row>
    <row r="346">
      <c r="A346" s="376"/>
      <c r="B346" s="376"/>
      <c r="C346" s="376"/>
      <c r="D346" s="376"/>
      <c r="E346" s="376"/>
      <c r="F346" s="376"/>
      <c r="G346" s="376"/>
      <c r="H346" s="376"/>
      <c r="I346" s="376"/>
      <c r="J346" s="376"/>
      <c r="K346" s="376"/>
      <c r="L346" s="376"/>
      <c r="M346" s="376"/>
      <c r="N346" s="376"/>
      <c r="O346" s="376"/>
      <c r="P346" s="376"/>
      <c r="Q346" s="376"/>
      <c r="R346" s="376"/>
      <c r="S346" s="376"/>
      <c r="T346" s="376"/>
      <c r="U346" s="376"/>
      <c r="V346" s="376"/>
      <c r="W346" s="376"/>
      <c r="X346" s="376"/>
      <c r="Y346" s="376"/>
      <c r="Z346" s="376"/>
    </row>
    <row r="347">
      <c r="A347" s="376"/>
      <c r="B347" s="376"/>
      <c r="C347" s="376"/>
      <c r="D347" s="376"/>
      <c r="E347" s="376"/>
      <c r="F347" s="376"/>
      <c r="G347" s="376"/>
      <c r="H347" s="376"/>
      <c r="I347" s="376"/>
      <c r="J347" s="376"/>
      <c r="K347" s="376"/>
      <c r="L347" s="376"/>
      <c r="M347" s="376"/>
      <c r="N347" s="376"/>
      <c r="O347" s="376"/>
      <c r="P347" s="376"/>
      <c r="Q347" s="376"/>
      <c r="R347" s="376"/>
      <c r="S347" s="376"/>
      <c r="T347" s="376"/>
      <c r="U347" s="376"/>
      <c r="V347" s="376"/>
      <c r="W347" s="376"/>
      <c r="X347" s="376"/>
      <c r="Y347" s="376"/>
      <c r="Z347" s="376"/>
    </row>
    <row r="348">
      <c r="A348" s="376"/>
      <c r="B348" s="376"/>
      <c r="C348" s="376"/>
      <c r="D348" s="376"/>
      <c r="E348" s="376"/>
      <c r="F348" s="376"/>
      <c r="G348" s="376"/>
      <c r="H348" s="376"/>
      <c r="I348" s="376"/>
      <c r="J348" s="376"/>
      <c r="K348" s="376"/>
      <c r="L348" s="376"/>
      <c r="M348" s="376"/>
      <c r="N348" s="376"/>
      <c r="O348" s="376"/>
      <c r="P348" s="376"/>
      <c r="Q348" s="376"/>
      <c r="R348" s="376"/>
      <c r="S348" s="376"/>
      <c r="T348" s="376"/>
      <c r="U348" s="376"/>
      <c r="V348" s="376"/>
      <c r="W348" s="376"/>
      <c r="X348" s="376"/>
      <c r="Y348" s="376"/>
      <c r="Z348" s="376"/>
    </row>
    <row r="349">
      <c r="A349" s="376"/>
      <c r="B349" s="376"/>
      <c r="C349" s="376"/>
      <c r="D349" s="376"/>
      <c r="E349" s="376"/>
      <c r="F349" s="376"/>
      <c r="G349" s="376"/>
      <c r="H349" s="376"/>
      <c r="I349" s="376"/>
      <c r="J349" s="376"/>
      <c r="K349" s="376"/>
      <c r="L349" s="376"/>
      <c r="M349" s="376"/>
      <c r="N349" s="376"/>
      <c r="O349" s="376"/>
      <c r="P349" s="376"/>
      <c r="Q349" s="376"/>
      <c r="R349" s="376"/>
      <c r="S349" s="376"/>
      <c r="T349" s="376"/>
      <c r="U349" s="376"/>
      <c r="V349" s="376"/>
      <c r="W349" s="376"/>
      <c r="X349" s="376"/>
      <c r="Y349" s="376"/>
      <c r="Z349" s="376"/>
    </row>
    <row r="350">
      <c r="A350" s="376"/>
      <c r="B350" s="376"/>
      <c r="C350" s="376"/>
      <c r="D350" s="376"/>
      <c r="E350" s="376"/>
      <c r="F350" s="376"/>
      <c r="G350" s="376"/>
      <c r="H350" s="376"/>
      <c r="I350" s="376"/>
      <c r="J350" s="376"/>
      <c r="K350" s="376"/>
      <c r="L350" s="376"/>
      <c r="M350" s="376"/>
      <c r="N350" s="376"/>
      <c r="O350" s="376"/>
      <c r="P350" s="376"/>
      <c r="Q350" s="376"/>
      <c r="R350" s="376"/>
      <c r="S350" s="376"/>
      <c r="T350" s="376"/>
      <c r="U350" s="376"/>
      <c r="V350" s="376"/>
      <c r="W350" s="376"/>
      <c r="X350" s="376"/>
      <c r="Y350" s="376"/>
      <c r="Z350" s="376"/>
    </row>
    <row r="351">
      <c r="A351" s="376"/>
      <c r="B351" s="376"/>
      <c r="C351" s="376"/>
      <c r="D351" s="376"/>
      <c r="E351" s="376"/>
      <c r="F351" s="376"/>
      <c r="G351" s="376"/>
      <c r="H351" s="376"/>
      <c r="I351" s="376"/>
      <c r="J351" s="376"/>
      <c r="K351" s="376"/>
      <c r="L351" s="376"/>
      <c r="M351" s="376"/>
      <c r="N351" s="376"/>
      <c r="O351" s="376"/>
      <c r="P351" s="376"/>
      <c r="Q351" s="376"/>
      <c r="R351" s="376"/>
      <c r="S351" s="376"/>
      <c r="T351" s="376"/>
      <c r="U351" s="376"/>
      <c r="V351" s="376"/>
      <c r="W351" s="376"/>
      <c r="X351" s="376"/>
      <c r="Y351" s="376"/>
      <c r="Z351" s="376"/>
    </row>
    <row r="352">
      <c r="A352" s="376"/>
      <c r="B352" s="376"/>
      <c r="C352" s="376"/>
      <c r="D352" s="376"/>
      <c r="E352" s="376"/>
      <c r="F352" s="376"/>
      <c r="G352" s="376"/>
      <c r="H352" s="376"/>
      <c r="I352" s="376"/>
      <c r="J352" s="376"/>
      <c r="K352" s="376"/>
      <c r="L352" s="376"/>
      <c r="M352" s="376"/>
      <c r="N352" s="376"/>
      <c r="O352" s="376"/>
      <c r="P352" s="376"/>
      <c r="Q352" s="376"/>
      <c r="R352" s="376"/>
      <c r="S352" s="376"/>
      <c r="T352" s="376"/>
      <c r="U352" s="376"/>
      <c r="V352" s="376"/>
      <c r="W352" s="376"/>
      <c r="X352" s="376"/>
      <c r="Y352" s="376"/>
      <c r="Z352" s="376"/>
    </row>
    <row r="353">
      <c r="A353" s="376"/>
      <c r="B353" s="376"/>
      <c r="C353" s="376"/>
      <c r="D353" s="376"/>
      <c r="E353" s="376"/>
      <c r="F353" s="376"/>
      <c r="G353" s="376"/>
      <c r="H353" s="376"/>
      <c r="I353" s="376"/>
      <c r="J353" s="376"/>
      <c r="K353" s="376"/>
      <c r="L353" s="376"/>
      <c r="M353" s="376"/>
      <c r="N353" s="376"/>
      <c r="O353" s="376"/>
      <c r="P353" s="376"/>
      <c r="Q353" s="376"/>
      <c r="R353" s="376"/>
      <c r="S353" s="376"/>
      <c r="T353" s="376"/>
      <c r="U353" s="376"/>
      <c r="V353" s="376"/>
      <c r="W353" s="376"/>
      <c r="X353" s="376"/>
      <c r="Y353" s="376"/>
      <c r="Z353" s="376"/>
    </row>
    <row r="354">
      <c r="A354" s="376"/>
      <c r="B354" s="376"/>
      <c r="C354" s="376"/>
      <c r="D354" s="376"/>
      <c r="E354" s="376"/>
      <c r="F354" s="376"/>
      <c r="G354" s="376"/>
      <c r="H354" s="376"/>
      <c r="I354" s="376"/>
      <c r="J354" s="376"/>
      <c r="K354" s="376"/>
      <c r="L354" s="376"/>
      <c r="M354" s="376"/>
      <c r="N354" s="376"/>
      <c r="O354" s="376"/>
      <c r="P354" s="376"/>
      <c r="Q354" s="376"/>
      <c r="R354" s="376"/>
      <c r="S354" s="376"/>
      <c r="T354" s="376"/>
      <c r="U354" s="376"/>
      <c r="V354" s="376"/>
      <c r="W354" s="376"/>
      <c r="X354" s="376"/>
      <c r="Y354" s="376"/>
      <c r="Z354" s="376"/>
    </row>
    <row r="355">
      <c r="A355" s="376"/>
      <c r="B355" s="376"/>
      <c r="C355" s="376"/>
      <c r="D355" s="376"/>
      <c r="E355" s="376"/>
      <c r="F355" s="376"/>
      <c r="G355" s="376"/>
      <c r="H355" s="376"/>
      <c r="I355" s="376"/>
      <c r="J355" s="376"/>
      <c r="K355" s="376"/>
      <c r="L355" s="376"/>
      <c r="M355" s="376"/>
      <c r="N355" s="376"/>
      <c r="O355" s="376"/>
      <c r="P355" s="376"/>
      <c r="Q355" s="376"/>
      <c r="R355" s="376"/>
      <c r="S355" s="376"/>
      <c r="T355" s="376"/>
      <c r="U355" s="376"/>
      <c r="V355" s="376"/>
      <c r="W355" s="376"/>
      <c r="X355" s="376"/>
      <c r="Y355" s="376"/>
      <c r="Z355" s="376"/>
    </row>
    <row r="356">
      <c r="A356" s="376"/>
      <c r="B356" s="376"/>
      <c r="C356" s="376"/>
      <c r="D356" s="376"/>
      <c r="E356" s="376"/>
      <c r="F356" s="376"/>
      <c r="G356" s="376"/>
      <c r="H356" s="376"/>
      <c r="I356" s="376"/>
      <c r="J356" s="376"/>
      <c r="K356" s="376"/>
      <c r="L356" s="376"/>
      <c r="M356" s="376"/>
      <c r="N356" s="376"/>
      <c r="O356" s="376"/>
      <c r="P356" s="376"/>
      <c r="Q356" s="376"/>
      <c r="R356" s="376"/>
      <c r="S356" s="376"/>
      <c r="T356" s="376"/>
      <c r="U356" s="376"/>
      <c r="V356" s="376"/>
      <c r="W356" s="376"/>
      <c r="X356" s="376"/>
      <c r="Y356" s="376"/>
      <c r="Z356" s="376"/>
    </row>
    <row r="357">
      <c r="A357" s="376"/>
      <c r="B357" s="376"/>
      <c r="C357" s="376"/>
      <c r="D357" s="376"/>
      <c r="E357" s="376"/>
      <c r="F357" s="376"/>
      <c r="G357" s="376"/>
      <c r="H357" s="376"/>
      <c r="I357" s="376"/>
      <c r="J357" s="376"/>
      <c r="K357" s="376"/>
      <c r="L357" s="376"/>
      <c r="M357" s="376"/>
      <c r="N357" s="376"/>
      <c r="O357" s="376"/>
      <c r="P357" s="376"/>
      <c r="Q357" s="376"/>
      <c r="R357" s="376"/>
      <c r="S357" s="376"/>
      <c r="T357" s="376"/>
      <c r="U357" s="376"/>
      <c r="V357" s="376"/>
      <c r="W357" s="376"/>
      <c r="X357" s="376"/>
      <c r="Y357" s="376"/>
      <c r="Z357" s="376"/>
    </row>
    <row r="358">
      <c r="A358" s="376"/>
      <c r="B358" s="376"/>
      <c r="C358" s="376"/>
      <c r="D358" s="376"/>
      <c r="E358" s="376"/>
      <c r="F358" s="376"/>
      <c r="G358" s="376"/>
      <c r="H358" s="376"/>
      <c r="I358" s="376"/>
      <c r="J358" s="376"/>
      <c r="K358" s="376"/>
      <c r="L358" s="376"/>
      <c r="M358" s="376"/>
      <c r="N358" s="376"/>
      <c r="O358" s="376"/>
      <c r="P358" s="376"/>
      <c r="Q358" s="376"/>
      <c r="R358" s="376"/>
      <c r="S358" s="376"/>
      <c r="T358" s="376"/>
      <c r="U358" s="376"/>
      <c r="V358" s="376"/>
      <c r="W358" s="376"/>
      <c r="X358" s="376"/>
      <c r="Y358" s="376"/>
      <c r="Z358" s="376"/>
    </row>
    <row r="359">
      <c r="A359" s="376"/>
      <c r="B359" s="376"/>
      <c r="C359" s="376"/>
      <c r="D359" s="376"/>
      <c r="E359" s="376"/>
      <c r="F359" s="376"/>
      <c r="G359" s="376"/>
      <c r="H359" s="376"/>
      <c r="I359" s="376"/>
      <c r="J359" s="376"/>
      <c r="K359" s="376"/>
      <c r="L359" s="376"/>
      <c r="M359" s="376"/>
      <c r="N359" s="376"/>
      <c r="O359" s="376"/>
      <c r="P359" s="376"/>
      <c r="Q359" s="376"/>
      <c r="R359" s="376"/>
      <c r="S359" s="376"/>
      <c r="T359" s="376"/>
      <c r="U359" s="376"/>
      <c r="V359" s="376"/>
      <c r="W359" s="376"/>
      <c r="X359" s="376"/>
      <c r="Y359" s="376"/>
      <c r="Z359" s="376"/>
    </row>
    <row r="360">
      <c r="A360" s="376"/>
      <c r="B360" s="376"/>
      <c r="C360" s="376"/>
      <c r="D360" s="376"/>
      <c r="E360" s="376"/>
      <c r="F360" s="376"/>
      <c r="G360" s="376"/>
      <c r="H360" s="376"/>
      <c r="I360" s="376"/>
      <c r="J360" s="376"/>
      <c r="K360" s="376"/>
      <c r="L360" s="376"/>
      <c r="M360" s="376"/>
      <c r="N360" s="376"/>
      <c r="O360" s="376"/>
      <c r="P360" s="376"/>
      <c r="Q360" s="376"/>
      <c r="R360" s="376"/>
      <c r="S360" s="376"/>
      <c r="T360" s="376"/>
      <c r="U360" s="376"/>
      <c r="V360" s="376"/>
      <c r="W360" s="376"/>
      <c r="X360" s="376"/>
      <c r="Y360" s="376"/>
      <c r="Z360" s="376"/>
    </row>
    <row r="361">
      <c r="A361" s="376"/>
      <c r="B361" s="376"/>
      <c r="C361" s="376"/>
      <c r="D361" s="376"/>
      <c r="E361" s="376"/>
      <c r="F361" s="376"/>
      <c r="G361" s="376"/>
      <c r="H361" s="376"/>
      <c r="I361" s="376"/>
      <c r="J361" s="376"/>
      <c r="K361" s="376"/>
      <c r="L361" s="376"/>
      <c r="M361" s="376"/>
      <c r="N361" s="376"/>
      <c r="O361" s="376"/>
      <c r="P361" s="376"/>
      <c r="Q361" s="376"/>
      <c r="R361" s="376"/>
      <c r="S361" s="376"/>
      <c r="T361" s="376"/>
      <c r="U361" s="376"/>
      <c r="V361" s="376"/>
      <c r="W361" s="376"/>
      <c r="X361" s="376"/>
      <c r="Y361" s="376"/>
      <c r="Z361" s="376"/>
    </row>
    <row r="362">
      <c r="A362" s="376"/>
      <c r="B362" s="376"/>
      <c r="C362" s="376"/>
      <c r="D362" s="376"/>
      <c r="E362" s="376"/>
      <c r="F362" s="376"/>
      <c r="G362" s="376"/>
      <c r="H362" s="376"/>
      <c r="I362" s="376"/>
      <c r="J362" s="376"/>
      <c r="K362" s="376"/>
      <c r="L362" s="376"/>
      <c r="M362" s="376"/>
      <c r="N362" s="376"/>
      <c r="O362" s="376"/>
      <c r="P362" s="376"/>
      <c r="Q362" s="376"/>
      <c r="R362" s="376"/>
      <c r="S362" s="376"/>
      <c r="T362" s="376"/>
      <c r="U362" s="376"/>
      <c r="V362" s="376"/>
      <c r="W362" s="376"/>
      <c r="X362" s="376"/>
      <c r="Y362" s="376"/>
      <c r="Z362" s="376"/>
    </row>
    <row r="363">
      <c r="A363" s="376"/>
      <c r="B363" s="376"/>
      <c r="C363" s="376"/>
      <c r="D363" s="376"/>
      <c r="E363" s="376"/>
      <c r="F363" s="376"/>
      <c r="G363" s="376"/>
      <c r="H363" s="376"/>
      <c r="I363" s="376"/>
      <c r="J363" s="376"/>
      <c r="K363" s="376"/>
      <c r="L363" s="376"/>
      <c r="M363" s="376"/>
      <c r="N363" s="376"/>
      <c r="O363" s="376"/>
      <c r="P363" s="376"/>
      <c r="Q363" s="376"/>
      <c r="R363" s="376"/>
      <c r="S363" s="376"/>
      <c r="T363" s="376"/>
      <c r="U363" s="376"/>
      <c r="V363" s="376"/>
      <c r="W363" s="376"/>
      <c r="X363" s="376"/>
      <c r="Y363" s="376"/>
      <c r="Z363" s="376"/>
    </row>
    <row r="364">
      <c r="A364" s="376"/>
      <c r="B364" s="376"/>
      <c r="C364" s="376"/>
      <c r="D364" s="376"/>
      <c r="E364" s="376"/>
      <c r="F364" s="376"/>
      <c r="G364" s="376"/>
      <c r="H364" s="376"/>
      <c r="I364" s="376"/>
      <c r="J364" s="376"/>
      <c r="K364" s="376"/>
      <c r="L364" s="376"/>
      <c r="M364" s="376"/>
      <c r="N364" s="376"/>
      <c r="O364" s="376"/>
      <c r="P364" s="376"/>
      <c r="Q364" s="376"/>
      <c r="R364" s="376"/>
      <c r="S364" s="376"/>
      <c r="T364" s="376"/>
      <c r="U364" s="376"/>
      <c r="V364" s="376"/>
      <c r="W364" s="376"/>
      <c r="X364" s="376"/>
      <c r="Y364" s="376"/>
      <c r="Z364" s="376"/>
    </row>
    <row r="365">
      <c r="A365" s="376"/>
      <c r="B365" s="376"/>
      <c r="C365" s="376"/>
      <c r="D365" s="376"/>
      <c r="E365" s="376"/>
      <c r="F365" s="376"/>
      <c r="G365" s="376"/>
      <c r="H365" s="376"/>
      <c r="I365" s="376"/>
      <c r="J365" s="376"/>
      <c r="K365" s="376"/>
      <c r="L365" s="376"/>
      <c r="M365" s="376"/>
      <c r="N365" s="376"/>
      <c r="O365" s="376"/>
      <c r="P365" s="376"/>
      <c r="Q365" s="376"/>
      <c r="R365" s="376"/>
      <c r="S365" s="376"/>
      <c r="T365" s="376"/>
      <c r="U365" s="376"/>
      <c r="V365" s="376"/>
      <c r="W365" s="376"/>
      <c r="X365" s="376"/>
      <c r="Y365" s="376"/>
      <c r="Z365" s="376"/>
    </row>
    <row r="366">
      <c r="A366" s="376"/>
      <c r="B366" s="376"/>
      <c r="C366" s="376"/>
      <c r="D366" s="376"/>
      <c r="E366" s="376"/>
      <c r="F366" s="376"/>
      <c r="G366" s="376"/>
      <c r="H366" s="376"/>
      <c r="I366" s="376"/>
      <c r="J366" s="376"/>
      <c r="K366" s="376"/>
      <c r="L366" s="376"/>
      <c r="M366" s="376"/>
      <c r="N366" s="376"/>
      <c r="O366" s="376"/>
      <c r="P366" s="376"/>
      <c r="Q366" s="376"/>
      <c r="R366" s="376"/>
      <c r="S366" s="376"/>
      <c r="T366" s="376"/>
      <c r="U366" s="376"/>
      <c r="V366" s="376"/>
      <c r="W366" s="376"/>
      <c r="X366" s="376"/>
      <c r="Y366" s="376"/>
      <c r="Z366" s="376"/>
    </row>
    <row r="367">
      <c r="A367" s="376"/>
      <c r="B367" s="376"/>
      <c r="C367" s="376"/>
      <c r="D367" s="376"/>
      <c r="E367" s="376"/>
      <c r="F367" s="376"/>
      <c r="G367" s="376"/>
      <c r="H367" s="376"/>
      <c r="I367" s="376"/>
      <c r="J367" s="376"/>
      <c r="K367" s="376"/>
      <c r="L367" s="376"/>
      <c r="M367" s="376"/>
      <c r="N367" s="376"/>
      <c r="O367" s="376"/>
      <c r="P367" s="376"/>
      <c r="Q367" s="376"/>
      <c r="R367" s="376"/>
      <c r="S367" s="376"/>
      <c r="T367" s="376"/>
      <c r="U367" s="376"/>
      <c r="V367" s="376"/>
      <c r="W367" s="376"/>
      <c r="X367" s="376"/>
      <c r="Y367" s="376"/>
      <c r="Z367" s="376"/>
    </row>
    <row r="368">
      <c r="A368" s="376"/>
      <c r="B368" s="376"/>
      <c r="C368" s="376"/>
      <c r="D368" s="376"/>
      <c r="E368" s="376"/>
      <c r="F368" s="376"/>
      <c r="G368" s="376"/>
      <c r="H368" s="376"/>
      <c r="I368" s="376"/>
      <c r="J368" s="376"/>
      <c r="K368" s="376"/>
      <c r="L368" s="376"/>
      <c r="M368" s="376"/>
      <c r="N368" s="376"/>
      <c r="O368" s="376"/>
      <c r="P368" s="376"/>
      <c r="Q368" s="376"/>
      <c r="R368" s="376"/>
      <c r="S368" s="376"/>
      <c r="T368" s="376"/>
      <c r="U368" s="376"/>
      <c r="V368" s="376"/>
      <c r="W368" s="376"/>
      <c r="X368" s="376"/>
      <c r="Y368" s="376"/>
      <c r="Z368" s="376"/>
    </row>
    <row r="369">
      <c r="A369" s="376"/>
      <c r="B369" s="376"/>
      <c r="C369" s="376"/>
      <c r="D369" s="376"/>
      <c r="E369" s="376"/>
      <c r="F369" s="376"/>
      <c r="G369" s="376"/>
      <c r="H369" s="376"/>
      <c r="I369" s="376"/>
      <c r="J369" s="376"/>
      <c r="K369" s="376"/>
      <c r="L369" s="376"/>
      <c r="M369" s="376"/>
      <c r="N369" s="376"/>
      <c r="O369" s="376"/>
      <c r="P369" s="376"/>
      <c r="Q369" s="376"/>
      <c r="R369" s="376"/>
      <c r="S369" s="376"/>
      <c r="T369" s="376"/>
      <c r="U369" s="376"/>
      <c r="V369" s="376"/>
      <c r="W369" s="376"/>
      <c r="X369" s="376"/>
      <c r="Y369" s="376"/>
      <c r="Z369" s="376"/>
    </row>
    <row r="370">
      <c r="A370" s="376"/>
      <c r="B370" s="376"/>
      <c r="C370" s="376"/>
      <c r="D370" s="376"/>
      <c r="E370" s="376"/>
      <c r="F370" s="376"/>
      <c r="G370" s="376"/>
      <c r="H370" s="376"/>
      <c r="I370" s="376"/>
      <c r="J370" s="376"/>
      <c r="K370" s="376"/>
      <c r="L370" s="376"/>
      <c r="M370" s="376"/>
      <c r="N370" s="376"/>
      <c r="O370" s="376"/>
      <c r="P370" s="376"/>
      <c r="Q370" s="376"/>
      <c r="R370" s="376"/>
      <c r="S370" s="376"/>
      <c r="T370" s="376"/>
      <c r="U370" s="376"/>
      <c r="V370" s="376"/>
      <c r="W370" s="376"/>
      <c r="X370" s="376"/>
      <c r="Y370" s="376"/>
      <c r="Z370" s="376"/>
    </row>
    <row r="371">
      <c r="A371" s="376"/>
      <c r="B371" s="376"/>
      <c r="C371" s="376"/>
      <c r="D371" s="376"/>
      <c r="E371" s="376"/>
      <c r="F371" s="376"/>
      <c r="G371" s="376"/>
      <c r="H371" s="376"/>
      <c r="I371" s="376"/>
      <c r="J371" s="376"/>
      <c r="K371" s="376"/>
      <c r="L371" s="376"/>
      <c r="M371" s="376"/>
      <c r="N371" s="376"/>
      <c r="O371" s="376"/>
      <c r="P371" s="376"/>
      <c r="Q371" s="376"/>
      <c r="R371" s="376"/>
      <c r="S371" s="376"/>
      <c r="T371" s="376"/>
      <c r="U371" s="376"/>
      <c r="V371" s="376"/>
      <c r="W371" s="376"/>
      <c r="X371" s="376"/>
      <c r="Y371" s="376"/>
      <c r="Z371" s="376"/>
    </row>
    <row r="372">
      <c r="A372" s="376"/>
      <c r="B372" s="376"/>
      <c r="C372" s="376"/>
      <c r="D372" s="376"/>
      <c r="E372" s="376"/>
      <c r="F372" s="376"/>
      <c r="G372" s="376"/>
      <c r="H372" s="376"/>
      <c r="I372" s="376"/>
      <c r="J372" s="376"/>
      <c r="K372" s="376"/>
      <c r="L372" s="376"/>
      <c r="M372" s="376"/>
      <c r="N372" s="376"/>
      <c r="O372" s="376"/>
      <c r="P372" s="376"/>
      <c r="Q372" s="376"/>
      <c r="R372" s="376"/>
      <c r="S372" s="376"/>
      <c r="T372" s="376"/>
      <c r="U372" s="376"/>
      <c r="V372" s="376"/>
      <c r="W372" s="376"/>
      <c r="X372" s="376"/>
      <c r="Y372" s="376"/>
      <c r="Z372" s="376"/>
    </row>
    <row r="373">
      <c r="A373" s="376"/>
      <c r="B373" s="376"/>
      <c r="C373" s="376"/>
      <c r="D373" s="376"/>
      <c r="E373" s="376"/>
      <c r="F373" s="376"/>
      <c r="G373" s="376"/>
      <c r="H373" s="376"/>
      <c r="I373" s="376"/>
      <c r="J373" s="376"/>
      <c r="K373" s="376"/>
      <c r="L373" s="376"/>
      <c r="M373" s="376"/>
      <c r="N373" s="376"/>
      <c r="O373" s="376"/>
      <c r="P373" s="376"/>
      <c r="Q373" s="376"/>
      <c r="R373" s="376"/>
      <c r="S373" s="376"/>
      <c r="T373" s="376"/>
      <c r="U373" s="376"/>
      <c r="V373" s="376"/>
      <c r="W373" s="376"/>
      <c r="X373" s="376"/>
      <c r="Y373" s="376"/>
      <c r="Z373" s="376"/>
    </row>
    <row r="374">
      <c r="A374" s="376"/>
      <c r="B374" s="376"/>
      <c r="C374" s="376"/>
      <c r="D374" s="376"/>
      <c r="E374" s="376"/>
      <c r="F374" s="376"/>
      <c r="G374" s="376"/>
      <c r="H374" s="376"/>
      <c r="I374" s="376"/>
      <c r="J374" s="376"/>
      <c r="K374" s="376"/>
      <c r="L374" s="376"/>
      <c r="M374" s="376"/>
      <c r="N374" s="376"/>
      <c r="O374" s="376"/>
      <c r="P374" s="376"/>
      <c r="Q374" s="376"/>
      <c r="R374" s="376"/>
      <c r="S374" s="376"/>
      <c r="T374" s="376"/>
      <c r="U374" s="376"/>
      <c r="V374" s="376"/>
      <c r="W374" s="376"/>
      <c r="X374" s="376"/>
      <c r="Y374" s="376"/>
      <c r="Z374" s="376"/>
    </row>
    <row r="375">
      <c r="A375" s="376"/>
      <c r="B375" s="376"/>
      <c r="C375" s="376"/>
      <c r="D375" s="376"/>
      <c r="E375" s="376"/>
      <c r="F375" s="376"/>
      <c r="G375" s="376"/>
      <c r="H375" s="376"/>
      <c r="I375" s="376"/>
      <c r="J375" s="376"/>
      <c r="K375" s="376"/>
      <c r="L375" s="376"/>
      <c r="M375" s="376"/>
      <c r="N375" s="376"/>
      <c r="O375" s="376"/>
      <c r="P375" s="376"/>
      <c r="Q375" s="376"/>
      <c r="R375" s="376"/>
      <c r="S375" s="376"/>
      <c r="T375" s="376"/>
      <c r="U375" s="376"/>
      <c r="V375" s="376"/>
      <c r="W375" s="376"/>
      <c r="X375" s="376"/>
      <c r="Y375" s="376"/>
      <c r="Z375" s="376"/>
    </row>
    <row r="376">
      <c r="A376" s="376"/>
      <c r="B376" s="376"/>
      <c r="C376" s="376"/>
      <c r="D376" s="376"/>
      <c r="E376" s="376"/>
      <c r="F376" s="376"/>
      <c r="G376" s="376"/>
      <c r="H376" s="376"/>
      <c r="I376" s="376"/>
      <c r="J376" s="376"/>
      <c r="K376" s="376"/>
      <c r="L376" s="376"/>
      <c r="M376" s="376"/>
      <c r="N376" s="376"/>
      <c r="O376" s="376"/>
      <c r="P376" s="376"/>
      <c r="Q376" s="376"/>
      <c r="R376" s="376"/>
      <c r="S376" s="376"/>
      <c r="T376" s="376"/>
      <c r="U376" s="376"/>
      <c r="V376" s="376"/>
      <c r="W376" s="376"/>
      <c r="X376" s="376"/>
      <c r="Y376" s="376"/>
      <c r="Z376" s="376"/>
    </row>
    <row r="377">
      <c r="A377" s="376"/>
      <c r="B377" s="376"/>
      <c r="C377" s="376"/>
      <c r="D377" s="376"/>
      <c r="E377" s="376"/>
      <c r="F377" s="376"/>
      <c r="G377" s="376"/>
      <c r="H377" s="376"/>
      <c r="I377" s="376"/>
      <c r="J377" s="376"/>
      <c r="K377" s="376"/>
      <c r="L377" s="376"/>
      <c r="M377" s="376"/>
      <c r="N377" s="376"/>
      <c r="O377" s="376"/>
      <c r="P377" s="376"/>
      <c r="Q377" s="376"/>
      <c r="R377" s="376"/>
      <c r="S377" s="376"/>
      <c r="T377" s="376"/>
      <c r="U377" s="376"/>
      <c r="V377" s="376"/>
      <c r="W377" s="376"/>
      <c r="X377" s="376"/>
      <c r="Y377" s="376"/>
      <c r="Z377" s="376"/>
    </row>
    <row r="378">
      <c r="A378" s="376"/>
      <c r="B378" s="376"/>
      <c r="C378" s="376"/>
      <c r="D378" s="376"/>
      <c r="E378" s="376"/>
      <c r="F378" s="376"/>
      <c r="G378" s="376"/>
      <c r="H378" s="376"/>
      <c r="I378" s="376"/>
      <c r="J378" s="376"/>
      <c r="K378" s="376"/>
      <c r="L378" s="376"/>
      <c r="M378" s="376"/>
      <c r="N378" s="376"/>
      <c r="O378" s="376"/>
      <c r="P378" s="376"/>
      <c r="Q378" s="376"/>
      <c r="R378" s="376"/>
      <c r="S378" s="376"/>
      <c r="T378" s="376"/>
      <c r="U378" s="376"/>
      <c r="V378" s="376"/>
      <c r="W378" s="376"/>
      <c r="X378" s="376"/>
      <c r="Y378" s="376"/>
      <c r="Z378" s="376"/>
    </row>
    <row r="379">
      <c r="A379" s="376"/>
      <c r="B379" s="376"/>
      <c r="C379" s="376"/>
      <c r="D379" s="376"/>
      <c r="E379" s="376"/>
      <c r="F379" s="376"/>
      <c r="G379" s="376"/>
      <c r="H379" s="376"/>
      <c r="I379" s="376"/>
      <c r="J379" s="376"/>
      <c r="K379" s="376"/>
      <c r="L379" s="376"/>
      <c r="M379" s="376"/>
      <c r="N379" s="376"/>
      <c r="O379" s="376"/>
      <c r="P379" s="376"/>
      <c r="Q379" s="376"/>
      <c r="R379" s="376"/>
      <c r="S379" s="376"/>
      <c r="T379" s="376"/>
      <c r="U379" s="376"/>
      <c r="V379" s="376"/>
      <c r="W379" s="376"/>
      <c r="X379" s="376"/>
      <c r="Y379" s="376"/>
      <c r="Z379" s="376"/>
    </row>
    <row r="380">
      <c r="A380" s="376"/>
      <c r="B380" s="376"/>
      <c r="C380" s="376"/>
      <c r="D380" s="376"/>
      <c r="E380" s="376"/>
      <c r="F380" s="376"/>
      <c r="G380" s="376"/>
      <c r="H380" s="376"/>
      <c r="I380" s="376"/>
      <c r="J380" s="376"/>
      <c r="K380" s="376"/>
      <c r="L380" s="376"/>
      <c r="M380" s="376"/>
      <c r="N380" s="376"/>
      <c r="O380" s="376"/>
      <c r="P380" s="376"/>
      <c r="Q380" s="376"/>
      <c r="R380" s="376"/>
      <c r="S380" s="376"/>
      <c r="T380" s="376"/>
      <c r="U380" s="376"/>
      <c r="V380" s="376"/>
      <c r="W380" s="376"/>
      <c r="X380" s="376"/>
      <c r="Y380" s="376"/>
      <c r="Z380" s="376"/>
    </row>
    <row r="381">
      <c r="A381" s="376"/>
      <c r="B381" s="376"/>
      <c r="C381" s="376"/>
      <c r="D381" s="376"/>
      <c r="E381" s="376"/>
      <c r="F381" s="376"/>
      <c r="G381" s="376"/>
      <c r="H381" s="376"/>
      <c r="I381" s="376"/>
      <c r="J381" s="376"/>
      <c r="K381" s="376"/>
      <c r="L381" s="376"/>
      <c r="M381" s="376"/>
      <c r="N381" s="376"/>
      <c r="O381" s="376"/>
      <c r="P381" s="376"/>
      <c r="Q381" s="376"/>
      <c r="R381" s="376"/>
      <c r="S381" s="376"/>
      <c r="T381" s="376"/>
      <c r="U381" s="376"/>
      <c r="V381" s="376"/>
      <c r="W381" s="376"/>
      <c r="X381" s="376"/>
      <c r="Y381" s="376"/>
      <c r="Z381" s="376"/>
    </row>
    <row r="382">
      <c r="A382" s="376"/>
      <c r="B382" s="376"/>
      <c r="C382" s="376"/>
      <c r="D382" s="376"/>
      <c r="E382" s="376"/>
      <c r="F382" s="376"/>
      <c r="G382" s="376"/>
      <c r="H382" s="376"/>
      <c r="I382" s="376"/>
      <c r="J382" s="376"/>
      <c r="K382" s="376"/>
      <c r="L382" s="376"/>
      <c r="M382" s="376"/>
      <c r="N382" s="376"/>
      <c r="O382" s="376"/>
      <c r="P382" s="376"/>
      <c r="Q382" s="376"/>
      <c r="R382" s="376"/>
      <c r="S382" s="376"/>
      <c r="T382" s="376"/>
      <c r="U382" s="376"/>
      <c r="V382" s="376"/>
      <c r="W382" s="376"/>
      <c r="X382" s="376"/>
      <c r="Y382" s="376"/>
      <c r="Z382" s="376"/>
    </row>
    <row r="383">
      <c r="A383" s="376"/>
      <c r="B383" s="376"/>
      <c r="C383" s="376"/>
      <c r="D383" s="376"/>
      <c r="E383" s="376"/>
      <c r="F383" s="376"/>
      <c r="G383" s="376"/>
      <c r="H383" s="376"/>
      <c r="I383" s="376"/>
      <c r="J383" s="376"/>
      <c r="K383" s="376"/>
      <c r="L383" s="376"/>
      <c r="M383" s="376"/>
      <c r="N383" s="376"/>
      <c r="O383" s="376"/>
      <c r="P383" s="376"/>
      <c r="Q383" s="376"/>
      <c r="R383" s="376"/>
      <c r="S383" s="376"/>
      <c r="T383" s="376"/>
      <c r="U383" s="376"/>
      <c r="V383" s="376"/>
      <c r="W383" s="376"/>
      <c r="X383" s="376"/>
      <c r="Y383" s="376"/>
      <c r="Z383" s="376"/>
    </row>
    <row r="384">
      <c r="A384" s="376"/>
      <c r="B384" s="376"/>
      <c r="C384" s="376"/>
      <c r="D384" s="376"/>
      <c r="E384" s="376"/>
      <c r="F384" s="376"/>
      <c r="G384" s="376"/>
      <c r="H384" s="376"/>
      <c r="I384" s="376"/>
      <c r="J384" s="376"/>
      <c r="K384" s="376"/>
      <c r="L384" s="376"/>
      <c r="M384" s="376"/>
      <c r="N384" s="376"/>
      <c r="O384" s="376"/>
      <c r="P384" s="376"/>
      <c r="Q384" s="376"/>
      <c r="R384" s="376"/>
      <c r="S384" s="376"/>
      <c r="T384" s="376"/>
      <c r="U384" s="376"/>
      <c r="V384" s="376"/>
      <c r="W384" s="376"/>
      <c r="X384" s="376"/>
      <c r="Y384" s="376"/>
      <c r="Z384" s="376"/>
    </row>
    <row r="385">
      <c r="A385" s="376"/>
      <c r="B385" s="376"/>
      <c r="C385" s="376"/>
      <c r="D385" s="376"/>
      <c r="E385" s="376"/>
      <c r="F385" s="376"/>
      <c r="G385" s="376"/>
      <c r="H385" s="376"/>
      <c r="I385" s="376"/>
      <c r="J385" s="376"/>
      <c r="K385" s="376"/>
      <c r="L385" s="376"/>
      <c r="M385" s="376"/>
      <c r="N385" s="376"/>
      <c r="O385" s="376"/>
      <c r="P385" s="376"/>
      <c r="Q385" s="376"/>
      <c r="R385" s="376"/>
      <c r="S385" s="376"/>
      <c r="T385" s="376"/>
      <c r="U385" s="376"/>
      <c r="V385" s="376"/>
      <c r="W385" s="376"/>
      <c r="X385" s="376"/>
      <c r="Y385" s="376"/>
      <c r="Z385" s="376"/>
    </row>
    <row r="386">
      <c r="A386" s="376"/>
      <c r="B386" s="376"/>
      <c r="C386" s="376"/>
      <c r="D386" s="376"/>
      <c r="E386" s="376"/>
      <c r="F386" s="376"/>
      <c r="G386" s="376"/>
      <c r="H386" s="376"/>
      <c r="I386" s="376"/>
      <c r="J386" s="376"/>
      <c r="K386" s="376"/>
      <c r="L386" s="376"/>
      <c r="M386" s="376"/>
      <c r="N386" s="376"/>
      <c r="O386" s="376"/>
      <c r="P386" s="376"/>
      <c r="Q386" s="376"/>
      <c r="R386" s="376"/>
      <c r="S386" s="376"/>
      <c r="T386" s="376"/>
      <c r="U386" s="376"/>
      <c r="V386" s="376"/>
      <c r="W386" s="376"/>
      <c r="X386" s="376"/>
      <c r="Y386" s="376"/>
      <c r="Z386" s="376"/>
    </row>
    <row r="387">
      <c r="A387" s="376"/>
      <c r="B387" s="376"/>
      <c r="C387" s="376"/>
      <c r="D387" s="376"/>
      <c r="E387" s="376"/>
      <c r="F387" s="376"/>
      <c r="G387" s="376"/>
      <c r="H387" s="376"/>
      <c r="I387" s="376"/>
      <c r="J387" s="376"/>
      <c r="K387" s="376"/>
      <c r="L387" s="376"/>
      <c r="M387" s="376"/>
      <c r="N387" s="376"/>
      <c r="O387" s="376"/>
      <c r="P387" s="376"/>
      <c r="Q387" s="376"/>
      <c r="R387" s="376"/>
      <c r="S387" s="376"/>
      <c r="T387" s="376"/>
      <c r="U387" s="376"/>
      <c r="V387" s="376"/>
      <c r="W387" s="376"/>
      <c r="X387" s="376"/>
      <c r="Y387" s="376"/>
      <c r="Z387" s="376"/>
    </row>
    <row r="388">
      <c r="A388" s="376"/>
      <c r="B388" s="376"/>
      <c r="C388" s="376"/>
      <c r="D388" s="376"/>
      <c r="E388" s="376"/>
      <c r="F388" s="376"/>
      <c r="G388" s="376"/>
      <c r="H388" s="376"/>
      <c r="I388" s="376"/>
      <c r="J388" s="376"/>
      <c r="K388" s="376"/>
      <c r="L388" s="376"/>
      <c r="M388" s="376"/>
      <c r="N388" s="376"/>
      <c r="O388" s="376"/>
      <c r="P388" s="376"/>
      <c r="Q388" s="376"/>
      <c r="R388" s="376"/>
      <c r="S388" s="376"/>
      <c r="T388" s="376"/>
      <c r="U388" s="376"/>
      <c r="V388" s="376"/>
      <c r="W388" s="376"/>
      <c r="X388" s="376"/>
      <c r="Y388" s="376"/>
      <c r="Z388" s="376"/>
    </row>
    <row r="389">
      <c r="A389" s="376"/>
      <c r="B389" s="376"/>
      <c r="C389" s="376"/>
      <c r="D389" s="376"/>
      <c r="E389" s="376"/>
      <c r="F389" s="376"/>
      <c r="G389" s="376"/>
      <c r="H389" s="376"/>
      <c r="I389" s="376"/>
      <c r="J389" s="376"/>
      <c r="K389" s="376"/>
      <c r="L389" s="376"/>
      <c r="M389" s="376"/>
      <c r="N389" s="376"/>
      <c r="O389" s="376"/>
      <c r="P389" s="376"/>
      <c r="Q389" s="376"/>
      <c r="R389" s="376"/>
      <c r="S389" s="376"/>
      <c r="T389" s="376"/>
      <c r="U389" s="376"/>
      <c r="V389" s="376"/>
      <c r="W389" s="376"/>
      <c r="X389" s="376"/>
      <c r="Y389" s="376"/>
      <c r="Z389" s="376"/>
    </row>
    <row r="390">
      <c r="A390" s="376"/>
      <c r="B390" s="376"/>
      <c r="C390" s="376"/>
      <c r="D390" s="376"/>
      <c r="E390" s="376"/>
      <c r="F390" s="376"/>
      <c r="G390" s="376"/>
      <c r="H390" s="376"/>
      <c r="I390" s="376"/>
      <c r="J390" s="376"/>
      <c r="K390" s="376"/>
      <c r="L390" s="376"/>
      <c r="M390" s="376"/>
      <c r="N390" s="376"/>
      <c r="O390" s="376"/>
      <c r="P390" s="376"/>
      <c r="Q390" s="376"/>
      <c r="R390" s="376"/>
      <c r="S390" s="376"/>
      <c r="T390" s="376"/>
      <c r="U390" s="376"/>
      <c r="V390" s="376"/>
      <c r="W390" s="376"/>
      <c r="X390" s="376"/>
      <c r="Y390" s="376"/>
      <c r="Z390" s="376"/>
    </row>
    <row r="391">
      <c r="A391" s="376"/>
      <c r="B391" s="376"/>
      <c r="C391" s="376"/>
      <c r="D391" s="376"/>
      <c r="E391" s="376"/>
      <c r="F391" s="376"/>
      <c r="G391" s="376"/>
      <c r="H391" s="376"/>
      <c r="I391" s="376"/>
      <c r="J391" s="376"/>
      <c r="K391" s="376"/>
      <c r="L391" s="376"/>
      <c r="M391" s="376"/>
      <c r="N391" s="376"/>
      <c r="O391" s="376"/>
      <c r="P391" s="376"/>
      <c r="Q391" s="376"/>
      <c r="R391" s="376"/>
      <c r="S391" s="376"/>
      <c r="T391" s="376"/>
      <c r="U391" s="376"/>
      <c r="V391" s="376"/>
      <c r="W391" s="376"/>
      <c r="X391" s="376"/>
      <c r="Y391" s="376"/>
      <c r="Z391" s="376"/>
    </row>
    <row r="392">
      <c r="A392" s="376"/>
      <c r="B392" s="376"/>
      <c r="C392" s="376"/>
      <c r="D392" s="376"/>
      <c r="E392" s="376"/>
      <c r="F392" s="376"/>
      <c r="G392" s="376"/>
      <c r="H392" s="376"/>
      <c r="I392" s="376"/>
      <c r="J392" s="376"/>
      <c r="K392" s="376"/>
      <c r="L392" s="376"/>
      <c r="M392" s="376"/>
      <c r="N392" s="376"/>
      <c r="O392" s="376"/>
      <c r="P392" s="376"/>
      <c r="Q392" s="376"/>
      <c r="R392" s="376"/>
      <c r="S392" s="376"/>
      <c r="T392" s="376"/>
      <c r="U392" s="376"/>
      <c r="V392" s="376"/>
      <c r="W392" s="376"/>
      <c r="X392" s="376"/>
      <c r="Y392" s="376"/>
      <c r="Z392" s="376"/>
    </row>
    <row r="393">
      <c r="A393" s="376"/>
      <c r="B393" s="376"/>
      <c r="C393" s="376"/>
      <c r="D393" s="376"/>
      <c r="E393" s="376"/>
      <c r="F393" s="376"/>
      <c r="G393" s="376"/>
      <c r="H393" s="376"/>
      <c r="I393" s="376"/>
      <c r="J393" s="376"/>
      <c r="K393" s="376"/>
      <c r="L393" s="376"/>
      <c r="M393" s="376"/>
      <c r="N393" s="376"/>
      <c r="O393" s="376"/>
      <c r="P393" s="376"/>
      <c r="Q393" s="376"/>
      <c r="R393" s="376"/>
      <c r="S393" s="376"/>
      <c r="T393" s="376"/>
      <c r="U393" s="376"/>
      <c r="V393" s="376"/>
      <c r="W393" s="376"/>
      <c r="X393" s="376"/>
      <c r="Y393" s="376"/>
      <c r="Z393" s="376"/>
    </row>
    <row r="394">
      <c r="A394" s="376"/>
      <c r="B394" s="376"/>
      <c r="C394" s="376"/>
      <c r="D394" s="376"/>
      <c r="E394" s="376"/>
      <c r="F394" s="376"/>
      <c r="G394" s="376"/>
      <c r="H394" s="376"/>
      <c r="I394" s="376"/>
      <c r="J394" s="376"/>
      <c r="K394" s="376"/>
      <c r="L394" s="376"/>
      <c r="M394" s="376"/>
      <c r="N394" s="376"/>
      <c r="O394" s="376"/>
      <c r="P394" s="376"/>
      <c r="Q394" s="376"/>
      <c r="R394" s="376"/>
      <c r="S394" s="376"/>
      <c r="T394" s="376"/>
      <c r="U394" s="376"/>
      <c r="V394" s="376"/>
      <c r="W394" s="376"/>
      <c r="X394" s="376"/>
      <c r="Y394" s="376"/>
      <c r="Z394" s="376"/>
    </row>
    <row r="395">
      <c r="A395" s="376"/>
      <c r="B395" s="376"/>
      <c r="C395" s="376"/>
      <c r="D395" s="376"/>
      <c r="E395" s="376"/>
      <c r="F395" s="376"/>
      <c r="G395" s="376"/>
      <c r="H395" s="376"/>
      <c r="I395" s="376"/>
      <c r="J395" s="376"/>
      <c r="K395" s="376"/>
      <c r="L395" s="376"/>
      <c r="M395" s="376"/>
      <c r="N395" s="376"/>
      <c r="O395" s="376"/>
      <c r="P395" s="376"/>
      <c r="Q395" s="376"/>
      <c r="R395" s="376"/>
      <c r="S395" s="376"/>
      <c r="T395" s="376"/>
      <c r="U395" s="376"/>
      <c r="V395" s="376"/>
      <c r="W395" s="376"/>
      <c r="X395" s="376"/>
      <c r="Y395" s="376"/>
      <c r="Z395" s="376"/>
    </row>
    <row r="396">
      <c r="A396" s="376"/>
      <c r="B396" s="376"/>
      <c r="C396" s="376"/>
      <c r="D396" s="376"/>
      <c r="E396" s="376"/>
      <c r="F396" s="376"/>
      <c r="G396" s="376"/>
      <c r="H396" s="376"/>
      <c r="I396" s="376"/>
      <c r="J396" s="376"/>
      <c r="K396" s="376"/>
      <c r="L396" s="376"/>
      <c r="M396" s="376"/>
      <c r="N396" s="376"/>
      <c r="O396" s="376"/>
      <c r="P396" s="376"/>
      <c r="Q396" s="376"/>
      <c r="R396" s="376"/>
      <c r="S396" s="376"/>
      <c r="T396" s="376"/>
      <c r="U396" s="376"/>
      <c r="V396" s="376"/>
      <c r="W396" s="376"/>
      <c r="X396" s="376"/>
      <c r="Y396" s="376"/>
      <c r="Z396" s="376"/>
    </row>
    <row r="397">
      <c r="A397" s="376"/>
      <c r="B397" s="376"/>
      <c r="C397" s="376"/>
      <c r="D397" s="376"/>
      <c r="E397" s="376"/>
      <c r="F397" s="376"/>
      <c r="G397" s="376"/>
      <c r="H397" s="376"/>
      <c r="I397" s="376"/>
      <c r="J397" s="376"/>
      <c r="K397" s="376"/>
      <c r="L397" s="376"/>
      <c r="M397" s="376"/>
      <c r="N397" s="376"/>
      <c r="O397" s="376"/>
      <c r="P397" s="376"/>
      <c r="Q397" s="376"/>
      <c r="R397" s="376"/>
      <c r="S397" s="376"/>
      <c r="T397" s="376"/>
      <c r="U397" s="376"/>
      <c r="V397" s="376"/>
      <c r="W397" s="376"/>
      <c r="X397" s="376"/>
      <c r="Y397" s="376"/>
      <c r="Z397" s="376"/>
    </row>
    <row r="398">
      <c r="A398" s="376"/>
      <c r="B398" s="376"/>
      <c r="C398" s="376"/>
      <c r="D398" s="376"/>
      <c r="E398" s="376"/>
      <c r="F398" s="376"/>
      <c r="G398" s="376"/>
      <c r="H398" s="376"/>
      <c r="I398" s="376"/>
      <c r="J398" s="376"/>
      <c r="K398" s="376"/>
      <c r="L398" s="376"/>
      <c r="M398" s="376"/>
      <c r="N398" s="376"/>
      <c r="O398" s="376"/>
      <c r="P398" s="376"/>
      <c r="Q398" s="376"/>
      <c r="R398" s="376"/>
      <c r="S398" s="376"/>
      <c r="T398" s="376"/>
      <c r="U398" s="376"/>
      <c r="V398" s="376"/>
      <c r="W398" s="376"/>
      <c r="X398" s="376"/>
      <c r="Y398" s="376"/>
      <c r="Z398" s="376"/>
    </row>
    <row r="399">
      <c r="A399" s="376"/>
      <c r="B399" s="376"/>
      <c r="C399" s="376"/>
      <c r="D399" s="376"/>
      <c r="E399" s="376"/>
      <c r="F399" s="376"/>
      <c r="G399" s="376"/>
      <c r="H399" s="376"/>
      <c r="I399" s="376"/>
      <c r="J399" s="376"/>
      <c r="K399" s="376"/>
      <c r="L399" s="376"/>
      <c r="M399" s="376"/>
      <c r="N399" s="376"/>
      <c r="O399" s="376"/>
      <c r="P399" s="376"/>
      <c r="Q399" s="376"/>
      <c r="R399" s="376"/>
      <c r="S399" s="376"/>
      <c r="T399" s="376"/>
      <c r="U399" s="376"/>
      <c r="V399" s="376"/>
      <c r="W399" s="376"/>
      <c r="X399" s="376"/>
      <c r="Y399" s="376"/>
      <c r="Z399" s="376"/>
    </row>
    <row r="400">
      <c r="A400" s="376"/>
      <c r="B400" s="376"/>
      <c r="C400" s="376"/>
      <c r="D400" s="376"/>
      <c r="E400" s="376"/>
      <c r="F400" s="376"/>
      <c r="G400" s="376"/>
      <c r="H400" s="376"/>
      <c r="I400" s="376"/>
      <c r="J400" s="376"/>
      <c r="K400" s="376"/>
      <c r="L400" s="376"/>
      <c r="M400" s="376"/>
      <c r="N400" s="376"/>
      <c r="O400" s="376"/>
      <c r="P400" s="376"/>
      <c r="Q400" s="376"/>
      <c r="R400" s="376"/>
      <c r="S400" s="376"/>
      <c r="T400" s="376"/>
      <c r="U400" s="376"/>
      <c r="V400" s="376"/>
      <c r="W400" s="376"/>
      <c r="X400" s="376"/>
      <c r="Y400" s="376"/>
      <c r="Z400" s="376"/>
    </row>
    <row r="401">
      <c r="A401" s="376"/>
      <c r="B401" s="376"/>
      <c r="C401" s="376"/>
      <c r="D401" s="376"/>
      <c r="E401" s="376"/>
      <c r="F401" s="376"/>
      <c r="G401" s="376"/>
      <c r="H401" s="376"/>
      <c r="I401" s="376"/>
      <c r="J401" s="376"/>
      <c r="K401" s="376"/>
      <c r="L401" s="376"/>
      <c r="M401" s="376"/>
      <c r="N401" s="376"/>
      <c r="O401" s="376"/>
      <c r="P401" s="376"/>
      <c r="Q401" s="376"/>
      <c r="R401" s="376"/>
      <c r="S401" s="376"/>
      <c r="T401" s="376"/>
      <c r="U401" s="376"/>
      <c r="V401" s="376"/>
      <c r="W401" s="376"/>
      <c r="X401" s="376"/>
      <c r="Y401" s="376"/>
      <c r="Z401" s="376"/>
    </row>
    <row r="402">
      <c r="A402" s="376"/>
      <c r="B402" s="376"/>
      <c r="C402" s="376"/>
      <c r="D402" s="376"/>
      <c r="E402" s="376"/>
      <c r="F402" s="376"/>
      <c r="G402" s="376"/>
      <c r="H402" s="376"/>
      <c r="I402" s="376"/>
      <c r="J402" s="376"/>
      <c r="K402" s="376"/>
      <c r="L402" s="376"/>
      <c r="M402" s="376"/>
      <c r="N402" s="376"/>
      <c r="O402" s="376"/>
      <c r="P402" s="376"/>
      <c r="Q402" s="376"/>
      <c r="R402" s="376"/>
      <c r="S402" s="376"/>
      <c r="T402" s="376"/>
      <c r="U402" s="376"/>
      <c r="V402" s="376"/>
      <c r="W402" s="376"/>
      <c r="X402" s="376"/>
      <c r="Y402" s="376"/>
      <c r="Z402" s="376"/>
    </row>
    <row r="403">
      <c r="A403" s="376"/>
      <c r="B403" s="376"/>
      <c r="C403" s="376"/>
      <c r="D403" s="376"/>
      <c r="E403" s="376"/>
      <c r="F403" s="376"/>
      <c r="G403" s="376"/>
      <c r="H403" s="376"/>
      <c r="I403" s="376"/>
      <c r="J403" s="376"/>
      <c r="K403" s="376"/>
      <c r="L403" s="376"/>
      <c r="M403" s="376"/>
      <c r="N403" s="376"/>
      <c r="O403" s="376"/>
      <c r="P403" s="376"/>
      <c r="Q403" s="376"/>
      <c r="R403" s="376"/>
      <c r="S403" s="376"/>
      <c r="T403" s="376"/>
      <c r="U403" s="376"/>
      <c r="V403" s="376"/>
      <c r="W403" s="376"/>
      <c r="X403" s="376"/>
      <c r="Y403" s="376"/>
      <c r="Z403" s="376"/>
    </row>
    <row r="404">
      <c r="A404" s="376"/>
      <c r="B404" s="376"/>
      <c r="C404" s="376"/>
      <c r="D404" s="376"/>
      <c r="E404" s="376"/>
      <c r="F404" s="376"/>
      <c r="G404" s="376"/>
      <c r="H404" s="376"/>
      <c r="I404" s="376"/>
      <c r="J404" s="376"/>
      <c r="K404" s="376"/>
      <c r="L404" s="376"/>
      <c r="M404" s="376"/>
      <c r="N404" s="376"/>
      <c r="O404" s="376"/>
      <c r="P404" s="376"/>
      <c r="Q404" s="376"/>
      <c r="R404" s="376"/>
      <c r="S404" s="376"/>
      <c r="T404" s="376"/>
      <c r="U404" s="376"/>
      <c r="V404" s="376"/>
      <c r="W404" s="376"/>
      <c r="X404" s="376"/>
      <c r="Y404" s="376"/>
      <c r="Z404" s="376"/>
    </row>
    <row r="405">
      <c r="A405" s="376"/>
      <c r="B405" s="376"/>
      <c r="C405" s="376"/>
      <c r="D405" s="376"/>
      <c r="E405" s="376"/>
      <c r="F405" s="376"/>
      <c r="G405" s="376"/>
      <c r="H405" s="376"/>
      <c r="I405" s="376"/>
      <c r="J405" s="376"/>
      <c r="K405" s="376"/>
      <c r="L405" s="376"/>
      <c r="M405" s="376"/>
      <c r="N405" s="376"/>
      <c r="O405" s="376"/>
      <c r="P405" s="376"/>
      <c r="Q405" s="376"/>
      <c r="R405" s="376"/>
      <c r="S405" s="376"/>
      <c r="T405" s="376"/>
      <c r="U405" s="376"/>
      <c r="V405" s="376"/>
      <c r="W405" s="376"/>
      <c r="X405" s="376"/>
      <c r="Y405" s="376"/>
      <c r="Z405" s="376"/>
    </row>
    <row r="406">
      <c r="A406" s="376"/>
      <c r="B406" s="376"/>
      <c r="C406" s="376"/>
      <c r="D406" s="376"/>
      <c r="E406" s="376"/>
      <c r="F406" s="376"/>
      <c r="G406" s="376"/>
      <c r="H406" s="376"/>
      <c r="I406" s="376"/>
      <c r="J406" s="376"/>
      <c r="K406" s="376"/>
      <c r="L406" s="376"/>
      <c r="M406" s="376"/>
      <c r="N406" s="376"/>
      <c r="O406" s="376"/>
      <c r="P406" s="376"/>
      <c r="Q406" s="376"/>
      <c r="R406" s="376"/>
      <c r="S406" s="376"/>
      <c r="T406" s="376"/>
      <c r="U406" s="376"/>
      <c r="V406" s="376"/>
      <c r="W406" s="376"/>
      <c r="X406" s="376"/>
      <c r="Y406" s="376"/>
      <c r="Z406" s="376"/>
    </row>
    <row r="407">
      <c r="A407" s="376"/>
      <c r="B407" s="376"/>
      <c r="C407" s="376"/>
      <c r="D407" s="376"/>
      <c r="E407" s="376"/>
      <c r="F407" s="376"/>
      <c r="G407" s="376"/>
      <c r="H407" s="376"/>
      <c r="I407" s="376"/>
      <c r="J407" s="376"/>
      <c r="K407" s="376"/>
      <c r="L407" s="376"/>
      <c r="M407" s="376"/>
      <c r="N407" s="376"/>
      <c r="O407" s="376"/>
      <c r="P407" s="376"/>
      <c r="Q407" s="376"/>
      <c r="R407" s="376"/>
      <c r="S407" s="376"/>
      <c r="T407" s="376"/>
      <c r="U407" s="376"/>
      <c r="V407" s="376"/>
      <c r="W407" s="376"/>
      <c r="X407" s="376"/>
      <c r="Y407" s="376"/>
      <c r="Z407" s="376"/>
    </row>
    <row r="408">
      <c r="A408" s="376"/>
      <c r="B408" s="376"/>
      <c r="C408" s="376"/>
      <c r="D408" s="376"/>
      <c r="E408" s="376"/>
      <c r="F408" s="376"/>
      <c r="G408" s="376"/>
      <c r="H408" s="376"/>
      <c r="I408" s="376"/>
      <c r="J408" s="376"/>
      <c r="K408" s="376"/>
      <c r="L408" s="376"/>
      <c r="M408" s="376"/>
      <c r="N408" s="376"/>
      <c r="O408" s="376"/>
      <c r="P408" s="376"/>
      <c r="Q408" s="376"/>
      <c r="R408" s="376"/>
      <c r="S408" s="376"/>
      <c r="T408" s="376"/>
      <c r="U408" s="376"/>
      <c r="V408" s="376"/>
      <c r="W408" s="376"/>
      <c r="X408" s="376"/>
      <c r="Y408" s="376"/>
      <c r="Z408" s="376"/>
    </row>
    <row r="409">
      <c r="A409" s="376"/>
      <c r="B409" s="376"/>
      <c r="C409" s="376"/>
      <c r="D409" s="376"/>
      <c r="E409" s="376"/>
      <c r="F409" s="376"/>
      <c r="G409" s="376"/>
      <c r="H409" s="376"/>
      <c r="I409" s="376"/>
      <c r="J409" s="376"/>
      <c r="K409" s="376"/>
      <c r="L409" s="376"/>
      <c r="M409" s="376"/>
      <c r="N409" s="376"/>
      <c r="O409" s="376"/>
      <c r="P409" s="376"/>
      <c r="Q409" s="376"/>
      <c r="R409" s="376"/>
      <c r="S409" s="376"/>
      <c r="T409" s="376"/>
      <c r="U409" s="376"/>
      <c r="V409" s="376"/>
      <c r="W409" s="376"/>
      <c r="X409" s="376"/>
      <c r="Y409" s="376"/>
      <c r="Z409" s="376"/>
    </row>
    <row r="410">
      <c r="A410" s="376"/>
      <c r="B410" s="376"/>
      <c r="C410" s="376"/>
      <c r="D410" s="376"/>
      <c r="E410" s="376"/>
      <c r="F410" s="376"/>
      <c r="G410" s="376"/>
      <c r="H410" s="376"/>
      <c r="I410" s="376"/>
      <c r="J410" s="376"/>
      <c r="K410" s="376"/>
      <c r="L410" s="376"/>
      <c r="M410" s="376"/>
      <c r="N410" s="376"/>
      <c r="O410" s="376"/>
      <c r="P410" s="376"/>
      <c r="Q410" s="376"/>
      <c r="R410" s="376"/>
      <c r="S410" s="376"/>
      <c r="T410" s="376"/>
      <c r="U410" s="376"/>
      <c r="V410" s="376"/>
      <c r="W410" s="376"/>
      <c r="X410" s="376"/>
      <c r="Y410" s="376"/>
      <c r="Z410" s="376"/>
    </row>
    <row r="411">
      <c r="A411" s="376"/>
      <c r="B411" s="376"/>
      <c r="C411" s="376"/>
      <c r="D411" s="376"/>
      <c r="E411" s="376"/>
      <c r="F411" s="376"/>
      <c r="G411" s="376"/>
      <c r="H411" s="376"/>
      <c r="I411" s="376"/>
      <c r="J411" s="376"/>
      <c r="K411" s="376"/>
      <c r="L411" s="376"/>
      <c r="M411" s="376"/>
      <c r="N411" s="376"/>
      <c r="O411" s="376"/>
      <c r="P411" s="376"/>
      <c r="Q411" s="376"/>
      <c r="R411" s="376"/>
      <c r="S411" s="376"/>
      <c r="T411" s="376"/>
      <c r="U411" s="376"/>
      <c r="V411" s="376"/>
      <c r="W411" s="376"/>
      <c r="X411" s="376"/>
      <c r="Y411" s="376"/>
      <c r="Z411" s="376"/>
    </row>
    <row r="412">
      <c r="A412" s="376"/>
      <c r="B412" s="376"/>
      <c r="C412" s="376"/>
      <c r="D412" s="376"/>
      <c r="E412" s="376"/>
      <c r="F412" s="376"/>
      <c r="G412" s="376"/>
      <c r="H412" s="376"/>
      <c r="I412" s="376"/>
      <c r="J412" s="376"/>
      <c r="K412" s="376"/>
      <c r="L412" s="376"/>
      <c r="M412" s="376"/>
      <c r="N412" s="376"/>
      <c r="O412" s="376"/>
      <c r="P412" s="376"/>
      <c r="Q412" s="376"/>
      <c r="R412" s="376"/>
      <c r="S412" s="376"/>
      <c r="T412" s="376"/>
      <c r="U412" s="376"/>
      <c r="V412" s="376"/>
      <c r="W412" s="376"/>
      <c r="X412" s="376"/>
      <c r="Y412" s="376"/>
      <c r="Z412" s="376"/>
    </row>
    <row r="413">
      <c r="A413" s="376"/>
      <c r="B413" s="376"/>
      <c r="C413" s="376"/>
      <c r="D413" s="376"/>
      <c r="E413" s="376"/>
      <c r="F413" s="376"/>
      <c r="G413" s="376"/>
      <c r="H413" s="376"/>
      <c r="I413" s="376"/>
      <c r="J413" s="376"/>
      <c r="K413" s="376"/>
      <c r="L413" s="376"/>
      <c r="M413" s="376"/>
      <c r="N413" s="376"/>
      <c r="O413" s="376"/>
      <c r="P413" s="376"/>
      <c r="Q413" s="376"/>
      <c r="R413" s="376"/>
      <c r="S413" s="376"/>
      <c r="T413" s="376"/>
      <c r="U413" s="376"/>
      <c r="V413" s="376"/>
      <c r="W413" s="376"/>
      <c r="X413" s="376"/>
      <c r="Y413" s="376"/>
      <c r="Z413" s="376"/>
    </row>
    <row r="414">
      <c r="A414" s="376"/>
      <c r="B414" s="376"/>
      <c r="C414" s="376"/>
      <c r="D414" s="376"/>
      <c r="E414" s="376"/>
      <c r="F414" s="376"/>
      <c r="G414" s="376"/>
      <c r="H414" s="376"/>
      <c r="I414" s="376"/>
      <c r="J414" s="376"/>
      <c r="K414" s="376"/>
      <c r="L414" s="376"/>
      <c r="M414" s="376"/>
      <c r="N414" s="376"/>
      <c r="O414" s="376"/>
      <c r="P414" s="376"/>
      <c r="Q414" s="376"/>
      <c r="R414" s="376"/>
      <c r="S414" s="376"/>
      <c r="T414" s="376"/>
      <c r="U414" s="376"/>
      <c r="V414" s="376"/>
      <c r="W414" s="376"/>
      <c r="X414" s="376"/>
      <c r="Y414" s="376"/>
      <c r="Z414" s="376"/>
    </row>
    <row r="415">
      <c r="A415" s="376"/>
      <c r="B415" s="376"/>
      <c r="C415" s="376"/>
      <c r="D415" s="376"/>
      <c r="E415" s="376"/>
      <c r="F415" s="376"/>
      <c r="G415" s="376"/>
      <c r="H415" s="376"/>
      <c r="I415" s="376"/>
      <c r="J415" s="376"/>
      <c r="K415" s="376"/>
      <c r="L415" s="376"/>
      <c r="M415" s="376"/>
      <c r="N415" s="376"/>
      <c r="O415" s="376"/>
      <c r="P415" s="376"/>
      <c r="Q415" s="376"/>
      <c r="R415" s="376"/>
      <c r="S415" s="376"/>
      <c r="T415" s="376"/>
      <c r="U415" s="376"/>
      <c r="V415" s="376"/>
      <c r="W415" s="376"/>
      <c r="X415" s="376"/>
      <c r="Y415" s="376"/>
      <c r="Z415" s="376"/>
    </row>
    <row r="416">
      <c r="A416" s="376"/>
      <c r="B416" s="376"/>
      <c r="C416" s="376"/>
      <c r="D416" s="376"/>
      <c r="E416" s="376"/>
      <c r="F416" s="376"/>
      <c r="G416" s="376"/>
      <c r="H416" s="376"/>
      <c r="I416" s="376"/>
      <c r="J416" s="376"/>
      <c r="K416" s="376"/>
      <c r="L416" s="376"/>
      <c r="M416" s="376"/>
      <c r="N416" s="376"/>
      <c r="O416" s="376"/>
      <c r="P416" s="376"/>
      <c r="Q416" s="376"/>
      <c r="R416" s="376"/>
      <c r="S416" s="376"/>
      <c r="T416" s="376"/>
      <c r="U416" s="376"/>
      <c r="V416" s="376"/>
      <c r="W416" s="376"/>
      <c r="X416" s="376"/>
      <c r="Y416" s="376"/>
      <c r="Z416" s="376"/>
    </row>
    <row r="417">
      <c r="A417" s="376"/>
      <c r="B417" s="376"/>
      <c r="C417" s="376"/>
      <c r="D417" s="376"/>
      <c r="E417" s="376"/>
      <c r="F417" s="376"/>
      <c r="G417" s="376"/>
      <c r="H417" s="376"/>
      <c r="I417" s="376"/>
      <c r="J417" s="376"/>
      <c r="K417" s="376"/>
      <c r="L417" s="376"/>
      <c r="M417" s="376"/>
      <c r="N417" s="376"/>
      <c r="O417" s="376"/>
      <c r="P417" s="376"/>
      <c r="Q417" s="376"/>
      <c r="R417" s="376"/>
      <c r="S417" s="376"/>
      <c r="T417" s="376"/>
      <c r="U417" s="376"/>
      <c r="V417" s="376"/>
      <c r="W417" s="376"/>
      <c r="X417" s="376"/>
      <c r="Y417" s="376"/>
      <c r="Z417" s="376"/>
    </row>
    <row r="418">
      <c r="A418" s="376"/>
      <c r="B418" s="376"/>
      <c r="C418" s="376"/>
      <c r="D418" s="376"/>
      <c r="E418" s="376"/>
      <c r="F418" s="376"/>
      <c r="G418" s="376"/>
      <c r="H418" s="376"/>
      <c r="I418" s="376"/>
      <c r="J418" s="376"/>
      <c r="K418" s="376"/>
      <c r="L418" s="376"/>
      <c r="M418" s="376"/>
      <c r="N418" s="376"/>
      <c r="O418" s="376"/>
      <c r="P418" s="376"/>
      <c r="Q418" s="376"/>
      <c r="R418" s="376"/>
      <c r="S418" s="376"/>
      <c r="T418" s="376"/>
      <c r="U418" s="376"/>
      <c r="V418" s="376"/>
      <c r="W418" s="376"/>
      <c r="X418" s="376"/>
      <c r="Y418" s="376"/>
      <c r="Z418" s="376"/>
    </row>
    <row r="419">
      <c r="A419" s="376"/>
      <c r="B419" s="376"/>
      <c r="C419" s="376"/>
      <c r="D419" s="376"/>
      <c r="E419" s="376"/>
      <c r="F419" s="376"/>
      <c r="G419" s="376"/>
      <c r="H419" s="376"/>
      <c r="I419" s="376"/>
      <c r="J419" s="376"/>
      <c r="K419" s="376"/>
      <c r="L419" s="376"/>
      <c r="M419" s="376"/>
      <c r="N419" s="376"/>
      <c r="O419" s="376"/>
      <c r="P419" s="376"/>
      <c r="Q419" s="376"/>
      <c r="R419" s="376"/>
      <c r="S419" s="376"/>
      <c r="T419" s="376"/>
      <c r="U419" s="376"/>
      <c r="V419" s="376"/>
      <c r="W419" s="376"/>
      <c r="X419" s="376"/>
      <c r="Y419" s="376"/>
      <c r="Z419" s="376"/>
    </row>
    <row r="420">
      <c r="A420" s="376"/>
      <c r="B420" s="376"/>
      <c r="C420" s="376"/>
      <c r="D420" s="376"/>
      <c r="E420" s="376"/>
      <c r="F420" s="376"/>
      <c r="G420" s="376"/>
      <c r="H420" s="376"/>
      <c r="I420" s="376"/>
      <c r="J420" s="376"/>
      <c r="K420" s="376"/>
      <c r="L420" s="376"/>
      <c r="M420" s="376"/>
      <c r="N420" s="376"/>
      <c r="O420" s="376"/>
      <c r="P420" s="376"/>
      <c r="Q420" s="376"/>
      <c r="R420" s="376"/>
      <c r="S420" s="376"/>
      <c r="T420" s="376"/>
      <c r="U420" s="376"/>
      <c r="V420" s="376"/>
      <c r="W420" s="376"/>
      <c r="X420" s="376"/>
      <c r="Y420" s="376"/>
      <c r="Z420" s="376"/>
    </row>
    <row r="421">
      <c r="A421" s="376"/>
      <c r="B421" s="376"/>
      <c r="C421" s="376"/>
      <c r="D421" s="376"/>
      <c r="E421" s="376"/>
      <c r="F421" s="376"/>
      <c r="G421" s="376"/>
      <c r="H421" s="376"/>
      <c r="I421" s="376"/>
      <c r="J421" s="376"/>
      <c r="K421" s="376"/>
      <c r="L421" s="376"/>
      <c r="M421" s="376"/>
      <c r="N421" s="376"/>
      <c r="O421" s="376"/>
      <c r="P421" s="376"/>
      <c r="Q421" s="376"/>
      <c r="R421" s="376"/>
      <c r="S421" s="376"/>
      <c r="T421" s="376"/>
      <c r="U421" s="376"/>
      <c r="V421" s="376"/>
      <c r="W421" s="376"/>
      <c r="X421" s="376"/>
      <c r="Y421" s="376"/>
      <c r="Z421" s="376"/>
    </row>
    <row r="422">
      <c r="A422" s="376"/>
      <c r="B422" s="376"/>
      <c r="C422" s="376"/>
      <c r="D422" s="376"/>
      <c r="E422" s="376"/>
      <c r="F422" s="376"/>
      <c r="G422" s="376"/>
      <c r="H422" s="376"/>
      <c r="I422" s="376"/>
      <c r="J422" s="376"/>
      <c r="K422" s="376"/>
      <c r="L422" s="376"/>
      <c r="M422" s="376"/>
      <c r="N422" s="376"/>
      <c r="O422" s="376"/>
      <c r="P422" s="376"/>
      <c r="Q422" s="376"/>
      <c r="R422" s="376"/>
      <c r="S422" s="376"/>
      <c r="T422" s="376"/>
      <c r="U422" s="376"/>
      <c r="V422" s="376"/>
      <c r="W422" s="376"/>
      <c r="X422" s="376"/>
      <c r="Y422" s="376"/>
      <c r="Z422" s="376"/>
    </row>
    <row r="423">
      <c r="A423" s="376"/>
      <c r="B423" s="376"/>
      <c r="C423" s="376"/>
      <c r="D423" s="376"/>
      <c r="E423" s="376"/>
      <c r="F423" s="376"/>
      <c r="G423" s="376"/>
      <c r="H423" s="376"/>
      <c r="I423" s="376"/>
      <c r="J423" s="376"/>
      <c r="K423" s="376"/>
      <c r="L423" s="376"/>
      <c r="M423" s="376"/>
      <c r="N423" s="376"/>
      <c r="O423" s="376"/>
      <c r="P423" s="376"/>
      <c r="Q423" s="376"/>
      <c r="R423" s="376"/>
      <c r="S423" s="376"/>
      <c r="T423" s="376"/>
      <c r="U423" s="376"/>
      <c r="V423" s="376"/>
      <c r="W423" s="376"/>
      <c r="X423" s="376"/>
      <c r="Y423" s="376"/>
      <c r="Z423" s="376"/>
    </row>
    <row r="424">
      <c r="A424" s="376"/>
      <c r="B424" s="376"/>
      <c r="C424" s="376"/>
      <c r="D424" s="376"/>
      <c r="E424" s="376"/>
      <c r="F424" s="376"/>
      <c r="G424" s="376"/>
      <c r="H424" s="376"/>
      <c r="I424" s="376"/>
      <c r="J424" s="376"/>
      <c r="K424" s="376"/>
      <c r="L424" s="376"/>
      <c r="M424" s="376"/>
      <c r="N424" s="376"/>
      <c r="O424" s="376"/>
      <c r="P424" s="376"/>
      <c r="Q424" s="376"/>
      <c r="R424" s="376"/>
      <c r="S424" s="376"/>
      <c r="T424" s="376"/>
      <c r="U424" s="376"/>
      <c r="V424" s="376"/>
      <c r="W424" s="376"/>
      <c r="X424" s="376"/>
      <c r="Y424" s="376"/>
      <c r="Z424" s="376"/>
    </row>
    <row r="425">
      <c r="A425" s="376"/>
      <c r="B425" s="376"/>
      <c r="C425" s="376"/>
      <c r="D425" s="376"/>
      <c r="E425" s="376"/>
      <c r="F425" s="376"/>
      <c r="G425" s="376"/>
      <c r="H425" s="376"/>
      <c r="I425" s="376"/>
      <c r="J425" s="376"/>
      <c r="K425" s="376"/>
      <c r="L425" s="376"/>
      <c r="M425" s="376"/>
      <c r="N425" s="376"/>
      <c r="O425" s="376"/>
      <c r="P425" s="376"/>
      <c r="Q425" s="376"/>
      <c r="R425" s="376"/>
      <c r="S425" s="376"/>
      <c r="T425" s="376"/>
      <c r="U425" s="376"/>
      <c r="V425" s="376"/>
      <c r="W425" s="376"/>
      <c r="X425" s="376"/>
      <c r="Y425" s="376"/>
      <c r="Z425" s="376"/>
    </row>
    <row r="426">
      <c r="A426" s="376"/>
      <c r="B426" s="376"/>
      <c r="C426" s="376"/>
      <c r="D426" s="376"/>
      <c r="E426" s="376"/>
      <c r="F426" s="376"/>
      <c r="G426" s="376"/>
      <c r="H426" s="376"/>
      <c r="I426" s="376"/>
      <c r="J426" s="376"/>
      <c r="K426" s="376"/>
      <c r="L426" s="376"/>
      <c r="M426" s="376"/>
      <c r="N426" s="376"/>
      <c r="O426" s="376"/>
      <c r="P426" s="376"/>
      <c r="Q426" s="376"/>
      <c r="R426" s="376"/>
      <c r="S426" s="376"/>
      <c r="T426" s="376"/>
      <c r="U426" s="376"/>
      <c r="V426" s="376"/>
      <c r="W426" s="376"/>
      <c r="X426" s="376"/>
      <c r="Y426" s="376"/>
      <c r="Z426" s="376"/>
    </row>
    <row r="427">
      <c r="A427" s="376"/>
      <c r="B427" s="376"/>
      <c r="C427" s="376"/>
      <c r="D427" s="376"/>
      <c r="E427" s="376"/>
      <c r="F427" s="376"/>
      <c r="G427" s="376"/>
      <c r="H427" s="376"/>
      <c r="I427" s="376"/>
      <c r="J427" s="376"/>
      <c r="K427" s="376"/>
      <c r="L427" s="376"/>
      <c r="M427" s="376"/>
      <c r="N427" s="376"/>
      <c r="O427" s="376"/>
      <c r="P427" s="376"/>
      <c r="Q427" s="376"/>
      <c r="R427" s="376"/>
      <c r="S427" s="376"/>
      <c r="T427" s="376"/>
      <c r="U427" s="376"/>
      <c r="V427" s="376"/>
      <c r="W427" s="376"/>
      <c r="X427" s="376"/>
      <c r="Y427" s="376"/>
      <c r="Z427" s="376"/>
    </row>
    <row r="428">
      <c r="A428" s="376"/>
      <c r="B428" s="376"/>
      <c r="C428" s="376"/>
      <c r="D428" s="376"/>
      <c r="E428" s="376"/>
      <c r="F428" s="376"/>
      <c r="G428" s="376"/>
      <c r="H428" s="376"/>
      <c r="I428" s="376"/>
      <c r="J428" s="376"/>
      <c r="K428" s="376"/>
      <c r="L428" s="376"/>
      <c r="M428" s="376"/>
      <c r="N428" s="376"/>
      <c r="O428" s="376"/>
      <c r="P428" s="376"/>
      <c r="Q428" s="376"/>
      <c r="R428" s="376"/>
      <c r="S428" s="376"/>
      <c r="T428" s="376"/>
      <c r="U428" s="376"/>
      <c r="V428" s="376"/>
      <c r="W428" s="376"/>
      <c r="X428" s="376"/>
      <c r="Y428" s="376"/>
      <c r="Z428" s="376"/>
    </row>
    <row r="429">
      <c r="A429" s="376"/>
      <c r="B429" s="376"/>
      <c r="C429" s="376"/>
      <c r="D429" s="376"/>
      <c r="E429" s="376"/>
      <c r="F429" s="376"/>
      <c r="G429" s="376"/>
      <c r="H429" s="376"/>
      <c r="I429" s="376"/>
      <c r="J429" s="376"/>
      <c r="K429" s="376"/>
      <c r="L429" s="376"/>
      <c r="M429" s="376"/>
      <c r="N429" s="376"/>
      <c r="O429" s="376"/>
      <c r="P429" s="376"/>
      <c r="Q429" s="376"/>
      <c r="R429" s="376"/>
      <c r="S429" s="376"/>
      <c r="T429" s="376"/>
      <c r="U429" s="376"/>
      <c r="V429" s="376"/>
      <c r="W429" s="376"/>
      <c r="X429" s="376"/>
      <c r="Y429" s="376"/>
      <c r="Z429" s="376"/>
    </row>
    <row r="430">
      <c r="A430" s="376"/>
      <c r="B430" s="376"/>
      <c r="C430" s="376"/>
      <c r="D430" s="376"/>
      <c r="E430" s="376"/>
      <c r="F430" s="376"/>
      <c r="G430" s="376"/>
      <c r="H430" s="376"/>
      <c r="I430" s="376"/>
      <c r="J430" s="376"/>
      <c r="K430" s="376"/>
      <c r="L430" s="376"/>
      <c r="M430" s="376"/>
      <c r="N430" s="376"/>
      <c r="O430" s="376"/>
      <c r="P430" s="376"/>
      <c r="Q430" s="376"/>
      <c r="R430" s="376"/>
      <c r="S430" s="376"/>
      <c r="T430" s="376"/>
      <c r="U430" s="376"/>
      <c r="V430" s="376"/>
      <c r="W430" s="376"/>
      <c r="X430" s="376"/>
      <c r="Y430" s="376"/>
      <c r="Z430" s="376"/>
    </row>
    <row r="431">
      <c r="A431" s="376"/>
      <c r="B431" s="376"/>
      <c r="C431" s="376"/>
      <c r="D431" s="376"/>
      <c r="E431" s="376"/>
      <c r="F431" s="376"/>
      <c r="G431" s="376"/>
      <c r="H431" s="376"/>
      <c r="I431" s="376"/>
      <c r="J431" s="376"/>
      <c r="K431" s="376"/>
      <c r="L431" s="376"/>
      <c r="M431" s="376"/>
      <c r="N431" s="376"/>
      <c r="O431" s="376"/>
      <c r="P431" s="376"/>
      <c r="Q431" s="376"/>
      <c r="R431" s="376"/>
      <c r="S431" s="376"/>
      <c r="T431" s="376"/>
      <c r="U431" s="376"/>
      <c r="V431" s="376"/>
      <c r="W431" s="376"/>
      <c r="X431" s="376"/>
      <c r="Y431" s="376"/>
      <c r="Z431" s="376"/>
    </row>
    <row r="432">
      <c r="A432" s="376"/>
      <c r="B432" s="376"/>
      <c r="C432" s="376"/>
      <c r="D432" s="376"/>
      <c r="E432" s="376"/>
      <c r="F432" s="376"/>
      <c r="G432" s="376"/>
      <c r="H432" s="376"/>
      <c r="I432" s="376"/>
      <c r="J432" s="376"/>
      <c r="K432" s="376"/>
      <c r="L432" s="376"/>
      <c r="M432" s="376"/>
      <c r="N432" s="376"/>
      <c r="O432" s="376"/>
      <c r="P432" s="376"/>
      <c r="Q432" s="376"/>
      <c r="R432" s="376"/>
      <c r="S432" s="376"/>
      <c r="T432" s="376"/>
      <c r="U432" s="376"/>
      <c r="V432" s="376"/>
      <c r="W432" s="376"/>
      <c r="X432" s="376"/>
      <c r="Y432" s="376"/>
      <c r="Z432" s="376"/>
    </row>
    <row r="433">
      <c r="A433" s="376"/>
      <c r="B433" s="376"/>
      <c r="C433" s="376"/>
      <c r="D433" s="376"/>
      <c r="E433" s="376"/>
      <c r="F433" s="376"/>
      <c r="G433" s="376"/>
      <c r="H433" s="376"/>
      <c r="I433" s="376"/>
      <c r="J433" s="376"/>
      <c r="K433" s="376"/>
      <c r="L433" s="376"/>
      <c r="M433" s="376"/>
      <c r="N433" s="376"/>
      <c r="O433" s="376"/>
      <c r="P433" s="376"/>
      <c r="Q433" s="376"/>
      <c r="R433" s="376"/>
      <c r="S433" s="376"/>
      <c r="T433" s="376"/>
      <c r="U433" s="376"/>
      <c r="V433" s="376"/>
      <c r="W433" s="376"/>
      <c r="X433" s="376"/>
      <c r="Y433" s="376"/>
      <c r="Z433" s="376"/>
    </row>
    <row r="434">
      <c r="A434" s="376"/>
      <c r="B434" s="376"/>
      <c r="C434" s="376"/>
      <c r="D434" s="376"/>
      <c r="E434" s="376"/>
      <c r="F434" s="376"/>
      <c r="G434" s="376"/>
      <c r="H434" s="376"/>
      <c r="I434" s="376"/>
      <c r="J434" s="376"/>
      <c r="K434" s="376"/>
      <c r="L434" s="376"/>
      <c r="M434" s="376"/>
      <c r="N434" s="376"/>
      <c r="O434" s="376"/>
      <c r="P434" s="376"/>
      <c r="Q434" s="376"/>
      <c r="R434" s="376"/>
      <c r="S434" s="376"/>
      <c r="T434" s="376"/>
      <c r="U434" s="376"/>
      <c r="V434" s="376"/>
      <c r="W434" s="376"/>
      <c r="X434" s="376"/>
      <c r="Y434" s="376"/>
      <c r="Z434" s="376"/>
    </row>
    <row r="435">
      <c r="A435" s="376"/>
      <c r="B435" s="376"/>
      <c r="C435" s="376"/>
      <c r="D435" s="376"/>
      <c r="E435" s="376"/>
      <c r="F435" s="376"/>
      <c r="G435" s="376"/>
      <c r="H435" s="376"/>
      <c r="I435" s="376"/>
      <c r="J435" s="376"/>
      <c r="K435" s="376"/>
      <c r="L435" s="376"/>
      <c r="M435" s="376"/>
      <c r="N435" s="376"/>
      <c r="O435" s="376"/>
      <c r="P435" s="376"/>
      <c r="Q435" s="376"/>
      <c r="R435" s="376"/>
      <c r="S435" s="376"/>
      <c r="T435" s="376"/>
      <c r="U435" s="376"/>
      <c r="V435" s="376"/>
      <c r="W435" s="376"/>
      <c r="X435" s="376"/>
      <c r="Y435" s="376"/>
      <c r="Z435" s="376"/>
    </row>
    <row r="436">
      <c r="A436" s="376"/>
      <c r="B436" s="376"/>
      <c r="C436" s="376"/>
      <c r="D436" s="376"/>
      <c r="E436" s="376"/>
      <c r="F436" s="376"/>
      <c r="G436" s="376"/>
      <c r="H436" s="376"/>
      <c r="I436" s="376"/>
      <c r="J436" s="376"/>
      <c r="K436" s="376"/>
      <c r="L436" s="376"/>
      <c r="M436" s="376"/>
      <c r="N436" s="376"/>
      <c r="O436" s="376"/>
      <c r="P436" s="376"/>
      <c r="Q436" s="376"/>
      <c r="R436" s="376"/>
      <c r="S436" s="376"/>
      <c r="T436" s="376"/>
      <c r="U436" s="376"/>
      <c r="V436" s="376"/>
      <c r="W436" s="376"/>
      <c r="X436" s="376"/>
      <c r="Y436" s="376"/>
      <c r="Z436" s="376"/>
    </row>
    <row r="437">
      <c r="A437" s="376"/>
      <c r="B437" s="376"/>
      <c r="C437" s="376"/>
      <c r="D437" s="376"/>
      <c r="E437" s="376"/>
      <c r="F437" s="376"/>
      <c r="G437" s="376"/>
      <c r="H437" s="376"/>
      <c r="I437" s="376"/>
      <c r="J437" s="376"/>
      <c r="K437" s="376"/>
      <c r="L437" s="376"/>
      <c r="M437" s="376"/>
      <c r="N437" s="376"/>
      <c r="O437" s="376"/>
      <c r="P437" s="376"/>
      <c r="Q437" s="376"/>
      <c r="R437" s="376"/>
      <c r="S437" s="376"/>
      <c r="T437" s="376"/>
      <c r="U437" s="376"/>
      <c r="V437" s="376"/>
      <c r="W437" s="376"/>
      <c r="X437" s="376"/>
      <c r="Y437" s="376"/>
      <c r="Z437" s="376"/>
    </row>
    <row r="438">
      <c r="A438" s="376"/>
      <c r="B438" s="376"/>
      <c r="C438" s="376"/>
      <c r="D438" s="376"/>
      <c r="E438" s="376"/>
      <c r="F438" s="376"/>
      <c r="G438" s="376"/>
      <c r="H438" s="376"/>
      <c r="I438" s="376"/>
      <c r="J438" s="376"/>
      <c r="K438" s="376"/>
      <c r="L438" s="376"/>
      <c r="M438" s="376"/>
      <c r="N438" s="376"/>
      <c r="O438" s="376"/>
      <c r="P438" s="376"/>
      <c r="Q438" s="376"/>
      <c r="R438" s="376"/>
      <c r="S438" s="376"/>
      <c r="T438" s="376"/>
      <c r="U438" s="376"/>
      <c r="V438" s="376"/>
      <c r="W438" s="376"/>
      <c r="X438" s="376"/>
      <c r="Y438" s="376"/>
      <c r="Z438" s="376"/>
    </row>
    <row r="439">
      <c r="A439" s="376"/>
      <c r="B439" s="376"/>
      <c r="C439" s="376"/>
      <c r="D439" s="376"/>
      <c r="E439" s="376"/>
      <c r="F439" s="376"/>
      <c r="G439" s="376"/>
      <c r="H439" s="376"/>
      <c r="I439" s="376"/>
      <c r="J439" s="376"/>
      <c r="K439" s="376"/>
      <c r="L439" s="376"/>
      <c r="M439" s="376"/>
      <c r="N439" s="376"/>
      <c r="O439" s="376"/>
      <c r="P439" s="376"/>
      <c r="Q439" s="376"/>
      <c r="R439" s="376"/>
      <c r="S439" s="376"/>
      <c r="T439" s="376"/>
      <c r="U439" s="376"/>
      <c r="V439" s="376"/>
      <c r="W439" s="376"/>
      <c r="X439" s="376"/>
      <c r="Y439" s="376"/>
      <c r="Z439" s="376"/>
    </row>
    <row r="440">
      <c r="A440" s="376"/>
      <c r="B440" s="376"/>
      <c r="C440" s="376"/>
      <c r="D440" s="376"/>
      <c r="E440" s="376"/>
      <c r="F440" s="376"/>
      <c r="G440" s="376"/>
      <c r="H440" s="376"/>
      <c r="I440" s="376"/>
      <c r="J440" s="376"/>
      <c r="K440" s="376"/>
      <c r="L440" s="376"/>
      <c r="M440" s="376"/>
      <c r="N440" s="376"/>
      <c r="O440" s="376"/>
      <c r="P440" s="376"/>
      <c r="Q440" s="376"/>
      <c r="R440" s="376"/>
      <c r="S440" s="376"/>
      <c r="T440" s="376"/>
      <c r="U440" s="376"/>
      <c r="V440" s="376"/>
      <c r="W440" s="376"/>
      <c r="X440" s="376"/>
      <c r="Y440" s="376"/>
      <c r="Z440" s="376"/>
    </row>
    <row r="441">
      <c r="A441" s="376"/>
      <c r="B441" s="376"/>
      <c r="C441" s="376"/>
      <c r="D441" s="376"/>
      <c r="E441" s="376"/>
      <c r="F441" s="376"/>
      <c r="G441" s="376"/>
      <c r="H441" s="376"/>
      <c r="I441" s="376"/>
      <c r="J441" s="376"/>
      <c r="K441" s="376"/>
      <c r="L441" s="376"/>
      <c r="M441" s="376"/>
      <c r="N441" s="376"/>
      <c r="O441" s="376"/>
      <c r="P441" s="376"/>
      <c r="Q441" s="376"/>
      <c r="R441" s="376"/>
      <c r="S441" s="376"/>
      <c r="T441" s="376"/>
      <c r="U441" s="376"/>
      <c r="V441" s="376"/>
      <c r="W441" s="376"/>
      <c r="X441" s="376"/>
      <c r="Y441" s="376"/>
      <c r="Z441" s="376"/>
    </row>
    <row r="442">
      <c r="A442" s="376"/>
      <c r="B442" s="376"/>
      <c r="C442" s="376"/>
      <c r="D442" s="376"/>
      <c r="E442" s="376"/>
      <c r="F442" s="376"/>
      <c r="G442" s="376"/>
      <c r="H442" s="376"/>
      <c r="I442" s="376"/>
      <c r="J442" s="376"/>
      <c r="K442" s="376"/>
      <c r="L442" s="376"/>
      <c r="M442" s="376"/>
      <c r="N442" s="376"/>
      <c r="O442" s="376"/>
      <c r="P442" s="376"/>
      <c r="Q442" s="376"/>
      <c r="R442" s="376"/>
      <c r="S442" s="376"/>
      <c r="T442" s="376"/>
      <c r="U442" s="376"/>
      <c r="V442" s="376"/>
      <c r="W442" s="376"/>
      <c r="X442" s="376"/>
      <c r="Y442" s="376"/>
      <c r="Z442" s="376"/>
    </row>
    <row r="443">
      <c r="A443" s="376"/>
      <c r="B443" s="376"/>
      <c r="C443" s="376"/>
      <c r="D443" s="376"/>
      <c r="E443" s="376"/>
      <c r="F443" s="376"/>
      <c r="G443" s="376"/>
      <c r="H443" s="376"/>
      <c r="I443" s="376"/>
      <c r="J443" s="376"/>
      <c r="K443" s="376"/>
      <c r="L443" s="376"/>
      <c r="M443" s="376"/>
      <c r="N443" s="376"/>
      <c r="O443" s="376"/>
      <c r="P443" s="376"/>
      <c r="Q443" s="376"/>
      <c r="R443" s="376"/>
      <c r="S443" s="376"/>
      <c r="T443" s="376"/>
      <c r="U443" s="376"/>
      <c r="V443" s="376"/>
      <c r="W443" s="376"/>
      <c r="X443" s="376"/>
      <c r="Y443" s="376"/>
      <c r="Z443" s="376"/>
    </row>
    <row r="444">
      <c r="A444" s="376"/>
      <c r="B444" s="376"/>
      <c r="C444" s="376"/>
      <c r="D444" s="376"/>
      <c r="E444" s="376"/>
      <c r="F444" s="376"/>
      <c r="G444" s="376"/>
      <c r="H444" s="376"/>
      <c r="I444" s="376"/>
      <c r="J444" s="376"/>
      <c r="K444" s="376"/>
      <c r="L444" s="376"/>
      <c r="M444" s="376"/>
      <c r="N444" s="376"/>
      <c r="O444" s="376"/>
      <c r="P444" s="376"/>
      <c r="Q444" s="376"/>
      <c r="R444" s="376"/>
      <c r="S444" s="376"/>
      <c r="T444" s="376"/>
      <c r="U444" s="376"/>
      <c r="V444" s="376"/>
      <c r="W444" s="376"/>
      <c r="X444" s="376"/>
      <c r="Y444" s="376"/>
      <c r="Z444" s="376"/>
    </row>
    <row r="445">
      <c r="A445" s="376"/>
      <c r="B445" s="376"/>
      <c r="C445" s="376"/>
      <c r="D445" s="376"/>
      <c r="E445" s="376"/>
      <c r="F445" s="376"/>
      <c r="G445" s="376"/>
      <c r="H445" s="376"/>
      <c r="I445" s="376"/>
      <c r="J445" s="376"/>
      <c r="K445" s="376"/>
      <c r="L445" s="376"/>
      <c r="M445" s="376"/>
      <c r="N445" s="376"/>
      <c r="O445" s="376"/>
      <c r="P445" s="376"/>
      <c r="Q445" s="376"/>
      <c r="R445" s="376"/>
      <c r="S445" s="376"/>
      <c r="T445" s="376"/>
      <c r="U445" s="376"/>
      <c r="V445" s="376"/>
      <c r="W445" s="376"/>
      <c r="X445" s="376"/>
      <c r="Y445" s="376"/>
      <c r="Z445" s="376"/>
    </row>
    <row r="446">
      <c r="A446" s="376"/>
      <c r="B446" s="376"/>
      <c r="C446" s="376"/>
      <c r="D446" s="376"/>
      <c r="E446" s="376"/>
      <c r="F446" s="376"/>
      <c r="G446" s="376"/>
      <c r="H446" s="376"/>
      <c r="I446" s="376"/>
      <c r="J446" s="376"/>
      <c r="K446" s="376"/>
      <c r="L446" s="376"/>
      <c r="M446" s="376"/>
      <c r="N446" s="376"/>
      <c r="O446" s="376"/>
      <c r="P446" s="376"/>
      <c r="Q446" s="376"/>
      <c r="R446" s="376"/>
      <c r="S446" s="376"/>
      <c r="T446" s="376"/>
      <c r="U446" s="376"/>
      <c r="V446" s="376"/>
      <c r="W446" s="376"/>
      <c r="X446" s="376"/>
      <c r="Y446" s="376"/>
      <c r="Z446" s="376"/>
    </row>
    <row r="447">
      <c r="A447" s="376"/>
      <c r="B447" s="376"/>
      <c r="C447" s="376"/>
      <c r="D447" s="376"/>
      <c r="E447" s="376"/>
      <c r="F447" s="376"/>
      <c r="G447" s="376"/>
      <c r="H447" s="376"/>
      <c r="I447" s="376"/>
      <c r="J447" s="376"/>
      <c r="K447" s="376"/>
      <c r="L447" s="376"/>
      <c r="M447" s="376"/>
      <c r="N447" s="376"/>
      <c r="O447" s="376"/>
      <c r="P447" s="376"/>
      <c r="Q447" s="376"/>
      <c r="R447" s="376"/>
      <c r="S447" s="376"/>
      <c r="T447" s="376"/>
      <c r="U447" s="376"/>
      <c r="V447" s="376"/>
      <c r="W447" s="376"/>
      <c r="X447" s="376"/>
      <c r="Y447" s="376"/>
      <c r="Z447" s="376"/>
    </row>
    <row r="448">
      <c r="A448" s="376"/>
      <c r="B448" s="376"/>
      <c r="C448" s="376"/>
      <c r="D448" s="376"/>
      <c r="E448" s="376"/>
      <c r="F448" s="376"/>
      <c r="G448" s="376"/>
      <c r="H448" s="376"/>
      <c r="I448" s="376"/>
      <c r="J448" s="376"/>
      <c r="K448" s="376"/>
      <c r="L448" s="376"/>
      <c r="M448" s="376"/>
      <c r="N448" s="376"/>
      <c r="O448" s="376"/>
      <c r="P448" s="376"/>
      <c r="Q448" s="376"/>
      <c r="R448" s="376"/>
      <c r="S448" s="376"/>
      <c r="T448" s="376"/>
      <c r="U448" s="376"/>
      <c r="V448" s="376"/>
      <c r="W448" s="376"/>
      <c r="X448" s="376"/>
      <c r="Y448" s="376"/>
      <c r="Z448" s="376"/>
    </row>
    <row r="449">
      <c r="A449" s="376"/>
      <c r="B449" s="376"/>
      <c r="C449" s="376"/>
      <c r="D449" s="376"/>
      <c r="E449" s="376"/>
      <c r="F449" s="376"/>
      <c r="G449" s="376"/>
      <c r="H449" s="376"/>
      <c r="I449" s="376"/>
      <c r="J449" s="376"/>
      <c r="K449" s="376"/>
      <c r="L449" s="376"/>
      <c r="M449" s="376"/>
      <c r="N449" s="376"/>
      <c r="O449" s="376"/>
      <c r="P449" s="376"/>
      <c r="Q449" s="376"/>
      <c r="R449" s="376"/>
      <c r="S449" s="376"/>
      <c r="T449" s="376"/>
      <c r="U449" s="376"/>
      <c r="V449" s="376"/>
      <c r="W449" s="376"/>
      <c r="X449" s="376"/>
      <c r="Y449" s="376"/>
      <c r="Z449" s="376"/>
    </row>
    <row r="450">
      <c r="A450" s="376"/>
      <c r="B450" s="376"/>
      <c r="C450" s="376"/>
      <c r="D450" s="376"/>
      <c r="E450" s="376"/>
      <c r="F450" s="376"/>
      <c r="G450" s="376"/>
      <c r="H450" s="376"/>
      <c r="I450" s="376"/>
      <c r="J450" s="376"/>
      <c r="K450" s="376"/>
      <c r="L450" s="376"/>
      <c r="M450" s="376"/>
      <c r="N450" s="376"/>
      <c r="O450" s="376"/>
      <c r="P450" s="376"/>
      <c r="Q450" s="376"/>
      <c r="R450" s="376"/>
      <c r="S450" s="376"/>
      <c r="T450" s="376"/>
      <c r="U450" s="376"/>
      <c r="V450" s="376"/>
      <c r="W450" s="376"/>
      <c r="X450" s="376"/>
      <c r="Y450" s="376"/>
      <c r="Z450" s="376"/>
    </row>
    <row r="451">
      <c r="A451" s="376"/>
      <c r="B451" s="376"/>
      <c r="C451" s="376"/>
      <c r="D451" s="376"/>
      <c r="E451" s="376"/>
      <c r="F451" s="376"/>
      <c r="G451" s="376"/>
      <c r="H451" s="376"/>
      <c r="I451" s="376"/>
      <c r="J451" s="376"/>
      <c r="K451" s="376"/>
      <c r="L451" s="376"/>
      <c r="M451" s="376"/>
      <c r="N451" s="376"/>
      <c r="O451" s="376"/>
      <c r="P451" s="376"/>
      <c r="Q451" s="376"/>
      <c r="R451" s="376"/>
      <c r="S451" s="376"/>
      <c r="T451" s="376"/>
      <c r="U451" s="376"/>
      <c r="V451" s="376"/>
      <c r="W451" s="376"/>
      <c r="X451" s="376"/>
      <c r="Y451" s="376"/>
      <c r="Z451" s="376"/>
    </row>
    <row r="452">
      <c r="A452" s="376"/>
      <c r="B452" s="376"/>
      <c r="C452" s="376"/>
      <c r="D452" s="376"/>
      <c r="E452" s="376"/>
      <c r="F452" s="376"/>
      <c r="G452" s="376"/>
      <c r="H452" s="376"/>
      <c r="I452" s="376"/>
      <c r="J452" s="376"/>
      <c r="K452" s="376"/>
      <c r="L452" s="376"/>
      <c r="M452" s="376"/>
      <c r="N452" s="376"/>
      <c r="O452" s="376"/>
      <c r="P452" s="376"/>
      <c r="Q452" s="376"/>
      <c r="R452" s="376"/>
      <c r="S452" s="376"/>
      <c r="T452" s="376"/>
      <c r="U452" s="376"/>
      <c r="V452" s="376"/>
      <c r="W452" s="376"/>
      <c r="X452" s="376"/>
      <c r="Y452" s="376"/>
      <c r="Z452" s="376"/>
    </row>
    <row r="453">
      <c r="A453" s="376"/>
      <c r="B453" s="376"/>
      <c r="C453" s="376"/>
      <c r="D453" s="376"/>
      <c r="E453" s="376"/>
      <c r="F453" s="376"/>
      <c r="G453" s="376"/>
      <c r="H453" s="376"/>
      <c r="I453" s="376"/>
      <c r="J453" s="376"/>
      <c r="K453" s="376"/>
      <c r="L453" s="376"/>
      <c r="M453" s="376"/>
      <c r="N453" s="376"/>
      <c r="O453" s="376"/>
      <c r="P453" s="376"/>
      <c r="Q453" s="376"/>
      <c r="R453" s="376"/>
      <c r="S453" s="376"/>
      <c r="T453" s="376"/>
      <c r="U453" s="376"/>
      <c r="V453" s="376"/>
      <c r="W453" s="376"/>
      <c r="X453" s="376"/>
      <c r="Y453" s="376"/>
      <c r="Z453" s="376"/>
    </row>
    <row r="454">
      <c r="A454" s="376"/>
      <c r="B454" s="376"/>
      <c r="C454" s="376"/>
      <c r="D454" s="376"/>
      <c r="E454" s="376"/>
      <c r="F454" s="376"/>
      <c r="G454" s="376"/>
      <c r="H454" s="376"/>
      <c r="I454" s="376"/>
      <c r="J454" s="376"/>
      <c r="K454" s="376"/>
      <c r="L454" s="376"/>
      <c r="M454" s="376"/>
      <c r="N454" s="376"/>
      <c r="O454" s="376"/>
      <c r="P454" s="376"/>
      <c r="Q454" s="376"/>
      <c r="R454" s="376"/>
      <c r="S454" s="376"/>
      <c r="T454" s="376"/>
      <c r="U454" s="376"/>
      <c r="V454" s="376"/>
      <c r="W454" s="376"/>
      <c r="X454" s="376"/>
      <c r="Y454" s="376"/>
      <c r="Z454" s="376"/>
    </row>
    <row r="455">
      <c r="A455" s="376"/>
      <c r="B455" s="376"/>
      <c r="C455" s="376"/>
      <c r="D455" s="376"/>
      <c r="E455" s="376"/>
      <c r="F455" s="376"/>
      <c r="G455" s="376"/>
      <c r="H455" s="376"/>
      <c r="I455" s="376"/>
      <c r="J455" s="376"/>
      <c r="K455" s="376"/>
      <c r="L455" s="376"/>
      <c r="M455" s="376"/>
      <c r="N455" s="376"/>
      <c r="O455" s="376"/>
      <c r="P455" s="376"/>
      <c r="Q455" s="376"/>
      <c r="R455" s="376"/>
      <c r="S455" s="376"/>
      <c r="T455" s="376"/>
      <c r="U455" s="376"/>
      <c r="V455" s="376"/>
      <c r="W455" s="376"/>
      <c r="X455" s="376"/>
      <c r="Y455" s="376"/>
      <c r="Z455" s="376"/>
    </row>
    <row r="456">
      <c r="A456" s="376"/>
      <c r="B456" s="376"/>
      <c r="C456" s="376"/>
      <c r="D456" s="376"/>
      <c r="E456" s="376"/>
      <c r="F456" s="376"/>
      <c r="G456" s="376"/>
      <c r="H456" s="376"/>
      <c r="I456" s="376"/>
      <c r="J456" s="376"/>
      <c r="K456" s="376"/>
      <c r="L456" s="376"/>
      <c r="M456" s="376"/>
      <c r="N456" s="376"/>
      <c r="O456" s="376"/>
      <c r="P456" s="376"/>
      <c r="Q456" s="376"/>
      <c r="R456" s="376"/>
      <c r="S456" s="376"/>
      <c r="T456" s="376"/>
      <c r="U456" s="376"/>
      <c r="V456" s="376"/>
      <c r="W456" s="376"/>
      <c r="X456" s="376"/>
      <c r="Y456" s="376"/>
      <c r="Z456" s="376"/>
    </row>
    <row r="457">
      <c r="A457" s="376"/>
      <c r="B457" s="376"/>
      <c r="C457" s="376"/>
      <c r="D457" s="376"/>
      <c r="E457" s="376"/>
      <c r="F457" s="376"/>
      <c r="G457" s="376"/>
      <c r="H457" s="376"/>
      <c r="I457" s="376"/>
      <c r="J457" s="376"/>
      <c r="K457" s="376"/>
      <c r="L457" s="376"/>
      <c r="M457" s="376"/>
      <c r="N457" s="376"/>
      <c r="O457" s="376"/>
      <c r="P457" s="376"/>
      <c r="Q457" s="376"/>
      <c r="R457" s="376"/>
      <c r="S457" s="376"/>
      <c r="T457" s="376"/>
      <c r="U457" s="376"/>
      <c r="V457" s="376"/>
      <c r="W457" s="376"/>
      <c r="X457" s="376"/>
      <c r="Y457" s="376"/>
      <c r="Z457" s="376"/>
    </row>
    <row r="458">
      <c r="A458" s="376"/>
      <c r="B458" s="376"/>
      <c r="C458" s="376"/>
      <c r="D458" s="376"/>
      <c r="E458" s="376"/>
      <c r="F458" s="376"/>
      <c r="G458" s="376"/>
      <c r="H458" s="376"/>
      <c r="I458" s="376"/>
      <c r="J458" s="376"/>
      <c r="K458" s="376"/>
      <c r="L458" s="376"/>
      <c r="M458" s="376"/>
      <c r="N458" s="376"/>
      <c r="O458" s="376"/>
      <c r="P458" s="376"/>
      <c r="Q458" s="376"/>
      <c r="R458" s="376"/>
      <c r="S458" s="376"/>
      <c r="T458" s="376"/>
      <c r="U458" s="376"/>
      <c r="V458" s="376"/>
      <c r="W458" s="376"/>
      <c r="X458" s="376"/>
      <c r="Y458" s="376"/>
      <c r="Z458" s="376"/>
    </row>
    <row r="459">
      <c r="A459" s="376"/>
      <c r="B459" s="376"/>
      <c r="C459" s="376"/>
      <c r="D459" s="376"/>
      <c r="E459" s="376"/>
      <c r="F459" s="376"/>
      <c r="G459" s="376"/>
      <c r="H459" s="376"/>
      <c r="I459" s="376"/>
      <c r="J459" s="376"/>
      <c r="K459" s="376"/>
      <c r="L459" s="376"/>
      <c r="M459" s="376"/>
      <c r="N459" s="376"/>
      <c r="O459" s="376"/>
      <c r="P459" s="376"/>
      <c r="Q459" s="376"/>
      <c r="R459" s="376"/>
      <c r="S459" s="376"/>
      <c r="T459" s="376"/>
      <c r="U459" s="376"/>
      <c r="V459" s="376"/>
      <c r="W459" s="376"/>
      <c r="X459" s="376"/>
      <c r="Y459" s="376"/>
      <c r="Z459" s="376"/>
    </row>
    <row r="460">
      <c r="A460" s="376"/>
      <c r="B460" s="376"/>
      <c r="C460" s="376"/>
      <c r="D460" s="376"/>
      <c r="E460" s="376"/>
      <c r="F460" s="376"/>
      <c r="G460" s="376"/>
      <c r="H460" s="376"/>
      <c r="I460" s="376"/>
      <c r="J460" s="376"/>
      <c r="K460" s="376"/>
      <c r="L460" s="376"/>
      <c r="M460" s="376"/>
      <c r="N460" s="376"/>
      <c r="O460" s="376"/>
      <c r="P460" s="376"/>
      <c r="Q460" s="376"/>
      <c r="R460" s="376"/>
      <c r="S460" s="376"/>
      <c r="T460" s="376"/>
      <c r="U460" s="376"/>
      <c r="V460" s="376"/>
      <c r="W460" s="376"/>
      <c r="X460" s="376"/>
      <c r="Y460" s="376"/>
      <c r="Z460" s="376"/>
    </row>
    <row r="461">
      <c r="A461" s="376"/>
      <c r="B461" s="376"/>
      <c r="C461" s="376"/>
      <c r="D461" s="376"/>
      <c r="E461" s="376"/>
      <c r="F461" s="376"/>
      <c r="G461" s="376"/>
      <c r="H461" s="376"/>
      <c r="I461" s="376"/>
      <c r="J461" s="376"/>
      <c r="K461" s="376"/>
      <c r="L461" s="376"/>
      <c r="M461" s="376"/>
      <c r="N461" s="376"/>
      <c r="O461" s="376"/>
      <c r="P461" s="376"/>
      <c r="Q461" s="376"/>
      <c r="R461" s="376"/>
      <c r="S461" s="376"/>
      <c r="T461" s="376"/>
      <c r="U461" s="376"/>
      <c r="V461" s="376"/>
      <c r="W461" s="376"/>
      <c r="X461" s="376"/>
      <c r="Y461" s="376"/>
      <c r="Z461" s="376"/>
    </row>
    <row r="462">
      <c r="A462" s="376"/>
      <c r="B462" s="376"/>
      <c r="C462" s="376"/>
      <c r="D462" s="376"/>
      <c r="E462" s="376"/>
      <c r="F462" s="376"/>
      <c r="G462" s="376"/>
      <c r="H462" s="376"/>
      <c r="I462" s="376"/>
      <c r="J462" s="376"/>
      <c r="K462" s="376"/>
      <c r="L462" s="376"/>
      <c r="M462" s="376"/>
      <c r="N462" s="376"/>
      <c r="O462" s="376"/>
      <c r="P462" s="376"/>
      <c r="Q462" s="376"/>
      <c r="R462" s="376"/>
      <c r="S462" s="376"/>
      <c r="T462" s="376"/>
      <c r="U462" s="376"/>
      <c r="V462" s="376"/>
      <c r="W462" s="376"/>
      <c r="X462" s="376"/>
      <c r="Y462" s="376"/>
      <c r="Z462" s="376"/>
    </row>
    <row r="463">
      <c r="A463" s="376"/>
      <c r="B463" s="376"/>
      <c r="C463" s="376"/>
      <c r="D463" s="376"/>
      <c r="E463" s="376"/>
      <c r="F463" s="376"/>
      <c r="G463" s="376"/>
      <c r="H463" s="376"/>
      <c r="I463" s="376"/>
      <c r="J463" s="376"/>
      <c r="K463" s="376"/>
      <c r="L463" s="376"/>
      <c r="M463" s="376"/>
      <c r="N463" s="376"/>
      <c r="O463" s="376"/>
      <c r="P463" s="376"/>
      <c r="Q463" s="376"/>
      <c r="R463" s="376"/>
      <c r="S463" s="376"/>
      <c r="T463" s="376"/>
      <c r="U463" s="376"/>
      <c r="V463" s="376"/>
      <c r="W463" s="376"/>
      <c r="X463" s="376"/>
      <c r="Y463" s="376"/>
      <c r="Z463" s="376"/>
    </row>
    <row r="464">
      <c r="A464" s="376"/>
      <c r="B464" s="376"/>
      <c r="C464" s="376"/>
      <c r="D464" s="376"/>
      <c r="E464" s="376"/>
      <c r="F464" s="376"/>
      <c r="G464" s="376"/>
      <c r="H464" s="376"/>
      <c r="I464" s="376"/>
      <c r="J464" s="376"/>
      <c r="K464" s="376"/>
      <c r="L464" s="376"/>
      <c r="M464" s="376"/>
      <c r="N464" s="376"/>
      <c r="O464" s="376"/>
      <c r="P464" s="376"/>
      <c r="Q464" s="376"/>
      <c r="R464" s="376"/>
      <c r="S464" s="376"/>
      <c r="T464" s="376"/>
      <c r="U464" s="376"/>
      <c r="V464" s="376"/>
      <c r="W464" s="376"/>
      <c r="X464" s="376"/>
      <c r="Y464" s="376"/>
      <c r="Z464" s="376"/>
    </row>
    <row r="465">
      <c r="A465" s="376"/>
      <c r="B465" s="376"/>
      <c r="C465" s="376"/>
      <c r="D465" s="376"/>
      <c r="E465" s="376"/>
      <c r="F465" s="376"/>
      <c r="G465" s="376"/>
      <c r="H465" s="376"/>
      <c r="I465" s="376"/>
      <c r="J465" s="376"/>
      <c r="K465" s="376"/>
      <c r="L465" s="376"/>
      <c r="M465" s="376"/>
      <c r="N465" s="376"/>
      <c r="O465" s="376"/>
      <c r="P465" s="376"/>
      <c r="Q465" s="376"/>
      <c r="R465" s="376"/>
      <c r="S465" s="376"/>
      <c r="T465" s="376"/>
      <c r="U465" s="376"/>
      <c r="V465" s="376"/>
      <c r="W465" s="376"/>
      <c r="X465" s="376"/>
      <c r="Y465" s="376"/>
      <c r="Z465" s="376"/>
    </row>
    <row r="466">
      <c r="A466" s="376"/>
      <c r="B466" s="376"/>
      <c r="C466" s="376"/>
      <c r="D466" s="376"/>
      <c r="E466" s="376"/>
      <c r="F466" s="376"/>
      <c r="G466" s="376"/>
      <c r="H466" s="376"/>
      <c r="I466" s="376"/>
      <c r="J466" s="376"/>
      <c r="K466" s="376"/>
      <c r="L466" s="376"/>
      <c r="M466" s="376"/>
      <c r="N466" s="376"/>
      <c r="O466" s="376"/>
      <c r="P466" s="376"/>
      <c r="Q466" s="376"/>
      <c r="R466" s="376"/>
      <c r="S466" s="376"/>
      <c r="T466" s="376"/>
      <c r="U466" s="376"/>
      <c r="V466" s="376"/>
      <c r="W466" s="376"/>
      <c r="X466" s="376"/>
      <c r="Y466" s="376"/>
      <c r="Z466" s="376"/>
    </row>
    <row r="467">
      <c r="A467" s="376"/>
      <c r="B467" s="376"/>
      <c r="C467" s="376"/>
      <c r="D467" s="376"/>
      <c r="E467" s="376"/>
      <c r="F467" s="376"/>
      <c r="G467" s="376"/>
      <c r="H467" s="376"/>
      <c r="I467" s="376"/>
      <c r="J467" s="376"/>
      <c r="K467" s="376"/>
      <c r="L467" s="376"/>
      <c r="M467" s="376"/>
      <c r="N467" s="376"/>
      <c r="O467" s="376"/>
      <c r="P467" s="376"/>
      <c r="Q467" s="376"/>
      <c r="R467" s="376"/>
      <c r="S467" s="376"/>
      <c r="T467" s="376"/>
      <c r="U467" s="376"/>
      <c r="V467" s="376"/>
      <c r="W467" s="376"/>
      <c r="X467" s="376"/>
      <c r="Y467" s="376"/>
      <c r="Z467" s="376"/>
    </row>
    <row r="468">
      <c r="A468" s="376"/>
      <c r="B468" s="376"/>
      <c r="C468" s="376"/>
      <c r="D468" s="376"/>
      <c r="E468" s="376"/>
      <c r="F468" s="376"/>
      <c r="G468" s="376"/>
      <c r="H468" s="376"/>
      <c r="I468" s="376"/>
      <c r="J468" s="376"/>
      <c r="K468" s="376"/>
      <c r="L468" s="376"/>
      <c r="M468" s="376"/>
      <c r="N468" s="376"/>
      <c r="O468" s="376"/>
      <c r="P468" s="376"/>
      <c r="Q468" s="376"/>
      <c r="R468" s="376"/>
      <c r="S468" s="376"/>
      <c r="T468" s="376"/>
      <c r="U468" s="376"/>
      <c r="V468" s="376"/>
      <c r="W468" s="376"/>
      <c r="X468" s="376"/>
      <c r="Y468" s="376"/>
      <c r="Z468" s="376"/>
    </row>
    <row r="469">
      <c r="A469" s="376"/>
      <c r="B469" s="376"/>
      <c r="C469" s="376"/>
      <c r="D469" s="376"/>
      <c r="E469" s="376"/>
      <c r="F469" s="376"/>
      <c r="G469" s="376"/>
      <c r="H469" s="376"/>
      <c r="I469" s="376"/>
      <c r="J469" s="376"/>
      <c r="K469" s="376"/>
      <c r="L469" s="376"/>
      <c r="M469" s="376"/>
      <c r="N469" s="376"/>
      <c r="O469" s="376"/>
      <c r="P469" s="376"/>
      <c r="Q469" s="376"/>
      <c r="R469" s="376"/>
      <c r="S469" s="376"/>
      <c r="T469" s="376"/>
      <c r="U469" s="376"/>
      <c r="V469" s="376"/>
      <c r="W469" s="376"/>
      <c r="X469" s="376"/>
      <c r="Y469" s="376"/>
      <c r="Z469" s="376"/>
    </row>
    <row r="470">
      <c r="A470" s="376"/>
      <c r="B470" s="376"/>
      <c r="C470" s="376"/>
      <c r="D470" s="376"/>
      <c r="E470" s="376"/>
      <c r="F470" s="376"/>
      <c r="G470" s="376"/>
      <c r="H470" s="376"/>
      <c r="I470" s="376"/>
      <c r="J470" s="376"/>
      <c r="K470" s="376"/>
      <c r="L470" s="376"/>
      <c r="M470" s="376"/>
      <c r="N470" s="376"/>
      <c r="O470" s="376"/>
      <c r="P470" s="376"/>
      <c r="Q470" s="376"/>
      <c r="R470" s="376"/>
      <c r="S470" s="376"/>
      <c r="T470" s="376"/>
      <c r="U470" s="376"/>
      <c r="V470" s="376"/>
      <c r="W470" s="376"/>
      <c r="X470" s="376"/>
      <c r="Y470" s="376"/>
      <c r="Z470" s="376"/>
    </row>
    <row r="471">
      <c r="A471" s="376"/>
      <c r="B471" s="376"/>
      <c r="C471" s="376"/>
      <c r="D471" s="376"/>
      <c r="E471" s="376"/>
      <c r="F471" s="376"/>
      <c r="G471" s="376"/>
      <c r="H471" s="376"/>
      <c r="I471" s="376"/>
      <c r="J471" s="376"/>
      <c r="K471" s="376"/>
      <c r="L471" s="376"/>
      <c r="M471" s="376"/>
      <c r="N471" s="376"/>
      <c r="O471" s="376"/>
      <c r="P471" s="376"/>
      <c r="Q471" s="376"/>
      <c r="R471" s="376"/>
      <c r="S471" s="376"/>
      <c r="T471" s="376"/>
      <c r="U471" s="376"/>
      <c r="V471" s="376"/>
      <c r="W471" s="376"/>
      <c r="X471" s="376"/>
      <c r="Y471" s="376"/>
      <c r="Z471" s="376"/>
    </row>
    <row r="472">
      <c r="A472" s="376"/>
      <c r="B472" s="376"/>
      <c r="C472" s="376"/>
      <c r="D472" s="376"/>
      <c r="E472" s="376"/>
      <c r="F472" s="376"/>
      <c r="G472" s="376"/>
      <c r="H472" s="376"/>
      <c r="I472" s="376"/>
      <c r="J472" s="376"/>
      <c r="K472" s="376"/>
      <c r="L472" s="376"/>
      <c r="M472" s="376"/>
      <c r="N472" s="376"/>
      <c r="O472" s="376"/>
      <c r="P472" s="376"/>
      <c r="Q472" s="376"/>
      <c r="R472" s="376"/>
      <c r="S472" s="376"/>
      <c r="T472" s="376"/>
      <c r="U472" s="376"/>
      <c r="V472" s="376"/>
      <c r="W472" s="376"/>
      <c r="X472" s="376"/>
      <c r="Y472" s="376"/>
      <c r="Z472" s="376"/>
    </row>
    <row r="473">
      <c r="A473" s="376"/>
      <c r="B473" s="376"/>
      <c r="C473" s="376"/>
      <c r="D473" s="376"/>
      <c r="E473" s="376"/>
      <c r="F473" s="376"/>
      <c r="G473" s="376"/>
      <c r="H473" s="376"/>
      <c r="I473" s="376"/>
      <c r="J473" s="376"/>
      <c r="K473" s="376"/>
      <c r="L473" s="376"/>
      <c r="M473" s="376"/>
      <c r="N473" s="376"/>
      <c r="O473" s="376"/>
      <c r="P473" s="376"/>
      <c r="Q473" s="376"/>
      <c r="R473" s="376"/>
      <c r="S473" s="376"/>
      <c r="T473" s="376"/>
      <c r="U473" s="376"/>
      <c r="V473" s="376"/>
      <c r="W473" s="376"/>
      <c r="X473" s="376"/>
      <c r="Y473" s="376"/>
      <c r="Z473" s="376"/>
    </row>
    <row r="474">
      <c r="A474" s="376"/>
      <c r="B474" s="376"/>
      <c r="C474" s="376"/>
      <c r="D474" s="376"/>
      <c r="E474" s="376"/>
      <c r="F474" s="376"/>
      <c r="G474" s="376"/>
      <c r="H474" s="376"/>
      <c r="I474" s="376"/>
      <c r="J474" s="376"/>
      <c r="K474" s="376"/>
      <c r="L474" s="376"/>
      <c r="M474" s="376"/>
      <c r="N474" s="376"/>
      <c r="O474" s="376"/>
      <c r="P474" s="376"/>
      <c r="Q474" s="376"/>
      <c r="R474" s="376"/>
      <c r="S474" s="376"/>
      <c r="T474" s="376"/>
      <c r="U474" s="376"/>
      <c r="V474" s="376"/>
      <c r="W474" s="376"/>
      <c r="X474" s="376"/>
      <c r="Y474" s="376"/>
      <c r="Z474" s="376"/>
    </row>
    <row r="475">
      <c r="A475" s="376"/>
      <c r="B475" s="376"/>
      <c r="C475" s="376"/>
      <c r="D475" s="376"/>
      <c r="E475" s="376"/>
      <c r="F475" s="376"/>
      <c r="G475" s="376"/>
      <c r="H475" s="376"/>
      <c r="I475" s="376"/>
      <c r="J475" s="376"/>
      <c r="K475" s="376"/>
      <c r="L475" s="376"/>
      <c r="M475" s="376"/>
      <c r="N475" s="376"/>
      <c r="O475" s="376"/>
      <c r="P475" s="376"/>
      <c r="Q475" s="376"/>
      <c r="R475" s="376"/>
      <c r="S475" s="376"/>
      <c r="T475" s="376"/>
      <c r="U475" s="376"/>
      <c r="V475" s="376"/>
      <c r="W475" s="376"/>
      <c r="X475" s="376"/>
      <c r="Y475" s="376"/>
      <c r="Z475" s="376"/>
    </row>
    <row r="476">
      <c r="A476" s="376"/>
      <c r="B476" s="376"/>
      <c r="C476" s="376"/>
      <c r="D476" s="376"/>
      <c r="E476" s="376"/>
      <c r="F476" s="376"/>
      <c r="G476" s="376"/>
      <c r="H476" s="376"/>
      <c r="I476" s="376"/>
      <c r="J476" s="376"/>
      <c r="K476" s="376"/>
      <c r="L476" s="376"/>
      <c r="M476" s="376"/>
      <c r="N476" s="376"/>
      <c r="O476" s="376"/>
      <c r="P476" s="376"/>
      <c r="Q476" s="376"/>
      <c r="R476" s="376"/>
      <c r="S476" s="376"/>
      <c r="T476" s="376"/>
      <c r="U476" s="376"/>
      <c r="V476" s="376"/>
      <c r="W476" s="376"/>
      <c r="X476" s="376"/>
      <c r="Y476" s="376"/>
      <c r="Z476" s="376"/>
    </row>
    <row r="477">
      <c r="A477" s="376"/>
      <c r="B477" s="376"/>
      <c r="C477" s="376"/>
      <c r="D477" s="376"/>
      <c r="E477" s="376"/>
      <c r="F477" s="376"/>
      <c r="G477" s="376"/>
      <c r="H477" s="376"/>
      <c r="I477" s="376"/>
      <c r="J477" s="376"/>
      <c r="K477" s="376"/>
      <c r="L477" s="376"/>
      <c r="M477" s="376"/>
      <c r="N477" s="376"/>
      <c r="O477" s="376"/>
      <c r="P477" s="376"/>
      <c r="Q477" s="376"/>
      <c r="R477" s="376"/>
      <c r="S477" s="376"/>
      <c r="T477" s="376"/>
      <c r="U477" s="376"/>
      <c r="V477" s="376"/>
      <c r="W477" s="376"/>
      <c r="X477" s="376"/>
      <c r="Y477" s="376"/>
      <c r="Z477" s="376"/>
    </row>
    <row r="478">
      <c r="A478" s="376"/>
      <c r="B478" s="376"/>
      <c r="C478" s="376"/>
      <c r="D478" s="376"/>
      <c r="E478" s="376"/>
      <c r="F478" s="376"/>
      <c r="G478" s="376"/>
      <c r="H478" s="376"/>
      <c r="I478" s="376"/>
      <c r="J478" s="376"/>
      <c r="K478" s="376"/>
      <c r="L478" s="376"/>
      <c r="M478" s="376"/>
      <c r="N478" s="376"/>
      <c r="O478" s="376"/>
      <c r="P478" s="376"/>
      <c r="Q478" s="376"/>
      <c r="R478" s="376"/>
      <c r="S478" s="376"/>
      <c r="T478" s="376"/>
      <c r="U478" s="376"/>
      <c r="V478" s="376"/>
      <c r="W478" s="376"/>
      <c r="X478" s="376"/>
      <c r="Y478" s="376"/>
      <c r="Z478" s="376"/>
    </row>
    <row r="479">
      <c r="A479" s="376"/>
      <c r="B479" s="376"/>
      <c r="C479" s="376"/>
      <c r="D479" s="376"/>
      <c r="E479" s="376"/>
      <c r="F479" s="376"/>
      <c r="G479" s="376"/>
      <c r="H479" s="376"/>
      <c r="I479" s="376"/>
      <c r="J479" s="376"/>
      <c r="K479" s="376"/>
      <c r="L479" s="376"/>
      <c r="M479" s="376"/>
      <c r="N479" s="376"/>
      <c r="O479" s="376"/>
      <c r="P479" s="376"/>
      <c r="Q479" s="376"/>
      <c r="R479" s="376"/>
      <c r="S479" s="376"/>
      <c r="T479" s="376"/>
      <c r="U479" s="376"/>
      <c r="V479" s="376"/>
      <c r="W479" s="376"/>
      <c r="X479" s="376"/>
      <c r="Y479" s="376"/>
      <c r="Z479" s="376"/>
    </row>
    <row r="480">
      <c r="A480" s="376"/>
      <c r="B480" s="376"/>
      <c r="C480" s="376"/>
      <c r="D480" s="376"/>
      <c r="E480" s="376"/>
      <c r="F480" s="376"/>
      <c r="G480" s="376"/>
      <c r="H480" s="376"/>
      <c r="I480" s="376"/>
      <c r="J480" s="376"/>
      <c r="K480" s="376"/>
      <c r="L480" s="376"/>
      <c r="M480" s="376"/>
      <c r="N480" s="376"/>
      <c r="O480" s="376"/>
      <c r="P480" s="376"/>
      <c r="Q480" s="376"/>
      <c r="R480" s="376"/>
      <c r="S480" s="376"/>
      <c r="T480" s="376"/>
      <c r="U480" s="376"/>
      <c r="V480" s="376"/>
      <c r="W480" s="376"/>
      <c r="X480" s="376"/>
      <c r="Y480" s="376"/>
      <c r="Z480" s="376"/>
    </row>
    <row r="481">
      <c r="A481" s="376"/>
      <c r="B481" s="376"/>
      <c r="C481" s="376"/>
      <c r="D481" s="376"/>
      <c r="E481" s="376"/>
      <c r="F481" s="376"/>
      <c r="G481" s="376"/>
      <c r="H481" s="376"/>
      <c r="I481" s="376"/>
      <c r="J481" s="376"/>
      <c r="K481" s="376"/>
      <c r="L481" s="376"/>
      <c r="M481" s="376"/>
      <c r="N481" s="376"/>
      <c r="O481" s="376"/>
      <c r="P481" s="376"/>
      <c r="Q481" s="376"/>
      <c r="R481" s="376"/>
      <c r="S481" s="376"/>
      <c r="T481" s="376"/>
      <c r="U481" s="376"/>
      <c r="V481" s="376"/>
      <c r="W481" s="376"/>
      <c r="X481" s="376"/>
      <c r="Y481" s="376"/>
      <c r="Z481" s="376"/>
    </row>
    <row r="482">
      <c r="A482" s="376"/>
      <c r="B482" s="376"/>
      <c r="C482" s="376"/>
      <c r="D482" s="376"/>
      <c r="E482" s="376"/>
      <c r="F482" s="376"/>
      <c r="G482" s="376"/>
      <c r="H482" s="376"/>
      <c r="I482" s="376"/>
      <c r="J482" s="376"/>
      <c r="K482" s="376"/>
      <c r="L482" s="376"/>
      <c r="M482" s="376"/>
      <c r="N482" s="376"/>
      <c r="O482" s="376"/>
      <c r="P482" s="376"/>
      <c r="Q482" s="376"/>
      <c r="R482" s="376"/>
      <c r="S482" s="376"/>
      <c r="T482" s="376"/>
      <c r="U482" s="376"/>
      <c r="V482" s="376"/>
      <c r="W482" s="376"/>
      <c r="X482" s="376"/>
      <c r="Y482" s="376"/>
      <c r="Z482" s="376"/>
    </row>
    <row r="483">
      <c r="A483" s="376"/>
      <c r="B483" s="376"/>
      <c r="C483" s="376"/>
      <c r="D483" s="376"/>
      <c r="E483" s="376"/>
      <c r="F483" s="376"/>
      <c r="G483" s="376"/>
      <c r="H483" s="376"/>
      <c r="I483" s="376"/>
      <c r="J483" s="376"/>
      <c r="K483" s="376"/>
      <c r="L483" s="376"/>
      <c r="M483" s="376"/>
      <c r="N483" s="376"/>
      <c r="O483" s="376"/>
      <c r="P483" s="376"/>
      <c r="Q483" s="376"/>
      <c r="R483" s="376"/>
      <c r="S483" s="376"/>
      <c r="T483" s="376"/>
      <c r="U483" s="376"/>
      <c r="V483" s="376"/>
      <c r="W483" s="376"/>
      <c r="X483" s="376"/>
      <c r="Y483" s="376"/>
      <c r="Z483" s="376"/>
    </row>
    <row r="484">
      <c r="A484" s="376"/>
      <c r="B484" s="376"/>
      <c r="C484" s="376"/>
      <c r="D484" s="376"/>
      <c r="E484" s="376"/>
      <c r="F484" s="376"/>
      <c r="G484" s="376"/>
      <c r="H484" s="376"/>
      <c r="I484" s="376"/>
      <c r="J484" s="376"/>
      <c r="K484" s="376"/>
      <c r="L484" s="376"/>
      <c r="M484" s="376"/>
      <c r="N484" s="376"/>
      <c r="O484" s="376"/>
      <c r="P484" s="376"/>
      <c r="Q484" s="376"/>
      <c r="R484" s="376"/>
      <c r="S484" s="376"/>
      <c r="T484" s="376"/>
      <c r="U484" s="376"/>
      <c r="V484" s="376"/>
      <c r="W484" s="376"/>
      <c r="X484" s="376"/>
      <c r="Y484" s="376"/>
      <c r="Z484" s="376"/>
    </row>
    <row r="485">
      <c r="A485" s="376"/>
      <c r="B485" s="376"/>
      <c r="C485" s="376"/>
      <c r="D485" s="376"/>
      <c r="E485" s="376"/>
      <c r="F485" s="376"/>
      <c r="G485" s="376"/>
      <c r="H485" s="376"/>
      <c r="I485" s="376"/>
      <c r="J485" s="376"/>
      <c r="K485" s="376"/>
      <c r="L485" s="376"/>
      <c r="M485" s="376"/>
      <c r="N485" s="376"/>
      <c r="O485" s="376"/>
      <c r="P485" s="376"/>
      <c r="Q485" s="376"/>
      <c r="R485" s="376"/>
      <c r="S485" s="376"/>
      <c r="T485" s="376"/>
      <c r="U485" s="376"/>
      <c r="V485" s="376"/>
      <c r="W485" s="376"/>
      <c r="X485" s="376"/>
      <c r="Y485" s="376"/>
      <c r="Z485" s="376"/>
    </row>
    <row r="486">
      <c r="A486" s="376"/>
      <c r="B486" s="376"/>
      <c r="C486" s="376"/>
      <c r="D486" s="376"/>
      <c r="E486" s="376"/>
      <c r="F486" s="376"/>
      <c r="G486" s="376"/>
      <c r="H486" s="376"/>
      <c r="I486" s="376"/>
      <c r="J486" s="376"/>
      <c r="K486" s="376"/>
      <c r="L486" s="376"/>
      <c r="M486" s="376"/>
      <c r="N486" s="376"/>
      <c r="O486" s="376"/>
      <c r="P486" s="376"/>
      <c r="Q486" s="376"/>
      <c r="R486" s="376"/>
      <c r="S486" s="376"/>
      <c r="T486" s="376"/>
      <c r="U486" s="376"/>
      <c r="V486" s="376"/>
      <c r="W486" s="376"/>
      <c r="X486" s="376"/>
      <c r="Y486" s="376"/>
      <c r="Z486" s="376"/>
    </row>
    <row r="487">
      <c r="A487" s="376"/>
      <c r="B487" s="376"/>
      <c r="C487" s="376"/>
      <c r="D487" s="376"/>
      <c r="E487" s="376"/>
      <c r="F487" s="376"/>
      <c r="G487" s="376"/>
      <c r="H487" s="376"/>
      <c r="I487" s="376"/>
      <c r="J487" s="376"/>
      <c r="K487" s="376"/>
      <c r="L487" s="376"/>
      <c r="M487" s="376"/>
      <c r="N487" s="376"/>
      <c r="O487" s="376"/>
      <c r="P487" s="376"/>
      <c r="Q487" s="376"/>
      <c r="R487" s="376"/>
      <c r="S487" s="376"/>
      <c r="T487" s="376"/>
      <c r="U487" s="376"/>
      <c r="V487" s="376"/>
      <c r="W487" s="376"/>
      <c r="X487" s="376"/>
      <c r="Y487" s="376"/>
      <c r="Z487" s="376"/>
    </row>
    <row r="488">
      <c r="A488" s="376"/>
      <c r="B488" s="376"/>
      <c r="C488" s="376"/>
      <c r="D488" s="376"/>
      <c r="E488" s="376"/>
      <c r="F488" s="376"/>
      <c r="G488" s="376"/>
      <c r="H488" s="376"/>
      <c r="I488" s="376"/>
      <c r="J488" s="376"/>
      <c r="K488" s="376"/>
      <c r="L488" s="376"/>
      <c r="M488" s="376"/>
      <c r="N488" s="376"/>
      <c r="O488" s="376"/>
      <c r="P488" s="376"/>
      <c r="Q488" s="376"/>
      <c r="R488" s="376"/>
      <c r="S488" s="376"/>
      <c r="T488" s="376"/>
      <c r="U488" s="376"/>
      <c r="V488" s="376"/>
      <c r="W488" s="376"/>
      <c r="X488" s="376"/>
      <c r="Y488" s="376"/>
      <c r="Z488" s="376"/>
    </row>
    <row r="489">
      <c r="A489" s="376"/>
      <c r="B489" s="376"/>
      <c r="C489" s="376"/>
      <c r="D489" s="376"/>
      <c r="E489" s="376"/>
      <c r="F489" s="376"/>
      <c r="G489" s="376"/>
      <c r="H489" s="376"/>
      <c r="I489" s="376"/>
      <c r="J489" s="376"/>
      <c r="K489" s="376"/>
      <c r="L489" s="376"/>
      <c r="M489" s="376"/>
      <c r="N489" s="376"/>
      <c r="O489" s="376"/>
      <c r="P489" s="376"/>
      <c r="Q489" s="376"/>
      <c r="R489" s="376"/>
      <c r="S489" s="376"/>
      <c r="T489" s="376"/>
      <c r="U489" s="376"/>
      <c r="V489" s="376"/>
      <c r="W489" s="376"/>
      <c r="X489" s="376"/>
      <c r="Y489" s="376"/>
      <c r="Z489" s="376"/>
    </row>
    <row r="490">
      <c r="A490" s="376"/>
      <c r="B490" s="376"/>
      <c r="C490" s="376"/>
      <c r="D490" s="376"/>
      <c r="E490" s="376"/>
      <c r="F490" s="376"/>
      <c r="G490" s="376"/>
      <c r="H490" s="376"/>
      <c r="I490" s="376"/>
      <c r="J490" s="376"/>
      <c r="K490" s="376"/>
      <c r="L490" s="376"/>
      <c r="M490" s="376"/>
      <c r="N490" s="376"/>
      <c r="O490" s="376"/>
      <c r="P490" s="376"/>
      <c r="Q490" s="376"/>
      <c r="R490" s="376"/>
      <c r="S490" s="376"/>
      <c r="T490" s="376"/>
      <c r="U490" s="376"/>
      <c r="V490" s="376"/>
      <c r="W490" s="376"/>
      <c r="X490" s="376"/>
      <c r="Y490" s="376"/>
      <c r="Z490" s="376"/>
    </row>
    <row r="491">
      <c r="A491" s="376"/>
      <c r="B491" s="376"/>
      <c r="C491" s="376"/>
      <c r="D491" s="376"/>
      <c r="E491" s="376"/>
      <c r="F491" s="376"/>
      <c r="G491" s="376"/>
      <c r="H491" s="376"/>
      <c r="I491" s="376"/>
      <c r="J491" s="376"/>
      <c r="K491" s="376"/>
      <c r="L491" s="376"/>
      <c r="M491" s="376"/>
      <c r="N491" s="376"/>
      <c r="O491" s="376"/>
      <c r="P491" s="376"/>
      <c r="Q491" s="376"/>
      <c r="R491" s="376"/>
      <c r="S491" s="376"/>
      <c r="T491" s="376"/>
      <c r="U491" s="376"/>
      <c r="V491" s="376"/>
      <c r="W491" s="376"/>
      <c r="X491" s="376"/>
      <c r="Y491" s="376"/>
      <c r="Z491" s="376"/>
    </row>
    <row r="492">
      <c r="A492" s="376"/>
      <c r="B492" s="376"/>
      <c r="C492" s="376"/>
      <c r="D492" s="376"/>
      <c r="E492" s="376"/>
      <c r="F492" s="376"/>
      <c r="G492" s="376"/>
      <c r="H492" s="376"/>
      <c r="I492" s="376"/>
      <c r="J492" s="376"/>
      <c r="K492" s="376"/>
      <c r="L492" s="376"/>
      <c r="M492" s="376"/>
      <c r="N492" s="376"/>
      <c r="O492" s="376"/>
      <c r="P492" s="376"/>
      <c r="Q492" s="376"/>
      <c r="R492" s="376"/>
      <c r="S492" s="376"/>
      <c r="T492" s="376"/>
      <c r="U492" s="376"/>
      <c r="V492" s="376"/>
      <c r="W492" s="376"/>
      <c r="X492" s="376"/>
      <c r="Y492" s="376"/>
      <c r="Z492" s="376"/>
    </row>
    <row r="493">
      <c r="A493" s="376"/>
      <c r="B493" s="376"/>
      <c r="C493" s="376"/>
      <c r="D493" s="376"/>
      <c r="E493" s="376"/>
      <c r="F493" s="376"/>
      <c r="G493" s="376"/>
      <c r="H493" s="376"/>
      <c r="I493" s="376"/>
      <c r="J493" s="376"/>
      <c r="K493" s="376"/>
      <c r="L493" s="376"/>
      <c r="M493" s="376"/>
      <c r="N493" s="376"/>
      <c r="O493" s="376"/>
      <c r="P493" s="376"/>
      <c r="Q493" s="376"/>
      <c r="R493" s="376"/>
      <c r="S493" s="376"/>
      <c r="T493" s="376"/>
      <c r="U493" s="376"/>
      <c r="V493" s="376"/>
      <c r="W493" s="376"/>
      <c r="X493" s="376"/>
      <c r="Y493" s="376"/>
      <c r="Z493" s="376"/>
    </row>
    <row r="494">
      <c r="A494" s="376"/>
      <c r="B494" s="376"/>
      <c r="C494" s="376"/>
      <c r="D494" s="376"/>
      <c r="E494" s="376"/>
      <c r="F494" s="376"/>
      <c r="G494" s="376"/>
      <c r="H494" s="376"/>
      <c r="I494" s="376"/>
      <c r="J494" s="376"/>
      <c r="K494" s="376"/>
      <c r="L494" s="376"/>
      <c r="M494" s="376"/>
      <c r="N494" s="376"/>
      <c r="O494" s="376"/>
      <c r="P494" s="376"/>
      <c r="Q494" s="376"/>
      <c r="R494" s="376"/>
      <c r="S494" s="376"/>
      <c r="T494" s="376"/>
      <c r="U494" s="376"/>
      <c r="V494" s="376"/>
      <c r="W494" s="376"/>
      <c r="X494" s="376"/>
      <c r="Y494" s="376"/>
      <c r="Z494" s="376"/>
    </row>
    <row r="495">
      <c r="A495" s="376"/>
      <c r="B495" s="376"/>
      <c r="C495" s="376"/>
      <c r="D495" s="376"/>
      <c r="E495" s="376"/>
      <c r="F495" s="376"/>
      <c r="G495" s="376"/>
      <c r="H495" s="376"/>
      <c r="I495" s="376"/>
      <c r="J495" s="376"/>
      <c r="K495" s="376"/>
      <c r="L495" s="376"/>
      <c r="M495" s="376"/>
      <c r="N495" s="376"/>
      <c r="O495" s="376"/>
      <c r="P495" s="376"/>
      <c r="Q495" s="376"/>
      <c r="R495" s="376"/>
      <c r="S495" s="376"/>
      <c r="T495" s="376"/>
      <c r="U495" s="376"/>
      <c r="V495" s="376"/>
      <c r="W495" s="376"/>
      <c r="X495" s="376"/>
      <c r="Y495" s="376"/>
      <c r="Z495" s="376"/>
    </row>
    <row r="496">
      <c r="A496" s="376"/>
      <c r="B496" s="376"/>
      <c r="C496" s="376"/>
      <c r="D496" s="376"/>
      <c r="E496" s="376"/>
      <c r="F496" s="376"/>
      <c r="G496" s="376"/>
      <c r="H496" s="376"/>
      <c r="I496" s="376"/>
      <c r="J496" s="376"/>
      <c r="K496" s="376"/>
      <c r="L496" s="376"/>
      <c r="M496" s="376"/>
      <c r="N496" s="376"/>
      <c r="O496" s="376"/>
      <c r="P496" s="376"/>
      <c r="Q496" s="376"/>
      <c r="R496" s="376"/>
      <c r="S496" s="376"/>
      <c r="T496" s="376"/>
      <c r="U496" s="376"/>
      <c r="V496" s="376"/>
      <c r="W496" s="376"/>
      <c r="X496" s="376"/>
      <c r="Y496" s="376"/>
      <c r="Z496" s="376"/>
    </row>
    <row r="497">
      <c r="A497" s="376"/>
      <c r="B497" s="376"/>
      <c r="C497" s="376"/>
      <c r="D497" s="376"/>
      <c r="E497" s="376"/>
      <c r="F497" s="376"/>
      <c r="G497" s="376"/>
      <c r="H497" s="376"/>
      <c r="I497" s="376"/>
      <c r="J497" s="376"/>
      <c r="K497" s="376"/>
      <c r="L497" s="376"/>
      <c r="M497" s="376"/>
      <c r="N497" s="376"/>
      <c r="O497" s="376"/>
      <c r="P497" s="376"/>
      <c r="Q497" s="376"/>
      <c r="R497" s="376"/>
      <c r="S497" s="376"/>
      <c r="T497" s="376"/>
      <c r="U497" s="376"/>
      <c r="V497" s="376"/>
      <c r="W497" s="376"/>
      <c r="X497" s="376"/>
      <c r="Y497" s="376"/>
      <c r="Z497" s="376"/>
    </row>
    <row r="498">
      <c r="A498" s="376"/>
      <c r="B498" s="376"/>
      <c r="C498" s="376"/>
      <c r="D498" s="376"/>
      <c r="E498" s="376"/>
      <c r="F498" s="376"/>
      <c r="G498" s="376"/>
      <c r="H498" s="376"/>
      <c r="I498" s="376"/>
      <c r="J498" s="376"/>
      <c r="K498" s="376"/>
      <c r="L498" s="376"/>
      <c r="M498" s="376"/>
      <c r="N498" s="376"/>
      <c r="O498" s="376"/>
      <c r="P498" s="376"/>
      <c r="Q498" s="376"/>
      <c r="R498" s="376"/>
      <c r="S498" s="376"/>
      <c r="T498" s="376"/>
      <c r="U498" s="376"/>
      <c r="V498" s="376"/>
      <c r="W498" s="376"/>
      <c r="X498" s="376"/>
      <c r="Y498" s="376"/>
      <c r="Z498" s="376"/>
    </row>
    <row r="499">
      <c r="A499" s="376"/>
      <c r="B499" s="376"/>
      <c r="C499" s="376"/>
      <c r="D499" s="376"/>
      <c r="E499" s="376"/>
      <c r="F499" s="376"/>
      <c r="G499" s="376"/>
      <c r="H499" s="376"/>
      <c r="I499" s="376"/>
      <c r="J499" s="376"/>
      <c r="K499" s="376"/>
      <c r="L499" s="376"/>
      <c r="M499" s="376"/>
      <c r="N499" s="376"/>
      <c r="O499" s="376"/>
      <c r="P499" s="376"/>
      <c r="Q499" s="376"/>
      <c r="R499" s="376"/>
      <c r="S499" s="376"/>
      <c r="T499" s="376"/>
      <c r="U499" s="376"/>
      <c r="V499" s="376"/>
      <c r="W499" s="376"/>
      <c r="X499" s="376"/>
      <c r="Y499" s="376"/>
      <c r="Z499" s="376"/>
    </row>
    <row r="500">
      <c r="A500" s="376"/>
      <c r="B500" s="376"/>
      <c r="C500" s="376"/>
      <c r="D500" s="376"/>
      <c r="E500" s="376"/>
      <c r="F500" s="376"/>
      <c r="G500" s="376"/>
      <c r="H500" s="376"/>
      <c r="I500" s="376"/>
      <c r="J500" s="376"/>
      <c r="K500" s="376"/>
      <c r="L500" s="376"/>
      <c r="M500" s="376"/>
      <c r="N500" s="376"/>
      <c r="O500" s="376"/>
      <c r="P500" s="376"/>
      <c r="Q500" s="376"/>
      <c r="R500" s="376"/>
      <c r="S500" s="376"/>
      <c r="T500" s="376"/>
      <c r="U500" s="376"/>
      <c r="V500" s="376"/>
      <c r="W500" s="376"/>
      <c r="X500" s="376"/>
      <c r="Y500" s="376"/>
      <c r="Z500" s="376"/>
    </row>
    <row r="501">
      <c r="A501" s="376"/>
      <c r="B501" s="376"/>
      <c r="C501" s="376"/>
      <c r="D501" s="376"/>
      <c r="E501" s="376"/>
      <c r="F501" s="376"/>
      <c r="G501" s="376"/>
      <c r="H501" s="376"/>
      <c r="I501" s="376"/>
      <c r="J501" s="376"/>
      <c r="K501" s="376"/>
      <c r="L501" s="376"/>
      <c r="M501" s="376"/>
      <c r="N501" s="376"/>
      <c r="O501" s="376"/>
      <c r="P501" s="376"/>
      <c r="Q501" s="376"/>
      <c r="R501" s="376"/>
      <c r="S501" s="376"/>
      <c r="T501" s="376"/>
      <c r="U501" s="376"/>
      <c r="V501" s="376"/>
      <c r="W501" s="376"/>
      <c r="X501" s="376"/>
      <c r="Y501" s="376"/>
      <c r="Z501" s="376"/>
    </row>
    <row r="502">
      <c r="A502" s="376"/>
      <c r="B502" s="376"/>
      <c r="C502" s="376"/>
      <c r="D502" s="376"/>
      <c r="E502" s="376"/>
      <c r="F502" s="376"/>
      <c r="G502" s="376"/>
      <c r="H502" s="376"/>
      <c r="I502" s="376"/>
      <c r="J502" s="376"/>
      <c r="K502" s="376"/>
      <c r="L502" s="376"/>
      <c r="M502" s="376"/>
      <c r="N502" s="376"/>
      <c r="O502" s="376"/>
      <c r="P502" s="376"/>
      <c r="Q502" s="376"/>
      <c r="R502" s="376"/>
      <c r="S502" s="376"/>
      <c r="T502" s="376"/>
      <c r="U502" s="376"/>
      <c r="V502" s="376"/>
      <c r="W502" s="376"/>
      <c r="X502" s="376"/>
      <c r="Y502" s="376"/>
      <c r="Z502" s="376"/>
    </row>
    <row r="503">
      <c r="A503" s="376"/>
      <c r="B503" s="376"/>
      <c r="C503" s="376"/>
      <c r="D503" s="376"/>
      <c r="E503" s="376"/>
      <c r="F503" s="376"/>
      <c r="G503" s="376"/>
      <c r="H503" s="376"/>
      <c r="I503" s="376"/>
      <c r="J503" s="376"/>
      <c r="K503" s="376"/>
      <c r="L503" s="376"/>
      <c r="M503" s="376"/>
      <c r="N503" s="376"/>
      <c r="O503" s="376"/>
      <c r="P503" s="376"/>
      <c r="Q503" s="376"/>
      <c r="R503" s="376"/>
      <c r="S503" s="376"/>
      <c r="T503" s="376"/>
      <c r="U503" s="376"/>
      <c r="V503" s="376"/>
      <c r="W503" s="376"/>
      <c r="X503" s="376"/>
      <c r="Y503" s="376"/>
      <c r="Z503" s="376"/>
    </row>
    <row r="504">
      <c r="A504" s="376"/>
      <c r="B504" s="376"/>
      <c r="C504" s="376"/>
      <c r="D504" s="376"/>
      <c r="E504" s="376"/>
      <c r="F504" s="376"/>
      <c r="G504" s="376"/>
      <c r="H504" s="376"/>
      <c r="I504" s="376"/>
      <c r="J504" s="376"/>
      <c r="K504" s="376"/>
      <c r="L504" s="376"/>
      <c r="M504" s="376"/>
      <c r="N504" s="376"/>
      <c r="O504" s="376"/>
      <c r="P504" s="376"/>
      <c r="Q504" s="376"/>
      <c r="R504" s="376"/>
      <c r="S504" s="376"/>
      <c r="T504" s="376"/>
      <c r="U504" s="376"/>
      <c r="V504" s="376"/>
      <c r="W504" s="376"/>
      <c r="X504" s="376"/>
      <c r="Y504" s="376"/>
      <c r="Z504" s="376"/>
    </row>
    <row r="505">
      <c r="A505" s="376"/>
      <c r="B505" s="376"/>
      <c r="C505" s="376"/>
      <c r="D505" s="376"/>
      <c r="E505" s="376"/>
      <c r="F505" s="376"/>
      <c r="G505" s="376"/>
      <c r="H505" s="376"/>
      <c r="I505" s="376"/>
      <c r="J505" s="376"/>
      <c r="K505" s="376"/>
      <c r="L505" s="376"/>
      <c r="M505" s="376"/>
      <c r="N505" s="376"/>
      <c r="O505" s="376"/>
      <c r="P505" s="376"/>
      <c r="Q505" s="376"/>
      <c r="R505" s="376"/>
      <c r="S505" s="376"/>
      <c r="T505" s="376"/>
      <c r="U505" s="376"/>
      <c r="V505" s="376"/>
      <c r="W505" s="376"/>
      <c r="X505" s="376"/>
      <c r="Y505" s="376"/>
      <c r="Z505" s="376"/>
    </row>
    <row r="506">
      <c r="A506" s="376"/>
      <c r="B506" s="376"/>
      <c r="C506" s="376"/>
      <c r="D506" s="376"/>
      <c r="E506" s="376"/>
      <c r="F506" s="376"/>
      <c r="G506" s="376"/>
      <c r="H506" s="376"/>
      <c r="I506" s="376"/>
      <c r="J506" s="376"/>
      <c r="K506" s="376"/>
      <c r="L506" s="376"/>
      <c r="M506" s="376"/>
      <c r="N506" s="376"/>
      <c r="O506" s="376"/>
      <c r="P506" s="376"/>
      <c r="Q506" s="376"/>
      <c r="R506" s="376"/>
      <c r="S506" s="376"/>
      <c r="T506" s="376"/>
      <c r="U506" s="376"/>
      <c r="V506" s="376"/>
      <c r="W506" s="376"/>
      <c r="X506" s="376"/>
      <c r="Y506" s="376"/>
      <c r="Z506" s="376"/>
    </row>
    <row r="507">
      <c r="A507" s="376"/>
      <c r="B507" s="376"/>
      <c r="C507" s="376"/>
      <c r="D507" s="376"/>
      <c r="E507" s="376"/>
      <c r="F507" s="376"/>
      <c r="G507" s="376"/>
      <c r="H507" s="376"/>
      <c r="I507" s="376"/>
      <c r="J507" s="376"/>
      <c r="K507" s="376"/>
      <c r="L507" s="376"/>
      <c r="M507" s="376"/>
      <c r="N507" s="376"/>
      <c r="O507" s="376"/>
      <c r="P507" s="376"/>
      <c r="Q507" s="376"/>
      <c r="R507" s="376"/>
      <c r="S507" s="376"/>
      <c r="T507" s="376"/>
      <c r="U507" s="376"/>
      <c r="V507" s="376"/>
      <c r="W507" s="376"/>
      <c r="X507" s="376"/>
      <c r="Y507" s="376"/>
      <c r="Z507" s="376"/>
    </row>
    <row r="508">
      <c r="A508" s="376"/>
      <c r="B508" s="376"/>
      <c r="C508" s="376"/>
      <c r="D508" s="376"/>
      <c r="E508" s="376"/>
      <c r="F508" s="376"/>
      <c r="G508" s="376"/>
      <c r="H508" s="376"/>
      <c r="I508" s="376"/>
      <c r="J508" s="376"/>
      <c r="K508" s="376"/>
      <c r="L508" s="376"/>
      <c r="M508" s="376"/>
      <c r="N508" s="376"/>
      <c r="O508" s="376"/>
      <c r="P508" s="376"/>
      <c r="Q508" s="376"/>
      <c r="R508" s="376"/>
      <c r="S508" s="376"/>
      <c r="T508" s="376"/>
      <c r="U508" s="376"/>
      <c r="V508" s="376"/>
      <c r="W508" s="376"/>
      <c r="X508" s="376"/>
      <c r="Y508" s="376"/>
      <c r="Z508" s="376"/>
    </row>
    <row r="509">
      <c r="A509" s="376"/>
      <c r="B509" s="376"/>
      <c r="C509" s="376"/>
      <c r="D509" s="376"/>
      <c r="E509" s="376"/>
      <c r="F509" s="376"/>
      <c r="G509" s="376"/>
      <c r="H509" s="376"/>
      <c r="I509" s="376"/>
      <c r="J509" s="376"/>
      <c r="K509" s="376"/>
      <c r="L509" s="376"/>
      <c r="M509" s="376"/>
      <c r="N509" s="376"/>
      <c r="O509" s="376"/>
      <c r="P509" s="376"/>
      <c r="Q509" s="376"/>
      <c r="R509" s="376"/>
      <c r="S509" s="376"/>
      <c r="T509" s="376"/>
      <c r="U509" s="376"/>
      <c r="V509" s="376"/>
      <c r="W509" s="376"/>
      <c r="X509" s="376"/>
      <c r="Y509" s="376"/>
      <c r="Z509" s="376"/>
    </row>
    <row r="510">
      <c r="A510" s="376"/>
      <c r="B510" s="376"/>
      <c r="C510" s="376"/>
      <c r="D510" s="376"/>
      <c r="E510" s="376"/>
      <c r="F510" s="376"/>
      <c r="G510" s="376"/>
      <c r="H510" s="376"/>
      <c r="I510" s="376"/>
      <c r="J510" s="376"/>
      <c r="K510" s="376"/>
      <c r="L510" s="376"/>
      <c r="M510" s="376"/>
      <c r="N510" s="376"/>
      <c r="O510" s="376"/>
      <c r="P510" s="376"/>
      <c r="Q510" s="376"/>
      <c r="R510" s="376"/>
      <c r="S510" s="376"/>
      <c r="T510" s="376"/>
      <c r="U510" s="376"/>
      <c r="V510" s="376"/>
      <c r="W510" s="376"/>
      <c r="X510" s="376"/>
      <c r="Y510" s="376"/>
      <c r="Z510" s="376"/>
    </row>
    <row r="511">
      <c r="A511" s="376"/>
      <c r="B511" s="376"/>
      <c r="C511" s="376"/>
      <c r="D511" s="376"/>
      <c r="E511" s="376"/>
      <c r="F511" s="376"/>
      <c r="G511" s="376"/>
      <c r="H511" s="376"/>
      <c r="I511" s="376"/>
      <c r="J511" s="376"/>
      <c r="K511" s="376"/>
      <c r="L511" s="376"/>
      <c r="M511" s="376"/>
      <c r="N511" s="376"/>
      <c r="O511" s="376"/>
      <c r="P511" s="376"/>
      <c r="Q511" s="376"/>
      <c r="R511" s="376"/>
      <c r="S511" s="376"/>
      <c r="T511" s="376"/>
      <c r="U511" s="376"/>
      <c r="V511" s="376"/>
      <c r="W511" s="376"/>
      <c r="X511" s="376"/>
      <c r="Y511" s="376"/>
      <c r="Z511" s="376"/>
    </row>
    <row r="512">
      <c r="A512" s="376"/>
      <c r="B512" s="376"/>
      <c r="C512" s="376"/>
      <c r="D512" s="376"/>
      <c r="E512" s="376"/>
      <c r="F512" s="376"/>
      <c r="G512" s="376"/>
      <c r="H512" s="376"/>
      <c r="I512" s="376"/>
      <c r="J512" s="376"/>
      <c r="K512" s="376"/>
      <c r="L512" s="376"/>
      <c r="M512" s="376"/>
      <c r="N512" s="376"/>
      <c r="O512" s="376"/>
      <c r="P512" s="376"/>
      <c r="Q512" s="376"/>
      <c r="R512" s="376"/>
      <c r="S512" s="376"/>
      <c r="T512" s="376"/>
      <c r="U512" s="376"/>
      <c r="V512" s="376"/>
      <c r="W512" s="376"/>
      <c r="X512" s="376"/>
      <c r="Y512" s="376"/>
      <c r="Z512" s="376"/>
    </row>
    <row r="513">
      <c r="A513" s="376"/>
      <c r="B513" s="376"/>
      <c r="C513" s="376"/>
      <c r="D513" s="376"/>
      <c r="E513" s="376"/>
      <c r="F513" s="376"/>
      <c r="G513" s="376"/>
      <c r="H513" s="376"/>
      <c r="I513" s="376"/>
      <c r="J513" s="376"/>
      <c r="K513" s="376"/>
      <c r="L513" s="376"/>
      <c r="M513" s="376"/>
      <c r="N513" s="376"/>
      <c r="O513" s="376"/>
      <c r="P513" s="376"/>
      <c r="Q513" s="376"/>
      <c r="R513" s="376"/>
      <c r="S513" s="376"/>
      <c r="T513" s="376"/>
      <c r="U513" s="376"/>
      <c r="V513" s="376"/>
      <c r="W513" s="376"/>
      <c r="X513" s="376"/>
      <c r="Y513" s="376"/>
      <c r="Z513" s="376"/>
    </row>
    <row r="514">
      <c r="A514" s="376"/>
      <c r="B514" s="376"/>
      <c r="C514" s="376"/>
      <c r="D514" s="376"/>
      <c r="E514" s="376"/>
      <c r="F514" s="376"/>
      <c r="G514" s="376"/>
      <c r="H514" s="376"/>
      <c r="I514" s="376"/>
      <c r="J514" s="376"/>
      <c r="K514" s="376"/>
      <c r="L514" s="376"/>
      <c r="M514" s="376"/>
      <c r="N514" s="376"/>
      <c r="O514" s="376"/>
      <c r="P514" s="376"/>
      <c r="Q514" s="376"/>
      <c r="R514" s="376"/>
      <c r="S514" s="376"/>
      <c r="T514" s="376"/>
      <c r="U514" s="376"/>
      <c r="V514" s="376"/>
      <c r="W514" s="376"/>
      <c r="X514" s="376"/>
      <c r="Y514" s="376"/>
      <c r="Z514" s="376"/>
    </row>
    <row r="515">
      <c r="A515" s="376"/>
      <c r="B515" s="376"/>
      <c r="C515" s="376"/>
      <c r="D515" s="376"/>
      <c r="E515" s="376"/>
      <c r="F515" s="376"/>
      <c r="G515" s="376"/>
      <c r="H515" s="376"/>
      <c r="I515" s="376"/>
      <c r="J515" s="376"/>
      <c r="K515" s="376"/>
      <c r="L515" s="376"/>
      <c r="M515" s="376"/>
      <c r="N515" s="376"/>
      <c r="O515" s="376"/>
      <c r="P515" s="376"/>
      <c r="Q515" s="376"/>
      <c r="R515" s="376"/>
      <c r="S515" s="376"/>
      <c r="T515" s="376"/>
      <c r="U515" s="376"/>
      <c r="V515" s="376"/>
      <c r="W515" s="376"/>
      <c r="X515" s="376"/>
      <c r="Y515" s="376"/>
      <c r="Z515" s="376"/>
    </row>
    <row r="516">
      <c r="A516" s="376"/>
      <c r="B516" s="376"/>
      <c r="C516" s="376"/>
      <c r="D516" s="376"/>
      <c r="E516" s="376"/>
      <c r="F516" s="376"/>
      <c r="G516" s="376"/>
      <c r="H516" s="376"/>
      <c r="I516" s="376"/>
      <c r="J516" s="376"/>
      <c r="K516" s="376"/>
      <c r="L516" s="376"/>
      <c r="M516" s="376"/>
      <c r="N516" s="376"/>
      <c r="O516" s="376"/>
      <c r="P516" s="376"/>
      <c r="Q516" s="376"/>
      <c r="R516" s="376"/>
      <c r="S516" s="376"/>
      <c r="T516" s="376"/>
      <c r="U516" s="376"/>
      <c r="V516" s="376"/>
      <c r="W516" s="376"/>
      <c r="X516" s="376"/>
      <c r="Y516" s="376"/>
      <c r="Z516" s="376"/>
    </row>
    <row r="517">
      <c r="A517" s="376"/>
      <c r="B517" s="376"/>
      <c r="C517" s="376"/>
      <c r="D517" s="376"/>
      <c r="E517" s="376"/>
      <c r="F517" s="376"/>
      <c r="G517" s="376"/>
      <c r="H517" s="376"/>
      <c r="I517" s="376"/>
      <c r="J517" s="376"/>
      <c r="K517" s="376"/>
      <c r="L517" s="376"/>
      <c r="M517" s="376"/>
      <c r="N517" s="376"/>
      <c r="O517" s="376"/>
      <c r="P517" s="376"/>
      <c r="Q517" s="376"/>
      <c r="R517" s="376"/>
      <c r="S517" s="376"/>
      <c r="T517" s="376"/>
      <c r="U517" s="376"/>
      <c r="V517" s="376"/>
      <c r="W517" s="376"/>
      <c r="X517" s="376"/>
      <c r="Y517" s="376"/>
      <c r="Z517" s="376"/>
    </row>
    <row r="518">
      <c r="A518" s="376"/>
      <c r="B518" s="376"/>
      <c r="C518" s="376"/>
      <c r="D518" s="376"/>
      <c r="E518" s="376"/>
      <c r="F518" s="376"/>
      <c r="G518" s="376"/>
      <c r="H518" s="376"/>
      <c r="I518" s="376"/>
      <c r="J518" s="376"/>
      <c r="K518" s="376"/>
      <c r="L518" s="376"/>
      <c r="M518" s="376"/>
      <c r="N518" s="376"/>
      <c r="O518" s="376"/>
      <c r="P518" s="376"/>
      <c r="Q518" s="376"/>
      <c r="R518" s="376"/>
      <c r="S518" s="376"/>
      <c r="T518" s="376"/>
      <c r="U518" s="376"/>
      <c r="V518" s="376"/>
      <c r="W518" s="376"/>
      <c r="X518" s="376"/>
      <c r="Y518" s="376"/>
      <c r="Z518" s="376"/>
    </row>
    <row r="519">
      <c r="A519" s="376"/>
      <c r="B519" s="376"/>
      <c r="C519" s="376"/>
      <c r="D519" s="376"/>
      <c r="E519" s="376"/>
      <c r="F519" s="376"/>
      <c r="G519" s="376"/>
      <c r="H519" s="376"/>
      <c r="I519" s="376"/>
      <c r="J519" s="376"/>
      <c r="K519" s="376"/>
      <c r="L519" s="376"/>
      <c r="M519" s="376"/>
      <c r="N519" s="376"/>
      <c r="O519" s="376"/>
      <c r="P519" s="376"/>
      <c r="Q519" s="376"/>
      <c r="R519" s="376"/>
      <c r="S519" s="376"/>
      <c r="T519" s="376"/>
      <c r="U519" s="376"/>
      <c r="V519" s="376"/>
      <c r="W519" s="376"/>
      <c r="X519" s="376"/>
      <c r="Y519" s="376"/>
      <c r="Z519" s="376"/>
    </row>
    <row r="520">
      <c r="A520" s="376"/>
      <c r="B520" s="376"/>
      <c r="C520" s="376"/>
      <c r="D520" s="376"/>
      <c r="E520" s="376"/>
      <c r="F520" s="376"/>
      <c r="G520" s="376"/>
      <c r="H520" s="376"/>
      <c r="I520" s="376"/>
      <c r="J520" s="376"/>
      <c r="K520" s="376"/>
      <c r="L520" s="376"/>
      <c r="M520" s="376"/>
      <c r="N520" s="376"/>
      <c r="O520" s="376"/>
      <c r="P520" s="376"/>
      <c r="Q520" s="376"/>
      <c r="R520" s="376"/>
      <c r="S520" s="376"/>
      <c r="T520" s="376"/>
      <c r="U520" s="376"/>
      <c r="V520" s="376"/>
      <c r="W520" s="376"/>
      <c r="X520" s="376"/>
      <c r="Y520" s="376"/>
      <c r="Z520" s="376"/>
    </row>
    <row r="521">
      <c r="A521" s="376"/>
      <c r="B521" s="376"/>
      <c r="C521" s="376"/>
      <c r="D521" s="376"/>
      <c r="E521" s="376"/>
      <c r="F521" s="376"/>
      <c r="G521" s="376"/>
      <c r="H521" s="376"/>
      <c r="I521" s="376"/>
      <c r="J521" s="376"/>
      <c r="K521" s="376"/>
      <c r="L521" s="376"/>
      <c r="M521" s="376"/>
      <c r="N521" s="376"/>
      <c r="O521" s="376"/>
      <c r="P521" s="376"/>
      <c r="Q521" s="376"/>
      <c r="R521" s="376"/>
      <c r="S521" s="376"/>
      <c r="T521" s="376"/>
      <c r="U521" s="376"/>
      <c r="V521" s="376"/>
      <c r="W521" s="376"/>
      <c r="X521" s="376"/>
      <c r="Y521" s="376"/>
      <c r="Z521" s="376"/>
    </row>
    <row r="522">
      <c r="A522" s="376"/>
      <c r="B522" s="376"/>
      <c r="C522" s="376"/>
      <c r="D522" s="376"/>
      <c r="E522" s="376"/>
      <c r="F522" s="376"/>
      <c r="G522" s="376"/>
      <c r="H522" s="376"/>
      <c r="I522" s="376"/>
      <c r="J522" s="376"/>
      <c r="K522" s="376"/>
      <c r="L522" s="376"/>
      <c r="M522" s="376"/>
      <c r="N522" s="376"/>
      <c r="O522" s="376"/>
      <c r="P522" s="376"/>
      <c r="Q522" s="376"/>
      <c r="R522" s="376"/>
      <c r="S522" s="376"/>
      <c r="T522" s="376"/>
      <c r="U522" s="376"/>
      <c r="V522" s="376"/>
      <c r="W522" s="376"/>
      <c r="X522" s="376"/>
      <c r="Y522" s="376"/>
      <c r="Z522" s="376"/>
    </row>
    <row r="523">
      <c r="A523" s="376"/>
      <c r="B523" s="376"/>
      <c r="C523" s="376"/>
      <c r="D523" s="376"/>
      <c r="E523" s="376"/>
      <c r="F523" s="376"/>
      <c r="G523" s="376"/>
      <c r="H523" s="376"/>
      <c r="I523" s="376"/>
      <c r="J523" s="376"/>
      <c r="K523" s="376"/>
      <c r="L523" s="376"/>
      <c r="M523" s="376"/>
      <c r="N523" s="376"/>
      <c r="O523" s="376"/>
      <c r="P523" s="376"/>
      <c r="Q523" s="376"/>
      <c r="R523" s="376"/>
      <c r="S523" s="376"/>
      <c r="T523" s="376"/>
      <c r="U523" s="376"/>
      <c r="V523" s="376"/>
      <c r="W523" s="376"/>
      <c r="X523" s="376"/>
      <c r="Y523" s="376"/>
      <c r="Z523" s="376"/>
    </row>
    <row r="524">
      <c r="A524" s="376"/>
      <c r="B524" s="376"/>
      <c r="C524" s="376"/>
      <c r="D524" s="376"/>
      <c r="E524" s="376"/>
      <c r="F524" s="376"/>
      <c r="G524" s="376"/>
      <c r="H524" s="376"/>
      <c r="I524" s="376"/>
      <c r="J524" s="376"/>
      <c r="K524" s="376"/>
      <c r="L524" s="376"/>
      <c r="M524" s="376"/>
      <c r="N524" s="376"/>
      <c r="O524" s="376"/>
      <c r="P524" s="376"/>
      <c r="Q524" s="376"/>
      <c r="R524" s="376"/>
      <c r="S524" s="376"/>
      <c r="T524" s="376"/>
      <c r="U524" s="376"/>
      <c r="V524" s="376"/>
      <c r="W524" s="376"/>
      <c r="X524" s="376"/>
      <c r="Y524" s="376"/>
      <c r="Z524" s="376"/>
    </row>
    <row r="525">
      <c r="A525" s="376"/>
      <c r="B525" s="376"/>
      <c r="C525" s="376"/>
      <c r="D525" s="376"/>
      <c r="E525" s="376"/>
      <c r="F525" s="376"/>
      <c r="G525" s="376"/>
      <c r="H525" s="376"/>
      <c r="I525" s="376"/>
      <c r="J525" s="376"/>
      <c r="K525" s="376"/>
      <c r="L525" s="376"/>
      <c r="M525" s="376"/>
      <c r="N525" s="376"/>
      <c r="O525" s="376"/>
      <c r="P525" s="376"/>
      <c r="Q525" s="376"/>
      <c r="R525" s="376"/>
      <c r="S525" s="376"/>
      <c r="T525" s="376"/>
      <c r="U525" s="376"/>
      <c r="V525" s="376"/>
      <c r="W525" s="376"/>
      <c r="X525" s="376"/>
      <c r="Y525" s="376"/>
      <c r="Z525" s="376"/>
    </row>
    <row r="526">
      <c r="A526" s="376"/>
      <c r="B526" s="376"/>
      <c r="C526" s="376"/>
      <c r="D526" s="376"/>
      <c r="E526" s="376"/>
      <c r="F526" s="376"/>
      <c r="G526" s="376"/>
      <c r="H526" s="376"/>
      <c r="I526" s="376"/>
      <c r="J526" s="376"/>
      <c r="K526" s="376"/>
      <c r="L526" s="376"/>
      <c r="M526" s="376"/>
      <c r="N526" s="376"/>
      <c r="O526" s="376"/>
      <c r="P526" s="376"/>
      <c r="Q526" s="376"/>
      <c r="R526" s="376"/>
      <c r="S526" s="376"/>
      <c r="T526" s="376"/>
      <c r="U526" s="376"/>
      <c r="V526" s="376"/>
      <c r="W526" s="376"/>
      <c r="X526" s="376"/>
      <c r="Y526" s="376"/>
      <c r="Z526" s="376"/>
    </row>
    <row r="527">
      <c r="A527" s="376"/>
      <c r="B527" s="376"/>
      <c r="C527" s="376"/>
      <c r="D527" s="376"/>
      <c r="E527" s="376"/>
      <c r="F527" s="376"/>
      <c r="G527" s="376"/>
      <c r="H527" s="376"/>
      <c r="I527" s="376"/>
      <c r="J527" s="376"/>
      <c r="K527" s="376"/>
      <c r="L527" s="376"/>
      <c r="M527" s="376"/>
      <c r="N527" s="376"/>
      <c r="O527" s="376"/>
      <c r="P527" s="376"/>
      <c r="Q527" s="376"/>
      <c r="R527" s="376"/>
      <c r="S527" s="376"/>
      <c r="T527" s="376"/>
      <c r="U527" s="376"/>
      <c r="V527" s="376"/>
      <c r="W527" s="376"/>
      <c r="X527" s="376"/>
      <c r="Y527" s="376"/>
      <c r="Z527" s="376"/>
    </row>
    <row r="528">
      <c r="A528" s="376"/>
      <c r="B528" s="376"/>
      <c r="C528" s="376"/>
      <c r="D528" s="376"/>
      <c r="E528" s="376"/>
      <c r="F528" s="376"/>
      <c r="G528" s="376"/>
      <c r="H528" s="376"/>
      <c r="I528" s="376"/>
      <c r="J528" s="376"/>
      <c r="K528" s="376"/>
      <c r="L528" s="376"/>
      <c r="M528" s="376"/>
      <c r="N528" s="376"/>
      <c r="O528" s="376"/>
      <c r="P528" s="376"/>
      <c r="Q528" s="376"/>
      <c r="R528" s="376"/>
      <c r="S528" s="376"/>
      <c r="T528" s="376"/>
      <c r="U528" s="376"/>
      <c r="V528" s="376"/>
      <c r="W528" s="376"/>
      <c r="X528" s="376"/>
      <c r="Y528" s="376"/>
      <c r="Z528" s="376"/>
    </row>
    <row r="529">
      <c r="A529" s="376"/>
      <c r="B529" s="376"/>
      <c r="C529" s="376"/>
      <c r="D529" s="376"/>
      <c r="E529" s="376"/>
      <c r="F529" s="376"/>
      <c r="G529" s="376"/>
      <c r="H529" s="376"/>
      <c r="I529" s="376"/>
      <c r="J529" s="376"/>
      <c r="K529" s="376"/>
      <c r="L529" s="376"/>
      <c r="M529" s="376"/>
      <c r="N529" s="376"/>
      <c r="O529" s="376"/>
      <c r="P529" s="376"/>
      <c r="Q529" s="376"/>
      <c r="R529" s="376"/>
      <c r="S529" s="376"/>
      <c r="T529" s="376"/>
      <c r="U529" s="376"/>
      <c r="V529" s="376"/>
      <c r="W529" s="376"/>
      <c r="X529" s="376"/>
      <c r="Y529" s="376"/>
      <c r="Z529" s="376"/>
    </row>
    <row r="530">
      <c r="A530" s="376"/>
      <c r="B530" s="376"/>
      <c r="C530" s="376"/>
      <c r="D530" s="376"/>
      <c r="E530" s="376"/>
      <c r="F530" s="376"/>
      <c r="G530" s="376"/>
      <c r="H530" s="376"/>
      <c r="I530" s="376"/>
      <c r="J530" s="376"/>
      <c r="K530" s="376"/>
      <c r="L530" s="376"/>
      <c r="M530" s="376"/>
      <c r="N530" s="376"/>
      <c r="O530" s="376"/>
      <c r="P530" s="376"/>
      <c r="Q530" s="376"/>
      <c r="R530" s="376"/>
      <c r="S530" s="376"/>
      <c r="T530" s="376"/>
      <c r="U530" s="376"/>
      <c r="V530" s="376"/>
      <c r="W530" s="376"/>
      <c r="X530" s="376"/>
      <c r="Y530" s="376"/>
      <c r="Z530" s="376"/>
    </row>
    <row r="531">
      <c r="A531" s="376"/>
      <c r="B531" s="376"/>
      <c r="C531" s="376"/>
      <c r="D531" s="376"/>
      <c r="E531" s="376"/>
      <c r="F531" s="376"/>
      <c r="G531" s="376"/>
      <c r="H531" s="376"/>
      <c r="I531" s="376"/>
      <c r="J531" s="376"/>
      <c r="K531" s="376"/>
      <c r="L531" s="376"/>
      <c r="M531" s="376"/>
      <c r="N531" s="376"/>
      <c r="O531" s="376"/>
      <c r="P531" s="376"/>
      <c r="Q531" s="376"/>
      <c r="R531" s="376"/>
      <c r="S531" s="376"/>
      <c r="T531" s="376"/>
      <c r="U531" s="376"/>
      <c r="V531" s="376"/>
      <c r="W531" s="376"/>
      <c r="X531" s="376"/>
      <c r="Y531" s="376"/>
      <c r="Z531" s="376"/>
    </row>
    <row r="532">
      <c r="A532" s="376"/>
      <c r="B532" s="376"/>
      <c r="C532" s="376"/>
      <c r="D532" s="376"/>
      <c r="E532" s="376"/>
      <c r="F532" s="376"/>
      <c r="G532" s="376"/>
      <c r="H532" s="376"/>
      <c r="I532" s="376"/>
      <c r="J532" s="376"/>
      <c r="K532" s="376"/>
      <c r="L532" s="376"/>
      <c r="M532" s="376"/>
      <c r="N532" s="376"/>
      <c r="O532" s="376"/>
      <c r="P532" s="376"/>
      <c r="Q532" s="376"/>
      <c r="R532" s="376"/>
      <c r="S532" s="376"/>
      <c r="T532" s="376"/>
      <c r="U532" s="376"/>
      <c r="V532" s="376"/>
      <c r="W532" s="376"/>
      <c r="X532" s="376"/>
      <c r="Y532" s="376"/>
      <c r="Z532" s="376"/>
    </row>
    <row r="533">
      <c r="A533" s="376"/>
      <c r="B533" s="376"/>
      <c r="C533" s="376"/>
      <c r="D533" s="376"/>
      <c r="E533" s="376"/>
      <c r="F533" s="376"/>
      <c r="G533" s="376"/>
      <c r="H533" s="376"/>
      <c r="I533" s="376"/>
      <c r="J533" s="376"/>
      <c r="K533" s="376"/>
      <c r="L533" s="376"/>
      <c r="M533" s="376"/>
      <c r="N533" s="376"/>
      <c r="O533" s="376"/>
      <c r="P533" s="376"/>
      <c r="Q533" s="376"/>
      <c r="R533" s="376"/>
      <c r="S533" s="376"/>
      <c r="T533" s="376"/>
      <c r="U533" s="376"/>
      <c r="V533" s="376"/>
      <c r="W533" s="376"/>
      <c r="X533" s="376"/>
      <c r="Y533" s="376"/>
      <c r="Z533" s="376"/>
    </row>
    <row r="534">
      <c r="A534" s="376"/>
      <c r="B534" s="376"/>
      <c r="C534" s="376"/>
      <c r="D534" s="376"/>
      <c r="E534" s="376"/>
      <c r="F534" s="376"/>
      <c r="G534" s="376"/>
      <c r="H534" s="376"/>
      <c r="I534" s="376"/>
      <c r="J534" s="376"/>
      <c r="K534" s="376"/>
      <c r="L534" s="376"/>
      <c r="M534" s="376"/>
      <c r="N534" s="376"/>
      <c r="O534" s="376"/>
      <c r="P534" s="376"/>
      <c r="Q534" s="376"/>
      <c r="R534" s="376"/>
      <c r="S534" s="376"/>
      <c r="T534" s="376"/>
      <c r="U534" s="376"/>
      <c r="V534" s="376"/>
      <c r="W534" s="376"/>
      <c r="X534" s="376"/>
      <c r="Y534" s="376"/>
      <c r="Z534" s="376"/>
    </row>
    <row r="535">
      <c r="A535" s="376"/>
      <c r="B535" s="376"/>
      <c r="C535" s="376"/>
      <c r="D535" s="376"/>
      <c r="E535" s="376"/>
      <c r="F535" s="376"/>
      <c r="G535" s="376"/>
      <c r="H535" s="376"/>
      <c r="I535" s="376"/>
      <c r="J535" s="376"/>
      <c r="K535" s="376"/>
      <c r="L535" s="376"/>
      <c r="M535" s="376"/>
      <c r="N535" s="376"/>
      <c r="O535" s="376"/>
      <c r="P535" s="376"/>
      <c r="Q535" s="376"/>
      <c r="R535" s="376"/>
      <c r="S535" s="376"/>
      <c r="T535" s="376"/>
      <c r="U535" s="376"/>
      <c r="V535" s="376"/>
      <c r="W535" s="376"/>
      <c r="X535" s="376"/>
      <c r="Y535" s="376"/>
      <c r="Z535" s="376"/>
    </row>
    <row r="536">
      <c r="A536" s="376"/>
      <c r="B536" s="376"/>
      <c r="C536" s="376"/>
      <c r="D536" s="376"/>
      <c r="E536" s="376"/>
      <c r="F536" s="376"/>
      <c r="G536" s="376"/>
      <c r="H536" s="376"/>
      <c r="I536" s="376"/>
      <c r="J536" s="376"/>
      <c r="K536" s="376"/>
      <c r="L536" s="376"/>
      <c r="M536" s="376"/>
      <c r="N536" s="376"/>
      <c r="O536" s="376"/>
      <c r="P536" s="376"/>
      <c r="Q536" s="376"/>
      <c r="R536" s="376"/>
      <c r="S536" s="376"/>
      <c r="T536" s="376"/>
      <c r="U536" s="376"/>
      <c r="V536" s="376"/>
      <c r="W536" s="376"/>
      <c r="X536" s="376"/>
      <c r="Y536" s="376"/>
      <c r="Z536" s="376"/>
    </row>
    <row r="537">
      <c r="A537" s="376"/>
      <c r="B537" s="376"/>
      <c r="C537" s="376"/>
      <c r="D537" s="376"/>
      <c r="E537" s="376"/>
      <c r="F537" s="376"/>
      <c r="G537" s="376"/>
      <c r="H537" s="376"/>
      <c r="I537" s="376"/>
      <c r="J537" s="376"/>
      <c r="K537" s="376"/>
      <c r="L537" s="376"/>
      <c r="M537" s="376"/>
      <c r="N537" s="376"/>
      <c r="O537" s="376"/>
      <c r="P537" s="376"/>
      <c r="Q537" s="376"/>
      <c r="R537" s="376"/>
      <c r="S537" s="376"/>
      <c r="T537" s="376"/>
      <c r="U537" s="376"/>
      <c r="V537" s="376"/>
      <c r="W537" s="376"/>
      <c r="X537" s="376"/>
      <c r="Y537" s="376"/>
      <c r="Z537" s="376"/>
    </row>
    <row r="538">
      <c r="A538" s="376"/>
      <c r="B538" s="376"/>
      <c r="C538" s="376"/>
      <c r="D538" s="376"/>
      <c r="E538" s="376"/>
      <c r="F538" s="376"/>
      <c r="G538" s="376"/>
      <c r="H538" s="376"/>
      <c r="I538" s="376"/>
      <c r="J538" s="376"/>
      <c r="K538" s="376"/>
      <c r="L538" s="376"/>
      <c r="M538" s="376"/>
      <c r="N538" s="376"/>
      <c r="O538" s="376"/>
      <c r="P538" s="376"/>
      <c r="Q538" s="376"/>
      <c r="R538" s="376"/>
      <c r="S538" s="376"/>
      <c r="T538" s="376"/>
      <c r="U538" s="376"/>
      <c r="V538" s="376"/>
      <c r="W538" s="376"/>
      <c r="X538" s="376"/>
      <c r="Y538" s="376"/>
      <c r="Z538" s="376"/>
    </row>
    <row r="539">
      <c r="A539" s="376"/>
      <c r="B539" s="376"/>
      <c r="C539" s="376"/>
      <c r="D539" s="376"/>
      <c r="E539" s="376"/>
      <c r="F539" s="376"/>
      <c r="G539" s="376"/>
      <c r="H539" s="376"/>
      <c r="I539" s="376"/>
      <c r="J539" s="376"/>
      <c r="K539" s="376"/>
      <c r="L539" s="376"/>
      <c r="M539" s="376"/>
      <c r="N539" s="376"/>
      <c r="O539" s="376"/>
      <c r="P539" s="376"/>
      <c r="Q539" s="376"/>
      <c r="R539" s="376"/>
      <c r="S539" s="376"/>
      <c r="T539" s="376"/>
      <c r="U539" s="376"/>
      <c r="V539" s="376"/>
      <c r="W539" s="376"/>
      <c r="X539" s="376"/>
      <c r="Y539" s="376"/>
      <c r="Z539" s="376"/>
    </row>
    <row r="540">
      <c r="A540" s="376"/>
      <c r="B540" s="376"/>
      <c r="C540" s="376"/>
      <c r="D540" s="376"/>
      <c r="E540" s="376"/>
      <c r="F540" s="376"/>
      <c r="G540" s="376"/>
      <c r="H540" s="376"/>
      <c r="I540" s="376"/>
      <c r="J540" s="376"/>
      <c r="K540" s="376"/>
      <c r="L540" s="376"/>
      <c r="M540" s="376"/>
      <c r="N540" s="376"/>
      <c r="O540" s="376"/>
      <c r="P540" s="376"/>
      <c r="Q540" s="376"/>
      <c r="R540" s="376"/>
      <c r="S540" s="376"/>
      <c r="T540" s="376"/>
      <c r="U540" s="376"/>
      <c r="V540" s="376"/>
      <c r="W540" s="376"/>
      <c r="X540" s="376"/>
      <c r="Y540" s="376"/>
      <c r="Z540" s="376"/>
    </row>
    <row r="541">
      <c r="A541" s="376"/>
      <c r="B541" s="376"/>
      <c r="C541" s="376"/>
      <c r="D541" s="376"/>
      <c r="E541" s="376"/>
      <c r="F541" s="376"/>
      <c r="G541" s="376"/>
      <c r="H541" s="376"/>
      <c r="I541" s="376"/>
      <c r="J541" s="376"/>
      <c r="K541" s="376"/>
      <c r="L541" s="376"/>
      <c r="M541" s="376"/>
      <c r="N541" s="376"/>
      <c r="O541" s="376"/>
      <c r="P541" s="376"/>
      <c r="Q541" s="376"/>
      <c r="R541" s="376"/>
      <c r="S541" s="376"/>
      <c r="T541" s="376"/>
      <c r="U541" s="376"/>
      <c r="V541" s="376"/>
      <c r="W541" s="376"/>
      <c r="X541" s="376"/>
      <c r="Y541" s="376"/>
      <c r="Z541" s="376"/>
    </row>
    <row r="542">
      <c r="A542" s="376"/>
      <c r="B542" s="376"/>
      <c r="C542" s="376"/>
      <c r="D542" s="376"/>
      <c r="E542" s="376"/>
      <c r="F542" s="376"/>
      <c r="G542" s="376"/>
      <c r="H542" s="376"/>
      <c r="I542" s="376"/>
      <c r="J542" s="376"/>
      <c r="K542" s="376"/>
      <c r="L542" s="376"/>
      <c r="M542" s="376"/>
      <c r="N542" s="376"/>
      <c r="O542" s="376"/>
      <c r="P542" s="376"/>
      <c r="Q542" s="376"/>
      <c r="R542" s="376"/>
      <c r="S542" s="376"/>
      <c r="T542" s="376"/>
      <c r="U542" s="376"/>
      <c r="V542" s="376"/>
      <c r="W542" s="376"/>
      <c r="X542" s="376"/>
      <c r="Y542" s="376"/>
      <c r="Z542" s="376"/>
    </row>
    <row r="543">
      <c r="A543" s="376"/>
      <c r="B543" s="376"/>
      <c r="C543" s="376"/>
      <c r="D543" s="376"/>
      <c r="E543" s="376"/>
      <c r="F543" s="376"/>
      <c r="G543" s="376"/>
      <c r="H543" s="376"/>
      <c r="I543" s="376"/>
      <c r="J543" s="376"/>
      <c r="K543" s="376"/>
      <c r="L543" s="376"/>
      <c r="M543" s="376"/>
      <c r="N543" s="376"/>
      <c r="O543" s="376"/>
      <c r="P543" s="376"/>
      <c r="Q543" s="376"/>
      <c r="R543" s="376"/>
      <c r="S543" s="376"/>
      <c r="T543" s="376"/>
      <c r="U543" s="376"/>
      <c r="V543" s="376"/>
      <c r="W543" s="376"/>
      <c r="X543" s="376"/>
      <c r="Y543" s="376"/>
      <c r="Z543" s="376"/>
    </row>
    <row r="544">
      <c r="A544" s="376"/>
      <c r="B544" s="376"/>
      <c r="C544" s="376"/>
      <c r="D544" s="376"/>
      <c r="E544" s="376"/>
      <c r="F544" s="376"/>
      <c r="G544" s="376"/>
      <c r="H544" s="376"/>
      <c r="I544" s="376"/>
      <c r="J544" s="376"/>
      <c r="K544" s="376"/>
      <c r="L544" s="376"/>
      <c r="M544" s="376"/>
      <c r="N544" s="376"/>
      <c r="O544" s="376"/>
      <c r="P544" s="376"/>
      <c r="Q544" s="376"/>
      <c r="R544" s="376"/>
      <c r="S544" s="376"/>
      <c r="T544" s="376"/>
      <c r="U544" s="376"/>
      <c r="V544" s="376"/>
      <c r="W544" s="376"/>
      <c r="X544" s="376"/>
      <c r="Y544" s="376"/>
      <c r="Z544" s="376"/>
    </row>
    <row r="545">
      <c r="A545" s="376"/>
      <c r="B545" s="376"/>
      <c r="C545" s="376"/>
      <c r="D545" s="376"/>
      <c r="E545" s="376"/>
      <c r="F545" s="376"/>
      <c r="G545" s="376"/>
      <c r="H545" s="376"/>
      <c r="I545" s="376"/>
      <c r="J545" s="376"/>
      <c r="K545" s="376"/>
      <c r="L545" s="376"/>
      <c r="M545" s="376"/>
      <c r="N545" s="376"/>
      <c r="O545" s="376"/>
      <c r="P545" s="376"/>
      <c r="Q545" s="376"/>
      <c r="R545" s="376"/>
      <c r="S545" s="376"/>
      <c r="T545" s="376"/>
      <c r="U545" s="376"/>
      <c r="V545" s="376"/>
      <c r="W545" s="376"/>
      <c r="X545" s="376"/>
      <c r="Y545" s="376"/>
      <c r="Z545" s="376"/>
    </row>
    <row r="546">
      <c r="A546" s="376"/>
      <c r="B546" s="376"/>
      <c r="C546" s="376"/>
      <c r="D546" s="376"/>
      <c r="E546" s="376"/>
      <c r="F546" s="376"/>
      <c r="G546" s="376"/>
      <c r="H546" s="376"/>
      <c r="I546" s="376"/>
      <c r="J546" s="376"/>
      <c r="K546" s="376"/>
      <c r="L546" s="376"/>
      <c r="M546" s="376"/>
      <c r="N546" s="376"/>
      <c r="O546" s="376"/>
      <c r="P546" s="376"/>
      <c r="Q546" s="376"/>
      <c r="R546" s="376"/>
      <c r="S546" s="376"/>
      <c r="T546" s="376"/>
      <c r="U546" s="376"/>
      <c r="V546" s="376"/>
      <c r="W546" s="376"/>
      <c r="X546" s="376"/>
      <c r="Y546" s="376"/>
      <c r="Z546" s="376"/>
    </row>
    <row r="547">
      <c r="A547" s="376"/>
      <c r="B547" s="376"/>
      <c r="C547" s="376"/>
      <c r="D547" s="376"/>
      <c r="E547" s="376"/>
      <c r="F547" s="376"/>
      <c r="G547" s="376"/>
      <c r="H547" s="376"/>
      <c r="I547" s="376"/>
      <c r="J547" s="376"/>
      <c r="K547" s="376"/>
      <c r="L547" s="376"/>
      <c r="M547" s="376"/>
      <c r="N547" s="376"/>
      <c r="O547" s="376"/>
      <c r="P547" s="376"/>
      <c r="Q547" s="376"/>
      <c r="R547" s="376"/>
      <c r="S547" s="376"/>
      <c r="T547" s="376"/>
      <c r="U547" s="376"/>
      <c r="V547" s="376"/>
      <c r="W547" s="376"/>
      <c r="X547" s="376"/>
      <c r="Y547" s="376"/>
      <c r="Z547" s="376"/>
    </row>
    <row r="548">
      <c r="A548" s="376"/>
      <c r="B548" s="376"/>
      <c r="C548" s="376"/>
      <c r="D548" s="376"/>
      <c r="E548" s="376"/>
      <c r="F548" s="376"/>
      <c r="G548" s="376"/>
      <c r="H548" s="376"/>
      <c r="I548" s="376"/>
      <c r="J548" s="376"/>
      <c r="K548" s="376"/>
      <c r="L548" s="376"/>
      <c r="M548" s="376"/>
      <c r="N548" s="376"/>
      <c r="O548" s="376"/>
      <c r="P548" s="376"/>
      <c r="Q548" s="376"/>
      <c r="R548" s="376"/>
      <c r="S548" s="376"/>
      <c r="T548" s="376"/>
      <c r="U548" s="376"/>
      <c r="V548" s="376"/>
      <c r="W548" s="376"/>
      <c r="X548" s="376"/>
      <c r="Y548" s="376"/>
      <c r="Z548" s="376"/>
    </row>
    <row r="549">
      <c r="A549" s="376"/>
      <c r="B549" s="376"/>
      <c r="C549" s="376"/>
      <c r="D549" s="376"/>
      <c r="E549" s="376"/>
      <c r="F549" s="376"/>
      <c r="G549" s="376"/>
      <c r="H549" s="376"/>
      <c r="I549" s="376"/>
      <c r="J549" s="376"/>
      <c r="K549" s="376"/>
      <c r="L549" s="376"/>
      <c r="M549" s="376"/>
      <c r="N549" s="376"/>
      <c r="O549" s="376"/>
      <c r="P549" s="376"/>
      <c r="Q549" s="376"/>
      <c r="R549" s="376"/>
      <c r="S549" s="376"/>
      <c r="T549" s="376"/>
      <c r="U549" s="376"/>
      <c r="V549" s="376"/>
      <c r="W549" s="376"/>
      <c r="X549" s="376"/>
      <c r="Y549" s="376"/>
      <c r="Z549" s="376"/>
    </row>
    <row r="550">
      <c r="A550" s="376"/>
      <c r="B550" s="376"/>
      <c r="C550" s="376"/>
      <c r="D550" s="376"/>
      <c r="E550" s="376"/>
      <c r="F550" s="376"/>
      <c r="G550" s="376"/>
      <c r="H550" s="376"/>
      <c r="I550" s="376"/>
      <c r="J550" s="376"/>
      <c r="K550" s="376"/>
      <c r="L550" s="376"/>
      <c r="M550" s="376"/>
      <c r="N550" s="376"/>
      <c r="O550" s="376"/>
      <c r="P550" s="376"/>
      <c r="Q550" s="376"/>
      <c r="R550" s="376"/>
      <c r="S550" s="376"/>
      <c r="T550" s="376"/>
      <c r="U550" s="376"/>
      <c r="V550" s="376"/>
      <c r="W550" s="376"/>
      <c r="X550" s="376"/>
      <c r="Y550" s="376"/>
      <c r="Z550" s="376"/>
    </row>
    <row r="551">
      <c r="A551" s="376"/>
      <c r="B551" s="376"/>
      <c r="C551" s="376"/>
      <c r="D551" s="376"/>
      <c r="E551" s="376"/>
      <c r="F551" s="376"/>
      <c r="G551" s="376"/>
      <c r="H551" s="376"/>
      <c r="I551" s="376"/>
      <c r="J551" s="376"/>
      <c r="K551" s="376"/>
      <c r="L551" s="376"/>
      <c r="M551" s="376"/>
      <c r="N551" s="376"/>
      <c r="O551" s="376"/>
      <c r="P551" s="376"/>
      <c r="Q551" s="376"/>
      <c r="R551" s="376"/>
      <c r="S551" s="376"/>
      <c r="T551" s="376"/>
      <c r="U551" s="376"/>
      <c r="V551" s="376"/>
      <c r="W551" s="376"/>
      <c r="X551" s="376"/>
      <c r="Y551" s="376"/>
      <c r="Z551" s="376"/>
    </row>
    <row r="552">
      <c r="A552" s="376"/>
      <c r="B552" s="376"/>
      <c r="C552" s="376"/>
      <c r="D552" s="376"/>
      <c r="E552" s="376"/>
      <c r="F552" s="376"/>
      <c r="G552" s="376"/>
      <c r="H552" s="376"/>
      <c r="I552" s="376"/>
      <c r="J552" s="376"/>
      <c r="K552" s="376"/>
      <c r="L552" s="376"/>
      <c r="M552" s="376"/>
      <c r="N552" s="376"/>
      <c r="O552" s="376"/>
      <c r="P552" s="376"/>
      <c r="Q552" s="376"/>
      <c r="R552" s="376"/>
      <c r="S552" s="376"/>
      <c r="T552" s="376"/>
      <c r="U552" s="376"/>
      <c r="V552" s="376"/>
      <c r="W552" s="376"/>
      <c r="X552" s="376"/>
      <c r="Y552" s="376"/>
      <c r="Z552" s="376"/>
    </row>
    <row r="553">
      <c r="A553" s="376"/>
      <c r="B553" s="376"/>
      <c r="C553" s="376"/>
      <c r="D553" s="376"/>
      <c r="E553" s="376"/>
      <c r="F553" s="376"/>
      <c r="G553" s="376"/>
      <c r="H553" s="376"/>
      <c r="I553" s="376"/>
      <c r="J553" s="376"/>
      <c r="K553" s="376"/>
      <c r="L553" s="376"/>
      <c r="M553" s="376"/>
      <c r="N553" s="376"/>
      <c r="O553" s="376"/>
      <c r="P553" s="376"/>
      <c r="Q553" s="376"/>
      <c r="R553" s="376"/>
      <c r="S553" s="376"/>
      <c r="T553" s="376"/>
      <c r="U553" s="376"/>
      <c r="V553" s="376"/>
      <c r="W553" s="376"/>
      <c r="X553" s="376"/>
      <c r="Y553" s="376"/>
      <c r="Z553" s="376"/>
    </row>
    <row r="554">
      <c r="A554" s="376"/>
      <c r="B554" s="376"/>
      <c r="C554" s="376"/>
      <c r="D554" s="376"/>
      <c r="E554" s="376"/>
      <c r="F554" s="376"/>
      <c r="G554" s="376"/>
      <c r="H554" s="376"/>
      <c r="I554" s="376"/>
      <c r="J554" s="376"/>
      <c r="K554" s="376"/>
      <c r="L554" s="376"/>
      <c r="M554" s="376"/>
      <c r="N554" s="376"/>
      <c r="O554" s="376"/>
      <c r="P554" s="376"/>
      <c r="Q554" s="376"/>
      <c r="R554" s="376"/>
      <c r="S554" s="376"/>
      <c r="T554" s="376"/>
      <c r="U554" s="376"/>
      <c r="V554" s="376"/>
      <c r="W554" s="376"/>
      <c r="X554" s="376"/>
      <c r="Y554" s="376"/>
      <c r="Z554" s="376"/>
    </row>
    <row r="555">
      <c r="A555" s="376"/>
      <c r="B555" s="376"/>
      <c r="C555" s="376"/>
      <c r="D555" s="376"/>
      <c r="E555" s="376"/>
      <c r="F555" s="376"/>
      <c r="G555" s="376"/>
      <c r="H555" s="376"/>
      <c r="I555" s="376"/>
      <c r="J555" s="376"/>
      <c r="K555" s="376"/>
      <c r="L555" s="376"/>
      <c r="M555" s="376"/>
      <c r="N555" s="376"/>
      <c r="O555" s="376"/>
      <c r="P555" s="376"/>
      <c r="Q555" s="376"/>
      <c r="R555" s="376"/>
      <c r="S555" s="376"/>
      <c r="T555" s="376"/>
      <c r="U555" s="376"/>
      <c r="V555" s="376"/>
      <c r="W555" s="376"/>
      <c r="X555" s="376"/>
      <c r="Y555" s="376"/>
      <c r="Z555" s="376"/>
    </row>
    <row r="556">
      <c r="A556" s="376"/>
      <c r="B556" s="376"/>
      <c r="C556" s="376"/>
      <c r="D556" s="376"/>
      <c r="E556" s="376"/>
      <c r="F556" s="376"/>
      <c r="G556" s="376"/>
      <c r="H556" s="376"/>
      <c r="I556" s="376"/>
      <c r="J556" s="376"/>
      <c r="K556" s="376"/>
      <c r="L556" s="376"/>
      <c r="M556" s="376"/>
      <c r="N556" s="376"/>
      <c r="O556" s="376"/>
      <c r="P556" s="376"/>
      <c r="Q556" s="376"/>
      <c r="R556" s="376"/>
      <c r="S556" s="376"/>
      <c r="T556" s="376"/>
      <c r="U556" s="376"/>
      <c r="V556" s="376"/>
      <c r="W556" s="376"/>
      <c r="X556" s="376"/>
      <c r="Y556" s="376"/>
      <c r="Z556" s="376"/>
    </row>
    <row r="557">
      <c r="A557" s="376"/>
      <c r="B557" s="376"/>
      <c r="C557" s="376"/>
      <c r="D557" s="376"/>
      <c r="E557" s="376"/>
      <c r="F557" s="376"/>
      <c r="G557" s="376"/>
      <c r="H557" s="376"/>
      <c r="I557" s="376"/>
      <c r="J557" s="376"/>
      <c r="K557" s="376"/>
      <c r="L557" s="376"/>
      <c r="M557" s="376"/>
      <c r="N557" s="376"/>
      <c r="O557" s="376"/>
      <c r="P557" s="376"/>
      <c r="Q557" s="376"/>
      <c r="R557" s="376"/>
      <c r="S557" s="376"/>
      <c r="T557" s="376"/>
      <c r="U557" s="376"/>
      <c r="V557" s="376"/>
      <c r="W557" s="376"/>
      <c r="X557" s="376"/>
      <c r="Y557" s="376"/>
      <c r="Z557" s="376"/>
    </row>
    <row r="558">
      <c r="A558" s="376"/>
      <c r="B558" s="376"/>
      <c r="C558" s="376"/>
      <c r="D558" s="376"/>
      <c r="E558" s="376"/>
      <c r="F558" s="376"/>
      <c r="G558" s="376"/>
      <c r="H558" s="376"/>
      <c r="I558" s="376"/>
      <c r="J558" s="376"/>
      <c r="K558" s="376"/>
      <c r="L558" s="376"/>
      <c r="M558" s="376"/>
      <c r="N558" s="376"/>
      <c r="O558" s="376"/>
      <c r="P558" s="376"/>
      <c r="Q558" s="376"/>
      <c r="R558" s="376"/>
      <c r="S558" s="376"/>
      <c r="T558" s="376"/>
      <c r="U558" s="376"/>
      <c r="V558" s="376"/>
      <c r="W558" s="376"/>
      <c r="X558" s="376"/>
      <c r="Y558" s="376"/>
      <c r="Z558" s="376"/>
    </row>
    <row r="559">
      <c r="A559" s="376"/>
      <c r="B559" s="376"/>
      <c r="C559" s="376"/>
      <c r="D559" s="376"/>
      <c r="E559" s="376"/>
      <c r="F559" s="376"/>
      <c r="G559" s="376"/>
      <c r="H559" s="376"/>
      <c r="I559" s="376"/>
      <c r="J559" s="376"/>
      <c r="K559" s="376"/>
      <c r="L559" s="376"/>
      <c r="M559" s="376"/>
      <c r="N559" s="376"/>
      <c r="O559" s="376"/>
      <c r="P559" s="376"/>
      <c r="Q559" s="376"/>
      <c r="R559" s="376"/>
      <c r="S559" s="376"/>
      <c r="T559" s="376"/>
      <c r="U559" s="376"/>
      <c r="V559" s="376"/>
      <c r="W559" s="376"/>
      <c r="X559" s="376"/>
      <c r="Y559" s="376"/>
      <c r="Z559" s="376"/>
    </row>
    <row r="560">
      <c r="A560" s="376"/>
      <c r="B560" s="376"/>
      <c r="C560" s="376"/>
      <c r="D560" s="376"/>
      <c r="E560" s="376"/>
      <c r="F560" s="376"/>
      <c r="G560" s="376"/>
      <c r="H560" s="376"/>
      <c r="I560" s="376"/>
      <c r="J560" s="376"/>
      <c r="K560" s="376"/>
      <c r="L560" s="376"/>
      <c r="M560" s="376"/>
      <c r="N560" s="376"/>
      <c r="O560" s="376"/>
      <c r="P560" s="376"/>
      <c r="Q560" s="376"/>
      <c r="R560" s="376"/>
      <c r="S560" s="376"/>
      <c r="T560" s="376"/>
      <c r="U560" s="376"/>
      <c r="V560" s="376"/>
      <c r="W560" s="376"/>
      <c r="X560" s="376"/>
      <c r="Y560" s="376"/>
      <c r="Z560" s="376"/>
    </row>
    <row r="561">
      <c r="A561" s="376"/>
      <c r="B561" s="376"/>
      <c r="C561" s="376"/>
      <c r="D561" s="376"/>
      <c r="E561" s="376"/>
      <c r="F561" s="376"/>
      <c r="G561" s="376"/>
      <c r="H561" s="376"/>
      <c r="I561" s="376"/>
      <c r="J561" s="376"/>
      <c r="K561" s="376"/>
      <c r="L561" s="376"/>
      <c r="M561" s="376"/>
      <c r="N561" s="376"/>
      <c r="O561" s="376"/>
      <c r="P561" s="376"/>
      <c r="Q561" s="376"/>
      <c r="R561" s="376"/>
      <c r="S561" s="376"/>
      <c r="T561" s="376"/>
      <c r="U561" s="376"/>
      <c r="V561" s="376"/>
      <c r="W561" s="376"/>
      <c r="X561" s="376"/>
      <c r="Y561" s="376"/>
      <c r="Z561" s="376"/>
    </row>
    <row r="562">
      <c r="A562" s="376"/>
      <c r="B562" s="376"/>
      <c r="C562" s="376"/>
      <c r="D562" s="376"/>
      <c r="E562" s="376"/>
      <c r="F562" s="376"/>
      <c r="G562" s="376"/>
      <c r="H562" s="376"/>
      <c r="I562" s="376"/>
      <c r="J562" s="376"/>
      <c r="K562" s="376"/>
      <c r="L562" s="376"/>
      <c r="M562" s="376"/>
      <c r="N562" s="376"/>
      <c r="O562" s="376"/>
      <c r="P562" s="376"/>
      <c r="Q562" s="376"/>
      <c r="R562" s="376"/>
      <c r="S562" s="376"/>
      <c r="T562" s="376"/>
      <c r="U562" s="376"/>
      <c r="V562" s="376"/>
      <c r="W562" s="376"/>
      <c r="X562" s="376"/>
      <c r="Y562" s="376"/>
      <c r="Z562" s="376"/>
    </row>
    <row r="563">
      <c r="A563" s="376"/>
      <c r="B563" s="376"/>
      <c r="C563" s="376"/>
      <c r="D563" s="376"/>
      <c r="E563" s="376"/>
      <c r="F563" s="376"/>
      <c r="G563" s="376"/>
      <c r="H563" s="376"/>
      <c r="I563" s="376"/>
      <c r="J563" s="376"/>
      <c r="K563" s="376"/>
      <c r="L563" s="376"/>
      <c r="M563" s="376"/>
      <c r="N563" s="376"/>
      <c r="O563" s="376"/>
      <c r="P563" s="376"/>
      <c r="Q563" s="376"/>
      <c r="R563" s="376"/>
      <c r="S563" s="376"/>
      <c r="T563" s="376"/>
      <c r="U563" s="376"/>
      <c r="V563" s="376"/>
      <c r="W563" s="376"/>
      <c r="X563" s="376"/>
      <c r="Y563" s="376"/>
      <c r="Z563" s="376"/>
    </row>
    <row r="564">
      <c r="A564" s="376"/>
      <c r="B564" s="376"/>
      <c r="C564" s="376"/>
      <c r="D564" s="376"/>
      <c r="E564" s="376"/>
      <c r="F564" s="376"/>
      <c r="G564" s="376"/>
      <c r="H564" s="376"/>
      <c r="I564" s="376"/>
      <c r="J564" s="376"/>
      <c r="K564" s="376"/>
      <c r="L564" s="376"/>
      <c r="M564" s="376"/>
      <c r="N564" s="376"/>
      <c r="O564" s="376"/>
      <c r="P564" s="376"/>
      <c r="Q564" s="376"/>
      <c r="R564" s="376"/>
      <c r="S564" s="376"/>
      <c r="T564" s="376"/>
      <c r="U564" s="376"/>
      <c r="V564" s="376"/>
      <c r="W564" s="376"/>
      <c r="X564" s="376"/>
      <c r="Y564" s="376"/>
      <c r="Z564" s="376"/>
    </row>
    <row r="565">
      <c r="A565" s="376"/>
      <c r="B565" s="376"/>
      <c r="C565" s="376"/>
      <c r="D565" s="376"/>
      <c r="E565" s="376"/>
      <c r="F565" s="376"/>
      <c r="G565" s="376"/>
      <c r="H565" s="376"/>
      <c r="I565" s="376"/>
      <c r="J565" s="376"/>
      <c r="K565" s="376"/>
      <c r="L565" s="376"/>
      <c r="M565" s="376"/>
      <c r="N565" s="376"/>
      <c r="O565" s="376"/>
      <c r="P565" s="376"/>
      <c r="Q565" s="376"/>
      <c r="R565" s="376"/>
      <c r="S565" s="376"/>
      <c r="T565" s="376"/>
      <c r="U565" s="376"/>
      <c r="V565" s="376"/>
      <c r="W565" s="376"/>
      <c r="X565" s="376"/>
      <c r="Y565" s="376"/>
      <c r="Z565" s="376"/>
    </row>
    <row r="566">
      <c r="A566" s="376"/>
      <c r="B566" s="376"/>
      <c r="C566" s="376"/>
      <c r="D566" s="376"/>
      <c r="E566" s="376"/>
      <c r="F566" s="376"/>
      <c r="G566" s="376"/>
      <c r="H566" s="376"/>
      <c r="I566" s="376"/>
      <c r="J566" s="376"/>
      <c r="K566" s="376"/>
      <c r="L566" s="376"/>
      <c r="M566" s="376"/>
      <c r="N566" s="376"/>
      <c r="O566" s="376"/>
      <c r="P566" s="376"/>
      <c r="Q566" s="376"/>
      <c r="R566" s="376"/>
      <c r="S566" s="376"/>
      <c r="T566" s="376"/>
      <c r="U566" s="376"/>
      <c r="V566" s="376"/>
      <c r="W566" s="376"/>
      <c r="X566" s="376"/>
      <c r="Y566" s="376"/>
      <c r="Z566" s="376"/>
    </row>
    <row r="567">
      <c r="A567" s="376"/>
      <c r="B567" s="376"/>
      <c r="C567" s="376"/>
      <c r="D567" s="376"/>
      <c r="E567" s="376"/>
      <c r="F567" s="376"/>
      <c r="G567" s="376"/>
      <c r="H567" s="376"/>
      <c r="I567" s="376"/>
      <c r="J567" s="376"/>
      <c r="K567" s="376"/>
      <c r="L567" s="376"/>
      <c r="M567" s="376"/>
      <c r="N567" s="376"/>
      <c r="O567" s="376"/>
      <c r="P567" s="376"/>
      <c r="Q567" s="376"/>
      <c r="R567" s="376"/>
      <c r="S567" s="376"/>
      <c r="T567" s="376"/>
      <c r="U567" s="376"/>
      <c r="V567" s="376"/>
      <c r="W567" s="376"/>
      <c r="X567" s="376"/>
      <c r="Y567" s="376"/>
      <c r="Z567" s="376"/>
    </row>
    <row r="568">
      <c r="A568" s="376"/>
      <c r="B568" s="376"/>
      <c r="C568" s="376"/>
      <c r="D568" s="376"/>
      <c r="E568" s="376"/>
      <c r="F568" s="376"/>
      <c r="G568" s="376"/>
      <c r="H568" s="376"/>
      <c r="I568" s="376"/>
      <c r="J568" s="376"/>
      <c r="K568" s="376"/>
      <c r="L568" s="376"/>
      <c r="M568" s="376"/>
      <c r="N568" s="376"/>
      <c r="O568" s="376"/>
      <c r="P568" s="376"/>
      <c r="Q568" s="376"/>
      <c r="R568" s="376"/>
      <c r="S568" s="376"/>
      <c r="T568" s="376"/>
      <c r="U568" s="376"/>
      <c r="V568" s="376"/>
      <c r="W568" s="376"/>
      <c r="X568" s="376"/>
      <c r="Y568" s="376"/>
      <c r="Z568" s="376"/>
    </row>
    <row r="569">
      <c r="A569" s="376"/>
      <c r="B569" s="376"/>
      <c r="C569" s="376"/>
      <c r="D569" s="376"/>
      <c r="E569" s="376"/>
      <c r="F569" s="376"/>
      <c r="G569" s="376"/>
      <c r="H569" s="376"/>
      <c r="I569" s="376"/>
      <c r="J569" s="376"/>
      <c r="K569" s="376"/>
      <c r="L569" s="376"/>
      <c r="M569" s="376"/>
      <c r="N569" s="376"/>
      <c r="O569" s="376"/>
      <c r="P569" s="376"/>
      <c r="Q569" s="376"/>
      <c r="R569" s="376"/>
      <c r="S569" s="376"/>
      <c r="T569" s="376"/>
      <c r="U569" s="376"/>
      <c r="V569" s="376"/>
      <c r="W569" s="376"/>
      <c r="X569" s="376"/>
      <c r="Y569" s="376"/>
      <c r="Z569" s="376"/>
    </row>
    <row r="570">
      <c r="A570" s="376"/>
      <c r="B570" s="376"/>
      <c r="C570" s="376"/>
      <c r="D570" s="376"/>
      <c r="E570" s="376"/>
      <c r="F570" s="376"/>
      <c r="G570" s="376"/>
      <c r="H570" s="376"/>
      <c r="I570" s="376"/>
      <c r="J570" s="376"/>
      <c r="K570" s="376"/>
      <c r="L570" s="376"/>
      <c r="M570" s="376"/>
      <c r="N570" s="376"/>
      <c r="O570" s="376"/>
      <c r="P570" s="376"/>
      <c r="Q570" s="376"/>
      <c r="R570" s="376"/>
      <c r="S570" s="376"/>
      <c r="T570" s="376"/>
      <c r="U570" s="376"/>
      <c r="V570" s="376"/>
      <c r="W570" s="376"/>
      <c r="X570" s="376"/>
      <c r="Y570" s="376"/>
      <c r="Z570" s="376"/>
    </row>
    <row r="571">
      <c r="A571" s="376"/>
      <c r="B571" s="376"/>
      <c r="C571" s="376"/>
      <c r="D571" s="376"/>
      <c r="E571" s="376"/>
      <c r="F571" s="376"/>
      <c r="G571" s="376"/>
      <c r="H571" s="376"/>
      <c r="I571" s="376"/>
      <c r="J571" s="376"/>
      <c r="K571" s="376"/>
      <c r="L571" s="376"/>
      <c r="M571" s="376"/>
      <c r="N571" s="376"/>
      <c r="O571" s="376"/>
      <c r="P571" s="376"/>
      <c r="Q571" s="376"/>
      <c r="R571" s="376"/>
      <c r="S571" s="376"/>
      <c r="T571" s="376"/>
      <c r="U571" s="376"/>
      <c r="V571" s="376"/>
      <c r="W571" s="376"/>
      <c r="X571" s="376"/>
      <c r="Y571" s="376"/>
      <c r="Z571" s="376"/>
    </row>
    <row r="572">
      <c r="A572" s="376"/>
      <c r="B572" s="376"/>
      <c r="C572" s="376"/>
      <c r="D572" s="376"/>
      <c r="E572" s="376"/>
      <c r="F572" s="376"/>
      <c r="G572" s="376"/>
      <c r="H572" s="376"/>
      <c r="I572" s="376"/>
      <c r="J572" s="376"/>
      <c r="K572" s="376"/>
      <c r="L572" s="376"/>
      <c r="M572" s="376"/>
      <c r="N572" s="376"/>
      <c r="O572" s="376"/>
      <c r="P572" s="376"/>
      <c r="Q572" s="376"/>
      <c r="R572" s="376"/>
      <c r="S572" s="376"/>
      <c r="T572" s="376"/>
      <c r="U572" s="376"/>
      <c r="V572" s="376"/>
      <c r="W572" s="376"/>
      <c r="X572" s="376"/>
      <c r="Y572" s="376"/>
      <c r="Z572" s="376"/>
    </row>
    <row r="573">
      <c r="A573" s="376"/>
      <c r="B573" s="376"/>
      <c r="C573" s="376"/>
      <c r="D573" s="376"/>
      <c r="E573" s="376"/>
      <c r="F573" s="376"/>
      <c r="G573" s="376"/>
      <c r="H573" s="376"/>
      <c r="I573" s="376"/>
      <c r="J573" s="376"/>
      <c r="K573" s="376"/>
      <c r="L573" s="376"/>
      <c r="M573" s="376"/>
      <c r="N573" s="376"/>
      <c r="O573" s="376"/>
      <c r="P573" s="376"/>
      <c r="Q573" s="376"/>
      <c r="R573" s="376"/>
      <c r="S573" s="376"/>
      <c r="T573" s="376"/>
      <c r="U573" s="376"/>
      <c r="V573" s="376"/>
      <c r="W573" s="376"/>
      <c r="X573" s="376"/>
      <c r="Y573" s="376"/>
      <c r="Z573" s="376"/>
    </row>
    <row r="574">
      <c r="A574" s="376"/>
      <c r="B574" s="376"/>
      <c r="C574" s="376"/>
      <c r="D574" s="376"/>
      <c r="E574" s="376"/>
      <c r="F574" s="376"/>
      <c r="G574" s="376"/>
      <c r="H574" s="376"/>
      <c r="I574" s="376"/>
      <c r="J574" s="376"/>
      <c r="K574" s="376"/>
      <c r="L574" s="376"/>
      <c r="M574" s="376"/>
      <c r="N574" s="376"/>
      <c r="O574" s="376"/>
      <c r="P574" s="376"/>
      <c r="Q574" s="376"/>
      <c r="R574" s="376"/>
      <c r="S574" s="376"/>
      <c r="T574" s="376"/>
      <c r="U574" s="376"/>
      <c r="V574" s="376"/>
      <c r="W574" s="376"/>
      <c r="X574" s="376"/>
      <c r="Y574" s="376"/>
      <c r="Z574" s="376"/>
    </row>
    <row r="575">
      <c r="A575" s="376"/>
      <c r="B575" s="376"/>
      <c r="C575" s="376"/>
      <c r="D575" s="376"/>
      <c r="E575" s="376"/>
      <c r="F575" s="376"/>
      <c r="G575" s="376"/>
      <c r="H575" s="376"/>
      <c r="I575" s="376"/>
      <c r="J575" s="376"/>
      <c r="K575" s="376"/>
      <c r="L575" s="376"/>
      <c r="M575" s="376"/>
      <c r="N575" s="376"/>
      <c r="O575" s="376"/>
      <c r="P575" s="376"/>
      <c r="Q575" s="376"/>
      <c r="R575" s="376"/>
      <c r="S575" s="376"/>
      <c r="T575" s="376"/>
      <c r="U575" s="376"/>
      <c r="V575" s="376"/>
      <c r="W575" s="376"/>
      <c r="X575" s="376"/>
      <c r="Y575" s="376"/>
      <c r="Z575" s="376"/>
    </row>
    <row r="576">
      <c r="A576" s="376"/>
      <c r="B576" s="376"/>
      <c r="C576" s="376"/>
      <c r="D576" s="376"/>
      <c r="E576" s="376"/>
      <c r="F576" s="376"/>
      <c r="G576" s="376"/>
      <c r="H576" s="376"/>
      <c r="I576" s="376"/>
      <c r="J576" s="376"/>
      <c r="K576" s="376"/>
      <c r="L576" s="376"/>
      <c r="M576" s="376"/>
      <c r="N576" s="376"/>
      <c r="O576" s="376"/>
      <c r="P576" s="376"/>
      <c r="Q576" s="376"/>
      <c r="R576" s="376"/>
      <c r="S576" s="376"/>
      <c r="T576" s="376"/>
      <c r="U576" s="376"/>
      <c r="V576" s="376"/>
      <c r="W576" s="376"/>
      <c r="X576" s="376"/>
      <c r="Y576" s="376"/>
      <c r="Z576" s="376"/>
    </row>
    <row r="577">
      <c r="A577" s="376"/>
      <c r="B577" s="376"/>
      <c r="C577" s="376"/>
      <c r="D577" s="376"/>
      <c r="E577" s="376"/>
      <c r="F577" s="376"/>
      <c r="G577" s="376"/>
      <c r="H577" s="376"/>
      <c r="I577" s="376"/>
      <c r="J577" s="376"/>
      <c r="K577" s="376"/>
      <c r="L577" s="376"/>
      <c r="M577" s="376"/>
      <c r="N577" s="376"/>
      <c r="O577" s="376"/>
      <c r="P577" s="376"/>
      <c r="Q577" s="376"/>
      <c r="R577" s="376"/>
      <c r="S577" s="376"/>
      <c r="T577" s="376"/>
      <c r="U577" s="376"/>
      <c r="V577" s="376"/>
      <c r="W577" s="376"/>
      <c r="X577" s="376"/>
      <c r="Y577" s="376"/>
      <c r="Z577" s="376"/>
    </row>
    <row r="578">
      <c r="A578" s="376"/>
      <c r="B578" s="376"/>
      <c r="C578" s="376"/>
      <c r="D578" s="376"/>
      <c r="E578" s="376"/>
      <c r="F578" s="376"/>
      <c r="G578" s="376"/>
      <c r="H578" s="376"/>
      <c r="I578" s="376"/>
      <c r="J578" s="376"/>
      <c r="K578" s="376"/>
      <c r="L578" s="376"/>
      <c r="M578" s="376"/>
      <c r="N578" s="376"/>
      <c r="O578" s="376"/>
      <c r="P578" s="376"/>
      <c r="Q578" s="376"/>
      <c r="R578" s="376"/>
      <c r="S578" s="376"/>
      <c r="T578" s="376"/>
      <c r="U578" s="376"/>
      <c r="V578" s="376"/>
      <c r="W578" s="376"/>
      <c r="X578" s="376"/>
      <c r="Y578" s="376"/>
      <c r="Z578" s="376"/>
    </row>
    <row r="579">
      <c r="A579" s="376"/>
      <c r="B579" s="376"/>
      <c r="C579" s="376"/>
      <c r="D579" s="376"/>
      <c r="E579" s="376"/>
      <c r="F579" s="376"/>
      <c r="G579" s="376"/>
      <c r="H579" s="376"/>
      <c r="I579" s="376"/>
      <c r="J579" s="376"/>
      <c r="K579" s="376"/>
      <c r="L579" s="376"/>
      <c r="M579" s="376"/>
      <c r="N579" s="376"/>
      <c r="O579" s="376"/>
      <c r="P579" s="376"/>
      <c r="Q579" s="376"/>
      <c r="R579" s="376"/>
      <c r="S579" s="376"/>
      <c r="T579" s="376"/>
      <c r="U579" s="376"/>
      <c r="V579" s="376"/>
      <c r="W579" s="376"/>
      <c r="X579" s="376"/>
      <c r="Y579" s="376"/>
      <c r="Z579" s="376"/>
    </row>
    <row r="580">
      <c r="A580" s="376"/>
      <c r="B580" s="376"/>
      <c r="C580" s="376"/>
      <c r="D580" s="376"/>
      <c r="E580" s="376"/>
      <c r="F580" s="376"/>
      <c r="G580" s="376"/>
      <c r="H580" s="376"/>
      <c r="I580" s="376"/>
      <c r="J580" s="376"/>
      <c r="K580" s="376"/>
      <c r="L580" s="376"/>
      <c r="M580" s="376"/>
      <c r="N580" s="376"/>
      <c r="O580" s="376"/>
      <c r="P580" s="376"/>
      <c r="Q580" s="376"/>
      <c r="R580" s="376"/>
      <c r="S580" s="376"/>
      <c r="T580" s="376"/>
      <c r="U580" s="376"/>
      <c r="V580" s="376"/>
      <c r="W580" s="376"/>
      <c r="X580" s="376"/>
      <c r="Y580" s="376"/>
      <c r="Z580" s="376"/>
    </row>
    <row r="581">
      <c r="A581" s="376"/>
      <c r="B581" s="376"/>
      <c r="C581" s="376"/>
      <c r="D581" s="376"/>
      <c r="E581" s="376"/>
      <c r="F581" s="376"/>
      <c r="G581" s="376"/>
      <c r="H581" s="376"/>
      <c r="I581" s="376"/>
      <c r="J581" s="376"/>
      <c r="K581" s="376"/>
      <c r="L581" s="376"/>
      <c r="M581" s="376"/>
      <c r="N581" s="376"/>
      <c r="O581" s="376"/>
      <c r="P581" s="376"/>
      <c r="Q581" s="376"/>
      <c r="R581" s="376"/>
      <c r="S581" s="376"/>
      <c r="T581" s="376"/>
      <c r="U581" s="376"/>
      <c r="V581" s="376"/>
      <c r="W581" s="376"/>
      <c r="X581" s="376"/>
      <c r="Y581" s="376"/>
      <c r="Z581" s="376"/>
    </row>
    <row r="582">
      <c r="A582" s="376"/>
      <c r="B582" s="376"/>
      <c r="C582" s="376"/>
      <c r="D582" s="376"/>
      <c r="E582" s="376"/>
      <c r="F582" s="376"/>
      <c r="G582" s="376"/>
      <c r="H582" s="376"/>
      <c r="I582" s="376"/>
      <c r="J582" s="376"/>
      <c r="K582" s="376"/>
      <c r="L582" s="376"/>
      <c r="M582" s="376"/>
      <c r="N582" s="376"/>
      <c r="O582" s="376"/>
      <c r="P582" s="376"/>
      <c r="Q582" s="376"/>
      <c r="R582" s="376"/>
      <c r="S582" s="376"/>
      <c r="T582" s="376"/>
      <c r="U582" s="376"/>
      <c r="V582" s="376"/>
      <c r="W582" s="376"/>
      <c r="X582" s="376"/>
      <c r="Y582" s="376"/>
      <c r="Z582" s="376"/>
    </row>
    <row r="583">
      <c r="A583" s="376"/>
      <c r="B583" s="376"/>
      <c r="C583" s="376"/>
      <c r="D583" s="376"/>
      <c r="E583" s="376"/>
      <c r="F583" s="376"/>
      <c r="G583" s="376"/>
      <c r="H583" s="376"/>
      <c r="I583" s="376"/>
      <c r="J583" s="376"/>
      <c r="K583" s="376"/>
      <c r="L583" s="376"/>
      <c r="M583" s="376"/>
      <c r="N583" s="376"/>
      <c r="O583" s="376"/>
      <c r="P583" s="376"/>
      <c r="Q583" s="376"/>
      <c r="R583" s="376"/>
      <c r="S583" s="376"/>
      <c r="T583" s="376"/>
      <c r="U583" s="376"/>
      <c r="V583" s="376"/>
      <c r="W583" s="376"/>
      <c r="X583" s="376"/>
      <c r="Y583" s="376"/>
      <c r="Z583" s="376"/>
    </row>
    <row r="584">
      <c r="A584" s="376"/>
      <c r="B584" s="376"/>
      <c r="C584" s="376"/>
      <c r="D584" s="376"/>
      <c r="E584" s="376"/>
      <c r="F584" s="376"/>
      <c r="G584" s="376"/>
      <c r="H584" s="376"/>
      <c r="I584" s="376"/>
      <c r="J584" s="376"/>
      <c r="K584" s="376"/>
      <c r="L584" s="376"/>
      <c r="M584" s="376"/>
      <c r="N584" s="376"/>
      <c r="O584" s="376"/>
      <c r="P584" s="376"/>
      <c r="Q584" s="376"/>
      <c r="R584" s="376"/>
      <c r="S584" s="376"/>
      <c r="T584" s="376"/>
      <c r="U584" s="376"/>
      <c r="V584" s="376"/>
      <c r="W584" s="376"/>
      <c r="X584" s="376"/>
      <c r="Y584" s="376"/>
      <c r="Z584" s="376"/>
    </row>
    <row r="585">
      <c r="A585" s="376"/>
      <c r="B585" s="376"/>
      <c r="C585" s="376"/>
      <c r="D585" s="376"/>
      <c r="E585" s="376"/>
      <c r="F585" s="376"/>
      <c r="G585" s="376"/>
      <c r="H585" s="376"/>
      <c r="I585" s="376"/>
      <c r="J585" s="376"/>
      <c r="K585" s="376"/>
      <c r="L585" s="376"/>
      <c r="M585" s="376"/>
      <c r="N585" s="376"/>
      <c r="O585" s="376"/>
      <c r="P585" s="376"/>
      <c r="Q585" s="376"/>
      <c r="R585" s="376"/>
      <c r="S585" s="376"/>
      <c r="T585" s="376"/>
      <c r="U585" s="376"/>
      <c r="V585" s="376"/>
      <c r="W585" s="376"/>
      <c r="X585" s="376"/>
      <c r="Y585" s="376"/>
      <c r="Z585" s="376"/>
    </row>
    <row r="586">
      <c r="A586" s="376"/>
      <c r="B586" s="376"/>
      <c r="C586" s="376"/>
      <c r="D586" s="376"/>
      <c r="E586" s="376"/>
      <c r="F586" s="376"/>
      <c r="G586" s="376"/>
      <c r="H586" s="376"/>
      <c r="I586" s="376"/>
      <c r="J586" s="376"/>
      <c r="K586" s="376"/>
      <c r="L586" s="376"/>
      <c r="M586" s="376"/>
      <c r="N586" s="376"/>
      <c r="O586" s="376"/>
      <c r="P586" s="376"/>
      <c r="Q586" s="376"/>
      <c r="R586" s="376"/>
      <c r="S586" s="376"/>
      <c r="T586" s="376"/>
      <c r="U586" s="376"/>
      <c r="V586" s="376"/>
      <c r="W586" s="376"/>
      <c r="X586" s="376"/>
      <c r="Y586" s="376"/>
      <c r="Z586" s="376"/>
    </row>
    <row r="587">
      <c r="A587" s="376"/>
      <c r="B587" s="376"/>
      <c r="C587" s="376"/>
      <c r="D587" s="376"/>
      <c r="E587" s="376"/>
      <c r="F587" s="376"/>
      <c r="G587" s="376"/>
      <c r="H587" s="376"/>
      <c r="I587" s="376"/>
      <c r="J587" s="376"/>
      <c r="K587" s="376"/>
      <c r="L587" s="376"/>
      <c r="M587" s="376"/>
      <c r="N587" s="376"/>
      <c r="O587" s="376"/>
      <c r="P587" s="376"/>
      <c r="Q587" s="376"/>
      <c r="R587" s="376"/>
      <c r="S587" s="376"/>
      <c r="T587" s="376"/>
      <c r="U587" s="376"/>
      <c r="V587" s="376"/>
      <c r="W587" s="376"/>
      <c r="X587" s="376"/>
      <c r="Y587" s="376"/>
      <c r="Z587" s="376"/>
    </row>
    <row r="588">
      <c r="A588" s="376"/>
      <c r="B588" s="376"/>
      <c r="C588" s="376"/>
      <c r="D588" s="376"/>
      <c r="E588" s="376"/>
      <c r="F588" s="376"/>
      <c r="G588" s="376"/>
      <c r="H588" s="376"/>
      <c r="I588" s="376"/>
      <c r="J588" s="376"/>
      <c r="K588" s="376"/>
      <c r="L588" s="376"/>
      <c r="M588" s="376"/>
      <c r="N588" s="376"/>
      <c r="O588" s="376"/>
      <c r="P588" s="376"/>
      <c r="Q588" s="376"/>
      <c r="R588" s="376"/>
      <c r="S588" s="376"/>
      <c r="T588" s="376"/>
      <c r="U588" s="376"/>
      <c r="V588" s="376"/>
      <c r="W588" s="376"/>
      <c r="X588" s="376"/>
      <c r="Y588" s="376"/>
      <c r="Z588" s="376"/>
    </row>
    <row r="589">
      <c r="A589" s="376"/>
      <c r="B589" s="376"/>
      <c r="C589" s="376"/>
      <c r="D589" s="376"/>
      <c r="E589" s="376"/>
      <c r="F589" s="376"/>
      <c r="G589" s="376"/>
      <c r="H589" s="376"/>
      <c r="I589" s="376"/>
      <c r="J589" s="376"/>
      <c r="K589" s="376"/>
      <c r="L589" s="376"/>
      <c r="M589" s="376"/>
      <c r="N589" s="376"/>
      <c r="O589" s="376"/>
      <c r="P589" s="376"/>
      <c r="Q589" s="376"/>
      <c r="R589" s="376"/>
      <c r="S589" s="376"/>
      <c r="T589" s="376"/>
      <c r="U589" s="376"/>
      <c r="V589" s="376"/>
      <c r="W589" s="376"/>
      <c r="X589" s="376"/>
      <c r="Y589" s="376"/>
      <c r="Z589" s="376"/>
    </row>
    <row r="590">
      <c r="A590" s="376"/>
      <c r="B590" s="376"/>
      <c r="C590" s="376"/>
      <c r="D590" s="376"/>
      <c r="E590" s="376"/>
      <c r="F590" s="376"/>
      <c r="G590" s="376"/>
      <c r="H590" s="376"/>
      <c r="I590" s="376"/>
      <c r="J590" s="376"/>
      <c r="K590" s="376"/>
      <c r="L590" s="376"/>
      <c r="M590" s="376"/>
      <c r="N590" s="376"/>
      <c r="O590" s="376"/>
      <c r="P590" s="376"/>
      <c r="Q590" s="376"/>
      <c r="R590" s="376"/>
      <c r="S590" s="376"/>
      <c r="T590" s="376"/>
      <c r="U590" s="376"/>
      <c r="V590" s="376"/>
      <c r="W590" s="376"/>
      <c r="X590" s="376"/>
      <c r="Y590" s="376"/>
      <c r="Z590" s="376"/>
    </row>
    <row r="591">
      <c r="A591" s="376"/>
      <c r="B591" s="376"/>
      <c r="C591" s="376"/>
      <c r="D591" s="376"/>
      <c r="E591" s="376"/>
      <c r="F591" s="376"/>
      <c r="G591" s="376"/>
      <c r="H591" s="376"/>
      <c r="I591" s="376"/>
      <c r="J591" s="376"/>
      <c r="K591" s="376"/>
      <c r="L591" s="376"/>
      <c r="M591" s="376"/>
      <c r="N591" s="376"/>
      <c r="O591" s="376"/>
      <c r="P591" s="376"/>
      <c r="Q591" s="376"/>
      <c r="R591" s="376"/>
      <c r="S591" s="376"/>
      <c r="T591" s="376"/>
      <c r="U591" s="376"/>
      <c r="V591" s="376"/>
      <c r="W591" s="376"/>
      <c r="X591" s="376"/>
      <c r="Y591" s="376"/>
      <c r="Z591" s="376"/>
    </row>
    <row r="592">
      <c r="A592" s="376"/>
      <c r="B592" s="376"/>
      <c r="C592" s="376"/>
      <c r="D592" s="376"/>
      <c r="E592" s="376"/>
      <c r="F592" s="376"/>
      <c r="G592" s="376"/>
      <c r="H592" s="376"/>
      <c r="I592" s="376"/>
      <c r="J592" s="376"/>
      <c r="K592" s="376"/>
      <c r="L592" s="376"/>
      <c r="M592" s="376"/>
      <c r="N592" s="376"/>
      <c r="O592" s="376"/>
      <c r="P592" s="376"/>
      <c r="Q592" s="376"/>
      <c r="R592" s="376"/>
      <c r="S592" s="376"/>
      <c r="T592" s="376"/>
      <c r="U592" s="376"/>
      <c r="V592" s="376"/>
      <c r="W592" s="376"/>
      <c r="X592" s="376"/>
      <c r="Y592" s="376"/>
      <c r="Z592" s="376"/>
    </row>
    <row r="593">
      <c r="A593" s="376"/>
      <c r="B593" s="376"/>
      <c r="C593" s="376"/>
      <c r="D593" s="376"/>
      <c r="E593" s="376"/>
      <c r="F593" s="376"/>
      <c r="G593" s="376"/>
      <c r="H593" s="376"/>
      <c r="I593" s="376"/>
      <c r="J593" s="376"/>
      <c r="K593" s="376"/>
      <c r="L593" s="376"/>
      <c r="M593" s="376"/>
      <c r="N593" s="376"/>
      <c r="O593" s="376"/>
      <c r="P593" s="376"/>
      <c r="Q593" s="376"/>
      <c r="R593" s="376"/>
      <c r="S593" s="376"/>
      <c r="T593" s="376"/>
      <c r="U593" s="376"/>
      <c r="V593" s="376"/>
      <c r="W593" s="376"/>
      <c r="X593" s="376"/>
      <c r="Y593" s="376"/>
      <c r="Z593" s="376"/>
    </row>
    <row r="594">
      <c r="A594" s="376"/>
      <c r="B594" s="376"/>
      <c r="C594" s="376"/>
      <c r="D594" s="376"/>
      <c r="E594" s="376"/>
      <c r="F594" s="376"/>
      <c r="G594" s="376"/>
      <c r="H594" s="376"/>
      <c r="I594" s="376"/>
      <c r="J594" s="376"/>
      <c r="K594" s="376"/>
      <c r="L594" s="376"/>
      <c r="M594" s="376"/>
      <c r="N594" s="376"/>
      <c r="O594" s="376"/>
      <c r="P594" s="376"/>
      <c r="Q594" s="376"/>
      <c r="R594" s="376"/>
      <c r="S594" s="376"/>
      <c r="T594" s="376"/>
      <c r="U594" s="376"/>
      <c r="V594" s="376"/>
      <c r="W594" s="376"/>
      <c r="X594" s="376"/>
      <c r="Y594" s="376"/>
      <c r="Z594" s="376"/>
    </row>
    <row r="595">
      <c r="A595" s="376"/>
      <c r="B595" s="376"/>
      <c r="C595" s="376"/>
      <c r="D595" s="376"/>
      <c r="E595" s="376"/>
      <c r="F595" s="376"/>
      <c r="G595" s="376"/>
      <c r="H595" s="376"/>
      <c r="I595" s="376"/>
      <c r="J595" s="376"/>
      <c r="K595" s="376"/>
      <c r="L595" s="376"/>
      <c r="M595" s="376"/>
      <c r="N595" s="376"/>
      <c r="O595" s="376"/>
      <c r="P595" s="376"/>
      <c r="Q595" s="376"/>
      <c r="R595" s="376"/>
      <c r="S595" s="376"/>
      <c r="T595" s="376"/>
      <c r="U595" s="376"/>
      <c r="V595" s="376"/>
      <c r="W595" s="376"/>
      <c r="X595" s="376"/>
      <c r="Y595" s="376"/>
      <c r="Z595" s="376"/>
    </row>
    <row r="596">
      <c r="A596" s="376"/>
      <c r="B596" s="376"/>
      <c r="C596" s="376"/>
      <c r="D596" s="376"/>
      <c r="E596" s="376"/>
      <c r="F596" s="376"/>
      <c r="G596" s="376"/>
      <c r="H596" s="376"/>
      <c r="I596" s="376"/>
      <c r="J596" s="376"/>
      <c r="K596" s="376"/>
      <c r="L596" s="376"/>
      <c r="M596" s="376"/>
      <c r="N596" s="376"/>
      <c r="O596" s="376"/>
      <c r="P596" s="376"/>
      <c r="Q596" s="376"/>
      <c r="R596" s="376"/>
      <c r="S596" s="376"/>
      <c r="T596" s="376"/>
      <c r="U596" s="376"/>
      <c r="V596" s="376"/>
      <c r="W596" s="376"/>
      <c r="X596" s="376"/>
      <c r="Y596" s="376"/>
      <c r="Z596" s="376"/>
    </row>
    <row r="597">
      <c r="A597" s="376"/>
      <c r="B597" s="376"/>
      <c r="C597" s="376"/>
      <c r="D597" s="376"/>
      <c r="E597" s="376"/>
      <c r="F597" s="376"/>
      <c r="G597" s="376"/>
      <c r="H597" s="376"/>
      <c r="I597" s="376"/>
      <c r="J597" s="376"/>
      <c r="K597" s="376"/>
      <c r="L597" s="376"/>
      <c r="M597" s="376"/>
      <c r="N597" s="376"/>
      <c r="O597" s="376"/>
      <c r="P597" s="376"/>
      <c r="Q597" s="376"/>
      <c r="R597" s="376"/>
      <c r="S597" s="376"/>
      <c r="T597" s="376"/>
      <c r="U597" s="376"/>
      <c r="V597" s="376"/>
      <c r="W597" s="376"/>
      <c r="X597" s="376"/>
      <c r="Y597" s="376"/>
      <c r="Z597" s="376"/>
    </row>
    <row r="598">
      <c r="A598" s="376"/>
      <c r="B598" s="376"/>
      <c r="C598" s="376"/>
      <c r="D598" s="376"/>
      <c r="E598" s="376"/>
      <c r="F598" s="376"/>
      <c r="G598" s="376"/>
      <c r="H598" s="376"/>
      <c r="I598" s="376"/>
      <c r="J598" s="376"/>
      <c r="K598" s="376"/>
      <c r="L598" s="376"/>
      <c r="M598" s="376"/>
      <c r="N598" s="376"/>
      <c r="O598" s="376"/>
      <c r="P598" s="376"/>
      <c r="Q598" s="376"/>
      <c r="R598" s="376"/>
      <c r="S598" s="376"/>
      <c r="T598" s="376"/>
      <c r="U598" s="376"/>
      <c r="V598" s="376"/>
      <c r="W598" s="376"/>
      <c r="X598" s="376"/>
      <c r="Y598" s="376"/>
      <c r="Z598" s="376"/>
    </row>
    <row r="599">
      <c r="A599" s="376"/>
      <c r="B599" s="376"/>
      <c r="C599" s="376"/>
      <c r="D599" s="376"/>
      <c r="E599" s="376"/>
      <c r="F599" s="376"/>
      <c r="G599" s="376"/>
      <c r="H599" s="376"/>
      <c r="I599" s="376"/>
      <c r="J599" s="376"/>
      <c r="K599" s="376"/>
      <c r="L599" s="376"/>
      <c r="M599" s="376"/>
      <c r="N599" s="376"/>
      <c r="O599" s="376"/>
      <c r="P599" s="376"/>
      <c r="Q599" s="376"/>
      <c r="R599" s="376"/>
      <c r="S599" s="376"/>
      <c r="T599" s="376"/>
      <c r="U599" s="376"/>
      <c r="V599" s="376"/>
      <c r="W599" s="376"/>
      <c r="X599" s="376"/>
      <c r="Y599" s="376"/>
      <c r="Z599" s="376"/>
    </row>
    <row r="600">
      <c r="A600" s="376"/>
      <c r="B600" s="376"/>
      <c r="C600" s="376"/>
      <c r="D600" s="376"/>
      <c r="E600" s="376"/>
      <c r="F600" s="376"/>
      <c r="G600" s="376"/>
      <c r="H600" s="376"/>
      <c r="I600" s="376"/>
      <c r="J600" s="376"/>
      <c r="K600" s="376"/>
      <c r="L600" s="376"/>
      <c r="M600" s="376"/>
      <c r="N600" s="376"/>
      <c r="O600" s="376"/>
      <c r="P600" s="376"/>
      <c r="Q600" s="376"/>
      <c r="R600" s="376"/>
      <c r="S600" s="376"/>
      <c r="T600" s="376"/>
      <c r="U600" s="376"/>
      <c r="V600" s="376"/>
      <c r="W600" s="376"/>
      <c r="X600" s="376"/>
      <c r="Y600" s="376"/>
      <c r="Z600" s="376"/>
    </row>
    <row r="601">
      <c r="A601" s="376"/>
      <c r="B601" s="376"/>
      <c r="C601" s="376"/>
      <c r="D601" s="376"/>
      <c r="E601" s="376"/>
      <c r="F601" s="376"/>
      <c r="G601" s="376"/>
      <c r="H601" s="376"/>
      <c r="I601" s="376"/>
      <c r="J601" s="376"/>
      <c r="K601" s="376"/>
      <c r="L601" s="376"/>
      <c r="M601" s="376"/>
      <c r="N601" s="376"/>
      <c r="O601" s="376"/>
      <c r="P601" s="376"/>
      <c r="Q601" s="376"/>
      <c r="R601" s="376"/>
      <c r="S601" s="376"/>
      <c r="T601" s="376"/>
      <c r="U601" s="376"/>
      <c r="V601" s="376"/>
      <c r="W601" s="376"/>
      <c r="X601" s="376"/>
      <c r="Y601" s="376"/>
      <c r="Z601" s="376"/>
    </row>
    <row r="602">
      <c r="A602" s="376"/>
      <c r="B602" s="376"/>
      <c r="C602" s="376"/>
      <c r="D602" s="376"/>
      <c r="E602" s="376"/>
      <c r="F602" s="376"/>
      <c r="G602" s="376"/>
      <c r="H602" s="376"/>
      <c r="I602" s="376"/>
      <c r="J602" s="376"/>
      <c r="K602" s="376"/>
      <c r="L602" s="376"/>
      <c r="M602" s="376"/>
      <c r="N602" s="376"/>
      <c r="O602" s="376"/>
      <c r="P602" s="376"/>
      <c r="Q602" s="376"/>
      <c r="R602" s="376"/>
      <c r="S602" s="376"/>
      <c r="T602" s="376"/>
      <c r="U602" s="376"/>
      <c r="V602" s="376"/>
      <c r="W602" s="376"/>
      <c r="X602" s="376"/>
      <c r="Y602" s="376"/>
      <c r="Z602" s="376"/>
    </row>
    <row r="603">
      <c r="A603" s="376"/>
      <c r="B603" s="376"/>
      <c r="C603" s="376"/>
      <c r="D603" s="376"/>
      <c r="E603" s="376"/>
      <c r="F603" s="376"/>
      <c r="G603" s="376"/>
      <c r="H603" s="376"/>
      <c r="I603" s="376"/>
      <c r="J603" s="376"/>
      <c r="K603" s="376"/>
      <c r="L603" s="376"/>
      <c r="M603" s="376"/>
      <c r="N603" s="376"/>
      <c r="O603" s="376"/>
      <c r="P603" s="376"/>
      <c r="Q603" s="376"/>
      <c r="R603" s="376"/>
      <c r="S603" s="376"/>
      <c r="T603" s="376"/>
      <c r="U603" s="376"/>
      <c r="V603" s="376"/>
      <c r="W603" s="376"/>
      <c r="X603" s="376"/>
      <c r="Y603" s="376"/>
      <c r="Z603" s="376"/>
    </row>
    <row r="604">
      <c r="A604" s="376"/>
      <c r="B604" s="376"/>
      <c r="C604" s="376"/>
      <c r="D604" s="376"/>
      <c r="E604" s="376"/>
      <c r="F604" s="376"/>
      <c r="G604" s="376"/>
      <c r="H604" s="376"/>
      <c r="I604" s="376"/>
      <c r="J604" s="376"/>
      <c r="K604" s="376"/>
      <c r="L604" s="376"/>
      <c r="M604" s="376"/>
      <c r="N604" s="376"/>
      <c r="O604" s="376"/>
      <c r="P604" s="376"/>
      <c r="Q604" s="376"/>
      <c r="R604" s="376"/>
      <c r="S604" s="376"/>
      <c r="T604" s="376"/>
      <c r="U604" s="376"/>
      <c r="V604" s="376"/>
      <c r="W604" s="376"/>
      <c r="X604" s="376"/>
      <c r="Y604" s="376"/>
      <c r="Z604" s="376"/>
    </row>
    <row r="605">
      <c r="A605" s="376"/>
      <c r="B605" s="376"/>
      <c r="C605" s="376"/>
      <c r="D605" s="376"/>
      <c r="E605" s="376"/>
      <c r="F605" s="376"/>
      <c r="G605" s="376"/>
      <c r="H605" s="376"/>
      <c r="I605" s="376"/>
      <c r="J605" s="376"/>
      <c r="K605" s="376"/>
      <c r="L605" s="376"/>
      <c r="M605" s="376"/>
      <c r="N605" s="376"/>
      <c r="O605" s="376"/>
      <c r="P605" s="376"/>
      <c r="Q605" s="376"/>
      <c r="R605" s="376"/>
      <c r="S605" s="376"/>
      <c r="T605" s="376"/>
      <c r="U605" s="376"/>
      <c r="V605" s="376"/>
      <c r="W605" s="376"/>
      <c r="X605" s="376"/>
      <c r="Y605" s="376"/>
      <c r="Z605" s="376"/>
    </row>
    <row r="606">
      <c r="A606" s="376"/>
      <c r="B606" s="376"/>
      <c r="C606" s="376"/>
      <c r="D606" s="376"/>
      <c r="E606" s="376"/>
      <c r="F606" s="376"/>
      <c r="G606" s="376"/>
      <c r="H606" s="376"/>
      <c r="I606" s="376"/>
      <c r="J606" s="376"/>
      <c r="K606" s="376"/>
      <c r="L606" s="376"/>
      <c r="M606" s="376"/>
      <c r="N606" s="376"/>
      <c r="O606" s="376"/>
      <c r="P606" s="376"/>
      <c r="Q606" s="376"/>
      <c r="R606" s="376"/>
      <c r="S606" s="376"/>
      <c r="T606" s="376"/>
      <c r="U606" s="376"/>
      <c r="V606" s="376"/>
      <c r="W606" s="376"/>
      <c r="X606" s="376"/>
      <c r="Y606" s="376"/>
      <c r="Z606" s="376"/>
    </row>
    <row r="607">
      <c r="A607" s="376"/>
      <c r="B607" s="376"/>
      <c r="C607" s="376"/>
      <c r="D607" s="376"/>
      <c r="E607" s="376"/>
      <c r="F607" s="376"/>
      <c r="G607" s="376"/>
      <c r="H607" s="376"/>
      <c r="I607" s="376"/>
      <c r="J607" s="376"/>
      <c r="K607" s="376"/>
      <c r="L607" s="376"/>
      <c r="M607" s="376"/>
      <c r="N607" s="376"/>
      <c r="O607" s="376"/>
      <c r="P607" s="376"/>
      <c r="Q607" s="376"/>
      <c r="R607" s="376"/>
      <c r="S607" s="376"/>
      <c r="T607" s="376"/>
      <c r="U607" s="376"/>
      <c r="V607" s="376"/>
      <c r="W607" s="376"/>
      <c r="X607" s="376"/>
      <c r="Y607" s="376"/>
      <c r="Z607" s="376"/>
    </row>
    <row r="608">
      <c r="A608" s="376"/>
      <c r="B608" s="376"/>
      <c r="C608" s="376"/>
      <c r="D608" s="376"/>
      <c r="E608" s="376"/>
      <c r="F608" s="376"/>
      <c r="G608" s="376"/>
      <c r="H608" s="376"/>
      <c r="I608" s="376"/>
      <c r="J608" s="376"/>
      <c r="K608" s="376"/>
      <c r="L608" s="376"/>
      <c r="M608" s="376"/>
      <c r="N608" s="376"/>
      <c r="O608" s="376"/>
      <c r="P608" s="376"/>
      <c r="Q608" s="376"/>
      <c r="R608" s="376"/>
      <c r="S608" s="376"/>
      <c r="T608" s="376"/>
      <c r="U608" s="376"/>
      <c r="V608" s="376"/>
      <c r="W608" s="376"/>
      <c r="X608" s="376"/>
      <c r="Y608" s="376"/>
      <c r="Z608" s="376"/>
    </row>
    <row r="609">
      <c r="A609" s="376"/>
      <c r="B609" s="376"/>
      <c r="C609" s="376"/>
      <c r="D609" s="376"/>
      <c r="E609" s="376"/>
      <c r="F609" s="376"/>
      <c r="G609" s="376"/>
      <c r="H609" s="376"/>
      <c r="I609" s="376"/>
      <c r="J609" s="376"/>
      <c r="K609" s="376"/>
      <c r="L609" s="376"/>
      <c r="M609" s="376"/>
      <c r="N609" s="376"/>
      <c r="O609" s="376"/>
      <c r="P609" s="376"/>
      <c r="Q609" s="376"/>
      <c r="R609" s="376"/>
      <c r="S609" s="376"/>
      <c r="T609" s="376"/>
      <c r="U609" s="376"/>
      <c r="V609" s="376"/>
      <c r="W609" s="376"/>
      <c r="X609" s="376"/>
      <c r="Y609" s="376"/>
      <c r="Z609" s="376"/>
    </row>
    <row r="610">
      <c r="A610" s="376"/>
      <c r="B610" s="376"/>
      <c r="C610" s="376"/>
      <c r="D610" s="376"/>
      <c r="E610" s="376"/>
      <c r="F610" s="376"/>
      <c r="G610" s="376"/>
      <c r="H610" s="376"/>
      <c r="I610" s="376"/>
      <c r="J610" s="376"/>
      <c r="K610" s="376"/>
      <c r="L610" s="376"/>
      <c r="M610" s="376"/>
      <c r="N610" s="376"/>
      <c r="O610" s="376"/>
      <c r="P610" s="376"/>
      <c r="Q610" s="376"/>
      <c r="R610" s="376"/>
      <c r="S610" s="376"/>
      <c r="T610" s="376"/>
      <c r="U610" s="376"/>
      <c r="V610" s="376"/>
      <c r="W610" s="376"/>
      <c r="X610" s="376"/>
      <c r="Y610" s="376"/>
      <c r="Z610" s="376"/>
    </row>
    <row r="611">
      <c r="A611" s="376"/>
      <c r="B611" s="376"/>
      <c r="C611" s="376"/>
      <c r="D611" s="376"/>
      <c r="E611" s="376"/>
      <c r="F611" s="376"/>
      <c r="G611" s="376"/>
      <c r="H611" s="376"/>
      <c r="I611" s="376"/>
      <c r="J611" s="376"/>
      <c r="K611" s="376"/>
      <c r="L611" s="376"/>
      <c r="M611" s="376"/>
      <c r="N611" s="376"/>
      <c r="O611" s="376"/>
      <c r="P611" s="376"/>
      <c r="Q611" s="376"/>
      <c r="R611" s="376"/>
      <c r="S611" s="376"/>
      <c r="T611" s="376"/>
      <c r="U611" s="376"/>
      <c r="V611" s="376"/>
      <c r="W611" s="376"/>
      <c r="X611" s="376"/>
      <c r="Y611" s="376"/>
      <c r="Z611" s="376"/>
    </row>
    <row r="612">
      <c r="A612" s="376"/>
      <c r="B612" s="376"/>
      <c r="C612" s="376"/>
      <c r="D612" s="376"/>
      <c r="E612" s="376"/>
      <c r="F612" s="376"/>
      <c r="G612" s="376"/>
      <c r="H612" s="376"/>
      <c r="I612" s="376"/>
      <c r="J612" s="376"/>
      <c r="K612" s="376"/>
      <c r="L612" s="376"/>
      <c r="M612" s="376"/>
      <c r="N612" s="376"/>
      <c r="O612" s="376"/>
      <c r="P612" s="376"/>
      <c r="Q612" s="376"/>
      <c r="R612" s="376"/>
      <c r="S612" s="376"/>
      <c r="T612" s="376"/>
      <c r="U612" s="376"/>
      <c r="V612" s="376"/>
      <c r="W612" s="376"/>
      <c r="X612" s="376"/>
      <c r="Y612" s="376"/>
      <c r="Z612" s="376"/>
    </row>
    <row r="613">
      <c r="A613" s="376"/>
      <c r="B613" s="376"/>
      <c r="C613" s="376"/>
      <c r="D613" s="376"/>
      <c r="E613" s="376"/>
      <c r="F613" s="376"/>
      <c r="G613" s="376"/>
      <c r="H613" s="376"/>
      <c r="I613" s="376"/>
      <c r="J613" s="376"/>
      <c r="K613" s="376"/>
      <c r="L613" s="376"/>
      <c r="M613" s="376"/>
      <c r="N613" s="376"/>
      <c r="O613" s="376"/>
      <c r="P613" s="376"/>
      <c r="Q613" s="376"/>
      <c r="R613" s="376"/>
      <c r="S613" s="376"/>
      <c r="T613" s="376"/>
      <c r="U613" s="376"/>
      <c r="V613" s="376"/>
      <c r="W613" s="376"/>
      <c r="X613" s="376"/>
      <c r="Y613" s="376"/>
      <c r="Z613" s="376"/>
    </row>
    <row r="614">
      <c r="A614" s="376"/>
      <c r="B614" s="376"/>
      <c r="C614" s="376"/>
      <c r="D614" s="376"/>
      <c r="E614" s="376"/>
      <c r="F614" s="376"/>
      <c r="G614" s="376"/>
      <c r="H614" s="376"/>
      <c r="I614" s="376"/>
      <c r="J614" s="376"/>
      <c r="K614" s="376"/>
      <c r="L614" s="376"/>
      <c r="M614" s="376"/>
      <c r="N614" s="376"/>
      <c r="O614" s="376"/>
      <c r="P614" s="376"/>
      <c r="Q614" s="376"/>
      <c r="R614" s="376"/>
      <c r="S614" s="376"/>
      <c r="T614" s="376"/>
      <c r="U614" s="376"/>
      <c r="V614" s="376"/>
      <c r="W614" s="376"/>
      <c r="X614" s="376"/>
      <c r="Y614" s="376"/>
      <c r="Z614" s="376"/>
    </row>
    <row r="615">
      <c r="A615" s="376"/>
      <c r="B615" s="376"/>
      <c r="C615" s="376"/>
      <c r="D615" s="376"/>
      <c r="E615" s="376"/>
      <c r="F615" s="376"/>
      <c r="G615" s="376"/>
      <c r="H615" s="376"/>
      <c r="I615" s="376"/>
      <c r="J615" s="376"/>
      <c r="K615" s="376"/>
      <c r="L615" s="376"/>
      <c r="M615" s="376"/>
      <c r="N615" s="376"/>
      <c r="O615" s="376"/>
      <c r="P615" s="376"/>
      <c r="Q615" s="376"/>
      <c r="R615" s="376"/>
      <c r="S615" s="376"/>
      <c r="T615" s="376"/>
      <c r="U615" s="376"/>
      <c r="V615" s="376"/>
      <c r="W615" s="376"/>
      <c r="X615" s="376"/>
      <c r="Y615" s="376"/>
      <c r="Z615" s="376"/>
    </row>
    <row r="616">
      <c r="A616" s="376"/>
      <c r="B616" s="376"/>
      <c r="C616" s="376"/>
      <c r="D616" s="376"/>
      <c r="E616" s="376"/>
      <c r="F616" s="376"/>
      <c r="G616" s="376"/>
      <c r="H616" s="376"/>
      <c r="I616" s="376"/>
      <c r="J616" s="376"/>
      <c r="K616" s="376"/>
      <c r="L616" s="376"/>
      <c r="M616" s="376"/>
      <c r="N616" s="376"/>
      <c r="O616" s="376"/>
      <c r="P616" s="376"/>
      <c r="Q616" s="376"/>
      <c r="R616" s="376"/>
      <c r="S616" s="376"/>
      <c r="T616" s="376"/>
      <c r="U616" s="376"/>
      <c r="V616" s="376"/>
      <c r="W616" s="376"/>
      <c r="X616" s="376"/>
      <c r="Y616" s="376"/>
      <c r="Z616" s="376"/>
    </row>
    <row r="617">
      <c r="A617" s="376"/>
      <c r="B617" s="376"/>
      <c r="C617" s="376"/>
      <c r="D617" s="376"/>
      <c r="E617" s="376"/>
      <c r="F617" s="376"/>
      <c r="G617" s="376"/>
      <c r="H617" s="376"/>
      <c r="I617" s="376"/>
      <c r="J617" s="376"/>
      <c r="K617" s="376"/>
      <c r="L617" s="376"/>
      <c r="M617" s="376"/>
      <c r="N617" s="376"/>
      <c r="O617" s="376"/>
      <c r="P617" s="376"/>
      <c r="Q617" s="376"/>
      <c r="R617" s="376"/>
      <c r="S617" s="376"/>
      <c r="T617" s="376"/>
      <c r="U617" s="376"/>
      <c r="V617" s="376"/>
      <c r="W617" s="376"/>
      <c r="X617" s="376"/>
      <c r="Y617" s="376"/>
      <c r="Z617" s="376"/>
    </row>
    <row r="618">
      <c r="A618" s="376"/>
      <c r="B618" s="376"/>
      <c r="C618" s="376"/>
      <c r="D618" s="376"/>
      <c r="E618" s="376"/>
      <c r="F618" s="376"/>
      <c r="G618" s="376"/>
      <c r="H618" s="376"/>
      <c r="I618" s="376"/>
      <c r="J618" s="376"/>
      <c r="K618" s="376"/>
      <c r="L618" s="376"/>
      <c r="M618" s="376"/>
      <c r="N618" s="376"/>
      <c r="O618" s="376"/>
      <c r="P618" s="376"/>
      <c r="Q618" s="376"/>
      <c r="R618" s="376"/>
      <c r="S618" s="376"/>
      <c r="T618" s="376"/>
      <c r="U618" s="376"/>
      <c r="V618" s="376"/>
      <c r="W618" s="376"/>
      <c r="X618" s="376"/>
      <c r="Y618" s="376"/>
      <c r="Z618" s="376"/>
    </row>
    <row r="619">
      <c r="A619" s="376"/>
      <c r="B619" s="376"/>
      <c r="C619" s="376"/>
      <c r="D619" s="376"/>
      <c r="E619" s="376"/>
      <c r="F619" s="376"/>
      <c r="G619" s="376"/>
      <c r="H619" s="376"/>
      <c r="I619" s="376"/>
      <c r="J619" s="376"/>
      <c r="K619" s="376"/>
      <c r="L619" s="376"/>
      <c r="M619" s="376"/>
      <c r="N619" s="376"/>
      <c r="O619" s="376"/>
      <c r="P619" s="376"/>
      <c r="Q619" s="376"/>
      <c r="R619" s="376"/>
      <c r="S619" s="376"/>
      <c r="T619" s="376"/>
      <c r="U619" s="376"/>
      <c r="V619" s="376"/>
      <c r="W619" s="376"/>
      <c r="X619" s="376"/>
      <c r="Y619" s="376"/>
      <c r="Z619" s="376"/>
    </row>
    <row r="620">
      <c r="A620" s="376"/>
      <c r="B620" s="376"/>
      <c r="C620" s="376"/>
      <c r="D620" s="376"/>
      <c r="E620" s="376"/>
      <c r="F620" s="376"/>
      <c r="G620" s="376"/>
      <c r="H620" s="376"/>
      <c r="I620" s="376"/>
      <c r="J620" s="376"/>
      <c r="K620" s="376"/>
      <c r="L620" s="376"/>
      <c r="M620" s="376"/>
      <c r="N620" s="376"/>
      <c r="O620" s="376"/>
      <c r="P620" s="376"/>
      <c r="Q620" s="376"/>
      <c r="R620" s="376"/>
      <c r="S620" s="376"/>
      <c r="T620" s="376"/>
      <c r="U620" s="376"/>
      <c r="V620" s="376"/>
      <c r="W620" s="376"/>
      <c r="X620" s="376"/>
      <c r="Y620" s="376"/>
      <c r="Z620" s="376"/>
    </row>
    <row r="621">
      <c r="A621" s="376"/>
      <c r="B621" s="376"/>
      <c r="C621" s="376"/>
      <c r="D621" s="376"/>
      <c r="E621" s="376"/>
      <c r="F621" s="376"/>
      <c r="G621" s="376"/>
      <c r="H621" s="376"/>
      <c r="I621" s="376"/>
      <c r="J621" s="376"/>
      <c r="K621" s="376"/>
      <c r="L621" s="376"/>
      <c r="M621" s="376"/>
      <c r="N621" s="376"/>
      <c r="O621" s="376"/>
      <c r="P621" s="376"/>
      <c r="Q621" s="376"/>
      <c r="R621" s="376"/>
      <c r="S621" s="376"/>
      <c r="T621" s="376"/>
      <c r="U621" s="376"/>
      <c r="V621" s="376"/>
      <c r="W621" s="376"/>
      <c r="X621" s="376"/>
      <c r="Y621" s="376"/>
      <c r="Z621" s="376"/>
    </row>
    <row r="622">
      <c r="A622" s="376"/>
      <c r="B622" s="376"/>
      <c r="C622" s="376"/>
      <c r="D622" s="376"/>
      <c r="E622" s="376"/>
      <c r="F622" s="376"/>
      <c r="G622" s="376"/>
      <c r="H622" s="376"/>
      <c r="I622" s="376"/>
      <c r="J622" s="376"/>
      <c r="K622" s="376"/>
      <c r="L622" s="376"/>
      <c r="M622" s="376"/>
      <c r="N622" s="376"/>
      <c r="O622" s="376"/>
      <c r="P622" s="376"/>
      <c r="Q622" s="376"/>
      <c r="R622" s="376"/>
      <c r="S622" s="376"/>
      <c r="T622" s="376"/>
      <c r="U622" s="376"/>
      <c r="V622" s="376"/>
      <c r="W622" s="376"/>
      <c r="X622" s="376"/>
      <c r="Y622" s="376"/>
      <c r="Z622" s="376"/>
    </row>
    <row r="623">
      <c r="A623" s="376"/>
      <c r="B623" s="376"/>
      <c r="C623" s="376"/>
      <c r="D623" s="376"/>
      <c r="E623" s="376"/>
      <c r="F623" s="376"/>
      <c r="G623" s="376"/>
      <c r="H623" s="376"/>
      <c r="I623" s="376"/>
      <c r="J623" s="376"/>
      <c r="K623" s="376"/>
      <c r="L623" s="376"/>
      <c r="M623" s="376"/>
      <c r="N623" s="376"/>
      <c r="O623" s="376"/>
      <c r="P623" s="376"/>
      <c r="Q623" s="376"/>
      <c r="R623" s="376"/>
      <c r="S623" s="376"/>
      <c r="T623" s="376"/>
      <c r="U623" s="376"/>
      <c r="V623" s="376"/>
      <c r="W623" s="376"/>
      <c r="X623" s="376"/>
      <c r="Y623" s="376"/>
      <c r="Z623" s="376"/>
    </row>
    <row r="624">
      <c r="A624" s="376"/>
      <c r="B624" s="376"/>
      <c r="C624" s="376"/>
      <c r="D624" s="376"/>
      <c r="E624" s="376"/>
      <c r="F624" s="376"/>
      <c r="G624" s="376"/>
      <c r="H624" s="376"/>
      <c r="I624" s="376"/>
      <c r="J624" s="376"/>
      <c r="K624" s="376"/>
      <c r="L624" s="376"/>
      <c r="M624" s="376"/>
      <c r="N624" s="376"/>
      <c r="O624" s="376"/>
      <c r="P624" s="376"/>
      <c r="Q624" s="376"/>
      <c r="R624" s="376"/>
      <c r="S624" s="376"/>
      <c r="T624" s="376"/>
      <c r="U624" s="376"/>
      <c r="V624" s="376"/>
      <c r="W624" s="376"/>
      <c r="X624" s="376"/>
      <c r="Y624" s="376"/>
      <c r="Z624" s="376"/>
    </row>
    <row r="625">
      <c r="A625" s="376"/>
      <c r="B625" s="376"/>
      <c r="C625" s="376"/>
      <c r="D625" s="376"/>
      <c r="E625" s="376"/>
      <c r="F625" s="376"/>
      <c r="G625" s="376"/>
      <c r="H625" s="376"/>
      <c r="I625" s="376"/>
      <c r="J625" s="376"/>
      <c r="K625" s="376"/>
      <c r="L625" s="376"/>
      <c r="M625" s="376"/>
      <c r="N625" s="376"/>
      <c r="O625" s="376"/>
      <c r="P625" s="376"/>
      <c r="Q625" s="376"/>
      <c r="R625" s="376"/>
      <c r="S625" s="376"/>
      <c r="T625" s="376"/>
      <c r="U625" s="376"/>
      <c r="V625" s="376"/>
      <c r="W625" s="376"/>
      <c r="X625" s="376"/>
      <c r="Y625" s="376"/>
      <c r="Z625" s="376"/>
    </row>
    <row r="626">
      <c r="A626" s="376"/>
      <c r="B626" s="376"/>
      <c r="C626" s="376"/>
      <c r="D626" s="376"/>
      <c r="E626" s="376"/>
      <c r="F626" s="376"/>
      <c r="G626" s="376"/>
      <c r="H626" s="376"/>
      <c r="I626" s="376"/>
      <c r="J626" s="376"/>
      <c r="K626" s="376"/>
      <c r="L626" s="376"/>
      <c r="M626" s="376"/>
      <c r="N626" s="376"/>
      <c r="O626" s="376"/>
      <c r="P626" s="376"/>
      <c r="Q626" s="376"/>
      <c r="R626" s="376"/>
      <c r="S626" s="376"/>
      <c r="T626" s="376"/>
      <c r="U626" s="376"/>
      <c r="V626" s="376"/>
      <c r="W626" s="376"/>
      <c r="X626" s="376"/>
      <c r="Y626" s="376"/>
      <c r="Z626" s="376"/>
    </row>
    <row r="627">
      <c r="A627" s="376"/>
      <c r="B627" s="376"/>
      <c r="C627" s="376"/>
      <c r="D627" s="376"/>
      <c r="E627" s="376"/>
      <c r="F627" s="376"/>
      <c r="G627" s="376"/>
      <c r="H627" s="376"/>
      <c r="I627" s="376"/>
      <c r="J627" s="376"/>
      <c r="K627" s="376"/>
      <c r="L627" s="376"/>
      <c r="M627" s="376"/>
      <c r="N627" s="376"/>
      <c r="O627" s="376"/>
      <c r="P627" s="376"/>
      <c r="Q627" s="376"/>
      <c r="R627" s="376"/>
      <c r="S627" s="376"/>
      <c r="T627" s="376"/>
      <c r="U627" s="376"/>
      <c r="V627" s="376"/>
      <c r="W627" s="376"/>
      <c r="X627" s="376"/>
      <c r="Y627" s="376"/>
      <c r="Z627" s="376"/>
    </row>
    <row r="628">
      <c r="A628" s="376"/>
      <c r="B628" s="376"/>
      <c r="C628" s="376"/>
      <c r="D628" s="376"/>
      <c r="E628" s="376"/>
      <c r="F628" s="376"/>
      <c r="G628" s="376"/>
      <c r="H628" s="376"/>
      <c r="I628" s="376"/>
      <c r="J628" s="376"/>
      <c r="K628" s="376"/>
      <c r="L628" s="376"/>
      <c r="M628" s="376"/>
      <c r="N628" s="376"/>
      <c r="O628" s="376"/>
      <c r="P628" s="376"/>
      <c r="Q628" s="376"/>
      <c r="R628" s="376"/>
      <c r="S628" s="376"/>
      <c r="T628" s="376"/>
      <c r="U628" s="376"/>
      <c r="V628" s="376"/>
      <c r="W628" s="376"/>
      <c r="X628" s="376"/>
      <c r="Y628" s="376"/>
      <c r="Z628" s="376"/>
    </row>
    <row r="629">
      <c r="A629" s="376"/>
      <c r="B629" s="376"/>
      <c r="C629" s="376"/>
      <c r="D629" s="376"/>
      <c r="E629" s="376"/>
      <c r="F629" s="376"/>
      <c r="G629" s="376"/>
      <c r="H629" s="376"/>
      <c r="I629" s="376"/>
      <c r="J629" s="376"/>
      <c r="K629" s="376"/>
      <c r="L629" s="376"/>
      <c r="M629" s="376"/>
      <c r="N629" s="376"/>
      <c r="O629" s="376"/>
      <c r="P629" s="376"/>
      <c r="Q629" s="376"/>
      <c r="R629" s="376"/>
      <c r="S629" s="376"/>
      <c r="T629" s="376"/>
      <c r="U629" s="376"/>
      <c r="V629" s="376"/>
      <c r="W629" s="376"/>
      <c r="X629" s="376"/>
      <c r="Y629" s="376"/>
      <c r="Z629" s="376"/>
    </row>
    <row r="630">
      <c r="A630" s="376"/>
      <c r="B630" s="376"/>
      <c r="C630" s="376"/>
      <c r="D630" s="376"/>
      <c r="E630" s="376"/>
      <c r="F630" s="376"/>
      <c r="G630" s="376"/>
      <c r="H630" s="376"/>
      <c r="I630" s="376"/>
      <c r="J630" s="376"/>
      <c r="K630" s="376"/>
      <c r="L630" s="376"/>
      <c r="M630" s="376"/>
      <c r="N630" s="376"/>
      <c r="O630" s="376"/>
      <c r="P630" s="376"/>
      <c r="Q630" s="376"/>
      <c r="R630" s="376"/>
      <c r="S630" s="376"/>
      <c r="T630" s="376"/>
      <c r="U630" s="376"/>
      <c r="V630" s="376"/>
      <c r="W630" s="376"/>
      <c r="X630" s="376"/>
      <c r="Y630" s="376"/>
      <c r="Z630" s="376"/>
    </row>
    <row r="631">
      <c r="A631" s="376"/>
      <c r="B631" s="376"/>
      <c r="C631" s="376"/>
      <c r="D631" s="376"/>
      <c r="E631" s="376"/>
      <c r="F631" s="376"/>
      <c r="G631" s="376"/>
      <c r="H631" s="376"/>
      <c r="I631" s="376"/>
      <c r="J631" s="376"/>
      <c r="K631" s="376"/>
      <c r="L631" s="376"/>
      <c r="M631" s="376"/>
      <c r="N631" s="376"/>
      <c r="O631" s="376"/>
      <c r="P631" s="376"/>
      <c r="Q631" s="376"/>
      <c r="R631" s="376"/>
      <c r="S631" s="376"/>
      <c r="T631" s="376"/>
      <c r="U631" s="376"/>
      <c r="V631" s="376"/>
      <c r="W631" s="376"/>
      <c r="X631" s="376"/>
      <c r="Y631" s="376"/>
      <c r="Z631" s="376"/>
    </row>
    <row r="632">
      <c r="A632" s="376"/>
      <c r="B632" s="376"/>
      <c r="C632" s="376"/>
      <c r="D632" s="376"/>
      <c r="E632" s="376"/>
      <c r="F632" s="376"/>
      <c r="G632" s="376"/>
      <c r="H632" s="376"/>
      <c r="I632" s="376"/>
      <c r="J632" s="376"/>
      <c r="K632" s="376"/>
      <c r="L632" s="376"/>
      <c r="M632" s="376"/>
      <c r="N632" s="376"/>
      <c r="O632" s="376"/>
      <c r="P632" s="376"/>
      <c r="Q632" s="376"/>
      <c r="R632" s="376"/>
      <c r="S632" s="376"/>
      <c r="T632" s="376"/>
      <c r="U632" s="376"/>
      <c r="V632" s="376"/>
      <c r="W632" s="376"/>
      <c r="X632" s="376"/>
      <c r="Y632" s="376"/>
      <c r="Z632" s="376"/>
    </row>
    <row r="633">
      <c r="A633" s="376"/>
      <c r="B633" s="376"/>
      <c r="C633" s="376"/>
      <c r="D633" s="376"/>
      <c r="E633" s="376"/>
      <c r="F633" s="376"/>
      <c r="G633" s="376"/>
      <c r="H633" s="376"/>
      <c r="I633" s="376"/>
      <c r="J633" s="376"/>
      <c r="K633" s="376"/>
      <c r="L633" s="376"/>
      <c r="M633" s="376"/>
      <c r="N633" s="376"/>
      <c r="O633" s="376"/>
      <c r="P633" s="376"/>
      <c r="Q633" s="376"/>
      <c r="R633" s="376"/>
      <c r="S633" s="376"/>
      <c r="T633" s="376"/>
      <c r="U633" s="376"/>
      <c r="V633" s="376"/>
      <c r="W633" s="376"/>
      <c r="X633" s="376"/>
      <c r="Y633" s="376"/>
      <c r="Z633" s="376"/>
    </row>
    <row r="634">
      <c r="A634" s="376"/>
      <c r="B634" s="376"/>
      <c r="C634" s="376"/>
      <c r="D634" s="376"/>
      <c r="E634" s="376"/>
      <c r="F634" s="376"/>
      <c r="G634" s="376"/>
      <c r="H634" s="376"/>
      <c r="I634" s="376"/>
      <c r="J634" s="376"/>
      <c r="K634" s="376"/>
      <c r="L634" s="376"/>
      <c r="M634" s="376"/>
      <c r="N634" s="376"/>
      <c r="O634" s="376"/>
      <c r="P634" s="376"/>
      <c r="Q634" s="376"/>
      <c r="R634" s="376"/>
      <c r="S634" s="376"/>
      <c r="T634" s="376"/>
      <c r="U634" s="376"/>
      <c r="V634" s="376"/>
      <c r="W634" s="376"/>
      <c r="X634" s="376"/>
      <c r="Y634" s="376"/>
      <c r="Z634" s="376"/>
    </row>
    <row r="635">
      <c r="A635" s="376"/>
      <c r="B635" s="376"/>
      <c r="C635" s="376"/>
      <c r="D635" s="376"/>
      <c r="E635" s="376"/>
      <c r="F635" s="376"/>
      <c r="G635" s="376"/>
      <c r="H635" s="376"/>
      <c r="I635" s="376"/>
      <c r="J635" s="376"/>
      <c r="K635" s="376"/>
      <c r="L635" s="376"/>
      <c r="M635" s="376"/>
      <c r="N635" s="376"/>
      <c r="O635" s="376"/>
      <c r="P635" s="376"/>
      <c r="Q635" s="376"/>
      <c r="R635" s="376"/>
      <c r="S635" s="376"/>
      <c r="T635" s="376"/>
      <c r="U635" s="376"/>
      <c r="V635" s="376"/>
      <c r="W635" s="376"/>
      <c r="X635" s="376"/>
      <c r="Y635" s="376"/>
      <c r="Z635" s="376"/>
    </row>
    <row r="636">
      <c r="A636" s="376"/>
      <c r="B636" s="376"/>
      <c r="C636" s="376"/>
      <c r="D636" s="376"/>
      <c r="E636" s="376"/>
      <c r="F636" s="376"/>
      <c r="G636" s="376"/>
      <c r="H636" s="376"/>
      <c r="I636" s="376"/>
      <c r="J636" s="376"/>
      <c r="K636" s="376"/>
      <c r="L636" s="376"/>
      <c r="M636" s="376"/>
      <c r="N636" s="376"/>
      <c r="O636" s="376"/>
      <c r="P636" s="376"/>
      <c r="Q636" s="376"/>
      <c r="R636" s="376"/>
      <c r="S636" s="376"/>
      <c r="T636" s="376"/>
      <c r="U636" s="376"/>
      <c r="V636" s="376"/>
      <c r="W636" s="376"/>
      <c r="X636" s="376"/>
      <c r="Y636" s="376"/>
      <c r="Z636" s="376"/>
    </row>
    <row r="637">
      <c r="A637" s="376"/>
      <c r="B637" s="376"/>
      <c r="C637" s="376"/>
      <c r="D637" s="376"/>
      <c r="E637" s="376"/>
      <c r="F637" s="376"/>
      <c r="G637" s="376"/>
      <c r="H637" s="376"/>
      <c r="I637" s="376"/>
      <c r="J637" s="376"/>
      <c r="K637" s="376"/>
      <c r="L637" s="376"/>
      <c r="M637" s="376"/>
      <c r="N637" s="376"/>
      <c r="O637" s="376"/>
      <c r="P637" s="376"/>
      <c r="Q637" s="376"/>
      <c r="R637" s="376"/>
      <c r="S637" s="376"/>
      <c r="T637" s="376"/>
      <c r="U637" s="376"/>
      <c r="V637" s="376"/>
      <c r="W637" s="376"/>
      <c r="X637" s="376"/>
      <c r="Y637" s="376"/>
      <c r="Z637" s="376"/>
    </row>
    <row r="638">
      <c r="A638" s="376"/>
      <c r="B638" s="376"/>
      <c r="C638" s="376"/>
      <c r="D638" s="376"/>
      <c r="E638" s="376"/>
      <c r="F638" s="376"/>
      <c r="G638" s="376"/>
      <c r="H638" s="376"/>
      <c r="I638" s="376"/>
      <c r="J638" s="376"/>
      <c r="K638" s="376"/>
      <c r="L638" s="376"/>
      <c r="M638" s="376"/>
      <c r="N638" s="376"/>
      <c r="O638" s="376"/>
      <c r="P638" s="376"/>
      <c r="Q638" s="376"/>
      <c r="R638" s="376"/>
      <c r="S638" s="376"/>
      <c r="T638" s="376"/>
      <c r="U638" s="376"/>
      <c r="V638" s="376"/>
      <c r="W638" s="376"/>
      <c r="X638" s="376"/>
      <c r="Y638" s="376"/>
      <c r="Z638" s="376"/>
    </row>
    <row r="639">
      <c r="A639" s="376"/>
      <c r="B639" s="376"/>
      <c r="C639" s="376"/>
      <c r="D639" s="376"/>
      <c r="E639" s="376"/>
      <c r="F639" s="376"/>
      <c r="G639" s="376"/>
      <c r="H639" s="376"/>
      <c r="I639" s="376"/>
      <c r="J639" s="376"/>
      <c r="K639" s="376"/>
      <c r="L639" s="376"/>
      <c r="M639" s="376"/>
      <c r="N639" s="376"/>
      <c r="O639" s="376"/>
      <c r="P639" s="376"/>
      <c r="Q639" s="376"/>
      <c r="R639" s="376"/>
      <c r="S639" s="376"/>
      <c r="T639" s="376"/>
      <c r="U639" s="376"/>
      <c r="V639" s="376"/>
      <c r="W639" s="376"/>
      <c r="X639" s="376"/>
      <c r="Y639" s="376"/>
      <c r="Z639" s="376"/>
    </row>
    <row r="640">
      <c r="A640" s="376"/>
      <c r="B640" s="376"/>
      <c r="C640" s="376"/>
      <c r="D640" s="376"/>
      <c r="E640" s="376"/>
      <c r="F640" s="376"/>
      <c r="G640" s="376"/>
      <c r="H640" s="376"/>
      <c r="I640" s="376"/>
      <c r="J640" s="376"/>
      <c r="K640" s="376"/>
      <c r="L640" s="376"/>
      <c r="M640" s="376"/>
      <c r="N640" s="376"/>
      <c r="O640" s="376"/>
      <c r="P640" s="376"/>
      <c r="Q640" s="376"/>
      <c r="R640" s="376"/>
      <c r="S640" s="376"/>
      <c r="T640" s="376"/>
      <c r="U640" s="376"/>
      <c r="V640" s="376"/>
      <c r="W640" s="376"/>
      <c r="X640" s="376"/>
      <c r="Y640" s="376"/>
      <c r="Z640" s="376"/>
    </row>
    <row r="641">
      <c r="A641" s="376"/>
      <c r="B641" s="376"/>
      <c r="C641" s="376"/>
      <c r="D641" s="376"/>
      <c r="E641" s="376"/>
      <c r="F641" s="376"/>
      <c r="G641" s="376"/>
      <c r="H641" s="376"/>
      <c r="I641" s="376"/>
      <c r="J641" s="376"/>
      <c r="K641" s="376"/>
      <c r="L641" s="376"/>
      <c r="M641" s="376"/>
      <c r="N641" s="376"/>
      <c r="O641" s="376"/>
      <c r="P641" s="376"/>
      <c r="Q641" s="376"/>
      <c r="R641" s="376"/>
      <c r="S641" s="376"/>
      <c r="T641" s="376"/>
      <c r="U641" s="376"/>
      <c r="V641" s="376"/>
      <c r="W641" s="376"/>
      <c r="X641" s="376"/>
      <c r="Y641" s="376"/>
      <c r="Z641" s="376"/>
    </row>
    <row r="642">
      <c r="A642" s="376"/>
      <c r="B642" s="376"/>
      <c r="C642" s="376"/>
      <c r="D642" s="376"/>
      <c r="E642" s="376"/>
      <c r="F642" s="376"/>
      <c r="G642" s="376"/>
      <c r="H642" s="376"/>
      <c r="I642" s="376"/>
      <c r="J642" s="376"/>
      <c r="K642" s="376"/>
      <c r="L642" s="376"/>
      <c r="M642" s="376"/>
      <c r="N642" s="376"/>
      <c r="O642" s="376"/>
      <c r="P642" s="376"/>
      <c r="Q642" s="376"/>
      <c r="R642" s="376"/>
      <c r="S642" s="376"/>
      <c r="T642" s="376"/>
      <c r="U642" s="376"/>
      <c r="V642" s="376"/>
      <c r="W642" s="376"/>
      <c r="X642" s="376"/>
      <c r="Y642" s="376"/>
      <c r="Z642" s="376"/>
    </row>
    <row r="643">
      <c r="A643" s="376"/>
      <c r="B643" s="376"/>
      <c r="C643" s="376"/>
      <c r="D643" s="376"/>
      <c r="E643" s="376"/>
      <c r="F643" s="376"/>
      <c r="G643" s="376"/>
      <c r="H643" s="376"/>
      <c r="I643" s="376"/>
      <c r="J643" s="376"/>
      <c r="K643" s="376"/>
      <c r="L643" s="376"/>
      <c r="M643" s="376"/>
      <c r="N643" s="376"/>
      <c r="O643" s="376"/>
      <c r="P643" s="376"/>
      <c r="Q643" s="376"/>
      <c r="R643" s="376"/>
      <c r="S643" s="376"/>
      <c r="T643" s="376"/>
      <c r="U643" s="376"/>
      <c r="V643" s="376"/>
      <c r="W643" s="376"/>
      <c r="X643" s="376"/>
      <c r="Y643" s="376"/>
      <c r="Z643" s="376"/>
    </row>
    <row r="644">
      <c r="A644" s="376"/>
      <c r="B644" s="376"/>
      <c r="C644" s="376"/>
      <c r="D644" s="376"/>
      <c r="E644" s="376"/>
      <c r="F644" s="376"/>
      <c r="G644" s="376"/>
      <c r="H644" s="376"/>
      <c r="I644" s="376"/>
      <c r="J644" s="376"/>
      <c r="K644" s="376"/>
      <c r="L644" s="376"/>
      <c r="M644" s="376"/>
      <c r="N644" s="376"/>
      <c r="O644" s="376"/>
      <c r="P644" s="376"/>
      <c r="Q644" s="376"/>
      <c r="R644" s="376"/>
      <c r="S644" s="376"/>
      <c r="T644" s="376"/>
      <c r="U644" s="376"/>
      <c r="V644" s="376"/>
      <c r="W644" s="376"/>
      <c r="X644" s="376"/>
      <c r="Y644" s="376"/>
      <c r="Z644" s="376"/>
    </row>
    <row r="645">
      <c r="A645" s="376"/>
      <c r="B645" s="376"/>
      <c r="C645" s="376"/>
      <c r="D645" s="376"/>
      <c r="E645" s="376"/>
      <c r="F645" s="376"/>
      <c r="G645" s="376"/>
      <c r="H645" s="376"/>
      <c r="I645" s="376"/>
      <c r="J645" s="376"/>
      <c r="K645" s="376"/>
      <c r="L645" s="376"/>
      <c r="M645" s="376"/>
      <c r="N645" s="376"/>
      <c r="O645" s="376"/>
      <c r="P645" s="376"/>
      <c r="Q645" s="376"/>
      <c r="R645" s="376"/>
      <c r="S645" s="376"/>
      <c r="T645" s="376"/>
      <c r="U645" s="376"/>
      <c r="V645" s="376"/>
      <c r="W645" s="376"/>
      <c r="X645" s="376"/>
      <c r="Y645" s="376"/>
      <c r="Z645" s="376"/>
    </row>
    <row r="646">
      <c r="A646" s="376"/>
      <c r="B646" s="376"/>
      <c r="C646" s="376"/>
      <c r="D646" s="376"/>
      <c r="E646" s="376"/>
      <c r="F646" s="376"/>
      <c r="G646" s="376"/>
      <c r="H646" s="376"/>
      <c r="I646" s="376"/>
      <c r="J646" s="376"/>
      <c r="K646" s="376"/>
      <c r="L646" s="376"/>
      <c r="M646" s="376"/>
      <c r="N646" s="376"/>
      <c r="O646" s="376"/>
      <c r="P646" s="376"/>
      <c r="Q646" s="376"/>
      <c r="R646" s="376"/>
      <c r="S646" s="376"/>
      <c r="T646" s="376"/>
      <c r="U646" s="376"/>
      <c r="V646" s="376"/>
      <c r="W646" s="376"/>
      <c r="X646" s="376"/>
      <c r="Y646" s="376"/>
      <c r="Z646" s="376"/>
    </row>
    <row r="647">
      <c r="A647" s="376"/>
      <c r="B647" s="376"/>
      <c r="C647" s="376"/>
      <c r="D647" s="376"/>
      <c r="E647" s="376"/>
      <c r="F647" s="376"/>
      <c r="G647" s="376"/>
      <c r="H647" s="376"/>
      <c r="I647" s="376"/>
      <c r="J647" s="376"/>
      <c r="K647" s="376"/>
      <c r="L647" s="376"/>
      <c r="M647" s="376"/>
      <c r="N647" s="376"/>
      <c r="O647" s="376"/>
      <c r="P647" s="376"/>
      <c r="Q647" s="376"/>
      <c r="R647" s="376"/>
      <c r="S647" s="376"/>
      <c r="T647" s="376"/>
      <c r="U647" s="376"/>
      <c r="V647" s="376"/>
      <c r="W647" s="376"/>
      <c r="X647" s="376"/>
      <c r="Y647" s="376"/>
      <c r="Z647" s="376"/>
    </row>
    <row r="648">
      <c r="A648" s="376"/>
      <c r="B648" s="376"/>
      <c r="C648" s="376"/>
      <c r="D648" s="376"/>
      <c r="E648" s="376"/>
      <c r="F648" s="376"/>
      <c r="G648" s="376"/>
      <c r="H648" s="376"/>
      <c r="I648" s="376"/>
      <c r="J648" s="376"/>
      <c r="K648" s="376"/>
      <c r="L648" s="376"/>
      <c r="M648" s="376"/>
      <c r="N648" s="376"/>
      <c r="O648" s="376"/>
      <c r="P648" s="376"/>
      <c r="Q648" s="376"/>
      <c r="R648" s="376"/>
      <c r="S648" s="376"/>
      <c r="T648" s="376"/>
      <c r="U648" s="376"/>
      <c r="V648" s="376"/>
      <c r="W648" s="376"/>
      <c r="X648" s="376"/>
      <c r="Y648" s="376"/>
      <c r="Z648" s="376"/>
    </row>
    <row r="649">
      <c r="A649" s="376"/>
      <c r="B649" s="376"/>
      <c r="C649" s="376"/>
      <c r="D649" s="376"/>
      <c r="E649" s="376"/>
      <c r="F649" s="376"/>
      <c r="G649" s="376"/>
      <c r="H649" s="376"/>
      <c r="I649" s="376"/>
      <c r="J649" s="376"/>
      <c r="K649" s="376"/>
      <c r="L649" s="376"/>
      <c r="M649" s="376"/>
      <c r="N649" s="376"/>
      <c r="O649" s="376"/>
      <c r="P649" s="376"/>
      <c r="Q649" s="376"/>
      <c r="R649" s="376"/>
      <c r="S649" s="376"/>
      <c r="T649" s="376"/>
      <c r="U649" s="376"/>
      <c r="V649" s="376"/>
      <c r="W649" s="376"/>
      <c r="X649" s="376"/>
      <c r="Y649" s="376"/>
      <c r="Z649" s="376"/>
    </row>
    <row r="650">
      <c r="A650" s="376"/>
      <c r="B650" s="376"/>
      <c r="C650" s="376"/>
      <c r="D650" s="376"/>
      <c r="E650" s="376"/>
      <c r="F650" s="376"/>
      <c r="G650" s="376"/>
      <c r="H650" s="376"/>
      <c r="I650" s="376"/>
      <c r="J650" s="376"/>
      <c r="K650" s="376"/>
      <c r="L650" s="376"/>
      <c r="M650" s="376"/>
      <c r="N650" s="376"/>
      <c r="O650" s="376"/>
      <c r="P650" s="376"/>
      <c r="Q650" s="376"/>
      <c r="R650" s="376"/>
      <c r="S650" s="376"/>
      <c r="T650" s="376"/>
      <c r="U650" s="376"/>
      <c r="V650" s="376"/>
      <c r="W650" s="376"/>
      <c r="X650" s="376"/>
      <c r="Y650" s="376"/>
      <c r="Z650" s="376"/>
    </row>
    <row r="651">
      <c r="A651" s="376"/>
      <c r="B651" s="376"/>
      <c r="C651" s="376"/>
      <c r="D651" s="376"/>
      <c r="E651" s="376"/>
      <c r="F651" s="376"/>
      <c r="G651" s="376"/>
      <c r="H651" s="376"/>
      <c r="I651" s="376"/>
      <c r="J651" s="376"/>
      <c r="K651" s="376"/>
      <c r="L651" s="376"/>
      <c r="M651" s="376"/>
      <c r="N651" s="376"/>
      <c r="O651" s="376"/>
      <c r="P651" s="376"/>
      <c r="Q651" s="376"/>
      <c r="R651" s="376"/>
      <c r="S651" s="376"/>
      <c r="T651" s="376"/>
      <c r="U651" s="376"/>
      <c r="V651" s="376"/>
      <c r="W651" s="376"/>
      <c r="X651" s="376"/>
      <c r="Y651" s="376"/>
      <c r="Z651" s="376"/>
    </row>
    <row r="652">
      <c r="A652" s="376"/>
      <c r="B652" s="376"/>
      <c r="C652" s="376"/>
      <c r="D652" s="376"/>
      <c r="E652" s="376"/>
      <c r="F652" s="376"/>
      <c r="G652" s="376"/>
      <c r="H652" s="376"/>
      <c r="I652" s="376"/>
      <c r="J652" s="376"/>
      <c r="K652" s="376"/>
      <c r="L652" s="376"/>
      <c r="M652" s="376"/>
      <c r="N652" s="376"/>
      <c r="O652" s="376"/>
      <c r="P652" s="376"/>
      <c r="Q652" s="376"/>
      <c r="R652" s="376"/>
      <c r="S652" s="376"/>
      <c r="T652" s="376"/>
      <c r="U652" s="376"/>
      <c r="V652" s="376"/>
      <c r="W652" s="376"/>
      <c r="X652" s="376"/>
      <c r="Y652" s="376"/>
      <c r="Z652" s="376"/>
    </row>
    <row r="653">
      <c r="A653" s="376"/>
      <c r="B653" s="376"/>
      <c r="C653" s="376"/>
      <c r="D653" s="376"/>
      <c r="E653" s="376"/>
      <c r="F653" s="376"/>
      <c r="G653" s="376"/>
      <c r="H653" s="376"/>
      <c r="I653" s="376"/>
      <c r="J653" s="376"/>
      <c r="K653" s="376"/>
      <c r="L653" s="376"/>
      <c r="M653" s="376"/>
      <c r="N653" s="376"/>
      <c r="O653" s="376"/>
      <c r="P653" s="376"/>
      <c r="Q653" s="376"/>
      <c r="R653" s="376"/>
      <c r="S653" s="376"/>
      <c r="T653" s="376"/>
      <c r="U653" s="376"/>
      <c r="V653" s="376"/>
      <c r="W653" s="376"/>
      <c r="X653" s="376"/>
      <c r="Y653" s="376"/>
      <c r="Z653" s="376"/>
    </row>
    <row r="654">
      <c r="A654" s="376"/>
      <c r="B654" s="376"/>
      <c r="C654" s="376"/>
      <c r="D654" s="376"/>
      <c r="E654" s="376"/>
      <c r="F654" s="376"/>
      <c r="G654" s="376"/>
      <c r="H654" s="376"/>
      <c r="I654" s="376"/>
      <c r="J654" s="376"/>
      <c r="K654" s="376"/>
      <c r="L654" s="376"/>
      <c r="M654" s="376"/>
      <c r="N654" s="376"/>
      <c r="O654" s="376"/>
      <c r="P654" s="376"/>
      <c r="Q654" s="376"/>
      <c r="R654" s="376"/>
      <c r="S654" s="376"/>
      <c r="T654" s="376"/>
      <c r="U654" s="376"/>
      <c r="V654" s="376"/>
      <c r="W654" s="376"/>
      <c r="X654" s="376"/>
      <c r="Y654" s="376"/>
      <c r="Z654" s="376"/>
    </row>
    <row r="655">
      <c r="A655" s="376"/>
      <c r="B655" s="376"/>
      <c r="C655" s="376"/>
      <c r="D655" s="376"/>
      <c r="E655" s="376"/>
      <c r="F655" s="376"/>
      <c r="G655" s="376"/>
      <c r="H655" s="376"/>
      <c r="I655" s="376"/>
      <c r="J655" s="376"/>
      <c r="K655" s="376"/>
      <c r="L655" s="376"/>
      <c r="M655" s="376"/>
      <c r="N655" s="376"/>
      <c r="O655" s="376"/>
      <c r="P655" s="376"/>
      <c r="Q655" s="376"/>
      <c r="R655" s="376"/>
      <c r="S655" s="376"/>
      <c r="T655" s="376"/>
      <c r="U655" s="376"/>
      <c r="V655" s="376"/>
      <c r="W655" s="376"/>
      <c r="X655" s="376"/>
      <c r="Y655" s="376"/>
      <c r="Z655" s="376"/>
    </row>
    <row r="656">
      <c r="A656" s="376"/>
      <c r="B656" s="376"/>
      <c r="C656" s="376"/>
      <c r="D656" s="376"/>
      <c r="E656" s="376"/>
      <c r="F656" s="376"/>
      <c r="G656" s="376"/>
      <c r="H656" s="376"/>
      <c r="I656" s="376"/>
      <c r="J656" s="376"/>
      <c r="K656" s="376"/>
      <c r="L656" s="376"/>
      <c r="M656" s="376"/>
      <c r="N656" s="376"/>
      <c r="O656" s="376"/>
      <c r="P656" s="376"/>
      <c r="Q656" s="376"/>
      <c r="R656" s="376"/>
      <c r="S656" s="376"/>
      <c r="T656" s="376"/>
      <c r="U656" s="376"/>
      <c r="V656" s="376"/>
      <c r="W656" s="376"/>
      <c r="X656" s="376"/>
      <c r="Y656" s="376"/>
      <c r="Z656" s="376"/>
    </row>
    <row r="657">
      <c r="A657" s="376"/>
      <c r="B657" s="376"/>
      <c r="C657" s="376"/>
      <c r="D657" s="376"/>
      <c r="E657" s="376"/>
      <c r="F657" s="376"/>
      <c r="G657" s="376"/>
      <c r="H657" s="376"/>
      <c r="I657" s="376"/>
      <c r="J657" s="376"/>
      <c r="K657" s="376"/>
      <c r="L657" s="376"/>
      <c r="M657" s="376"/>
      <c r="N657" s="376"/>
      <c r="O657" s="376"/>
      <c r="P657" s="376"/>
      <c r="Q657" s="376"/>
      <c r="R657" s="376"/>
      <c r="S657" s="376"/>
      <c r="T657" s="376"/>
      <c r="U657" s="376"/>
      <c r="V657" s="376"/>
      <c r="W657" s="376"/>
      <c r="X657" s="376"/>
      <c r="Y657" s="376"/>
      <c r="Z657" s="376"/>
    </row>
    <row r="658">
      <c r="A658" s="376"/>
      <c r="B658" s="376"/>
      <c r="C658" s="376"/>
      <c r="D658" s="376"/>
      <c r="E658" s="376"/>
      <c r="F658" s="376"/>
      <c r="G658" s="376"/>
      <c r="H658" s="376"/>
      <c r="I658" s="376"/>
      <c r="J658" s="376"/>
      <c r="K658" s="376"/>
      <c r="L658" s="376"/>
      <c r="M658" s="376"/>
      <c r="N658" s="376"/>
      <c r="O658" s="376"/>
      <c r="P658" s="376"/>
      <c r="Q658" s="376"/>
      <c r="R658" s="376"/>
      <c r="S658" s="376"/>
      <c r="T658" s="376"/>
      <c r="U658" s="376"/>
      <c r="V658" s="376"/>
      <c r="W658" s="376"/>
      <c r="X658" s="376"/>
      <c r="Y658" s="376"/>
      <c r="Z658" s="376"/>
    </row>
    <row r="659">
      <c r="A659" s="376"/>
      <c r="B659" s="376"/>
      <c r="C659" s="376"/>
      <c r="D659" s="376"/>
      <c r="E659" s="376"/>
      <c r="F659" s="376"/>
      <c r="G659" s="376"/>
      <c r="H659" s="376"/>
      <c r="I659" s="376"/>
      <c r="J659" s="376"/>
      <c r="K659" s="376"/>
      <c r="L659" s="376"/>
      <c r="M659" s="376"/>
      <c r="N659" s="376"/>
      <c r="O659" s="376"/>
      <c r="P659" s="376"/>
      <c r="Q659" s="376"/>
      <c r="R659" s="376"/>
      <c r="S659" s="376"/>
      <c r="T659" s="376"/>
      <c r="U659" s="376"/>
      <c r="V659" s="376"/>
      <c r="W659" s="376"/>
      <c r="X659" s="376"/>
      <c r="Y659" s="376"/>
      <c r="Z659" s="376"/>
    </row>
    <row r="660">
      <c r="A660" s="376"/>
      <c r="B660" s="376"/>
      <c r="C660" s="376"/>
      <c r="D660" s="376"/>
      <c r="E660" s="376"/>
      <c r="F660" s="376"/>
      <c r="G660" s="376"/>
      <c r="H660" s="376"/>
      <c r="I660" s="376"/>
      <c r="J660" s="376"/>
      <c r="K660" s="376"/>
      <c r="L660" s="376"/>
      <c r="M660" s="376"/>
      <c r="N660" s="376"/>
      <c r="O660" s="376"/>
      <c r="P660" s="376"/>
      <c r="Q660" s="376"/>
      <c r="R660" s="376"/>
      <c r="S660" s="376"/>
      <c r="T660" s="376"/>
      <c r="U660" s="376"/>
      <c r="V660" s="376"/>
      <c r="W660" s="376"/>
      <c r="X660" s="376"/>
      <c r="Y660" s="376"/>
      <c r="Z660" s="376"/>
    </row>
    <row r="661">
      <c r="A661" s="376"/>
      <c r="B661" s="376"/>
      <c r="C661" s="376"/>
      <c r="D661" s="376"/>
      <c r="E661" s="376"/>
      <c r="F661" s="376"/>
      <c r="G661" s="376"/>
      <c r="H661" s="376"/>
      <c r="I661" s="376"/>
      <c r="J661" s="376"/>
      <c r="K661" s="376"/>
      <c r="L661" s="376"/>
      <c r="M661" s="376"/>
      <c r="N661" s="376"/>
      <c r="O661" s="376"/>
      <c r="P661" s="376"/>
      <c r="Q661" s="376"/>
      <c r="R661" s="376"/>
      <c r="S661" s="376"/>
      <c r="T661" s="376"/>
      <c r="U661" s="376"/>
      <c r="V661" s="376"/>
      <c r="W661" s="376"/>
      <c r="X661" s="376"/>
      <c r="Y661" s="376"/>
      <c r="Z661" s="376"/>
    </row>
    <row r="662">
      <c r="A662" s="376"/>
      <c r="B662" s="376"/>
      <c r="C662" s="376"/>
      <c r="D662" s="376"/>
      <c r="E662" s="376"/>
      <c r="F662" s="376"/>
      <c r="G662" s="376"/>
      <c r="H662" s="376"/>
      <c r="I662" s="376"/>
      <c r="J662" s="376"/>
      <c r="K662" s="376"/>
      <c r="L662" s="376"/>
      <c r="M662" s="376"/>
      <c r="N662" s="376"/>
      <c r="O662" s="376"/>
      <c r="P662" s="376"/>
      <c r="Q662" s="376"/>
      <c r="R662" s="376"/>
      <c r="S662" s="376"/>
      <c r="T662" s="376"/>
      <c r="U662" s="376"/>
      <c r="V662" s="376"/>
      <c r="W662" s="376"/>
      <c r="X662" s="376"/>
      <c r="Y662" s="376"/>
      <c r="Z662" s="376"/>
    </row>
    <row r="663">
      <c r="A663" s="376"/>
      <c r="B663" s="376"/>
      <c r="C663" s="376"/>
      <c r="D663" s="376"/>
      <c r="E663" s="376"/>
      <c r="F663" s="376"/>
      <c r="G663" s="376"/>
      <c r="H663" s="376"/>
      <c r="I663" s="376"/>
      <c r="J663" s="376"/>
      <c r="K663" s="376"/>
      <c r="L663" s="376"/>
      <c r="M663" s="376"/>
      <c r="N663" s="376"/>
      <c r="O663" s="376"/>
      <c r="P663" s="376"/>
      <c r="Q663" s="376"/>
      <c r="R663" s="376"/>
      <c r="S663" s="376"/>
      <c r="T663" s="376"/>
      <c r="U663" s="376"/>
      <c r="V663" s="376"/>
      <c r="W663" s="376"/>
      <c r="X663" s="376"/>
      <c r="Y663" s="376"/>
      <c r="Z663" s="376"/>
    </row>
    <row r="664">
      <c r="A664" s="376"/>
      <c r="B664" s="376"/>
      <c r="C664" s="376"/>
      <c r="D664" s="376"/>
      <c r="E664" s="376"/>
      <c r="F664" s="376"/>
      <c r="G664" s="376"/>
      <c r="H664" s="376"/>
      <c r="I664" s="376"/>
      <c r="J664" s="376"/>
      <c r="K664" s="376"/>
      <c r="L664" s="376"/>
      <c r="M664" s="376"/>
      <c r="N664" s="376"/>
      <c r="O664" s="376"/>
      <c r="P664" s="376"/>
      <c r="Q664" s="376"/>
      <c r="R664" s="376"/>
      <c r="S664" s="376"/>
      <c r="T664" s="376"/>
      <c r="U664" s="376"/>
      <c r="V664" s="376"/>
      <c r="W664" s="376"/>
      <c r="X664" s="376"/>
      <c r="Y664" s="376"/>
      <c r="Z664" s="376"/>
    </row>
    <row r="665">
      <c r="A665" s="376"/>
      <c r="B665" s="376"/>
      <c r="C665" s="376"/>
      <c r="D665" s="376"/>
      <c r="E665" s="376"/>
      <c r="F665" s="376"/>
      <c r="G665" s="376"/>
      <c r="H665" s="376"/>
      <c r="I665" s="376"/>
      <c r="J665" s="376"/>
      <c r="K665" s="376"/>
      <c r="L665" s="376"/>
      <c r="M665" s="376"/>
      <c r="N665" s="376"/>
      <c r="O665" s="376"/>
      <c r="P665" s="376"/>
      <c r="Q665" s="376"/>
      <c r="R665" s="376"/>
      <c r="S665" s="376"/>
      <c r="T665" s="376"/>
      <c r="U665" s="376"/>
      <c r="V665" s="376"/>
      <c r="W665" s="376"/>
      <c r="X665" s="376"/>
      <c r="Y665" s="376"/>
      <c r="Z665" s="376"/>
    </row>
    <row r="666">
      <c r="A666" s="376"/>
      <c r="B666" s="376"/>
      <c r="C666" s="376"/>
      <c r="D666" s="376"/>
      <c r="E666" s="376"/>
      <c r="F666" s="376"/>
      <c r="G666" s="376"/>
      <c r="H666" s="376"/>
      <c r="I666" s="376"/>
      <c r="J666" s="376"/>
      <c r="K666" s="376"/>
      <c r="L666" s="376"/>
      <c r="M666" s="376"/>
      <c r="N666" s="376"/>
      <c r="O666" s="376"/>
      <c r="P666" s="376"/>
      <c r="Q666" s="376"/>
      <c r="R666" s="376"/>
      <c r="S666" s="376"/>
      <c r="T666" s="376"/>
      <c r="U666" s="376"/>
      <c r="V666" s="376"/>
      <c r="W666" s="376"/>
      <c r="X666" s="376"/>
      <c r="Y666" s="376"/>
      <c r="Z666" s="376"/>
    </row>
    <row r="667">
      <c r="A667" s="376"/>
      <c r="B667" s="376"/>
      <c r="C667" s="376"/>
      <c r="D667" s="376"/>
      <c r="E667" s="376"/>
      <c r="F667" s="376"/>
      <c r="G667" s="376"/>
      <c r="H667" s="376"/>
      <c r="I667" s="376"/>
      <c r="J667" s="376"/>
      <c r="K667" s="376"/>
      <c r="L667" s="376"/>
      <c r="M667" s="376"/>
      <c r="N667" s="376"/>
      <c r="O667" s="376"/>
      <c r="P667" s="376"/>
      <c r="Q667" s="376"/>
      <c r="R667" s="376"/>
      <c r="S667" s="376"/>
      <c r="T667" s="376"/>
      <c r="U667" s="376"/>
      <c r="V667" s="376"/>
      <c r="W667" s="376"/>
      <c r="X667" s="376"/>
      <c r="Y667" s="376"/>
      <c r="Z667" s="376"/>
    </row>
    <row r="668">
      <c r="A668" s="376"/>
      <c r="B668" s="376"/>
      <c r="C668" s="376"/>
      <c r="D668" s="376"/>
      <c r="E668" s="376"/>
      <c r="F668" s="376"/>
      <c r="G668" s="376"/>
      <c r="H668" s="376"/>
      <c r="I668" s="376"/>
      <c r="J668" s="376"/>
      <c r="K668" s="376"/>
      <c r="L668" s="376"/>
      <c r="M668" s="376"/>
      <c r="N668" s="376"/>
      <c r="O668" s="376"/>
      <c r="P668" s="376"/>
      <c r="Q668" s="376"/>
      <c r="R668" s="376"/>
      <c r="S668" s="376"/>
      <c r="T668" s="376"/>
      <c r="U668" s="376"/>
      <c r="V668" s="376"/>
      <c r="W668" s="376"/>
      <c r="X668" s="376"/>
      <c r="Y668" s="376"/>
      <c r="Z668" s="376"/>
    </row>
    <row r="669">
      <c r="A669" s="376"/>
      <c r="B669" s="376"/>
      <c r="C669" s="376"/>
      <c r="D669" s="376"/>
      <c r="E669" s="376"/>
      <c r="F669" s="376"/>
      <c r="G669" s="376"/>
      <c r="H669" s="376"/>
      <c r="I669" s="376"/>
      <c r="J669" s="376"/>
      <c r="K669" s="376"/>
      <c r="L669" s="376"/>
      <c r="M669" s="376"/>
      <c r="N669" s="376"/>
      <c r="O669" s="376"/>
      <c r="P669" s="376"/>
      <c r="Q669" s="376"/>
      <c r="R669" s="376"/>
      <c r="S669" s="376"/>
      <c r="T669" s="376"/>
      <c r="U669" s="376"/>
      <c r="V669" s="376"/>
      <c r="W669" s="376"/>
      <c r="X669" s="376"/>
      <c r="Y669" s="376"/>
      <c r="Z669" s="376"/>
    </row>
    <row r="670">
      <c r="A670" s="376"/>
      <c r="B670" s="376"/>
      <c r="C670" s="376"/>
      <c r="D670" s="376"/>
      <c r="E670" s="376"/>
      <c r="F670" s="376"/>
      <c r="G670" s="376"/>
      <c r="H670" s="376"/>
      <c r="I670" s="376"/>
      <c r="J670" s="376"/>
      <c r="K670" s="376"/>
      <c r="L670" s="376"/>
      <c r="M670" s="376"/>
      <c r="N670" s="376"/>
      <c r="O670" s="376"/>
      <c r="P670" s="376"/>
      <c r="Q670" s="376"/>
      <c r="R670" s="376"/>
      <c r="S670" s="376"/>
      <c r="T670" s="376"/>
      <c r="U670" s="376"/>
      <c r="V670" s="376"/>
      <c r="W670" s="376"/>
      <c r="X670" s="376"/>
      <c r="Y670" s="376"/>
      <c r="Z670" s="376"/>
    </row>
    <row r="671">
      <c r="A671" s="376"/>
      <c r="B671" s="376"/>
      <c r="C671" s="376"/>
      <c r="D671" s="376"/>
      <c r="E671" s="376"/>
      <c r="F671" s="376"/>
      <c r="G671" s="376"/>
      <c r="H671" s="376"/>
      <c r="I671" s="376"/>
      <c r="J671" s="376"/>
      <c r="K671" s="376"/>
      <c r="L671" s="376"/>
      <c r="M671" s="376"/>
      <c r="N671" s="376"/>
      <c r="O671" s="376"/>
      <c r="P671" s="376"/>
      <c r="Q671" s="376"/>
      <c r="R671" s="376"/>
      <c r="S671" s="376"/>
      <c r="T671" s="376"/>
      <c r="U671" s="376"/>
      <c r="V671" s="376"/>
      <c r="W671" s="376"/>
      <c r="X671" s="376"/>
      <c r="Y671" s="376"/>
      <c r="Z671" s="376"/>
    </row>
    <row r="672">
      <c r="A672" s="376"/>
      <c r="B672" s="376"/>
      <c r="C672" s="376"/>
      <c r="D672" s="376"/>
      <c r="E672" s="376"/>
      <c r="F672" s="376"/>
      <c r="G672" s="376"/>
      <c r="H672" s="376"/>
      <c r="I672" s="376"/>
      <c r="J672" s="376"/>
      <c r="K672" s="376"/>
      <c r="L672" s="376"/>
      <c r="M672" s="376"/>
      <c r="N672" s="376"/>
      <c r="O672" s="376"/>
      <c r="P672" s="376"/>
      <c r="Q672" s="376"/>
      <c r="R672" s="376"/>
      <c r="S672" s="376"/>
      <c r="T672" s="376"/>
      <c r="U672" s="376"/>
      <c r="V672" s="376"/>
      <c r="W672" s="376"/>
      <c r="X672" s="376"/>
      <c r="Y672" s="376"/>
      <c r="Z672" s="376"/>
    </row>
    <row r="673">
      <c r="A673" s="376"/>
      <c r="B673" s="376"/>
      <c r="C673" s="376"/>
      <c r="D673" s="376"/>
      <c r="E673" s="376"/>
      <c r="F673" s="376"/>
      <c r="G673" s="376"/>
      <c r="H673" s="376"/>
      <c r="I673" s="376"/>
      <c r="J673" s="376"/>
      <c r="K673" s="376"/>
      <c r="L673" s="376"/>
      <c r="M673" s="376"/>
      <c r="N673" s="376"/>
      <c r="O673" s="376"/>
      <c r="P673" s="376"/>
      <c r="Q673" s="376"/>
      <c r="R673" s="376"/>
      <c r="S673" s="376"/>
      <c r="T673" s="376"/>
      <c r="U673" s="376"/>
      <c r="V673" s="376"/>
      <c r="W673" s="376"/>
      <c r="X673" s="376"/>
      <c r="Y673" s="376"/>
      <c r="Z673" s="376"/>
    </row>
    <row r="674">
      <c r="A674" s="376"/>
      <c r="B674" s="376"/>
      <c r="C674" s="376"/>
      <c r="D674" s="376"/>
      <c r="E674" s="376"/>
      <c r="F674" s="376"/>
      <c r="G674" s="376"/>
      <c r="H674" s="376"/>
      <c r="I674" s="376"/>
      <c r="J674" s="376"/>
      <c r="K674" s="376"/>
      <c r="L674" s="376"/>
      <c r="M674" s="376"/>
      <c r="N674" s="376"/>
      <c r="O674" s="376"/>
      <c r="P674" s="376"/>
      <c r="Q674" s="376"/>
      <c r="R674" s="376"/>
      <c r="S674" s="376"/>
      <c r="T674" s="376"/>
      <c r="U674" s="376"/>
      <c r="V674" s="376"/>
      <c r="W674" s="376"/>
      <c r="X674" s="376"/>
      <c r="Y674" s="376"/>
      <c r="Z674" s="376"/>
    </row>
    <row r="675">
      <c r="A675" s="376"/>
      <c r="B675" s="376"/>
      <c r="C675" s="376"/>
      <c r="D675" s="376"/>
      <c r="E675" s="376"/>
      <c r="F675" s="376"/>
      <c r="G675" s="376"/>
      <c r="H675" s="376"/>
      <c r="I675" s="376"/>
      <c r="J675" s="376"/>
      <c r="K675" s="376"/>
      <c r="L675" s="376"/>
      <c r="M675" s="376"/>
      <c r="N675" s="376"/>
      <c r="O675" s="376"/>
      <c r="P675" s="376"/>
      <c r="Q675" s="376"/>
      <c r="R675" s="376"/>
      <c r="S675" s="376"/>
      <c r="T675" s="376"/>
      <c r="U675" s="376"/>
      <c r="V675" s="376"/>
      <c r="W675" s="376"/>
      <c r="X675" s="376"/>
      <c r="Y675" s="376"/>
      <c r="Z675" s="376"/>
    </row>
    <row r="676">
      <c r="A676" s="376"/>
      <c r="B676" s="376"/>
      <c r="C676" s="376"/>
      <c r="D676" s="376"/>
      <c r="E676" s="376"/>
      <c r="F676" s="376"/>
      <c r="G676" s="376"/>
      <c r="H676" s="376"/>
      <c r="I676" s="376"/>
      <c r="J676" s="376"/>
      <c r="K676" s="376"/>
      <c r="L676" s="376"/>
      <c r="M676" s="376"/>
      <c r="N676" s="376"/>
      <c r="O676" s="376"/>
      <c r="P676" s="376"/>
      <c r="Q676" s="376"/>
      <c r="R676" s="376"/>
      <c r="S676" s="376"/>
      <c r="T676" s="376"/>
      <c r="U676" s="376"/>
      <c r="V676" s="376"/>
      <c r="W676" s="376"/>
      <c r="X676" s="376"/>
      <c r="Y676" s="376"/>
      <c r="Z676" s="376"/>
    </row>
    <row r="677">
      <c r="A677" s="376"/>
      <c r="B677" s="376"/>
      <c r="C677" s="376"/>
      <c r="D677" s="376"/>
      <c r="E677" s="376"/>
      <c r="F677" s="376"/>
      <c r="G677" s="376"/>
      <c r="H677" s="376"/>
      <c r="I677" s="376"/>
      <c r="J677" s="376"/>
      <c r="K677" s="376"/>
      <c r="L677" s="376"/>
      <c r="M677" s="376"/>
      <c r="N677" s="376"/>
      <c r="O677" s="376"/>
      <c r="P677" s="376"/>
      <c r="Q677" s="376"/>
      <c r="R677" s="376"/>
      <c r="S677" s="376"/>
      <c r="T677" s="376"/>
      <c r="U677" s="376"/>
      <c r="V677" s="376"/>
      <c r="W677" s="376"/>
      <c r="X677" s="376"/>
      <c r="Y677" s="376"/>
      <c r="Z677" s="376"/>
    </row>
    <row r="678">
      <c r="A678" s="376"/>
      <c r="B678" s="376"/>
      <c r="C678" s="376"/>
      <c r="D678" s="376"/>
      <c r="E678" s="376"/>
      <c r="F678" s="376"/>
      <c r="G678" s="376"/>
      <c r="H678" s="376"/>
      <c r="I678" s="376"/>
      <c r="J678" s="376"/>
      <c r="K678" s="376"/>
      <c r="L678" s="376"/>
      <c r="M678" s="376"/>
      <c r="N678" s="376"/>
      <c r="O678" s="376"/>
      <c r="P678" s="376"/>
      <c r="Q678" s="376"/>
      <c r="R678" s="376"/>
      <c r="S678" s="376"/>
      <c r="T678" s="376"/>
      <c r="U678" s="376"/>
      <c r="V678" s="376"/>
      <c r="W678" s="376"/>
      <c r="X678" s="376"/>
      <c r="Y678" s="376"/>
      <c r="Z678" s="376"/>
    </row>
    <row r="679">
      <c r="A679" s="376"/>
      <c r="B679" s="376"/>
      <c r="C679" s="376"/>
      <c r="D679" s="376"/>
      <c r="E679" s="376"/>
      <c r="F679" s="376"/>
      <c r="G679" s="376"/>
      <c r="H679" s="376"/>
      <c r="I679" s="376"/>
      <c r="J679" s="376"/>
      <c r="K679" s="376"/>
      <c r="L679" s="376"/>
      <c r="M679" s="376"/>
      <c r="N679" s="376"/>
      <c r="O679" s="376"/>
      <c r="P679" s="376"/>
      <c r="Q679" s="376"/>
      <c r="R679" s="376"/>
      <c r="S679" s="376"/>
      <c r="T679" s="376"/>
      <c r="U679" s="376"/>
      <c r="V679" s="376"/>
      <c r="W679" s="376"/>
      <c r="X679" s="376"/>
      <c r="Y679" s="376"/>
      <c r="Z679" s="376"/>
    </row>
    <row r="680">
      <c r="A680" s="376"/>
      <c r="B680" s="376"/>
      <c r="C680" s="376"/>
      <c r="D680" s="376"/>
      <c r="E680" s="376"/>
      <c r="F680" s="376"/>
      <c r="G680" s="376"/>
      <c r="H680" s="376"/>
      <c r="I680" s="376"/>
      <c r="J680" s="376"/>
      <c r="K680" s="376"/>
      <c r="L680" s="376"/>
      <c r="M680" s="376"/>
      <c r="N680" s="376"/>
      <c r="O680" s="376"/>
      <c r="P680" s="376"/>
      <c r="Q680" s="376"/>
      <c r="R680" s="376"/>
      <c r="S680" s="376"/>
      <c r="T680" s="376"/>
      <c r="U680" s="376"/>
      <c r="V680" s="376"/>
      <c r="W680" s="376"/>
      <c r="X680" s="376"/>
      <c r="Y680" s="376"/>
      <c r="Z680" s="376"/>
    </row>
    <row r="681">
      <c r="A681" s="376"/>
      <c r="B681" s="376"/>
      <c r="C681" s="376"/>
      <c r="D681" s="376"/>
      <c r="E681" s="376"/>
      <c r="F681" s="376"/>
      <c r="G681" s="376"/>
      <c r="H681" s="376"/>
      <c r="I681" s="376"/>
      <c r="J681" s="376"/>
      <c r="K681" s="376"/>
      <c r="L681" s="376"/>
      <c r="M681" s="376"/>
      <c r="N681" s="376"/>
      <c r="O681" s="376"/>
      <c r="P681" s="376"/>
      <c r="Q681" s="376"/>
      <c r="R681" s="376"/>
      <c r="S681" s="376"/>
      <c r="T681" s="376"/>
      <c r="U681" s="376"/>
      <c r="V681" s="376"/>
      <c r="W681" s="376"/>
      <c r="X681" s="376"/>
      <c r="Y681" s="376"/>
      <c r="Z681" s="376"/>
    </row>
    <row r="682">
      <c r="A682" s="376"/>
      <c r="B682" s="376"/>
      <c r="C682" s="376"/>
      <c r="D682" s="376"/>
      <c r="E682" s="376"/>
      <c r="F682" s="376"/>
      <c r="G682" s="376"/>
      <c r="H682" s="376"/>
      <c r="I682" s="376"/>
      <c r="J682" s="376"/>
      <c r="K682" s="376"/>
      <c r="L682" s="376"/>
      <c r="M682" s="376"/>
      <c r="N682" s="376"/>
      <c r="O682" s="376"/>
      <c r="P682" s="376"/>
      <c r="Q682" s="376"/>
      <c r="R682" s="376"/>
      <c r="S682" s="376"/>
      <c r="T682" s="376"/>
      <c r="U682" s="376"/>
      <c r="V682" s="376"/>
      <c r="W682" s="376"/>
      <c r="X682" s="376"/>
      <c r="Y682" s="376"/>
      <c r="Z682" s="376"/>
    </row>
    <row r="683">
      <c r="A683" s="376"/>
      <c r="B683" s="376"/>
      <c r="C683" s="376"/>
      <c r="D683" s="376"/>
      <c r="E683" s="376"/>
      <c r="F683" s="376"/>
      <c r="G683" s="376"/>
      <c r="H683" s="376"/>
      <c r="I683" s="376"/>
      <c r="J683" s="376"/>
      <c r="K683" s="376"/>
      <c r="L683" s="376"/>
      <c r="M683" s="376"/>
      <c r="N683" s="376"/>
      <c r="O683" s="376"/>
      <c r="P683" s="376"/>
      <c r="Q683" s="376"/>
      <c r="R683" s="376"/>
      <c r="S683" s="376"/>
      <c r="T683" s="376"/>
      <c r="U683" s="376"/>
      <c r="V683" s="376"/>
      <c r="W683" s="376"/>
      <c r="X683" s="376"/>
      <c r="Y683" s="376"/>
      <c r="Z683" s="376"/>
    </row>
    <row r="684">
      <c r="A684" s="376"/>
      <c r="B684" s="376"/>
      <c r="C684" s="376"/>
      <c r="D684" s="376"/>
      <c r="E684" s="376"/>
      <c r="F684" s="376"/>
      <c r="G684" s="376"/>
      <c r="H684" s="376"/>
      <c r="I684" s="376"/>
      <c r="J684" s="376"/>
      <c r="K684" s="376"/>
      <c r="L684" s="376"/>
      <c r="M684" s="376"/>
      <c r="N684" s="376"/>
      <c r="O684" s="376"/>
      <c r="P684" s="376"/>
      <c r="Q684" s="376"/>
      <c r="R684" s="376"/>
      <c r="S684" s="376"/>
      <c r="T684" s="376"/>
      <c r="U684" s="376"/>
      <c r="V684" s="376"/>
      <c r="W684" s="376"/>
      <c r="X684" s="376"/>
      <c r="Y684" s="376"/>
      <c r="Z684" s="376"/>
    </row>
    <row r="685">
      <c r="A685" s="376"/>
      <c r="B685" s="376"/>
      <c r="C685" s="376"/>
      <c r="D685" s="376"/>
      <c r="E685" s="376"/>
      <c r="F685" s="376"/>
      <c r="G685" s="376"/>
      <c r="H685" s="376"/>
      <c r="I685" s="376"/>
      <c r="J685" s="376"/>
      <c r="K685" s="376"/>
      <c r="L685" s="376"/>
      <c r="M685" s="376"/>
      <c r="N685" s="376"/>
      <c r="O685" s="376"/>
      <c r="P685" s="376"/>
      <c r="Q685" s="376"/>
      <c r="R685" s="376"/>
      <c r="S685" s="376"/>
      <c r="T685" s="376"/>
      <c r="U685" s="376"/>
      <c r="V685" s="376"/>
      <c r="W685" s="376"/>
      <c r="X685" s="376"/>
      <c r="Y685" s="376"/>
      <c r="Z685" s="376"/>
    </row>
    <row r="686">
      <c r="A686" s="376"/>
      <c r="B686" s="376"/>
      <c r="C686" s="376"/>
      <c r="D686" s="376"/>
      <c r="E686" s="376"/>
      <c r="F686" s="376"/>
      <c r="G686" s="376"/>
      <c r="H686" s="376"/>
      <c r="I686" s="376"/>
      <c r="J686" s="376"/>
      <c r="K686" s="376"/>
      <c r="L686" s="376"/>
      <c r="M686" s="376"/>
      <c r="N686" s="376"/>
      <c r="O686" s="376"/>
      <c r="P686" s="376"/>
      <c r="Q686" s="376"/>
      <c r="R686" s="376"/>
      <c r="S686" s="376"/>
      <c r="T686" s="376"/>
      <c r="U686" s="376"/>
      <c r="V686" s="376"/>
      <c r="W686" s="376"/>
      <c r="X686" s="376"/>
      <c r="Y686" s="376"/>
      <c r="Z686" s="376"/>
    </row>
    <row r="687">
      <c r="A687" s="376"/>
      <c r="B687" s="376"/>
      <c r="C687" s="376"/>
      <c r="D687" s="376"/>
      <c r="E687" s="376"/>
      <c r="F687" s="376"/>
      <c r="G687" s="376"/>
      <c r="H687" s="376"/>
      <c r="I687" s="376"/>
      <c r="J687" s="376"/>
      <c r="K687" s="376"/>
      <c r="L687" s="376"/>
      <c r="M687" s="376"/>
      <c r="N687" s="376"/>
      <c r="O687" s="376"/>
      <c r="P687" s="376"/>
      <c r="Q687" s="376"/>
      <c r="R687" s="376"/>
      <c r="S687" s="376"/>
      <c r="T687" s="376"/>
      <c r="U687" s="376"/>
      <c r="V687" s="376"/>
      <c r="W687" s="376"/>
      <c r="X687" s="376"/>
      <c r="Y687" s="376"/>
      <c r="Z687" s="376"/>
    </row>
    <row r="688">
      <c r="A688" s="376"/>
      <c r="B688" s="376"/>
      <c r="C688" s="376"/>
      <c r="D688" s="376"/>
      <c r="E688" s="376"/>
      <c r="F688" s="376"/>
      <c r="G688" s="376"/>
      <c r="H688" s="376"/>
      <c r="I688" s="376"/>
      <c r="J688" s="376"/>
      <c r="K688" s="376"/>
      <c r="L688" s="376"/>
      <c r="M688" s="376"/>
      <c r="N688" s="376"/>
      <c r="O688" s="376"/>
      <c r="P688" s="376"/>
      <c r="Q688" s="376"/>
      <c r="R688" s="376"/>
      <c r="S688" s="376"/>
      <c r="T688" s="376"/>
      <c r="U688" s="376"/>
      <c r="V688" s="376"/>
      <c r="W688" s="376"/>
      <c r="X688" s="376"/>
      <c r="Y688" s="376"/>
      <c r="Z688" s="376"/>
    </row>
    <row r="689">
      <c r="A689" s="376"/>
      <c r="B689" s="376"/>
      <c r="C689" s="376"/>
      <c r="D689" s="376"/>
      <c r="E689" s="376"/>
      <c r="F689" s="376"/>
      <c r="G689" s="376"/>
      <c r="H689" s="376"/>
      <c r="I689" s="376"/>
      <c r="J689" s="376"/>
      <c r="K689" s="376"/>
      <c r="L689" s="376"/>
      <c r="M689" s="376"/>
      <c r="N689" s="376"/>
      <c r="O689" s="376"/>
      <c r="P689" s="376"/>
      <c r="Q689" s="376"/>
      <c r="R689" s="376"/>
      <c r="S689" s="376"/>
      <c r="T689" s="376"/>
      <c r="U689" s="376"/>
      <c r="V689" s="376"/>
      <c r="W689" s="376"/>
      <c r="X689" s="376"/>
      <c r="Y689" s="376"/>
      <c r="Z689" s="376"/>
    </row>
    <row r="690">
      <c r="A690" s="376"/>
      <c r="B690" s="376"/>
      <c r="C690" s="376"/>
      <c r="D690" s="376"/>
      <c r="E690" s="376"/>
      <c r="F690" s="376"/>
      <c r="G690" s="376"/>
      <c r="H690" s="376"/>
      <c r="I690" s="376"/>
      <c r="J690" s="376"/>
      <c r="K690" s="376"/>
      <c r="L690" s="376"/>
      <c r="M690" s="376"/>
      <c r="N690" s="376"/>
      <c r="O690" s="376"/>
      <c r="P690" s="376"/>
      <c r="Q690" s="376"/>
      <c r="R690" s="376"/>
      <c r="S690" s="376"/>
      <c r="T690" s="376"/>
      <c r="U690" s="376"/>
      <c r="V690" s="376"/>
      <c r="W690" s="376"/>
      <c r="X690" s="376"/>
      <c r="Y690" s="376"/>
      <c r="Z690" s="376"/>
    </row>
    <row r="691">
      <c r="A691" s="376"/>
      <c r="B691" s="376"/>
      <c r="C691" s="376"/>
      <c r="D691" s="376"/>
      <c r="E691" s="376"/>
      <c r="F691" s="376"/>
      <c r="G691" s="376"/>
      <c r="H691" s="376"/>
      <c r="I691" s="376"/>
      <c r="J691" s="376"/>
      <c r="K691" s="376"/>
      <c r="L691" s="376"/>
      <c r="M691" s="376"/>
      <c r="N691" s="376"/>
      <c r="O691" s="376"/>
      <c r="P691" s="376"/>
      <c r="Q691" s="376"/>
      <c r="R691" s="376"/>
      <c r="S691" s="376"/>
      <c r="T691" s="376"/>
      <c r="U691" s="376"/>
      <c r="V691" s="376"/>
      <c r="W691" s="376"/>
      <c r="X691" s="376"/>
      <c r="Y691" s="376"/>
      <c r="Z691" s="376"/>
    </row>
    <row r="692">
      <c r="A692" s="376"/>
      <c r="B692" s="376"/>
      <c r="C692" s="376"/>
      <c r="D692" s="376"/>
      <c r="E692" s="376"/>
      <c r="F692" s="376"/>
      <c r="G692" s="376"/>
      <c r="H692" s="376"/>
      <c r="I692" s="376"/>
      <c r="J692" s="376"/>
      <c r="K692" s="376"/>
      <c r="L692" s="376"/>
      <c r="M692" s="376"/>
      <c r="N692" s="376"/>
      <c r="O692" s="376"/>
      <c r="P692" s="376"/>
      <c r="Q692" s="376"/>
      <c r="R692" s="376"/>
      <c r="S692" s="376"/>
      <c r="T692" s="376"/>
      <c r="U692" s="376"/>
      <c r="V692" s="376"/>
      <c r="W692" s="376"/>
      <c r="X692" s="376"/>
      <c r="Y692" s="376"/>
      <c r="Z692" s="376"/>
    </row>
    <row r="693">
      <c r="A693" s="376"/>
      <c r="B693" s="376"/>
      <c r="C693" s="376"/>
      <c r="D693" s="376"/>
      <c r="E693" s="376"/>
      <c r="F693" s="376"/>
      <c r="G693" s="376"/>
      <c r="H693" s="376"/>
      <c r="I693" s="376"/>
      <c r="J693" s="376"/>
      <c r="K693" s="376"/>
      <c r="L693" s="376"/>
      <c r="M693" s="376"/>
      <c r="N693" s="376"/>
      <c r="O693" s="376"/>
      <c r="P693" s="376"/>
      <c r="Q693" s="376"/>
      <c r="R693" s="376"/>
      <c r="S693" s="376"/>
      <c r="T693" s="376"/>
      <c r="U693" s="376"/>
      <c r="V693" s="376"/>
      <c r="W693" s="376"/>
      <c r="X693" s="376"/>
      <c r="Y693" s="376"/>
      <c r="Z693" s="376"/>
    </row>
    <row r="694">
      <c r="A694" s="376"/>
      <c r="B694" s="376"/>
      <c r="C694" s="376"/>
      <c r="D694" s="376"/>
      <c r="E694" s="376"/>
      <c r="F694" s="376"/>
      <c r="G694" s="376"/>
      <c r="H694" s="376"/>
      <c r="I694" s="376"/>
      <c r="J694" s="376"/>
      <c r="K694" s="376"/>
      <c r="L694" s="376"/>
      <c r="M694" s="376"/>
      <c r="N694" s="376"/>
      <c r="O694" s="376"/>
      <c r="P694" s="376"/>
      <c r="Q694" s="376"/>
      <c r="R694" s="376"/>
      <c r="S694" s="376"/>
      <c r="T694" s="376"/>
      <c r="U694" s="376"/>
      <c r="V694" s="376"/>
      <c r="W694" s="376"/>
      <c r="X694" s="376"/>
      <c r="Y694" s="376"/>
      <c r="Z694" s="376"/>
    </row>
    <row r="695">
      <c r="A695" s="376"/>
      <c r="B695" s="376"/>
      <c r="C695" s="376"/>
      <c r="D695" s="376"/>
      <c r="E695" s="376"/>
      <c r="F695" s="376"/>
      <c r="G695" s="376"/>
      <c r="H695" s="376"/>
      <c r="I695" s="376"/>
      <c r="J695" s="376"/>
      <c r="K695" s="376"/>
      <c r="L695" s="376"/>
      <c r="M695" s="376"/>
      <c r="N695" s="376"/>
      <c r="O695" s="376"/>
      <c r="P695" s="376"/>
      <c r="Q695" s="376"/>
      <c r="R695" s="376"/>
      <c r="S695" s="376"/>
      <c r="T695" s="376"/>
      <c r="U695" s="376"/>
      <c r="V695" s="376"/>
      <c r="W695" s="376"/>
      <c r="X695" s="376"/>
      <c r="Y695" s="376"/>
      <c r="Z695" s="376"/>
    </row>
    <row r="696">
      <c r="A696" s="376"/>
      <c r="B696" s="376"/>
      <c r="C696" s="376"/>
      <c r="D696" s="376"/>
      <c r="E696" s="376"/>
      <c r="F696" s="376"/>
      <c r="G696" s="376"/>
      <c r="H696" s="376"/>
      <c r="I696" s="376"/>
      <c r="J696" s="376"/>
      <c r="K696" s="376"/>
      <c r="L696" s="376"/>
      <c r="M696" s="376"/>
      <c r="N696" s="376"/>
      <c r="O696" s="376"/>
      <c r="P696" s="376"/>
      <c r="Q696" s="376"/>
      <c r="R696" s="376"/>
      <c r="S696" s="376"/>
      <c r="T696" s="376"/>
      <c r="U696" s="376"/>
      <c r="V696" s="376"/>
      <c r="W696" s="376"/>
      <c r="X696" s="376"/>
      <c r="Y696" s="376"/>
      <c r="Z696" s="376"/>
    </row>
    <row r="697">
      <c r="A697" s="376"/>
      <c r="B697" s="376"/>
      <c r="C697" s="376"/>
      <c r="D697" s="376"/>
      <c r="E697" s="376"/>
      <c r="F697" s="376"/>
      <c r="G697" s="376"/>
      <c r="H697" s="376"/>
      <c r="I697" s="376"/>
      <c r="J697" s="376"/>
      <c r="K697" s="376"/>
      <c r="L697" s="376"/>
      <c r="M697" s="376"/>
      <c r="N697" s="376"/>
      <c r="O697" s="376"/>
      <c r="P697" s="376"/>
      <c r="Q697" s="376"/>
      <c r="R697" s="376"/>
      <c r="S697" s="376"/>
      <c r="T697" s="376"/>
      <c r="U697" s="376"/>
      <c r="V697" s="376"/>
      <c r="W697" s="376"/>
      <c r="X697" s="376"/>
      <c r="Y697" s="376"/>
      <c r="Z697" s="376"/>
    </row>
    <row r="698">
      <c r="A698" s="376"/>
      <c r="B698" s="376"/>
      <c r="C698" s="376"/>
      <c r="D698" s="376"/>
      <c r="E698" s="376"/>
      <c r="F698" s="376"/>
      <c r="G698" s="376"/>
      <c r="H698" s="376"/>
      <c r="I698" s="376"/>
      <c r="J698" s="376"/>
      <c r="K698" s="376"/>
      <c r="L698" s="376"/>
      <c r="M698" s="376"/>
      <c r="N698" s="376"/>
      <c r="O698" s="376"/>
      <c r="P698" s="376"/>
      <c r="Q698" s="376"/>
      <c r="R698" s="376"/>
      <c r="S698" s="376"/>
      <c r="T698" s="376"/>
      <c r="U698" s="376"/>
      <c r="V698" s="376"/>
      <c r="W698" s="376"/>
      <c r="X698" s="376"/>
      <c r="Y698" s="376"/>
      <c r="Z698" s="376"/>
    </row>
    <row r="699">
      <c r="A699" s="376"/>
      <c r="B699" s="376"/>
      <c r="C699" s="376"/>
      <c r="D699" s="376"/>
      <c r="E699" s="376"/>
      <c r="F699" s="376"/>
      <c r="G699" s="376"/>
      <c r="H699" s="376"/>
      <c r="I699" s="376"/>
      <c r="J699" s="376"/>
      <c r="K699" s="376"/>
      <c r="L699" s="376"/>
      <c r="M699" s="376"/>
      <c r="N699" s="376"/>
      <c r="O699" s="376"/>
      <c r="P699" s="376"/>
      <c r="Q699" s="376"/>
      <c r="R699" s="376"/>
      <c r="S699" s="376"/>
      <c r="T699" s="376"/>
      <c r="U699" s="376"/>
      <c r="V699" s="376"/>
      <c r="W699" s="376"/>
      <c r="X699" s="376"/>
      <c r="Y699" s="376"/>
      <c r="Z699" s="376"/>
    </row>
    <row r="700">
      <c r="A700" s="376"/>
      <c r="B700" s="376"/>
      <c r="C700" s="376"/>
      <c r="D700" s="376"/>
      <c r="E700" s="376"/>
      <c r="F700" s="376"/>
      <c r="G700" s="376"/>
      <c r="H700" s="376"/>
      <c r="I700" s="376"/>
      <c r="J700" s="376"/>
      <c r="K700" s="376"/>
      <c r="L700" s="376"/>
      <c r="M700" s="376"/>
      <c r="N700" s="376"/>
      <c r="O700" s="376"/>
      <c r="P700" s="376"/>
      <c r="Q700" s="376"/>
      <c r="R700" s="376"/>
      <c r="S700" s="376"/>
      <c r="T700" s="376"/>
      <c r="U700" s="376"/>
      <c r="V700" s="376"/>
      <c r="W700" s="376"/>
      <c r="X700" s="376"/>
      <c r="Y700" s="376"/>
      <c r="Z700" s="376"/>
    </row>
    <row r="701">
      <c r="A701" s="376"/>
      <c r="B701" s="376"/>
      <c r="C701" s="376"/>
      <c r="D701" s="376"/>
      <c r="E701" s="376"/>
      <c r="F701" s="376"/>
      <c r="G701" s="376"/>
      <c r="H701" s="376"/>
      <c r="I701" s="376"/>
      <c r="J701" s="376"/>
      <c r="K701" s="376"/>
      <c r="L701" s="376"/>
      <c r="M701" s="376"/>
      <c r="N701" s="376"/>
      <c r="O701" s="376"/>
      <c r="P701" s="376"/>
      <c r="Q701" s="376"/>
      <c r="R701" s="376"/>
      <c r="S701" s="376"/>
      <c r="T701" s="376"/>
      <c r="U701" s="376"/>
      <c r="V701" s="376"/>
      <c r="W701" s="376"/>
      <c r="X701" s="376"/>
      <c r="Y701" s="376"/>
      <c r="Z701" s="376"/>
    </row>
    <row r="702">
      <c r="A702" s="376"/>
      <c r="B702" s="376"/>
      <c r="C702" s="376"/>
      <c r="D702" s="376"/>
      <c r="E702" s="376"/>
      <c r="F702" s="376"/>
      <c r="G702" s="376"/>
      <c r="H702" s="376"/>
      <c r="I702" s="376"/>
      <c r="J702" s="376"/>
      <c r="K702" s="376"/>
      <c r="L702" s="376"/>
      <c r="M702" s="376"/>
      <c r="N702" s="376"/>
      <c r="O702" s="376"/>
      <c r="P702" s="376"/>
      <c r="Q702" s="376"/>
      <c r="R702" s="376"/>
      <c r="S702" s="376"/>
      <c r="T702" s="376"/>
      <c r="U702" s="376"/>
      <c r="V702" s="376"/>
      <c r="W702" s="376"/>
      <c r="X702" s="376"/>
      <c r="Y702" s="376"/>
      <c r="Z702" s="376"/>
    </row>
    <row r="703">
      <c r="A703" s="376"/>
      <c r="B703" s="376"/>
      <c r="C703" s="376"/>
      <c r="D703" s="376"/>
      <c r="E703" s="376"/>
      <c r="F703" s="376"/>
      <c r="G703" s="376"/>
      <c r="H703" s="376"/>
      <c r="I703" s="376"/>
      <c r="J703" s="376"/>
      <c r="K703" s="376"/>
      <c r="L703" s="376"/>
      <c r="M703" s="376"/>
      <c r="N703" s="376"/>
      <c r="O703" s="376"/>
      <c r="P703" s="376"/>
      <c r="Q703" s="376"/>
      <c r="R703" s="376"/>
      <c r="S703" s="376"/>
      <c r="T703" s="376"/>
      <c r="U703" s="376"/>
      <c r="V703" s="376"/>
      <c r="W703" s="376"/>
      <c r="X703" s="376"/>
      <c r="Y703" s="376"/>
      <c r="Z703" s="376"/>
    </row>
    <row r="704">
      <c r="A704" s="376"/>
      <c r="B704" s="376"/>
      <c r="C704" s="376"/>
      <c r="D704" s="376"/>
      <c r="E704" s="376"/>
      <c r="F704" s="376"/>
      <c r="G704" s="376"/>
      <c r="H704" s="376"/>
      <c r="I704" s="376"/>
      <c r="J704" s="376"/>
      <c r="K704" s="376"/>
      <c r="L704" s="376"/>
      <c r="M704" s="376"/>
      <c r="N704" s="376"/>
      <c r="O704" s="376"/>
      <c r="P704" s="376"/>
      <c r="Q704" s="376"/>
      <c r="R704" s="376"/>
      <c r="S704" s="376"/>
      <c r="T704" s="376"/>
      <c r="U704" s="376"/>
      <c r="V704" s="376"/>
      <c r="W704" s="376"/>
      <c r="X704" s="376"/>
      <c r="Y704" s="376"/>
      <c r="Z704" s="376"/>
    </row>
    <row r="705">
      <c r="A705" s="376"/>
      <c r="B705" s="376"/>
      <c r="C705" s="376"/>
      <c r="D705" s="376"/>
      <c r="E705" s="376"/>
      <c r="F705" s="376"/>
      <c r="G705" s="376"/>
      <c r="H705" s="376"/>
      <c r="I705" s="376"/>
      <c r="J705" s="376"/>
      <c r="K705" s="376"/>
      <c r="L705" s="376"/>
      <c r="M705" s="376"/>
      <c r="N705" s="376"/>
      <c r="O705" s="376"/>
      <c r="P705" s="376"/>
      <c r="Q705" s="376"/>
      <c r="R705" s="376"/>
      <c r="S705" s="376"/>
      <c r="T705" s="376"/>
      <c r="U705" s="376"/>
      <c r="V705" s="376"/>
      <c r="W705" s="376"/>
      <c r="X705" s="376"/>
      <c r="Y705" s="376"/>
      <c r="Z705" s="376"/>
    </row>
    <row r="706">
      <c r="A706" s="376"/>
      <c r="B706" s="376"/>
      <c r="C706" s="376"/>
      <c r="D706" s="376"/>
      <c r="E706" s="376"/>
      <c r="F706" s="376"/>
      <c r="G706" s="376"/>
      <c r="H706" s="376"/>
      <c r="I706" s="376"/>
      <c r="J706" s="376"/>
      <c r="K706" s="376"/>
      <c r="L706" s="376"/>
      <c r="M706" s="376"/>
      <c r="N706" s="376"/>
      <c r="O706" s="376"/>
      <c r="P706" s="376"/>
      <c r="Q706" s="376"/>
      <c r="R706" s="376"/>
      <c r="S706" s="376"/>
      <c r="T706" s="376"/>
      <c r="U706" s="376"/>
      <c r="V706" s="376"/>
      <c r="W706" s="376"/>
      <c r="X706" s="376"/>
      <c r="Y706" s="376"/>
      <c r="Z706" s="376"/>
    </row>
    <row r="707">
      <c r="A707" s="376"/>
      <c r="B707" s="376"/>
      <c r="C707" s="376"/>
      <c r="D707" s="376"/>
      <c r="E707" s="376"/>
      <c r="F707" s="376"/>
      <c r="G707" s="376"/>
      <c r="H707" s="376"/>
      <c r="I707" s="376"/>
      <c r="J707" s="376"/>
      <c r="K707" s="376"/>
      <c r="L707" s="376"/>
      <c r="M707" s="376"/>
      <c r="N707" s="376"/>
      <c r="O707" s="376"/>
      <c r="P707" s="376"/>
      <c r="Q707" s="376"/>
      <c r="R707" s="376"/>
      <c r="S707" s="376"/>
      <c r="T707" s="376"/>
      <c r="U707" s="376"/>
      <c r="V707" s="376"/>
      <c r="W707" s="376"/>
      <c r="X707" s="376"/>
      <c r="Y707" s="376"/>
      <c r="Z707" s="376"/>
    </row>
    <row r="708">
      <c r="A708" s="376"/>
      <c r="B708" s="376"/>
      <c r="C708" s="376"/>
      <c r="D708" s="376"/>
      <c r="E708" s="376"/>
      <c r="F708" s="376"/>
      <c r="G708" s="376"/>
      <c r="H708" s="376"/>
      <c r="I708" s="376"/>
      <c r="J708" s="376"/>
      <c r="K708" s="376"/>
      <c r="L708" s="376"/>
      <c r="M708" s="376"/>
      <c r="N708" s="376"/>
      <c r="O708" s="376"/>
      <c r="P708" s="376"/>
      <c r="Q708" s="376"/>
      <c r="R708" s="376"/>
      <c r="S708" s="376"/>
      <c r="T708" s="376"/>
      <c r="U708" s="376"/>
      <c r="V708" s="376"/>
      <c r="W708" s="376"/>
      <c r="X708" s="376"/>
      <c r="Y708" s="376"/>
      <c r="Z708" s="376"/>
    </row>
    <row r="709">
      <c r="A709" s="376"/>
      <c r="B709" s="376"/>
      <c r="C709" s="376"/>
      <c r="D709" s="376"/>
      <c r="E709" s="376"/>
      <c r="F709" s="376"/>
      <c r="G709" s="376"/>
      <c r="H709" s="376"/>
      <c r="I709" s="376"/>
      <c r="J709" s="376"/>
      <c r="K709" s="376"/>
      <c r="L709" s="376"/>
      <c r="M709" s="376"/>
      <c r="N709" s="376"/>
      <c r="O709" s="376"/>
      <c r="P709" s="376"/>
      <c r="Q709" s="376"/>
      <c r="R709" s="376"/>
      <c r="S709" s="376"/>
      <c r="T709" s="376"/>
      <c r="U709" s="376"/>
      <c r="V709" s="376"/>
      <c r="W709" s="376"/>
      <c r="X709" s="376"/>
      <c r="Y709" s="376"/>
      <c r="Z709" s="376"/>
    </row>
    <row r="710">
      <c r="A710" s="376"/>
      <c r="B710" s="376"/>
      <c r="C710" s="376"/>
      <c r="D710" s="376"/>
      <c r="E710" s="376"/>
      <c r="F710" s="376"/>
      <c r="G710" s="376"/>
      <c r="H710" s="376"/>
      <c r="I710" s="376"/>
      <c r="J710" s="376"/>
      <c r="K710" s="376"/>
      <c r="L710" s="376"/>
      <c r="M710" s="376"/>
      <c r="N710" s="376"/>
      <c r="O710" s="376"/>
      <c r="P710" s="376"/>
      <c r="Q710" s="376"/>
      <c r="R710" s="376"/>
      <c r="S710" s="376"/>
      <c r="T710" s="376"/>
      <c r="U710" s="376"/>
      <c r="V710" s="376"/>
      <c r="W710" s="376"/>
      <c r="X710" s="376"/>
      <c r="Y710" s="376"/>
      <c r="Z710" s="376"/>
    </row>
    <row r="711">
      <c r="A711" s="376"/>
      <c r="B711" s="376"/>
      <c r="C711" s="376"/>
      <c r="D711" s="376"/>
      <c r="E711" s="376"/>
      <c r="F711" s="376"/>
      <c r="G711" s="376"/>
      <c r="H711" s="376"/>
      <c r="I711" s="376"/>
      <c r="J711" s="376"/>
      <c r="K711" s="376"/>
      <c r="L711" s="376"/>
      <c r="M711" s="376"/>
      <c r="N711" s="376"/>
      <c r="O711" s="376"/>
      <c r="P711" s="376"/>
      <c r="Q711" s="376"/>
      <c r="R711" s="376"/>
      <c r="S711" s="376"/>
      <c r="T711" s="376"/>
      <c r="U711" s="376"/>
      <c r="V711" s="376"/>
      <c r="W711" s="376"/>
      <c r="X711" s="376"/>
      <c r="Y711" s="376"/>
      <c r="Z711" s="376"/>
    </row>
    <row r="712">
      <c r="A712" s="376"/>
      <c r="B712" s="376"/>
      <c r="C712" s="376"/>
      <c r="D712" s="376"/>
      <c r="E712" s="376"/>
      <c r="F712" s="376"/>
      <c r="G712" s="376"/>
      <c r="H712" s="376"/>
      <c r="I712" s="376"/>
      <c r="J712" s="376"/>
      <c r="K712" s="376"/>
      <c r="L712" s="376"/>
      <c r="M712" s="376"/>
      <c r="N712" s="376"/>
      <c r="O712" s="376"/>
      <c r="P712" s="376"/>
      <c r="Q712" s="376"/>
      <c r="R712" s="376"/>
      <c r="S712" s="376"/>
      <c r="T712" s="376"/>
      <c r="U712" s="376"/>
      <c r="V712" s="376"/>
      <c r="W712" s="376"/>
      <c r="X712" s="376"/>
      <c r="Y712" s="376"/>
      <c r="Z712" s="376"/>
    </row>
    <row r="713">
      <c r="A713" s="376"/>
      <c r="B713" s="376"/>
      <c r="C713" s="376"/>
      <c r="D713" s="376"/>
      <c r="E713" s="376"/>
      <c r="F713" s="376"/>
      <c r="G713" s="376"/>
      <c r="H713" s="376"/>
      <c r="I713" s="376"/>
      <c r="J713" s="376"/>
      <c r="K713" s="376"/>
      <c r="L713" s="376"/>
      <c r="M713" s="376"/>
      <c r="N713" s="376"/>
      <c r="O713" s="376"/>
      <c r="P713" s="376"/>
      <c r="Q713" s="376"/>
      <c r="R713" s="376"/>
      <c r="S713" s="376"/>
      <c r="T713" s="376"/>
      <c r="U713" s="376"/>
      <c r="V713" s="376"/>
      <c r="W713" s="376"/>
      <c r="X713" s="376"/>
      <c r="Y713" s="376"/>
      <c r="Z713" s="376"/>
    </row>
    <row r="714">
      <c r="A714" s="376"/>
      <c r="B714" s="376"/>
      <c r="C714" s="376"/>
      <c r="D714" s="376"/>
      <c r="E714" s="376"/>
      <c r="F714" s="376"/>
      <c r="G714" s="376"/>
      <c r="H714" s="376"/>
      <c r="I714" s="376"/>
      <c r="J714" s="376"/>
      <c r="K714" s="376"/>
      <c r="L714" s="376"/>
      <c r="M714" s="376"/>
      <c r="N714" s="376"/>
      <c r="O714" s="376"/>
      <c r="P714" s="376"/>
      <c r="Q714" s="376"/>
      <c r="R714" s="376"/>
      <c r="S714" s="376"/>
      <c r="T714" s="376"/>
      <c r="U714" s="376"/>
      <c r="V714" s="376"/>
      <c r="W714" s="376"/>
      <c r="X714" s="376"/>
      <c r="Y714" s="376"/>
      <c r="Z714" s="376"/>
    </row>
    <row r="715">
      <c r="A715" s="376"/>
      <c r="B715" s="376"/>
      <c r="C715" s="376"/>
      <c r="D715" s="376"/>
      <c r="E715" s="376"/>
      <c r="F715" s="376"/>
      <c r="G715" s="376"/>
      <c r="H715" s="376"/>
      <c r="I715" s="376"/>
      <c r="J715" s="376"/>
      <c r="K715" s="376"/>
      <c r="L715" s="376"/>
      <c r="M715" s="376"/>
      <c r="N715" s="376"/>
      <c r="O715" s="376"/>
      <c r="P715" s="376"/>
      <c r="Q715" s="376"/>
      <c r="R715" s="376"/>
      <c r="S715" s="376"/>
      <c r="T715" s="376"/>
      <c r="U715" s="376"/>
      <c r="V715" s="376"/>
      <c r="W715" s="376"/>
      <c r="X715" s="376"/>
      <c r="Y715" s="376"/>
      <c r="Z715" s="376"/>
    </row>
    <row r="716">
      <c r="A716" s="376"/>
      <c r="B716" s="376"/>
      <c r="C716" s="376"/>
      <c r="D716" s="376"/>
      <c r="E716" s="376"/>
      <c r="F716" s="376"/>
      <c r="G716" s="376"/>
      <c r="H716" s="376"/>
      <c r="I716" s="376"/>
      <c r="J716" s="376"/>
      <c r="K716" s="376"/>
      <c r="L716" s="376"/>
      <c r="M716" s="376"/>
      <c r="N716" s="376"/>
      <c r="O716" s="376"/>
      <c r="P716" s="376"/>
      <c r="Q716" s="376"/>
      <c r="R716" s="376"/>
      <c r="S716" s="376"/>
      <c r="T716" s="376"/>
      <c r="U716" s="376"/>
      <c r="V716" s="376"/>
      <c r="W716" s="376"/>
      <c r="X716" s="376"/>
      <c r="Y716" s="376"/>
      <c r="Z716" s="376"/>
    </row>
    <row r="717">
      <c r="A717" s="376"/>
      <c r="B717" s="376"/>
      <c r="C717" s="376"/>
      <c r="D717" s="376"/>
      <c r="E717" s="376"/>
      <c r="F717" s="376"/>
      <c r="G717" s="376"/>
      <c r="H717" s="376"/>
      <c r="I717" s="376"/>
      <c r="J717" s="376"/>
      <c r="K717" s="376"/>
      <c r="L717" s="376"/>
      <c r="M717" s="376"/>
      <c r="N717" s="376"/>
      <c r="O717" s="376"/>
      <c r="P717" s="376"/>
      <c r="Q717" s="376"/>
      <c r="R717" s="376"/>
      <c r="S717" s="376"/>
      <c r="T717" s="376"/>
      <c r="U717" s="376"/>
      <c r="V717" s="376"/>
      <c r="W717" s="376"/>
      <c r="X717" s="376"/>
      <c r="Y717" s="376"/>
      <c r="Z717" s="376"/>
    </row>
    <row r="718">
      <c r="A718" s="376"/>
      <c r="B718" s="376"/>
      <c r="C718" s="376"/>
      <c r="D718" s="376"/>
      <c r="E718" s="376"/>
      <c r="F718" s="376"/>
      <c r="G718" s="376"/>
      <c r="H718" s="376"/>
      <c r="I718" s="376"/>
      <c r="J718" s="376"/>
      <c r="K718" s="376"/>
      <c r="L718" s="376"/>
      <c r="M718" s="376"/>
      <c r="N718" s="376"/>
      <c r="O718" s="376"/>
      <c r="P718" s="376"/>
      <c r="Q718" s="376"/>
      <c r="R718" s="376"/>
      <c r="S718" s="376"/>
      <c r="T718" s="376"/>
      <c r="U718" s="376"/>
      <c r="V718" s="376"/>
      <c r="W718" s="376"/>
      <c r="X718" s="376"/>
      <c r="Y718" s="376"/>
      <c r="Z718" s="376"/>
    </row>
    <row r="719">
      <c r="A719" s="376"/>
      <c r="B719" s="376"/>
      <c r="C719" s="376"/>
      <c r="D719" s="376"/>
      <c r="E719" s="376"/>
      <c r="F719" s="376"/>
      <c r="G719" s="376"/>
      <c r="H719" s="376"/>
      <c r="I719" s="376"/>
      <c r="J719" s="376"/>
      <c r="K719" s="376"/>
      <c r="L719" s="376"/>
      <c r="M719" s="376"/>
      <c r="N719" s="376"/>
      <c r="O719" s="376"/>
      <c r="P719" s="376"/>
      <c r="Q719" s="376"/>
      <c r="R719" s="376"/>
      <c r="S719" s="376"/>
      <c r="T719" s="376"/>
      <c r="U719" s="376"/>
      <c r="V719" s="376"/>
      <c r="W719" s="376"/>
      <c r="X719" s="376"/>
      <c r="Y719" s="376"/>
      <c r="Z719" s="376"/>
    </row>
    <row r="720">
      <c r="A720" s="376"/>
      <c r="B720" s="376"/>
      <c r="C720" s="376"/>
      <c r="D720" s="376"/>
      <c r="E720" s="376"/>
      <c r="F720" s="376"/>
      <c r="G720" s="376"/>
      <c r="H720" s="376"/>
      <c r="I720" s="376"/>
      <c r="J720" s="376"/>
      <c r="K720" s="376"/>
      <c r="L720" s="376"/>
      <c r="M720" s="376"/>
      <c r="N720" s="376"/>
      <c r="O720" s="376"/>
      <c r="P720" s="376"/>
      <c r="Q720" s="376"/>
      <c r="R720" s="376"/>
      <c r="S720" s="376"/>
      <c r="T720" s="376"/>
      <c r="U720" s="376"/>
      <c r="V720" s="376"/>
      <c r="W720" s="376"/>
      <c r="X720" s="376"/>
      <c r="Y720" s="376"/>
      <c r="Z720" s="376"/>
    </row>
    <row r="721">
      <c r="A721" s="376"/>
      <c r="B721" s="376"/>
      <c r="C721" s="376"/>
      <c r="D721" s="376"/>
      <c r="E721" s="376"/>
      <c r="F721" s="376"/>
      <c r="G721" s="376"/>
      <c r="H721" s="376"/>
      <c r="I721" s="376"/>
      <c r="J721" s="376"/>
      <c r="K721" s="376"/>
      <c r="L721" s="376"/>
      <c r="M721" s="376"/>
      <c r="N721" s="376"/>
      <c r="O721" s="376"/>
      <c r="P721" s="376"/>
      <c r="Q721" s="376"/>
      <c r="R721" s="376"/>
      <c r="S721" s="376"/>
      <c r="T721" s="376"/>
      <c r="U721" s="376"/>
      <c r="V721" s="376"/>
      <c r="W721" s="376"/>
      <c r="X721" s="376"/>
      <c r="Y721" s="376"/>
      <c r="Z721" s="376"/>
    </row>
    <row r="722">
      <c r="A722" s="376"/>
      <c r="B722" s="376"/>
      <c r="C722" s="376"/>
      <c r="D722" s="376"/>
      <c r="E722" s="376"/>
      <c r="F722" s="376"/>
      <c r="G722" s="376"/>
      <c r="H722" s="376"/>
      <c r="I722" s="376"/>
      <c r="J722" s="376"/>
      <c r="K722" s="376"/>
      <c r="L722" s="376"/>
      <c r="M722" s="376"/>
      <c r="N722" s="376"/>
      <c r="O722" s="376"/>
      <c r="P722" s="376"/>
      <c r="Q722" s="376"/>
      <c r="R722" s="376"/>
      <c r="S722" s="376"/>
      <c r="T722" s="376"/>
      <c r="U722" s="376"/>
      <c r="V722" s="376"/>
      <c r="W722" s="376"/>
      <c r="X722" s="376"/>
      <c r="Y722" s="376"/>
      <c r="Z722" s="376"/>
    </row>
    <row r="723">
      <c r="A723" s="376"/>
      <c r="B723" s="376"/>
      <c r="C723" s="376"/>
      <c r="D723" s="376"/>
      <c r="E723" s="376"/>
      <c r="F723" s="376"/>
      <c r="G723" s="376"/>
      <c r="H723" s="376"/>
      <c r="I723" s="376"/>
      <c r="J723" s="376"/>
      <c r="K723" s="376"/>
      <c r="L723" s="376"/>
      <c r="M723" s="376"/>
      <c r="N723" s="376"/>
      <c r="O723" s="376"/>
      <c r="P723" s="376"/>
      <c r="Q723" s="376"/>
      <c r="R723" s="376"/>
      <c r="S723" s="376"/>
      <c r="T723" s="376"/>
      <c r="U723" s="376"/>
      <c r="V723" s="376"/>
      <c r="W723" s="376"/>
      <c r="X723" s="376"/>
      <c r="Y723" s="376"/>
      <c r="Z723" s="376"/>
    </row>
    <row r="724">
      <c r="A724" s="376"/>
      <c r="B724" s="376"/>
      <c r="C724" s="376"/>
      <c r="D724" s="376"/>
      <c r="E724" s="376"/>
      <c r="F724" s="376"/>
      <c r="G724" s="376"/>
      <c r="H724" s="376"/>
      <c r="I724" s="376"/>
      <c r="J724" s="376"/>
      <c r="K724" s="376"/>
      <c r="L724" s="376"/>
      <c r="M724" s="376"/>
      <c r="N724" s="376"/>
      <c r="O724" s="376"/>
      <c r="P724" s="376"/>
      <c r="Q724" s="376"/>
      <c r="R724" s="376"/>
      <c r="S724" s="376"/>
      <c r="T724" s="376"/>
      <c r="U724" s="376"/>
      <c r="V724" s="376"/>
      <c r="W724" s="376"/>
      <c r="X724" s="376"/>
      <c r="Y724" s="376"/>
      <c r="Z724" s="376"/>
    </row>
    <row r="725">
      <c r="A725" s="376"/>
      <c r="B725" s="376"/>
      <c r="C725" s="376"/>
      <c r="D725" s="376"/>
      <c r="E725" s="376"/>
      <c r="F725" s="376"/>
      <c r="G725" s="376"/>
      <c r="H725" s="376"/>
      <c r="I725" s="376"/>
      <c r="J725" s="376"/>
      <c r="K725" s="376"/>
      <c r="L725" s="376"/>
      <c r="M725" s="376"/>
      <c r="N725" s="376"/>
      <c r="O725" s="376"/>
      <c r="P725" s="376"/>
      <c r="Q725" s="376"/>
      <c r="R725" s="376"/>
      <c r="S725" s="376"/>
      <c r="T725" s="376"/>
      <c r="U725" s="376"/>
      <c r="V725" s="376"/>
      <c r="W725" s="376"/>
      <c r="X725" s="376"/>
      <c r="Y725" s="376"/>
      <c r="Z725" s="376"/>
    </row>
    <row r="726">
      <c r="A726" s="376"/>
      <c r="B726" s="376"/>
      <c r="C726" s="376"/>
      <c r="D726" s="376"/>
      <c r="E726" s="376"/>
      <c r="F726" s="376"/>
      <c r="G726" s="376"/>
      <c r="H726" s="376"/>
      <c r="I726" s="376"/>
      <c r="J726" s="376"/>
      <c r="K726" s="376"/>
      <c r="L726" s="376"/>
      <c r="M726" s="376"/>
      <c r="N726" s="376"/>
      <c r="O726" s="376"/>
      <c r="P726" s="376"/>
      <c r="Q726" s="376"/>
      <c r="R726" s="376"/>
      <c r="S726" s="376"/>
      <c r="T726" s="376"/>
      <c r="U726" s="376"/>
      <c r="V726" s="376"/>
      <c r="W726" s="376"/>
      <c r="X726" s="376"/>
      <c r="Y726" s="376"/>
      <c r="Z726" s="376"/>
    </row>
    <row r="727">
      <c r="A727" s="376"/>
      <c r="B727" s="376"/>
      <c r="C727" s="376"/>
      <c r="D727" s="376"/>
      <c r="E727" s="376"/>
      <c r="F727" s="376"/>
      <c r="G727" s="376"/>
      <c r="H727" s="376"/>
      <c r="I727" s="376"/>
      <c r="J727" s="376"/>
      <c r="K727" s="376"/>
      <c r="L727" s="376"/>
      <c r="M727" s="376"/>
      <c r="N727" s="376"/>
      <c r="O727" s="376"/>
      <c r="P727" s="376"/>
      <c r="Q727" s="376"/>
      <c r="R727" s="376"/>
      <c r="S727" s="376"/>
      <c r="T727" s="376"/>
      <c r="U727" s="376"/>
      <c r="V727" s="376"/>
      <c r="W727" s="376"/>
      <c r="X727" s="376"/>
      <c r="Y727" s="376"/>
      <c r="Z727" s="376"/>
    </row>
    <row r="728">
      <c r="A728" s="376"/>
      <c r="B728" s="376"/>
      <c r="C728" s="376"/>
      <c r="D728" s="376"/>
      <c r="E728" s="376"/>
      <c r="F728" s="376"/>
      <c r="G728" s="376"/>
      <c r="H728" s="376"/>
      <c r="I728" s="376"/>
      <c r="J728" s="376"/>
      <c r="K728" s="376"/>
      <c r="L728" s="376"/>
      <c r="M728" s="376"/>
      <c r="N728" s="376"/>
      <c r="O728" s="376"/>
      <c r="P728" s="376"/>
      <c r="Q728" s="376"/>
      <c r="R728" s="376"/>
      <c r="S728" s="376"/>
      <c r="T728" s="376"/>
      <c r="U728" s="376"/>
      <c r="V728" s="376"/>
      <c r="W728" s="376"/>
      <c r="X728" s="376"/>
      <c r="Y728" s="376"/>
      <c r="Z728" s="376"/>
    </row>
    <row r="729">
      <c r="A729" s="376"/>
      <c r="B729" s="376"/>
      <c r="C729" s="376"/>
      <c r="D729" s="376"/>
      <c r="E729" s="376"/>
      <c r="F729" s="376"/>
      <c r="G729" s="376"/>
      <c r="H729" s="376"/>
      <c r="I729" s="376"/>
      <c r="J729" s="376"/>
      <c r="K729" s="376"/>
      <c r="L729" s="376"/>
      <c r="M729" s="376"/>
      <c r="N729" s="376"/>
      <c r="O729" s="376"/>
      <c r="P729" s="376"/>
      <c r="Q729" s="376"/>
      <c r="R729" s="376"/>
      <c r="S729" s="376"/>
      <c r="T729" s="376"/>
      <c r="U729" s="376"/>
      <c r="V729" s="376"/>
      <c r="W729" s="376"/>
      <c r="X729" s="376"/>
      <c r="Y729" s="376"/>
      <c r="Z729" s="376"/>
    </row>
    <row r="730">
      <c r="A730" s="376"/>
      <c r="B730" s="376"/>
      <c r="C730" s="376"/>
      <c r="D730" s="376"/>
      <c r="E730" s="376"/>
      <c r="F730" s="376"/>
      <c r="G730" s="376"/>
      <c r="H730" s="376"/>
      <c r="I730" s="376"/>
      <c r="J730" s="376"/>
      <c r="K730" s="376"/>
      <c r="L730" s="376"/>
      <c r="M730" s="376"/>
      <c r="N730" s="376"/>
      <c r="O730" s="376"/>
      <c r="P730" s="376"/>
      <c r="Q730" s="376"/>
      <c r="R730" s="376"/>
      <c r="S730" s="376"/>
      <c r="T730" s="376"/>
      <c r="U730" s="376"/>
      <c r="V730" s="376"/>
      <c r="W730" s="376"/>
      <c r="X730" s="376"/>
      <c r="Y730" s="376"/>
      <c r="Z730" s="376"/>
    </row>
    <row r="731">
      <c r="A731" s="376"/>
      <c r="B731" s="376"/>
      <c r="C731" s="376"/>
      <c r="D731" s="376"/>
      <c r="E731" s="376"/>
      <c r="F731" s="376"/>
      <c r="G731" s="376"/>
      <c r="H731" s="376"/>
      <c r="I731" s="376"/>
      <c r="J731" s="376"/>
      <c r="K731" s="376"/>
      <c r="L731" s="376"/>
      <c r="M731" s="376"/>
      <c r="N731" s="376"/>
      <c r="O731" s="376"/>
      <c r="P731" s="376"/>
      <c r="Q731" s="376"/>
      <c r="R731" s="376"/>
      <c r="S731" s="376"/>
      <c r="T731" s="376"/>
      <c r="U731" s="376"/>
      <c r="V731" s="376"/>
      <c r="W731" s="376"/>
      <c r="X731" s="376"/>
      <c r="Y731" s="376"/>
      <c r="Z731" s="376"/>
    </row>
    <row r="732">
      <c r="A732" s="376"/>
      <c r="B732" s="376"/>
      <c r="C732" s="376"/>
      <c r="D732" s="376"/>
      <c r="E732" s="376"/>
      <c r="F732" s="376"/>
      <c r="G732" s="376"/>
      <c r="H732" s="376"/>
      <c r="I732" s="376"/>
      <c r="J732" s="376"/>
      <c r="K732" s="376"/>
      <c r="L732" s="376"/>
      <c r="M732" s="376"/>
      <c r="N732" s="376"/>
      <c r="O732" s="376"/>
      <c r="P732" s="376"/>
      <c r="Q732" s="376"/>
      <c r="R732" s="376"/>
      <c r="S732" s="376"/>
      <c r="T732" s="376"/>
      <c r="U732" s="376"/>
      <c r="V732" s="376"/>
      <c r="W732" s="376"/>
      <c r="X732" s="376"/>
      <c r="Y732" s="376"/>
      <c r="Z732" s="376"/>
    </row>
    <row r="733">
      <c r="A733" s="376"/>
      <c r="B733" s="376"/>
      <c r="C733" s="376"/>
      <c r="D733" s="376"/>
      <c r="E733" s="376"/>
      <c r="F733" s="376"/>
      <c r="G733" s="376"/>
      <c r="H733" s="376"/>
      <c r="I733" s="376"/>
      <c r="J733" s="376"/>
      <c r="K733" s="376"/>
      <c r="L733" s="376"/>
      <c r="M733" s="376"/>
      <c r="N733" s="376"/>
      <c r="O733" s="376"/>
      <c r="P733" s="376"/>
      <c r="Q733" s="376"/>
      <c r="R733" s="376"/>
      <c r="S733" s="376"/>
      <c r="T733" s="376"/>
      <c r="U733" s="376"/>
      <c r="V733" s="376"/>
      <c r="W733" s="376"/>
      <c r="X733" s="376"/>
      <c r="Y733" s="376"/>
      <c r="Z733" s="376"/>
    </row>
    <row r="734">
      <c r="A734" s="376"/>
      <c r="B734" s="376"/>
      <c r="C734" s="376"/>
      <c r="D734" s="376"/>
      <c r="E734" s="376"/>
      <c r="F734" s="376"/>
      <c r="G734" s="376"/>
      <c r="H734" s="376"/>
      <c r="I734" s="376"/>
      <c r="J734" s="376"/>
      <c r="K734" s="376"/>
      <c r="L734" s="376"/>
      <c r="M734" s="376"/>
      <c r="N734" s="376"/>
      <c r="O734" s="376"/>
      <c r="P734" s="376"/>
      <c r="Q734" s="376"/>
      <c r="R734" s="376"/>
      <c r="S734" s="376"/>
      <c r="T734" s="376"/>
      <c r="U734" s="376"/>
      <c r="V734" s="376"/>
      <c r="W734" s="376"/>
      <c r="X734" s="376"/>
      <c r="Y734" s="376"/>
      <c r="Z734" s="376"/>
    </row>
    <row r="735">
      <c r="A735" s="376"/>
      <c r="B735" s="376"/>
      <c r="C735" s="376"/>
      <c r="D735" s="376"/>
      <c r="E735" s="376"/>
      <c r="F735" s="376"/>
      <c r="G735" s="376"/>
      <c r="H735" s="376"/>
      <c r="I735" s="376"/>
      <c r="J735" s="376"/>
      <c r="K735" s="376"/>
      <c r="L735" s="376"/>
      <c r="M735" s="376"/>
      <c r="N735" s="376"/>
      <c r="O735" s="376"/>
      <c r="P735" s="376"/>
      <c r="Q735" s="376"/>
      <c r="R735" s="376"/>
      <c r="S735" s="376"/>
      <c r="T735" s="376"/>
      <c r="U735" s="376"/>
      <c r="V735" s="376"/>
      <c r="W735" s="376"/>
      <c r="X735" s="376"/>
      <c r="Y735" s="376"/>
      <c r="Z735" s="376"/>
    </row>
    <row r="736">
      <c r="A736" s="376"/>
      <c r="B736" s="376"/>
      <c r="C736" s="376"/>
      <c r="D736" s="376"/>
      <c r="E736" s="376"/>
      <c r="F736" s="376"/>
      <c r="G736" s="376"/>
      <c r="H736" s="376"/>
      <c r="I736" s="376"/>
      <c r="J736" s="376"/>
      <c r="K736" s="376"/>
      <c r="L736" s="376"/>
      <c r="M736" s="376"/>
      <c r="N736" s="376"/>
      <c r="O736" s="376"/>
      <c r="P736" s="376"/>
      <c r="Q736" s="376"/>
      <c r="R736" s="376"/>
      <c r="S736" s="376"/>
      <c r="T736" s="376"/>
      <c r="U736" s="376"/>
      <c r="V736" s="376"/>
      <c r="W736" s="376"/>
      <c r="X736" s="376"/>
      <c r="Y736" s="376"/>
      <c r="Z736" s="376"/>
    </row>
    <row r="737">
      <c r="A737" s="376"/>
      <c r="B737" s="376"/>
      <c r="C737" s="376"/>
      <c r="D737" s="376"/>
      <c r="E737" s="376"/>
      <c r="F737" s="376"/>
      <c r="G737" s="376"/>
      <c r="H737" s="376"/>
      <c r="I737" s="376"/>
      <c r="J737" s="376"/>
      <c r="K737" s="376"/>
      <c r="L737" s="376"/>
      <c r="M737" s="376"/>
      <c r="N737" s="376"/>
      <c r="O737" s="376"/>
      <c r="P737" s="376"/>
      <c r="Q737" s="376"/>
      <c r="R737" s="376"/>
      <c r="S737" s="376"/>
      <c r="T737" s="376"/>
      <c r="U737" s="376"/>
      <c r="V737" s="376"/>
      <c r="W737" s="376"/>
      <c r="X737" s="376"/>
      <c r="Y737" s="376"/>
      <c r="Z737" s="376"/>
    </row>
    <row r="738">
      <c r="A738" s="376"/>
      <c r="B738" s="376"/>
      <c r="C738" s="376"/>
      <c r="D738" s="376"/>
      <c r="E738" s="376"/>
      <c r="F738" s="376"/>
      <c r="G738" s="376"/>
      <c r="H738" s="376"/>
      <c r="I738" s="376"/>
      <c r="J738" s="376"/>
      <c r="K738" s="376"/>
      <c r="L738" s="376"/>
      <c r="M738" s="376"/>
      <c r="N738" s="376"/>
      <c r="O738" s="376"/>
      <c r="P738" s="376"/>
      <c r="Q738" s="376"/>
      <c r="R738" s="376"/>
      <c r="S738" s="376"/>
      <c r="T738" s="376"/>
      <c r="U738" s="376"/>
      <c r="V738" s="376"/>
      <c r="W738" s="376"/>
      <c r="X738" s="376"/>
      <c r="Y738" s="376"/>
      <c r="Z738" s="376"/>
    </row>
    <row r="739">
      <c r="A739" s="376"/>
      <c r="B739" s="376"/>
      <c r="C739" s="376"/>
      <c r="D739" s="376"/>
      <c r="E739" s="376"/>
      <c r="F739" s="376"/>
      <c r="G739" s="376"/>
      <c r="H739" s="376"/>
      <c r="I739" s="376"/>
      <c r="J739" s="376"/>
      <c r="K739" s="376"/>
      <c r="L739" s="376"/>
      <c r="M739" s="376"/>
      <c r="N739" s="376"/>
      <c r="O739" s="376"/>
      <c r="P739" s="376"/>
      <c r="Q739" s="376"/>
      <c r="R739" s="376"/>
      <c r="S739" s="376"/>
      <c r="T739" s="376"/>
      <c r="U739" s="376"/>
      <c r="V739" s="376"/>
      <c r="W739" s="376"/>
      <c r="X739" s="376"/>
      <c r="Y739" s="376"/>
      <c r="Z739" s="376"/>
    </row>
    <row r="740">
      <c r="A740" s="376"/>
      <c r="B740" s="376"/>
      <c r="C740" s="376"/>
      <c r="D740" s="376"/>
      <c r="E740" s="376"/>
      <c r="F740" s="376"/>
      <c r="G740" s="376"/>
      <c r="H740" s="376"/>
      <c r="I740" s="376"/>
      <c r="J740" s="376"/>
      <c r="K740" s="376"/>
      <c r="L740" s="376"/>
      <c r="M740" s="376"/>
      <c r="N740" s="376"/>
      <c r="O740" s="376"/>
      <c r="P740" s="376"/>
      <c r="Q740" s="376"/>
      <c r="R740" s="376"/>
      <c r="S740" s="376"/>
      <c r="T740" s="376"/>
      <c r="U740" s="376"/>
      <c r="V740" s="376"/>
      <c r="W740" s="376"/>
      <c r="X740" s="376"/>
      <c r="Y740" s="376"/>
      <c r="Z740" s="376"/>
    </row>
    <row r="741">
      <c r="A741" s="376"/>
      <c r="B741" s="376"/>
      <c r="C741" s="376"/>
      <c r="D741" s="376"/>
      <c r="E741" s="376"/>
      <c r="F741" s="376"/>
      <c r="G741" s="376"/>
      <c r="H741" s="376"/>
      <c r="I741" s="376"/>
      <c r="J741" s="376"/>
      <c r="K741" s="376"/>
      <c r="L741" s="376"/>
      <c r="M741" s="376"/>
      <c r="N741" s="376"/>
      <c r="O741" s="376"/>
      <c r="P741" s="376"/>
      <c r="Q741" s="376"/>
      <c r="R741" s="376"/>
      <c r="S741" s="376"/>
      <c r="T741" s="376"/>
      <c r="U741" s="376"/>
      <c r="V741" s="376"/>
      <c r="W741" s="376"/>
      <c r="X741" s="376"/>
      <c r="Y741" s="376"/>
      <c r="Z741" s="376"/>
    </row>
    <row r="742">
      <c r="A742" s="376"/>
      <c r="B742" s="376"/>
      <c r="C742" s="376"/>
      <c r="D742" s="376"/>
      <c r="E742" s="376"/>
      <c r="F742" s="376"/>
      <c r="G742" s="376"/>
      <c r="H742" s="376"/>
      <c r="I742" s="376"/>
      <c r="J742" s="376"/>
      <c r="K742" s="376"/>
      <c r="L742" s="376"/>
      <c r="M742" s="376"/>
      <c r="N742" s="376"/>
      <c r="O742" s="376"/>
      <c r="P742" s="376"/>
      <c r="Q742" s="376"/>
      <c r="R742" s="376"/>
      <c r="S742" s="376"/>
      <c r="T742" s="376"/>
      <c r="U742" s="376"/>
      <c r="V742" s="376"/>
      <c r="W742" s="376"/>
      <c r="X742" s="376"/>
      <c r="Y742" s="376"/>
      <c r="Z742" s="376"/>
    </row>
    <row r="743">
      <c r="A743" s="376"/>
      <c r="B743" s="376"/>
      <c r="C743" s="376"/>
      <c r="D743" s="376"/>
      <c r="E743" s="376"/>
      <c r="F743" s="376"/>
      <c r="G743" s="376"/>
      <c r="H743" s="376"/>
      <c r="I743" s="376"/>
      <c r="J743" s="376"/>
      <c r="K743" s="376"/>
      <c r="L743" s="376"/>
      <c r="M743" s="376"/>
      <c r="N743" s="376"/>
      <c r="O743" s="376"/>
      <c r="P743" s="376"/>
      <c r="Q743" s="376"/>
      <c r="R743" s="376"/>
      <c r="S743" s="376"/>
      <c r="T743" s="376"/>
      <c r="U743" s="376"/>
      <c r="V743" s="376"/>
      <c r="W743" s="376"/>
      <c r="X743" s="376"/>
      <c r="Y743" s="376"/>
      <c r="Z743" s="376"/>
    </row>
    <row r="744">
      <c r="A744" s="376"/>
      <c r="B744" s="376"/>
      <c r="C744" s="376"/>
      <c r="D744" s="376"/>
      <c r="E744" s="376"/>
      <c r="F744" s="376"/>
      <c r="G744" s="376"/>
      <c r="H744" s="376"/>
      <c r="I744" s="376"/>
      <c r="J744" s="376"/>
      <c r="K744" s="376"/>
      <c r="L744" s="376"/>
      <c r="M744" s="376"/>
      <c r="N744" s="376"/>
      <c r="O744" s="376"/>
      <c r="P744" s="376"/>
      <c r="Q744" s="376"/>
      <c r="R744" s="376"/>
      <c r="S744" s="376"/>
      <c r="T744" s="376"/>
      <c r="U744" s="376"/>
      <c r="V744" s="376"/>
      <c r="W744" s="376"/>
      <c r="X744" s="376"/>
      <c r="Y744" s="376"/>
      <c r="Z744" s="376"/>
    </row>
    <row r="745">
      <c r="A745" s="376"/>
      <c r="B745" s="376"/>
      <c r="C745" s="376"/>
      <c r="D745" s="376"/>
      <c r="E745" s="376"/>
      <c r="F745" s="376"/>
      <c r="G745" s="376"/>
      <c r="H745" s="376"/>
      <c r="I745" s="376"/>
      <c r="J745" s="376"/>
      <c r="K745" s="376"/>
      <c r="L745" s="376"/>
      <c r="M745" s="376"/>
      <c r="N745" s="376"/>
      <c r="O745" s="376"/>
      <c r="P745" s="376"/>
      <c r="Q745" s="376"/>
      <c r="R745" s="376"/>
      <c r="S745" s="376"/>
      <c r="T745" s="376"/>
      <c r="U745" s="376"/>
      <c r="V745" s="376"/>
      <c r="W745" s="376"/>
      <c r="X745" s="376"/>
      <c r="Y745" s="376"/>
      <c r="Z745" s="376"/>
    </row>
    <row r="746">
      <c r="A746" s="376"/>
      <c r="B746" s="376"/>
      <c r="C746" s="376"/>
      <c r="D746" s="376"/>
      <c r="E746" s="376"/>
      <c r="F746" s="376"/>
      <c r="G746" s="376"/>
      <c r="H746" s="376"/>
      <c r="I746" s="376"/>
      <c r="J746" s="376"/>
      <c r="K746" s="376"/>
      <c r="L746" s="376"/>
      <c r="M746" s="376"/>
      <c r="N746" s="376"/>
      <c r="O746" s="376"/>
      <c r="P746" s="376"/>
      <c r="Q746" s="376"/>
      <c r="R746" s="376"/>
      <c r="S746" s="376"/>
      <c r="T746" s="376"/>
      <c r="U746" s="376"/>
      <c r="V746" s="376"/>
      <c r="W746" s="376"/>
      <c r="X746" s="376"/>
      <c r="Y746" s="376"/>
      <c r="Z746" s="376"/>
    </row>
    <row r="747">
      <c r="A747" s="376"/>
      <c r="B747" s="376"/>
      <c r="C747" s="376"/>
      <c r="D747" s="376"/>
      <c r="E747" s="376"/>
      <c r="F747" s="376"/>
      <c r="G747" s="376"/>
      <c r="H747" s="376"/>
      <c r="I747" s="376"/>
      <c r="J747" s="376"/>
      <c r="K747" s="376"/>
      <c r="L747" s="376"/>
      <c r="M747" s="376"/>
      <c r="N747" s="376"/>
      <c r="O747" s="376"/>
      <c r="P747" s="376"/>
      <c r="Q747" s="376"/>
      <c r="R747" s="376"/>
      <c r="S747" s="376"/>
      <c r="T747" s="376"/>
      <c r="U747" s="376"/>
      <c r="V747" s="376"/>
      <c r="W747" s="376"/>
      <c r="X747" s="376"/>
      <c r="Y747" s="376"/>
      <c r="Z747" s="376"/>
    </row>
    <row r="748">
      <c r="A748" s="376"/>
      <c r="B748" s="376"/>
      <c r="C748" s="376"/>
      <c r="D748" s="376"/>
      <c r="E748" s="376"/>
      <c r="F748" s="376"/>
      <c r="G748" s="376"/>
      <c r="H748" s="376"/>
      <c r="I748" s="376"/>
      <c r="J748" s="376"/>
      <c r="K748" s="376"/>
      <c r="L748" s="376"/>
      <c r="M748" s="376"/>
      <c r="N748" s="376"/>
      <c r="O748" s="376"/>
      <c r="P748" s="376"/>
      <c r="Q748" s="376"/>
      <c r="R748" s="376"/>
      <c r="S748" s="376"/>
      <c r="T748" s="376"/>
      <c r="U748" s="376"/>
      <c r="V748" s="376"/>
      <c r="W748" s="376"/>
      <c r="X748" s="376"/>
      <c r="Y748" s="376"/>
      <c r="Z748" s="376"/>
    </row>
    <row r="749">
      <c r="A749" s="376"/>
      <c r="B749" s="376"/>
      <c r="C749" s="376"/>
      <c r="D749" s="376"/>
      <c r="E749" s="376"/>
      <c r="F749" s="376"/>
      <c r="G749" s="376"/>
      <c r="H749" s="376"/>
      <c r="I749" s="376"/>
      <c r="J749" s="376"/>
      <c r="K749" s="376"/>
      <c r="L749" s="376"/>
      <c r="M749" s="376"/>
      <c r="N749" s="376"/>
      <c r="O749" s="376"/>
      <c r="P749" s="376"/>
      <c r="Q749" s="376"/>
      <c r="R749" s="376"/>
      <c r="S749" s="376"/>
      <c r="T749" s="376"/>
      <c r="U749" s="376"/>
      <c r="V749" s="376"/>
      <c r="W749" s="376"/>
      <c r="X749" s="376"/>
      <c r="Y749" s="376"/>
      <c r="Z749" s="376"/>
    </row>
    <row r="750">
      <c r="A750" s="376"/>
      <c r="B750" s="376"/>
      <c r="C750" s="376"/>
      <c r="D750" s="376"/>
      <c r="E750" s="376"/>
      <c r="F750" s="376"/>
      <c r="G750" s="376"/>
      <c r="H750" s="376"/>
      <c r="I750" s="376"/>
      <c r="J750" s="376"/>
      <c r="K750" s="376"/>
      <c r="L750" s="376"/>
      <c r="M750" s="376"/>
      <c r="N750" s="376"/>
      <c r="O750" s="376"/>
      <c r="P750" s="376"/>
      <c r="Q750" s="376"/>
      <c r="R750" s="376"/>
      <c r="S750" s="376"/>
      <c r="T750" s="376"/>
      <c r="U750" s="376"/>
      <c r="V750" s="376"/>
      <c r="W750" s="376"/>
      <c r="X750" s="376"/>
      <c r="Y750" s="376"/>
      <c r="Z750" s="376"/>
    </row>
    <row r="751">
      <c r="A751" s="376"/>
      <c r="B751" s="376"/>
      <c r="C751" s="376"/>
      <c r="D751" s="376"/>
      <c r="E751" s="376"/>
      <c r="F751" s="376"/>
      <c r="G751" s="376"/>
      <c r="H751" s="376"/>
      <c r="I751" s="376"/>
      <c r="J751" s="376"/>
      <c r="K751" s="376"/>
      <c r="L751" s="376"/>
      <c r="M751" s="376"/>
      <c r="N751" s="376"/>
      <c r="O751" s="376"/>
      <c r="P751" s="376"/>
      <c r="Q751" s="376"/>
      <c r="R751" s="376"/>
      <c r="S751" s="376"/>
      <c r="T751" s="376"/>
      <c r="U751" s="376"/>
      <c r="V751" s="376"/>
      <c r="W751" s="376"/>
      <c r="X751" s="376"/>
      <c r="Y751" s="376"/>
      <c r="Z751" s="376"/>
    </row>
    <row r="752">
      <c r="A752" s="376"/>
      <c r="B752" s="376"/>
      <c r="C752" s="376"/>
      <c r="D752" s="376"/>
      <c r="E752" s="376"/>
      <c r="F752" s="376"/>
      <c r="G752" s="376"/>
      <c r="H752" s="376"/>
      <c r="I752" s="376"/>
      <c r="J752" s="376"/>
      <c r="K752" s="376"/>
      <c r="L752" s="376"/>
      <c r="M752" s="376"/>
      <c r="N752" s="376"/>
      <c r="O752" s="376"/>
      <c r="P752" s="376"/>
      <c r="Q752" s="376"/>
      <c r="R752" s="376"/>
      <c r="S752" s="376"/>
      <c r="T752" s="376"/>
      <c r="U752" s="376"/>
      <c r="V752" s="376"/>
      <c r="W752" s="376"/>
      <c r="X752" s="376"/>
      <c r="Y752" s="376"/>
      <c r="Z752" s="376"/>
    </row>
    <row r="753">
      <c r="A753" s="376"/>
      <c r="B753" s="376"/>
      <c r="C753" s="376"/>
      <c r="D753" s="376"/>
      <c r="E753" s="376"/>
      <c r="F753" s="376"/>
      <c r="G753" s="376"/>
      <c r="H753" s="376"/>
      <c r="I753" s="376"/>
      <c r="J753" s="376"/>
      <c r="K753" s="376"/>
      <c r="L753" s="376"/>
      <c r="M753" s="376"/>
      <c r="N753" s="376"/>
      <c r="O753" s="376"/>
      <c r="P753" s="376"/>
      <c r="Q753" s="376"/>
      <c r="R753" s="376"/>
      <c r="S753" s="376"/>
      <c r="T753" s="376"/>
      <c r="U753" s="376"/>
      <c r="V753" s="376"/>
      <c r="W753" s="376"/>
      <c r="X753" s="376"/>
      <c r="Y753" s="376"/>
      <c r="Z753" s="376"/>
    </row>
    <row r="754">
      <c r="A754" s="376"/>
      <c r="B754" s="376"/>
      <c r="C754" s="376"/>
      <c r="D754" s="376"/>
      <c r="E754" s="376"/>
      <c r="F754" s="376"/>
      <c r="G754" s="376"/>
      <c r="H754" s="376"/>
      <c r="I754" s="376"/>
      <c r="J754" s="376"/>
      <c r="K754" s="376"/>
      <c r="L754" s="376"/>
      <c r="M754" s="376"/>
      <c r="N754" s="376"/>
      <c r="O754" s="376"/>
      <c r="P754" s="376"/>
      <c r="Q754" s="376"/>
      <c r="R754" s="376"/>
      <c r="S754" s="376"/>
      <c r="T754" s="376"/>
      <c r="U754" s="376"/>
      <c r="V754" s="376"/>
      <c r="W754" s="376"/>
      <c r="X754" s="376"/>
      <c r="Y754" s="376"/>
      <c r="Z754" s="376"/>
    </row>
    <row r="755">
      <c r="A755" s="376"/>
      <c r="B755" s="376"/>
      <c r="C755" s="376"/>
      <c r="D755" s="376"/>
      <c r="E755" s="376"/>
      <c r="F755" s="376"/>
      <c r="G755" s="376"/>
      <c r="H755" s="376"/>
      <c r="I755" s="376"/>
      <c r="J755" s="376"/>
      <c r="K755" s="376"/>
      <c r="L755" s="376"/>
      <c r="M755" s="376"/>
      <c r="N755" s="376"/>
      <c r="O755" s="376"/>
      <c r="P755" s="376"/>
      <c r="Q755" s="376"/>
      <c r="R755" s="376"/>
      <c r="S755" s="376"/>
      <c r="T755" s="376"/>
      <c r="U755" s="376"/>
      <c r="V755" s="376"/>
      <c r="W755" s="376"/>
      <c r="X755" s="376"/>
      <c r="Y755" s="376"/>
      <c r="Z755" s="376"/>
    </row>
    <row r="756">
      <c r="A756" s="376"/>
      <c r="B756" s="376"/>
      <c r="C756" s="376"/>
      <c r="D756" s="376"/>
      <c r="E756" s="376"/>
      <c r="F756" s="376"/>
      <c r="G756" s="376"/>
      <c r="H756" s="376"/>
      <c r="I756" s="376"/>
      <c r="J756" s="376"/>
      <c r="K756" s="376"/>
      <c r="L756" s="376"/>
      <c r="M756" s="376"/>
      <c r="N756" s="376"/>
      <c r="O756" s="376"/>
      <c r="P756" s="376"/>
      <c r="Q756" s="376"/>
      <c r="R756" s="376"/>
      <c r="S756" s="376"/>
      <c r="T756" s="376"/>
      <c r="U756" s="376"/>
      <c r="V756" s="376"/>
      <c r="W756" s="376"/>
      <c r="X756" s="376"/>
      <c r="Y756" s="376"/>
      <c r="Z756" s="376"/>
    </row>
    <row r="757">
      <c r="A757" s="376"/>
      <c r="B757" s="376"/>
      <c r="C757" s="376"/>
      <c r="D757" s="376"/>
      <c r="E757" s="376"/>
      <c r="F757" s="376"/>
      <c r="G757" s="376"/>
      <c r="H757" s="376"/>
      <c r="I757" s="376"/>
      <c r="J757" s="376"/>
      <c r="K757" s="376"/>
      <c r="L757" s="376"/>
      <c r="M757" s="376"/>
      <c r="N757" s="376"/>
      <c r="O757" s="376"/>
      <c r="P757" s="376"/>
      <c r="Q757" s="376"/>
      <c r="R757" s="376"/>
      <c r="S757" s="376"/>
      <c r="T757" s="376"/>
      <c r="U757" s="376"/>
      <c r="V757" s="376"/>
      <c r="W757" s="376"/>
      <c r="X757" s="376"/>
      <c r="Y757" s="376"/>
      <c r="Z757" s="376"/>
    </row>
    <row r="758">
      <c r="A758" s="376"/>
      <c r="B758" s="376"/>
      <c r="C758" s="376"/>
      <c r="D758" s="376"/>
      <c r="E758" s="376"/>
      <c r="F758" s="376"/>
      <c r="G758" s="376"/>
      <c r="H758" s="376"/>
      <c r="I758" s="376"/>
      <c r="J758" s="376"/>
      <c r="K758" s="376"/>
      <c r="L758" s="376"/>
      <c r="M758" s="376"/>
      <c r="N758" s="376"/>
      <c r="O758" s="376"/>
      <c r="P758" s="376"/>
      <c r="Q758" s="376"/>
      <c r="R758" s="376"/>
      <c r="S758" s="376"/>
      <c r="T758" s="376"/>
      <c r="U758" s="376"/>
      <c r="V758" s="376"/>
      <c r="W758" s="376"/>
      <c r="X758" s="376"/>
      <c r="Y758" s="376"/>
      <c r="Z758" s="376"/>
    </row>
    <row r="759">
      <c r="A759" s="376"/>
      <c r="B759" s="376"/>
      <c r="C759" s="376"/>
      <c r="D759" s="376"/>
      <c r="E759" s="376"/>
      <c r="F759" s="376"/>
      <c r="G759" s="376"/>
      <c r="H759" s="376"/>
      <c r="I759" s="376"/>
      <c r="J759" s="376"/>
      <c r="K759" s="376"/>
      <c r="L759" s="376"/>
      <c r="M759" s="376"/>
      <c r="N759" s="376"/>
      <c r="O759" s="376"/>
      <c r="P759" s="376"/>
      <c r="Q759" s="376"/>
      <c r="R759" s="376"/>
      <c r="S759" s="376"/>
      <c r="T759" s="376"/>
      <c r="U759" s="376"/>
      <c r="V759" s="376"/>
      <c r="W759" s="376"/>
      <c r="X759" s="376"/>
      <c r="Y759" s="376"/>
      <c r="Z759" s="376"/>
    </row>
    <row r="760">
      <c r="A760" s="376"/>
      <c r="B760" s="376"/>
      <c r="C760" s="376"/>
      <c r="D760" s="376"/>
      <c r="E760" s="376"/>
      <c r="F760" s="376"/>
      <c r="G760" s="376"/>
      <c r="H760" s="376"/>
      <c r="I760" s="376"/>
      <c r="J760" s="376"/>
      <c r="K760" s="376"/>
      <c r="L760" s="376"/>
      <c r="M760" s="376"/>
      <c r="N760" s="376"/>
      <c r="O760" s="376"/>
      <c r="P760" s="376"/>
      <c r="Q760" s="376"/>
      <c r="R760" s="376"/>
      <c r="S760" s="376"/>
      <c r="T760" s="376"/>
      <c r="U760" s="376"/>
      <c r="V760" s="376"/>
      <c r="W760" s="376"/>
      <c r="X760" s="376"/>
      <c r="Y760" s="376"/>
      <c r="Z760" s="376"/>
    </row>
    <row r="761">
      <c r="A761" s="376"/>
      <c r="B761" s="376"/>
      <c r="C761" s="376"/>
      <c r="D761" s="376"/>
      <c r="E761" s="376"/>
      <c r="F761" s="376"/>
      <c r="G761" s="376"/>
      <c r="H761" s="376"/>
      <c r="I761" s="376"/>
      <c r="J761" s="376"/>
      <c r="K761" s="376"/>
      <c r="L761" s="376"/>
      <c r="M761" s="376"/>
      <c r="N761" s="376"/>
      <c r="O761" s="376"/>
      <c r="P761" s="376"/>
      <c r="Q761" s="376"/>
      <c r="R761" s="376"/>
      <c r="S761" s="376"/>
      <c r="T761" s="376"/>
      <c r="U761" s="376"/>
      <c r="V761" s="376"/>
      <c r="W761" s="376"/>
      <c r="X761" s="376"/>
      <c r="Y761" s="376"/>
      <c r="Z761" s="376"/>
    </row>
    <row r="762">
      <c r="A762" s="376"/>
      <c r="B762" s="376"/>
      <c r="C762" s="376"/>
      <c r="D762" s="376"/>
      <c r="E762" s="376"/>
      <c r="F762" s="376"/>
      <c r="G762" s="376"/>
      <c r="H762" s="376"/>
      <c r="I762" s="376"/>
      <c r="J762" s="376"/>
      <c r="K762" s="376"/>
      <c r="L762" s="376"/>
      <c r="M762" s="376"/>
      <c r="N762" s="376"/>
      <c r="O762" s="376"/>
      <c r="P762" s="376"/>
      <c r="Q762" s="376"/>
      <c r="R762" s="376"/>
      <c r="S762" s="376"/>
      <c r="T762" s="376"/>
      <c r="U762" s="376"/>
      <c r="V762" s="376"/>
      <c r="W762" s="376"/>
      <c r="X762" s="376"/>
      <c r="Y762" s="376"/>
      <c r="Z762" s="376"/>
    </row>
    <row r="763">
      <c r="A763" s="376"/>
      <c r="B763" s="376"/>
      <c r="C763" s="376"/>
      <c r="D763" s="376"/>
      <c r="E763" s="376"/>
      <c r="F763" s="376"/>
      <c r="G763" s="376"/>
      <c r="H763" s="376"/>
      <c r="I763" s="376"/>
      <c r="J763" s="376"/>
      <c r="K763" s="376"/>
      <c r="L763" s="376"/>
      <c r="M763" s="376"/>
      <c r="N763" s="376"/>
      <c r="O763" s="376"/>
      <c r="P763" s="376"/>
      <c r="Q763" s="376"/>
      <c r="R763" s="376"/>
      <c r="S763" s="376"/>
      <c r="T763" s="376"/>
      <c r="U763" s="376"/>
      <c r="V763" s="376"/>
      <c r="W763" s="376"/>
      <c r="X763" s="376"/>
      <c r="Y763" s="376"/>
      <c r="Z763" s="376"/>
    </row>
    <row r="764">
      <c r="A764" s="376"/>
      <c r="B764" s="376"/>
      <c r="C764" s="376"/>
      <c r="D764" s="376"/>
      <c r="E764" s="376"/>
      <c r="F764" s="376"/>
      <c r="G764" s="376"/>
      <c r="H764" s="376"/>
      <c r="I764" s="376"/>
      <c r="J764" s="376"/>
      <c r="K764" s="376"/>
      <c r="L764" s="376"/>
      <c r="M764" s="376"/>
      <c r="N764" s="376"/>
      <c r="O764" s="376"/>
      <c r="P764" s="376"/>
      <c r="Q764" s="376"/>
      <c r="R764" s="376"/>
      <c r="S764" s="376"/>
      <c r="T764" s="376"/>
      <c r="U764" s="376"/>
      <c r="V764" s="376"/>
      <c r="W764" s="376"/>
      <c r="X764" s="376"/>
      <c r="Y764" s="376"/>
      <c r="Z764" s="376"/>
    </row>
    <row r="765">
      <c r="A765" s="376"/>
      <c r="B765" s="376"/>
      <c r="C765" s="376"/>
      <c r="D765" s="376"/>
      <c r="E765" s="376"/>
      <c r="F765" s="376"/>
      <c r="G765" s="376"/>
      <c r="H765" s="376"/>
      <c r="I765" s="376"/>
      <c r="J765" s="376"/>
      <c r="K765" s="376"/>
      <c r="L765" s="376"/>
      <c r="M765" s="376"/>
      <c r="N765" s="376"/>
      <c r="O765" s="376"/>
      <c r="P765" s="376"/>
      <c r="Q765" s="376"/>
      <c r="R765" s="376"/>
      <c r="S765" s="376"/>
      <c r="T765" s="376"/>
      <c r="U765" s="376"/>
      <c r="V765" s="376"/>
      <c r="W765" s="376"/>
      <c r="X765" s="376"/>
      <c r="Y765" s="376"/>
      <c r="Z765" s="376"/>
    </row>
    <row r="766">
      <c r="A766" s="376"/>
      <c r="B766" s="376"/>
      <c r="C766" s="376"/>
      <c r="D766" s="376"/>
      <c r="E766" s="376"/>
      <c r="F766" s="376"/>
      <c r="G766" s="376"/>
      <c r="H766" s="376"/>
      <c r="I766" s="376"/>
      <c r="J766" s="376"/>
      <c r="K766" s="376"/>
      <c r="L766" s="376"/>
      <c r="M766" s="376"/>
      <c r="N766" s="376"/>
      <c r="O766" s="376"/>
      <c r="P766" s="376"/>
      <c r="Q766" s="376"/>
      <c r="R766" s="376"/>
      <c r="S766" s="376"/>
      <c r="T766" s="376"/>
      <c r="U766" s="376"/>
      <c r="V766" s="376"/>
      <c r="W766" s="376"/>
      <c r="X766" s="376"/>
      <c r="Y766" s="376"/>
      <c r="Z766" s="376"/>
    </row>
    <row r="767">
      <c r="A767" s="376"/>
      <c r="B767" s="376"/>
      <c r="C767" s="376"/>
      <c r="D767" s="376"/>
      <c r="E767" s="376"/>
      <c r="F767" s="376"/>
      <c r="G767" s="376"/>
      <c r="H767" s="376"/>
      <c r="I767" s="376"/>
      <c r="J767" s="376"/>
      <c r="K767" s="376"/>
      <c r="L767" s="376"/>
      <c r="M767" s="376"/>
      <c r="N767" s="376"/>
      <c r="O767" s="376"/>
      <c r="P767" s="376"/>
      <c r="Q767" s="376"/>
      <c r="R767" s="376"/>
      <c r="S767" s="376"/>
      <c r="T767" s="376"/>
      <c r="U767" s="376"/>
      <c r="V767" s="376"/>
      <c r="W767" s="376"/>
      <c r="X767" s="376"/>
      <c r="Y767" s="376"/>
      <c r="Z767" s="376"/>
    </row>
    <row r="768">
      <c r="A768" s="376"/>
      <c r="B768" s="376"/>
      <c r="C768" s="376"/>
      <c r="D768" s="376"/>
      <c r="E768" s="376"/>
      <c r="F768" s="376"/>
      <c r="G768" s="376"/>
      <c r="H768" s="376"/>
      <c r="I768" s="376"/>
      <c r="J768" s="376"/>
      <c r="K768" s="376"/>
      <c r="L768" s="376"/>
      <c r="M768" s="376"/>
      <c r="N768" s="376"/>
      <c r="O768" s="376"/>
      <c r="P768" s="376"/>
      <c r="Q768" s="376"/>
      <c r="R768" s="376"/>
      <c r="S768" s="376"/>
      <c r="T768" s="376"/>
      <c r="U768" s="376"/>
      <c r="V768" s="376"/>
      <c r="W768" s="376"/>
      <c r="X768" s="376"/>
      <c r="Y768" s="376"/>
      <c r="Z768" s="376"/>
    </row>
    <row r="769">
      <c r="A769" s="376"/>
      <c r="B769" s="376"/>
      <c r="C769" s="376"/>
      <c r="D769" s="376"/>
      <c r="E769" s="376"/>
      <c r="F769" s="376"/>
      <c r="G769" s="376"/>
      <c r="H769" s="376"/>
      <c r="I769" s="376"/>
      <c r="J769" s="376"/>
      <c r="K769" s="376"/>
      <c r="L769" s="376"/>
      <c r="M769" s="376"/>
      <c r="N769" s="376"/>
      <c r="O769" s="376"/>
      <c r="P769" s="376"/>
      <c r="Q769" s="376"/>
      <c r="R769" s="376"/>
      <c r="S769" s="376"/>
      <c r="T769" s="376"/>
      <c r="U769" s="376"/>
      <c r="V769" s="376"/>
      <c r="W769" s="376"/>
      <c r="X769" s="376"/>
      <c r="Y769" s="376"/>
      <c r="Z769" s="376"/>
    </row>
    <row r="770">
      <c r="A770" s="376"/>
      <c r="B770" s="376"/>
      <c r="C770" s="376"/>
      <c r="D770" s="376"/>
      <c r="E770" s="376"/>
      <c r="F770" s="376"/>
      <c r="G770" s="376"/>
      <c r="H770" s="376"/>
      <c r="I770" s="376"/>
      <c r="J770" s="376"/>
      <c r="K770" s="376"/>
      <c r="L770" s="376"/>
      <c r="M770" s="376"/>
      <c r="N770" s="376"/>
      <c r="O770" s="376"/>
      <c r="P770" s="376"/>
      <c r="Q770" s="376"/>
      <c r="R770" s="376"/>
      <c r="S770" s="376"/>
      <c r="T770" s="376"/>
      <c r="U770" s="376"/>
      <c r="V770" s="376"/>
      <c r="W770" s="376"/>
      <c r="X770" s="376"/>
      <c r="Y770" s="376"/>
      <c r="Z770" s="376"/>
    </row>
    <row r="771">
      <c r="A771" s="376"/>
      <c r="B771" s="376"/>
      <c r="C771" s="376"/>
      <c r="D771" s="376"/>
      <c r="E771" s="376"/>
      <c r="F771" s="376"/>
      <c r="G771" s="376"/>
      <c r="H771" s="376"/>
      <c r="I771" s="376"/>
      <c r="J771" s="376"/>
      <c r="K771" s="376"/>
      <c r="L771" s="376"/>
      <c r="M771" s="376"/>
      <c r="N771" s="376"/>
      <c r="O771" s="376"/>
      <c r="P771" s="376"/>
      <c r="Q771" s="376"/>
      <c r="R771" s="376"/>
      <c r="S771" s="376"/>
      <c r="T771" s="376"/>
      <c r="U771" s="376"/>
      <c r="V771" s="376"/>
      <c r="W771" s="376"/>
      <c r="X771" s="376"/>
      <c r="Y771" s="376"/>
      <c r="Z771" s="376"/>
    </row>
    <row r="772">
      <c r="A772" s="376"/>
      <c r="B772" s="376"/>
      <c r="C772" s="376"/>
      <c r="D772" s="376"/>
      <c r="E772" s="376"/>
      <c r="F772" s="376"/>
      <c r="G772" s="376"/>
      <c r="H772" s="376"/>
      <c r="I772" s="376"/>
      <c r="J772" s="376"/>
      <c r="K772" s="376"/>
      <c r="L772" s="376"/>
      <c r="M772" s="376"/>
      <c r="N772" s="376"/>
      <c r="O772" s="376"/>
      <c r="P772" s="376"/>
      <c r="Q772" s="376"/>
      <c r="R772" s="376"/>
      <c r="S772" s="376"/>
      <c r="T772" s="376"/>
      <c r="U772" s="376"/>
      <c r="V772" s="376"/>
      <c r="W772" s="376"/>
      <c r="X772" s="376"/>
      <c r="Y772" s="376"/>
      <c r="Z772" s="376"/>
    </row>
    <row r="773">
      <c r="A773" s="376"/>
      <c r="B773" s="376"/>
      <c r="C773" s="376"/>
      <c r="D773" s="376"/>
      <c r="E773" s="376"/>
      <c r="F773" s="376"/>
      <c r="G773" s="376"/>
      <c r="H773" s="376"/>
      <c r="I773" s="376"/>
      <c r="J773" s="376"/>
      <c r="K773" s="376"/>
      <c r="L773" s="376"/>
      <c r="M773" s="376"/>
      <c r="N773" s="376"/>
      <c r="O773" s="376"/>
      <c r="P773" s="376"/>
      <c r="Q773" s="376"/>
      <c r="R773" s="376"/>
      <c r="S773" s="376"/>
      <c r="T773" s="376"/>
      <c r="U773" s="376"/>
      <c r="V773" s="376"/>
      <c r="W773" s="376"/>
      <c r="X773" s="376"/>
      <c r="Y773" s="376"/>
      <c r="Z773" s="376"/>
    </row>
    <row r="774">
      <c r="A774" s="376"/>
      <c r="B774" s="376"/>
      <c r="C774" s="376"/>
      <c r="D774" s="376"/>
      <c r="E774" s="376"/>
      <c r="F774" s="376"/>
      <c r="G774" s="376"/>
      <c r="H774" s="376"/>
      <c r="I774" s="376"/>
      <c r="J774" s="376"/>
      <c r="K774" s="376"/>
      <c r="L774" s="376"/>
      <c r="M774" s="376"/>
      <c r="N774" s="376"/>
      <c r="O774" s="376"/>
      <c r="P774" s="376"/>
      <c r="Q774" s="376"/>
      <c r="R774" s="376"/>
      <c r="S774" s="376"/>
      <c r="T774" s="376"/>
      <c r="U774" s="376"/>
      <c r="V774" s="376"/>
      <c r="W774" s="376"/>
      <c r="X774" s="376"/>
      <c r="Y774" s="376"/>
      <c r="Z774" s="376"/>
    </row>
    <row r="775">
      <c r="A775" s="376"/>
      <c r="B775" s="376"/>
      <c r="C775" s="376"/>
      <c r="D775" s="376"/>
      <c r="E775" s="376"/>
      <c r="F775" s="376"/>
      <c r="G775" s="376"/>
      <c r="H775" s="376"/>
      <c r="I775" s="376"/>
      <c r="J775" s="376"/>
      <c r="K775" s="376"/>
      <c r="L775" s="376"/>
      <c r="M775" s="376"/>
      <c r="N775" s="376"/>
      <c r="O775" s="376"/>
      <c r="P775" s="376"/>
      <c r="Q775" s="376"/>
      <c r="R775" s="376"/>
      <c r="S775" s="376"/>
      <c r="T775" s="376"/>
      <c r="U775" s="376"/>
      <c r="V775" s="376"/>
      <c r="W775" s="376"/>
      <c r="X775" s="376"/>
      <c r="Y775" s="376"/>
      <c r="Z775" s="376"/>
    </row>
    <row r="776">
      <c r="A776" s="376"/>
      <c r="B776" s="376"/>
      <c r="C776" s="376"/>
      <c r="D776" s="376"/>
      <c r="E776" s="376"/>
      <c r="F776" s="376"/>
      <c r="G776" s="376"/>
      <c r="H776" s="376"/>
      <c r="I776" s="376"/>
      <c r="J776" s="376"/>
      <c r="K776" s="376"/>
      <c r="L776" s="376"/>
      <c r="M776" s="376"/>
      <c r="N776" s="376"/>
      <c r="O776" s="376"/>
      <c r="P776" s="376"/>
      <c r="Q776" s="376"/>
      <c r="R776" s="376"/>
      <c r="S776" s="376"/>
      <c r="T776" s="376"/>
      <c r="U776" s="376"/>
      <c r="V776" s="376"/>
      <c r="W776" s="376"/>
      <c r="X776" s="376"/>
      <c r="Y776" s="376"/>
      <c r="Z776" s="376"/>
    </row>
    <row r="777">
      <c r="A777" s="376"/>
      <c r="B777" s="376"/>
      <c r="C777" s="376"/>
      <c r="D777" s="376"/>
      <c r="E777" s="376"/>
      <c r="F777" s="376"/>
      <c r="G777" s="376"/>
      <c r="H777" s="376"/>
      <c r="I777" s="376"/>
      <c r="J777" s="376"/>
      <c r="K777" s="376"/>
      <c r="L777" s="376"/>
      <c r="M777" s="376"/>
      <c r="N777" s="376"/>
      <c r="O777" s="376"/>
      <c r="P777" s="376"/>
      <c r="Q777" s="376"/>
      <c r="R777" s="376"/>
      <c r="S777" s="376"/>
      <c r="T777" s="376"/>
      <c r="U777" s="376"/>
      <c r="V777" s="376"/>
      <c r="W777" s="376"/>
      <c r="X777" s="376"/>
      <c r="Y777" s="376"/>
      <c r="Z777" s="376"/>
    </row>
    <row r="778">
      <c r="A778" s="376"/>
      <c r="B778" s="376"/>
      <c r="C778" s="376"/>
      <c r="D778" s="376"/>
      <c r="E778" s="376"/>
      <c r="F778" s="376"/>
      <c r="G778" s="376"/>
      <c r="H778" s="376"/>
      <c r="I778" s="376"/>
      <c r="J778" s="376"/>
      <c r="K778" s="376"/>
      <c r="L778" s="376"/>
      <c r="M778" s="376"/>
      <c r="N778" s="376"/>
      <c r="O778" s="376"/>
      <c r="P778" s="376"/>
      <c r="Q778" s="376"/>
      <c r="R778" s="376"/>
      <c r="S778" s="376"/>
      <c r="T778" s="376"/>
      <c r="U778" s="376"/>
      <c r="V778" s="376"/>
      <c r="W778" s="376"/>
      <c r="X778" s="376"/>
      <c r="Y778" s="376"/>
      <c r="Z778" s="376"/>
    </row>
    <row r="779">
      <c r="A779" s="376"/>
      <c r="B779" s="376"/>
      <c r="C779" s="376"/>
      <c r="D779" s="376"/>
      <c r="E779" s="376"/>
      <c r="F779" s="376"/>
      <c r="G779" s="376"/>
      <c r="H779" s="376"/>
      <c r="I779" s="376"/>
      <c r="J779" s="376"/>
      <c r="K779" s="376"/>
      <c r="L779" s="376"/>
      <c r="M779" s="376"/>
      <c r="N779" s="376"/>
      <c r="O779" s="376"/>
      <c r="P779" s="376"/>
      <c r="Q779" s="376"/>
      <c r="R779" s="376"/>
      <c r="S779" s="376"/>
      <c r="T779" s="376"/>
      <c r="U779" s="376"/>
      <c r="V779" s="376"/>
      <c r="W779" s="376"/>
      <c r="X779" s="376"/>
      <c r="Y779" s="376"/>
      <c r="Z779" s="376"/>
    </row>
    <row r="780">
      <c r="A780" s="376"/>
      <c r="B780" s="376"/>
      <c r="C780" s="376"/>
      <c r="D780" s="376"/>
      <c r="E780" s="376"/>
      <c r="F780" s="376"/>
      <c r="G780" s="376"/>
      <c r="H780" s="376"/>
      <c r="I780" s="376"/>
      <c r="J780" s="376"/>
      <c r="K780" s="376"/>
      <c r="L780" s="376"/>
      <c r="M780" s="376"/>
      <c r="N780" s="376"/>
      <c r="O780" s="376"/>
      <c r="P780" s="376"/>
      <c r="Q780" s="376"/>
      <c r="R780" s="376"/>
      <c r="S780" s="376"/>
      <c r="T780" s="376"/>
      <c r="U780" s="376"/>
      <c r="V780" s="376"/>
      <c r="W780" s="376"/>
      <c r="X780" s="376"/>
      <c r="Y780" s="376"/>
      <c r="Z780" s="376"/>
    </row>
    <row r="781">
      <c r="A781" s="376"/>
      <c r="B781" s="376"/>
      <c r="C781" s="376"/>
      <c r="D781" s="376"/>
      <c r="E781" s="376"/>
      <c r="F781" s="376"/>
      <c r="G781" s="376"/>
      <c r="H781" s="376"/>
      <c r="I781" s="376"/>
      <c r="J781" s="376"/>
      <c r="K781" s="376"/>
      <c r="L781" s="376"/>
      <c r="M781" s="376"/>
      <c r="N781" s="376"/>
      <c r="O781" s="376"/>
      <c r="P781" s="376"/>
      <c r="Q781" s="376"/>
      <c r="R781" s="376"/>
      <c r="S781" s="376"/>
      <c r="T781" s="376"/>
      <c r="U781" s="376"/>
      <c r="V781" s="376"/>
      <c r="W781" s="376"/>
      <c r="X781" s="376"/>
      <c r="Y781" s="376"/>
      <c r="Z781" s="376"/>
    </row>
    <row r="782">
      <c r="A782" s="376"/>
      <c r="B782" s="376"/>
      <c r="C782" s="376"/>
      <c r="D782" s="376"/>
      <c r="E782" s="376"/>
      <c r="F782" s="376"/>
      <c r="G782" s="376"/>
      <c r="H782" s="376"/>
      <c r="I782" s="376"/>
      <c r="J782" s="376"/>
      <c r="K782" s="376"/>
      <c r="L782" s="376"/>
      <c r="M782" s="376"/>
      <c r="N782" s="376"/>
      <c r="O782" s="376"/>
      <c r="P782" s="376"/>
      <c r="Q782" s="376"/>
      <c r="R782" s="376"/>
      <c r="S782" s="376"/>
      <c r="T782" s="376"/>
      <c r="U782" s="376"/>
      <c r="V782" s="376"/>
      <c r="W782" s="376"/>
      <c r="X782" s="376"/>
      <c r="Y782" s="376"/>
      <c r="Z782" s="376"/>
    </row>
    <row r="783">
      <c r="A783" s="376"/>
      <c r="B783" s="376"/>
      <c r="C783" s="376"/>
      <c r="D783" s="376"/>
      <c r="E783" s="376"/>
      <c r="F783" s="376"/>
      <c r="G783" s="376"/>
      <c r="H783" s="376"/>
      <c r="I783" s="376"/>
      <c r="J783" s="376"/>
      <c r="K783" s="376"/>
      <c r="L783" s="376"/>
      <c r="M783" s="376"/>
      <c r="N783" s="376"/>
      <c r="O783" s="376"/>
      <c r="P783" s="376"/>
      <c r="Q783" s="376"/>
      <c r="R783" s="376"/>
      <c r="S783" s="376"/>
      <c r="T783" s="376"/>
      <c r="U783" s="376"/>
      <c r="V783" s="376"/>
      <c r="W783" s="376"/>
      <c r="X783" s="376"/>
      <c r="Y783" s="376"/>
      <c r="Z783" s="376"/>
    </row>
    <row r="784">
      <c r="A784" s="376"/>
      <c r="B784" s="376"/>
      <c r="C784" s="376"/>
      <c r="D784" s="376"/>
      <c r="E784" s="376"/>
      <c r="F784" s="376"/>
      <c r="G784" s="376"/>
      <c r="H784" s="376"/>
      <c r="I784" s="376"/>
      <c r="J784" s="376"/>
      <c r="K784" s="376"/>
      <c r="L784" s="376"/>
      <c r="M784" s="376"/>
      <c r="N784" s="376"/>
      <c r="O784" s="376"/>
      <c r="P784" s="376"/>
      <c r="Q784" s="376"/>
      <c r="R784" s="376"/>
      <c r="S784" s="376"/>
      <c r="T784" s="376"/>
      <c r="U784" s="376"/>
      <c r="V784" s="376"/>
      <c r="W784" s="376"/>
      <c r="X784" s="376"/>
      <c r="Y784" s="376"/>
      <c r="Z784" s="376"/>
    </row>
    <row r="785">
      <c r="A785" s="376"/>
      <c r="B785" s="376"/>
      <c r="C785" s="376"/>
      <c r="D785" s="376"/>
      <c r="E785" s="376"/>
      <c r="F785" s="376"/>
      <c r="G785" s="376"/>
      <c r="H785" s="376"/>
      <c r="I785" s="376"/>
      <c r="J785" s="376"/>
      <c r="K785" s="376"/>
      <c r="L785" s="376"/>
      <c r="M785" s="376"/>
      <c r="N785" s="376"/>
      <c r="O785" s="376"/>
      <c r="P785" s="376"/>
      <c r="Q785" s="376"/>
      <c r="R785" s="376"/>
      <c r="S785" s="376"/>
      <c r="T785" s="376"/>
      <c r="U785" s="376"/>
      <c r="V785" s="376"/>
      <c r="W785" s="376"/>
      <c r="X785" s="376"/>
      <c r="Y785" s="376"/>
      <c r="Z785" s="376"/>
    </row>
    <row r="786">
      <c r="A786" s="376"/>
      <c r="B786" s="376"/>
      <c r="C786" s="376"/>
      <c r="D786" s="376"/>
      <c r="E786" s="376"/>
      <c r="F786" s="376"/>
      <c r="G786" s="376"/>
      <c r="H786" s="376"/>
      <c r="I786" s="376"/>
      <c r="J786" s="376"/>
      <c r="K786" s="376"/>
      <c r="L786" s="376"/>
      <c r="M786" s="376"/>
      <c r="N786" s="376"/>
      <c r="O786" s="376"/>
      <c r="P786" s="376"/>
      <c r="Q786" s="376"/>
      <c r="R786" s="376"/>
      <c r="S786" s="376"/>
      <c r="T786" s="376"/>
      <c r="U786" s="376"/>
      <c r="V786" s="376"/>
      <c r="W786" s="376"/>
      <c r="X786" s="376"/>
      <c r="Y786" s="376"/>
      <c r="Z786" s="376"/>
    </row>
    <row r="787">
      <c r="A787" s="376"/>
      <c r="B787" s="376"/>
      <c r="C787" s="376"/>
      <c r="D787" s="376"/>
      <c r="E787" s="376"/>
      <c r="F787" s="376"/>
      <c r="G787" s="376"/>
      <c r="H787" s="376"/>
      <c r="I787" s="376"/>
      <c r="J787" s="376"/>
      <c r="K787" s="376"/>
      <c r="L787" s="376"/>
      <c r="M787" s="376"/>
      <c r="N787" s="376"/>
      <c r="O787" s="376"/>
      <c r="P787" s="376"/>
      <c r="Q787" s="376"/>
      <c r="R787" s="376"/>
      <c r="S787" s="376"/>
      <c r="T787" s="376"/>
      <c r="U787" s="376"/>
      <c r="V787" s="376"/>
      <c r="W787" s="376"/>
      <c r="X787" s="376"/>
      <c r="Y787" s="376"/>
      <c r="Z787" s="376"/>
    </row>
    <row r="788">
      <c r="A788" s="376"/>
      <c r="B788" s="376"/>
      <c r="C788" s="376"/>
      <c r="D788" s="376"/>
      <c r="E788" s="376"/>
      <c r="F788" s="376"/>
      <c r="G788" s="376"/>
      <c r="H788" s="376"/>
      <c r="I788" s="376"/>
      <c r="J788" s="376"/>
      <c r="K788" s="376"/>
      <c r="L788" s="376"/>
      <c r="M788" s="376"/>
      <c r="N788" s="376"/>
      <c r="O788" s="376"/>
      <c r="P788" s="376"/>
      <c r="Q788" s="376"/>
      <c r="R788" s="376"/>
      <c r="S788" s="376"/>
      <c r="T788" s="376"/>
      <c r="U788" s="376"/>
      <c r="V788" s="376"/>
      <c r="W788" s="376"/>
      <c r="X788" s="376"/>
      <c r="Y788" s="376"/>
      <c r="Z788" s="376"/>
    </row>
    <row r="789">
      <c r="A789" s="376"/>
      <c r="B789" s="376"/>
      <c r="C789" s="376"/>
      <c r="D789" s="376"/>
      <c r="E789" s="376"/>
      <c r="F789" s="376"/>
      <c r="G789" s="376"/>
      <c r="H789" s="376"/>
      <c r="I789" s="376"/>
      <c r="J789" s="376"/>
      <c r="K789" s="376"/>
      <c r="L789" s="376"/>
      <c r="M789" s="376"/>
      <c r="N789" s="376"/>
      <c r="O789" s="376"/>
      <c r="P789" s="376"/>
      <c r="Q789" s="376"/>
      <c r="R789" s="376"/>
      <c r="S789" s="376"/>
      <c r="T789" s="376"/>
      <c r="U789" s="376"/>
      <c r="V789" s="376"/>
      <c r="W789" s="376"/>
      <c r="X789" s="376"/>
      <c r="Y789" s="376"/>
      <c r="Z789" s="376"/>
    </row>
    <row r="790">
      <c r="A790" s="376"/>
      <c r="B790" s="376"/>
      <c r="C790" s="376"/>
      <c r="D790" s="376"/>
      <c r="E790" s="376"/>
      <c r="F790" s="376"/>
      <c r="G790" s="376"/>
      <c r="H790" s="376"/>
      <c r="I790" s="376"/>
      <c r="J790" s="376"/>
      <c r="K790" s="376"/>
      <c r="L790" s="376"/>
      <c r="M790" s="376"/>
      <c r="N790" s="376"/>
      <c r="O790" s="376"/>
      <c r="P790" s="376"/>
      <c r="Q790" s="376"/>
      <c r="R790" s="376"/>
      <c r="S790" s="376"/>
      <c r="T790" s="376"/>
      <c r="U790" s="376"/>
      <c r="V790" s="376"/>
      <c r="W790" s="376"/>
      <c r="X790" s="376"/>
      <c r="Y790" s="376"/>
      <c r="Z790" s="376"/>
    </row>
    <row r="791">
      <c r="A791" s="376"/>
      <c r="B791" s="376"/>
      <c r="C791" s="376"/>
      <c r="D791" s="376"/>
      <c r="E791" s="376"/>
      <c r="F791" s="376"/>
      <c r="G791" s="376"/>
      <c r="H791" s="376"/>
      <c r="I791" s="376"/>
      <c r="J791" s="376"/>
      <c r="K791" s="376"/>
      <c r="L791" s="376"/>
      <c r="M791" s="376"/>
      <c r="N791" s="376"/>
      <c r="O791" s="376"/>
      <c r="P791" s="376"/>
      <c r="Q791" s="376"/>
      <c r="R791" s="376"/>
      <c r="S791" s="376"/>
      <c r="T791" s="376"/>
      <c r="U791" s="376"/>
      <c r="V791" s="376"/>
      <c r="W791" s="376"/>
      <c r="X791" s="376"/>
      <c r="Y791" s="376"/>
      <c r="Z791" s="376"/>
    </row>
    <row r="792">
      <c r="A792" s="376"/>
      <c r="B792" s="376"/>
      <c r="C792" s="376"/>
      <c r="D792" s="376"/>
      <c r="E792" s="376"/>
      <c r="F792" s="376"/>
      <c r="G792" s="376"/>
      <c r="H792" s="376"/>
      <c r="I792" s="376"/>
      <c r="J792" s="376"/>
      <c r="K792" s="376"/>
      <c r="L792" s="376"/>
      <c r="M792" s="376"/>
      <c r="N792" s="376"/>
      <c r="O792" s="376"/>
      <c r="P792" s="376"/>
      <c r="Q792" s="376"/>
      <c r="R792" s="376"/>
      <c r="S792" s="376"/>
      <c r="T792" s="376"/>
      <c r="U792" s="376"/>
      <c r="V792" s="376"/>
      <c r="W792" s="376"/>
      <c r="X792" s="376"/>
      <c r="Y792" s="376"/>
      <c r="Z792" s="376"/>
    </row>
    <row r="793">
      <c r="A793" s="376"/>
      <c r="B793" s="376"/>
      <c r="C793" s="376"/>
      <c r="D793" s="376"/>
      <c r="E793" s="376"/>
      <c r="F793" s="376"/>
      <c r="G793" s="376"/>
      <c r="H793" s="376"/>
      <c r="I793" s="376"/>
      <c r="J793" s="376"/>
      <c r="K793" s="376"/>
      <c r="L793" s="376"/>
      <c r="M793" s="376"/>
      <c r="N793" s="376"/>
      <c r="O793" s="376"/>
      <c r="P793" s="376"/>
      <c r="Q793" s="376"/>
      <c r="R793" s="376"/>
      <c r="S793" s="376"/>
      <c r="T793" s="376"/>
      <c r="U793" s="376"/>
      <c r="V793" s="376"/>
      <c r="W793" s="376"/>
      <c r="X793" s="376"/>
      <c r="Y793" s="376"/>
      <c r="Z793" s="376"/>
    </row>
    <row r="794">
      <c r="A794" s="376"/>
      <c r="B794" s="376"/>
      <c r="C794" s="376"/>
      <c r="D794" s="376"/>
      <c r="E794" s="376"/>
      <c r="F794" s="376"/>
      <c r="G794" s="376"/>
      <c r="H794" s="376"/>
      <c r="I794" s="376"/>
      <c r="J794" s="376"/>
      <c r="K794" s="376"/>
      <c r="L794" s="376"/>
      <c r="M794" s="376"/>
      <c r="N794" s="376"/>
      <c r="O794" s="376"/>
      <c r="P794" s="376"/>
      <c r="Q794" s="376"/>
      <c r="R794" s="376"/>
      <c r="S794" s="376"/>
      <c r="T794" s="376"/>
      <c r="U794" s="376"/>
      <c r="V794" s="376"/>
      <c r="W794" s="376"/>
      <c r="X794" s="376"/>
      <c r="Y794" s="376"/>
      <c r="Z794" s="376"/>
    </row>
    <row r="795">
      <c r="A795" s="376"/>
      <c r="B795" s="376"/>
      <c r="C795" s="376"/>
      <c r="D795" s="376"/>
      <c r="E795" s="376"/>
      <c r="F795" s="376"/>
      <c r="G795" s="376"/>
      <c r="H795" s="376"/>
      <c r="I795" s="376"/>
      <c r="J795" s="376"/>
      <c r="K795" s="376"/>
      <c r="L795" s="376"/>
      <c r="M795" s="376"/>
      <c r="N795" s="376"/>
      <c r="O795" s="376"/>
      <c r="P795" s="376"/>
      <c r="Q795" s="376"/>
      <c r="R795" s="376"/>
      <c r="S795" s="376"/>
      <c r="T795" s="376"/>
      <c r="U795" s="376"/>
      <c r="V795" s="376"/>
      <c r="W795" s="376"/>
      <c r="X795" s="376"/>
      <c r="Y795" s="376"/>
      <c r="Z795" s="376"/>
    </row>
    <row r="796">
      <c r="A796" s="376"/>
      <c r="B796" s="376"/>
      <c r="C796" s="376"/>
      <c r="D796" s="376"/>
      <c r="E796" s="376"/>
      <c r="F796" s="376"/>
      <c r="G796" s="376"/>
      <c r="H796" s="376"/>
      <c r="I796" s="376"/>
      <c r="J796" s="376"/>
      <c r="K796" s="376"/>
      <c r="L796" s="376"/>
      <c r="M796" s="376"/>
      <c r="N796" s="376"/>
      <c r="O796" s="376"/>
      <c r="P796" s="376"/>
      <c r="Q796" s="376"/>
      <c r="R796" s="376"/>
      <c r="S796" s="376"/>
      <c r="T796" s="376"/>
      <c r="U796" s="376"/>
      <c r="V796" s="376"/>
      <c r="W796" s="376"/>
      <c r="X796" s="376"/>
      <c r="Y796" s="376"/>
      <c r="Z796" s="376"/>
    </row>
    <row r="797">
      <c r="A797" s="376"/>
      <c r="B797" s="376"/>
      <c r="C797" s="376"/>
      <c r="D797" s="376"/>
      <c r="E797" s="376"/>
      <c r="F797" s="376"/>
      <c r="G797" s="376"/>
      <c r="H797" s="376"/>
      <c r="I797" s="376"/>
      <c r="J797" s="376"/>
      <c r="K797" s="376"/>
      <c r="L797" s="376"/>
      <c r="M797" s="376"/>
      <c r="N797" s="376"/>
      <c r="O797" s="376"/>
      <c r="P797" s="376"/>
      <c r="Q797" s="376"/>
      <c r="R797" s="376"/>
      <c r="S797" s="376"/>
      <c r="T797" s="376"/>
      <c r="U797" s="376"/>
      <c r="V797" s="376"/>
      <c r="W797" s="376"/>
      <c r="X797" s="376"/>
      <c r="Y797" s="376"/>
      <c r="Z797" s="376"/>
    </row>
    <row r="798">
      <c r="A798" s="376"/>
      <c r="B798" s="376"/>
      <c r="C798" s="376"/>
      <c r="D798" s="376"/>
      <c r="E798" s="376"/>
      <c r="F798" s="376"/>
      <c r="G798" s="376"/>
      <c r="H798" s="376"/>
      <c r="I798" s="376"/>
      <c r="J798" s="376"/>
      <c r="K798" s="376"/>
      <c r="L798" s="376"/>
      <c r="M798" s="376"/>
      <c r="N798" s="376"/>
      <c r="O798" s="376"/>
      <c r="P798" s="376"/>
      <c r="Q798" s="376"/>
      <c r="R798" s="376"/>
      <c r="S798" s="376"/>
      <c r="T798" s="376"/>
      <c r="U798" s="376"/>
      <c r="V798" s="376"/>
      <c r="W798" s="376"/>
      <c r="X798" s="376"/>
      <c r="Y798" s="376"/>
      <c r="Z798" s="376"/>
    </row>
    <row r="799">
      <c r="A799" s="376"/>
      <c r="B799" s="376"/>
      <c r="C799" s="376"/>
      <c r="D799" s="376"/>
      <c r="E799" s="376"/>
      <c r="F799" s="376"/>
      <c r="G799" s="376"/>
      <c r="H799" s="376"/>
      <c r="I799" s="376"/>
      <c r="J799" s="376"/>
      <c r="K799" s="376"/>
      <c r="L799" s="376"/>
      <c r="M799" s="376"/>
      <c r="N799" s="376"/>
      <c r="O799" s="376"/>
      <c r="P799" s="376"/>
      <c r="Q799" s="376"/>
      <c r="R799" s="376"/>
      <c r="S799" s="376"/>
      <c r="T799" s="376"/>
      <c r="U799" s="376"/>
      <c r="V799" s="376"/>
      <c r="W799" s="376"/>
      <c r="X799" s="376"/>
      <c r="Y799" s="376"/>
      <c r="Z799" s="376"/>
    </row>
    <row r="800">
      <c r="A800" s="376"/>
      <c r="B800" s="376"/>
      <c r="C800" s="376"/>
      <c r="D800" s="376"/>
      <c r="E800" s="376"/>
      <c r="F800" s="376"/>
      <c r="G800" s="376"/>
      <c r="H800" s="376"/>
      <c r="I800" s="376"/>
      <c r="J800" s="376"/>
      <c r="K800" s="376"/>
      <c r="L800" s="376"/>
      <c r="M800" s="376"/>
      <c r="N800" s="376"/>
      <c r="O800" s="376"/>
      <c r="P800" s="376"/>
      <c r="Q800" s="376"/>
      <c r="R800" s="376"/>
      <c r="S800" s="376"/>
      <c r="T800" s="376"/>
      <c r="U800" s="376"/>
      <c r="V800" s="376"/>
      <c r="W800" s="376"/>
      <c r="X800" s="376"/>
      <c r="Y800" s="376"/>
      <c r="Z800" s="376"/>
    </row>
    <row r="801">
      <c r="A801" s="376"/>
      <c r="B801" s="376"/>
      <c r="C801" s="376"/>
      <c r="D801" s="376"/>
      <c r="E801" s="376"/>
      <c r="F801" s="376"/>
      <c r="G801" s="376"/>
      <c r="H801" s="376"/>
      <c r="I801" s="376"/>
      <c r="J801" s="376"/>
      <c r="K801" s="376"/>
      <c r="L801" s="376"/>
      <c r="M801" s="376"/>
      <c r="N801" s="376"/>
      <c r="O801" s="376"/>
      <c r="P801" s="376"/>
      <c r="Q801" s="376"/>
      <c r="R801" s="376"/>
      <c r="S801" s="376"/>
      <c r="T801" s="376"/>
      <c r="U801" s="376"/>
      <c r="V801" s="376"/>
      <c r="W801" s="376"/>
      <c r="X801" s="376"/>
      <c r="Y801" s="376"/>
      <c r="Z801" s="376"/>
    </row>
    <row r="802">
      <c r="A802" s="376"/>
      <c r="B802" s="376"/>
      <c r="C802" s="376"/>
      <c r="D802" s="376"/>
      <c r="E802" s="376"/>
      <c r="F802" s="376"/>
      <c r="G802" s="376"/>
      <c r="H802" s="376"/>
      <c r="I802" s="376"/>
      <c r="J802" s="376"/>
      <c r="K802" s="376"/>
      <c r="L802" s="376"/>
      <c r="M802" s="376"/>
      <c r="N802" s="376"/>
      <c r="O802" s="376"/>
      <c r="P802" s="376"/>
      <c r="Q802" s="376"/>
      <c r="R802" s="376"/>
      <c r="S802" s="376"/>
      <c r="T802" s="376"/>
      <c r="U802" s="376"/>
      <c r="V802" s="376"/>
      <c r="W802" s="376"/>
      <c r="X802" s="376"/>
      <c r="Y802" s="376"/>
      <c r="Z802" s="376"/>
    </row>
    <row r="803">
      <c r="A803" s="376"/>
      <c r="B803" s="376"/>
      <c r="C803" s="376"/>
      <c r="D803" s="376"/>
      <c r="E803" s="376"/>
      <c r="F803" s="376"/>
      <c r="G803" s="376"/>
      <c r="H803" s="376"/>
      <c r="I803" s="376"/>
      <c r="J803" s="376"/>
      <c r="K803" s="376"/>
      <c r="L803" s="376"/>
      <c r="M803" s="376"/>
      <c r="N803" s="376"/>
      <c r="O803" s="376"/>
      <c r="P803" s="376"/>
      <c r="Q803" s="376"/>
      <c r="R803" s="376"/>
      <c r="S803" s="376"/>
      <c r="T803" s="376"/>
      <c r="U803" s="376"/>
      <c r="V803" s="376"/>
      <c r="W803" s="376"/>
      <c r="X803" s="376"/>
      <c r="Y803" s="376"/>
      <c r="Z803" s="376"/>
    </row>
    <row r="804">
      <c r="A804" s="376"/>
      <c r="B804" s="376"/>
      <c r="C804" s="376"/>
      <c r="D804" s="376"/>
      <c r="E804" s="376"/>
      <c r="F804" s="376"/>
      <c r="G804" s="376"/>
      <c r="H804" s="376"/>
      <c r="I804" s="376"/>
      <c r="J804" s="376"/>
      <c r="K804" s="376"/>
      <c r="L804" s="376"/>
      <c r="M804" s="376"/>
      <c r="N804" s="376"/>
      <c r="O804" s="376"/>
      <c r="P804" s="376"/>
      <c r="Q804" s="376"/>
      <c r="R804" s="376"/>
      <c r="S804" s="376"/>
      <c r="T804" s="376"/>
      <c r="U804" s="376"/>
      <c r="V804" s="376"/>
      <c r="W804" s="376"/>
      <c r="X804" s="376"/>
      <c r="Y804" s="376"/>
      <c r="Z804" s="376"/>
    </row>
    <row r="805">
      <c r="A805" s="376"/>
      <c r="B805" s="376"/>
      <c r="C805" s="376"/>
      <c r="D805" s="376"/>
      <c r="E805" s="376"/>
      <c r="F805" s="376"/>
      <c r="G805" s="376"/>
      <c r="H805" s="376"/>
      <c r="I805" s="376"/>
      <c r="J805" s="376"/>
      <c r="K805" s="376"/>
      <c r="L805" s="376"/>
      <c r="M805" s="376"/>
      <c r="N805" s="376"/>
      <c r="O805" s="376"/>
      <c r="P805" s="376"/>
      <c r="Q805" s="376"/>
      <c r="R805" s="376"/>
      <c r="S805" s="376"/>
      <c r="T805" s="376"/>
      <c r="U805" s="376"/>
      <c r="V805" s="376"/>
      <c r="W805" s="376"/>
      <c r="X805" s="376"/>
      <c r="Y805" s="376"/>
      <c r="Z805" s="376"/>
    </row>
    <row r="806">
      <c r="A806" s="376"/>
      <c r="B806" s="376"/>
      <c r="C806" s="376"/>
      <c r="D806" s="376"/>
      <c r="E806" s="376"/>
      <c r="F806" s="376"/>
      <c r="G806" s="376"/>
      <c r="H806" s="376"/>
      <c r="I806" s="376"/>
      <c r="J806" s="376"/>
      <c r="K806" s="376"/>
      <c r="L806" s="376"/>
      <c r="M806" s="376"/>
      <c r="N806" s="376"/>
      <c r="O806" s="376"/>
      <c r="P806" s="376"/>
      <c r="Q806" s="376"/>
      <c r="R806" s="376"/>
      <c r="S806" s="376"/>
      <c r="T806" s="376"/>
      <c r="U806" s="376"/>
      <c r="V806" s="376"/>
      <c r="W806" s="376"/>
      <c r="X806" s="376"/>
      <c r="Y806" s="376"/>
      <c r="Z806" s="376"/>
    </row>
    <row r="807">
      <c r="A807" s="376"/>
      <c r="B807" s="376"/>
      <c r="C807" s="376"/>
      <c r="D807" s="376"/>
      <c r="E807" s="376"/>
      <c r="F807" s="376"/>
      <c r="G807" s="376"/>
      <c r="H807" s="376"/>
      <c r="I807" s="376"/>
      <c r="J807" s="376"/>
      <c r="K807" s="376"/>
      <c r="L807" s="376"/>
      <c r="M807" s="376"/>
      <c r="N807" s="376"/>
      <c r="O807" s="376"/>
      <c r="P807" s="376"/>
      <c r="Q807" s="376"/>
      <c r="R807" s="376"/>
      <c r="S807" s="376"/>
      <c r="T807" s="376"/>
      <c r="U807" s="376"/>
      <c r="V807" s="376"/>
      <c r="W807" s="376"/>
      <c r="X807" s="376"/>
      <c r="Y807" s="376"/>
      <c r="Z807" s="376"/>
    </row>
    <row r="808">
      <c r="A808" s="376"/>
      <c r="B808" s="376"/>
      <c r="C808" s="376"/>
      <c r="D808" s="376"/>
      <c r="E808" s="376"/>
      <c r="F808" s="376"/>
      <c r="G808" s="376"/>
      <c r="H808" s="376"/>
      <c r="I808" s="376"/>
      <c r="J808" s="376"/>
      <c r="K808" s="376"/>
      <c r="L808" s="376"/>
      <c r="M808" s="376"/>
      <c r="N808" s="376"/>
      <c r="O808" s="376"/>
      <c r="P808" s="376"/>
      <c r="Q808" s="376"/>
      <c r="R808" s="376"/>
      <c r="S808" s="376"/>
      <c r="T808" s="376"/>
      <c r="U808" s="376"/>
      <c r="V808" s="376"/>
      <c r="W808" s="376"/>
      <c r="X808" s="376"/>
      <c r="Y808" s="376"/>
      <c r="Z808" s="376"/>
    </row>
    <row r="809">
      <c r="A809" s="376"/>
      <c r="B809" s="376"/>
      <c r="C809" s="376"/>
      <c r="D809" s="376"/>
      <c r="E809" s="376"/>
      <c r="F809" s="376"/>
      <c r="G809" s="376"/>
      <c r="H809" s="376"/>
      <c r="I809" s="376"/>
      <c r="J809" s="376"/>
      <c r="K809" s="376"/>
      <c r="L809" s="376"/>
      <c r="M809" s="376"/>
      <c r="N809" s="376"/>
      <c r="O809" s="376"/>
      <c r="P809" s="376"/>
      <c r="Q809" s="376"/>
      <c r="R809" s="376"/>
      <c r="S809" s="376"/>
      <c r="T809" s="376"/>
      <c r="U809" s="376"/>
      <c r="V809" s="376"/>
      <c r="W809" s="376"/>
      <c r="X809" s="376"/>
      <c r="Y809" s="376"/>
      <c r="Z809" s="376"/>
    </row>
    <row r="810">
      <c r="A810" s="376"/>
      <c r="B810" s="376"/>
      <c r="C810" s="376"/>
      <c r="D810" s="376"/>
      <c r="E810" s="376"/>
      <c r="F810" s="376"/>
      <c r="G810" s="376"/>
      <c r="H810" s="376"/>
      <c r="I810" s="376"/>
      <c r="J810" s="376"/>
      <c r="K810" s="376"/>
      <c r="L810" s="376"/>
      <c r="M810" s="376"/>
      <c r="N810" s="376"/>
      <c r="O810" s="376"/>
      <c r="P810" s="376"/>
      <c r="Q810" s="376"/>
      <c r="R810" s="376"/>
      <c r="S810" s="376"/>
      <c r="T810" s="376"/>
      <c r="U810" s="376"/>
      <c r="V810" s="376"/>
      <c r="W810" s="376"/>
      <c r="X810" s="376"/>
      <c r="Y810" s="376"/>
      <c r="Z810" s="376"/>
    </row>
    <row r="811">
      <c r="A811" s="376"/>
      <c r="B811" s="376"/>
      <c r="C811" s="376"/>
      <c r="D811" s="376"/>
      <c r="E811" s="376"/>
      <c r="F811" s="376"/>
      <c r="G811" s="376"/>
      <c r="H811" s="376"/>
      <c r="I811" s="376"/>
      <c r="J811" s="376"/>
      <c r="K811" s="376"/>
      <c r="L811" s="376"/>
      <c r="M811" s="376"/>
      <c r="N811" s="376"/>
      <c r="O811" s="376"/>
      <c r="P811" s="376"/>
      <c r="Q811" s="376"/>
      <c r="R811" s="376"/>
      <c r="S811" s="376"/>
      <c r="T811" s="376"/>
      <c r="U811" s="376"/>
      <c r="V811" s="376"/>
      <c r="W811" s="376"/>
      <c r="X811" s="376"/>
      <c r="Y811" s="376"/>
      <c r="Z811" s="376"/>
    </row>
    <row r="812">
      <c r="A812" s="376"/>
      <c r="B812" s="376"/>
      <c r="C812" s="376"/>
      <c r="D812" s="376"/>
      <c r="E812" s="376"/>
      <c r="F812" s="376"/>
      <c r="G812" s="376"/>
      <c r="H812" s="376"/>
      <c r="I812" s="376"/>
      <c r="J812" s="376"/>
      <c r="K812" s="376"/>
      <c r="L812" s="376"/>
      <c r="M812" s="376"/>
      <c r="N812" s="376"/>
      <c r="O812" s="376"/>
      <c r="P812" s="376"/>
      <c r="Q812" s="376"/>
      <c r="R812" s="376"/>
      <c r="S812" s="376"/>
      <c r="T812" s="376"/>
      <c r="U812" s="376"/>
      <c r="V812" s="376"/>
      <c r="W812" s="376"/>
      <c r="X812" s="376"/>
      <c r="Y812" s="376"/>
      <c r="Z812" s="376"/>
    </row>
    <row r="813">
      <c r="A813" s="376"/>
      <c r="B813" s="376"/>
      <c r="C813" s="376"/>
      <c r="D813" s="376"/>
      <c r="E813" s="376"/>
      <c r="F813" s="376"/>
      <c r="G813" s="376"/>
      <c r="H813" s="376"/>
      <c r="I813" s="376"/>
      <c r="J813" s="376"/>
      <c r="K813" s="376"/>
      <c r="L813" s="376"/>
      <c r="M813" s="376"/>
      <c r="N813" s="376"/>
      <c r="O813" s="376"/>
      <c r="P813" s="376"/>
      <c r="Q813" s="376"/>
      <c r="R813" s="376"/>
      <c r="S813" s="376"/>
      <c r="T813" s="376"/>
      <c r="U813" s="376"/>
      <c r="V813" s="376"/>
      <c r="W813" s="376"/>
      <c r="X813" s="376"/>
      <c r="Y813" s="376"/>
      <c r="Z813" s="376"/>
    </row>
    <row r="814">
      <c r="A814" s="376"/>
      <c r="B814" s="376"/>
      <c r="C814" s="376"/>
      <c r="D814" s="376"/>
      <c r="E814" s="376"/>
      <c r="F814" s="376"/>
      <c r="G814" s="376"/>
      <c r="H814" s="376"/>
      <c r="I814" s="376"/>
      <c r="J814" s="376"/>
      <c r="K814" s="376"/>
      <c r="L814" s="376"/>
      <c r="M814" s="376"/>
      <c r="N814" s="376"/>
      <c r="O814" s="376"/>
      <c r="P814" s="376"/>
      <c r="Q814" s="376"/>
      <c r="R814" s="376"/>
      <c r="S814" s="376"/>
      <c r="T814" s="376"/>
      <c r="U814" s="376"/>
      <c r="V814" s="376"/>
      <c r="W814" s="376"/>
      <c r="X814" s="376"/>
      <c r="Y814" s="376"/>
      <c r="Z814" s="376"/>
    </row>
    <row r="815">
      <c r="A815" s="376"/>
      <c r="B815" s="376"/>
      <c r="C815" s="376"/>
      <c r="D815" s="376"/>
      <c r="E815" s="376"/>
      <c r="F815" s="376"/>
      <c r="G815" s="376"/>
      <c r="H815" s="376"/>
      <c r="I815" s="376"/>
      <c r="J815" s="376"/>
      <c r="K815" s="376"/>
      <c r="L815" s="376"/>
      <c r="M815" s="376"/>
      <c r="N815" s="376"/>
      <c r="O815" s="376"/>
      <c r="P815" s="376"/>
      <c r="Q815" s="376"/>
      <c r="R815" s="376"/>
      <c r="S815" s="376"/>
      <c r="T815" s="376"/>
      <c r="U815" s="376"/>
      <c r="V815" s="376"/>
      <c r="W815" s="376"/>
      <c r="X815" s="376"/>
      <c r="Y815" s="376"/>
      <c r="Z815" s="376"/>
    </row>
    <row r="816">
      <c r="A816" s="376"/>
      <c r="B816" s="376"/>
      <c r="C816" s="376"/>
      <c r="D816" s="376"/>
      <c r="E816" s="376"/>
      <c r="F816" s="376"/>
      <c r="G816" s="376"/>
      <c r="H816" s="376"/>
      <c r="I816" s="376"/>
      <c r="J816" s="376"/>
      <c r="K816" s="376"/>
      <c r="L816" s="376"/>
      <c r="M816" s="376"/>
      <c r="N816" s="376"/>
      <c r="O816" s="376"/>
      <c r="P816" s="376"/>
      <c r="Q816" s="376"/>
      <c r="R816" s="376"/>
      <c r="S816" s="376"/>
      <c r="T816" s="376"/>
      <c r="U816" s="376"/>
      <c r="V816" s="376"/>
      <c r="W816" s="376"/>
      <c r="X816" s="376"/>
      <c r="Y816" s="376"/>
      <c r="Z816" s="376"/>
    </row>
    <row r="817">
      <c r="A817" s="376"/>
      <c r="B817" s="376"/>
      <c r="C817" s="376"/>
      <c r="D817" s="376"/>
      <c r="E817" s="376"/>
      <c r="F817" s="376"/>
      <c r="G817" s="376"/>
      <c r="H817" s="376"/>
      <c r="I817" s="376"/>
      <c r="J817" s="376"/>
      <c r="K817" s="376"/>
      <c r="L817" s="376"/>
      <c r="M817" s="376"/>
      <c r="N817" s="376"/>
      <c r="O817" s="376"/>
      <c r="P817" s="376"/>
      <c r="Q817" s="376"/>
      <c r="R817" s="376"/>
      <c r="S817" s="376"/>
      <c r="T817" s="376"/>
      <c r="U817" s="376"/>
      <c r="V817" s="376"/>
      <c r="W817" s="376"/>
      <c r="X817" s="376"/>
      <c r="Y817" s="376"/>
      <c r="Z817" s="376"/>
    </row>
    <row r="818">
      <c r="A818" s="376"/>
      <c r="B818" s="376"/>
      <c r="C818" s="376"/>
      <c r="D818" s="376"/>
      <c r="E818" s="376"/>
      <c r="F818" s="376"/>
      <c r="G818" s="376"/>
      <c r="H818" s="376"/>
      <c r="I818" s="376"/>
      <c r="J818" s="376"/>
      <c r="K818" s="376"/>
      <c r="L818" s="376"/>
      <c r="M818" s="376"/>
      <c r="N818" s="376"/>
      <c r="O818" s="376"/>
      <c r="P818" s="376"/>
      <c r="Q818" s="376"/>
      <c r="R818" s="376"/>
      <c r="S818" s="376"/>
      <c r="T818" s="376"/>
      <c r="U818" s="376"/>
      <c r="V818" s="376"/>
      <c r="W818" s="376"/>
      <c r="X818" s="376"/>
      <c r="Y818" s="376"/>
      <c r="Z818" s="376"/>
    </row>
    <row r="819">
      <c r="A819" s="376"/>
      <c r="B819" s="376"/>
      <c r="C819" s="376"/>
      <c r="D819" s="376"/>
      <c r="E819" s="376"/>
      <c r="F819" s="376"/>
      <c r="G819" s="376"/>
      <c r="H819" s="376"/>
      <c r="I819" s="376"/>
      <c r="J819" s="376"/>
      <c r="K819" s="376"/>
      <c r="L819" s="376"/>
      <c r="M819" s="376"/>
      <c r="N819" s="376"/>
      <c r="O819" s="376"/>
      <c r="P819" s="376"/>
      <c r="Q819" s="376"/>
      <c r="R819" s="376"/>
      <c r="S819" s="376"/>
      <c r="T819" s="376"/>
      <c r="U819" s="376"/>
      <c r="V819" s="376"/>
      <c r="W819" s="376"/>
      <c r="X819" s="376"/>
      <c r="Y819" s="376"/>
      <c r="Z819" s="376"/>
    </row>
    <row r="820">
      <c r="A820" s="376"/>
      <c r="B820" s="376"/>
      <c r="C820" s="376"/>
      <c r="D820" s="376"/>
      <c r="E820" s="376"/>
      <c r="F820" s="376"/>
      <c r="G820" s="376"/>
      <c r="H820" s="376"/>
      <c r="I820" s="376"/>
      <c r="J820" s="376"/>
      <c r="K820" s="376"/>
      <c r="L820" s="376"/>
      <c r="M820" s="376"/>
      <c r="N820" s="376"/>
      <c r="O820" s="376"/>
      <c r="P820" s="376"/>
      <c r="Q820" s="376"/>
      <c r="R820" s="376"/>
      <c r="S820" s="376"/>
      <c r="T820" s="376"/>
      <c r="U820" s="376"/>
      <c r="V820" s="376"/>
      <c r="W820" s="376"/>
      <c r="X820" s="376"/>
      <c r="Y820" s="376"/>
      <c r="Z820" s="376"/>
    </row>
    <row r="821">
      <c r="A821" s="376"/>
      <c r="B821" s="376"/>
      <c r="C821" s="376"/>
      <c r="D821" s="376"/>
      <c r="E821" s="376"/>
      <c r="F821" s="376"/>
      <c r="G821" s="376"/>
      <c r="H821" s="376"/>
      <c r="I821" s="376"/>
      <c r="J821" s="376"/>
      <c r="K821" s="376"/>
      <c r="L821" s="376"/>
      <c r="M821" s="376"/>
      <c r="N821" s="376"/>
      <c r="O821" s="376"/>
      <c r="P821" s="376"/>
      <c r="Q821" s="376"/>
      <c r="R821" s="376"/>
      <c r="S821" s="376"/>
      <c r="T821" s="376"/>
      <c r="U821" s="376"/>
      <c r="V821" s="376"/>
      <c r="W821" s="376"/>
      <c r="X821" s="376"/>
      <c r="Y821" s="376"/>
      <c r="Z821" s="376"/>
    </row>
    <row r="822">
      <c r="A822" s="376"/>
      <c r="B822" s="376"/>
      <c r="C822" s="376"/>
      <c r="D822" s="376"/>
      <c r="E822" s="376"/>
      <c r="F822" s="376"/>
      <c r="G822" s="376"/>
      <c r="H822" s="376"/>
      <c r="I822" s="376"/>
      <c r="J822" s="376"/>
      <c r="K822" s="376"/>
      <c r="L822" s="376"/>
      <c r="M822" s="376"/>
      <c r="N822" s="376"/>
      <c r="O822" s="376"/>
      <c r="P822" s="376"/>
      <c r="Q822" s="376"/>
      <c r="R822" s="376"/>
      <c r="S822" s="376"/>
      <c r="T822" s="376"/>
      <c r="U822" s="376"/>
      <c r="V822" s="376"/>
      <c r="W822" s="376"/>
      <c r="X822" s="376"/>
      <c r="Y822" s="376"/>
      <c r="Z822" s="376"/>
    </row>
    <row r="823">
      <c r="A823" s="376"/>
      <c r="B823" s="376"/>
      <c r="C823" s="376"/>
      <c r="D823" s="376"/>
      <c r="E823" s="376"/>
      <c r="F823" s="376"/>
      <c r="G823" s="376"/>
      <c r="H823" s="376"/>
      <c r="I823" s="376"/>
      <c r="J823" s="376"/>
      <c r="K823" s="376"/>
      <c r="L823" s="376"/>
      <c r="M823" s="376"/>
      <c r="N823" s="376"/>
      <c r="O823" s="376"/>
      <c r="P823" s="376"/>
      <c r="Q823" s="376"/>
      <c r="R823" s="376"/>
      <c r="S823" s="376"/>
      <c r="T823" s="376"/>
      <c r="U823" s="376"/>
      <c r="V823" s="376"/>
      <c r="W823" s="376"/>
      <c r="X823" s="376"/>
      <c r="Y823" s="376"/>
      <c r="Z823" s="376"/>
    </row>
    <row r="824">
      <c r="A824" s="376"/>
      <c r="B824" s="376"/>
      <c r="C824" s="376"/>
      <c r="D824" s="376"/>
      <c r="E824" s="376"/>
      <c r="F824" s="376"/>
      <c r="G824" s="376"/>
      <c r="H824" s="376"/>
      <c r="I824" s="376"/>
      <c r="J824" s="376"/>
      <c r="K824" s="376"/>
      <c r="L824" s="376"/>
      <c r="M824" s="376"/>
      <c r="N824" s="376"/>
      <c r="O824" s="376"/>
      <c r="P824" s="376"/>
      <c r="Q824" s="376"/>
      <c r="R824" s="376"/>
      <c r="S824" s="376"/>
      <c r="T824" s="376"/>
      <c r="U824" s="376"/>
      <c r="V824" s="376"/>
      <c r="W824" s="376"/>
      <c r="X824" s="376"/>
      <c r="Y824" s="376"/>
      <c r="Z824" s="376"/>
    </row>
    <row r="825">
      <c r="A825" s="376"/>
      <c r="B825" s="376"/>
      <c r="C825" s="376"/>
      <c r="D825" s="376"/>
      <c r="E825" s="376"/>
      <c r="F825" s="376"/>
      <c r="G825" s="376"/>
      <c r="H825" s="376"/>
      <c r="I825" s="376"/>
      <c r="J825" s="376"/>
      <c r="K825" s="376"/>
      <c r="L825" s="376"/>
      <c r="M825" s="376"/>
      <c r="N825" s="376"/>
      <c r="O825" s="376"/>
      <c r="P825" s="376"/>
      <c r="Q825" s="376"/>
      <c r="R825" s="376"/>
      <c r="S825" s="376"/>
      <c r="T825" s="376"/>
      <c r="U825" s="376"/>
      <c r="V825" s="376"/>
      <c r="W825" s="376"/>
      <c r="X825" s="376"/>
      <c r="Y825" s="376"/>
      <c r="Z825" s="376"/>
    </row>
    <row r="826">
      <c r="A826" s="376"/>
      <c r="B826" s="376"/>
      <c r="C826" s="376"/>
      <c r="D826" s="376"/>
      <c r="E826" s="376"/>
      <c r="F826" s="376"/>
      <c r="G826" s="376"/>
      <c r="H826" s="376"/>
      <c r="I826" s="376"/>
      <c r="J826" s="376"/>
      <c r="K826" s="376"/>
      <c r="L826" s="376"/>
      <c r="M826" s="376"/>
      <c r="N826" s="376"/>
      <c r="O826" s="376"/>
      <c r="P826" s="376"/>
      <c r="Q826" s="376"/>
      <c r="R826" s="376"/>
      <c r="S826" s="376"/>
      <c r="T826" s="376"/>
      <c r="U826" s="376"/>
      <c r="V826" s="376"/>
      <c r="W826" s="376"/>
      <c r="X826" s="376"/>
      <c r="Y826" s="376"/>
      <c r="Z826" s="376"/>
    </row>
    <row r="827">
      <c r="A827" s="376"/>
      <c r="B827" s="376"/>
      <c r="C827" s="376"/>
      <c r="D827" s="376"/>
      <c r="E827" s="376"/>
      <c r="F827" s="376"/>
      <c r="G827" s="376"/>
      <c r="H827" s="376"/>
      <c r="I827" s="376"/>
      <c r="J827" s="376"/>
      <c r="K827" s="376"/>
      <c r="L827" s="376"/>
      <c r="M827" s="376"/>
      <c r="N827" s="376"/>
      <c r="O827" s="376"/>
      <c r="P827" s="376"/>
      <c r="Q827" s="376"/>
      <c r="R827" s="376"/>
      <c r="S827" s="376"/>
      <c r="T827" s="376"/>
      <c r="U827" s="376"/>
      <c r="V827" s="376"/>
      <c r="W827" s="376"/>
      <c r="X827" s="376"/>
      <c r="Y827" s="376"/>
      <c r="Z827" s="376"/>
    </row>
    <row r="828">
      <c r="A828" s="376"/>
      <c r="B828" s="376"/>
      <c r="C828" s="376"/>
      <c r="D828" s="376"/>
      <c r="E828" s="376"/>
      <c r="F828" s="376"/>
      <c r="G828" s="376"/>
      <c r="H828" s="376"/>
      <c r="I828" s="376"/>
      <c r="J828" s="376"/>
      <c r="K828" s="376"/>
      <c r="L828" s="376"/>
      <c r="M828" s="376"/>
      <c r="N828" s="376"/>
      <c r="O828" s="376"/>
      <c r="P828" s="376"/>
      <c r="Q828" s="376"/>
      <c r="R828" s="376"/>
      <c r="S828" s="376"/>
      <c r="T828" s="376"/>
      <c r="U828" s="376"/>
      <c r="V828" s="376"/>
      <c r="W828" s="376"/>
      <c r="X828" s="376"/>
      <c r="Y828" s="376"/>
      <c r="Z828" s="376"/>
    </row>
    <row r="829">
      <c r="A829" s="376"/>
      <c r="B829" s="376"/>
      <c r="C829" s="376"/>
      <c r="D829" s="376"/>
      <c r="E829" s="376"/>
      <c r="F829" s="376"/>
      <c r="G829" s="376"/>
      <c r="H829" s="376"/>
      <c r="I829" s="376"/>
      <c r="J829" s="376"/>
      <c r="K829" s="376"/>
      <c r="L829" s="376"/>
      <c r="M829" s="376"/>
      <c r="N829" s="376"/>
      <c r="O829" s="376"/>
      <c r="P829" s="376"/>
      <c r="Q829" s="376"/>
      <c r="R829" s="376"/>
      <c r="S829" s="376"/>
      <c r="T829" s="376"/>
      <c r="U829" s="376"/>
      <c r="V829" s="376"/>
      <c r="W829" s="376"/>
      <c r="X829" s="376"/>
      <c r="Y829" s="376"/>
      <c r="Z829" s="376"/>
    </row>
    <row r="830">
      <c r="A830" s="376"/>
      <c r="B830" s="376"/>
      <c r="C830" s="376"/>
      <c r="D830" s="376"/>
      <c r="E830" s="376"/>
      <c r="F830" s="376"/>
      <c r="G830" s="376"/>
      <c r="H830" s="376"/>
      <c r="I830" s="376"/>
      <c r="J830" s="376"/>
      <c r="K830" s="376"/>
      <c r="L830" s="376"/>
      <c r="M830" s="376"/>
      <c r="N830" s="376"/>
      <c r="O830" s="376"/>
      <c r="P830" s="376"/>
      <c r="Q830" s="376"/>
      <c r="R830" s="376"/>
      <c r="S830" s="376"/>
      <c r="T830" s="376"/>
      <c r="U830" s="376"/>
      <c r="V830" s="376"/>
      <c r="W830" s="376"/>
      <c r="X830" s="376"/>
      <c r="Y830" s="376"/>
      <c r="Z830" s="376"/>
    </row>
    <row r="831">
      <c r="A831" s="376"/>
      <c r="B831" s="376"/>
      <c r="C831" s="376"/>
      <c r="D831" s="376"/>
      <c r="E831" s="376"/>
      <c r="F831" s="376"/>
      <c r="G831" s="376"/>
      <c r="H831" s="376"/>
      <c r="I831" s="376"/>
      <c r="J831" s="376"/>
      <c r="K831" s="376"/>
      <c r="L831" s="376"/>
      <c r="M831" s="376"/>
      <c r="N831" s="376"/>
      <c r="O831" s="376"/>
      <c r="P831" s="376"/>
      <c r="Q831" s="376"/>
      <c r="R831" s="376"/>
      <c r="S831" s="376"/>
      <c r="T831" s="376"/>
      <c r="U831" s="376"/>
      <c r="V831" s="376"/>
      <c r="W831" s="376"/>
      <c r="X831" s="376"/>
      <c r="Y831" s="376"/>
      <c r="Z831" s="376"/>
    </row>
    <row r="832">
      <c r="A832" s="376"/>
      <c r="B832" s="376"/>
      <c r="C832" s="376"/>
      <c r="D832" s="376"/>
      <c r="E832" s="376"/>
      <c r="F832" s="376"/>
      <c r="G832" s="376"/>
      <c r="H832" s="376"/>
      <c r="I832" s="376"/>
      <c r="J832" s="376"/>
      <c r="K832" s="376"/>
      <c r="L832" s="376"/>
      <c r="M832" s="376"/>
      <c r="N832" s="376"/>
      <c r="O832" s="376"/>
      <c r="P832" s="376"/>
      <c r="Q832" s="376"/>
      <c r="R832" s="376"/>
      <c r="S832" s="376"/>
      <c r="T832" s="376"/>
      <c r="U832" s="376"/>
      <c r="V832" s="376"/>
      <c r="W832" s="376"/>
      <c r="X832" s="376"/>
      <c r="Y832" s="376"/>
      <c r="Z832" s="376"/>
    </row>
    <row r="833">
      <c r="A833" s="376"/>
      <c r="B833" s="376"/>
      <c r="C833" s="376"/>
      <c r="D833" s="376"/>
      <c r="E833" s="376"/>
      <c r="F833" s="376"/>
      <c r="G833" s="376"/>
      <c r="H833" s="376"/>
      <c r="I833" s="376"/>
      <c r="J833" s="376"/>
      <c r="K833" s="376"/>
      <c r="L833" s="376"/>
      <c r="M833" s="376"/>
      <c r="N833" s="376"/>
      <c r="O833" s="376"/>
      <c r="P833" s="376"/>
      <c r="Q833" s="376"/>
      <c r="R833" s="376"/>
      <c r="S833" s="376"/>
      <c r="T833" s="376"/>
      <c r="U833" s="376"/>
      <c r="V833" s="376"/>
      <c r="W833" s="376"/>
      <c r="X833" s="376"/>
      <c r="Y833" s="376"/>
      <c r="Z833" s="376"/>
    </row>
    <row r="834">
      <c r="A834" s="376"/>
      <c r="B834" s="376"/>
      <c r="C834" s="376"/>
      <c r="D834" s="376"/>
      <c r="E834" s="376"/>
      <c r="F834" s="376"/>
      <c r="G834" s="376"/>
      <c r="H834" s="376"/>
      <c r="I834" s="376"/>
      <c r="J834" s="376"/>
      <c r="K834" s="376"/>
      <c r="L834" s="376"/>
      <c r="M834" s="376"/>
      <c r="N834" s="376"/>
      <c r="O834" s="376"/>
      <c r="P834" s="376"/>
      <c r="Q834" s="376"/>
      <c r="R834" s="376"/>
      <c r="S834" s="376"/>
      <c r="T834" s="376"/>
      <c r="U834" s="376"/>
      <c r="V834" s="376"/>
      <c r="W834" s="376"/>
      <c r="X834" s="376"/>
      <c r="Y834" s="376"/>
      <c r="Z834" s="376"/>
    </row>
    <row r="835">
      <c r="A835" s="376"/>
      <c r="B835" s="376"/>
      <c r="C835" s="376"/>
      <c r="D835" s="376"/>
      <c r="E835" s="376"/>
      <c r="F835" s="376"/>
      <c r="G835" s="376"/>
      <c r="H835" s="376"/>
      <c r="I835" s="376"/>
      <c r="J835" s="376"/>
      <c r="K835" s="376"/>
      <c r="L835" s="376"/>
      <c r="M835" s="376"/>
      <c r="N835" s="376"/>
      <c r="O835" s="376"/>
      <c r="P835" s="376"/>
      <c r="Q835" s="376"/>
      <c r="R835" s="376"/>
      <c r="S835" s="376"/>
      <c r="T835" s="376"/>
      <c r="U835" s="376"/>
      <c r="V835" s="376"/>
      <c r="W835" s="376"/>
      <c r="X835" s="376"/>
      <c r="Y835" s="376"/>
      <c r="Z835" s="376"/>
    </row>
    <row r="836">
      <c r="A836" s="376"/>
      <c r="B836" s="376"/>
      <c r="C836" s="376"/>
      <c r="D836" s="376"/>
      <c r="E836" s="376"/>
      <c r="F836" s="376"/>
      <c r="G836" s="376"/>
      <c r="H836" s="376"/>
      <c r="I836" s="376"/>
      <c r="J836" s="376"/>
      <c r="K836" s="376"/>
      <c r="L836" s="376"/>
      <c r="M836" s="376"/>
      <c r="N836" s="376"/>
      <c r="O836" s="376"/>
      <c r="P836" s="376"/>
      <c r="Q836" s="376"/>
      <c r="R836" s="376"/>
      <c r="S836" s="376"/>
      <c r="T836" s="376"/>
      <c r="U836" s="376"/>
      <c r="V836" s="376"/>
      <c r="W836" s="376"/>
      <c r="X836" s="376"/>
      <c r="Y836" s="376"/>
      <c r="Z836" s="376"/>
    </row>
    <row r="837">
      <c r="A837" s="376"/>
      <c r="B837" s="376"/>
      <c r="C837" s="376"/>
      <c r="D837" s="376"/>
      <c r="E837" s="376"/>
      <c r="F837" s="376"/>
      <c r="G837" s="376"/>
      <c r="H837" s="376"/>
      <c r="I837" s="376"/>
      <c r="J837" s="376"/>
      <c r="K837" s="376"/>
      <c r="L837" s="376"/>
      <c r="M837" s="376"/>
      <c r="N837" s="376"/>
      <c r="O837" s="376"/>
      <c r="P837" s="376"/>
      <c r="Q837" s="376"/>
      <c r="R837" s="376"/>
      <c r="S837" s="376"/>
      <c r="T837" s="376"/>
      <c r="U837" s="376"/>
      <c r="V837" s="376"/>
      <c r="W837" s="376"/>
      <c r="X837" s="376"/>
      <c r="Y837" s="376"/>
      <c r="Z837" s="376"/>
    </row>
    <row r="838">
      <c r="A838" s="376"/>
      <c r="B838" s="376"/>
      <c r="C838" s="376"/>
      <c r="D838" s="376"/>
      <c r="E838" s="376"/>
      <c r="F838" s="376"/>
      <c r="G838" s="376"/>
      <c r="H838" s="376"/>
      <c r="I838" s="376"/>
      <c r="J838" s="376"/>
      <c r="K838" s="376"/>
      <c r="L838" s="376"/>
      <c r="M838" s="376"/>
      <c r="N838" s="376"/>
      <c r="O838" s="376"/>
      <c r="P838" s="376"/>
      <c r="Q838" s="376"/>
      <c r="R838" s="376"/>
      <c r="S838" s="376"/>
      <c r="T838" s="376"/>
      <c r="U838" s="376"/>
      <c r="V838" s="376"/>
      <c r="W838" s="376"/>
      <c r="X838" s="376"/>
      <c r="Y838" s="376"/>
      <c r="Z838" s="376"/>
    </row>
    <row r="839">
      <c r="A839" s="376"/>
      <c r="B839" s="376"/>
      <c r="C839" s="376"/>
      <c r="D839" s="376"/>
      <c r="E839" s="376"/>
      <c r="F839" s="376"/>
      <c r="G839" s="376"/>
      <c r="H839" s="376"/>
      <c r="I839" s="376"/>
      <c r="J839" s="376"/>
      <c r="K839" s="376"/>
      <c r="L839" s="376"/>
      <c r="M839" s="376"/>
      <c r="N839" s="376"/>
      <c r="O839" s="376"/>
      <c r="P839" s="376"/>
      <c r="Q839" s="376"/>
      <c r="R839" s="376"/>
      <c r="S839" s="376"/>
      <c r="T839" s="376"/>
      <c r="U839" s="376"/>
      <c r="V839" s="376"/>
      <c r="W839" s="376"/>
      <c r="X839" s="376"/>
      <c r="Y839" s="376"/>
      <c r="Z839" s="376"/>
    </row>
    <row r="840">
      <c r="A840" s="376"/>
      <c r="B840" s="376"/>
      <c r="C840" s="376"/>
      <c r="D840" s="376"/>
      <c r="E840" s="376"/>
      <c r="F840" s="376"/>
      <c r="G840" s="376"/>
      <c r="H840" s="376"/>
      <c r="I840" s="376"/>
      <c r="J840" s="376"/>
      <c r="K840" s="376"/>
      <c r="L840" s="376"/>
      <c r="M840" s="376"/>
      <c r="N840" s="376"/>
      <c r="O840" s="376"/>
      <c r="P840" s="376"/>
      <c r="Q840" s="376"/>
      <c r="R840" s="376"/>
      <c r="S840" s="376"/>
      <c r="T840" s="376"/>
      <c r="U840" s="376"/>
      <c r="V840" s="376"/>
      <c r="W840" s="376"/>
      <c r="X840" s="376"/>
      <c r="Y840" s="376"/>
      <c r="Z840" s="376"/>
    </row>
    <row r="841">
      <c r="A841" s="376"/>
      <c r="B841" s="376"/>
      <c r="C841" s="376"/>
      <c r="D841" s="376"/>
      <c r="E841" s="376"/>
      <c r="F841" s="376"/>
      <c r="G841" s="376"/>
      <c r="H841" s="376"/>
      <c r="I841" s="376"/>
      <c r="J841" s="376"/>
      <c r="K841" s="376"/>
      <c r="L841" s="376"/>
      <c r="M841" s="376"/>
      <c r="N841" s="376"/>
      <c r="O841" s="376"/>
      <c r="P841" s="376"/>
      <c r="Q841" s="376"/>
      <c r="R841" s="376"/>
      <c r="S841" s="376"/>
      <c r="T841" s="376"/>
      <c r="U841" s="376"/>
      <c r="V841" s="376"/>
      <c r="W841" s="376"/>
      <c r="X841" s="376"/>
      <c r="Y841" s="376"/>
      <c r="Z841" s="376"/>
    </row>
    <row r="842">
      <c r="A842" s="376"/>
      <c r="B842" s="376"/>
      <c r="C842" s="376"/>
      <c r="D842" s="376"/>
      <c r="E842" s="376"/>
      <c r="F842" s="376"/>
      <c r="G842" s="376"/>
      <c r="H842" s="376"/>
      <c r="I842" s="376"/>
      <c r="J842" s="376"/>
      <c r="K842" s="376"/>
      <c r="L842" s="376"/>
      <c r="M842" s="376"/>
      <c r="N842" s="376"/>
      <c r="O842" s="376"/>
      <c r="P842" s="376"/>
      <c r="Q842" s="376"/>
      <c r="R842" s="376"/>
      <c r="S842" s="376"/>
      <c r="T842" s="376"/>
      <c r="U842" s="376"/>
      <c r="V842" s="376"/>
      <c r="W842" s="376"/>
      <c r="X842" s="376"/>
      <c r="Y842" s="376"/>
      <c r="Z842" s="376"/>
    </row>
    <row r="843">
      <c r="A843" s="376"/>
      <c r="B843" s="376"/>
      <c r="C843" s="376"/>
      <c r="D843" s="376"/>
      <c r="E843" s="376"/>
      <c r="F843" s="376"/>
      <c r="G843" s="376"/>
      <c r="H843" s="376"/>
      <c r="I843" s="376"/>
      <c r="J843" s="376"/>
      <c r="K843" s="376"/>
      <c r="L843" s="376"/>
      <c r="M843" s="376"/>
      <c r="N843" s="376"/>
      <c r="O843" s="376"/>
      <c r="P843" s="376"/>
      <c r="Q843" s="376"/>
      <c r="R843" s="376"/>
      <c r="S843" s="376"/>
      <c r="T843" s="376"/>
      <c r="U843" s="376"/>
      <c r="V843" s="376"/>
      <c r="W843" s="376"/>
      <c r="X843" s="376"/>
      <c r="Y843" s="376"/>
      <c r="Z843" s="376"/>
    </row>
    <row r="844">
      <c r="A844" s="376"/>
      <c r="B844" s="376"/>
      <c r="C844" s="376"/>
      <c r="D844" s="376"/>
      <c r="E844" s="376"/>
      <c r="F844" s="376"/>
      <c r="G844" s="376"/>
      <c r="H844" s="376"/>
      <c r="I844" s="376"/>
      <c r="J844" s="376"/>
      <c r="K844" s="376"/>
      <c r="L844" s="376"/>
      <c r="M844" s="376"/>
      <c r="N844" s="376"/>
      <c r="O844" s="376"/>
      <c r="P844" s="376"/>
      <c r="Q844" s="376"/>
      <c r="R844" s="376"/>
      <c r="S844" s="376"/>
      <c r="T844" s="376"/>
      <c r="U844" s="376"/>
      <c r="V844" s="376"/>
      <c r="W844" s="376"/>
      <c r="X844" s="376"/>
      <c r="Y844" s="376"/>
      <c r="Z844" s="376"/>
    </row>
    <row r="845">
      <c r="A845" s="376"/>
      <c r="B845" s="376"/>
      <c r="C845" s="376"/>
      <c r="D845" s="376"/>
      <c r="E845" s="376"/>
      <c r="F845" s="376"/>
      <c r="G845" s="376"/>
      <c r="H845" s="376"/>
      <c r="I845" s="376"/>
      <c r="J845" s="376"/>
      <c r="K845" s="376"/>
      <c r="L845" s="376"/>
      <c r="M845" s="376"/>
      <c r="N845" s="376"/>
      <c r="O845" s="376"/>
      <c r="P845" s="376"/>
      <c r="Q845" s="376"/>
      <c r="R845" s="376"/>
      <c r="S845" s="376"/>
      <c r="T845" s="376"/>
      <c r="U845" s="376"/>
      <c r="V845" s="376"/>
      <c r="W845" s="376"/>
      <c r="X845" s="376"/>
      <c r="Y845" s="376"/>
      <c r="Z845" s="376"/>
    </row>
    <row r="846">
      <c r="A846" s="376"/>
      <c r="B846" s="376"/>
      <c r="C846" s="376"/>
      <c r="D846" s="376"/>
      <c r="E846" s="376"/>
      <c r="F846" s="376"/>
      <c r="G846" s="376"/>
      <c r="H846" s="376"/>
      <c r="I846" s="376"/>
      <c r="J846" s="376"/>
      <c r="K846" s="376"/>
      <c r="L846" s="376"/>
      <c r="M846" s="376"/>
      <c r="N846" s="376"/>
      <c r="O846" s="376"/>
      <c r="P846" s="376"/>
      <c r="Q846" s="376"/>
      <c r="R846" s="376"/>
      <c r="S846" s="376"/>
      <c r="T846" s="376"/>
      <c r="U846" s="376"/>
      <c r="V846" s="376"/>
      <c r="W846" s="376"/>
      <c r="X846" s="376"/>
      <c r="Y846" s="376"/>
      <c r="Z846" s="376"/>
    </row>
    <row r="847">
      <c r="A847" s="376"/>
      <c r="B847" s="376"/>
      <c r="C847" s="376"/>
      <c r="D847" s="376"/>
      <c r="E847" s="376"/>
      <c r="F847" s="376"/>
      <c r="G847" s="376"/>
      <c r="H847" s="376"/>
      <c r="I847" s="376"/>
      <c r="J847" s="376"/>
      <c r="K847" s="376"/>
      <c r="L847" s="376"/>
      <c r="M847" s="376"/>
      <c r="N847" s="376"/>
      <c r="O847" s="376"/>
      <c r="P847" s="376"/>
      <c r="Q847" s="376"/>
      <c r="R847" s="376"/>
      <c r="S847" s="376"/>
      <c r="T847" s="376"/>
      <c r="U847" s="376"/>
      <c r="V847" s="376"/>
      <c r="W847" s="376"/>
      <c r="X847" s="376"/>
      <c r="Y847" s="376"/>
      <c r="Z847" s="376"/>
    </row>
    <row r="848">
      <c r="A848" s="376"/>
      <c r="B848" s="376"/>
      <c r="C848" s="376"/>
      <c r="D848" s="376"/>
      <c r="E848" s="376"/>
      <c r="F848" s="376"/>
      <c r="G848" s="376"/>
      <c r="H848" s="376"/>
      <c r="I848" s="376"/>
      <c r="J848" s="376"/>
      <c r="K848" s="376"/>
      <c r="L848" s="376"/>
      <c r="M848" s="376"/>
      <c r="N848" s="376"/>
      <c r="O848" s="376"/>
      <c r="P848" s="376"/>
      <c r="Q848" s="376"/>
      <c r="R848" s="376"/>
      <c r="S848" s="376"/>
      <c r="T848" s="376"/>
      <c r="U848" s="376"/>
      <c r="V848" s="376"/>
      <c r="W848" s="376"/>
      <c r="X848" s="376"/>
      <c r="Y848" s="376"/>
      <c r="Z848" s="376"/>
    </row>
    <row r="849">
      <c r="A849" s="376"/>
      <c r="B849" s="376"/>
      <c r="C849" s="376"/>
      <c r="D849" s="376"/>
      <c r="E849" s="376"/>
      <c r="F849" s="376"/>
      <c r="G849" s="376"/>
      <c r="H849" s="376"/>
      <c r="I849" s="376"/>
      <c r="J849" s="376"/>
      <c r="K849" s="376"/>
      <c r="L849" s="376"/>
      <c r="M849" s="376"/>
      <c r="N849" s="376"/>
      <c r="O849" s="376"/>
      <c r="P849" s="376"/>
      <c r="Q849" s="376"/>
      <c r="R849" s="376"/>
      <c r="S849" s="376"/>
      <c r="T849" s="376"/>
      <c r="U849" s="376"/>
      <c r="V849" s="376"/>
      <c r="W849" s="376"/>
      <c r="X849" s="376"/>
      <c r="Y849" s="376"/>
      <c r="Z849" s="376"/>
    </row>
    <row r="850">
      <c r="A850" s="376"/>
      <c r="B850" s="376"/>
      <c r="C850" s="376"/>
      <c r="D850" s="376"/>
      <c r="E850" s="376"/>
      <c r="F850" s="376"/>
      <c r="G850" s="376"/>
      <c r="H850" s="376"/>
      <c r="I850" s="376"/>
      <c r="J850" s="376"/>
      <c r="K850" s="376"/>
      <c r="L850" s="376"/>
      <c r="M850" s="376"/>
      <c r="N850" s="376"/>
      <c r="O850" s="376"/>
      <c r="P850" s="376"/>
      <c r="Q850" s="376"/>
      <c r="R850" s="376"/>
      <c r="S850" s="376"/>
      <c r="T850" s="376"/>
      <c r="U850" s="376"/>
      <c r="V850" s="376"/>
      <c r="W850" s="376"/>
      <c r="X850" s="376"/>
      <c r="Y850" s="376"/>
      <c r="Z850" s="376"/>
    </row>
    <row r="851">
      <c r="A851" s="376"/>
      <c r="B851" s="376"/>
      <c r="C851" s="376"/>
      <c r="D851" s="376"/>
      <c r="E851" s="376"/>
      <c r="F851" s="376"/>
      <c r="G851" s="376"/>
      <c r="H851" s="376"/>
      <c r="I851" s="376"/>
      <c r="J851" s="376"/>
      <c r="K851" s="376"/>
      <c r="L851" s="376"/>
      <c r="M851" s="376"/>
      <c r="N851" s="376"/>
      <c r="O851" s="376"/>
      <c r="P851" s="376"/>
      <c r="Q851" s="376"/>
      <c r="R851" s="376"/>
      <c r="S851" s="376"/>
      <c r="T851" s="376"/>
      <c r="U851" s="376"/>
      <c r="V851" s="376"/>
      <c r="W851" s="376"/>
      <c r="X851" s="376"/>
      <c r="Y851" s="376"/>
      <c r="Z851" s="376"/>
    </row>
    <row r="852">
      <c r="A852" s="376"/>
      <c r="B852" s="376"/>
      <c r="C852" s="376"/>
      <c r="D852" s="376"/>
      <c r="E852" s="376"/>
      <c r="F852" s="376"/>
      <c r="G852" s="376"/>
      <c r="H852" s="376"/>
      <c r="I852" s="376"/>
      <c r="J852" s="376"/>
      <c r="K852" s="376"/>
      <c r="L852" s="376"/>
      <c r="M852" s="376"/>
      <c r="N852" s="376"/>
      <c r="O852" s="376"/>
      <c r="P852" s="376"/>
      <c r="Q852" s="376"/>
      <c r="R852" s="376"/>
      <c r="S852" s="376"/>
      <c r="T852" s="376"/>
      <c r="U852" s="376"/>
      <c r="V852" s="376"/>
      <c r="W852" s="376"/>
      <c r="X852" s="376"/>
      <c r="Y852" s="376"/>
      <c r="Z852" s="376"/>
    </row>
    <row r="853">
      <c r="A853" s="376"/>
      <c r="B853" s="376"/>
      <c r="C853" s="376"/>
      <c r="D853" s="376"/>
      <c r="E853" s="376"/>
      <c r="F853" s="376"/>
      <c r="G853" s="376"/>
      <c r="H853" s="376"/>
      <c r="I853" s="376"/>
      <c r="J853" s="376"/>
      <c r="K853" s="376"/>
      <c r="L853" s="376"/>
      <c r="M853" s="376"/>
      <c r="N853" s="376"/>
      <c r="O853" s="376"/>
      <c r="P853" s="376"/>
      <c r="Q853" s="376"/>
      <c r="R853" s="376"/>
      <c r="S853" s="376"/>
      <c r="T853" s="376"/>
      <c r="U853" s="376"/>
      <c r="V853" s="376"/>
      <c r="W853" s="376"/>
      <c r="X853" s="376"/>
      <c r="Y853" s="376"/>
      <c r="Z853" s="376"/>
    </row>
    <row r="854">
      <c r="A854" s="376"/>
      <c r="B854" s="376"/>
      <c r="C854" s="376"/>
      <c r="D854" s="376"/>
      <c r="E854" s="376"/>
      <c r="F854" s="376"/>
      <c r="G854" s="376"/>
      <c r="H854" s="376"/>
      <c r="I854" s="376"/>
      <c r="J854" s="376"/>
      <c r="K854" s="376"/>
      <c r="L854" s="376"/>
      <c r="M854" s="376"/>
      <c r="N854" s="376"/>
      <c r="O854" s="376"/>
      <c r="P854" s="376"/>
      <c r="Q854" s="376"/>
      <c r="R854" s="376"/>
      <c r="S854" s="376"/>
      <c r="T854" s="376"/>
      <c r="U854" s="376"/>
      <c r="V854" s="376"/>
      <c r="W854" s="376"/>
      <c r="X854" s="376"/>
      <c r="Y854" s="376"/>
      <c r="Z854" s="376"/>
    </row>
    <row r="855">
      <c r="A855" s="376"/>
      <c r="B855" s="376"/>
      <c r="C855" s="376"/>
      <c r="D855" s="376"/>
      <c r="E855" s="376"/>
      <c r="F855" s="376"/>
      <c r="G855" s="376"/>
      <c r="H855" s="376"/>
      <c r="I855" s="376"/>
      <c r="J855" s="376"/>
      <c r="K855" s="376"/>
      <c r="L855" s="376"/>
      <c r="M855" s="376"/>
      <c r="N855" s="376"/>
      <c r="O855" s="376"/>
      <c r="P855" s="376"/>
      <c r="Q855" s="376"/>
      <c r="R855" s="376"/>
      <c r="S855" s="376"/>
      <c r="T855" s="376"/>
      <c r="U855" s="376"/>
      <c r="V855" s="376"/>
      <c r="W855" s="376"/>
      <c r="X855" s="376"/>
      <c r="Y855" s="376"/>
      <c r="Z855" s="376"/>
    </row>
    <row r="856">
      <c r="A856" s="376"/>
      <c r="B856" s="376"/>
      <c r="C856" s="376"/>
      <c r="D856" s="376"/>
      <c r="E856" s="376"/>
      <c r="F856" s="376"/>
      <c r="G856" s="376"/>
      <c r="H856" s="376"/>
      <c r="I856" s="376"/>
      <c r="J856" s="376"/>
      <c r="K856" s="376"/>
      <c r="L856" s="376"/>
      <c r="M856" s="376"/>
      <c r="N856" s="376"/>
      <c r="O856" s="376"/>
      <c r="P856" s="376"/>
      <c r="Q856" s="376"/>
      <c r="R856" s="376"/>
      <c r="S856" s="376"/>
      <c r="T856" s="376"/>
      <c r="U856" s="376"/>
      <c r="V856" s="376"/>
      <c r="W856" s="376"/>
      <c r="X856" s="376"/>
      <c r="Y856" s="376"/>
      <c r="Z856" s="376"/>
    </row>
    <row r="857">
      <c r="A857" s="376"/>
      <c r="B857" s="376"/>
      <c r="C857" s="376"/>
      <c r="D857" s="376"/>
      <c r="E857" s="376"/>
      <c r="F857" s="376"/>
      <c r="G857" s="376"/>
      <c r="H857" s="376"/>
      <c r="I857" s="376"/>
      <c r="J857" s="376"/>
      <c r="K857" s="376"/>
      <c r="L857" s="376"/>
      <c r="M857" s="376"/>
      <c r="N857" s="376"/>
      <c r="O857" s="376"/>
      <c r="P857" s="376"/>
      <c r="Q857" s="376"/>
      <c r="R857" s="376"/>
      <c r="S857" s="376"/>
      <c r="T857" s="376"/>
      <c r="U857" s="376"/>
      <c r="V857" s="376"/>
      <c r="W857" s="376"/>
      <c r="X857" s="376"/>
      <c r="Y857" s="376"/>
      <c r="Z857" s="376"/>
    </row>
    <row r="858">
      <c r="A858" s="376"/>
      <c r="B858" s="376"/>
      <c r="C858" s="376"/>
      <c r="D858" s="376"/>
      <c r="E858" s="376"/>
      <c r="F858" s="376"/>
      <c r="G858" s="376"/>
      <c r="H858" s="376"/>
      <c r="I858" s="376"/>
      <c r="J858" s="376"/>
      <c r="K858" s="376"/>
      <c r="L858" s="376"/>
      <c r="M858" s="376"/>
      <c r="N858" s="376"/>
      <c r="O858" s="376"/>
      <c r="P858" s="376"/>
      <c r="Q858" s="376"/>
      <c r="R858" s="376"/>
      <c r="S858" s="376"/>
      <c r="T858" s="376"/>
      <c r="U858" s="376"/>
      <c r="V858" s="376"/>
      <c r="W858" s="376"/>
      <c r="X858" s="376"/>
      <c r="Y858" s="376"/>
      <c r="Z858" s="376"/>
    </row>
    <row r="859">
      <c r="A859" s="376"/>
      <c r="B859" s="376"/>
      <c r="C859" s="376"/>
      <c r="D859" s="376"/>
      <c r="E859" s="376"/>
      <c r="F859" s="376"/>
      <c r="G859" s="376"/>
      <c r="H859" s="376"/>
      <c r="I859" s="376"/>
      <c r="J859" s="376"/>
      <c r="K859" s="376"/>
      <c r="L859" s="376"/>
      <c r="M859" s="376"/>
      <c r="N859" s="376"/>
      <c r="O859" s="376"/>
      <c r="P859" s="376"/>
      <c r="Q859" s="376"/>
      <c r="R859" s="376"/>
      <c r="S859" s="376"/>
      <c r="T859" s="376"/>
      <c r="U859" s="376"/>
      <c r="V859" s="376"/>
      <c r="W859" s="376"/>
      <c r="X859" s="376"/>
      <c r="Y859" s="376"/>
      <c r="Z859" s="376"/>
    </row>
    <row r="860">
      <c r="A860" s="376"/>
      <c r="B860" s="376"/>
      <c r="C860" s="376"/>
      <c r="D860" s="376"/>
      <c r="E860" s="376"/>
      <c r="F860" s="376"/>
      <c r="G860" s="376"/>
      <c r="H860" s="376"/>
      <c r="I860" s="376"/>
      <c r="J860" s="376"/>
      <c r="K860" s="376"/>
      <c r="L860" s="376"/>
      <c r="M860" s="376"/>
      <c r="N860" s="376"/>
      <c r="O860" s="376"/>
      <c r="P860" s="376"/>
      <c r="Q860" s="376"/>
      <c r="R860" s="376"/>
      <c r="S860" s="376"/>
      <c r="T860" s="376"/>
      <c r="U860" s="376"/>
      <c r="V860" s="376"/>
      <c r="W860" s="376"/>
      <c r="X860" s="376"/>
      <c r="Y860" s="376"/>
      <c r="Z860" s="376"/>
    </row>
    <row r="861">
      <c r="A861" s="376"/>
      <c r="B861" s="376"/>
      <c r="C861" s="376"/>
      <c r="D861" s="376"/>
      <c r="E861" s="376"/>
      <c r="F861" s="376"/>
      <c r="G861" s="376"/>
      <c r="H861" s="376"/>
      <c r="I861" s="376"/>
      <c r="J861" s="376"/>
      <c r="K861" s="376"/>
      <c r="L861" s="376"/>
      <c r="M861" s="376"/>
      <c r="N861" s="376"/>
      <c r="O861" s="376"/>
      <c r="P861" s="376"/>
      <c r="Q861" s="376"/>
      <c r="R861" s="376"/>
      <c r="S861" s="376"/>
      <c r="T861" s="376"/>
      <c r="U861" s="376"/>
      <c r="V861" s="376"/>
      <c r="W861" s="376"/>
      <c r="X861" s="376"/>
      <c r="Y861" s="376"/>
      <c r="Z861" s="376"/>
    </row>
    <row r="862">
      <c r="A862" s="376"/>
      <c r="B862" s="376"/>
      <c r="C862" s="376"/>
      <c r="D862" s="376"/>
      <c r="E862" s="376"/>
      <c r="F862" s="376"/>
      <c r="G862" s="376"/>
      <c r="H862" s="376"/>
      <c r="I862" s="376"/>
      <c r="J862" s="376"/>
      <c r="K862" s="376"/>
      <c r="L862" s="376"/>
      <c r="M862" s="376"/>
      <c r="N862" s="376"/>
      <c r="O862" s="376"/>
      <c r="P862" s="376"/>
      <c r="Q862" s="376"/>
      <c r="R862" s="376"/>
      <c r="S862" s="376"/>
      <c r="T862" s="376"/>
      <c r="U862" s="376"/>
      <c r="V862" s="376"/>
      <c r="W862" s="376"/>
      <c r="X862" s="376"/>
      <c r="Y862" s="376"/>
      <c r="Z862" s="376"/>
    </row>
    <row r="863">
      <c r="A863" s="376"/>
      <c r="B863" s="376"/>
      <c r="C863" s="376"/>
      <c r="D863" s="376"/>
      <c r="E863" s="376"/>
      <c r="F863" s="376"/>
      <c r="G863" s="376"/>
      <c r="H863" s="376"/>
      <c r="I863" s="376"/>
      <c r="J863" s="376"/>
      <c r="K863" s="376"/>
      <c r="L863" s="376"/>
      <c r="M863" s="376"/>
      <c r="N863" s="376"/>
      <c r="O863" s="376"/>
      <c r="P863" s="376"/>
      <c r="Q863" s="376"/>
      <c r="R863" s="376"/>
      <c r="S863" s="376"/>
      <c r="T863" s="376"/>
      <c r="U863" s="376"/>
      <c r="V863" s="376"/>
      <c r="W863" s="376"/>
      <c r="X863" s="376"/>
      <c r="Y863" s="376"/>
      <c r="Z863" s="376"/>
    </row>
    <row r="864">
      <c r="A864" s="376"/>
      <c r="B864" s="376"/>
      <c r="C864" s="376"/>
      <c r="D864" s="376"/>
      <c r="E864" s="376"/>
      <c r="F864" s="376"/>
      <c r="G864" s="376"/>
      <c r="H864" s="376"/>
      <c r="I864" s="376"/>
      <c r="J864" s="376"/>
      <c r="K864" s="376"/>
      <c r="L864" s="376"/>
      <c r="M864" s="376"/>
      <c r="N864" s="376"/>
      <c r="O864" s="376"/>
      <c r="P864" s="376"/>
      <c r="Q864" s="376"/>
      <c r="R864" s="376"/>
      <c r="S864" s="376"/>
      <c r="T864" s="376"/>
      <c r="U864" s="376"/>
      <c r="V864" s="376"/>
      <c r="W864" s="376"/>
      <c r="X864" s="376"/>
      <c r="Y864" s="376"/>
      <c r="Z864" s="376"/>
    </row>
    <row r="865">
      <c r="A865" s="376"/>
      <c r="B865" s="376"/>
      <c r="C865" s="376"/>
      <c r="D865" s="376"/>
      <c r="E865" s="376"/>
      <c r="F865" s="376"/>
      <c r="G865" s="376"/>
      <c r="H865" s="376"/>
      <c r="I865" s="376"/>
      <c r="J865" s="376"/>
      <c r="K865" s="376"/>
      <c r="L865" s="376"/>
      <c r="M865" s="376"/>
      <c r="N865" s="376"/>
      <c r="O865" s="376"/>
      <c r="P865" s="376"/>
      <c r="Q865" s="376"/>
      <c r="R865" s="376"/>
      <c r="S865" s="376"/>
      <c r="T865" s="376"/>
      <c r="U865" s="376"/>
      <c r="V865" s="376"/>
      <c r="W865" s="376"/>
      <c r="X865" s="376"/>
      <c r="Y865" s="376"/>
      <c r="Z865" s="376"/>
    </row>
    <row r="866">
      <c r="A866" s="376"/>
      <c r="B866" s="376"/>
      <c r="C866" s="376"/>
      <c r="D866" s="376"/>
      <c r="E866" s="376"/>
      <c r="F866" s="376"/>
      <c r="G866" s="376"/>
      <c r="H866" s="376"/>
      <c r="I866" s="376"/>
      <c r="J866" s="376"/>
      <c r="K866" s="376"/>
      <c r="L866" s="376"/>
      <c r="M866" s="376"/>
      <c r="N866" s="376"/>
      <c r="O866" s="376"/>
      <c r="P866" s="376"/>
      <c r="Q866" s="376"/>
      <c r="R866" s="376"/>
      <c r="S866" s="376"/>
      <c r="T866" s="376"/>
      <c r="U866" s="376"/>
      <c r="V866" s="376"/>
      <c r="W866" s="376"/>
      <c r="X866" s="376"/>
      <c r="Y866" s="376"/>
      <c r="Z866" s="376"/>
    </row>
    <row r="867">
      <c r="A867" s="376"/>
      <c r="B867" s="376"/>
      <c r="C867" s="376"/>
      <c r="D867" s="376"/>
      <c r="E867" s="376"/>
      <c r="F867" s="376"/>
      <c r="G867" s="376"/>
      <c r="H867" s="376"/>
      <c r="I867" s="376"/>
      <c r="J867" s="376"/>
      <c r="K867" s="376"/>
      <c r="L867" s="376"/>
      <c r="M867" s="376"/>
      <c r="N867" s="376"/>
      <c r="O867" s="376"/>
      <c r="P867" s="376"/>
      <c r="Q867" s="376"/>
      <c r="R867" s="376"/>
      <c r="S867" s="376"/>
      <c r="T867" s="376"/>
      <c r="U867" s="376"/>
      <c r="V867" s="376"/>
      <c r="W867" s="376"/>
      <c r="X867" s="376"/>
      <c r="Y867" s="376"/>
      <c r="Z867" s="376"/>
    </row>
    <row r="868">
      <c r="A868" s="376"/>
      <c r="B868" s="376"/>
      <c r="C868" s="376"/>
      <c r="D868" s="376"/>
      <c r="E868" s="376"/>
      <c r="F868" s="376"/>
      <c r="G868" s="376"/>
      <c r="H868" s="376"/>
      <c r="I868" s="376"/>
      <c r="J868" s="376"/>
      <c r="K868" s="376"/>
      <c r="L868" s="376"/>
      <c r="M868" s="376"/>
      <c r="N868" s="376"/>
      <c r="O868" s="376"/>
      <c r="P868" s="376"/>
      <c r="Q868" s="376"/>
      <c r="R868" s="376"/>
      <c r="S868" s="376"/>
      <c r="T868" s="376"/>
      <c r="U868" s="376"/>
      <c r="V868" s="376"/>
      <c r="W868" s="376"/>
      <c r="X868" s="376"/>
      <c r="Y868" s="376"/>
      <c r="Z868" s="376"/>
    </row>
    <row r="869">
      <c r="A869" s="376"/>
      <c r="B869" s="376"/>
      <c r="C869" s="376"/>
      <c r="D869" s="376"/>
      <c r="E869" s="376"/>
      <c r="F869" s="376"/>
      <c r="G869" s="376"/>
      <c r="H869" s="376"/>
      <c r="I869" s="376"/>
      <c r="J869" s="376"/>
      <c r="K869" s="376"/>
      <c r="L869" s="376"/>
      <c r="M869" s="376"/>
      <c r="N869" s="376"/>
      <c r="O869" s="376"/>
      <c r="P869" s="376"/>
      <c r="Q869" s="376"/>
      <c r="R869" s="376"/>
      <c r="S869" s="376"/>
      <c r="T869" s="376"/>
      <c r="U869" s="376"/>
      <c r="V869" s="376"/>
      <c r="W869" s="376"/>
      <c r="X869" s="376"/>
      <c r="Y869" s="376"/>
      <c r="Z869" s="376"/>
    </row>
    <row r="870">
      <c r="A870" s="376"/>
      <c r="B870" s="376"/>
      <c r="C870" s="376"/>
      <c r="D870" s="376"/>
      <c r="E870" s="376"/>
      <c r="F870" s="376"/>
      <c r="G870" s="376"/>
      <c r="H870" s="376"/>
      <c r="I870" s="376"/>
      <c r="J870" s="376"/>
      <c r="K870" s="376"/>
      <c r="L870" s="376"/>
      <c r="M870" s="376"/>
      <c r="N870" s="376"/>
      <c r="O870" s="376"/>
      <c r="P870" s="376"/>
      <c r="Q870" s="376"/>
      <c r="R870" s="376"/>
      <c r="S870" s="376"/>
      <c r="T870" s="376"/>
      <c r="U870" s="376"/>
      <c r="V870" s="376"/>
      <c r="W870" s="376"/>
      <c r="X870" s="376"/>
      <c r="Y870" s="376"/>
      <c r="Z870" s="376"/>
    </row>
    <row r="871">
      <c r="A871" s="376"/>
      <c r="B871" s="376"/>
      <c r="C871" s="376"/>
      <c r="D871" s="376"/>
      <c r="E871" s="376"/>
      <c r="F871" s="376"/>
      <c r="G871" s="376"/>
      <c r="H871" s="376"/>
      <c r="I871" s="376"/>
      <c r="J871" s="376"/>
      <c r="K871" s="376"/>
      <c r="L871" s="376"/>
      <c r="M871" s="376"/>
      <c r="N871" s="376"/>
      <c r="O871" s="376"/>
      <c r="P871" s="376"/>
      <c r="Q871" s="376"/>
      <c r="R871" s="376"/>
      <c r="S871" s="376"/>
      <c r="T871" s="376"/>
      <c r="U871" s="376"/>
      <c r="V871" s="376"/>
      <c r="W871" s="376"/>
      <c r="X871" s="376"/>
      <c r="Y871" s="376"/>
      <c r="Z871" s="376"/>
    </row>
    <row r="872">
      <c r="A872" s="376"/>
      <c r="B872" s="376"/>
      <c r="C872" s="376"/>
      <c r="D872" s="376"/>
      <c r="E872" s="376"/>
      <c r="F872" s="376"/>
      <c r="G872" s="376"/>
      <c r="H872" s="376"/>
      <c r="I872" s="376"/>
      <c r="J872" s="376"/>
      <c r="K872" s="376"/>
      <c r="L872" s="376"/>
      <c r="M872" s="376"/>
      <c r="N872" s="376"/>
      <c r="O872" s="376"/>
      <c r="P872" s="376"/>
      <c r="Q872" s="376"/>
      <c r="R872" s="376"/>
      <c r="S872" s="376"/>
      <c r="T872" s="376"/>
      <c r="U872" s="376"/>
      <c r="V872" s="376"/>
      <c r="W872" s="376"/>
      <c r="X872" s="376"/>
      <c r="Y872" s="376"/>
      <c r="Z872" s="376"/>
    </row>
    <row r="873">
      <c r="A873" s="376"/>
      <c r="B873" s="376"/>
      <c r="C873" s="376"/>
      <c r="D873" s="376"/>
      <c r="E873" s="376"/>
      <c r="F873" s="376"/>
      <c r="G873" s="376"/>
      <c r="H873" s="376"/>
      <c r="I873" s="376"/>
      <c r="J873" s="376"/>
      <c r="K873" s="376"/>
      <c r="L873" s="376"/>
      <c r="M873" s="376"/>
      <c r="N873" s="376"/>
      <c r="O873" s="376"/>
      <c r="P873" s="376"/>
      <c r="Q873" s="376"/>
      <c r="R873" s="376"/>
      <c r="S873" s="376"/>
      <c r="T873" s="376"/>
      <c r="U873" s="376"/>
      <c r="V873" s="376"/>
      <c r="W873" s="376"/>
      <c r="X873" s="376"/>
      <c r="Y873" s="376"/>
      <c r="Z873" s="376"/>
    </row>
    <row r="874">
      <c r="A874" s="376"/>
      <c r="B874" s="376"/>
      <c r="C874" s="376"/>
      <c r="D874" s="376"/>
      <c r="E874" s="376"/>
      <c r="F874" s="376"/>
      <c r="G874" s="376"/>
      <c r="H874" s="376"/>
      <c r="I874" s="376"/>
      <c r="J874" s="376"/>
      <c r="K874" s="376"/>
      <c r="L874" s="376"/>
      <c r="M874" s="376"/>
      <c r="N874" s="376"/>
      <c r="O874" s="376"/>
      <c r="P874" s="376"/>
      <c r="Q874" s="376"/>
      <c r="R874" s="376"/>
      <c r="S874" s="376"/>
      <c r="T874" s="376"/>
      <c r="U874" s="376"/>
      <c r="V874" s="376"/>
      <c r="W874" s="376"/>
      <c r="X874" s="376"/>
      <c r="Y874" s="376"/>
      <c r="Z874" s="376"/>
    </row>
    <row r="875">
      <c r="A875" s="376"/>
      <c r="B875" s="376"/>
      <c r="C875" s="376"/>
      <c r="D875" s="376"/>
      <c r="E875" s="376"/>
      <c r="F875" s="376"/>
      <c r="G875" s="376"/>
      <c r="H875" s="376"/>
      <c r="I875" s="376"/>
      <c r="J875" s="376"/>
      <c r="K875" s="376"/>
      <c r="L875" s="376"/>
      <c r="M875" s="376"/>
      <c r="N875" s="376"/>
      <c r="O875" s="376"/>
      <c r="P875" s="376"/>
      <c r="Q875" s="376"/>
      <c r="R875" s="376"/>
      <c r="S875" s="376"/>
      <c r="T875" s="376"/>
      <c r="U875" s="376"/>
      <c r="V875" s="376"/>
      <c r="W875" s="376"/>
      <c r="X875" s="376"/>
      <c r="Y875" s="376"/>
      <c r="Z875" s="376"/>
    </row>
    <row r="876">
      <c r="A876" s="376"/>
      <c r="B876" s="376"/>
      <c r="C876" s="376"/>
      <c r="D876" s="376"/>
      <c r="E876" s="376"/>
      <c r="F876" s="376"/>
      <c r="G876" s="376"/>
      <c r="H876" s="376"/>
      <c r="I876" s="376"/>
      <c r="J876" s="376"/>
      <c r="K876" s="376"/>
      <c r="L876" s="376"/>
      <c r="M876" s="376"/>
      <c r="N876" s="376"/>
      <c r="O876" s="376"/>
      <c r="P876" s="376"/>
      <c r="Q876" s="376"/>
      <c r="R876" s="376"/>
      <c r="S876" s="376"/>
      <c r="T876" s="376"/>
      <c r="U876" s="376"/>
      <c r="V876" s="376"/>
      <c r="W876" s="376"/>
      <c r="X876" s="376"/>
      <c r="Y876" s="376"/>
      <c r="Z876" s="376"/>
    </row>
    <row r="877">
      <c r="A877" s="376"/>
      <c r="B877" s="376"/>
      <c r="C877" s="376"/>
      <c r="D877" s="376"/>
      <c r="E877" s="376"/>
      <c r="F877" s="376"/>
      <c r="G877" s="376"/>
      <c r="H877" s="376"/>
      <c r="I877" s="376"/>
      <c r="J877" s="376"/>
      <c r="K877" s="376"/>
      <c r="L877" s="376"/>
      <c r="M877" s="376"/>
      <c r="N877" s="376"/>
      <c r="O877" s="376"/>
      <c r="P877" s="376"/>
      <c r="Q877" s="376"/>
      <c r="R877" s="376"/>
      <c r="S877" s="376"/>
      <c r="T877" s="376"/>
      <c r="U877" s="376"/>
      <c r="V877" s="376"/>
      <c r="W877" s="376"/>
      <c r="X877" s="376"/>
      <c r="Y877" s="376"/>
      <c r="Z877" s="376"/>
    </row>
    <row r="878">
      <c r="A878" s="376"/>
      <c r="B878" s="376"/>
      <c r="C878" s="376"/>
      <c r="D878" s="376"/>
      <c r="E878" s="376"/>
      <c r="F878" s="376"/>
      <c r="G878" s="376"/>
      <c r="H878" s="376"/>
      <c r="I878" s="376"/>
      <c r="J878" s="376"/>
      <c r="K878" s="376"/>
      <c r="L878" s="376"/>
      <c r="M878" s="376"/>
      <c r="N878" s="376"/>
      <c r="O878" s="376"/>
      <c r="P878" s="376"/>
      <c r="Q878" s="376"/>
      <c r="R878" s="376"/>
      <c r="S878" s="376"/>
      <c r="T878" s="376"/>
      <c r="U878" s="376"/>
      <c r="V878" s="376"/>
      <c r="W878" s="376"/>
      <c r="X878" s="376"/>
      <c r="Y878" s="376"/>
      <c r="Z878" s="376"/>
    </row>
    <row r="879">
      <c r="A879" s="376"/>
      <c r="B879" s="376"/>
      <c r="C879" s="376"/>
      <c r="D879" s="376"/>
      <c r="E879" s="376"/>
      <c r="F879" s="376"/>
      <c r="G879" s="376"/>
      <c r="H879" s="376"/>
      <c r="I879" s="376"/>
      <c r="J879" s="376"/>
      <c r="K879" s="376"/>
      <c r="L879" s="376"/>
      <c r="M879" s="376"/>
      <c r="N879" s="376"/>
      <c r="O879" s="376"/>
      <c r="P879" s="376"/>
      <c r="Q879" s="376"/>
      <c r="R879" s="376"/>
      <c r="S879" s="376"/>
      <c r="T879" s="376"/>
      <c r="U879" s="376"/>
      <c r="V879" s="376"/>
      <c r="W879" s="376"/>
      <c r="X879" s="376"/>
      <c r="Y879" s="376"/>
      <c r="Z879" s="376"/>
    </row>
    <row r="880">
      <c r="A880" s="376"/>
      <c r="B880" s="376"/>
      <c r="C880" s="376"/>
      <c r="D880" s="376"/>
      <c r="E880" s="376"/>
      <c r="F880" s="376"/>
      <c r="G880" s="376"/>
      <c r="H880" s="376"/>
      <c r="I880" s="376"/>
      <c r="J880" s="376"/>
      <c r="K880" s="376"/>
      <c r="L880" s="376"/>
      <c r="M880" s="376"/>
      <c r="N880" s="376"/>
      <c r="O880" s="376"/>
      <c r="P880" s="376"/>
      <c r="Q880" s="376"/>
      <c r="R880" s="376"/>
      <c r="S880" s="376"/>
      <c r="T880" s="376"/>
      <c r="U880" s="376"/>
      <c r="V880" s="376"/>
      <c r="W880" s="376"/>
      <c r="X880" s="376"/>
      <c r="Y880" s="376"/>
      <c r="Z880" s="376"/>
    </row>
    <row r="881">
      <c r="A881" s="376"/>
      <c r="B881" s="376"/>
      <c r="C881" s="376"/>
      <c r="D881" s="376"/>
      <c r="E881" s="376"/>
      <c r="F881" s="376"/>
      <c r="G881" s="376"/>
      <c r="H881" s="376"/>
      <c r="I881" s="376"/>
      <c r="J881" s="376"/>
      <c r="K881" s="376"/>
      <c r="L881" s="376"/>
      <c r="M881" s="376"/>
      <c r="N881" s="376"/>
      <c r="O881" s="376"/>
      <c r="P881" s="376"/>
      <c r="Q881" s="376"/>
      <c r="R881" s="376"/>
      <c r="S881" s="376"/>
      <c r="T881" s="376"/>
      <c r="U881" s="376"/>
      <c r="V881" s="376"/>
      <c r="W881" s="376"/>
      <c r="X881" s="376"/>
      <c r="Y881" s="376"/>
      <c r="Z881" s="376"/>
    </row>
    <row r="882">
      <c r="A882" s="376"/>
      <c r="B882" s="376"/>
      <c r="C882" s="376"/>
      <c r="D882" s="376"/>
      <c r="E882" s="376"/>
      <c r="F882" s="376"/>
      <c r="G882" s="376"/>
      <c r="H882" s="376"/>
      <c r="I882" s="376"/>
      <c r="J882" s="376"/>
      <c r="K882" s="376"/>
      <c r="L882" s="376"/>
      <c r="M882" s="376"/>
      <c r="N882" s="376"/>
      <c r="O882" s="376"/>
      <c r="P882" s="376"/>
      <c r="Q882" s="376"/>
      <c r="R882" s="376"/>
      <c r="S882" s="376"/>
      <c r="T882" s="376"/>
      <c r="U882" s="376"/>
      <c r="V882" s="376"/>
      <c r="W882" s="376"/>
      <c r="X882" s="376"/>
      <c r="Y882" s="376"/>
      <c r="Z882" s="376"/>
    </row>
    <row r="883">
      <c r="A883" s="376"/>
      <c r="B883" s="376"/>
      <c r="C883" s="376"/>
      <c r="D883" s="376"/>
      <c r="E883" s="376"/>
      <c r="F883" s="376"/>
      <c r="G883" s="376"/>
      <c r="H883" s="376"/>
      <c r="I883" s="376"/>
      <c r="J883" s="376"/>
      <c r="K883" s="376"/>
      <c r="L883" s="376"/>
      <c r="M883" s="376"/>
      <c r="N883" s="376"/>
      <c r="O883" s="376"/>
      <c r="P883" s="376"/>
      <c r="Q883" s="376"/>
      <c r="R883" s="376"/>
      <c r="S883" s="376"/>
      <c r="T883" s="376"/>
      <c r="U883" s="376"/>
      <c r="V883" s="376"/>
      <c r="W883" s="376"/>
      <c r="X883" s="376"/>
      <c r="Y883" s="376"/>
      <c r="Z883" s="376"/>
    </row>
    <row r="884">
      <c r="A884" s="376"/>
      <c r="B884" s="376"/>
      <c r="C884" s="376"/>
      <c r="D884" s="376"/>
      <c r="E884" s="376"/>
      <c r="F884" s="376"/>
      <c r="G884" s="376"/>
      <c r="H884" s="376"/>
      <c r="I884" s="376"/>
      <c r="J884" s="376"/>
      <c r="K884" s="376"/>
      <c r="L884" s="376"/>
      <c r="M884" s="376"/>
      <c r="N884" s="376"/>
      <c r="O884" s="376"/>
      <c r="P884" s="376"/>
      <c r="Q884" s="376"/>
      <c r="R884" s="376"/>
      <c r="S884" s="376"/>
      <c r="T884" s="376"/>
      <c r="U884" s="376"/>
      <c r="V884" s="376"/>
      <c r="W884" s="376"/>
      <c r="X884" s="376"/>
      <c r="Y884" s="376"/>
      <c r="Z884" s="376"/>
    </row>
    <row r="885">
      <c r="A885" s="376"/>
      <c r="B885" s="376"/>
      <c r="C885" s="376"/>
      <c r="D885" s="376"/>
      <c r="E885" s="376"/>
      <c r="F885" s="376"/>
      <c r="G885" s="376"/>
      <c r="H885" s="376"/>
      <c r="I885" s="376"/>
      <c r="J885" s="376"/>
      <c r="K885" s="376"/>
      <c r="L885" s="376"/>
      <c r="M885" s="376"/>
      <c r="N885" s="376"/>
      <c r="O885" s="376"/>
      <c r="P885" s="376"/>
      <c r="Q885" s="376"/>
      <c r="R885" s="376"/>
      <c r="S885" s="376"/>
      <c r="T885" s="376"/>
      <c r="U885" s="376"/>
      <c r="V885" s="376"/>
      <c r="W885" s="376"/>
      <c r="X885" s="376"/>
      <c r="Y885" s="376"/>
      <c r="Z885" s="376"/>
    </row>
    <row r="886">
      <c r="A886" s="376"/>
      <c r="B886" s="376"/>
      <c r="C886" s="376"/>
      <c r="D886" s="376"/>
      <c r="E886" s="376"/>
      <c r="F886" s="376"/>
      <c r="G886" s="376"/>
      <c r="H886" s="376"/>
      <c r="I886" s="376"/>
      <c r="J886" s="376"/>
      <c r="K886" s="376"/>
      <c r="L886" s="376"/>
      <c r="M886" s="376"/>
      <c r="N886" s="376"/>
      <c r="O886" s="376"/>
      <c r="P886" s="376"/>
      <c r="Q886" s="376"/>
      <c r="R886" s="376"/>
      <c r="S886" s="376"/>
      <c r="T886" s="376"/>
      <c r="U886" s="376"/>
      <c r="V886" s="376"/>
      <c r="W886" s="376"/>
      <c r="X886" s="376"/>
      <c r="Y886" s="376"/>
      <c r="Z886" s="376"/>
    </row>
    <row r="887">
      <c r="A887" s="376"/>
      <c r="B887" s="376"/>
      <c r="C887" s="376"/>
      <c r="D887" s="376"/>
      <c r="E887" s="376"/>
      <c r="F887" s="376"/>
      <c r="G887" s="376"/>
      <c r="H887" s="376"/>
      <c r="I887" s="376"/>
      <c r="J887" s="376"/>
      <c r="K887" s="376"/>
      <c r="L887" s="376"/>
      <c r="M887" s="376"/>
      <c r="N887" s="376"/>
      <c r="O887" s="376"/>
      <c r="P887" s="376"/>
      <c r="Q887" s="376"/>
      <c r="R887" s="376"/>
      <c r="S887" s="376"/>
      <c r="T887" s="376"/>
      <c r="U887" s="376"/>
      <c r="V887" s="376"/>
      <c r="W887" s="376"/>
      <c r="X887" s="376"/>
      <c r="Y887" s="376"/>
      <c r="Z887" s="376"/>
    </row>
    <row r="888">
      <c r="A888" s="376"/>
      <c r="B888" s="376"/>
      <c r="C888" s="376"/>
      <c r="D888" s="376"/>
      <c r="E888" s="376"/>
      <c r="F888" s="376"/>
      <c r="G888" s="376"/>
      <c r="H888" s="376"/>
      <c r="I888" s="376"/>
      <c r="J888" s="376"/>
      <c r="K888" s="376"/>
      <c r="L888" s="376"/>
      <c r="M888" s="376"/>
      <c r="N888" s="376"/>
      <c r="O888" s="376"/>
      <c r="P888" s="376"/>
      <c r="Q888" s="376"/>
      <c r="R888" s="376"/>
      <c r="S888" s="376"/>
      <c r="T888" s="376"/>
      <c r="U888" s="376"/>
      <c r="V888" s="376"/>
      <c r="W888" s="376"/>
      <c r="X888" s="376"/>
      <c r="Y888" s="376"/>
      <c r="Z888" s="376"/>
    </row>
    <row r="889">
      <c r="A889" s="376"/>
      <c r="B889" s="376"/>
      <c r="C889" s="376"/>
      <c r="D889" s="376"/>
      <c r="E889" s="376"/>
      <c r="F889" s="376"/>
      <c r="G889" s="376"/>
      <c r="H889" s="376"/>
      <c r="I889" s="376"/>
      <c r="J889" s="376"/>
      <c r="K889" s="376"/>
      <c r="L889" s="376"/>
      <c r="M889" s="376"/>
      <c r="N889" s="376"/>
      <c r="O889" s="376"/>
      <c r="P889" s="376"/>
      <c r="Q889" s="376"/>
      <c r="R889" s="376"/>
      <c r="S889" s="376"/>
      <c r="T889" s="376"/>
      <c r="U889" s="376"/>
      <c r="V889" s="376"/>
      <c r="W889" s="376"/>
      <c r="X889" s="376"/>
      <c r="Y889" s="376"/>
      <c r="Z889" s="376"/>
    </row>
    <row r="890">
      <c r="A890" s="376"/>
      <c r="B890" s="376"/>
      <c r="C890" s="376"/>
      <c r="D890" s="376"/>
      <c r="E890" s="376"/>
      <c r="F890" s="376"/>
      <c r="G890" s="376"/>
      <c r="H890" s="376"/>
      <c r="I890" s="376"/>
      <c r="J890" s="376"/>
      <c r="K890" s="376"/>
      <c r="L890" s="376"/>
      <c r="M890" s="376"/>
      <c r="N890" s="376"/>
      <c r="O890" s="376"/>
      <c r="P890" s="376"/>
      <c r="Q890" s="376"/>
      <c r="R890" s="376"/>
      <c r="S890" s="376"/>
      <c r="T890" s="376"/>
      <c r="U890" s="376"/>
      <c r="V890" s="376"/>
      <c r="W890" s="376"/>
      <c r="X890" s="376"/>
      <c r="Y890" s="376"/>
      <c r="Z890" s="376"/>
    </row>
    <row r="891">
      <c r="A891" s="376"/>
      <c r="B891" s="376"/>
      <c r="C891" s="376"/>
      <c r="D891" s="376"/>
      <c r="E891" s="376"/>
      <c r="F891" s="376"/>
      <c r="G891" s="376"/>
      <c r="H891" s="376"/>
      <c r="I891" s="376"/>
      <c r="J891" s="376"/>
      <c r="K891" s="376"/>
      <c r="L891" s="376"/>
      <c r="M891" s="376"/>
      <c r="N891" s="376"/>
      <c r="O891" s="376"/>
      <c r="P891" s="376"/>
      <c r="Q891" s="376"/>
      <c r="R891" s="376"/>
      <c r="S891" s="376"/>
      <c r="T891" s="376"/>
      <c r="U891" s="376"/>
      <c r="V891" s="376"/>
      <c r="W891" s="376"/>
      <c r="X891" s="376"/>
      <c r="Y891" s="376"/>
      <c r="Z891" s="376"/>
    </row>
    <row r="892">
      <c r="A892" s="376"/>
      <c r="B892" s="376"/>
      <c r="C892" s="376"/>
      <c r="D892" s="376"/>
      <c r="E892" s="376"/>
      <c r="F892" s="376"/>
      <c r="G892" s="376"/>
      <c r="H892" s="376"/>
      <c r="I892" s="376"/>
      <c r="J892" s="376"/>
      <c r="K892" s="376"/>
      <c r="L892" s="376"/>
      <c r="M892" s="376"/>
      <c r="N892" s="376"/>
      <c r="O892" s="376"/>
      <c r="P892" s="376"/>
      <c r="Q892" s="376"/>
      <c r="R892" s="376"/>
      <c r="S892" s="376"/>
      <c r="T892" s="376"/>
      <c r="U892" s="376"/>
      <c r="V892" s="376"/>
      <c r="W892" s="376"/>
      <c r="X892" s="376"/>
      <c r="Y892" s="376"/>
      <c r="Z892" s="376"/>
    </row>
    <row r="893">
      <c r="A893" s="376"/>
      <c r="B893" s="376"/>
      <c r="C893" s="376"/>
      <c r="D893" s="376"/>
      <c r="E893" s="376"/>
      <c r="F893" s="376"/>
      <c r="G893" s="376"/>
      <c r="H893" s="376"/>
      <c r="I893" s="376"/>
      <c r="J893" s="376"/>
      <c r="K893" s="376"/>
      <c r="L893" s="376"/>
      <c r="M893" s="376"/>
      <c r="N893" s="376"/>
      <c r="O893" s="376"/>
      <c r="P893" s="376"/>
      <c r="Q893" s="376"/>
      <c r="R893" s="376"/>
      <c r="S893" s="376"/>
      <c r="T893" s="376"/>
      <c r="U893" s="376"/>
      <c r="V893" s="376"/>
      <c r="W893" s="376"/>
      <c r="X893" s="376"/>
      <c r="Y893" s="376"/>
      <c r="Z893" s="376"/>
    </row>
    <row r="894">
      <c r="A894" s="376"/>
      <c r="B894" s="376"/>
      <c r="C894" s="376"/>
      <c r="D894" s="376"/>
      <c r="E894" s="376"/>
      <c r="F894" s="376"/>
      <c r="G894" s="376"/>
      <c r="H894" s="376"/>
      <c r="I894" s="376"/>
      <c r="J894" s="376"/>
      <c r="K894" s="376"/>
      <c r="L894" s="376"/>
      <c r="M894" s="376"/>
      <c r="N894" s="376"/>
      <c r="O894" s="376"/>
      <c r="P894" s="376"/>
      <c r="Q894" s="376"/>
      <c r="R894" s="376"/>
      <c r="S894" s="376"/>
      <c r="T894" s="376"/>
      <c r="U894" s="376"/>
      <c r="V894" s="376"/>
      <c r="W894" s="376"/>
      <c r="X894" s="376"/>
      <c r="Y894" s="376"/>
      <c r="Z894" s="376"/>
    </row>
    <row r="895">
      <c r="A895" s="376"/>
      <c r="B895" s="376"/>
      <c r="C895" s="376"/>
      <c r="D895" s="376"/>
      <c r="E895" s="376"/>
      <c r="F895" s="376"/>
      <c r="G895" s="376"/>
      <c r="H895" s="376"/>
      <c r="I895" s="376"/>
      <c r="J895" s="376"/>
      <c r="K895" s="376"/>
      <c r="L895" s="376"/>
      <c r="M895" s="376"/>
      <c r="N895" s="376"/>
      <c r="O895" s="376"/>
      <c r="P895" s="376"/>
      <c r="Q895" s="376"/>
      <c r="R895" s="376"/>
      <c r="S895" s="376"/>
      <c r="T895" s="376"/>
      <c r="U895" s="376"/>
      <c r="V895" s="376"/>
      <c r="W895" s="376"/>
      <c r="X895" s="376"/>
      <c r="Y895" s="376"/>
      <c r="Z895" s="376"/>
    </row>
    <row r="896">
      <c r="A896" s="376"/>
      <c r="B896" s="376"/>
      <c r="C896" s="376"/>
      <c r="D896" s="376"/>
      <c r="E896" s="376"/>
      <c r="F896" s="376"/>
      <c r="G896" s="376"/>
      <c r="H896" s="376"/>
      <c r="I896" s="376"/>
      <c r="J896" s="376"/>
      <c r="K896" s="376"/>
      <c r="L896" s="376"/>
      <c r="M896" s="376"/>
      <c r="N896" s="376"/>
      <c r="O896" s="376"/>
      <c r="P896" s="376"/>
      <c r="Q896" s="376"/>
      <c r="R896" s="376"/>
      <c r="S896" s="376"/>
      <c r="T896" s="376"/>
      <c r="U896" s="376"/>
      <c r="V896" s="376"/>
      <c r="W896" s="376"/>
      <c r="X896" s="376"/>
      <c r="Y896" s="376"/>
      <c r="Z896" s="376"/>
    </row>
    <row r="897">
      <c r="A897" s="376"/>
      <c r="B897" s="376"/>
      <c r="C897" s="376"/>
      <c r="D897" s="376"/>
      <c r="E897" s="376"/>
      <c r="F897" s="376"/>
      <c r="G897" s="376"/>
      <c r="H897" s="376"/>
      <c r="I897" s="376"/>
      <c r="J897" s="376"/>
      <c r="K897" s="376"/>
      <c r="L897" s="376"/>
      <c r="M897" s="376"/>
      <c r="N897" s="376"/>
      <c r="O897" s="376"/>
      <c r="P897" s="376"/>
      <c r="Q897" s="376"/>
      <c r="R897" s="376"/>
      <c r="S897" s="376"/>
      <c r="T897" s="376"/>
      <c r="U897" s="376"/>
      <c r="V897" s="376"/>
      <c r="W897" s="376"/>
      <c r="X897" s="376"/>
      <c r="Y897" s="376"/>
      <c r="Z897" s="376"/>
    </row>
    <row r="898">
      <c r="A898" s="376"/>
      <c r="B898" s="376"/>
      <c r="C898" s="376"/>
      <c r="D898" s="376"/>
      <c r="E898" s="376"/>
      <c r="F898" s="376"/>
      <c r="G898" s="376"/>
      <c r="H898" s="376"/>
      <c r="I898" s="376"/>
      <c r="J898" s="376"/>
      <c r="K898" s="376"/>
      <c r="L898" s="376"/>
      <c r="M898" s="376"/>
      <c r="N898" s="376"/>
      <c r="O898" s="376"/>
      <c r="P898" s="376"/>
      <c r="Q898" s="376"/>
      <c r="R898" s="376"/>
      <c r="S898" s="376"/>
      <c r="T898" s="376"/>
      <c r="U898" s="376"/>
      <c r="V898" s="376"/>
      <c r="W898" s="376"/>
      <c r="X898" s="376"/>
      <c r="Y898" s="376"/>
      <c r="Z898" s="376"/>
    </row>
    <row r="899">
      <c r="A899" s="376"/>
      <c r="B899" s="376"/>
      <c r="C899" s="376"/>
      <c r="D899" s="376"/>
      <c r="E899" s="376"/>
      <c r="F899" s="376"/>
      <c r="G899" s="376"/>
      <c r="H899" s="376"/>
      <c r="I899" s="376"/>
      <c r="J899" s="376"/>
      <c r="K899" s="376"/>
      <c r="L899" s="376"/>
      <c r="M899" s="376"/>
      <c r="N899" s="376"/>
      <c r="O899" s="376"/>
      <c r="P899" s="376"/>
      <c r="Q899" s="376"/>
      <c r="R899" s="376"/>
      <c r="S899" s="376"/>
      <c r="T899" s="376"/>
      <c r="U899" s="376"/>
      <c r="V899" s="376"/>
      <c r="W899" s="376"/>
      <c r="X899" s="376"/>
      <c r="Y899" s="376"/>
      <c r="Z899" s="376"/>
    </row>
    <row r="900">
      <c r="A900" s="376"/>
      <c r="B900" s="376"/>
      <c r="C900" s="376"/>
      <c r="D900" s="376"/>
      <c r="E900" s="376"/>
      <c r="F900" s="376"/>
      <c r="G900" s="376"/>
      <c r="H900" s="376"/>
      <c r="I900" s="376"/>
      <c r="J900" s="376"/>
      <c r="K900" s="376"/>
      <c r="L900" s="376"/>
      <c r="M900" s="376"/>
      <c r="N900" s="376"/>
      <c r="O900" s="376"/>
      <c r="P900" s="376"/>
      <c r="Q900" s="376"/>
      <c r="R900" s="376"/>
      <c r="S900" s="376"/>
      <c r="T900" s="376"/>
      <c r="U900" s="376"/>
      <c r="V900" s="376"/>
      <c r="W900" s="376"/>
      <c r="X900" s="376"/>
      <c r="Y900" s="376"/>
      <c r="Z900" s="376"/>
    </row>
    <row r="901">
      <c r="A901" s="376"/>
      <c r="B901" s="376"/>
      <c r="C901" s="376"/>
      <c r="D901" s="376"/>
      <c r="E901" s="376"/>
      <c r="F901" s="376"/>
      <c r="G901" s="376"/>
      <c r="H901" s="376"/>
      <c r="I901" s="376"/>
      <c r="J901" s="376"/>
      <c r="K901" s="376"/>
      <c r="L901" s="376"/>
      <c r="M901" s="376"/>
      <c r="N901" s="376"/>
      <c r="O901" s="376"/>
      <c r="P901" s="376"/>
      <c r="Q901" s="376"/>
      <c r="R901" s="376"/>
      <c r="S901" s="376"/>
      <c r="T901" s="376"/>
      <c r="U901" s="376"/>
      <c r="V901" s="376"/>
      <c r="W901" s="376"/>
      <c r="X901" s="376"/>
      <c r="Y901" s="376"/>
      <c r="Z901" s="376"/>
    </row>
    <row r="902">
      <c r="A902" s="376"/>
      <c r="B902" s="376"/>
      <c r="C902" s="376"/>
      <c r="D902" s="376"/>
      <c r="E902" s="376"/>
      <c r="F902" s="376"/>
      <c r="G902" s="376"/>
      <c r="H902" s="376"/>
      <c r="I902" s="376"/>
      <c r="J902" s="376"/>
      <c r="K902" s="376"/>
      <c r="L902" s="376"/>
      <c r="M902" s="376"/>
      <c r="N902" s="376"/>
      <c r="O902" s="376"/>
      <c r="P902" s="376"/>
      <c r="Q902" s="376"/>
      <c r="R902" s="376"/>
      <c r="S902" s="376"/>
      <c r="T902" s="376"/>
      <c r="U902" s="376"/>
      <c r="V902" s="376"/>
      <c r="W902" s="376"/>
      <c r="X902" s="376"/>
      <c r="Y902" s="376"/>
      <c r="Z902" s="376"/>
    </row>
    <row r="903">
      <c r="A903" s="376"/>
      <c r="B903" s="376"/>
      <c r="C903" s="376"/>
      <c r="D903" s="376"/>
      <c r="E903" s="376"/>
      <c r="F903" s="376"/>
      <c r="G903" s="376"/>
      <c r="H903" s="376"/>
      <c r="I903" s="376"/>
      <c r="J903" s="376"/>
      <c r="K903" s="376"/>
      <c r="L903" s="376"/>
      <c r="M903" s="376"/>
      <c r="N903" s="376"/>
      <c r="O903" s="376"/>
      <c r="P903" s="376"/>
      <c r="Q903" s="376"/>
      <c r="R903" s="376"/>
      <c r="S903" s="376"/>
      <c r="T903" s="376"/>
      <c r="U903" s="376"/>
      <c r="V903" s="376"/>
      <c r="W903" s="376"/>
      <c r="X903" s="376"/>
      <c r="Y903" s="376"/>
      <c r="Z903" s="376"/>
    </row>
    <row r="904">
      <c r="A904" s="376"/>
      <c r="B904" s="376"/>
      <c r="C904" s="376"/>
      <c r="D904" s="376"/>
      <c r="E904" s="376"/>
      <c r="F904" s="376"/>
      <c r="G904" s="376"/>
      <c r="H904" s="376"/>
      <c r="I904" s="376"/>
      <c r="J904" s="376"/>
      <c r="K904" s="376"/>
      <c r="L904" s="376"/>
      <c r="M904" s="376"/>
      <c r="N904" s="376"/>
      <c r="O904" s="376"/>
      <c r="P904" s="376"/>
      <c r="Q904" s="376"/>
      <c r="R904" s="376"/>
      <c r="S904" s="376"/>
      <c r="T904" s="376"/>
      <c r="U904" s="376"/>
      <c r="V904" s="376"/>
      <c r="W904" s="376"/>
      <c r="X904" s="376"/>
      <c r="Y904" s="376"/>
      <c r="Z904" s="376"/>
    </row>
    <row r="905">
      <c r="A905" s="376"/>
      <c r="B905" s="376"/>
      <c r="C905" s="376"/>
      <c r="D905" s="376"/>
      <c r="E905" s="376"/>
      <c r="F905" s="376"/>
      <c r="G905" s="376"/>
      <c r="H905" s="376"/>
      <c r="I905" s="376"/>
      <c r="J905" s="376"/>
      <c r="K905" s="376"/>
      <c r="L905" s="376"/>
      <c r="M905" s="376"/>
      <c r="N905" s="376"/>
      <c r="O905" s="376"/>
      <c r="P905" s="376"/>
      <c r="Q905" s="376"/>
      <c r="R905" s="376"/>
      <c r="S905" s="376"/>
      <c r="T905" s="376"/>
      <c r="U905" s="376"/>
      <c r="V905" s="376"/>
      <c r="W905" s="376"/>
      <c r="X905" s="376"/>
      <c r="Y905" s="376"/>
      <c r="Z905" s="376"/>
    </row>
    <row r="906">
      <c r="A906" s="376"/>
      <c r="B906" s="376"/>
      <c r="C906" s="376"/>
      <c r="D906" s="376"/>
      <c r="E906" s="376"/>
      <c r="F906" s="376"/>
      <c r="G906" s="376"/>
      <c r="H906" s="376"/>
      <c r="I906" s="376"/>
      <c r="J906" s="376"/>
      <c r="K906" s="376"/>
      <c r="L906" s="376"/>
      <c r="M906" s="376"/>
      <c r="N906" s="376"/>
      <c r="O906" s="376"/>
      <c r="P906" s="376"/>
      <c r="Q906" s="376"/>
      <c r="R906" s="376"/>
      <c r="S906" s="376"/>
      <c r="T906" s="376"/>
      <c r="U906" s="376"/>
      <c r="V906" s="376"/>
      <c r="W906" s="376"/>
      <c r="X906" s="376"/>
      <c r="Y906" s="376"/>
      <c r="Z906" s="376"/>
    </row>
    <row r="907">
      <c r="A907" s="376"/>
      <c r="B907" s="376"/>
      <c r="C907" s="376"/>
      <c r="D907" s="376"/>
      <c r="E907" s="376"/>
      <c r="F907" s="376"/>
      <c r="G907" s="376"/>
      <c r="H907" s="376"/>
      <c r="I907" s="376"/>
      <c r="J907" s="376"/>
      <c r="K907" s="376"/>
      <c r="L907" s="376"/>
      <c r="M907" s="376"/>
      <c r="N907" s="376"/>
      <c r="O907" s="376"/>
      <c r="P907" s="376"/>
      <c r="Q907" s="376"/>
      <c r="R907" s="376"/>
      <c r="S907" s="376"/>
      <c r="T907" s="376"/>
      <c r="U907" s="376"/>
      <c r="V907" s="376"/>
      <c r="W907" s="376"/>
      <c r="X907" s="376"/>
      <c r="Y907" s="376"/>
      <c r="Z907" s="376"/>
    </row>
    <row r="908">
      <c r="A908" s="376"/>
      <c r="B908" s="376"/>
      <c r="C908" s="376"/>
      <c r="D908" s="376"/>
      <c r="E908" s="376"/>
      <c r="F908" s="376"/>
      <c r="G908" s="376"/>
      <c r="H908" s="376"/>
      <c r="I908" s="376"/>
      <c r="J908" s="376"/>
      <c r="K908" s="376"/>
      <c r="L908" s="376"/>
      <c r="M908" s="376"/>
      <c r="N908" s="376"/>
      <c r="O908" s="376"/>
      <c r="P908" s="376"/>
      <c r="Q908" s="376"/>
      <c r="R908" s="376"/>
      <c r="S908" s="376"/>
      <c r="T908" s="376"/>
      <c r="U908" s="376"/>
      <c r="V908" s="376"/>
      <c r="W908" s="376"/>
      <c r="X908" s="376"/>
      <c r="Y908" s="376"/>
      <c r="Z908" s="376"/>
    </row>
    <row r="909">
      <c r="A909" s="376"/>
      <c r="B909" s="376"/>
      <c r="C909" s="376"/>
      <c r="D909" s="376"/>
      <c r="E909" s="376"/>
      <c r="F909" s="376"/>
      <c r="G909" s="376"/>
      <c r="H909" s="376"/>
      <c r="I909" s="376"/>
      <c r="J909" s="376"/>
      <c r="K909" s="376"/>
      <c r="L909" s="376"/>
      <c r="M909" s="376"/>
      <c r="N909" s="376"/>
      <c r="O909" s="376"/>
      <c r="P909" s="376"/>
      <c r="Q909" s="376"/>
      <c r="R909" s="376"/>
      <c r="S909" s="376"/>
      <c r="T909" s="376"/>
      <c r="U909" s="376"/>
      <c r="V909" s="376"/>
      <c r="W909" s="376"/>
      <c r="X909" s="376"/>
      <c r="Y909" s="376"/>
      <c r="Z909" s="376"/>
    </row>
    <row r="910">
      <c r="A910" s="376"/>
      <c r="B910" s="376"/>
      <c r="C910" s="376"/>
      <c r="D910" s="376"/>
      <c r="E910" s="376"/>
      <c r="F910" s="376"/>
      <c r="G910" s="376"/>
      <c r="H910" s="376"/>
      <c r="I910" s="376"/>
      <c r="J910" s="376"/>
      <c r="K910" s="376"/>
      <c r="L910" s="376"/>
      <c r="M910" s="376"/>
      <c r="N910" s="376"/>
      <c r="O910" s="376"/>
      <c r="P910" s="376"/>
      <c r="Q910" s="376"/>
      <c r="R910" s="376"/>
      <c r="S910" s="376"/>
      <c r="T910" s="376"/>
      <c r="U910" s="376"/>
      <c r="V910" s="376"/>
      <c r="W910" s="376"/>
      <c r="X910" s="376"/>
      <c r="Y910" s="376"/>
      <c r="Z910" s="376"/>
    </row>
    <row r="911">
      <c r="A911" s="376"/>
      <c r="B911" s="376"/>
      <c r="C911" s="376"/>
      <c r="D911" s="376"/>
      <c r="E911" s="376"/>
      <c r="F911" s="376"/>
      <c r="G911" s="376"/>
      <c r="H911" s="376"/>
      <c r="I911" s="376"/>
      <c r="J911" s="376"/>
      <c r="K911" s="376"/>
      <c r="L911" s="376"/>
      <c r="M911" s="376"/>
      <c r="N911" s="376"/>
      <c r="O911" s="376"/>
      <c r="P911" s="376"/>
      <c r="Q911" s="376"/>
      <c r="R911" s="376"/>
      <c r="S911" s="376"/>
      <c r="T911" s="376"/>
      <c r="U911" s="376"/>
      <c r="V911" s="376"/>
      <c r="W911" s="376"/>
      <c r="X911" s="376"/>
      <c r="Y911" s="376"/>
      <c r="Z911" s="376"/>
    </row>
    <row r="912">
      <c r="A912" s="376"/>
      <c r="B912" s="376"/>
      <c r="C912" s="376"/>
      <c r="D912" s="376"/>
      <c r="E912" s="376"/>
      <c r="F912" s="376"/>
      <c r="G912" s="376"/>
      <c r="H912" s="376"/>
      <c r="I912" s="376"/>
      <c r="J912" s="376"/>
      <c r="K912" s="376"/>
      <c r="L912" s="376"/>
      <c r="M912" s="376"/>
      <c r="N912" s="376"/>
      <c r="O912" s="376"/>
      <c r="P912" s="376"/>
      <c r="Q912" s="376"/>
      <c r="R912" s="376"/>
      <c r="S912" s="376"/>
      <c r="T912" s="376"/>
      <c r="U912" s="376"/>
      <c r="V912" s="376"/>
      <c r="W912" s="376"/>
      <c r="X912" s="376"/>
      <c r="Y912" s="376"/>
      <c r="Z912" s="376"/>
    </row>
    <row r="913">
      <c r="A913" s="376"/>
      <c r="B913" s="376"/>
      <c r="C913" s="376"/>
      <c r="D913" s="376"/>
      <c r="E913" s="376"/>
      <c r="F913" s="376"/>
      <c r="G913" s="376"/>
      <c r="H913" s="376"/>
      <c r="I913" s="376"/>
      <c r="J913" s="376"/>
      <c r="K913" s="376"/>
      <c r="L913" s="376"/>
      <c r="M913" s="376"/>
      <c r="N913" s="376"/>
      <c r="O913" s="376"/>
      <c r="P913" s="376"/>
      <c r="Q913" s="376"/>
      <c r="R913" s="376"/>
      <c r="S913" s="376"/>
      <c r="T913" s="376"/>
      <c r="U913" s="376"/>
      <c r="V913" s="376"/>
      <c r="W913" s="376"/>
      <c r="X913" s="376"/>
      <c r="Y913" s="376"/>
      <c r="Z913" s="376"/>
    </row>
    <row r="914">
      <c r="A914" s="376"/>
      <c r="B914" s="376"/>
      <c r="C914" s="376"/>
      <c r="D914" s="376"/>
      <c r="E914" s="376"/>
      <c r="F914" s="376"/>
      <c r="G914" s="376"/>
      <c r="H914" s="376"/>
      <c r="I914" s="376"/>
      <c r="J914" s="376"/>
      <c r="K914" s="376"/>
      <c r="L914" s="376"/>
      <c r="M914" s="376"/>
      <c r="N914" s="376"/>
      <c r="O914" s="376"/>
      <c r="P914" s="376"/>
      <c r="Q914" s="376"/>
      <c r="R914" s="376"/>
      <c r="S914" s="376"/>
      <c r="T914" s="376"/>
      <c r="U914" s="376"/>
      <c r="V914" s="376"/>
      <c r="W914" s="376"/>
      <c r="X914" s="376"/>
      <c r="Y914" s="376"/>
      <c r="Z914" s="376"/>
    </row>
    <row r="915">
      <c r="A915" s="376"/>
      <c r="B915" s="376"/>
      <c r="C915" s="376"/>
      <c r="D915" s="376"/>
      <c r="E915" s="376"/>
      <c r="F915" s="376"/>
      <c r="G915" s="376"/>
      <c r="H915" s="376"/>
      <c r="I915" s="376"/>
      <c r="J915" s="376"/>
      <c r="K915" s="376"/>
      <c r="L915" s="376"/>
      <c r="M915" s="376"/>
      <c r="N915" s="376"/>
      <c r="O915" s="376"/>
      <c r="P915" s="376"/>
      <c r="Q915" s="376"/>
      <c r="R915" s="376"/>
      <c r="S915" s="376"/>
      <c r="T915" s="376"/>
      <c r="U915" s="376"/>
      <c r="V915" s="376"/>
      <c r="W915" s="376"/>
      <c r="X915" s="376"/>
      <c r="Y915" s="376"/>
      <c r="Z915" s="376"/>
    </row>
    <row r="916">
      <c r="A916" s="376"/>
      <c r="B916" s="376"/>
      <c r="C916" s="376"/>
      <c r="D916" s="376"/>
      <c r="E916" s="376"/>
      <c r="F916" s="376"/>
      <c r="G916" s="376"/>
      <c r="H916" s="376"/>
      <c r="I916" s="376"/>
      <c r="J916" s="376"/>
      <c r="K916" s="376"/>
      <c r="L916" s="376"/>
      <c r="M916" s="376"/>
      <c r="N916" s="376"/>
      <c r="O916" s="376"/>
      <c r="P916" s="376"/>
      <c r="Q916" s="376"/>
      <c r="R916" s="376"/>
      <c r="S916" s="376"/>
      <c r="T916" s="376"/>
      <c r="U916" s="376"/>
      <c r="V916" s="376"/>
      <c r="W916" s="376"/>
      <c r="X916" s="376"/>
      <c r="Y916" s="376"/>
      <c r="Z916" s="376"/>
    </row>
    <row r="917">
      <c r="A917" s="376"/>
      <c r="B917" s="376"/>
      <c r="C917" s="376"/>
      <c r="D917" s="376"/>
      <c r="E917" s="376"/>
      <c r="F917" s="376"/>
      <c r="G917" s="376"/>
      <c r="H917" s="376"/>
      <c r="I917" s="376"/>
      <c r="J917" s="376"/>
      <c r="K917" s="376"/>
      <c r="L917" s="376"/>
      <c r="M917" s="376"/>
      <c r="N917" s="376"/>
      <c r="O917" s="376"/>
      <c r="P917" s="376"/>
      <c r="Q917" s="376"/>
      <c r="R917" s="376"/>
      <c r="S917" s="376"/>
      <c r="T917" s="376"/>
      <c r="U917" s="376"/>
      <c r="V917" s="376"/>
      <c r="W917" s="376"/>
      <c r="X917" s="376"/>
      <c r="Y917" s="376"/>
      <c r="Z917" s="376"/>
    </row>
    <row r="918">
      <c r="A918" s="376"/>
      <c r="B918" s="376"/>
      <c r="C918" s="376"/>
      <c r="D918" s="376"/>
      <c r="E918" s="376"/>
      <c r="F918" s="376"/>
      <c r="G918" s="376"/>
      <c r="H918" s="376"/>
      <c r="I918" s="376"/>
      <c r="J918" s="376"/>
      <c r="K918" s="376"/>
      <c r="L918" s="376"/>
      <c r="M918" s="376"/>
      <c r="N918" s="376"/>
      <c r="O918" s="376"/>
      <c r="P918" s="376"/>
      <c r="Q918" s="376"/>
      <c r="R918" s="376"/>
      <c r="S918" s="376"/>
      <c r="T918" s="376"/>
      <c r="U918" s="376"/>
      <c r="V918" s="376"/>
      <c r="W918" s="376"/>
      <c r="X918" s="376"/>
      <c r="Y918" s="376"/>
      <c r="Z918" s="376"/>
    </row>
    <row r="919">
      <c r="A919" s="376"/>
      <c r="B919" s="376"/>
      <c r="C919" s="376"/>
      <c r="D919" s="376"/>
      <c r="E919" s="376"/>
      <c r="F919" s="376"/>
      <c r="G919" s="376"/>
      <c r="H919" s="376"/>
      <c r="I919" s="376"/>
      <c r="J919" s="376"/>
      <c r="K919" s="376"/>
      <c r="L919" s="376"/>
      <c r="M919" s="376"/>
      <c r="N919" s="376"/>
      <c r="O919" s="376"/>
      <c r="P919" s="376"/>
      <c r="Q919" s="376"/>
      <c r="R919" s="376"/>
      <c r="S919" s="376"/>
      <c r="T919" s="376"/>
      <c r="U919" s="376"/>
      <c r="V919" s="376"/>
      <c r="W919" s="376"/>
      <c r="X919" s="376"/>
      <c r="Y919" s="376"/>
      <c r="Z919" s="376"/>
    </row>
    <row r="920">
      <c r="A920" s="376"/>
      <c r="B920" s="376"/>
      <c r="C920" s="376"/>
      <c r="D920" s="376"/>
      <c r="E920" s="376"/>
      <c r="F920" s="376"/>
      <c r="G920" s="376"/>
      <c r="H920" s="376"/>
      <c r="I920" s="376"/>
      <c r="J920" s="376"/>
      <c r="K920" s="376"/>
      <c r="L920" s="376"/>
      <c r="M920" s="376"/>
      <c r="N920" s="376"/>
      <c r="O920" s="376"/>
      <c r="P920" s="376"/>
      <c r="Q920" s="376"/>
      <c r="R920" s="376"/>
      <c r="S920" s="376"/>
      <c r="T920" s="376"/>
      <c r="U920" s="376"/>
      <c r="V920" s="376"/>
      <c r="W920" s="376"/>
      <c r="X920" s="376"/>
      <c r="Y920" s="376"/>
      <c r="Z920" s="376"/>
    </row>
    <row r="921">
      <c r="A921" s="376"/>
      <c r="B921" s="376"/>
      <c r="C921" s="376"/>
      <c r="D921" s="376"/>
      <c r="E921" s="376"/>
      <c r="F921" s="376"/>
      <c r="G921" s="376"/>
      <c r="H921" s="376"/>
      <c r="I921" s="376"/>
      <c r="J921" s="376"/>
      <c r="K921" s="376"/>
      <c r="L921" s="376"/>
      <c r="M921" s="376"/>
      <c r="N921" s="376"/>
      <c r="O921" s="376"/>
      <c r="P921" s="376"/>
      <c r="Q921" s="376"/>
      <c r="R921" s="376"/>
      <c r="S921" s="376"/>
      <c r="T921" s="376"/>
      <c r="U921" s="376"/>
      <c r="V921" s="376"/>
      <c r="W921" s="376"/>
      <c r="X921" s="376"/>
      <c r="Y921" s="376"/>
      <c r="Z921" s="376"/>
    </row>
    <row r="922">
      <c r="A922" s="376"/>
      <c r="B922" s="376"/>
      <c r="C922" s="376"/>
      <c r="D922" s="376"/>
      <c r="E922" s="376"/>
      <c r="F922" s="376"/>
      <c r="G922" s="376"/>
      <c r="H922" s="376"/>
      <c r="I922" s="376"/>
      <c r="J922" s="376"/>
      <c r="K922" s="376"/>
      <c r="L922" s="376"/>
      <c r="M922" s="376"/>
      <c r="N922" s="376"/>
      <c r="O922" s="376"/>
      <c r="P922" s="376"/>
      <c r="Q922" s="376"/>
      <c r="R922" s="376"/>
      <c r="S922" s="376"/>
      <c r="T922" s="376"/>
      <c r="U922" s="376"/>
      <c r="V922" s="376"/>
      <c r="W922" s="376"/>
      <c r="X922" s="376"/>
      <c r="Y922" s="376"/>
      <c r="Z922" s="376"/>
    </row>
    <row r="923">
      <c r="A923" s="376"/>
      <c r="B923" s="376"/>
      <c r="C923" s="376"/>
      <c r="D923" s="376"/>
      <c r="E923" s="376"/>
      <c r="F923" s="376"/>
      <c r="G923" s="376"/>
      <c r="H923" s="376"/>
      <c r="I923" s="376"/>
      <c r="J923" s="376"/>
      <c r="K923" s="376"/>
      <c r="L923" s="376"/>
      <c r="M923" s="376"/>
      <c r="N923" s="376"/>
      <c r="O923" s="376"/>
      <c r="P923" s="376"/>
      <c r="Q923" s="376"/>
      <c r="R923" s="376"/>
      <c r="S923" s="376"/>
      <c r="T923" s="376"/>
      <c r="U923" s="376"/>
      <c r="V923" s="376"/>
      <c r="W923" s="376"/>
      <c r="X923" s="376"/>
      <c r="Y923" s="376"/>
      <c r="Z923" s="376"/>
    </row>
    <row r="924">
      <c r="A924" s="376"/>
      <c r="B924" s="376"/>
      <c r="C924" s="376"/>
      <c r="D924" s="376"/>
      <c r="E924" s="376"/>
      <c r="F924" s="376"/>
      <c r="G924" s="376"/>
      <c r="H924" s="376"/>
      <c r="I924" s="376"/>
      <c r="J924" s="376"/>
      <c r="K924" s="376"/>
      <c r="L924" s="376"/>
      <c r="M924" s="376"/>
      <c r="N924" s="376"/>
      <c r="O924" s="376"/>
      <c r="P924" s="376"/>
      <c r="Q924" s="376"/>
      <c r="R924" s="376"/>
      <c r="S924" s="376"/>
      <c r="T924" s="376"/>
      <c r="U924" s="376"/>
      <c r="V924" s="376"/>
      <c r="W924" s="376"/>
      <c r="X924" s="376"/>
      <c r="Y924" s="376"/>
      <c r="Z924" s="376"/>
    </row>
    <row r="925">
      <c r="A925" s="376"/>
      <c r="B925" s="376"/>
      <c r="C925" s="376"/>
      <c r="D925" s="376"/>
      <c r="E925" s="376"/>
      <c r="F925" s="376"/>
      <c r="G925" s="376"/>
      <c r="H925" s="376"/>
      <c r="I925" s="376"/>
      <c r="J925" s="376"/>
      <c r="K925" s="376"/>
      <c r="L925" s="376"/>
      <c r="M925" s="376"/>
      <c r="N925" s="376"/>
      <c r="O925" s="376"/>
      <c r="P925" s="376"/>
      <c r="Q925" s="376"/>
      <c r="R925" s="376"/>
      <c r="S925" s="376"/>
      <c r="T925" s="376"/>
      <c r="U925" s="376"/>
      <c r="V925" s="376"/>
      <c r="W925" s="376"/>
      <c r="X925" s="376"/>
      <c r="Y925" s="376"/>
      <c r="Z925" s="376"/>
    </row>
    <row r="926">
      <c r="A926" s="376"/>
      <c r="B926" s="376"/>
      <c r="C926" s="376"/>
      <c r="D926" s="376"/>
      <c r="E926" s="376"/>
      <c r="F926" s="376"/>
      <c r="G926" s="376"/>
      <c r="H926" s="376"/>
      <c r="I926" s="376"/>
      <c r="J926" s="376"/>
      <c r="K926" s="376"/>
      <c r="L926" s="376"/>
      <c r="M926" s="376"/>
      <c r="N926" s="376"/>
      <c r="O926" s="376"/>
      <c r="P926" s="376"/>
      <c r="Q926" s="376"/>
      <c r="R926" s="376"/>
      <c r="S926" s="376"/>
      <c r="T926" s="376"/>
      <c r="U926" s="376"/>
      <c r="V926" s="376"/>
      <c r="W926" s="376"/>
      <c r="X926" s="376"/>
      <c r="Y926" s="376"/>
      <c r="Z926" s="376"/>
    </row>
    <row r="927">
      <c r="A927" s="376"/>
      <c r="B927" s="376"/>
      <c r="C927" s="376"/>
      <c r="D927" s="376"/>
      <c r="E927" s="376"/>
      <c r="F927" s="376"/>
      <c r="G927" s="376"/>
      <c r="H927" s="376"/>
      <c r="I927" s="376"/>
      <c r="J927" s="376"/>
      <c r="K927" s="376"/>
      <c r="L927" s="376"/>
      <c r="M927" s="376"/>
      <c r="N927" s="376"/>
      <c r="O927" s="376"/>
      <c r="P927" s="376"/>
      <c r="Q927" s="376"/>
      <c r="R927" s="376"/>
      <c r="S927" s="376"/>
      <c r="T927" s="376"/>
      <c r="U927" s="376"/>
      <c r="V927" s="376"/>
      <c r="W927" s="376"/>
      <c r="X927" s="376"/>
      <c r="Y927" s="376"/>
      <c r="Z927" s="376"/>
    </row>
    <row r="928">
      <c r="A928" s="376"/>
      <c r="B928" s="376"/>
      <c r="C928" s="376"/>
      <c r="D928" s="376"/>
      <c r="E928" s="376"/>
      <c r="F928" s="376"/>
      <c r="G928" s="376"/>
      <c r="H928" s="376"/>
      <c r="I928" s="376"/>
      <c r="J928" s="376"/>
      <c r="K928" s="376"/>
      <c r="L928" s="376"/>
      <c r="M928" s="376"/>
      <c r="N928" s="376"/>
      <c r="O928" s="376"/>
      <c r="P928" s="376"/>
      <c r="Q928" s="376"/>
      <c r="R928" s="376"/>
      <c r="S928" s="376"/>
      <c r="T928" s="376"/>
      <c r="U928" s="376"/>
      <c r="V928" s="376"/>
      <c r="W928" s="376"/>
      <c r="X928" s="376"/>
      <c r="Y928" s="376"/>
      <c r="Z928" s="376"/>
    </row>
    <row r="929">
      <c r="A929" s="376"/>
      <c r="B929" s="376"/>
      <c r="C929" s="376"/>
      <c r="D929" s="376"/>
      <c r="E929" s="376"/>
      <c r="F929" s="376"/>
      <c r="G929" s="376"/>
      <c r="H929" s="376"/>
      <c r="I929" s="376"/>
      <c r="J929" s="376"/>
      <c r="K929" s="376"/>
      <c r="L929" s="376"/>
      <c r="M929" s="376"/>
      <c r="N929" s="376"/>
      <c r="O929" s="376"/>
      <c r="P929" s="376"/>
      <c r="Q929" s="376"/>
      <c r="R929" s="376"/>
      <c r="S929" s="376"/>
      <c r="T929" s="376"/>
      <c r="U929" s="376"/>
      <c r="V929" s="376"/>
      <c r="W929" s="376"/>
      <c r="X929" s="376"/>
      <c r="Y929" s="376"/>
      <c r="Z929" s="376"/>
    </row>
    <row r="930">
      <c r="A930" s="376"/>
      <c r="B930" s="376"/>
      <c r="C930" s="376"/>
      <c r="D930" s="376"/>
      <c r="E930" s="376"/>
      <c r="F930" s="376"/>
      <c r="G930" s="376"/>
      <c r="H930" s="376"/>
      <c r="I930" s="376"/>
      <c r="J930" s="376"/>
      <c r="K930" s="376"/>
      <c r="L930" s="376"/>
      <c r="M930" s="376"/>
      <c r="N930" s="376"/>
      <c r="O930" s="376"/>
      <c r="P930" s="376"/>
      <c r="Q930" s="376"/>
      <c r="R930" s="376"/>
      <c r="S930" s="376"/>
      <c r="T930" s="376"/>
      <c r="U930" s="376"/>
      <c r="V930" s="376"/>
      <c r="W930" s="376"/>
      <c r="X930" s="376"/>
      <c r="Y930" s="376"/>
      <c r="Z930" s="376"/>
    </row>
    <row r="931">
      <c r="A931" s="376"/>
      <c r="B931" s="376"/>
      <c r="C931" s="376"/>
      <c r="D931" s="376"/>
      <c r="E931" s="376"/>
      <c r="F931" s="376"/>
      <c r="G931" s="376"/>
      <c r="H931" s="376"/>
      <c r="I931" s="376"/>
      <c r="J931" s="376"/>
      <c r="K931" s="376"/>
      <c r="L931" s="376"/>
      <c r="M931" s="376"/>
      <c r="N931" s="376"/>
      <c r="O931" s="376"/>
      <c r="P931" s="376"/>
      <c r="Q931" s="376"/>
      <c r="R931" s="376"/>
      <c r="S931" s="376"/>
      <c r="T931" s="376"/>
      <c r="U931" s="376"/>
      <c r="V931" s="376"/>
      <c r="W931" s="376"/>
      <c r="X931" s="376"/>
      <c r="Y931" s="376"/>
      <c r="Z931" s="376"/>
    </row>
    <row r="932">
      <c r="A932" s="376"/>
      <c r="B932" s="376"/>
      <c r="C932" s="376"/>
      <c r="D932" s="376"/>
      <c r="E932" s="376"/>
      <c r="F932" s="376"/>
      <c r="G932" s="376"/>
      <c r="H932" s="376"/>
      <c r="I932" s="376"/>
      <c r="J932" s="376"/>
      <c r="K932" s="376"/>
      <c r="L932" s="376"/>
      <c r="M932" s="376"/>
      <c r="N932" s="376"/>
      <c r="O932" s="376"/>
      <c r="P932" s="376"/>
      <c r="Q932" s="376"/>
      <c r="R932" s="376"/>
      <c r="S932" s="376"/>
      <c r="T932" s="376"/>
      <c r="U932" s="376"/>
      <c r="V932" s="376"/>
      <c r="W932" s="376"/>
      <c r="X932" s="376"/>
      <c r="Y932" s="376"/>
      <c r="Z932" s="376"/>
    </row>
    <row r="933">
      <c r="A933" s="376"/>
      <c r="B933" s="376"/>
      <c r="C933" s="376"/>
      <c r="D933" s="376"/>
      <c r="E933" s="376"/>
      <c r="F933" s="376"/>
      <c r="G933" s="376"/>
      <c r="H933" s="376"/>
      <c r="I933" s="376"/>
      <c r="J933" s="376"/>
      <c r="K933" s="376"/>
      <c r="L933" s="376"/>
      <c r="M933" s="376"/>
      <c r="N933" s="376"/>
      <c r="O933" s="376"/>
      <c r="P933" s="376"/>
      <c r="Q933" s="376"/>
      <c r="R933" s="376"/>
      <c r="S933" s="376"/>
      <c r="T933" s="376"/>
      <c r="U933" s="376"/>
      <c r="V933" s="376"/>
      <c r="W933" s="376"/>
      <c r="X933" s="376"/>
      <c r="Y933" s="376"/>
      <c r="Z933" s="376"/>
    </row>
    <row r="934">
      <c r="A934" s="376"/>
      <c r="B934" s="376"/>
      <c r="C934" s="376"/>
      <c r="D934" s="376"/>
      <c r="E934" s="376"/>
      <c r="F934" s="376"/>
      <c r="G934" s="376"/>
      <c r="H934" s="376"/>
      <c r="I934" s="376"/>
      <c r="J934" s="376"/>
      <c r="K934" s="376"/>
      <c r="L934" s="376"/>
      <c r="M934" s="376"/>
      <c r="N934" s="376"/>
      <c r="O934" s="376"/>
      <c r="P934" s="376"/>
      <c r="Q934" s="376"/>
      <c r="R934" s="376"/>
      <c r="S934" s="376"/>
      <c r="T934" s="376"/>
      <c r="U934" s="376"/>
      <c r="V934" s="376"/>
      <c r="W934" s="376"/>
      <c r="X934" s="376"/>
      <c r="Y934" s="376"/>
      <c r="Z934" s="376"/>
    </row>
    <row r="935">
      <c r="A935" s="376"/>
      <c r="B935" s="376"/>
      <c r="C935" s="376"/>
      <c r="D935" s="376"/>
      <c r="E935" s="376"/>
      <c r="F935" s="376"/>
      <c r="G935" s="376"/>
      <c r="H935" s="376"/>
      <c r="I935" s="376"/>
      <c r="J935" s="376"/>
      <c r="K935" s="376"/>
      <c r="L935" s="376"/>
      <c r="M935" s="376"/>
      <c r="N935" s="376"/>
      <c r="O935" s="376"/>
      <c r="P935" s="376"/>
      <c r="Q935" s="376"/>
      <c r="R935" s="376"/>
      <c r="S935" s="376"/>
      <c r="T935" s="376"/>
      <c r="U935" s="376"/>
      <c r="V935" s="376"/>
      <c r="W935" s="376"/>
      <c r="X935" s="376"/>
      <c r="Y935" s="376"/>
      <c r="Z935" s="376"/>
    </row>
    <row r="936">
      <c r="A936" s="376"/>
      <c r="B936" s="376"/>
      <c r="C936" s="376"/>
      <c r="D936" s="376"/>
      <c r="E936" s="376"/>
      <c r="F936" s="376"/>
      <c r="G936" s="376"/>
      <c r="H936" s="376"/>
      <c r="I936" s="376"/>
      <c r="J936" s="376"/>
      <c r="K936" s="376"/>
      <c r="L936" s="376"/>
      <c r="M936" s="376"/>
      <c r="N936" s="376"/>
      <c r="O936" s="376"/>
      <c r="P936" s="376"/>
      <c r="Q936" s="376"/>
      <c r="R936" s="376"/>
      <c r="S936" s="376"/>
      <c r="T936" s="376"/>
      <c r="U936" s="376"/>
      <c r="V936" s="376"/>
      <c r="W936" s="376"/>
      <c r="X936" s="376"/>
      <c r="Y936" s="376"/>
      <c r="Z936" s="376"/>
    </row>
    <row r="937">
      <c r="A937" s="376"/>
      <c r="B937" s="376"/>
      <c r="C937" s="376"/>
      <c r="D937" s="376"/>
      <c r="E937" s="376"/>
      <c r="F937" s="376"/>
      <c r="G937" s="376"/>
      <c r="H937" s="376"/>
      <c r="I937" s="376"/>
      <c r="J937" s="376"/>
      <c r="K937" s="376"/>
      <c r="L937" s="376"/>
      <c r="M937" s="376"/>
      <c r="N937" s="376"/>
      <c r="O937" s="376"/>
      <c r="P937" s="376"/>
      <c r="Q937" s="376"/>
      <c r="R937" s="376"/>
      <c r="S937" s="376"/>
      <c r="T937" s="376"/>
      <c r="U937" s="376"/>
      <c r="V937" s="376"/>
      <c r="W937" s="376"/>
      <c r="X937" s="376"/>
      <c r="Y937" s="376"/>
      <c r="Z937" s="376"/>
    </row>
    <row r="938">
      <c r="A938" s="376"/>
      <c r="B938" s="376"/>
      <c r="C938" s="376"/>
      <c r="D938" s="376"/>
      <c r="E938" s="376"/>
      <c r="F938" s="376"/>
      <c r="G938" s="376"/>
      <c r="H938" s="376"/>
      <c r="I938" s="376"/>
      <c r="J938" s="376"/>
      <c r="K938" s="376"/>
      <c r="L938" s="376"/>
      <c r="M938" s="376"/>
      <c r="N938" s="376"/>
      <c r="O938" s="376"/>
      <c r="P938" s="376"/>
      <c r="Q938" s="376"/>
      <c r="R938" s="376"/>
      <c r="S938" s="376"/>
      <c r="T938" s="376"/>
      <c r="U938" s="376"/>
      <c r="V938" s="376"/>
      <c r="W938" s="376"/>
      <c r="X938" s="376"/>
      <c r="Y938" s="376"/>
      <c r="Z938" s="376"/>
    </row>
    <row r="939">
      <c r="A939" s="376"/>
      <c r="B939" s="376"/>
      <c r="C939" s="376"/>
      <c r="D939" s="376"/>
      <c r="E939" s="376"/>
      <c r="F939" s="376"/>
      <c r="G939" s="376"/>
      <c r="H939" s="376"/>
      <c r="I939" s="376"/>
      <c r="J939" s="376"/>
      <c r="K939" s="376"/>
      <c r="L939" s="376"/>
      <c r="M939" s="376"/>
      <c r="N939" s="376"/>
      <c r="O939" s="376"/>
      <c r="P939" s="376"/>
      <c r="Q939" s="376"/>
      <c r="R939" s="376"/>
      <c r="S939" s="376"/>
      <c r="T939" s="376"/>
      <c r="U939" s="376"/>
      <c r="V939" s="376"/>
      <c r="W939" s="376"/>
      <c r="X939" s="376"/>
      <c r="Y939" s="376"/>
      <c r="Z939" s="376"/>
    </row>
    <row r="940">
      <c r="A940" s="376"/>
      <c r="B940" s="376"/>
      <c r="C940" s="376"/>
      <c r="D940" s="376"/>
      <c r="E940" s="376"/>
      <c r="F940" s="376"/>
      <c r="G940" s="376"/>
      <c r="H940" s="376"/>
      <c r="I940" s="376"/>
      <c r="J940" s="376"/>
      <c r="K940" s="376"/>
      <c r="L940" s="376"/>
      <c r="M940" s="376"/>
      <c r="N940" s="376"/>
      <c r="O940" s="376"/>
      <c r="P940" s="376"/>
      <c r="Q940" s="376"/>
      <c r="R940" s="376"/>
      <c r="S940" s="376"/>
      <c r="T940" s="376"/>
      <c r="U940" s="376"/>
      <c r="V940" s="376"/>
      <c r="W940" s="376"/>
      <c r="X940" s="376"/>
      <c r="Y940" s="376"/>
      <c r="Z940" s="376"/>
    </row>
    <row r="941">
      <c r="A941" s="376"/>
      <c r="B941" s="376"/>
      <c r="C941" s="376"/>
      <c r="D941" s="376"/>
      <c r="E941" s="376"/>
      <c r="F941" s="376"/>
      <c r="G941" s="376"/>
      <c r="H941" s="376"/>
      <c r="I941" s="376"/>
      <c r="J941" s="376"/>
      <c r="K941" s="376"/>
      <c r="L941" s="376"/>
      <c r="M941" s="376"/>
      <c r="N941" s="376"/>
      <c r="O941" s="376"/>
      <c r="P941" s="376"/>
      <c r="Q941" s="376"/>
      <c r="R941" s="376"/>
      <c r="S941" s="376"/>
      <c r="T941" s="376"/>
      <c r="U941" s="376"/>
      <c r="V941" s="376"/>
      <c r="W941" s="376"/>
      <c r="X941" s="376"/>
      <c r="Y941" s="376"/>
      <c r="Z941" s="376"/>
    </row>
    <row r="942">
      <c r="A942" s="376"/>
      <c r="B942" s="376"/>
      <c r="C942" s="376"/>
      <c r="D942" s="376"/>
      <c r="E942" s="376"/>
      <c r="F942" s="376"/>
      <c r="G942" s="376"/>
      <c r="H942" s="376"/>
      <c r="I942" s="376"/>
      <c r="J942" s="376"/>
      <c r="K942" s="376"/>
      <c r="L942" s="376"/>
      <c r="M942" s="376"/>
      <c r="N942" s="376"/>
      <c r="O942" s="376"/>
      <c r="P942" s="376"/>
      <c r="Q942" s="376"/>
      <c r="R942" s="376"/>
      <c r="S942" s="376"/>
      <c r="T942" s="376"/>
      <c r="U942" s="376"/>
      <c r="V942" s="376"/>
      <c r="W942" s="376"/>
      <c r="X942" s="376"/>
      <c r="Y942" s="376"/>
      <c r="Z942" s="376"/>
    </row>
    <row r="943">
      <c r="A943" s="395"/>
      <c r="B943" s="376"/>
      <c r="C943" s="376"/>
      <c r="D943" s="376"/>
      <c r="E943" s="376"/>
      <c r="F943" s="376"/>
      <c r="G943" s="376"/>
      <c r="H943" s="376"/>
      <c r="I943" s="376"/>
      <c r="J943" s="376"/>
      <c r="K943" s="376"/>
      <c r="L943" s="376"/>
      <c r="M943" s="403"/>
      <c r="N943" s="376"/>
      <c r="O943" s="376"/>
      <c r="P943" s="376"/>
      <c r="Q943" s="376"/>
      <c r="R943" s="376"/>
      <c r="S943" s="376"/>
      <c r="T943" s="376"/>
      <c r="U943" s="376"/>
      <c r="V943" s="376"/>
      <c r="W943" s="376"/>
      <c r="X943" s="376"/>
      <c r="Y943" s="376"/>
      <c r="Z943" s="376"/>
    </row>
  </sheetData>
  <dataValidations>
    <dataValidation type="custom" allowBlank="1" showDropDown="1" sqref="B4:D4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  <col customWidth="1" min="4" max="4" width="18.75"/>
  </cols>
  <sheetData>
    <row r="1">
      <c r="A1" s="404" t="s">
        <v>283</v>
      </c>
      <c r="B1" s="404" t="s">
        <v>284</v>
      </c>
      <c r="C1" s="404" t="s">
        <v>285</v>
      </c>
      <c r="D1" s="404" t="s">
        <v>286</v>
      </c>
      <c r="E1" s="404" t="s">
        <v>287</v>
      </c>
    </row>
    <row r="2">
      <c r="A2" s="405" t="s">
        <v>288</v>
      </c>
      <c r="B2" s="405" t="s">
        <v>289</v>
      </c>
      <c r="C2" s="405" t="s">
        <v>290</v>
      </c>
      <c r="D2" s="405" t="s">
        <v>290</v>
      </c>
      <c r="E2" s="405" t="s">
        <v>291</v>
      </c>
    </row>
    <row r="3">
      <c r="A3" s="405" t="s">
        <v>292</v>
      </c>
      <c r="B3" s="405" t="s">
        <v>293</v>
      </c>
      <c r="C3" s="405" t="s">
        <v>290</v>
      </c>
      <c r="D3" s="405" t="s">
        <v>290</v>
      </c>
      <c r="E3" s="405" t="s">
        <v>294</v>
      </c>
    </row>
    <row r="4">
      <c r="A4" s="405" t="s">
        <v>295</v>
      </c>
      <c r="B4" s="405" t="s">
        <v>296</v>
      </c>
      <c r="C4" s="405" t="s">
        <v>290</v>
      </c>
      <c r="D4" s="405" t="s">
        <v>290</v>
      </c>
      <c r="E4" s="405" t="s">
        <v>297</v>
      </c>
    </row>
    <row r="5">
      <c r="A5" s="405" t="s">
        <v>298</v>
      </c>
      <c r="B5" s="405" t="s">
        <v>168</v>
      </c>
      <c r="C5" s="405" t="s">
        <v>299</v>
      </c>
      <c r="D5" s="405" t="s">
        <v>299</v>
      </c>
      <c r="E5" s="405" t="s">
        <v>300</v>
      </c>
    </row>
    <row r="6">
      <c r="A6" s="405" t="s">
        <v>301</v>
      </c>
      <c r="B6" s="405" t="s">
        <v>302</v>
      </c>
      <c r="C6" s="405" t="s">
        <v>290</v>
      </c>
      <c r="D6" s="405" t="s">
        <v>290</v>
      </c>
      <c r="E6" s="405" t="s">
        <v>297</v>
      </c>
    </row>
    <row r="7">
      <c r="A7" s="405" t="s">
        <v>303</v>
      </c>
      <c r="B7" s="405" t="s">
        <v>304</v>
      </c>
      <c r="C7" s="405" t="s">
        <v>299</v>
      </c>
      <c r="D7" s="405" t="s">
        <v>299</v>
      </c>
      <c r="E7" s="405" t="s">
        <v>305</v>
      </c>
    </row>
    <row r="8">
      <c r="A8" s="405" t="s">
        <v>306</v>
      </c>
      <c r="B8" s="405" t="s">
        <v>307</v>
      </c>
      <c r="C8" s="405" t="s">
        <v>308</v>
      </c>
      <c r="D8" s="405" t="s">
        <v>308</v>
      </c>
      <c r="E8" s="405" t="s">
        <v>309</v>
      </c>
    </row>
    <row r="9">
      <c r="A9" s="405" t="s">
        <v>310</v>
      </c>
      <c r="B9" s="405" t="s">
        <v>188</v>
      </c>
      <c r="C9" s="405" t="s">
        <v>308</v>
      </c>
      <c r="D9" s="405" t="s">
        <v>308</v>
      </c>
      <c r="E9" s="405" t="s">
        <v>291</v>
      </c>
    </row>
    <row r="10">
      <c r="A10" s="405" t="s">
        <v>311</v>
      </c>
      <c r="B10" s="405" t="s">
        <v>312</v>
      </c>
      <c r="C10" s="405" t="s">
        <v>313</v>
      </c>
      <c r="D10" s="405" t="s">
        <v>313</v>
      </c>
      <c r="E10" s="405" t="s">
        <v>314</v>
      </c>
    </row>
    <row r="11">
      <c r="A11" s="405" t="s">
        <v>315</v>
      </c>
      <c r="B11" s="405" t="s">
        <v>191</v>
      </c>
      <c r="C11" s="405" t="s">
        <v>299</v>
      </c>
      <c r="D11" s="405" t="s">
        <v>299</v>
      </c>
      <c r="E11" s="405" t="s">
        <v>316</v>
      </c>
    </row>
    <row r="12">
      <c r="A12" s="405" t="s">
        <v>317</v>
      </c>
      <c r="B12" s="405" t="s">
        <v>318</v>
      </c>
      <c r="C12" s="405" t="s">
        <v>290</v>
      </c>
      <c r="D12" s="405" t="s">
        <v>290</v>
      </c>
      <c r="E12" s="405" t="s">
        <v>319</v>
      </c>
    </row>
    <row r="13">
      <c r="A13" s="405" t="s">
        <v>320</v>
      </c>
      <c r="B13" s="405" t="s">
        <v>187</v>
      </c>
      <c r="C13" s="405" t="s">
        <v>290</v>
      </c>
      <c r="D13" s="405" t="s">
        <v>290</v>
      </c>
      <c r="E13" s="405" t="s">
        <v>316</v>
      </c>
    </row>
    <row r="14">
      <c r="A14" s="405" t="s">
        <v>321</v>
      </c>
      <c r="B14" s="405" t="s">
        <v>197</v>
      </c>
      <c r="C14" s="405" t="s">
        <v>308</v>
      </c>
      <c r="D14" s="405" t="s">
        <v>308</v>
      </c>
      <c r="E14" s="405" t="s">
        <v>305</v>
      </c>
    </row>
    <row r="15">
      <c r="A15" s="405" t="s">
        <v>322</v>
      </c>
      <c r="B15" s="405" t="s">
        <v>323</v>
      </c>
      <c r="C15" s="405" t="s">
        <v>308</v>
      </c>
      <c r="D15" s="405" t="s">
        <v>308</v>
      </c>
      <c r="E15" s="405" t="s">
        <v>324</v>
      </c>
    </row>
    <row r="16">
      <c r="A16" s="405" t="s">
        <v>325</v>
      </c>
      <c r="B16" s="405" t="s">
        <v>326</v>
      </c>
      <c r="C16" s="405" t="s">
        <v>290</v>
      </c>
      <c r="D16" s="405" t="s">
        <v>290</v>
      </c>
      <c r="E16" s="405" t="s">
        <v>297</v>
      </c>
    </row>
    <row r="17">
      <c r="A17" s="405" t="s">
        <v>327</v>
      </c>
      <c r="B17" s="405" t="s">
        <v>328</v>
      </c>
      <c r="C17" s="405" t="s">
        <v>299</v>
      </c>
      <c r="D17" s="405" t="s">
        <v>299</v>
      </c>
      <c r="E17" s="405" t="s">
        <v>329</v>
      </c>
    </row>
    <row r="18">
      <c r="A18" s="405" t="s">
        <v>330</v>
      </c>
      <c r="B18" s="405" t="s">
        <v>331</v>
      </c>
      <c r="C18" s="405" t="s">
        <v>290</v>
      </c>
      <c r="D18" s="405" t="s">
        <v>290</v>
      </c>
      <c r="E18" s="406">
        <v>0.20902777777777778</v>
      </c>
    </row>
    <row r="19">
      <c r="A19" s="405" t="s">
        <v>332</v>
      </c>
      <c r="B19" s="405" t="s">
        <v>333</v>
      </c>
      <c r="C19" s="405" t="s">
        <v>290</v>
      </c>
      <c r="D19" s="405" t="s">
        <v>290</v>
      </c>
      <c r="E19" s="405" t="s">
        <v>334</v>
      </c>
    </row>
    <row r="20">
      <c r="A20" s="405" t="s">
        <v>335</v>
      </c>
      <c r="B20" s="405" t="s">
        <v>336</v>
      </c>
      <c r="C20" s="405" t="s">
        <v>308</v>
      </c>
      <c r="D20" s="405" t="s">
        <v>308</v>
      </c>
      <c r="E20" s="405" t="s">
        <v>337</v>
      </c>
    </row>
    <row r="21">
      <c r="A21" s="405" t="s">
        <v>338</v>
      </c>
      <c r="B21" s="405" t="s">
        <v>339</v>
      </c>
      <c r="C21" s="405" t="s">
        <v>290</v>
      </c>
      <c r="D21" s="405" t="s">
        <v>290</v>
      </c>
      <c r="E21" s="405" t="s">
        <v>309</v>
      </c>
    </row>
    <row r="22">
      <c r="A22" s="405" t="s">
        <v>340</v>
      </c>
      <c r="B22" s="405" t="s">
        <v>341</v>
      </c>
      <c r="C22" s="405" t="s">
        <v>290</v>
      </c>
      <c r="D22" s="405" t="s">
        <v>290</v>
      </c>
      <c r="E22" s="405" t="s">
        <v>342</v>
      </c>
    </row>
    <row r="23">
      <c r="A23" s="405" t="s">
        <v>343</v>
      </c>
      <c r="B23" s="405" t="s">
        <v>208</v>
      </c>
      <c r="C23" s="405" t="s">
        <v>290</v>
      </c>
      <c r="D23" s="405" t="s">
        <v>290</v>
      </c>
      <c r="E23" s="405" t="s">
        <v>344</v>
      </c>
    </row>
    <row r="24">
      <c r="A24" s="405" t="s">
        <v>345</v>
      </c>
      <c r="B24" s="405" t="s">
        <v>192</v>
      </c>
      <c r="C24" s="405" t="s">
        <v>290</v>
      </c>
      <c r="D24" s="405" t="s">
        <v>290</v>
      </c>
      <c r="E24" s="405" t="s">
        <v>291</v>
      </c>
    </row>
    <row r="25">
      <c r="A25" s="405" t="s">
        <v>346</v>
      </c>
      <c r="B25" s="405" t="s">
        <v>196</v>
      </c>
      <c r="C25" s="405" t="s">
        <v>290</v>
      </c>
      <c r="D25" s="405" t="s">
        <v>290</v>
      </c>
      <c r="E25" s="405" t="s">
        <v>305</v>
      </c>
    </row>
    <row r="26">
      <c r="A26" s="405" t="s">
        <v>347</v>
      </c>
      <c r="B26" s="405" t="s">
        <v>348</v>
      </c>
      <c r="C26" s="405" t="s">
        <v>290</v>
      </c>
      <c r="D26" s="405" t="s">
        <v>290</v>
      </c>
      <c r="E26" s="405" t="s">
        <v>309</v>
      </c>
    </row>
    <row r="27">
      <c r="A27" s="405" t="s">
        <v>349</v>
      </c>
      <c r="B27" s="405" t="s">
        <v>207</v>
      </c>
      <c r="C27" s="405" t="s">
        <v>290</v>
      </c>
      <c r="D27" s="405" t="s">
        <v>290</v>
      </c>
      <c r="E27" s="405" t="s">
        <v>309</v>
      </c>
    </row>
    <row r="28">
      <c r="A28" s="405" t="s">
        <v>350</v>
      </c>
      <c r="B28" s="405" t="s">
        <v>195</v>
      </c>
      <c r="C28" s="405" t="s">
        <v>290</v>
      </c>
      <c r="D28" s="405" t="s">
        <v>290</v>
      </c>
      <c r="E28" s="405" t="s">
        <v>351</v>
      </c>
    </row>
    <row r="29">
      <c r="A29" s="405" t="s">
        <v>352</v>
      </c>
      <c r="B29" s="405" t="s">
        <v>353</v>
      </c>
      <c r="C29" s="405" t="s">
        <v>290</v>
      </c>
      <c r="D29" s="405" t="s">
        <v>290</v>
      </c>
      <c r="E29" s="405" t="s">
        <v>354</v>
      </c>
    </row>
    <row r="30">
      <c r="A30" s="405" t="s">
        <v>355</v>
      </c>
      <c r="B30" s="405" t="s">
        <v>356</v>
      </c>
      <c r="C30" s="405" t="s">
        <v>290</v>
      </c>
      <c r="D30" s="405" t="s">
        <v>290</v>
      </c>
      <c r="E30" s="405" t="s">
        <v>357</v>
      </c>
    </row>
    <row r="31">
      <c r="A31" s="405" t="s">
        <v>358</v>
      </c>
      <c r="B31" s="405" t="s">
        <v>359</v>
      </c>
      <c r="C31" s="405" t="s">
        <v>290</v>
      </c>
      <c r="D31" s="405" t="s">
        <v>290</v>
      </c>
      <c r="E31" s="405" t="s">
        <v>360</v>
      </c>
    </row>
    <row r="32">
      <c r="A32" s="405" t="s">
        <v>361</v>
      </c>
      <c r="B32" s="405" t="s">
        <v>362</v>
      </c>
      <c r="C32" s="405" t="s">
        <v>290</v>
      </c>
      <c r="D32" s="405" t="s">
        <v>290</v>
      </c>
      <c r="E32" s="405" t="s">
        <v>363</v>
      </c>
    </row>
    <row r="33">
      <c r="A33" s="405" t="s">
        <v>364</v>
      </c>
      <c r="B33" s="405" t="s">
        <v>365</v>
      </c>
      <c r="C33" s="405" t="s">
        <v>290</v>
      </c>
      <c r="D33" s="405" t="s">
        <v>290</v>
      </c>
      <c r="E33" s="405" t="s">
        <v>329</v>
      </c>
    </row>
    <row r="34">
      <c r="A34" s="405" t="s">
        <v>366</v>
      </c>
      <c r="B34" s="405" t="s">
        <v>367</v>
      </c>
      <c r="C34" s="405" t="s">
        <v>290</v>
      </c>
      <c r="D34" s="405" t="s">
        <v>290</v>
      </c>
      <c r="E34" s="405" t="s">
        <v>368</v>
      </c>
    </row>
    <row r="35">
      <c r="A35" s="405" t="s">
        <v>369</v>
      </c>
      <c r="B35" s="405" t="s">
        <v>193</v>
      </c>
      <c r="C35" s="405" t="s">
        <v>290</v>
      </c>
      <c r="D35" s="405" t="s">
        <v>290</v>
      </c>
      <c r="E35" s="405" t="s">
        <v>370</v>
      </c>
    </row>
    <row r="36">
      <c r="A36" s="22" t="s">
        <v>371</v>
      </c>
      <c r="B36" s="22" t="s">
        <v>194</v>
      </c>
      <c r="C36" s="405" t="s">
        <v>290</v>
      </c>
      <c r="D36" s="405" t="s">
        <v>290</v>
      </c>
      <c r="E36" s="405" t="s">
        <v>370</v>
      </c>
    </row>
    <row r="37">
      <c r="A37" s="22" t="s">
        <v>372</v>
      </c>
      <c r="B37" s="22" t="s">
        <v>186</v>
      </c>
      <c r="C37" s="405" t="s">
        <v>290</v>
      </c>
      <c r="D37" s="405" t="s">
        <v>290</v>
      </c>
      <c r="E37" s="405" t="s">
        <v>370</v>
      </c>
    </row>
    <row r="38">
      <c r="A38" s="405" t="s">
        <v>373</v>
      </c>
      <c r="B38" s="405" t="s">
        <v>209</v>
      </c>
      <c r="C38" s="405" t="s">
        <v>299</v>
      </c>
      <c r="D38" s="405" t="s">
        <v>299</v>
      </c>
      <c r="E38" s="405" t="s">
        <v>374</v>
      </c>
    </row>
    <row r="39">
      <c r="A39" s="405" t="s">
        <v>375</v>
      </c>
      <c r="B39" s="405" t="s">
        <v>376</v>
      </c>
      <c r="C39" s="405" t="s">
        <v>377</v>
      </c>
      <c r="D39" s="405" t="s">
        <v>377</v>
      </c>
      <c r="E39" s="405" t="s">
        <v>300</v>
      </c>
    </row>
    <row r="40">
      <c r="A40" s="405" t="s">
        <v>378</v>
      </c>
      <c r="B40" s="405" t="s">
        <v>379</v>
      </c>
      <c r="C40" s="405" t="s">
        <v>308</v>
      </c>
      <c r="D40" s="405" t="s">
        <v>308</v>
      </c>
      <c r="E40" s="405" t="s">
        <v>294</v>
      </c>
    </row>
    <row r="41">
      <c r="A41" s="405" t="s">
        <v>380</v>
      </c>
      <c r="B41" s="405" t="s">
        <v>381</v>
      </c>
      <c r="C41" s="405" t="s">
        <v>377</v>
      </c>
      <c r="D41" s="405" t="s">
        <v>377</v>
      </c>
      <c r="E41" s="405" t="s">
        <v>305</v>
      </c>
    </row>
    <row r="42">
      <c r="A42" s="173" t="s">
        <v>382</v>
      </c>
      <c r="B42" s="173" t="s">
        <v>190</v>
      </c>
    </row>
    <row r="43">
      <c r="A43" s="173" t="s">
        <v>383</v>
      </c>
      <c r="B43" s="173" t="s">
        <v>384</v>
      </c>
    </row>
    <row r="44">
      <c r="A44" s="173" t="s">
        <v>385</v>
      </c>
      <c r="B44" s="173" t="s">
        <v>189</v>
      </c>
    </row>
    <row r="45">
      <c r="A45" s="173" t="s">
        <v>386</v>
      </c>
      <c r="B45" s="173" t="s">
        <v>198</v>
      </c>
    </row>
    <row r="46">
      <c r="A46" s="173" t="s">
        <v>387</v>
      </c>
      <c r="B46" s="173" t="s">
        <v>388</v>
      </c>
    </row>
    <row r="47">
      <c r="A47" s="173" t="s">
        <v>389</v>
      </c>
      <c r="B47" s="173" t="s">
        <v>390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</cols>
  <sheetData>
    <row r="1">
      <c r="A1" s="147" t="s">
        <v>391</v>
      </c>
      <c r="B1" s="407" t="s">
        <v>392</v>
      </c>
      <c r="C1" s="407" t="s">
        <v>393</v>
      </c>
      <c r="D1" s="407" t="s">
        <v>394</v>
      </c>
      <c r="E1" s="407" t="s">
        <v>244</v>
      </c>
      <c r="F1" s="407" t="s">
        <v>395</v>
      </c>
      <c r="G1" s="407" t="s">
        <v>396</v>
      </c>
      <c r="H1" s="407" t="s">
        <v>397</v>
      </c>
      <c r="I1" s="407" t="s">
        <v>398</v>
      </c>
      <c r="J1" s="407" t="s">
        <v>399</v>
      </c>
      <c r="K1" s="407" t="s">
        <v>400</v>
      </c>
      <c r="L1" s="407" t="s">
        <v>401</v>
      </c>
      <c r="M1" s="407" t="s">
        <v>402</v>
      </c>
      <c r="N1" s="407" t="s">
        <v>276</v>
      </c>
      <c r="O1" s="407" t="s">
        <v>403</v>
      </c>
      <c r="P1" s="407" t="s">
        <v>404</v>
      </c>
      <c r="Q1" s="407" t="s">
        <v>405</v>
      </c>
      <c r="R1" s="407" t="s">
        <v>406</v>
      </c>
      <c r="S1" s="407" t="s">
        <v>407</v>
      </c>
      <c r="T1" s="407" t="s">
        <v>408</v>
      </c>
      <c r="U1" s="407" t="s">
        <v>409</v>
      </c>
      <c r="V1" s="407" t="s">
        <v>410</v>
      </c>
      <c r="W1" s="407" t="s">
        <v>411</v>
      </c>
      <c r="X1" s="407" t="s">
        <v>412</v>
      </c>
      <c r="Y1" s="407" t="s">
        <v>413</v>
      </c>
      <c r="Z1" s="407" t="s">
        <v>414</v>
      </c>
      <c r="AA1" s="407" t="s">
        <v>415</v>
      </c>
      <c r="AB1" s="407" t="s">
        <v>323</v>
      </c>
      <c r="AC1" s="407" t="s">
        <v>416</v>
      </c>
      <c r="AD1" s="407" t="s">
        <v>274</v>
      </c>
      <c r="AE1" s="407" t="s">
        <v>417</v>
      </c>
      <c r="AF1" s="407" t="s">
        <v>418</v>
      </c>
      <c r="AG1" s="407" t="s">
        <v>419</v>
      </c>
      <c r="AH1" s="407" t="s">
        <v>420</v>
      </c>
      <c r="AI1" s="407" t="s">
        <v>421</v>
      </c>
      <c r="AJ1" s="407" t="s">
        <v>422</v>
      </c>
      <c r="AK1" s="407" t="s">
        <v>423</v>
      </c>
      <c r="AL1" s="407" t="s">
        <v>260</v>
      </c>
      <c r="AM1" s="407" t="s">
        <v>424</v>
      </c>
      <c r="AN1" s="407" t="s">
        <v>425</v>
      </c>
      <c r="AO1" s="407" t="s">
        <v>87</v>
      </c>
      <c r="AP1" s="407" t="s">
        <v>426</v>
      </c>
      <c r="AQ1" s="407" t="s">
        <v>427</v>
      </c>
      <c r="AR1" s="407" t="s">
        <v>428</v>
      </c>
      <c r="AS1" s="407" t="s">
        <v>429</v>
      </c>
      <c r="AT1" s="407" t="s">
        <v>430</v>
      </c>
      <c r="AU1" s="407" t="s">
        <v>431</v>
      </c>
      <c r="AV1" s="407" t="s">
        <v>432</v>
      </c>
      <c r="AW1" s="407" t="s">
        <v>433</v>
      </c>
      <c r="AX1" s="407" t="s">
        <v>434</v>
      </c>
      <c r="AY1" s="407" t="s">
        <v>435</v>
      </c>
      <c r="AZ1" s="407" t="s">
        <v>436</v>
      </c>
      <c r="BA1" s="407" t="s">
        <v>437</v>
      </c>
      <c r="BB1" s="407" t="s">
        <v>438</v>
      </c>
      <c r="BC1" s="407" t="s">
        <v>439</v>
      </c>
      <c r="BD1" s="407" t="s">
        <v>440</v>
      </c>
      <c r="BE1" s="407" t="s">
        <v>441</v>
      </c>
      <c r="BF1" s="407" t="s">
        <v>442</v>
      </c>
      <c r="BG1" s="407" t="s">
        <v>443</v>
      </c>
      <c r="BH1" s="407" t="s">
        <v>444</v>
      </c>
      <c r="BI1" s="407" t="s">
        <v>445</v>
      </c>
      <c r="BJ1" s="407" t="s">
        <v>446</v>
      </c>
      <c r="BK1" s="407" t="s">
        <v>447</v>
      </c>
      <c r="BL1" s="407" t="s">
        <v>448</v>
      </c>
      <c r="BM1" s="407" t="s">
        <v>449</v>
      </c>
      <c r="BN1" s="407" t="s">
        <v>450</v>
      </c>
      <c r="BO1" s="407" t="s">
        <v>451</v>
      </c>
      <c r="BP1" s="407" t="s">
        <v>452</v>
      </c>
      <c r="BQ1" s="407" t="s">
        <v>453</v>
      </c>
      <c r="BR1" s="407" t="s">
        <v>454</v>
      </c>
      <c r="BS1" s="407" t="s">
        <v>455</v>
      </c>
      <c r="BT1" s="407" t="s">
        <v>86</v>
      </c>
      <c r="BU1" s="407" t="s">
        <v>456</v>
      </c>
      <c r="BV1" s="407" t="s">
        <v>457</v>
      </c>
      <c r="BW1" s="407" t="s">
        <v>458</v>
      </c>
      <c r="BX1" s="407" t="s">
        <v>459</v>
      </c>
      <c r="BY1" s="407" t="s">
        <v>460</v>
      </c>
      <c r="BZ1" s="407" t="s">
        <v>461</v>
      </c>
      <c r="CA1" s="407" t="s">
        <v>462</v>
      </c>
      <c r="CB1" s="407" t="s">
        <v>463</v>
      </c>
      <c r="CC1" s="407" t="s">
        <v>464</v>
      </c>
      <c r="CD1" s="407" t="s">
        <v>465</v>
      </c>
      <c r="CE1" s="407" t="s">
        <v>466</v>
      </c>
      <c r="CF1" s="407" t="s">
        <v>467</v>
      </c>
      <c r="CG1" s="407" t="s">
        <v>468</v>
      </c>
      <c r="CH1" s="407" t="s">
        <v>469</v>
      </c>
      <c r="CI1" s="407" t="s">
        <v>470</v>
      </c>
      <c r="CJ1" s="407" t="s">
        <v>471</v>
      </c>
      <c r="CK1" s="407" t="s">
        <v>472</v>
      </c>
      <c r="CL1" s="407" t="s">
        <v>473</v>
      </c>
      <c r="CM1" s="407" t="s">
        <v>474</v>
      </c>
      <c r="CN1" s="407" t="s">
        <v>475</v>
      </c>
      <c r="CO1" s="407" t="s">
        <v>476</v>
      </c>
      <c r="CP1" s="407" t="s">
        <v>477</v>
      </c>
      <c r="CQ1" s="407" t="s">
        <v>478</v>
      </c>
      <c r="CR1" s="407" t="s">
        <v>479</v>
      </c>
      <c r="CS1" s="407" t="s">
        <v>480</v>
      </c>
      <c r="CT1" s="407" t="s">
        <v>481</v>
      </c>
      <c r="CU1" s="407" t="s">
        <v>482</v>
      </c>
      <c r="CV1" s="407" t="s">
        <v>483</v>
      </c>
      <c r="CW1" s="407" t="s">
        <v>484</v>
      </c>
      <c r="CX1" s="407" t="s">
        <v>485</v>
      </c>
      <c r="CY1" s="407" t="s">
        <v>486</v>
      </c>
      <c r="CZ1" s="407" t="s">
        <v>487</v>
      </c>
      <c r="DA1" s="407" t="s">
        <v>488</v>
      </c>
      <c r="DB1" s="407" t="s">
        <v>489</v>
      </c>
      <c r="DC1" s="407" t="s">
        <v>490</v>
      </c>
      <c r="DD1" s="407" t="s">
        <v>491</v>
      </c>
      <c r="DE1" s="407" t="s">
        <v>492</v>
      </c>
      <c r="DF1" s="407" t="s">
        <v>493</v>
      </c>
      <c r="DG1" s="407" t="s">
        <v>223</v>
      </c>
      <c r="DH1" s="407" t="s">
        <v>494</v>
      </c>
      <c r="DI1" s="407" t="s">
        <v>495</v>
      </c>
      <c r="DJ1" s="407" t="s">
        <v>496</v>
      </c>
      <c r="DK1" s="407" t="s">
        <v>497</v>
      </c>
      <c r="DL1" s="407" t="s">
        <v>250</v>
      </c>
      <c r="DM1" s="407" t="s">
        <v>498</v>
      </c>
      <c r="DN1" s="407" t="s">
        <v>499</v>
      </c>
      <c r="DO1" s="407" t="s">
        <v>289</v>
      </c>
      <c r="DP1" s="407" t="s">
        <v>500</v>
      </c>
      <c r="DQ1" s="407" t="s">
        <v>501</v>
      </c>
      <c r="DR1" s="407" t="s">
        <v>502</v>
      </c>
      <c r="DS1" s="407" t="s">
        <v>503</v>
      </c>
      <c r="DT1" s="407" t="s">
        <v>504</v>
      </c>
      <c r="DU1" s="407" t="s">
        <v>505</v>
      </c>
      <c r="DV1" s="407" t="s">
        <v>506</v>
      </c>
      <c r="DW1" s="407" t="s">
        <v>507</v>
      </c>
      <c r="DX1" s="407" t="s">
        <v>129</v>
      </c>
      <c r="DY1" s="407" t="s">
        <v>508</v>
      </c>
      <c r="DZ1" s="407" t="s">
        <v>509</v>
      </c>
      <c r="EA1" s="407" t="s">
        <v>510</v>
      </c>
      <c r="EB1" s="407" t="s">
        <v>511</v>
      </c>
      <c r="EC1" s="407" t="s">
        <v>512</v>
      </c>
      <c r="ED1" s="407" t="s">
        <v>513</v>
      </c>
      <c r="EE1" s="407" t="s">
        <v>514</v>
      </c>
      <c r="EF1" s="407" t="s">
        <v>240</v>
      </c>
      <c r="EG1" s="407" t="s">
        <v>515</v>
      </c>
      <c r="EH1" s="407" t="s">
        <v>516</v>
      </c>
      <c r="EI1" s="407" t="s">
        <v>238</v>
      </c>
      <c r="EJ1" s="407" t="s">
        <v>517</v>
      </c>
      <c r="EK1" s="407" t="s">
        <v>518</v>
      </c>
      <c r="EL1" s="407" t="s">
        <v>519</v>
      </c>
      <c r="EM1" s="407" t="s">
        <v>520</v>
      </c>
      <c r="EN1" s="407" t="s">
        <v>521</v>
      </c>
      <c r="EO1" s="408" t="s">
        <v>522</v>
      </c>
      <c r="EP1" s="407" t="s">
        <v>523</v>
      </c>
      <c r="EQ1" s="407" t="s">
        <v>524</v>
      </c>
      <c r="ER1" s="407" t="s">
        <v>525</v>
      </c>
      <c r="ES1" s="407" t="s">
        <v>526</v>
      </c>
      <c r="ET1" s="407" t="s">
        <v>527</v>
      </c>
      <c r="EU1" s="407" t="s">
        <v>528</v>
      </c>
      <c r="EV1" s="407" t="s">
        <v>529</v>
      </c>
      <c r="EW1" s="407" t="s">
        <v>530</v>
      </c>
      <c r="EX1" s="407" t="s">
        <v>531</v>
      </c>
      <c r="EY1" s="407" t="s">
        <v>532</v>
      </c>
      <c r="EZ1" s="407" t="s">
        <v>533</v>
      </c>
      <c r="FA1" s="407" t="s">
        <v>534</v>
      </c>
      <c r="FB1" s="407" t="s">
        <v>535</v>
      </c>
      <c r="FC1" s="407" t="s">
        <v>536</v>
      </c>
      <c r="FD1" s="407" t="s">
        <v>537</v>
      </c>
      <c r="FE1" s="407" t="s">
        <v>538</v>
      </c>
      <c r="FF1" s="407" t="s">
        <v>539</v>
      </c>
      <c r="FG1" s="407" t="s">
        <v>540</v>
      </c>
      <c r="FH1" s="407" t="s">
        <v>58</v>
      </c>
      <c r="FI1" s="407" t="s">
        <v>541</v>
      </c>
      <c r="FJ1" s="407" t="s">
        <v>542</v>
      </c>
      <c r="FK1" s="407" t="s">
        <v>543</v>
      </c>
      <c r="FL1" s="407" t="s">
        <v>544</v>
      </c>
      <c r="FM1" s="407" t="s">
        <v>545</v>
      </c>
      <c r="FN1" s="407" t="s">
        <v>546</v>
      </c>
      <c r="FO1" s="407" t="s">
        <v>547</v>
      </c>
      <c r="FP1" s="407" t="s">
        <v>548</v>
      </c>
      <c r="FQ1" s="407" t="s">
        <v>549</v>
      </c>
      <c r="FR1" s="407" t="s">
        <v>550</v>
      </c>
      <c r="FS1" s="407" t="s">
        <v>551</v>
      </c>
      <c r="FT1" s="407" t="s">
        <v>552</v>
      </c>
      <c r="FU1" s="407" t="s">
        <v>553</v>
      </c>
      <c r="FV1" s="407" t="s">
        <v>554</v>
      </c>
      <c r="FW1" s="407" t="s">
        <v>555</v>
      </c>
      <c r="FX1" s="407" t="s">
        <v>556</v>
      </c>
      <c r="FY1" s="407" t="s">
        <v>557</v>
      </c>
      <c r="FZ1" s="407" t="s">
        <v>558</v>
      </c>
      <c r="GA1" s="407" t="s">
        <v>559</v>
      </c>
      <c r="GB1" s="407" t="s">
        <v>560</v>
      </c>
      <c r="GC1" s="407" t="s">
        <v>561</v>
      </c>
      <c r="GD1" s="407" t="s">
        <v>562</v>
      </c>
      <c r="GE1" s="407" t="s">
        <v>563</v>
      </c>
      <c r="GF1" s="407" t="s">
        <v>564</v>
      </c>
      <c r="GG1" s="407" t="s">
        <v>565</v>
      </c>
      <c r="GH1" s="407" t="s">
        <v>566</v>
      </c>
      <c r="GI1" s="407" t="s">
        <v>567</v>
      </c>
      <c r="GJ1" s="407" t="s">
        <v>568</v>
      </c>
      <c r="GK1" s="407" t="s">
        <v>569</v>
      </c>
      <c r="GL1" s="407" t="s">
        <v>570</v>
      </c>
      <c r="GM1" s="407" t="s">
        <v>126</v>
      </c>
      <c r="GN1" s="407" t="s">
        <v>571</v>
      </c>
      <c r="GO1" s="407" t="s">
        <v>572</v>
      </c>
      <c r="GP1" s="407" t="s">
        <v>573</v>
      </c>
      <c r="GQ1" s="407" t="s">
        <v>574</v>
      </c>
      <c r="GR1" s="407" t="s">
        <v>575</v>
      </c>
      <c r="GS1" s="407" t="s">
        <v>576</v>
      </c>
      <c r="GT1" s="407" t="s">
        <v>577</v>
      </c>
      <c r="GU1" s="407" t="s">
        <v>578</v>
      </c>
      <c r="GV1" s="407" t="s">
        <v>579</v>
      </c>
      <c r="GW1" s="407" t="s">
        <v>580</v>
      </c>
      <c r="GX1" s="407" t="s">
        <v>232</v>
      </c>
      <c r="GY1" s="407" t="s">
        <v>581</v>
      </c>
      <c r="GZ1" s="407" t="s">
        <v>582</v>
      </c>
      <c r="HA1" s="407" t="s">
        <v>583</v>
      </c>
      <c r="HB1" s="407" t="s">
        <v>584</v>
      </c>
      <c r="HC1" s="407" t="s">
        <v>226</v>
      </c>
      <c r="HD1" s="407" t="s">
        <v>585</v>
      </c>
      <c r="HE1" s="407" t="s">
        <v>586</v>
      </c>
      <c r="HF1" s="407" t="s">
        <v>587</v>
      </c>
      <c r="HG1" s="407" t="s">
        <v>588</v>
      </c>
      <c r="HH1" s="407" t="s">
        <v>589</v>
      </c>
      <c r="HI1" s="407" t="s">
        <v>590</v>
      </c>
      <c r="HJ1" s="407" t="s">
        <v>591</v>
      </c>
      <c r="HK1" s="407" t="s">
        <v>104</v>
      </c>
      <c r="HL1" s="407" t="s">
        <v>592</v>
      </c>
      <c r="HM1" s="407" t="s">
        <v>593</v>
      </c>
      <c r="HN1" s="407" t="s">
        <v>594</v>
      </c>
      <c r="HO1" s="407" t="s">
        <v>235</v>
      </c>
      <c r="HP1" s="407" t="s">
        <v>595</v>
      </c>
      <c r="HQ1" s="407" t="s">
        <v>596</v>
      </c>
      <c r="HR1" s="407" t="s">
        <v>597</v>
      </c>
      <c r="HS1" s="407" t="s">
        <v>598</v>
      </c>
      <c r="HT1" s="407" t="s">
        <v>599</v>
      </c>
      <c r="HU1" s="407" t="s">
        <v>600</v>
      </c>
      <c r="HV1" s="407" t="s">
        <v>601</v>
      </c>
      <c r="HW1" s="407" t="s">
        <v>602</v>
      </c>
      <c r="HX1" s="407" t="s">
        <v>603</v>
      </c>
      <c r="HY1" s="407" t="s">
        <v>604</v>
      </c>
      <c r="HZ1" s="407" t="s">
        <v>605</v>
      </c>
      <c r="IA1" s="407" t="s">
        <v>606</v>
      </c>
      <c r="IB1" s="407" t="s">
        <v>607</v>
      </c>
      <c r="IC1" s="407" t="s">
        <v>608</v>
      </c>
      <c r="ID1" s="407" t="s">
        <v>609</v>
      </c>
      <c r="IE1" s="407" t="s">
        <v>610</v>
      </c>
      <c r="IF1" s="407" t="s">
        <v>611</v>
      </c>
      <c r="IG1" s="407" t="s">
        <v>612</v>
      </c>
      <c r="IH1" s="407" t="s">
        <v>613</v>
      </c>
      <c r="II1" s="407" t="s">
        <v>614</v>
      </c>
      <c r="IJ1" s="407" t="s">
        <v>615</v>
      </c>
      <c r="IK1" s="407" t="s">
        <v>616</v>
      </c>
      <c r="IL1" s="407" t="s">
        <v>617</v>
      </c>
      <c r="IM1" s="407" t="s">
        <v>618</v>
      </c>
      <c r="IN1" s="407" t="s">
        <v>619</v>
      </c>
      <c r="IO1" s="407" t="s">
        <v>620</v>
      </c>
      <c r="IP1" s="407" t="s">
        <v>621</v>
      </c>
      <c r="IQ1" s="407" t="s">
        <v>622</v>
      </c>
      <c r="IR1" s="407" t="s">
        <v>623</v>
      </c>
      <c r="IS1" s="407" t="s">
        <v>624</v>
      </c>
      <c r="IT1" s="407" t="s">
        <v>625</v>
      </c>
      <c r="IU1" s="407" t="s">
        <v>626</v>
      </c>
      <c r="IV1" s="407" t="s">
        <v>627</v>
      </c>
      <c r="IW1" s="407" t="s">
        <v>628</v>
      </c>
      <c r="IX1" s="407" t="s">
        <v>629</v>
      </c>
      <c r="IY1" s="407" t="s">
        <v>630</v>
      </c>
      <c r="IZ1" s="407" t="s">
        <v>631</v>
      </c>
      <c r="JA1" s="407" t="s">
        <v>632</v>
      </c>
      <c r="JB1" s="407" t="s">
        <v>633</v>
      </c>
      <c r="JC1" s="407" t="s">
        <v>634</v>
      </c>
      <c r="JD1" s="407" t="s">
        <v>635</v>
      </c>
      <c r="JE1" s="407" t="s">
        <v>636</v>
      </c>
      <c r="JF1" s="407" t="s">
        <v>637</v>
      </c>
      <c r="JG1" s="407" t="s">
        <v>638</v>
      </c>
      <c r="JH1" s="407" t="s">
        <v>639</v>
      </c>
      <c r="JI1" s="407" t="s">
        <v>85</v>
      </c>
      <c r="JJ1" s="407" t="s">
        <v>640</v>
      </c>
      <c r="JK1" s="407" t="s">
        <v>641</v>
      </c>
      <c r="JL1" s="407" t="s">
        <v>642</v>
      </c>
      <c r="JM1" s="407" t="s">
        <v>643</v>
      </c>
      <c r="JN1" s="407" t="s">
        <v>644</v>
      </c>
      <c r="JO1" s="407" t="s">
        <v>645</v>
      </c>
      <c r="JP1" s="407" t="s">
        <v>646</v>
      </c>
      <c r="JQ1" s="407" t="s">
        <v>647</v>
      </c>
      <c r="JR1" s="407" t="s">
        <v>648</v>
      </c>
      <c r="JS1" s="407" t="s">
        <v>649</v>
      </c>
      <c r="JT1" s="407" t="s">
        <v>650</v>
      </c>
      <c r="JU1" s="407" t="s">
        <v>651</v>
      </c>
      <c r="JV1" s="407" t="s">
        <v>652</v>
      </c>
      <c r="JW1" s="407" t="s">
        <v>653</v>
      </c>
      <c r="JX1" s="407" t="s">
        <v>654</v>
      </c>
      <c r="JY1" s="407" t="s">
        <v>655</v>
      </c>
      <c r="JZ1" s="407" t="s">
        <v>656</v>
      </c>
      <c r="KA1" s="407" t="s">
        <v>657</v>
      </c>
      <c r="KB1" s="407" t="s">
        <v>264</v>
      </c>
      <c r="KC1" s="407" t="s">
        <v>658</v>
      </c>
      <c r="KD1" s="407" t="s">
        <v>659</v>
      </c>
      <c r="KE1" s="407" t="s">
        <v>660</v>
      </c>
      <c r="KF1" s="407" t="s">
        <v>661</v>
      </c>
      <c r="KG1" s="407" t="s">
        <v>662</v>
      </c>
      <c r="KH1" s="407" t="s">
        <v>663</v>
      </c>
      <c r="KI1" s="407" t="s">
        <v>664</v>
      </c>
      <c r="KJ1" s="407" t="s">
        <v>665</v>
      </c>
      <c r="KK1" s="407" t="s">
        <v>666</v>
      </c>
      <c r="KL1" s="407" t="s">
        <v>667</v>
      </c>
      <c r="KM1" s="407" t="s">
        <v>668</v>
      </c>
      <c r="KN1" s="407" t="s">
        <v>669</v>
      </c>
      <c r="KO1" s="407" t="s">
        <v>670</v>
      </c>
      <c r="KP1" s="407" t="s">
        <v>671</v>
      </c>
      <c r="KQ1" s="407" t="s">
        <v>672</v>
      </c>
      <c r="KR1" s="407" t="s">
        <v>673</v>
      </c>
      <c r="KS1" s="407" t="s">
        <v>674</v>
      </c>
      <c r="KT1" s="407" t="s">
        <v>675</v>
      </c>
      <c r="KU1" s="407" t="s">
        <v>676</v>
      </c>
      <c r="KV1" s="407" t="s">
        <v>677</v>
      </c>
      <c r="KW1" s="407" t="s">
        <v>678</v>
      </c>
      <c r="KX1" s="407" t="s">
        <v>679</v>
      </c>
      <c r="KY1" s="407" t="s">
        <v>680</v>
      </c>
      <c r="KZ1" s="407" t="s">
        <v>681</v>
      </c>
      <c r="LA1" s="407" t="s">
        <v>285</v>
      </c>
      <c r="LB1" s="407" t="s">
        <v>682</v>
      </c>
      <c r="LC1" s="407" t="s">
        <v>683</v>
      </c>
      <c r="LD1" s="407" t="s">
        <v>684</v>
      </c>
      <c r="LE1" s="407" t="s">
        <v>128</v>
      </c>
      <c r="LF1" s="407" t="s">
        <v>685</v>
      </c>
      <c r="LG1" s="407" t="s">
        <v>686</v>
      </c>
      <c r="LH1" s="407" t="s">
        <v>687</v>
      </c>
      <c r="LI1" s="407" t="s">
        <v>688</v>
      </c>
      <c r="LJ1" s="407" t="s">
        <v>224</v>
      </c>
      <c r="LK1" s="407" t="s">
        <v>689</v>
      </c>
      <c r="LL1" s="407" t="s">
        <v>690</v>
      </c>
      <c r="LM1" s="407" t="s">
        <v>691</v>
      </c>
      <c r="LN1" s="407" t="s">
        <v>692</v>
      </c>
      <c r="LO1" s="407" t="s">
        <v>693</v>
      </c>
      <c r="LP1" s="407" t="s">
        <v>694</v>
      </c>
      <c r="LQ1" s="407" t="s">
        <v>695</v>
      </c>
      <c r="LR1" s="407" t="s">
        <v>696</v>
      </c>
      <c r="LS1" s="407" t="s">
        <v>697</v>
      </c>
      <c r="LT1" s="407" t="s">
        <v>698</v>
      </c>
      <c r="LU1" s="407" t="s">
        <v>699</v>
      </c>
      <c r="LV1" s="407" t="s">
        <v>700</v>
      </c>
      <c r="LW1" s="407" t="s">
        <v>701</v>
      </c>
      <c r="LX1" s="407" t="s">
        <v>702</v>
      </c>
      <c r="LY1" s="407" t="s">
        <v>703</v>
      </c>
      <c r="LZ1" s="407" t="s">
        <v>704</v>
      </c>
      <c r="MA1" s="407" t="s">
        <v>705</v>
      </c>
      <c r="MB1" s="407" t="s">
        <v>706</v>
      </c>
      <c r="MC1" s="407" t="s">
        <v>707</v>
      </c>
      <c r="MD1" s="407" t="s">
        <v>708</v>
      </c>
      <c r="ME1" s="407" t="s">
        <v>709</v>
      </c>
      <c r="MF1" s="407" t="s">
        <v>710</v>
      </c>
      <c r="MG1" s="407" t="s">
        <v>711</v>
      </c>
      <c r="MH1" s="407" t="s">
        <v>712</v>
      </c>
      <c r="MI1" s="407" t="s">
        <v>713</v>
      </c>
      <c r="MJ1" s="407" t="s">
        <v>714</v>
      </c>
      <c r="MK1" s="407" t="s">
        <v>715</v>
      </c>
      <c r="ML1" s="407" t="s">
        <v>716</v>
      </c>
      <c r="MM1" s="407" t="s">
        <v>717</v>
      </c>
      <c r="MN1" s="407" t="s">
        <v>718</v>
      </c>
      <c r="MO1" s="407" t="s">
        <v>719</v>
      </c>
      <c r="MP1" s="407" t="s">
        <v>720</v>
      </c>
      <c r="MQ1" s="407" t="s">
        <v>721</v>
      </c>
      <c r="MR1" s="407" t="s">
        <v>722</v>
      </c>
      <c r="MS1" s="407" t="s">
        <v>723</v>
      </c>
      <c r="MT1" s="407" t="s">
        <v>724</v>
      </c>
      <c r="MU1" s="407" t="s">
        <v>725</v>
      </c>
      <c r="MV1" s="407" t="s">
        <v>726</v>
      </c>
      <c r="MW1" s="407" t="s">
        <v>727</v>
      </c>
      <c r="MX1" s="407" t="s">
        <v>728</v>
      </c>
      <c r="MY1" s="407" t="s">
        <v>729</v>
      </c>
      <c r="MZ1" s="407" t="s">
        <v>730</v>
      </c>
      <c r="NA1" s="407" t="s">
        <v>731</v>
      </c>
      <c r="NB1" s="407" t="s">
        <v>194</v>
      </c>
      <c r="NC1" s="407" t="s">
        <v>732</v>
      </c>
      <c r="ND1" s="407" t="s">
        <v>733</v>
      </c>
      <c r="NE1" s="407" t="s">
        <v>734</v>
      </c>
      <c r="NF1" s="407" t="s">
        <v>735</v>
      </c>
      <c r="NG1" s="407" t="s">
        <v>736</v>
      </c>
      <c r="NH1" s="407" t="s">
        <v>737</v>
      </c>
      <c r="NI1" s="407" t="s">
        <v>738</v>
      </c>
      <c r="NJ1" s="407" t="s">
        <v>739</v>
      </c>
      <c r="NK1" s="407" t="s">
        <v>740</v>
      </c>
      <c r="NL1" s="407" t="s">
        <v>741</v>
      </c>
      <c r="NM1" s="407" t="s">
        <v>742</v>
      </c>
      <c r="NN1" s="407" t="s">
        <v>743</v>
      </c>
      <c r="NO1" s="407" t="s">
        <v>744</v>
      </c>
      <c r="NP1" s="407" t="s">
        <v>745</v>
      </c>
      <c r="NQ1" s="407" t="s">
        <v>106</v>
      </c>
      <c r="NR1" s="407" t="s">
        <v>746</v>
      </c>
      <c r="NS1" s="407" t="s">
        <v>747</v>
      </c>
      <c r="NT1" s="407" t="s">
        <v>748</v>
      </c>
      <c r="NU1" s="407" t="s">
        <v>749</v>
      </c>
      <c r="NV1" s="407" t="s">
        <v>750</v>
      </c>
      <c r="NW1" s="407" t="s">
        <v>751</v>
      </c>
      <c r="NX1" s="407" t="s">
        <v>752</v>
      </c>
      <c r="NY1" s="407" t="s">
        <v>753</v>
      </c>
      <c r="NZ1" s="407" t="s">
        <v>754</v>
      </c>
      <c r="OA1" s="407" t="s">
        <v>755</v>
      </c>
      <c r="OB1" s="407" t="s">
        <v>756</v>
      </c>
      <c r="OC1" s="407" t="s">
        <v>757</v>
      </c>
      <c r="OD1" s="407" t="s">
        <v>758</v>
      </c>
      <c r="OE1" s="407" t="s">
        <v>759</v>
      </c>
      <c r="OF1" s="407" t="s">
        <v>760</v>
      </c>
      <c r="OG1" s="407" t="s">
        <v>761</v>
      </c>
      <c r="OH1" s="407" t="s">
        <v>762</v>
      </c>
      <c r="OI1" s="407" t="s">
        <v>763</v>
      </c>
      <c r="OJ1" s="407" t="s">
        <v>764</v>
      </c>
      <c r="OK1" s="407" t="s">
        <v>765</v>
      </c>
      <c r="OL1" s="407" t="s">
        <v>766</v>
      </c>
      <c r="OM1" s="407" t="s">
        <v>767</v>
      </c>
      <c r="ON1" s="407" t="s">
        <v>768</v>
      </c>
      <c r="OO1" s="407" t="s">
        <v>769</v>
      </c>
      <c r="OP1" s="407" t="s">
        <v>770</v>
      </c>
      <c r="OQ1" s="407" t="s">
        <v>771</v>
      </c>
      <c r="OR1" s="407" t="s">
        <v>772</v>
      </c>
      <c r="OS1" s="407" t="s">
        <v>773</v>
      </c>
      <c r="OT1" s="407" t="s">
        <v>774</v>
      </c>
      <c r="OU1" s="407" t="s">
        <v>775</v>
      </c>
      <c r="OV1" s="407" t="s">
        <v>776</v>
      </c>
      <c r="OW1" s="407" t="s">
        <v>777</v>
      </c>
      <c r="OX1" s="407" t="s">
        <v>778</v>
      </c>
      <c r="OY1" s="407" t="s">
        <v>779</v>
      </c>
      <c r="OZ1" s="407" t="s">
        <v>780</v>
      </c>
      <c r="PA1" s="407" t="s">
        <v>781</v>
      </c>
      <c r="PB1" s="407" t="s">
        <v>782</v>
      </c>
      <c r="PC1" s="407" t="s">
        <v>783</v>
      </c>
      <c r="PD1" s="407" t="s">
        <v>784</v>
      </c>
      <c r="PE1" s="407" t="s">
        <v>785</v>
      </c>
      <c r="PF1" s="407" t="s">
        <v>786</v>
      </c>
      <c r="PG1" s="407" t="s">
        <v>787</v>
      </c>
      <c r="PH1" s="407" t="s">
        <v>788</v>
      </c>
      <c r="PI1" s="407" t="s">
        <v>789</v>
      </c>
      <c r="PJ1" s="407" t="s">
        <v>790</v>
      </c>
      <c r="PK1" s="407" t="s">
        <v>791</v>
      </c>
      <c r="PL1" s="407" t="s">
        <v>792</v>
      </c>
      <c r="PM1" s="407" t="s">
        <v>793</v>
      </c>
      <c r="PN1" s="407" t="s">
        <v>794</v>
      </c>
      <c r="PO1" s="407" t="s">
        <v>795</v>
      </c>
      <c r="PP1" s="407" t="s">
        <v>796</v>
      </c>
      <c r="PQ1" s="407" t="s">
        <v>797</v>
      </c>
      <c r="PR1" s="407" t="s">
        <v>798</v>
      </c>
      <c r="PS1" s="407" t="s">
        <v>799</v>
      </c>
      <c r="PT1" s="407" t="s">
        <v>800</v>
      </c>
      <c r="PU1" s="407" t="s">
        <v>801</v>
      </c>
      <c r="PV1" s="407" t="s">
        <v>802</v>
      </c>
      <c r="PW1" s="407" t="s">
        <v>803</v>
      </c>
      <c r="PX1" s="407" t="s">
        <v>804</v>
      </c>
      <c r="PY1" s="407" t="s">
        <v>805</v>
      </c>
      <c r="PZ1" s="407" t="s">
        <v>806</v>
      </c>
      <c r="QA1" s="407" t="s">
        <v>807</v>
      </c>
      <c r="QB1" s="407" t="s">
        <v>808</v>
      </c>
      <c r="QC1" s="407" t="s">
        <v>809</v>
      </c>
      <c r="QD1" s="407" t="s">
        <v>810</v>
      </c>
      <c r="QE1" s="407" t="s">
        <v>811</v>
      </c>
      <c r="QF1" s="407" t="s">
        <v>812</v>
      </c>
      <c r="QG1" s="407" t="s">
        <v>813</v>
      </c>
      <c r="QH1" s="407" t="s">
        <v>814</v>
      </c>
      <c r="QI1" s="407" t="s">
        <v>815</v>
      </c>
      <c r="QJ1" s="407" t="s">
        <v>816</v>
      </c>
      <c r="QK1" s="407" t="s">
        <v>817</v>
      </c>
      <c r="QL1" s="407" t="s">
        <v>818</v>
      </c>
      <c r="QM1" s="407" t="s">
        <v>819</v>
      </c>
      <c r="QN1" s="407" t="s">
        <v>820</v>
      </c>
      <c r="QO1" s="407" t="s">
        <v>821</v>
      </c>
      <c r="QP1" s="407" t="s">
        <v>822</v>
      </c>
      <c r="QQ1" s="407" t="s">
        <v>823</v>
      </c>
      <c r="QR1" s="407" t="s">
        <v>824</v>
      </c>
      <c r="QS1" s="407" t="s">
        <v>825</v>
      </c>
      <c r="QT1" s="407" t="s">
        <v>826</v>
      </c>
      <c r="QU1" s="407" t="s">
        <v>827</v>
      </c>
      <c r="QV1" s="407" t="s">
        <v>828</v>
      </c>
      <c r="QW1" s="407" t="s">
        <v>829</v>
      </c>
      <c r="QX1" s="407" t="s">
        <v>830</v>
      </c>
      <c r="QY1" s="407" t="s">
        <v>831</v>
      </c>
      <c r="QZ1" s="407" t="s">
        <v>832</v>
      </c>
      <c r="RA1" s="407" t="s">
        <v>833</v>
      </c>
      <c r="RB1" s="407" t="s">
        <v>834</v>
      </c>
      <c r="RC1" s="407" t="s">
        <v>835</v>
      </c>
      <c r="RD1" s="407" t="s">
        <v>836</v>
      </c>
      <c r="RE1" s="407" t="s">
        <v>837</v>
      </c>
      <c r="RF1" s="407" t="s">
        <v>838</v>
      </c>
      <c r="RG1" s="407" t="s">
        <v>280</v>
      </c>
      <c r="RH1" s="407" t="s">
        <v>839</v>
      </c>
      <c r="RI1" s="407" t="s">
        <v>840</v>
      </c>
      <c r="RJ1" s="407" t="s">
        <v>841</v>
      </c>
      <c r="RK1" s="407" t="s">
        <v>842</v>
      </c>
      <c r="RL1" s="407" t="s">
        <v>843</v>
      </c>
      <c r="RM1" s="407" t="s">
        <v>844</v>
      </c>
      <c r="RN1" s="407" t="s">
        <v>845</v>
      </c>
      <c r="RO1" s="407" t="s">
        <v>846</v>
      </c>
      <c r="RP1" s="407" t="s">
        <v>847</v>
      </c>
      <c r="RQ1" s="407" t="s">
        <v>848</v>
      </c>
      <c r="RR1" s="407" t="s">
        <v>849</v>
      </c>
      <c r="RS1" s="407" t="s">
        <v>231</v>
      </c>
      <c r="RT1" s="407" t="s">
        <v>850</v>
      </c>
      <c r="RU1" s="407" t="s">
        <v>851</v>
      </c>
      <c r="RV1" s="407" t="s">
        <v>852</v>
      </c>
      <c r="RW1" s="407" t="s">
        <v>853</v>
      </c>
      <c r="RX1" s="407" t="s">
        <v>854</v>
      </c>
      <c r="RY1" s="407" t="s">
        <v>855</v>
      </c>
      <c r="RZ1" s="407" t="s">
        <v>856</v>
      </c>
      <c r="SA1" s="407" t="s">
        <v>857</v>
      </c>
      <c r="SB1" s="407" t="s">
        <v>858</v>
      </c>
      <c r="SC1" s="407" t="s">
        <v>229</v>
      </c>
      <c r="SD1" s="407" t="s">
        <v>859</v>
      </c>
      <c r="SE1" s="407" t="s">
        <v>860</v>
      </c>
      <c r="SF1" s="407" t="s">
        <v>861</v>
      </c>
      <c r="SG1" s="407" t="s">
        <v>862</v>
      </c>
      <c r="SH1" s="407" t="s">
        <v>863</v>
      </c>
      <c r="SI1" s="407" t="s">
        <v>864</v>
      </c>
      <c r="SJ1" s="407" t="s">
        <v>865</v>
      </c>
      <c r="SK1" s="407" t="s">
        <v>866</v>
      </c>
      <c r="SL1" s="407" t="s">
        <v>867</v>
      </c>
      <c r="SM1" s="407" t="s">
        <v>868</v>
      </c>
      <c r="SN1" s="407" t="s">
        <v>869</v>
      </c>
      <c r="SO1" s="407" t="s">
        <v>870</v>
      </c>
      <c r="SP1" s="407" t="s">
        <v>871</v>
      </c>
      <c r="SQ1" s="407" t="s">
        <v>872</v>
      </c>
      <c r="SR1" s="407" t="s">
        <v>873</v>
      </c>
      <c r="SS1" s="407" t="s">
        <v>874</v>
      </c>
      <c r="ST1" s="407" t="s">
        <v>875</v>
      </c>
      <c r="SU1" s="407" t="s">
        <v>876</v>
      </c>
      <c r="SV1" s="407" t="s">
        <v>877</v>
      </c>
      <c r="SW1" s="407" t="s">
        <v>878</v>
      </c>
      <c r="SX1" s="407" t="s">
        <v>879</v>
      </c>
      <c r="SY1" s="407" t="s">
        <v>348</v>
      </c>
      <c r="SZ1" s="407" t="s">
        <v>880</v>
      </c>
      <c r="TA1" s="407" t="s">
        <v>881</v>
      </c>
      <c r="TB1" s="407" t="s">
        <v>882</v>
      </c>
      <c r="TC1" s="407" t="s">
        <v>883</v>
      </c>
      <c r="TD1" s="407" t="s">
        <v>884</v>
      </c>
      <c r="TE1" s="407" t="s">
        <v>885</v>
      </c>
      <c r="TF1" s="407" t="s">
        <v>886</v>
      </c>
      <c r="TG1" s="407" t="s">
        <v>887</v>
      </c>
      <c r="TH1" s="407" t="s">
        <v>888</v>
      </c>
      <c r="TI1" s="407" t="s">
        <v>889</v>
      </c>
      <c r="TJ1" s="407" t="s">
        <v>890</v>
      </c>
      <c r="TK1" s="407" t="s">
        <v>891</v>
      </c>
      <c r="TL1" s="407" t="s">
        <v>892</v>
      </c>
      <c r="TM1" s="407" t="s">
        <v>893</v>
      </c>
      <c r="TN1" s="407" t="s">
        <v>894</v>
      </c>
      <c r="TO1" s="407" t="s">
        <v>895</v>
      </c>
      <c r="TP1" s="407" t="s">
        <v>896</v>
      </c>
      <c r="TQ1" s="407" t="s">
        <v>897</v>
      </c>
      <c r="TR1" s="407" t="s">
        <v>898</v>
      </c>
      <c r="TS1" s="407" t="s">
        <v>899</v>
      </c>
      <c r="TT1" s="407" t="s">
        <v>900</v>
      </c>
      <c r="TU1" s="407" t="s">
        <v>901</v>
      </c>
      <c r="TV1" s="407" t="s">
        <v>902</v>
      </c>
      <c r="TW1" s="407" t="s">
        <v>903</v>
      </c>
      <c r="TX1" s="407" t="s">
        <v>63</v>
      </c>
      <c r="TY1" s="407" t="s">
        <v>904</v>
      </c>
      <c r="TZ1" s="407" t="s">
        <v>905</v>
      </c>
      <c r="UA1" s="407" t="s">
        <v>906</v>
      </c>
      <c r="UB1" s="407" t="s">
        <v>907</v>
      </c>
      <c r="UC1" s="407" t="s">
        <v>908</v>
      </c>
      <c r="UD1" s="407" t="s">
        <v>909</v>
      </c>
      <c r="UE1" s="407" t="s">
        <v>910</v>
      </c>
      <c r="UF1" s="407" t="s">
        <v>911</v>
      </c>
      <c r="UG1" s="407" t="s">
        <v>912</v>
      </c>
      <c r="UH1" s="407" t="s">
        <v>913</v>
      </c>
      <c r="UI1" s="407" t="s">
        <v>914</v>
      </c>
      <c r="UJ1" s="407" t="s">
        <v>915</v>
      </c>
      <c r="UK1" s="407" t="s">
        <v>916</v>
      </c>
      <c r="UL1" s="407" t="s">
        <v>917</v>
      </c>
      <c r="UM1" s="407" t="s">
        <v>918</v>
      </c>
      <c r="UN1" s="407" t="s">
        <v>919</v>
      </c>
      <c r="UO1" s="407" t="s">
        <v>920</v>
      </c>
      <c r="UP1" s="407" t="s">
        <v>921</v>
      </c>
      <c r="UQ1" s="407" t="s">
        <v>922</v>
      </c>
      <c r="UR1" s="407" t="s">
        <v>923</v>
      </c>
      <c r="US1" s="407" t="s">
        <v>924</v>
      </c>
      <c r="UT1" s="407" t="s">
        <v>133</v>
      </c>
      <c r="UU1" s="407" t="s">
        <v>925</v>
      </c>
      <c r="UV1" s="407" t="s">
        <v>926</v>
      </c>
      <c r="UW1" s="407" t="s">
        <v>927</v>
      </c>
      <c r="UX1" s="407" t="s">
        <v>928</v>
      </c>
      <c r="UY1" s="407" t="s">
        <v>929</v>
      </c>
      <c r="UZ1" s="407" t="s">
        <v>930</v>
      </c>
      <c r="VA1" s="407" t="s">
        <v>931</v>
      </c>
      <c r="VB1" s="407" t="s">
        <v>932</v>
      </c>
      <c r="VC1" s="407" t="s">
        <v>933</v>
      </c>
      <c r="VD1" s="407" t="s">
        <v>331</v>
      </c>
      <c r="VE1" s="407" t="s">
        <v>934</v>
      </c>
      <c r="VF1" s="407" t="s">
        <v>935</v>
      </c>
      <c r="VG1" s="407" t="s">
        <v>936</v>
      </c>
      <c r="VH1" s="407" t="s">
        <v>937</v>
      </c>
      <c r="VI1" s="407" t="s">
        <v>328</v>
      </c>
      <c r="VJ1" s="407" t="s">
        <v>938</v>
      </c>
      <c r="VK1" s="407" t="s">
        <v>939</v>
      </c>
      <c r="VL1" s="407" t="s">
        <v>940</v>
      </c>
      <c r="VM1" s="407" t="s">
        <v>941</v>
      </c>
      <c r="VN1" s="407" t="s">
        <v>942</v>
      </c>
      <c r="VO1" s="407" t="s">
        <v>943</v>
      </c>
      <c r="VP1" s="407" t="s">
        <v>944</v>
      </c>
      <c r="VQ1" s="407" t="s">
        <v>228</v>
      </c>
      <c r="VR1" s="407" t="s">
        <v>945</v>
      </c>
      <c r="VS1" s="407" t="s">
        <v>946</v>
      </c>
      <c r="VT1" s="407" t="s">
        <v>947</v>
      </c>
      <c r="VU1" s="407" t="s">
        <v>948</v>
      </c>
      <c r="VV1" s="407" t="s">
        <v>197</v>
      </c>
      <c r="VW1" s="407" t="s">
        <v>949</v>
      </c>
      <c r="VX1" s="407" t="s">
        <v>950</v>
      </c>
      <c r="VY1" s="407" t="s">
        <v>951</v>
      </c>
      <c r="VZ1" s="407" t="s">
        <v>952</v>
      </c>
      <c r="WA1" s="407" t="s">
        <v>333</v>
      </c>
      <c r="WB1" s="407" t="s">
        <v>953</v>
      </c>
      <c r="WC1" s="407" t="s">
        <v>326</v>
      </c>
      <c r="WD1" s="407" t="s">
        <v>954</v>
      </c>
      <c r="WE1" s="407" t="s">
        <v>955</v>
      </c>
      <c r="WF1" s="407" t="s">
        <v>956</v>
      </c>
      <c r="WG1" s="407" t="s">
        <v>957</v>
      </c>
      <c r="WH1" s="407" t="s">
        <v>958</v>
      </c>
      <c r="WI1" s="407" t="s">
        <v>959</v>
      </c>
      <c r="WJ1" s="407" t="s">
        <v>243</v>
      </c>
      <c r="WK1" s="407" t="s">
        <v>960</v>
      </c>
      <c r="WL1" s="407" t="s">
        <v>961</v>
      </c>
      <c r="WM1" s="407" t="s">
        <v>962</v>
      </c>
      <c r="WN1" s="407" t="s">
        <v>963</v>
      </c>
      <c r="WO1" s="407" t="s">
        <v>964</v>
      </c>
      <c r="WP1" s="407" t="s">
        <v>965</v>
      </c>
      <c r="WQ1" s="407" t="s">
        <v>966</v>
      </c>
      <c r="WR1" s="407" t="s">
        <v>967</v>
      </c>
      <c r="WS1" s="407" t="s">
        <v>968</v>
      </c>
      <c r="WT1" s="407" t="s">
        <v>969</v>
      </c>
      <c r="WU1" s="407" t="s">
        <v>970</v>
      </c>
      <c r="WV1" s="407" t="s">
        <v>971</v>
      </c>
      <c r="WW1" s="407" t="s">
        <v>248</v>
      </c>
      <c r="WX1" s="407" t="s">
        <v>972</v>
      </c>
      <c r="WY1" s="407" t="s">
        <v>304</v>
      </c>
      <c r="WZ1" s="407" t="s">
        <v>973</v>
      </c>
      <c r="XA1" s="407" t="s">
        <v>974</v>
      </c>
      <c r="XB1" s="407" t="s">
        <v>975</v>
      </c>
      <c r="XC1" s="407" t="s">
        <v>976</v>
      </c>
      <c r="XD1" s="407" t="s">
        <v>977</v>
      </c>
      <c r="XE1" s="407" t="s">
        <v>978</v>
      </c>
      <c r="XF1" s="407" t="s">
        <v>979</v>
      </c>
      <c r="XG1" s="407" t="s">
        <v>980</v>
      </c>
      <c r="XH1" s="407" t="s">
        <v>981</v>
      </c>
      <c r="XI1" s="407" t="s">
        <v>982</v>
      </c>
      <c r="XJ1" s="407" t="s">
        <v>983</v>
      </c>
      <c r="XK1" s="407" t="s">
        <v>984</v>
      </c>
      <c r="XL1" s="407" t="s">
        <v>985</v>
      </c>
      <c r="XM1" s="407" t="s">
        <v>986</v>
      </c>
      <c r="XN1" s="407" t="s">
        <v>987</v>
      </c>
      <c r="XO1" s="407" t="s">
        <v>988</v>
      </c>
      <c r="XP1" s="407" t="s">
        <v>989</v>
      </c>
      <c r="XQ1" s="407" t="s">
        <v>990</v>
      </c>
      <c r="XR1" s="407" t="s">
        <v>991</v>
      </c>
      <c r="XS1" s="407" t="s">
        <v>992</v>
      </c>
      <c r="XT1" s="407" t="s">
        <v>993</v>
      </c>
      <c r="XU1" s="407" t="s">
        <v>994</v>
      </c>
      <c r="XV1" s="407" t="s">
        <v>995</v>
      </c>
      <c r="XW1" s="407" t="s">
        <v>996</v>
      </c>
      <c r="XX1" s="407" t="s">
        <v>997</v>
      </c>
      <c r="XY1" s="407" t="s">
        <v>998</v>
      </c>
      <c r="XZ1" s="407" t="s">
        <v>999</v>
      </c>
      <c r="YA1" s="407" t="s">
        <v>1000</v>
      </c>
      <c r="YB1" s="407" t="s">
        <v>1001</v>
      </c>
      <c r="YC1" s="407" t="s">
        <v>1002</v>
      </c>
      <c r="YD1" s="407" t="s">
        <v>1003</v>
      </c>
      <c r="YE1" s="407" t="s">
        <v>1004</v>
      </c>
      <c r="YF1" s="407" t="s">
        <v>1005</v>
      </c>
      <c r="YG1" s="407" t="s">
        <v>1006</v>
      </c>
      <c r="YH1" s="407" t="s">
        <v>1007</v>
      </c>
      <c r="YI1" s="407" t="s">
        <v>1008</v>
      </c>
      <c r="YJ1" s="407" t="s">
        <v>1009</v>
      </c>
      <c r="YK1" s="407" t="s">
        <v>1010</v>
      </c>
      <c r="YL1" s="407" t="s">
        <v>1011</v>
      </c>
      <c r="YM1" s="407" t="s">
        <v>1012</v>
      </c>
      <c r="YN1" s="407" t="s">
        <v>1013</v>
      </c>
      <c r="YO1" s="407" t="s">
        <v>1014</v>
      </c>
      <c r="YP1" s="407" t="s">
        <v>1015</v>
      </c>
      <c r="YQ1" s="407" t="s">
        <v>1016</v>
      </c>
      <c r="YR1" s="407" t="s">
        <v>198</v>
      </c>
      <c r="YS1" s="407" t="s">
        <v>107</v>
      </c>
      <c r="YT1" s="407" t="s">
        <v>1017</v>
      </c>
      <c r="YU1" s="407" t="s">
        <v>1018</v>
      </c>
      <c r="YV1" s="407" t="s">
        <v>1019</v>
      </c>
      <c r="YW1" s="407" t="s">
        <v>125</v>
      </c>
      <c r="YX1" s="407" t="s">
        <v>1020</v>
      </c>
      <c r="YY1" s="407" t="s">
        <v>1021</v>
      </c>
      <c r="YZ1" s="407" t="s">
        <v>1022</v>
      </c>
      <c r="ZA1" s="407" t="s">
        <v>1023</v>
      </c>
      <c r="ZB1" s="407" t="s">
        <v>1024</v>
      </c>
      <c r="ZC1" s="407" t="s">
        <v>1025</v>
      </c>
      <c r="ZD1" s="407" t="s">
        <v>1026</v>
      </c>
      <c r="ZE1" s="407" t="s">
        <v>1027</v>
      </c>
      <c r="ZF1" s="407" t="s">
        <v>1028</v>
      </c>
      <c r="ZG1" s="407" t="s">
        <v>1029</v>
      </c>
      <c r="ZH1" s="407" t="s">
        <v>114</v>
      </c>
      <c r="ZI1" s="407" t="s">
        <v>1030</v>
      </c>
      <c r="ZJ1" s="407" t="s">
        <v>1031</v>
      </c>
      <c r="ZK1" s="407" t="s">
        <v>168</v>
      </c>
      <c r="ZL1" s="407" t="s">
        <v>1032</v>
      </c>
      <c r="ZM1" s="407" t="s">
        <v>1033</v>
      </c>
      <c r="ZN1" s="407" t="s">
        <v>1034</v>
      </c>
      <c r="ZO1" s="407" t="s">
        <v>273</v>
      </c>
      <c r="ZP1" s="407" t="s">
        <v>1035</v>
      </c>
      <c r="ZQ1" s="407" t="s">
        <v>1036</v>
      </c>
      <c r="ZR1" s="407" t="s">
        <v>1037</v>
      </c>
      <c r="ZS1" s="407" t="s">
        <v>116</v>
      </c>
      <c r="ZT1" s="407" t="s">
        <v>253</v>
      </c>
      <c r="ZU1" s="407" t="s">
        <v>1038</v>
      </c>
      <c r="ZV1" s="407" t="s">
        <v>1039</v>
      </c>
      <c r="ZW1" s="407" t="s">
        <v>1040</v>
      </c>
      <c r="ZX1" s="407" t="s">
        <v>1041</v>
      </c>
      <c r="ZY1" s="407" t="s">
        <v>1042</v>
      </c>
      <c r="ZZ1" s="407" t="s">
        <v>1043</v>
      </c>
      <c r="AAA1" s="407" t="s">
        <v>1044</v>
      </c>
      <c r="AAB1" s="407" t="s">
        <v>1045</v>
      </c>
      <c r="AAC1" s="407" t="s">
        <v>1046</v>
      </c>
      <c r="AAD1" s="407" t="s">
        <v>1047</v>
      </c>
      <c r="AAE1" s="407" t="s">
        <v>1048</v>
      </c>
      <c r="AAF1" s="407" t="s">
        <v>1049</v>
      </c>
      <c r="AAG1" s="407" t="s">
        <v>1050</v>
      </c>
      <c r="AAH1" s="407" t="s">
        <v>1051</v>
      </c>
      <c r="AAI1" s="407" t="s">
        <v>1052</v>
      </c>
      <c r="AAJ1" s="407" t="s">
        <v>1053</v>
      </c>
      <c r="AAK1" s="407" t="s">
        <v>1054</v>
      </c>
      <c r="AAL1" s="407" t="s">
        <v>1055</v>
      </c>
      <c r="AAM1" s="407" t="s">
        <v>1056</v>
      </c>
      <c r="AAN1" s="407" t="s">
        <v>1057</v>
      </c>
      <c r="AAO1" s="407" t="s">
        <v>1058</v>
      </c>
      <c r="AAP1" s="407" t="s">
        <v>1059</v>
      </c>
      <c r="AAQ1" s="407" t="s">
        <v>1060</v>
      </c>
      <c r="AAR1" s="407" t="s">
        <v>1061</v>
      </c>
      <c r="AAS1" s="407" t="s">
        <v>1062</v>
      </c>
      <c r="AAT1" s="407" t="s">
        <v>1063</v>
      </c>
      <c r="AAU1" s="407" t="s">
        <v>1064</v>
      </c>
      <c r="AAV1" s="407" t="s">
        <v>1065</v>
      </c>
      <c r="AAW1" s="407" t="s">
        <v>1066</v>
      </c>
      <c r="AAX1" s="407" t="s">
        <v>1067</v>
      </c>
      <c r="AAY1" s="407" t="s">
        <v>1068</v>
      </c>
      <c r="AAZ1" s="407" t="s">
        <v>1069</v>
      </c>
      <c r="ABA1" s="407" t="s">
        <v>1070</v>
      </c>
      <c r="ABB1" s="407" t="s">
        <v>1071</v>
      </c>
      <c r="ABC1" s="407" t="s">
        <v>124</v>
      </c>
      <c r="ABD1" s="407" t="s">
        <v>1072</v>
      </c>
      <c r="ABE1" s="407" t="s">
        <v>1073</v>
      </c>
      <c r="ABF1" s="407" t="s">
        <v>1074</v>
      </c>
      <c r="ABG1" s="407" t="s">
        <v>1075</v>
      </c>
      <c r="ABH1" s="407" t="s">
        <v>252</v>
      </c>
      <c r="ABI1" s="407" t="s">
        <v>1076</v>
      </c>
      <c r="ABJ1" s="407" t="s">
        <v>1077</v>
      </c>
      <c r="ABK1" s="407" t="s">
        <v>1078</v>
      </c>
      <c r="ABL1" s="407" t="s">
        <v>1079</v>
      </c>
      <c r="ABM1" s="407" t="s">
        <v>1080</v>
      </c>
      <c r="ABN1" s="407" t="s">
        <v>227</v>
      </c>
      <c r="ABO1" s="407" t="s">
        <v>1081</v>
      </c>
      <c r="ABP1" s="407" t="s">
        <v>1082</v>
      </c>
      <c r="ABQ1" s="407" t="s">
        <v>1083</v>
      </c>
      <c r="ABR1" s="407" t="s">
        <v>1084</v>
      </c>
      <c r="ABS1" s="407" t="s">
        <v>1085</v>
      </c>
      <c r="ABT1" s="407" t="s">
        <v>1086</v>
      </c>
      <c r="ABU1" s="407" t="s">
        <v>1087</v>
      </c>
      <c r="ABV1" s="407" t="s">
        <v>1088</v>
      </c>
      <c r="ABW1" s="407" t="s">
        <v>1089</v>
      </c>
      <c r="ABX1" s="407" t="s">
        <v>1090</v>
      </c>
      <c r="ABY1" s="407" t="s">
        <v>1091</v>
      </c>
      <c r="ABZ1" s="407" t="s">
        <v>1092</v>
      </c>
      <c r="ACA1" s="407" t="s">
        <v>1093</v>
      </c>
      <c r="ACB1" s="407" t="s">
        <v>1094</v>
      </c>
      <c r="ACC1" s="407" t="s">
        <v>1095</v>
      </c>
      <c r="ACD1" s="407" t="s">
        <v>1096</v>
      </c>
      <c r="ACE1" s="407" t="s">
        <v>1097</v>
      </c>
      <c r="ACF1" s="407" t="s">
        <v>1098</v>
      </c>
      <c r="ACG1" s="407" t="s">
        <v>1099</v>
      </c>
      <c r="ACH1" s="407" t="s">
        <v>1100</v>
      </c>
      <c r="ACI1" s="407" t="s">
        <v>1101</v>
      </c>
      <c r="ACJ1" s="407" t="s">
        <v>1102</v>
      </c>
      <c r="ACK1" s="407" t="s">
        <v>1103</v>
      </c>
      <c r="ACL1" s="407" t="s">
        <v>1104</v>
      </c>
      <c r="ACM1" s="407" t="s">
        <v>1105</v>
      </c>
      <c r="ACN1" s="407" t="s">
        <v>1106</v>
      </c>
      <c r="ACO1" s="407" t="s">
        <v>1107</v>
      </c>
      <c r="ACP1" s="407" t="s">
        <v>1108</v>
      </c>
      <c r="ACQ1" s="407" t="s">
        <v>1109</v>
      </c>
      <c r="ACR1" s="407" t="s">
        <v>1110</v>
      </c>
      <c r="ACS1" s="407" t="s">
        <v>1111</v>
      </c>
      <c r="ACT1" s="407" t="s">
        <v>1112</v>
      </c>
      <c r="ACU1" s="407" t="s">
        <v>1113</v>
      </c>
      <c r="ACV1" s="407" t="s">
        <v>1114</v>
      </c>
      <c r="ACW1" s="407" t="s">
        <v>1115</v>
      </c>
      <c r="ACX1" s="407" t="s">
        <v>1116</v>
      </c>
      <c r="ACY1" s="407" t="s">
        <v>225</v>
      </c>
      <c r="ACZ1" s="407" t="s">
        <v>1117</v>
      </c>
      <c r="ADA1" s="407" t="s">
        <v>1118</v>
      </c>
      <c r="ADB1" s="407" t="s">
        <v>103</v>
      </c>
      <c r="ADC1" s="407" t="s">
        <v>1119</v>
      </c>
      <c r="ADD1" s="407" t="s">
        <v>1120</v>
      </c>
      <c r="ADE1" s="407" t="s">
        <v>1121</v>
      </c>
      <c r="ADF1" s="407" t="s">
        <v>1122</v>
      </c>
      <c r="ADG1" s="407" t="s">
        <v>1123</v>
      </c>
      <c r="ADH1" s="407" t="s">
        <v>1124</v>
      </c>
      <c r="ADI1" s="407" t="s">
        <v>1125</v>
      </c>
      <c r="ADJ1" s="407" t="s">
        <v>1126</v>
      </c>
      <c r="ADK1" s="407" t="s">
        <v>255</v>
      </c>
      <c r="ADL1" s="407" t="s">
        <v>1127</v>
      </c>
      <c r="ADM1" s="407" t="s">
        <v>336</v>
      </c>
      <c r="ADN1" s="407" t="s">
        <v>1128</v>
      </c>
      <c r="ADO1" s="407" t="s">
        <v>188</v>
      </c>
      <c r="ADP1" s="407" t="s">
        <v>1129</v>
      </c>
      <c r="ADQ1" s="407" t="s">
        <v>1130</v>
      </c>
      <c r="ADR1" s="407" t="s">
        <v>1131</v>
      </c>
      <c r="ADS1" s="407" t="s">
        <v>1132</v>
      </c>
      <c r="ADT1" s="407" t="s">
        <v>1133</v>
      </c>
      <c r="ADU1" s="407" t="s">
        <v>1134</v>
      </c>
      <c r="ADV1" s="407" t="s">
        <v>269</v>
      </c>
      <c r="ADW1" s="407" t="s">
        <v>1135</v>
      </c>
      <c r="ADX1" s="407" t="s">
        <v>191</v>
      </c>
      <c r="ADY1" s="407" t="s">
        <v>1136</v>
      </c>
      <c r="ADZ1" s="407" t="s">
        <v>318</v>
      </c>
      <c r="AEA1" s="407" t="s">
        <v>1137</v>
      </c>
      <c r="AEB1" s="407" t="s">
        <v>1138</v>
      </c>
      <c r="AEC1" s="407" t="s">
        <v>282</v>
      </c>
      <c r="AED1" s="407" t="s">
        <v>187</v>
      </c>
      <c r="AEE1" s="407" t="s">
        <v>1139</v>
      </c>
      <c r="AEF1" s="407" t="s">
        <v>1140</v>
      </c>
      <c r="AEG1" s="407" t="s">
        <v>1141</v>
      </c>
      <c r="AEH1" s="407" t="s">
        <v>1142</v>
      </c>
      <c r="AEI1" s="407" t="s">
        <v>1143</v>
      </c>
      <c r="AEJ1" s="407" t="s">
        <v>1144</v>
      </c>
      <c r="AEK1" s="407" t="s">
        <v>1145</v>
      </c>
      <c r="AEL1" s="407" t="s">
        <v>1146</v>
      </c>
      <c r="AEM1" s="407" t="s">
        <v>1147</v>
      </c>
      <c r="AEN1" s="407" t="s">
        <v>1148</v>
      </c>
      <c r="AEO1" s="407" t="s">
        <v>1149</v>
      </c>
      <c r="AEP1" s="407" t="s">
        <v>1150</v>
      </c>
      <c r="AEQ1" s="407" t="s">
        <v>1151</v>
      </c>
      <c r="AER1" s="407" t="s">
        <v>1152</v>
      </c>
      <c r="AES1" s="407" t="s">
        <v>1153</v>
      </c>
      <c r="AET1" s="407" t="s">
        <v>1154</v>
      </c>
      <c r="AEU1" s="407" t="s">
        <v>1155</v>
      </c>
      <c r="AEV1" s="407" t="s">
        <v>158</v>
      </c>
      <c r="AEW1" s="407" t="s">
        <v>1156</v>
      </c>
      <c r="AEX1" s="407" t="s">
        <v>1157</v>
      </c>
      <c r="AEY1" s="407" t="s">
        <v>1158</v>
      </c>
      <c r="AEZ1" s="407" t="s">
        <v>1159</v>
      </c>
      <c r="AFA1" s="407" t="s">
        <v>1160</v>
      </c>
      <c r="AFB1" s="407" t="s">
        <v>1161</v>
      </c>
      <c r="AFC1" s="407" t="s">
        <v>1162</v>
      </c>
      <c r="AFD1" s="407" t="s">
        <v>1163</v>
      </c>
      <c r="AFE1" s="407" t="s">
        <v>1164</v>
      </c>
      <c r="AFF1" s="407" t="s">
        <v>59</v>
      </c>
      <c r="AFG1" s="407" t="s">
        <v>1165</v>
      </c>
      <c r="AFH1" s="407" t="s">
        <v>1166</v>
      </c>
      <c r="AFI1" s="407" t="s">
        <v>1167</v>
      </c>
      <c r="AFJ1" s="407" t="s">
        <v>1168</v>
      </c>
      <c r="AFK1" s="407" t="s">
        <v>1169</v>
      </c>
      <c r="AFL1" s="407" t="s">
        <v>1170</v>
      </c>
      <c r="AFM1" s="407" t="s">
        <v>1171</v>
      </c>
      <c r="AFN1" s="407" t="s">
        <v>1172</v>
      </c>
      <c r="AFO1" s="407" t="s">
        <v>1173</v>
      </c>
      <c r="AFP1" s="407" t="s">
        <v>1174</v>
      </c>
      <c r="AFQ1" s="407" t="s">
        <v>341</v>
      </c>
      <c r="AFR1" s="407" t="s">
        <v>1175</v>
      </c>
      <c r="AFS1" s="407" t="s">
        <v>1176</v>
      </c>
      <c r="AFT1" s="407" t="s">
        <v>339</v>
      </c>
      <c r="AFU1" s="407" t="s">
        <v>1177</v>
      </c>
      <c r="AFV1" s="407" t="s">
        <v>192</v>
      </c>
      <c r="AFW1" s="407" t="s">
        <v>1178</v>
      </c>
      <c r="AFX1" s="407" t="s">
        <v>1179</v>
      </c>
      <c r="AFY1" s="407" t="s">
        <v>1180</v>
      </c>
      <c r="AFZ1" s="407" t="s">
        <v>1181</v>
      </c>
      <c r="AGA1" s="407" t="s">
        <v>1182</v>
      </c>
      <c r="AGB1" s="407" t="s">
        <v>1183</v>
      </c>
      <c r="AGC1" s="407" t="s">
        <v>1184</v>
      </c>
      <c r="AGD1" s="407" t="s">
        <v>1185</v>
      </c>
      <c r="AGE1" s="407" t="s">
        <v>1186</v>
      </c>
      <c r="AGF1" s="407" t="s">
        <v>1187</v>
      </c>
      <c r="AGG1" s="407" t="s">
        <v>1188</v>
      </c>
      <c r="AGH1" s="407" t="s">
        <v>1189</v>
      </c>
      <c r="AGI1" s="407" t="s">
        <v>262</v>
      </c>
      <c r="AGJ1" s="407" t="s">
        <v>1190</v>
      </c>
      <c r="AGK1" s="407" t="s">
        <v>1191</v>
      </c>
      <c r="AGL1" s="407" t="s">
        <v>132</v>
      </c>
      <c r="AGM1" s="407" t="s">
        <v>1192</v>
      </c>
      <c r="AGN1" s="407" t="s">
        <v>1193</v>
      </c>
      <c r="AGO1" s="407" t="s">
        <v>1194</v>
      </c>
      <c r="AGP1" s="407" t="s">
        <v>1195</v>
      </c>
      <c r="AGQ1" s="407" t="s">
        <v>1196</v>
      </c>
      <c r="AGR1" s="407" t="s">
        <v>1197</v>
      </c>
      <c r="AGS1" s="407" t="s">
        <v>110</v>
      </c>
      <c r="AGT1" s="407" t="s">
        <v>266</v>
      </c>
      <c r="AGU1" s="407" t="s">
        <v>1198</v>
      </c>
      <c r="AGV1" s="407" t="s">
        <v>256</v>
      </c>
      <c r="AGW1" s="407" t="s">
        <v>1199</v>
      </c>
      <c r="AGX1" s="407" t="s">
        <v>1200</v>
      </c>
      <c r="AGY1" s="407" t="s">
        <v>1201</v>
      </c>
      <c r="AGZ1" s="407" t="s">
        <v>1202</v>
      </c>
      <c r="AHA1" s="407" t="s">
        <v>1203</v>
      </c>
      <c r="AHB1" s="407" t="s">
        <v>1204</v>
      </c>
      <c r="AHC1" s="407" t="s">
        <v>1205</v>
      </c>
      <c r="AHD1" s="407" t="s">
        <v>1206</v>
      </c>
      <c r="AHE1" s="407" t="s">
        <v>1207</v>
      </c>
      <c r="AHF1" s="407" t="s">
        <v>1208</v>
      </c>
      <c r="AHG1" s="407" t="s">
        <v>1209</v>
      </c>
      <c r="AHH1" s="407" t="s">
        <v>1210</v>
      </c>
      <c r="AHI1" s="407" t="s">
        <v>1211</v>
      </c>
      <c r="AHJ1" s="407" t="s">
        <v>1212</v>
      </c>
      <c r="AHK1" s="407" t="s">
        <v>1213</v>
      </c>
      <c r="AHL1" s="407" t="s">
        <v>1214</v>
      </c>
      <c r="AHM1" s="407" t="s">
        <v>1215</v>
      </c>
      <c r="AHN1" s="407" t="s">
        <v>1216</v>
      </c>
      <c r="AHO1" s="407" t="s">
        <v>1217</v>
      </c>
      <c r="AHP1" s="407" t="s">
        <v>1218</v>
      </c>
      <c r="AHQ1" s="407" t="s">
        <v>1219</v>
      </c>
      <c r="AHR1" s="407" t="s">
        <v>1220</v>
      </c>
      <c r="AHS1" s="407" t="s">
        <v>1221</v>
      </c>
      <c r="AHT1" s="407" t="s">
        <v>1222</v>
      </c>
      <c r="AHU1" s="407" t="s">
        <v>1223</v>
      </c>
      <c r="AHV1" s="407" t="s">
        <v>1224</v>
      </c>
      <c r="AHW1" s="407" t="s">
        <v>1225</v>
      </c>
      <c r="AHX1" s="407" t="s">
        <v>1226</v>
      </c>
      <c r="AHY1" s="407" t="s">
        <v>1227</v>
      </c>
      <c r="AHZ1" s="407" t="s">
        <v>1228</v>
      </c>
      <c r="AIA1" s="407" t="s">
        <v>1229</v>
      </c>
      <c r="AIB1" s="407" t="s">
        <v>1230</v>
      </c>
      <c r="AIC1" s="407" t="s">
        <v>1231</v>
      </c>
      <c r="AID1" s="407" t="s">
        <v>1232</v>
      </c>
      <c r="AIE1" s="407" t="s">
        <v>1233</v>
      </c>
      <c r="AIF1" s="407" t="s">
        <v>1234</v>
      </c>
      <c r="AIG1" s="407" t="s">
        <v>1235</v>
      </c>
      <c r="AIH1" s="407" t="s">
        <v>1236</v>
      </c>
      <c r="AII1" s="407" t="s">
        <v>1237</v>
      </c>
      <c r="AIJ1" s="407" t="s">
        <v>1238</v>
      </c>
      <c r="AIK1" s="407" t="s">
        <v>1239</v>
      </c>
      <c r="AIL1" s="407" t="s">
        <v>1240</v>
      </c>
      <c r="AIM1" s="407" t="s">
        <v>1241</v>
      </c>
      <c r="AIN1" s="407" t="s">
        <v>1242</v>
      </c>
      <c r="AIO1" s="407" t="s">
        <v>1243</v>
      </c>
      <c r="AIP1" s="407" t="s">
        <v>1244</v>
      </c>
      <c r="AIQ1" s="407" t="s">
        <v>1245</v>
      </c>
      <c r="AIR1" s="407" t="s">
        <v>1246</v>
      </c>
      <c r="AIS1" s="407" t="s">
        <v>1247</v>
      </c>
      <c r="AIT1" s="407" t="s">
        <v>1248</v>
      </c>
      <c r="AIU1" s="407" t="s">
        <v>1249</v>
      </c>
      <c r="AIV1" s="407" t="s">
        <v>1250</v>
      </c>
      <c r="AIW1" s="407" t="s">
        <v>1251</v>
      </c>
      <c r="AIX1" s="407" t="s">
        <v>1252</v>
      </c>
      <c r="AIY1" s="407" t="s">
        <v>1253</v>
      </c>
      <c r="AIZ1" s="407" t="s">
        <v>275</v>
      </c>
      <c r="AJA1" s="407" t="s">
        <v>1254</v>
      </c>
      <c r="AJB1" s="407" t="s">
        <v>1255</v>
      </c>
      <c r="AJC1" s="407" t="s">
        <v>1256</v>
      </c>
      <c r="AJD1" s="407" t="s">
        <v>1257</v>
      </c>
      <c r="AJE1" s="407" t="s">
        <v>1258</v>
      </c>
      <c r="AJF1" s="407" t="s">
        <v>1259</v>
      </c>
      <c r="AJG1" s="407" t="s">
        <v>1260</v>
      </c>
      <c r="AJH1" s="407" t="s">
        <v>1261</v>
      </c>
      <c r="AJI1" s="407" t="s">
        <v>1262</v>
      </c>
      <c r="AJJ1" s="407" t="s">
        <v>1263</v>
      </c>
      <c r="AJK1" s="407" t="s">
        <v>1264</v>
      </c>
      <c r="AJL1" s="407" t="s">
        <v>1265</v>
      </c>
      <c r="AJM1" s="407" t="s">
        <v>1266</v>
      </c>
      <c r="AJN1" s="407" t="s">
        <v>1267</v>
      </c>
      <c r="AJO1" s="407" t="s">
        <v>1268</v>
      </c>
      <c r="AJP1" s="407" t="s">
        <v>1269</v>
      </c>
      <c r="AJQ1" s="407" t="s">
        <v>1270</v>
      </c>
      <c r="AJR1" s="407" t="s">
        <v>1271</v>
      </c>
      <c r="AJS1" s="407" t="s">
        <v>1272</v>
      </c>
      <c r="AJT1" s="407" t="s">
        <v>1273</v>
      </c>
      <c r="AJU1" s="407" t="s">
        <v>1274</v>
      </c>
      <c r="AJV1" s="407" t="s">
        <v>1275</v>
      </c>
      <c r="AJW1" s="407" t="s">
        <v>1276</v>
      </c>
      <c r="AJX1" s="407" t="s">
        <v>1277</v>
      </c>
      <c r="AJY1" s="407" t="s">
        <v>1278</v>
      </c>
      <c r="AJZ1" s="407" t="s">
        <v>1279</v>
      </c>
      <c r="AKA1" s="407" t="s">
        <v>1280</v>
      </c>
      <c r="AKB1" s="407" t="s">
        <v>1281</v>
      </c>
      <c r="AKC1" s="407" t="s">
        <v>1282</v>
      </c>
      <c r="AKD1" s="407" t="s">
        <v>1283</v>
      </c>
      <c r="AKE1" s="407" t="s">
        <v>1284</v>
      </c>
      <c r="AKF1" s="407" t="s">
        <v>1285</v>
      </c>
      <c r="AKG1" s="407" t="s">
        <v>1286</v>
      </c>
      <c r="AKH1" s="407" t="s">
        <v>1287</v>
      </c>
      <c r="AKI1" s="407" t="s">
        <v>1288</v>
      </c>
      <c r="AKJ1" s="407" t="s">
        <v>1289</v>
      </c>
      <c r="AKK1" s="407" t="s">
        <v>1290</v>
      </c>
      <c r="AKL1" s="407" t="s">
        <v>267</v>
      </c>
      <c r="AKM1" s="407" t="s">
        <v>1291</v>
      </c>
      <c r="AKN1" s="407" t="s">
        <v>1292</v>
      </c>
      <c r="AKO1" s="407" t="s">
        <v>1293</v>
      </c>
      <c r="AKP1" s="407" t="s">
        <v>1294</v>
      </c>
      <c r="AKQ1" s="407" t="s">
        <v>268</v>
      </c>
      <c r="AKR1" s="407" t="s">
        <v>281</v>
      </c>
      <c r="AKS1" s="407" t="s">
        <v>1295</v>
      </c>
      <c r="AKT1" s="407" t="s">
        <v>1296</v>
      </c>
      <c r="AKU1" s="407" t="s">
        <v>1297</v>
      </c>
      <c r="AKV1" s="407" t="s">
        <v>1298</v>
      </c>
      <c r="AKW1" s="407" t="s">
        <v>1299</v>
      </c>
      <c r="AKX1" s="407" t="s">
        <v>1300</v>
      </c>
      <c r="AKY1" s="407" t="s">
        <v>1301</v>
      </c>
      <c r="AKZ1" s="407" t="s">
        <v>1302</v>
      </c>
      <c r="ALA1" s="407" t="s">
        <v>1303</v>
      </c>
      <c r="ALB1" s="407" t="s">
        <v>1304</v>
      </c>
      <c r="ALC1" s="407" t="s">
        <v>119</v>
      </c>
      <c r="ALD1" s="407" t="s">
        <v>1305</v>
      </c>
      <c r="ALE1" s="407" t="s">
        <v>1306</v>
      </c>
      <c r="ALF1" s="407" t="s">
        <v>1307</v>
      </c>
      <c r="ALG1" s="407" t="s">
        <v>1308</v>
      </c>
      <c r="ALH1" s="407" t="s">
        <v>1309</v>
      </c>
      <c r="ALI1" s="407" t="s">
        <v>1310</v>
      </c>
      <c r="ALJ1" s="407" t="s">
        <v>1311</v>
      </c>
      <c r="ALK1" s="407" t="s">
        <v>1312</v>
      </c>
      <c r="ALL1" s="407" t="s">
        <v>1313</v>
      </c>
      <c r="ALM1" s="407" t="s">
        <v>1314</v>
      </c>
      <c r="ALN1" s="407" t="s">
        <v>1315</v>
      </c>
      <c r="ALO1" s="407" t="s">
        <v>1316</v>
      </c>
      <c r="ALP1" s="407" t="s">
        <v>1317</v>
      </c>
      <c r="ALQ1" s="407" t="s">
        <v>1318</v>
      </c>
      <c r="ALR1" s="407" t="s">
        <v>1319</v>
      </c>
      <c r="ALS1" s="407" t="s">
        <v>1320</v>
      </c>
      <c r="ALT1" s="407" t="s">
        <v>1321</v>
      </c>
      <c r="ALU1" s="407" t="s">
        <v>1322</v>
      </c>
      <c r="ALV1" s="407" t="s">
        <v>1323</v>
      </c>
      <c r="ALW1" s="407" t="s">
        <v>1324</v>
      </c>
      <c r="ALX1" s="407" t="s">
        <v>1325</v>
      </c>
      <c r="ALY1" s="407" t="s">
        <v>1326</v>
      </c>
      <c r="ALZ1" s="407" t="s">
        <v>1327</v>
      </c>
      <c r="AMA1" s="407" t="s">
        <v>1328</v>
      </c>
      <c r="AMB1" s="407" t="s">
        <v>1329</v>
      </c>
      <c r="AMC1" s="407" t="s">
        <v>1330</v>
      </c>
      <c r="AMD1" s="407" t="s">
        <v>1331</v>
      </c>
      <c r="AME1" s="407" t="s">
        <v>1332</v>
      </c>
      <c r="AMF1" s="407" t="s">
        <v>1333</v>
      </c>
      <c r="AMG1" s="407" t="s">
        <v>1334</v>
      </c>
      <c r="AMH1" s="407" t="s">
        <v>1335</v>
      </c>
      <c r="AMI1" s="407" t="s">
        <v>1336</v>
      </c>
      <c r="AMJ1" s="407" t="s">
        <v>1337</v>
      </c>
      <c r="AMK1" s="407" t="s">
        <v>1338</v>
      </c>
      <c r="AML1" s="407" t="s">
        <v>1339</v>
      </c>
      <c r="AMM1" s="407" t="s">
        <v>1340</v>
      </c>
      <c r="AMN1" s="407" t="s">
        <v>1341</v>
      </c>
      <c r="AMO1" s="407" t="s">
        <v>1342</v>
      </c>
      <c r="AMP1" s="407" t="s">
        <v>257</v>
      </c>
      <c r="AMQ1" s="407" t="s">
        <v>1343</v>
      </c>
      <c r="AMR1" s="407" t="s">
        <v>1344</v>
      </c>
      <c r="AMS1" s="407" t="s">
        <v>1345</v>
      </c>
      <c r="AMT1" s="407" t="s">
        <v>220</v>
      </c>
      <c r="AMU1" s="407" t="s">
        <v>1346</v>
      </c>
      <c r="AMV1" s="407" t="s">
        <v>1347</v>
      </c>
      <c r="AMW1" s="407" t="s">
        <v>1348</v>
      </c>
      <c r="AMX1" s="407" t="s">
        <v>1349</v>
      </c>
      <c r="AMY1" s="407" t="s">
        <v>1350</v>
      </c>
      <c r="AMZ1" s="407" t="s">
        <v>1351</v>
      </c>
      <c r="ANA1" s="407" t="s">
        <v>1352</v>
      </c>
      <c r="ANB1" s="407" t="s">
        <v>1353</v>
      </c>
      <c r="ANC1" s="407" t="s">
        <v>1354</v>
      </c>
      <c r="AND1" s="407" t="s">
        <v>1355</v>
      </c>
      <c r="ANE1" s="407" t="s">
        <v>1356</v>
      </c>
      <c r="ANF1" s="407" t="s">
        <v>1357</v>
      </c>
      <c r="ANG1" s="407" t="s">
        <v>1358</v>
      </c>
      <c r="ANH1" s="407" t="s">
        <v>1359</v>
      </c>
      <c r="ANI1" s="407" t="s">
        <v>1360</v>
      </c>
      <c r="ANJ1" s="407" t="s">
        <v>1361</v>
      </c>
      <c r="ANK1" s="407" t="s">
        <v>1362</v>
      </c>
      <c r="ANL1" s="407" t="s">
        <v>1363</v>
      </c>
      <c r="ANM1" s="407" t="s">
        <v>1364</v>
      </c>
      <c r="ANN1" s="407" t="s">
        <v>1365</v>
      </c>
      <c r="ANO1" s="407" t="s">
        <v>1366</v>
      </c>
      <c r="ANP1" s="407" t="s">
        <v>1367</v>
      </c>
      <c r="ANQ1" s="407" t="s">
        <v>1368</v>
      </c>
      <c r="ANR1" s="407" t="s">
        <v>1369</v>
      </c>
      <c r="ANS1" s="407" t="s">
        <v>1370</v>
      </c>
      <c r="ANT1" s="407" t="s">
        <v>1371</v>
      </c>
      <c r="ANU1" s="407" t="s">
        <v>1372</v>
      </c>
      <c r="ANV1" s="407" t="s">
        <v>1373</v>
      </c>
      <c r="ANW1" s="407" t="s">
        <v>1374</v>
      </c>
      <c r="ANX1" s="407" t="s">
        <v>1375</v>
      </c>
      <c r="ANY1" s="407" t="s">
        <v>1376</v>
      </c>
      <c r="ANZ1" s="407" t="s">
        <v>1377</v>
      </c>
      <c r="AOA1" s="407" t="s">
        <v>1378</v>
      </c>
      <c r="AOB1" s="407" t="s">
        <v>1379</v>
      </c>
      <c r="AOC1" s="407" t="s">
        <v>1380</v>
      </c>
      <c r="AOD1" s="407" t="s">
        <v>1381</v>
      </c>
      <c r="AOE1" s="407" t="s">
        <v>1382</v>
      </c>
      <c r="AOF1" s="407" t="s">
        <v>1383</v>
      </c>
      <c r="AOG1" s="407" t="s">
        <v>1384</v>
      </c>
      <c r="AOH1" s="407" t="s">
        <v>1385</v>
      </c>
      <c r="AOI1" s="407" t="s">
        <v>1386</v>
      </c>
      <c r="AOJ1" s="407" t="s">
        <v>221</v>
      </c>
      <c r="AOK1" s="407" t="s">
        <v>1387</v>
      </c>
      <c r="AOL1" s="407" t="s">
        <v>1388</v>
      </c>
      <c r="AOM1" s="407" t="s">
        <v>1389</v>
      </c>
      <c r="AON1" s="407" t="s">
        <v>1390</v>
      </c>
      <c r="AOO1" s="407" t="s">
        <v>1391</v>
      </c>
      <c r="AOP1" s="407" t="s">
        <v>1392</v>
      </c>
      <c r="AOQ1" s="407" t="s">
        <v>1393</v>
      </c>
      <c r="AOR1" s="407" t="s">
        <v>1394</v>
      </c>
      <c r="AOS1" s="407" t="s">
        <v>1395</v>
      </c>
      <c r="AOT1" s="407" t="s">
        <v>1396</v>
      </c>
      <c r="AOU1" s="407" t="s">
        <v>1397</v>
      </c>
      <c r="AOV1" s="407" t="s">
        <v>1398</v>
      </c>
      <c r="AOW1" s="407" t="s">
        <v>1399</v>
      </c>
      <c r="AOX1" s="407" t="s">
        <v>1400</v>
      </c>
      <c r="AOY1" s="407" t="s">
        <v>1401</v>
      </c>
      <c r="AOZ1" s="407" t="s">
        <v>1402</v>
      </c>
      <c r="APA1" s="407" t="s">
        <v>1403</v>
      </c>
      <c r="APB1" s="407" t="s">
        <v>1404</v>
      </c>
      <c r="APC1" s="407" t="s">
        <v>1405</v>
      </c>
      <c r="APD1" s="407" t="s">
        <v>1406</v>
      </c>
      <c r="APE1" s="407" t="s">
        <v>1407</v>
      </c>
      <c r="APF1" s="407" t="s">
        <v>1408</v>
      </c>
      <c r="APG1" s="407" t="s">
        <v>1409</v>
      </c>
      <c r="APH1" s="407" t="s">
        <v>1410</v>
      </c>
      <c r="API1" s="407" t="s">
        <v>1411</v>
      </c>
      <c r="APJ1" s="407" t="s">
        <v>1412</v>
      </c>
      <c r="APK1" s="407" t="s">
        <v>1413</v>
      </c>
      <c r="APL1" s="407" t="s">
        <v>1414</v>
      </c>
      <c r="APM1" s="407" t="s">
        <v>1415</v>
      </c>
      <c r="APN1" s="407" t="s">
        <v>1416</v>
      </c>
      <c r="APO1" s="407" t="s">
        <v>1417</v>
      </c>
      <c r="APP1" s="407" t="s">
        <v>1418</v>
      </c>
      <c r="APQ1" s="407" t="s">
        <v>1419</v>
      </c>
      <c r="APR1" s="407" t="s">
        <v>1420</v>
      </c>
      <c r="APS1" s="407" t="s">
        <v>1421</v>
      </c>
      <c r="APT1" s="407" t="s">
        <v>1422</v>
      </c>
      <c r="APU1" s="407" t="s">
        <v>1423</v>
      </c>
      <c r="APV1" s="407" t="s">
        <v>1424</v>
      </c>
      <c r="APW1" s="407" t="s">
        <v>1425</v>
      </c>
      <c r="APX1" s="407" t="s">
        <v>1426</v>
      </c>
      <c r="APY1" s="407" t="s">
        <v>1427</v>
      </c>
      <c r="APZ1" s="407" t="s">
        <v>1428</v>
      </c>
      <c r="AQA1" s="407" t="s">
        <v>1429</v>
      </c>
      <c r="AQB1" s="407" t="s">
        <v>234</v>
      </c>
      <c r="AQC1" s="407" t="s">
        <v>1430</v>
      </c>
      <c r="AQD1" s="407" t="s">
        <v>122</v>
      </c>
      <c r="AQE1" s="407" t="s">
        <v>1431</v>
      </c>
      <c r="AQF1" s="407" t="s">
        <v>1432</v>
      </c>
      <c r="AQG1" s="407" t="s">
        <v>1433</v>
      </c>
      <c r="AQH1" s="407" t="s">
        <v>1434</v>
      </c>
      <c r="AQI1" s="407" t="s">
        <v>1435</v>
      </c>
      <c r="AQJ1" s="407" t="s">
        <v>1436</v>
      </c>
      <c r="AQK1" s="407" t="s">
        <v>1437</v>
      </c>
      <c r="AQL1" s="407" t="s">
        <v>1438</v>
      </c>
      <c r="AQM1" s="407" t="s">
        <v>1439</v>
      </c>
      <c r="AQN1" s="407" t="s">
        <v>1440</v>
      </c>
      <c r="AQO1" s="407" t="s">
        <v>1441</v>
      </c>
      <c r="AQP1" s="407" t="s">
        <v>1442</v>
      </c>
      <c r="AQQ1" s="407" t="s">
        <v>1443</v>
      </c>
      <c r="AQR1" s="407" t="s">
        <v>1444</v>
      </c>
      <c r="AQS1" s="407" t="s">
        <v>1445</v>
      </c>
      <c r="AQT1" s="407" t="s">
        <v>1446</v>
      </c>
      <c r="AQU1" s="407" t="s">
        <v>1447</v>
      </c>
      <c r="AQV1" s="407" t="s">
        <v>1448</v>
      </c>
      <c r="AQW1" s="407" t="s">
        <v>1449</v>
      </c>
      <c r="AQX1" s="407" t="s">
        <v>1450</v>
      </c>
      <c r="AQY1" s="407" t="s">
        <v>1451</v>
      </c>
      <c r="AQZ1" s="407" t="s">
        <v>1452</v>
      </c>
      <c r="ARA1" s="407" t="s">
        <v>1453</v>
      </c>
      <c r="ARB1" s="407" t="s">
        <v>1454</v>
      </c>
      <c r="ARC1" s="407" t="s">
        <v>1455</v>
      </c>
      <c r="ARD1" s="407" t="s">
        <v>1456</v>
      </c>
      <c r="ARE1" s="407" t="s">
        <v>1457</v>
      </c>
      <c r="ARF1" s="407" t="s">
        <v>130</v>
      </c>
      <c r="ARG1" s="407" t="s">
        <v>1458</v>
      </c>
      <c r="ARH1" s="407" t="s">
        <v>1459</v>
      </c>
      <c r="ARI1" s="407" t="s">
        <v>1460</v>
      </c>
      <c r="ARJ1" s="407" t="s">
        <v>270</v>
      </c>
      <c r="ARK1" s="407" t="s">
        <v>1461</v>
      </c>
      <c r="ARL1" s="407" t="s">
        <v>1462</v>
      </c>
      <c r="ARM1" s="407" t="s">
        <v>1463</v>
      </c>
      <c r="ARN1" s="407" t="s">
        <v>1464</v>
      </c>
      <c r="ARO1" s="407" t="s">
        <v>1465</v>
      </c>
      <c r="ARP1" s="407" t="s">
        <v>1466</v>
      </c>
      <c r="ARQ1" s="407" t="s">
        <v>1467</v>
      </c>
      <c r="ARR1" s="407" t="s">
        <v>1468</v>
      </c>
      <c r="ARS1" s="407" t="s">
        <v>1469</v>
      </c>
      <c r="ART1" s="407" t="s">
        <v>1470</v>
      </c>
      <c r="ARU1" s="407" t="s">
        <v>1471</v>
      </c>
      <c r="ARV1" s="407" t="s">
        <v>1472</v>
      </c>
      <c r="ARW1" s="407" t="s">
        <v>1473</v>
      </c>
      <c r="ARX1" s="407" t="s">
        <v>1474</v>
      </c>
      <c r="ARY1" s="407" t="s">
        <v>115</v>
      </c>
      <c r="ARZ1" s="407" t="s">
        <v>1475</v>
      </c>
      <c r="ASA1" s="407" t="s">
        <v>271</v>
      </c>
      <c r="ASB1" s="407" t="s">
        <v>1476</v>
      </c>
      <c r="ASC1" s="407" t="s">
        <v>1477</v>
      </c>
      <c r="ASD1" s="407" t="s">
        <v>1478</v>
      </c>
      <c r="ASE1" s="407" t="s">
        <v>1479</v>
      </c>
      <c r="ASF1" s="407" t="s">
        <v>1480</v>
      </c>
      <c r="ASG1" s="407" t="s">
        <v>1481</v>
      </c>
      <c r="ASH1" s="407" t="s">
        <v>1482</v>
      </c>
      <c r="ASI1" s="407" t="s">
        <v>1483</v>
      </c>
      <c r="ASJ1" s="407" t="s">
        <v>1484</v>
      </c>
      <c r="ASK1" s="407" t="s">
        <v>1485</v>
      </c>
      <c r="ASL1" s="407" t="s">
        <v>1486</v>
      </c>
      <c r="ASM1" s="407" t="s">
        <v>245</v>
      </c>
      <c r="ASN1" s="407" t="s">
        <v>1487</v>
      </c>
      <c r="ASO1" s="407" t="s">
        <v>1488</v>
      </c>
      <c r="ASP1" s="407" t="s">
        <v>1489</v>
      </c>
      <c r="ASQ1" s="407" t="s">
        <v>1490</v>
      </c>
      <c r="ASR1" s="407" t="s">
        <v>1491</v>
      </c>
      <c r="ASS1" s="407" t="s">
        <v>1492</v>
      </c>
      <c r="AST1" s="407" t="s">
        <v>1493</v>
      </c>
      <c r="ASU1" s="407" t="s">
        <v>1494</v>
      </c>
      <c r="ASV1" s="407" t="s">
        <v>1495</v>
      </c>
      <c r="ASW1" s="407" t="s">
        <v>1496</v>
      </c>
      <c r="ASX1" s="407" t="s">
        <v>1497</v>
      </c>
      <c r="ASY1" s="407" t="s">
        <v>1498</v>
      </c>
      <c r="ASZ1" s="407" t="s">
        <v>1499</v>
      </c>
      <c r="ATA1" s="407" t="s">
        <v>1500</v>
      </c>
      <c r="ATB1" s="407" t="s">
        <v>1501</v>
      </c>
      <c r="ATC1" s="407" t="s">
        <v>1502</v>
      </c>
      <c r="ATD1" s="407" t="s">
        <v>1503</v>
      </c>
      <c r="ATE1" s="407" t="s">
        <v>1504</v>
      </c>
      <c r="ATF1" s="407" t="s">
        <v>1505</v>
      </c>
      <c r="ATG1" s="407" t="s">
        <v>1506</v>
      </c>
      <c r="ATH1" s="407" t="s">
        <v>1507</v>
      </c>
      <c r="ATI1" s="407" t="s">
        <v>1508</v>
      </c>
      <c r="ATJ1" s="407" t="s">
        <v>1509</v>
      </c>
      <c r="ATK1" s="407" t="s">
        <v>1510</v>
      </c>
      <c r="ATL1" s="407" t="s">
        <v>1511</v>
      </c>
      <c r="ATM1" s="407" t="s">
        <v>1512</v>
      </c>
      <c r="ATN1" s="407" t="s">
        <v>1513</v>
      </c>
      <c r="ATO1" s="407" t="s">
        <v>1514</v>
      </c>
      <c r="ATP1" s="407" t="s">
        <v>1515</v>
      </c>
      <c r="ATQ1" s="407" t="s">
        <v>236</v>
      </c>
      <c r="ATR1" s="407" t="s">
        <v>1516</v>
      </c>
      <c r="ATS1" s="407" t="s">
        <v>1517</v>
      </c>
      <c r="ATT1" s="407" t="s">
        <v>1518</v>
      </c>
      <c r="ATU1" s="407" t="s">
        <v>1519</v>
      </c>
      <c r="ATV1" s="407" t="s">
        <v>1520</v>
      </c>
      <c r="ATW1" s="407" t="s">
        <v>1521</v>
      </c>
      <c r="ATX1" s="407" t="s">
        <v>1522</v>
      </c>
      <c r="ATY1" s="407" t="s">
        <v>251</v>
      </c>
      <c r="ATZ1" s="407" t="s">
        <v>1523</v>
      </c>
      <c r="AUA1" s="407" t="s">
        <v>1524</v>
      </c>
      <c r="AUB1" s="407" t="s">
        <v>1525</v>
      </c>
      <c r="AUC1" s="407" t="s">
        <v>1526</v>
      </c>
      <c r="AUD1" s="407" t="s">
        <v>1527</v>
      </c>
      <c r="AUE1" s="407" t="s">
        <v>1528</v>
      </c>
      <c r="AUF1" s="407" t="s">
        <v>1529</v>
      </c>
      <c r="AUG1" s="407" t="s">
        <v>1530</v>
      </c>
      <c r="AUH1" s="407" t="s">
        <v>1531</v>
      </c>
      <c r="AUI1" s="407" t="s">
        <v>1532</v>
      </c>
      <c r="AUJ1" s="407" t="s">
        <v>1533</v>
      </c>
      <c r="AUK1" s="407" t="s">
        <v>1534</v>
      </c>
      <c r="AUL1" s="407" t="s">
        <v>1535</v>
      </c>
      <c r="AUM1" s="407" t="s">
        <v>1536</v>
      </c>
      <c r="AUN1" s="407" t="s">
        <v>1537</v>
      </c>
      <c r="AUO1" s="407" t="s">
        <v>1538</v>
      </c>
      <c r="AUP1" s="407" t="s">
        <v>1539</v>
      </c>
      <c r="AUQ1" s="407" t="s">
        <v>1540</v>
      </c>
      <c r="AUR1" s="407" t="s">
        <v>261</v>
      </c>
      <c r="AUS1" s="407" t="s">
        <v>1541</v>
      </c>
      <c r="AUT1" s="407" t="s">
        <v>1542</v>
      </c>
      <c r="AUU1" s="407" t="s">
        <v>1543</v>
      </c>
      <c r="AUV1" s="407" t="s">
        <v>1544</v>
      </c>
      <c r="AUW1" s="407" t="s">
        <v>1545</v>
      </c>
      <c r="AUX1" s="407" t="s">
        <v>1546</v>
      </c>
      <c r="AUY1" s="407" t="s">
        <v>1547</v>
      </c>
      <c r="AUZ1" s="407" t="s">
        <v>222</v>
      </c>
      <c r="AVA1" s="407" t="s">
        <v>1548</v>
      </c>
      <c r="AVB1" s="407" t="s">
        <v>1549</v>
      </c>
      <c r="AVC1" s="407" t="s">
        <v>263</v>
      </c>
      <c r="AVD1" s="407" t="s">
        <v>1550</v>
      </c>
      <c r="AVE1" s="407" t="s">
        <v>1551</v>
      </c>
      <c r="AVF1" s="407" t="s">
        <v>1552</v>
      </c>
      <c r="AVG1" s="407" t="s">
        <v>1553</v>
      </c>
      <c r="AVH1" s="407" t="s">
        <v>277</v>
      </c>
      <c r="AVI1" s="407" t="s">
        <v>1554</v>
      </c>
      <c r="AVJ1" s="407" t="s">
        <v>1555</v>
      </c>
      <c r="AVK1" s="407" t="s">
        <v>1556</v>
      </c>
      <c r="AVL1" s="407" t="s">
        <v>1557</v>
      </c>
      <c r="AVM1" s="407" t="s">
        <v>1558</v>
      </c>
      <c r="AVN1" s="407" t="s">
        <v>1559</v>
      </c>
      <c r="AVO1" s="407" t="s">
        <v>1560</v>
      </c>
      <c r="AVP1" s="407" t="s">
        <v>1561</v>
      </c>
      <c r="AVQ1" s="407" t="s">
        <v>1562</v>
      </c>
      <c r="AVR1" s="407" t="s">
        <v>1563</v>
      </c>
      <c r="AVS1" s="407" t="s">
        <v>1564</v>
      </c>
      <c r="AVT1" s="407" t="s">
        <v>1565</v>
      </c>
      <c r="AVU1" s="407" t="s">
        <v>1566</v>
      </c>
      <c r="AVV1" s="407" t="s">
        <v>1567</v>
      </c>
      <c r="AVW1" s="407" t="s">
        <v>1568</v>
      </c>
      <c r="AVX1" s="407" t="s">
        <v>1569</v>
      </c>
      <c r="AVY1" s="407" t="s">
        <v>1570</v>
      </c>
      <c r="AVZ1" s="407" t="s">
        <v>1571</v>
      </c>
      <c r="AWA1" s="407" t="s">
        <v>112</v>
      </c>
      <c r="AWB1" s="407" t="s">
        <v>1572</v>
      </c>
      <c r="AWC1" s="407" t="s">
        <v>1573</v>
      </c>
      <c r="AWD1" s="407" t="s">
        <v>1574</v>
      </c>
      <c r="AWE1" s="407" t="s">
        <v>1575</v>
      </c>
      <c r="AWF1" s="407" t="s">
        <v>1576</v>
      </c>
      <c r="AWG1" s="407" t="s">
        <v>1577</v>
      </c>
      <c r="AWH1" s="407" t="s">
        <v>1578</v>
      </c>
      <c r="AWI1" s="407" t="s">
        <v>1579</v>
      </c>
      <c r="AWJ1" s="407" t="s">
        <v>1580</v>
      </c>
      <c r="AWK1" s="407" t="s">
        <v>1581</v>
      </c>
      <c r="AWL1" s="407" t="s">
        <v>1582</v>
      </c>
      <c r="AWM1" s="407" t="s">
        <v>1583</v>
      </c>
      <c r="AWN1" s="407" t="s">
        <v>1584</v>
      </c>
      <c r="AWO1" s="407" t="s">
        <v>1585</v>
      </c>
      <c r="AWP1" s="407" t="s">
        <v>1586</v>
      </c>
      <c r="AWQ1" s="407" t="s">
        <v>1587</v>
      </c>
      <c r="AWR1" s="407" t="s">
        <v>1588</v>
      </c>
      <c r="AWS1" s="407" t="s">
        <v>1589</v>
      </c>
      <c r="AWT1" s="407" t="s">
        <v>1590</v>
      </c>
      <c r="AWU1" s="407" t="s">
        <v>1591</v>
      </c>
      <c r="AWV1" s="407" t="s">
        <v>1592</v>
      </c>
      <c r="AWW1" s="407" t="s">
        <v>1593</v>
      </c>
      <c r="AWX1" s="407" t="s">
        <v>1594</v>
      </c>
      <c r="AWY1" s="407" t="s">
        <v>1595</v>
      </c>
      <c r="AWZ1" s="407" t="s">
        <v>1596</v>
      </c>
      <c r="AXA1" s="407" t="s">
        <v>1597</v>
      </c>
      <c r="AXB1" s="407" t="s">
        <v>1598</v>
      </c>
      <c r="AXC1" s="407" t="s">
        <v>1599</v>
      </c>
      <c r="AXD1" s="407" t="s">
        <v>1600</v>
      </c>
      <c r="AXE1" s="407" t="s">
        <v>1601</v>
      </c>
      <c r="AXF1" s="407" t="s">
        <v>1602</v>
      </c>
      <c r="AXG1" s="407" t="s">
        <v>1603</v>
      </c>
      <c r="AXH1" s="407" t="s">
        <v>1604</v>
      </c>
      <c r="AXI1" s="407" t="s">
        <v>1605</v>
      </c>
      <c r="AXJ1" s="407" t="s">
        <v>1606</v>
      </c>
      <c r="AXK1" s="407" t="s">
        <v>1607</v>
      </c>
      <c r="AXL1" s="407" t="s">
        <v>1608</v>
      </c>
      <c r="AXM1" s="407" t="s">
        <v>1609</v>
      </c>
      <c r="AXN1" s="407" t="s">
        <v>1610</v>
      </c>
      <c r="AXO1" s="407" t="s">
        <v>1611</v>
      </c>
      <c r="AXP1" s="407" t="s">
        <v>1612</v>
      </c>
      <c r="AXQ1" s="407" t="s">
        <v>1613</v>
      </c>
      <c r="AXR1" s="407" t="s">
        <v>1614</v>
      </c>
      <c r="AXS1" s="407" t="s">
        <v>1615</v>
      </c>
      <c r="AXT1" s="407" t="s">
        <v>1616</v>
      </c>
      <c r="AXU1" s="407" t="s">
        <v>1617</v>
      </c>
      <c r="AXV1" s="407" t="s">
        <v>1618</v>
      </c>
      <c r="AXW1" s="407" t="s">
        <v>1619</v>
      </c>
      <c r="AXX1" s="407" t="s">
        <v>1620</v>
      </c>
      <c r="AXY1" s="407" t="s">
        <v>1621</v>
      </c>
      <c r="AXZ1" s="407" t="s">
        <v>1622</v>
      </c>
      <c r="AYA1" s="407" t="s">
        <v>1623</v>
      </c>
      <c r="AYB1" s="407" t="s">
        <v>1624</v>
      </c>
      <c r="AYC1" s="407" t="s">
        <v>1625</v>
      </c>
      <c r="AYD1" s="407" t="s">
        <v>1626</v>
      </c>
      <c r="AYE1" s="407" t="s">
        <v>1627</v>
      </c>
      <c r="AYF1" s="407" t="s">
        <v>1628</v>
      </c>
      <c r="AYG1" s="407" t="s">
        <v>1629</v>
      </c>
      <c r="AYH1" s="407" t="s">
        <v>1630</v>
      </c>
      <c r="AYI1" s="407" t="s">
        <v>1631</v>
      </c>
      <c r="AYJ1" s="407" t="s">
        <v>1632</v>
      </c>
      <c r="AYK1" s="407" t="s">
        <v>1633</v>
      </c>
      <c r="AYL1" s="407" t="s">
        <v>1634</v>
      </c>
      <c r="AYM1" s="407" t="s">
        <v>1635</v>
      </c>
      <c r="AYN1" s="407" t="s">
        <v>1636</v>
      </c>
      <c r="AYO1" s="407" t="s">
        <v>1637</v>
      </c>
      <c r="AYP1" s="407" t="s">
        <v>1638</v>
      </c>
      <c r="AYQ1" s="407" t="s">
        <v>1639</v>
      </c>
      <c r="AYR1" s="407" t="s">
        <v>1640</v>
      </c>
      <c r="AYS1" s="407" t="s">
        <v>1641</v>
      </c>
      <c r="AYT1" s="407" t="s">
        <v>1642</v>
      </c>
      <c r="AYU1" s="407" t="s">
        <v>1643</v>
      </c>
      <c r="AYV1" s="407" t="s">
        <v>1644</v>
      </c>
      <c r="AYW1" s="407" t="s">
        <v>1645</v>
      </c>
      <c r="AYX1" s="407" t="s">
        <v>1646</v>
      </c>
      <c r="AYY1" s="407" t="s">
        <v>1647</v>
      </c>
      <c r="AYZ1" s="407" t="s">
        <v>1648</v>
      </c>
      <c r="AZA1" s="407" t="s">
        <v>1649</v>
      </c>
      <c r="AZB1" s="407" t="s">
        <v>388</v>
      </c>
      <c r="AZC1" s="407" t="s">
        <v>1650</v>
      </c>
      <c r="AZD1" s="407" t="s">
        <v>1651</v>
      </c>
      <c r="AZE1" s="407" t="s">
        <v>1652</v>
      </c>
      <c r="AZF1" s="407" t="s">
        <v>1653</v>
      </c>
      <c r="AZG1" s="407" t="s">
        <v>1654</v>
      </c>
      <c r="AZH1" s="407" t="s">
        <v>1655</v>
      </c>
      <c r="AZI1" s="407" t="s">
        <v>1656</v>
      </c>
      <c r="AZJ1" s="407" t="s">
        <v>1657</v>
      </c>
      <c r="AZK1" s="407" t="s">
        <v>247</v>
      </c>
      <c r="AZL1" s="407" t="s">
        <v>1658</v>
      </c>
      <c r="AZM1" s="407" t="s">
        <v>1659</v>
      </c>
      <c r="AZN1" s="407" t="s">
        <v>1660</v>
      </c>
      <c r="AZO1" s="407" t="s">
        <v>1661</v>
      </c>
      <c r="AZP1" s="407" t="s">
        <v>1662</v>
      </c>
      <c r="AZQ1" s="407" t="s">
        <v>1663</v>
      </c>
      <c r="AZR1" s="407" t="s">
        <v>1664</v>
      </c>
      <c r="AZS1" s="407" t="s">
        <v>1665</v>
      </c>
      <c r="AZT1" s="407" t="s">
        <v>1666</v>
      </c>
      <c r="AZU1" s="407" t="s">
        <v>307</v>
      </c>
      <c r="AZV1" s="407" t="s">
        <v>1667</v>
      </c>
      <c r="AZW1" s="407" t="s">
        <v>1668</v>
      </c>
      <c r="AZX1" s="407" t="s">
        <v>1669</v>
      </c>
      <c r="AZY1" s="407" t="s">
        <v>1670</v>
      </c>
      <c r="AZZ1" s="407" t="s">
        <v>1671</v>
      </c>
      <c r="BAA1" s="407" t="s">
        <v>1672</v>
      </c>
      <c r="BAB1" s="407" t="s">
        <v>1673</v>
      </c>
      <c r="BAC1" s="407" t="s">
        <v>1674</v>
      </c>
      <c r="BAD1" s="407" t="s">
        <v>1675</v>
      </c>
      <c r="BAE1" s="407" t="s">
        <v>1676</v>
      </c>
      <c r="BAF1" s="407" t="s">
        <v>1677</v>
      </c>
      <c r="BAG1" s="407" t="s">
        <v>1678</v>
      </c>
      <c r="BAH1" s="407" t="s">
        <v>1679</v>
      </c>
      <c r="BAI1" s="407" t="s">
        <v>1680</v>
      </c>
      <c r="BAJ1" s="407" t="s">
        <v>1681</v>
      </c>
      <c r="BAK1" s="407" t="s">
        <v>1682</v>
      </c>
      <c r="BAL1" s="407" t="s">
        <v>1683</v>
      </c>
      <c r="BAM1" s="407" t="s">
        <v>120</v>
      </c>
      <c r="BAN1" s="407" t="s">
        <v>1684</v>
      </c>
      <c r="BAO1" s="407" t="s">
        <v>1685</v>
      </c>
      <c r="BAP1" s="407" t="s">
        <v>1686</v>
      </c>
      <c r="BAQ1" s="407" t="s">
        <v>1687</v>
      </c>
      <c r="BAR1" s="407" t="s">
        <v>1688</v>
      </c>
      <c r="BAS1" s="407" t="s">
        <v>1689</v>
      </c>
      <c r="BAT1" s="407" t="s">
        <v>1690</v>
      </c>
      <c r="BAU1" s="407" t="s">
        <v>1691</v>
      </c>
      <c r="BAV1" s="407" t="s">
        <v>1692</v>
      </c>
      <c r="BAW1" s="407" t="s">
        <v>1693</v>
      </c>
      <c r="BAX1" s="407" t="s">
        <v>1694</v>
      </c>
      <c r="BAY1" s="407" t="s">
        <v>1695</v>
      </c>
      <c r="BAZ1" s="407" t="s">
        <v>1696</v>
      </c>
      <c r="BBA1" s="407" t="s">
        <v>1697</v>
      </c>
      <c r="BBB1" s="407" t="s">
        <v>1698</v>
      </c>
      <c r="BBC1" s="407" t="s">
        <v>1699</v>
      </c>
      <c r="BBD1" s="407" t="s">
        <v>1700</v>
      </c>
      <c r="BBE1" s="407" t="s">
        <v>1701</v>
      </c>
      <c r="BBF1" s="407" t="s">
        <v>1702</v>
      </c>
      <c r="BBG1" s="407" t="s">
        <v>1703</v>
      </c>
      <c r="BBH1" s="407" t="s">
        <v>1704</v>
      </c>
      <c r="BBI1" s="407" t="s">
        <v>1705</v>
      </c>
      <c r="BBJ1" s="407" t="s">
        <v>1706</v>
      </c>
      <c r="BBK1" s="407" t="s">
        <v>1707</v>
      </c>
      <c r="BBL1" s="407" t="s">
        <v>1708</v>
      </c>
      <c r="BBM1" s="407" t="s">
        <v>1709</v>
      </c>
      <c r="BBN1" s="407" t="s">
        <v>1710</v>
      </c>
      <c r="BBO1" s="407" t="s">
        <v>230</v>
      </c>
      <c r="BBP1" s="407" t="s">
        <v>1711</v>
      </c>
      <c r="BBQ1" s="407" t="s">
        <v>1712</v>
      </c>
      <c r="BBR1" s="407" t="s">
        <v>1713</v>
      </c>
      <c r="BBS1" s="407" t="s">
        <v>1714</v>
      </c>
      <c r="BBT1" s="407" t="s">
        <v>1715</v>
      </c>
      <c r="BBU1" s="407" t="s">
        <v>1716</v>
      </c>
      <c r="BBV1" s="407" t="s">
        <v>1717</v>
      </c>
      <c r="BBW1" s="407" t="s">
        <v>1718</v>
      </c>
      <c r="BBX1" s="407" t="s">
        <v>1719</v>
      </c>
      <c r="BBY1" s="407" t="s">
        <v>1720</v>
      </c>
      <c r="BBZ1" s="407" t="s">
        <v>278</v>
      </c>
      <c r="BCA1" s="407" t="s">
        <v>1721</v>
      </c>
      <c r="BCB1" s="407" t="s">
        <v>1722</v>
      </c>
      <c r="BCC1" s="407" t="s">
        <v>1723</v>
      </c>
      <c r="BCD1" s="407" t="s">
        <v>1724</v>
      </c>
      <c r="BCE1" s="407" t="s">
        <v>1725</v>
      </c>
      <c r="BCF1" s="407" t="s">
        <v>1726</v>
      </c>
      <c r="BCG1" s="407" t="s">
        <v>1727</v>
      </c>
      <c r="BCH1" s="407" t="s">
        <v>1728</v>
      </c>
      <c r="BCI1" s="407" t="s">
        <v>1729</v>
      </c>
      <c r="BCJ1" s="407" t="s">
        <v>1730</v>
      </c>
      <c r="BCK1" s="407" t="s">
        <v>1731</v>
      </c>
      <c r="BCL1" s="407" t="s">
        <v>1732</v>
      </c>
      <c r="BCM1" s="407" t="s">
        <v>1733</v>
      </c>
      <c r="BCN1" s="407" t="s">
        <v>1734</v>
      </c>
      <c r="BCO1" s="407" t="s">
        <v>1735</v>
      </c>
      <c r="BCP1" s="407" t="s">
        <v>1736</v>
      </c>
      <c r="BCQ1" s="407" t="s">
        <v>71</v>
      </c>
      <c r="BCR1" s="407" t="s">
        <v>1737</v>
      </c>
      <c r="BCS1" s="407" t="s">
        <v>1738</v>
      </c>
      <c r="BCT1" s="407" t="s">
        <v>1739</v>
      </c>
      <c r="BCU1" s="407" t="s">
        <v>1740</v>
      </c>
      <c r="BCV1" s="407" t="s">
        <v>1741</v>
      </c>
      <c r="BCW1" s="407" t="s">
        <v>73</v>
      </c>
      <c r="BCX1" s="407" t="s">
        <v>1742</v>
      </c>
      <c r="BCY1" s="407" t="s">
        <v>1743</v>
      </c>
      <c r="BCZ1" s="407" t="s">
        <v>1744</v>
      </c>
      <c r="BDA1" s="407" t="s">
        <v>1745</v>
      </c>
      <c r="BDB1" s="407" t="s">
        <v>1746</v>
      </c>
      <c r="BDC1" s="407" t="s">
        <v>1747</v>
      </c>
      <c r="BDD1" s="407" t="s">
        <v>1748</v>
      </c>
      <c r="BDE1" s="407" t="s">
        <v>1749</v>
      </c>
      <c r="BDF1" s="407" t="s">
        <v>1750</v>
      </c>
      <c r="BDG1" s="407" t="s">
        <v>1751</v>
      </c>
      <c r="BDH1" s="407" t="s">
        <v>1752</v>
      </c>
      <c r="BDI1" s="407" t="s">
        <v>1753</v>
      </c>
      <c r="BDJ1" s="407" t="s">
        <v>1754</v>
      </c>
      <c r="BDK1" s="407" t="s">
        <v>1755</v>
      </c>
      <c r="BDL1" s="407" t="s">
        <v>1756</v>
      </c>
      <c r="BDM1" s="407" t="s">
        <v>1757</v>
      </c>
      <c r="BDN1" s="407" t="s">
        <v>74</v>
      </c>
      <c r="BDO1" s="407" t="s">
        <v>1758</v>
      </c>
      <c r="BDP1" s="407" t="s">
        <v>1759</v>
      </c>
      <c r="BDQ1" s="407" t="s">
        <v>105</v>
      </c>
      <c r="BDR1" s="407" t="s">
        <v>1760</v>
      </c>
      <c r="BDS1" s="407" t="s">
        <v>1761</v>
      </c>
      <c r="BDT1" s="407" t="s">
        <v>1762</v>
      </c>
      <c r="BDU1" s="407" t="s">
        <v>1763</v>
      </c>
      <c r="BDV1" s="407" t="s">
        <v>1764</v>
      </c>
      <c r="BDW1" s="407" t="s">
        <v>1765</v>
      </c>
      <c r="BDX1" s="407" t="s">
        <v>1766</v>
      </c>
      <c r="BDY1" s="407" t="s">
        <v>1767</v>
      </c>
      <c r="BDZ1" s="407" t="s">
        <v>1768</v>
      </c>
      <c r="BEA1" s="407" t="s">
        <v>1769</v>
      </c>
      <c r="BEB1" s="407" t="s">
        <v>1770</v>
      </c>
      <c r="BEC1" s="407" t="s">
        <v>1771</v>
      </c>
      <c r="BED1" s="407" t="s">
        <v>1772</v>
      </c>
      <c r="BEE1" s="407" t="s">
        <v>113</v>
      </c>
      <c r="BEF1" s="407" t="s">
        <v>1773</v>
      </c>
      <c r="BEG1" s="407" t="s">
        <v>121</v>
      </c>
      <c r="BEH1" s="407" t="s">
        <v>1774</v>
      </c>
      <c r="BEI1" s="407" t="s">
        <v>1775</v>
      </c>
      <c r="BEJ1" s="407" t="s">
        <v>1776</v>
      </c>
      <c r="BEK1" s="407" t="s">
        <v>1777</v>
      </c>
      <c r="BEL1" s="407" t="s">
        <v>1778</v>
      </c>
      <c r="BEM1" s="407" t="s">
        <v>1779</v>
      </c>
      <c r="BEN1" s="407" t="s">
        <v>1780</v>
      </c>
      <c r="BEO1" s="407" t="s">
        <v>390</v>
      </c>
      <c r="BEP1" s="407" t="s">
        <v>1781</v>
      </c>
      <c r="BEQ1" s="407" t="s">
        <v>1782</v>
      </c>
      <c r="BER1" s="407" t="s">
        <v>1783</v>
      </c>
      <c r="BES1" s="407" t="s">
        <v>1784</v>
      </c>
      <c r="BET1" s="407" t="s">
        <v>1785</v>
      </c>
      <c r="BEU1" s="407" t="s">
        <v>1786</v>
      </c>
      <c r="BEV1" s="407" t="s">
        <v>1787</v>
      </c>
      <c r="BEW1" s="407" t="s">
        <v>1788</v>
      </c>
      <c r="BEX1" s="407" t="s">
        <v>1789</v>
      </c>
      <c r="BEY1" s="407" t="s">
        <v>1790</v>
      </c>
      <c r="BEZ1" s="407" t="s">
        <v>1791</v>
      </c>
      <c r="BFA1" s="407" t="s">
        <v>1792</v>
      </c>
      <c r="BFB1" s="407" t="s">
        <v>218</v>
      </c>
      <c r="BFC1" s="407" t="s">
        <v>1793</v>
      </c>
      <c r="BFD1" s="407" t="s">
        <v>208</v>
      </c>
      <c r="BFE1" s="407" t="s">
        <v>1794</v>
      </c>
      <c r="BFF1" s="407" t="s">
        <v>1795</v>
      </c>
      <c r="BFG1" s="407" t="s">
        <v>190</v>
      </c>
      <c r="BFH1" s="407" t="s">
        <v>1796</v>
      </c>
      <c r="BFI1" s="407" t="s">
        <v>1797</v>
      </c>
      <c r="BFJ1" s="407" t="s">
        <v>1798</v>
      </c>
      <c r="BFK1" s="407" t="s">
        <v>1799</v>
      </c>
      <c r="BFL1" s="407" t="s">
        <v>1800</v>
      </c>
      <c r="BFM1" s="407" t="s">
        <v>1801</v>
      </c>
      <c r="BFN1" s="407" t="s">
        <v>1802</v>
      </c>
      <c r="BFO1" s="407" t="s">
        <v>1803</v>
      </c>
      <c r="BFP1" s="407" t="s">
        <v>1804</v>
      </c>
      <c r="BFQ1" s="407" t="s">
        <v>1805</v>
      </c>
      <c r="BFR1" s="407" t="s">
        <v>1806</v>
      </c>
      <c r="BFS1" s="407" t="s">
        <v>1807</v>
      </c>
      <c r="BFT1" s="407" t="s">
        <v>111</v>
      </c>
      <c r="BFU1" s="407" t="s">
        <v>1808</v>
      </c>
      <c r="BFV1" s="407" t="s">
        <v>1809</v>
      </c>
      <c r="BFW1" s="407" t="s">
        <v>1810</v>
      </c>
      <c r="BFX1" s="407" t="s">
        <v>1811</v>
      </c>
      <c r="BFY1" s="407" t="s">
        <v>1812</v>
      </c>
      <c r="BFZ1" s="407" t="s">
        <v>1813</v>
      </c>
      <c r="BGA1" s="407" t="s">
        <v>1814</v>
      </c>
      <c r="BGB1" s="407" t="s">
        <v>1815</v>
      </c>
      <c r="BGC1" s="407" t="s">
        <v>1816</v>
      </c>
      <c r="BGD1" s="407" t="s">
        <v>1817</v>
      </c>
      <c r="BGE1" s="407" t="s">
        <v>1818</v>
      </c>
      <c r="BGF1" s="407" t="s">
        <v>1819</v>
      </c>
      <c r="BGG1" s="407" t="s">
        <v>1820</v>
      </c>
      <c r="BGH1" s="407" t="s">
        <v>1821</v>
      </c>
      <c r="BGI1" s="407" t="s">
        <v>118</v>
      </c>
      <c r="BGJ1" s="407" t="s">
        <v>1822</v>
      </c>
      <c r="BGK1" s="407" t="s">
        <v>1823</v>
      </c>
      <c r="BGL1" s="407" t="s">
        <v>293</v>
      </c>
      <c r="BGM1" s="407" t="s">
        <v>1824</v>
      </c>
      <c r="BGN1" s="407" t="s">
        <v>1825</v>
      </c>
      <c r="BGO1" s="407" t="s">
        <v>207</v>
      </c>
      <c r="BGP1" s="407" t="s">
        <v>1826</v>
      </c>
      <c r="BGQ1" s="407" t="s">
        <v>1827</v>
      </c>
      <c r="BGR1" s="407" t="s">
        <v>1828</v>
      </c>
      <c r="BGS1" s="407" t="s">
        <v>1829</v>
      </c>
      <c r="BGT1" s="407" t="s">
        <v>1830</v>
      </c>
      <c r="BGU1" s="407" t="s">
        <v>1831</v>
      </c>
      <c r="BGV1" s="407" t="s">
        <v>1832</v>
      </c>
      <c r="BGW1" s="407" t="s">
        <v>1833</v>
      </c>
      <c r="BGX1" s="407" t="s">
        <v>1834</v>
      </c>
      <c r="BGY1" s="407" t="s">
        <v>1835</v>
      </c>
      <c r="BGZ1" s="407" t="s">
        <v>1836</v>
      </c>
      <c r="BHA1" s="407" t="s">
        <v>1837</v>
      </c>
      <c r="BHB1" s="407" t="s">
        <v>1838</v>
      </c>
      <c r="BHC1" s="407" t="s">
        <v>1839</v>
      </c>
      <c r="BHD1" s="407" t="s">
        <v>1840</v>
      </c>
      <c r="BHE1" s="407" t="s">
        <v>1841</v>
      </c>
      <c r="BHF1" s="407" t="s">
        <v>1842</v>
      </c>
      <c r="BHG1" s="407" t="s">
        <v>1843</v>
      </c>
      <c r="BHH1" s="407" t="s">
        <v>1844</v>
      </c>
      <c r="BHI1" s="407" t="s">
        <v>1845</v>
      </c>
      <c r="BHJ1" s="407" t="s">
        <v>1846</v>
      </c>
      <c r="BHK1" s="407" t="s">
        <v>109</v>
      </c>
      <c r="BHL1" s="407" t="s">
        <v>82</v>
      </c>
      <c r="BHM1" s="407" t="s">
        <v>72</v>
      </c>
      <c r="BHN1" s="407" t="s">
        <v>1847</v>
      </c>
      <c r="BHO1" s="407" t="s">
        <v>1848</v>
      </c>
      <c r="BHP1" s="407" t="s">
        <v>1849</v>
      </c>
      <c r="BHQ1" s="407" t="s">
        <v>1850</v>
      </c>
      <c r="BHR1" s="407" t="s">
        <v>1851</v>
      </c>
      <c r="BHS1" s="407" t="s">
        <v>1852</v>
      </c>
      <c r="BHT1" s="407" t="s">
        <v>1853</v>
      </c>
      <c r="BHU1" s="407" t="s">
        <v>1854</v>
      </c>
      <c r="BHV1" s="407" t="s">
        <v>1855</v>
      </c>
      <c r="BHW1" s="407" t="s">
        <v>1856</v>
      </c>
      <c r="BHX1" s="407" t="s">
        <v>1857</v>
      </c>
      <c r="BHY1" s="407" t="s">
        <v>1858</v>
      </c>
      <c r="BHZ1" s="407" t="s">
        <v>1859</v>
      </c>
      <c r="BIA1" s="407" t="s">
        <v>1860</v>
      </c>
      <c r="BIB1" s="407" t="s">
        <v>1861</v>
      </c>
      <c r="BIC1" s="407" t="s">
        <v>1862</v>
      </c>
      <c r="BID1" s="407" t="s">
        <v>1863</v>
      </c>
      <c r="BIE1" s="407" t="s">
        <v>1864</v>
      </c>
      <c r="BIF1" s="407" t="s">
        <v>1865</v>
      </c>
      <c r="BIG1" s="407" t="s">
        <v>1866</v>
      </c>
      <c r="BIH1" s="407" t="s">
        <v>1867</v>
      </c>
      <c r="BII1" s="407" t="s">
        <v>1868</v>
      </c>
      <c r="BIJ1" s="407" t="s">
        <v>1869</v>
      </c>
      <c r="BIK1" s="407" t="s">
        <v>1870</v>
      </c>
      <c r="BIL1" s="407" t="s">
        <v>1871</v>
      </c>
      <c r="BIM1" s="407" t="s">
        <v>1872</v>
      </c>
      <c r="BIN1" s="407" t="s">
        <v>1873</v>
      </c>
      <c r="BIO1" s="407" t="s">
        <v>1874</v>
      </c>
      <c r="BIP1" s="407" t="s">
        <v>1875</v>
      </c>
      <c r="BIQ1" s="407" t="s">
        <v>1876</v>
      </c>
      <c r="BIR1" s="407" t="s">
        <v>1877</v>
      </c>
      <c r="BIS1" s="407" t="s">
        <v>1878</v>
      </c>
      <c r="BIT1" s="407" t="s">
        <v>88</v>
      </c>
      <c r="BIU1" s="407" t="s">
        <v>1879</v>
      </c>
      <c r="BIV1" s="407" t="s">
        <v>1880</v>
      </c>
      <c r="BIW1" s="407" t="s">
        <v>1881</v>
      </c>
      <c r="BIX1" s="407" t="s">
        <v>1882</v>
      </c>
      <c r="BIY1" s="407" t="s">
        <v>1883</v>
      </c>
      <c r="BIZ1" s="407" t="s">
        <v>1884</v>
      </c>
      <c r="BJA1" s="407" t="s">
        <v>1885</v>
      </c>
      <c r="BJB1" s="407" t="s">
        <v>1886</v>
      </c>
      <c r="BJC1" s="407" t="s">
        <v>1887</v>
      </c>
      <c r="BJD1" s="407" t="s">
        <v>1888</v>
      </c>
      <c r="BJE1" s="407" t="s">
        <v>1889</v>
      </c>
      <c r="BJF1" s="407" t="s">
        <v>1890</v>
      </c>
      <c r="BJG1" s="407" t="s">
        <v>1891</v>
      </c>
      <c r="BJH1" s="407" t="s">
        <v>1892</v>
      </c>
      <c r="BJI1" s="407" t="s">
        <v>1893</v>
      </c>
      <c r="BJJ1" s="407" t="s">
        <v>1894</v>
      </c>
      <c r="BJK1" s="407" t="s">
        <v>1895</v>
      </c>
      <c r="BJL1" s="407" t="s">
        <v>233</v>
      </c>
      <c r="BJM1" s="407" t="s">
        <v>1896</v>
      </c>
      <c r="BJN1" s="407" t="s">
        <v>1897</v>
      </c>
      <c r="BJO1" s="407" t="s">
        <v>1898</v>
      </c>
      <c r="BJP1" s="407" t="s">
        <v>1899</v>
      </c>
      <c r="BJQ1" s="407" t="s">
        <v>1900</v>
      </c>
      <c r="BJR1" s="407" t="s">
        <v>1901</v>
      </c>
      <c r="BJS1" s="407" t="s">
        <v>1902</v>
      </c>
      <c r="BJT1" s="407" t="s">
        <v>1903</v>
      </c>
      <c r="BJU1" s="407" t="s">
        <v>1904</v>
      </c>
      <c r="BJV1" s="407" t="s">
        <v>259</v>
      </c>
      <c r="BJW1" s="407" t="s">
        <v>1905</v>
      </c>
      <c r="BJX1" s="407" t="s">
        <v>1906</v>
      </c>
      <c r="BJY1" s="407" t="s">
        <v>1907</v>
      </c>
      <c r="BJZ1" s="407" t="s">
        <v>1908</v>
      </c>
      <c r="BKA1" s="407" t="s">
        <v>1909</v>
      </c>
      <c r="BKB1" s="407" t="s">
        <v>1910</v>
      </c>
      <c r="BKC1" s="407" t="s">
        <v>1911</v>
      </c>
      <c r="BKD1" s="407" t="s">
        <v>1912</v>
      </c>
      <c r="BKE1" s="407" t="s">
        <v>1913</v>
      </c>
      <c r="BKF1" s="407" t="s">
        <v>1914</v>
      </c>
      <c r="BKG1" s="407" t="s">
        <v>1915</v>
      </c>
      <c r="BKH1" s="407" t="s">
        <v>1916</v>
      </c>
      <c r="BKI1" s="407" t="s">
        <v>1917</v>
      </c>
      <c r="BKJ1" s="407" t="s">
        <v>1918</v>
      </c>
      <c r="BKK1" s="407" t="s">
        <v>1919</v>
      </c>
      <c r="BKL1" s="407" t="s">
        <v>1920</v>
      </c>
      <c r="BKM1" s="407" t="s">
        <v>1921</v>
      </c>
      <c r="BKN1" s="407" t="s">
        <v>1922</v>
      </c>
      <c r="BKO1" s="407" t="s">
        <v>1923</v>
      </c>
      <c r="BKP1" s="407" t="s">
        <v>61</v>
      </c>
      <c r="BKQ1" s="407" t="s">
        <v>1924</v>
      </c>
      <c r="BKR1" s="407" t="s">
        <v>1925</v>
      </c>
      <c r="BKS1" s="407" t="s">
        <v>1926</v>
      </c>
      <c r="BKT1" s="407" t="s">
        <v>1927</v>
      </c>
      <c r="BKU1" s="407" t="s">
        <v>1928</v>
      </c>
      <c r="BKV1" s="407" t="s">
        <v>1929</v>
      </c>
      <c r="BKW1" s="407" t="s">
        <v>1930</v>
      </c>
      <c r="BKX1" s="407" t="s">
        <v>1931</v>
      </c>
      <c r="BKY1" s="407" t="s">
        <v>1932</v>
      </c>
      <c r="BKZ1" s="407" t="s">
        <v>57</v>
      </c>
      <c r="BLA1" s="407" t="s">
        <v>1933</v>
      </c>
      <c r="BLB1" s="407" t="s">
        <v>1934</v>
      </c>
      <c r="BLC1" s="407" t="s">
        <v>1935</v>
      </c>
      <c r="BLD1" s="407" t="s">
        <v>1936</v>
      </c>
      <c r="BLE1" s="407" t="s">
        <v>1937</v>
      </c>
      <c r="BLF1" s="407" t="s">
        <v>1938</v>
      </c>
      <c r="BLG1" s="407" t="s">
        <v>1939</v>
      </c>
      <c r="BLH1" s="407" t="s">
        <v>1940</v>
      </c>
      <c r="BLI1" s="407" t="s">
        <v>1941</v>
      </c>
      <c r="BLJ1" s="407" t="s">
        <v>279</v>
      </c>
      <c r="BLK1" s="407" t="s">
        <v>1942</v>
      </c>
      <c r="BLL1" s="407" t="s">
        <v>1943</v>
      </c>
      <c r="BLM1" s="407" t="s">
        <v>1944</v>
      </c>
      <c r="BLN1" s="407" t="s">
        <v>1945</v>
      </c>
      <c r="BLO1" s="407" t="s">
        <v>1946</v>
      </c>
      <c r="BLP1" s="407" t="s">
        <v>1947</v>
      </c>
      <c r="BLQ1" s="407" t="s">
        <v>1948</v>
      </c>
      <c r="BLR1" s="407" t="s">
        <v>1949</v>
      </c>
      <c r="BLS1" s="407" t="s">
        <v>1950</v>
      </c>
      <c r="BLT1" s="407" t="s">
        <v>1951</v>
      </c>
      <c r="BLU1" s="407" t="s">
        <v>1952</v>
      </c>
      <c r="BLV1" s="407" t="s">
        <v>1953</v>
      </c>
      <c r="BLW1" s="407" t="s">
        <v>1954</v>
      </c>
      <c r="BLX1" s="407" t="s">
        <v>1955</v>
      </c>
      <c r="BLY1" s="407" t="s">
        <v>1956</v>
      </c>
      <c r="BLZ1" s="407" t="s">
        <v>1957</v>
      </c>
      <c r="BMA1" s="407" t="s">
        <v>1958</v>
      </c>
      <c r="BMB1" s="407" t="s">
        <v>1959</v>
      </c>
      <c r="BMC1" s="407" t="s">
        <v>1960</v>
      </c>
      <c r="BMD1" s="407" t="s">
        <v>1961</v>
      </c>
      <c r="BME1" s="407" t="s">
        <v>1962</v>
      </c>
      <c r="BMF1" s="407" t="s">
        <v>1963</v>
      </c>
      <c r="BMG1" s="407" t="s">
        <v>1964</v>
      </c>
      <c r="BMH1" s="407" t="s">
        <v>1965</v>
      </c>
      <c r="BMI1" s="407" t="s">
        <v>1966</v>
      </c>
      <c r="BMJ1" s="407" t="s">
        <v>1967</v>
      </c>
      <c r="BMK1" s="407" t="s">
        <v>1968</v>
      </c>
      <c r="BML1" s="407" t="s">
        <v>1969</v>
      </c>
      <c r="BMM1" s="407" t="s">
        <v>1970</v>
      </c>
      <c r="BMN1" s="407" t="s">
        <v>1971</v>
      </c>
      <c r="BMO1" s="407" t="s">
        <v>1972</v>
      </c>
      <c r="BMP1" s="407" t="s">
        <v>1973</v>
      </c>
      <c r="BMQ1" s="407" t="s">
        <v>1974</v>
      </c>
      <c r="BMR1" s="407" t="s">
        <v>1975</v>
      </c>
      <c r="BMS1" s="407" t="s">
        <v>1976</v>
      </c>
      <c r="BMT1" s="407" t="s">
        <v>1977</v>
      </c>
      <c r="BMU1" s="407" t="s">
        <v>1978</v>
      </c>
      <c r="BMV1" s="407" t="s">
        <v>1979</v>
      </c>
      <c r="BMW1" s="407" t="s">
        <v>1980</v>
      </c>
      <c r="BMX1" s="407" t="s">
        <v>1981</v>
      </c>
      <c r="BMY1" s="407" t="s">
        <v>1982</v>
      </c>
      <c r="BMZ1" s="407" t="s">
        <v>1983</v>
      </c>
      <c r="BNA1" s="407" t="s">
        <v>1984</v>
      </c>
      <c r="BNB1" s="407" t="s">
        <v>1985</v>
      </c>
      <c r="BNC1" s="407" t="s">
        <v>1986</v>
      </c>
      <c r="BND1" s="407" t="s">
        <v>1987</v>
      </c>
      <c r="BNE1" s="407" t="s">
        <v>1988</v>
      </c>
      <c r="BNF1" s="407" t="s">
        <v>1989</v>
      </c>
      <c r="BNG1" s="407" t="s">
        <v>1990</v>
      </c>
      <c r="BNH1" s="407" t="s">
        <v>1991</v>
      </c>
      <c r="BNI1" s="407" t="s">
        <v>1992</v>
      </c>
      <c r="BNJ1" s="407" t="s">
        <v>1993</v>
      </c>
      <c r="BNK1" s="407" t="s">
        <v>1994</v>
      </c>
      <c r="BNL1" s="407" t="s">
        <v>239</v>
      </c>
      <c r="BNM1" s="407" t="s">
        <v>1995</v>
      </c>
      <c r="BNN1" s="407" t="s">
        <v>1996</v>
      </c>
      <c r="BNO1" s="407" t="s">
        <v>1997</v>
      </c>
      <c r="BNP1" s="407" t="s">
        <v>1998</v>
      </c>
      <c r="BNQ1" s="407" t="s">
        <v>1999</v>
      </c>
      <c r="BNR1" s="407" t="s">
        <v>2000</v>
      </c>
      <c r="BNS1" s="407" t="s">
        <v>2001</v>
      </c>
      <c r="BNT1" s="407" t="s">
        <v>2002</v>
      </c>
      <c r="BNU1" s="407" t="s">
        <v>2003</v>
      </c>
      <c r="BNV1" s="407" t="s">
        <v>2004</v>
      </c>
      <c r="BNW1" s="407" t="s">
        <v>2005</v>
      </c>
      <c r="BNX1" s="407" t="s">
        <v>2006</v>
      </c>
      <c r="BNY1" s="407" t="s">
        <v>2007</v>
      </c>
      <c r="BNZ1" s="407" t="s">
        <v>2008</v>
      </c>
      <c r="BOA1" s="407" t="s">
        <v>2009</v>
      </c>
      <c r="BOB1" s="407" t="s">
        <v>2010</v>
      </c>
      <c r="BOC1" s="407" t="s">
        <v>2011</v>
      </c>
      <c r="BOD1" s="407" t="s">
        <v>2012</v>
      </c>
      <c r="BOE1" s="407" t="s">
        <v>2013</v>
      </c>
      <c r="BOF1" s="407" t="s">
        <v>2014</v>
      </c>
      <c r="BOG1" s="407" t="s">
        <v>2015</v>
      </c>
      <c r="BOH1" s="407" t="s">
        <v>2016</v>
      </c>
      <c r="BOI1" s="407" t="s">
        <v>2017</v>
      </c>
      <c r="BOJ1" s="407" t="s">
        <v>2018</v>
      </c>
      <c r="BOK1" s="407" t="s">
        <v>2019</v>
      </c>
      <c r="BOL1" s="407" t="s">
        <v>2020</v>
      </c>
      <c r="BOM1" s="407" t="s">
        <v>2021</v>
      </c>
      <c r="BON1" s="407" t="s">
        <v>2022</v>
      </c>
      <c r="BOO1" s="407" t="s">
        <v>2023</v>
      </c>
      <c r="BOP1" s="407" t="s">
        <v>2024</v>
      </c>
      <c r="BOQ1" s="407" t="s">
        <v>2025</v>
      </c>
      <c r="BOR1" s="407" t="s">
        <v>127</v>
      </c>
      <c r="BOS1" s="407" t="s">
        <v>2026</v>
      </c>
      <c r="BOT1" s="407" t="s">
        <v>2027</v>
      </c>
      <c r="BOU1" s="407" t="s">
        <v>2028</v>
      </c>
      <c r="BOV1" s="407" t="s">
        <v>2029</v>
      </c>
      <c r="BOW1" s="407" t="s">
        <v>2030</v>
      </c>
      <c r="BOX1" s="407" t="s">
        <v>76</v>
      </c>
      <c r="BOY1" s="407" t="s">
        <v>2031</v>
      </c>
      <c r="BOZ1" s="407" t="s">
        <v>2032</v>
      </c>
      <c r="BPA1" s="407" t="s">
        <v>2033</v>
      </c>
      <c r="BPB1" s="407" t="s">
        <v>2034</v>
      </c>
      <c r="BPC1" s="407" t="s">
        <v>2035</v>
      </c>
      <c r="BPD1" s="407" t="s">
        <v>2036</v>
      </c>
      <c r="BPE1" s="407" t="s">
        <v>2037</v>
      </c>
      <c r="BPF1" s="407" t="s">
        <v>2038</v>
      </c>
      <c r="BPG1" s="407" t="s">
        <v>2039</v>
      </c>
      <c r="BPH1" s="407" t="s">
        <v>2040</v>
      </c>
      <c r="BPI1" s="407" t="s">
        <v>2041</v>
      </c>
      <c r="BPJ1" s="407" t="s">
        <v>2042</v>
      </c>
      <c r="BPK1" s="407" t="s">
        <v>2043</v>
      </c>
      <c r="BPL1" s="407" t="s">
        <v>2044</v>
      </c>
      <c r="BPM1" s="407" t="s">
        <v>2045</v>
      </c>
      <c r="BPN1" s="407" t="s">
        <v>2046</v>
      </c>
      <c r="BPO1" s="407" t="s">
        <v>2047</v>
      </c>
      <c r="BPP1" s="407" t="s">
        <v>2048</v>
      </c>
      <c r="BPQ1" s="407" t="s">
        <v>2049</v>
      </c>
      <c r="BPR1" s="407" t="s">
        <v>2050</v>
      </c>
      <c r="BPS1" s="407" t="s">
        <v>2051</v>
      </c>
      <c r="BPT1" s="407" t="s">
        <v>2052</v>
      </c>
      <c r="BPU1" s="407" t="s">
        <v>2053</v>
      </c>
      <c r="BPV1" s="407" t="s">
        <v>2054</v>
      </c>
      <c r="BPW1" s="407" t="s">
        <v>2055</v>
      </c>
      <c r="BPX1" s="407" t="s">
        <v>2056</v>
      </c>
      <c r="BPY1" s="407" t="s">
        <v>2057</v>
      </c>
      <c r="BPZ1" s="407" t="s">
        <v>2058</v>
      </c>
      <c r="BQA1" s="407" t="s">
        <v>2059</v>
      </c>
      <c r="BQB1" s="407" t="s">
        <v>2060</v>
      </c>
      <c r="BQC1" s="407" t="s">
        <v>2061</v>
      </c>
      <c r="BQD1" s="407" t="s">
        <v>2062</v>
      </c>
      <c r="BQE1" s="407" t="s">
        <v>2063</v>
      </c>
      <c r="BQF1" s="407" t="s">
        <v>2064</v>
      </c>
      <c r="BQG1" s="407" t="s">
        <v>2065</v>
      </c>
      <c r="BQH1" s="407" t="s">
        <v>2066</v>
      </c>
      <c r="BQI1" s="407" t="s">
        <v>2067</v>
      </c>
      <c r="BQJ1" s="407" t="s">
        <v>2068</v>
      </c>
      <c r="BQK1" s="407" t="s">
        <v>2069</v>
      </c>
      <c r="BQL1" s="407" t="s">
        <v>2070</v>
      </c>
      <c r="BQM1" s="407" t="s">
        <v>2071</v>
      </c>
      <c r="BQN1" s="407" t="s">
        <v>2072</v>
      </c>
      <c r="BQO1" s="407" t="s">
        <v>2073</v>
      </c>
      <c r="BQP1" s="407" t="s">
        <v>2074</v>
      </c>
      <c r="BQQ1" s="407" t="s">
        <v>2075</v>
      </c>
      <c r="BQR1" s="407" t="s">
        <v>2076</v>
      </c>
      <c r="BQS1" s="407" t="s">
        <v>2077</v>
      </c>
      <c r="BQT1" s="407" t="s">
        <v>2078</v>
      </c>
      <c r="BQU1" s="407" t="s">
        <v>2079</v>
      </c>
      <c r="BQV1" s="407" t="s">
        <v>2080</v>
      </c>
      <c r="BQW1" s="407" t="s">
        <v>2081</v>
      </c>
      <c r="BQX1" s="407" t="s">
        <v>2082</v>
      </c>
      <c r="BQY1" s="407" t="s">
        <v>2083</v>
      </c>
      <c r="BQZ1" s="407" t="s">
        <v>2084</v>
      </c>
      <c r="BRA1" s="407" t="s">
        <v>2085</v>
      </c>
      <c r="BRB1" s="407" t="s">
        <v>2086</v>
      </c>
      <c r="BRC1" s="407" t="s">
        <v>2087</v>
      </c>
      <c r="BRD1" s="407" t="s">
        <v>2088</v>
      </c>
      <c r="BRE1" s="407" t="s">
        <v>2089</v>
      </c>
      <c r="BRF1" s="407" t="s">
        <v>2090</v>
      </c>
      <c r="BRG1" s="407" t="s">
        <v>2091</v>
      </c>
      <c r="BRH1" s="407" t="s">
        <v>2092</v>
      </c>
      <c r="BRI1" s="407" t="s">
        <v>2093</v>
      </c>
      <c r="BRJ1" s="407" t="s">
        <v>2094</v>
      </c>
      <c r="BRK1" s="407" t="s">
        <v>2095</v>
      </c>
      <c r="BRL1" s="407" t="s">
        <v>2096</v>
      </c>
      <c r="BRM1" s="407" t="s">
        <v>2097</v>
      </c>
      <c r="BRN1" s="407" t="s">
        <v>2098</v>
      </c>
      <c r="BRO1" s="407" t="s">
        <v>79</v>
      </c>
      <c r="BRP1" s="407" t="s">
        <v>2099</v>
      </c>
      <c r="BRQ1" s="407" t="s">
        <v>2100</v>
      </c>
      <c r="BRR1" s="407" t="s">
        <v>2101</v>
      </c>
      <c r="BRS1" s="407" t="s">
        <v>2102</v>
      </c>
      <c r="BRT1" s="407" t="s">
        <v>123</v>
      </c>
      <c r="BRU1" s="407" t="s">
        <v>2103</v>
      </c>
      <c r="BRV1" s="407" t="s">
        <v>2104</v>
      </c>
      <c r="BRW1" s="407" t="s">
        <v>2105</v>
      </c>
      <c r="BRX1" s="407" t="s">
        <v>2106</v>
      </c>
      <c r="BRY1" s="407" t="s">
        <v>2107</v>
      </c>
      <c r="BRZ1" s="407" t="s">
        <v>2108</v>
      </c>
      <c r="BSA1" s="407" t="s">
        <v>2109</v>
      </c>
      <c r="BSB1" s="407" t="s">
        <v>258</v>
      </c>
      <c r="BSC1" s="407" t="s">
        <v>2110</v>
      </c>
      <c r="BSD1" s="407" t="s">
        <v>241</v>
      </c>
      <c r="BSE1" s="407" t="s">
        <v>2111</v>
      </c>
      <c r="BSF1" s="407" t="s">
        <v>2112</v>
      </c>
      <c r="BSG1" s="407" t="s">
        <v>2113</v>
      </c>
      <c r="BSH1" s="407" t="s">
        <v>2114</v>
      </c>
      <c r="BSI1" s="407" t="s">
        <v>2115</v>
      </c>
      <c r="BSJ1" s="407" t="s">
        <v>2116</v>
      </c>
      <c r="BSK1" s="407" t="s">
        <v>2117</v>
      </c>
      <c r="BSL1" s="407" t="s">
        <v>196</v>
      </c>
      <c r="BSM1" s="407" t="s">
        <v>2118</v>
      </c>
      <c r="BSN1" s="407" t="s">
        <v>2119</v>
      </c>
      <c r="BSO1" s="407" t="s">
        <v>2120</v>
      </c>
      <c r="BSP1" s="407" t="s">
        <v>2121</v>
      </c>
      <c r="BSQ1" s="407" t="s">
        <v>2122</v>
      </c>
      <c r="BSR1" s="407" t="s">
        <v>209</v>
      </c>
      <c r="BSS1" s="407" t="s">
        <v>2123</v>
      </c>
      <c r="BST1" s="407" t="s">
        <v>2124</v>
      </c>
      <c r="BSU1" s="407" t="s">
        <v>2125</v>
      </c>
      <c r="BSV1" s="407" t="s">
        <v>2126</v>
      </c>
      <c r="BSW1" s="407" t="s">
        <v>2127</v>
      </c>
      <c r="BSX1" s="407" t="s">
        <v>2128</v>
      </c>
      <c r="BSY1" s="407" t="s">
        <v>2129</v>
      </c>
      <c r="BSZ1" s="407" t="s">
        <v>2130</v>
      </c>
      <c r="BTA1" s="407" t="s">
        <v>2131</v>
      </c>
      <c r="BTB1" s="407" t="s">
        <v>2132</v>
      </c>
      <c r="BTC1" s="407" t="s">
        <v>2133</v>
      </c>
      <c r="BTD1" s="407" t="s">
        <v>2134</v>
      </c>
      <c r="BTE1" s="407" t="s">
        <v>2135</v>
      </c>
      <c r="BTF1" s="407" t="s">
        <v>2136</v>
      </c>
      <c r="BTG1" s="407" t="s">
        <v>2137</v>
      </c>
      <c r="BTH1" s="407" t="s">
        <v>2138</v>
      </c>
      <c r="BTI1" s="407" t="s">
        <v>189</v>
      </c>
      <c r="BTJ1" s="407" t="s">
        <v>2139</v>
      </c>
      <c r="BTK1" s="407" t="s">
        <v>2140</v>
      </c>
      <c r="BTL1" s="407" t="s">
        <v>384</v>
      </c>
      <c r="BTM1" s="407" t="s">
        <v>2141</v>
      </c>
      <c r="BTN1" s="407" t="s">
        <v>246</v>
      </c>
      <c r="BTO1" s="407" t="s">
        <v>2142</v>
      </c>
      <c r="BTP1" s="407" t="s">
        <v>2143</v>
      </c>
      <c r="BTQ1" s="407" t="s">
        <v>2144</v>
      </c>
      <c r="BTR1" s="407" t="s">
        <v>2145</v>
      </c>
      <c r="BTS1" s="407" t="s">
        <v>2146</v>
      </c>
      <c r="BTT1" s="407" t="s">
        <v>2147</v>
      </c>
      <c r="BTU1" s="407" t="s">
        <v>2148</v>
      </c>
      <c r="BTV1" s="407" t="s">
        <v>2149</v>
      </c>
      <c r="BTW1" s="407" t="s">
        <v>2150</v>
      </c>
      <c r="BTX1" s="407" t="s">
        <v>108</v>
      </c>
      <c r="BTY1" s="407" t="s">
        <v>2151</v>
      </c>
      <c r="BTZ1" s="407" t="s">
        <v>272</v>
      </c>
      <c r="BUA1" s="407" t="s">
        <v>2152</v>
      </c>
      <c r="BUB1" s="407" t="s">
        <v>2153</v>
      </c>
      <c r="BUC1" s="407" t="s">
        <v>2154</v>
      </c>
      <c r="BUD1" s="407" t="s">
        <v>2155</v>
      </c>
      <c r="BUE1" s="407" t="s">
        <v>2156</v>
      </c>
      <c r="BUF1" s="407" t="s">
        <v>2157</v>
      </c>
      <c r="BUG1" s="407" t="s">
        <v>2158</v>
      </c>
      <c r="BUH1" s="407" t="s">
        <v>2159</v>
      </c>
      <c r="BUI1" s="407" t="s">
        <v>2160</v>
      </c>
      <c r="BUJ1" s="407" t="s">
        <v>2161</v>
      </c>
      <c r="BUK1" s="407" t="s">
        <v>2162</v>
      </c>
      <c r="BUL1" s="407" t="s">
        <v>2163</v>
      </c>
      <c r="BUM1" s="407" t="s">
        <v>2164</v>
      </c>
      <c r="BUN1" s="407" t="s">
        <v>2165</v>
      </c>
      <c r="BUO1" s="407" t="s">
        <v>2166</v>
      </c>
      <c r="BUP1" s="407" t="s">
        <v>2167</v>
      </c>
      <c r="BUQ1" s="407" t="s">
        <v>2168</v>
      </c>
      <c r="BUR1" s="407" t="s">
        <v>2169</v>
      </c>
      <c r="BUS1" s="407" t="s">
        <v>2170</v>
      </c>
      <c r="BUT1" s="407" t="s">
        <v>2171</v>
      </c>
      <c r="BUU1" s="407" t="s">
        <v>2172</v>
      </c>
      <c r="BUV1" s="407" t="s">
        <v>2173</v>
      </c>
      <c r="BUW1" s="407" t="s">
        <v>2174</v>
      </c>
      <c r="BUX1" s="407" t="s">
        <v>2175</v>
      </c>
      <c r="BUY1" s="407" t="s">
        <v>2176</v>
      </c>
      <c r="BUZ1" s="407" t="s">
        <v>160</v>
      </c>
      <c r="BVA1" s="407" t="s">
        <v>2177</v>
      </c>
      <c r="BVB1" s="407" t="s">
        <v>2178</v>
      </c>
      <c r="BVC1" s="407" t="s">
        <v>2179</v>
      </c>
      <c r="BVD1" s="407" t="s">
        <v>2180</v>
      </c>
      <c r="BVE1" s="407" t="s">
        <v>2181</v>
      </c>
      <c r="BVF1" s="407" t="s">
        <v>2182</v>
      </c>
      <c r="BVG1" s="407" t="s">
        <v>2183</v>
      </c>
      <c r="BVH1" s="407" t="s">
        <v>2184</v>
      </c>
      <c r="BVI1" s="407" t="s">
        <v>2185</v>
      </c>
      <c r="BVJ1" s="407" t="s">
        <v>2186</v>
      </c>
      <c r="BVK1" s="407" t="s">
        <v>2187</v>
      </c>
      <c r="BVL1" s="407" t="s">
        <v>2188</v>
      </c>
      <c r="BVM1" s="407" t="s">
        <v>131</v>
      </c>
      <c r="BVN1" s="407" t="s">
        <v>2189</v>
      </c>
      <c r="BVO1" s="407" t="s">
        <v>2190</v>
      </c>
      <c r="BVP1" s="407" t="s">
        <v>2191</v>
      </c>
      <c r="BVQ1" s="407" t="s">
        <v>2192</v>
      </c>
      <c r="BVR1" s="407" t="s">
        <v>242</v>
      </c>
      <c r="BVS1" s="407" t="s">
        <v>2193</v>
      </c>
      <c r="BVT1" s="407" t="s">
        <v>2194</v>
      </c>
      <c r="BVU1" s="407" t="s">
        <v>2195</v>
      </c>
      <c r="BVV1" s="407" t="s">
        <v>2196</v>
      </c>
      <c r="BVW1" s="407" t="s">
        <v>2197</v>
      </c>
      <c r="BVX1" s="407" t="s">
        <v>2198</v>
      </c>
      <c r="BVY1" s="407" t="s">
        <v>2199</v>
      </c>
      <c r="BVZ1" s="407" t="s">
        <v>2200</v>
      </c>
      <c r="BWA1" s="407" t="s">
        <v>2201</v>
      </c>
      <c r="BWB1" s="407" t="s">
        <v>2202</v>
      </c>
      <c r="BWC1" s="407" t="s">
        <v>2203</v>
      </c>
      <c r="BWD1" s="407" t="s">
        <v>2204</v>
      </c>
      <c r="BWE1" s="407" t="s">
        <v>2205</v>
      </c>
      <c r="BWF1" s="407" t="s">
        <v>2206</v>
      </c>
      <c r="BWG1" s="407" t="s">
        <v>2207</v>
      </c>
      <c r="BWH1" s="407" t="s">
        <v>2208</v>
      </c>
      <c r="BWI1" s="407" t="s">
        <v>2209</v>
      </c>
      <c r="BWJ1" s="407" t="s">
        <v>365</v>
      </c>
      <c r="BWK1" s="407" t="s">
        <v>2210</v>
      </c>
      <c r="BWL1" s="407" t="s">
        <v>195</v>
      </c>
      <c r="BWM1" s="407" t="s">
        <v>2211</v>
      </c>
      <c r="BWN1" s="407" t="s">
        <v>296</v>
      </c>
      <c r="BWO1" s="407" t="s">
        <v>2212</v>
      </c>
      <c r="BWP1" s="407" t="s">
        <v>2213</v>
      </c>
      <c r="BWQ1" s="407" t="s">
        <v>2214</v>
      </c>
      <c r="BWR1" s="407" t="s">
        <v>2215</v>
      </c>
      <c r="BWS1" s="407" t="s">
        <v>302</v>
      </c>
      <c r="BWT1" s="407" t="s">
        <v>2216</v>
      </c>
      <c r="BWU1" s="407" t="s">
        <v>2217</v>
      </c>
      <c r="BWV1" s="407" t="s">
        <v>362</v>
      </c>
      <c r="BWW1" s="407" t="s">
        <v>2218</v>
      </c>
      <c r="BWX1" s="407" t="s">
        <v>193</v>
      </c>
      <c r="BWY1" s="407" t="s">
        <v>2219</v>
      </c>
      <c r="BWZ1" s="407" t="s">
        <v>356</v>
      </c>
      <c r="BXA1" s="407" t="s">
        <v>2220</v>
      </c>
      <c r="BXB1" s="407" t="s">
        <v>2221</v>
      </c>
      <c r="BXC1" s="407" t="s">
        <v>367</v>
      </c>
      <c r="BXD1" s="407" t="s">
        <v>2222</v>
      </c>
      <c r="BXE1" s="407" t="s">
        <v>186</v>
      </c>
      <c r="BXF1" s="407" t="s">
        <v>2223</v>
      </c>
      <c r="BXG1" s="407" t="s">
        <v>359</v>
      </c>
      <c r="BXH1" s="407" t="s">
        <v>2224</v>
      </c>
      <c r="BXI1" s="407" t="s">
        <v>2225</v>
      </c>
      <c r="BXJ1" s="407" t="s">
        <v>353</v>
      </c>
      <c r="BXK1" s="407" t="s">
        <v>2226</v>
      </c>
      <c r="BXL1" s="407" t="s">
        <v>2227</v>
      </c>
      <c r="BXM1" s="407" t="s">
        <v>2228</v>
      </c>
      <c r="BXN1" s="407" t="s">
        <v>249</v>
      </c>
      <c r="BXO1" s="407" t="s">
        <v>2229</v>
      </c>
      <c r="BXP1" s="407" t="s">
        <v>2230</v>
      </c>
      <c r="BXQ1" s="407" t="s">
        <v>2231</v>
      </c>
      <c r="BXR1" s="407" t="s">
        <v>2232</v>
      </c>
      <c r="BXS1" s="407" t="s">
        <v>2233</v>
      </c>
      <c r="BXT1" s="407" t="s">
        <v>2234</v>
      </c>
      <c r="BXU1" s="407" t="s">
        <v>2235</v>
      </c>
      <c r="BXV1" s="407" t="s">
        <v>2236</v>
      </c>
      <c r="BXW1" s="407" t="s">
        <v>2237</v>
      </c>
      <c r="BXX1" s="407" t="s">
        <v>2238</v>
      </c>
      <c r="BXY1" s="407" t="s">
        <v>2239</v>
      </c>
      <c r="BXZ1" s="407" t="s">
        <v>2240</v>
      </c>
      <c r="BYA1" s="407" t="s">
        <v>237</v>
      </c>
      <c r="BYB1" s="407" t="s">
        <v>2241</v>
      </c>
      <c r="BYC1" s="407" t="s">
        <v>2242</v>
      </c>
      <c r="BYD1" s="407" t="s">
        <v>2243</v>
      </c>
      <c r="BYE1" s="407" t="s">
        <v>2244</v>
      </c>
      <c r="BYF1" s="407" t="s">
        <v>2245</v>
      </c>
      <c r="BYG1" s="407" t="s">
        <v>2246</v>
      </c>
      <c r="BYH1" s="407" t="s">
        <v>2247</v>
      </c>
      <c r="BYI1" s="407" t="s">
        <v>2248</v>
      </c>
      <c r="BYJ1" s="407" t="s">
        <v>2249</v>
      </c>
      <c r="BYK1" s="407" t="s">
        <v>2250</v>
      </c>
      <c r="BYL1" s="407" t="s">
        <v>2251</v>
      </c>
      <c r="BYM1" s="407" t="s">
        <v>2252</v>
      </c>
      <c r="BYN1" s="407" t="s">
        <v>2253</v>
      </c>
      <c r="BYO1" s="407" t="s">
        <v>2254</v>
      </c>
      <c r="BYP1" s="407" t="s">
        <v>2255</v>
      </c>
      <c r="BYQ1" s="407" t="s">
        <v>2256</v>
      </c>
      <c r="BYR1" s="407" t="s">
        <v>2257</v>
      </c>
      <c r="BYS1" s="407" t="s">
        <v>2258</v>
      </c>
      <c r="BYT1" s="407" t="s">
        <v>2259</v>
      </c>
      <c r="BYU1" s="407" t="s">
        <v>60</v>
      </c>
      <c r="BYV1" s="407" t="s">
        <v>2260</v>
      </c>
      <c r="BYW1" s="407" t="s">
        <v>2261</v>
      </c>
      <c r="BYX1" s="407" t="s">
        <v>2262</v>
      </c>
      <c r="BYY1" s="407" t="s">
        <v>2263</v>
      </c>
      <c r="BYZ1" s="407" t="s">
        <v>2264</v>
      </c>
      <c r="BZA1" s="407" t="s">
        <v>2265</v>
      </c>
      <c r="BZB1" s="407" t="s">
        <v>2266</v>
      </c>
      <c r="BZC1" s="407" t="s">
        <v>2267</v>
      </c>
      <c r="BZD1" s="407" t="s">
        <v>2268</v>
      </c>
      <c r="BZE1" s="407" t="s">
        <v>2269</v>
      </c>
      <c r="BZF1" s="407" t="s">
        <v>2270</v>
      </c>
      <c r="BZG1" s="407" t="s">
        <v>2271</v>
      </c>
      <c r="BZH1" s="407" t="s">
        <v>2272</v>
      </c>
      <c r="BZI1" s="407" t="s">
        <v>2273</v>
      </c>
      <c r="BZJ1" s="407" t="s">
        <v>2274</v>
      </c>
      <c r="BZK1" s="407" t="s">
        <v>2275</v>
      </c>
      <c r="BZL1" s="407" t="s">
        <v>2276</v>
      </c>
      <c r="BZM1" s="407" t="s">
        <v>2277</v>
      </c>
      <c r="BZN1" s="407" t="s">
        <v>2278</v>
      </c>
      <c r="BZO1" s="407" t="s">
        <v>2279</v>
      </c>
      <c r="BZP1" s="407" t="s">
        <v>2280</v>
      </c>
      <c r="BZQ1" s="407" t="s">
        <v>2281</v>
      </c>
      <c r="BZR1" s="407" t="s">
        <v>2282</v>
      </c>
      <c r="BZS1" s="407" t="s">
        <v>2283</v>
      </c>
      <c r="BZT1" s="407" t="s">
        <v>2284</v>
      </c>
      <c r="BZU1" s="407" t="s">
        <v>2285</v>
      </c>
      <c r="BZV1" s="407" t="s">
        <v>2286</v>
      </c>
      <c r="BZW1" s="407" t="s">
        <v>2287</v>
      </c>
      <c r="BZX1" s="407" t="s">
        <v>2288</v>
      </c>
      <c r="BZY1" s="407" t="s">
        <v>161</v>
      </c>
      <c r="BZZ1" s="407" t="s">
        <v>2289</v>
      </c>
      <c r="CAA1" s="407" t="s">
        <v>2290</v>
      </c>
      <c r="CAB1" s="407" t="s">
        <v>2291</v>
      </c>
      <c r="CAC1" s="407" t="s">
        <v>2292</v>
      </c>
      <c r="CAD1" s="407" t="s">
        <v>2293</v>
      </c>
      <c r="CAE1" s="407" t="s">
        <v>2294</v>
      </c>
      <c r="CAF1" s="407" t="s">
        <v>2295</v>
      </c>
      <c r="CAG1" s="407" t="s">
        <v>2296</v>
      </c>
      <c r="CAH1" s="407" t="s">
        <v>2297</v>
      </c>
      <c r="CAI1" s="407" t="s">
        <v>2298</v>
      </c>
      <c r="CAJ1" s="407" t="s">
        <v>2299</v>
      </c>
      <c r="CAK1" s="407" t="s">
        <v>2300</v>
      </c>
      <c r="CAL1" s="407" t="s">
        <v>2301</v>
      </c>
      <c r="CAM1" s="407" t="s">
        <v>2302</v>
      </c>
      <c r="CAN1" s="407" t="s">
        <v>2303</v>
      </c>
      <c r="CAO1" s="407" t="s">
        <v>2304</v>
      </c>
      <c r="CAP1" s="407" t="s">
        <v>2305</v>
      </c>
      <c r="CAQ1" s="407" t="s">
        <v>2306</v>
      </c>
      <c r="CAR1" s="407" t="s">
        <v>2307</v>
      </c>
      <c r="CAS1" s="407" t="s">
        <v>2308</v>
      </c>
      <c r="CAT1" s="407" t="s">
        <v>2309</v>
      </c>
      <c r="CAU1" s="407" t="s">
        <v>2310</v>
      </c>
      <c r="CAV1" s="407" t="s">
        <v>2311</v>
      </c>
      <c r="CAW1" s="407" t="s">
        <v>2312</v>
      </c>
      <c r="CAX1" s="407" t="s">
        <v>2313</v>
      </c>
      <c r="CAY1" s="407" t="s">
        <v>159</v>
      </c>
      <c r="CAZ1" s="407" t="s">
        <v>2314</v>
      </c>
      <c r="CBA1" s="407" t="s">
        <v>2315</v>
      </c>
      <c r="CBB1" s="407" t="s">
        <v>2316</v>
      </c>
      <c r="CBC1" s="407" t="s">
        <v>2317</v>
      </c>
      <c r="CBD1" s="407" t="s">
        <v>2318</v>
      </c>
      <c r="CBE1" s="407" t="s">
        <v>2319</v>
      </c>
      <c r="CBF1" s="407" t="s">
        <v>2320</v>
      </c>
      <c r="CBG1" s="407" t="s">
        <v>2321</v>
      </c>
      <c r="CBH1" s="407" t="s">
        <v>2322</v>
      </c>
      <c r="CBI1" s="407" t="s">
        <v>2323</v>
      </c>
      <c r="CBJ1" s="407" t="s">
        <v>2324</v>
      </c>
      <c r="CBK1" s="407" t="s">
        <v>2325</v>
      </c>
      <c r="CBL1" s="407" t="s">
        <v>2326</v>
      </c>
      <c r="CBM1" s="407" t="s">
        <v>2327</v>
      </c>
      <c r="CBN1" s="407" t="s">
        <v>2328</v>
      </c>
      <c r="CBO1" s="407" t="s">
        <v>2329</v>
      </c>
      <c r="CBP1" s="407" t="s">
        <v>2330</v>
      </c>
      <c r="CBQ1" s="407" t="s">
        <v>2331</v>
      </c>
      <c r="CBR1" s="407" t="s">
        <v>2332</v>
      </c>
      <c r="CBS1" s="407" t="s">
        <v>2333</v>
      </c>
      <c r="CBT1" s="407" t="s">
        <v>2334</v>
      </c>
      <c r="CBU1" s="407" t="s">
        <v>2335</v>
      </c>
      <c r="CBV1" s="407" t="s">
        <v>2336</v>
      </c>
      <c r="CBW1" s="409"/>
    </row>
    <row r="2">
      <c r="A2" s="410" t="s">
        <v>4</v>
      </c>
      <c r="B2" s="179">
        <f>IFERROR(VLOOKUP(B$1,Capital!$B$16:$C$18,2,FALSE),0%)</f>
        <v>0</v>
      </c>
      <c r="C2" s="179">
        <f>IFERROR(VLOOKUP(C$1,Capital!$B$16:$C$18,2,FALSE),0%)</f>
        <v>0</v>
      </c>
      <c r="D2" s="179">
        <f>IFERROR(VLOOKUP(D$1,Capital!$B$16:$C$18,2,FALSE),0%)</f>
        <v>0</v>
      </c>
      <c r="E2" s="179">
        <f>IFERROR(VLOOKUP(E$1,Capital!$B$16:$C$18,2,FALSE),0%)</f>
        <v>0</v>
      </c>
      <c r="F2" s="179">
        <f>IFERROR(VLOOKUP(F$1,Capital!$B$16:$C$18,2,FALSE),0%)</f>
        <v>0</v>
      </c>
      <c r="G2" s="179">
        <f>IFERROR(VLOOKUP(G$1,Capital!$B$16:$C$18,2,FALSE),0%)</f>
        <v>0</v>
      </c>
      <c r="H2" s="179">
        <f>IFERROR(VLOOKUP(H$1,Capital!$B$16:$C$18,2,FALSE),0%)</f>
        <v>0</v>
      </c>
      <c r="I2" s="179">
        <f>IFERROR(VLOOKUP(I$1,Capital!$B$16:$C$18,2,FALSE),0%)</f>
        <v>0</v>
      </c>
      <c r="J2" s="179">
        <f>IFERROR(VLOOKUP(J$1,Capital!$B$16:$C$18,2,FALSE),0%)</f>
        <v>0</v>
      </c>
      <c r="K2" s="179">
        <f>IFERROR(VLOOKUP(K$1,Capital!$B$16:$C$18,2,FALSE),0%)</f>
        <v>0</v>
      </c>
      <c r="L2" s="179">
        <f>IFERROR(VLOOKUP(L$1,Capital!$B$16:$C$18,2,FALSE),0%)</f>
        <v>0</v>
      </c>
      <c r="M2" s="179">
        <f>IFERROR(VLOOKUP(M$1,Capital!$B$16:$C$18,2,FALSE),0%)</f>
        <v>0</v>
      </c>
      <c r="N2" s="179">
        <f>IFERROR(VLOOKUP(N$1,Capital!$B$16:$C$18,2,FALSE),0%)</f>
        <v>0</v>
      </c>
      <c r="O2" s="179">
        <f>IFERROR(VLOOKUP(O$1,Capital!$B$16:$C$18,2,FALSE),0%)</f>
        <v>0</v>
      </c>
      <c r="P2" s="179">
        <f>IFERROR(VLOOKUP(P$1,Capital!$B$16:$C$18,2,FALSE),0%)</f>
        <v>0</v>
      </c>
      <c r="Q2" s="179">
        <f>IFERROR(VLOOKUP(Q$1,Capital!$B$16:$C$18,2,FALSE),0%)</f>
        <v>0</v>
      </c>
      <c r="R2" s="179">
        <f>IFERROR(VLOOKUP(R$1,Capital!$B$16:$C$18,2,FALSE),0%)</f>
        <v>0</v>
      </c>
      <c r="S2" s="179">
        <f>IFERROR(VLOOKUP(S$1,Capital!$B$16:$C$18,2,FALSE),0%)</f>
        <v>0</v>
      </c>
      <c r="T2" s="179">
        <f>IFERROR(VLOOKUP(T$1,Capital!$B$16:$C$18,2,FALSE),0%)</f>
        <v>0</v>
      </c>
      <c r="U2" s="179">
        <f>IFERROR(VLOOKUP(U$1,Capital!$B$16:$C$18,2,FALSE),0%)</f>
        <v>0</v>
      </c>
      <c r="V2" s="179">
        <f>IFERROR(VLOOKUP(V$1,Capital!$B$16:$C$18,2,FALSE),0%)</f>
        <v>0</v>
      </c>
      <c r="W2" s="179">
        <f>IFERROR(VLOOKUP(W$1,Capital!$B$16:$C$18,2,FALSE),0%)</f>
        <v>0</v>
      </c>
      <c r="X2" s="179">
        <f>IFERROR(VLOOKUP(X$1,Capital!$B$16:$C$18,2,FALSE),0%)</f>
        <v>0</v>
      </c>
      <c r="Y2" s="179">
        <f>IFERROR(VLOOKUP(Y$1,Capital!$B$16:$C$18,2,FALSE),0%)</f>
        <v>0</v>
      </c>
      <c r="Z2" s="179">
        <f>IFERROR(VLOOKUP(Z$1,Capital!$B$16:$C$18,2,FALSE),0%)</f>
        <v>0</v>
      </c>
      <c r="AA2" s="179">
        <f>IFERROR(VLOOKUP(AA$1,Capital!$B$16:$C$18,2,FALSE),0%)</f>
        <v>0</v>
      </c>
      <c r="AB2" s="179">
        <f>IFERROR(VLOOKUP(AB$1,Capital!$B$16:$C$18,2,FALSE),0%)</f>
        <v>0</v>
      </c>
      <c r="AC2" s="179">
        <f>IFERROR(VLOOKUP(AC$1,Capital!$B$16:$C$18,2,FALSE),0%)</f>
        <v>0</v>
      </c>
      <c r="AD2" s="179">
        <f>IFERROR(VLOOKUP(AD$1,Capital!$B$16:$C$18,2,FALSE),0%)</f>
        <v>0</v>
      </c>
      <c r="AE2" s="179">
        <f>IFERROR(VLOOKUP(AE$1,Capital!$B$16:$C$18,2,FALSE),0%)</f>
        <v>0</v>
      </c>
      <c r="AF2" s="179">
        <f>IFERROR(VLOOKUP(AF$1,Capital!$B$16:$C$18,2,FALSE),0%)</f>
        <v>0</v>
      </c>
      <c r="AG2" s="179">
        <f>IFERROR(VLOOKUP(AG$1,Capital!$B$16:$C$18,2,FALSE),0%)</f>
        <v>0</v>
      </c>
      <c r="AH2" s="179">
        <f>IFERROR(VLOOKUP(AH$1,Capital!$B$16:$C$18,2,FALSE),0%)</f>
        <v>0</v>
      </c>
      <c r="AI2" s="179">
        <f>IFERROR(VLOOKUP(AI$1,Capital!$B$16:$C$18,2,FALSE),0%)</f>
        <v>0</v>
      </c>
      <c r="AJ2" s="179">
        <f>IFERROR(VLOOKUP(AJ$1,Capital!$B$16:$C$18,2,FALSE),0%)</f>
        <v>0</v>
      </c>
      <c r="AK2" s="179">
        <f>IFERROR(VLOOKUP(AK$1,Capital!$B$16:$C$18,2,FALSE),0%)</f>
        <v>0</v>
      </c>
      <c r="AL2" s="179">
        <f>IFERROR(VLOOKUP(AL$1,Capital!$B$16:$C$18,2,FALSE),0%)</f>
        <v>0</v>
      </c>
      <c r="AM2" s="179">
        <f>IFERROR(VLOOKUP(AM$1,Capital!$B$16:$C$18,2,FALSE),0%)</f>
        <v>0</v>
      </c>
      <c r="AN2" s="179">
        <f>IFERROR(VLOOKUP(AN$1,Capital!$B$16:$C$18,2,FALSE),0%)</f>
        <v>0</v>
      </c>
      <c r="AO2" s="179">
        <f>IFERROR(VLOOKUP(AO$1,Capital!$B$16:$C$18,2,FALSE),0%)</f>
        <v>0</v>
      </c>
      <c r="AP2" s="179">
        <f>IFERROR(VLOOKUP(AP$1,Capital!$B$16:$C$18,2,FALSE),0%)</f>
        <v>0</v>
      </c>
      <c r="AQ2" s="179">
        <f>IFERROR(VLOOKUP(AQ$1,Capital!$B$16:$C$18,2,FALSE),0%)</f>
        <v>0</v>
      </c>
      <c r="AR2" s="179">
        <f>IFERROR(VLOOKUP(AR$1,Capital!$B$16:$C$18,2,FALSE),0%)</f>
        <v>0</v>
      </c>
      <c r="AS2" s="179">
        <f>IFERROR(VLOOKUP(AS$1,Capital!$B$16:$C$18,2,FALSE),0%)</f>
        <v>0</v>
      </c>
      <c r="AT2" s="179">
        <f>IFERROR(VLOOKUP(AT$1,Capital!$B$16:$C$18,2,FALSE),0%)</f>
        <v>0</v>
      </c>
      <c r="AU2" s="179">
        <f>IFERROR(VLOOKUP(AU$1,Capital!$B$16:$C$18,2,FALSE),0%)</f>
        <v>0</v>
      </c>
      <c r="AV2" s="179">
        <f>IFERROR(VLOOKUP(AV$1,Capital!$B$16:$C$18,2,FALSE),0%)</f>
        <v>0</v>
      </c>
      <c r="AW2" s="179">
        <f>IFERROR(VLOOKUP(AW$1,Capital!$B$16:$C$18,2,FALSE),0%)</f>
        <v>0</v>
      </c>
      <c r="AX2" s="179">
        <f>IFERROR(VLOOKUP(AX$1,Capital!$B$16:$C$18,2,FALSE),0%)</f>
        <v>0</v>
      </c>
      <c r="AY2" s="179">
        <f>IFERROR(VLOOKUP(AY$1,Capital!$B$16:$C$18,2,FALSE),0%)</f>
        <v>0</v>
      </c>
      <c r="AZ2" s="179">
        <f>IFERROR(VLOOKUP(AZ$1,Capital!$B$16:$C$18,2,FALSE),0%)</f>
        <v>0</v>
      </c>
      <c r="BA2" s="179">
        <f>IFERROR(VLOOKUP(BA$1,Capital!$B$16:$C$18,2,FALSE),0%)</f>
        <v>0</v>
      </c>
      <c r="BB2" s="179">
        <f>IFERROR(VLOOKUP(BB$1,Capital!$B$16:$C$18,2,FALSE),0%)</f>
        <v>0</v>
      </c>
      <c r="BC2" s="179">
        <f>IFERROR(VLOOKUP(BC$1,Capital!$B$16:$C$18,2,FALSE),0%)</f>
        <v>0</v>
      </c>
      <c r="BD2" s="179">
        <f>IFERROR(VLOOKUP(BD$1,Capital!$B$16:$C$18,2,FALSE),0%)</f>
        <v>0</v>
      </c>
      <c r="BE2" s="179">
        <f>IFERROR(VLOOKUP(BE$1,Capital!$B$16:$C$18,2,FALSE),0%)</f>
        <v>0</v>
      </c>
      <c r="BF2" s="179">
        <f>IFERROR(VLOOKUP(BF$1,Capital!$B$16:$C$18,2,FALSE),0%)</f>
        <v>0</v>
      </c>
      <c r="BG2" s="179">
        <f>IFERROR(VLOOKUP(BG$1,Capital!$B$16:$C$18,2,FALSE),0%)</f>
        <v>0</v>
      </c>
      <c r="BH2" s="179">
        <f>IFERROR(VLOOKUP(BH$1,Capital!$B$16:$C$18,2,FALSE),0%)</f>
        <v>0</v>
      </c>
      <c r="BI2" s="179">
        <f>IFERROR(VLOOKUP(BI$1,Capital!$B$16:$C$18,2,FALSE),0%)</f>
        <v>0</v>
      </c>
      <c r="BJ2" s="179">
        <f>IFERROR(VLOOKUP(BJ$1,Capital!$B$16:$C$18,2,FALSE),0%)</f>
        <v>0</v>
      </c>
      <c r="BK2" s="179">
        <f>IFERROR(VLOOKUP(BK$1,Capital!$B$16:$C$18,2,FALSE),0%)</f>
        <v>0</v>
      </c>
      <c r="BL2" s="179">
        <f>IFERROR(VLOOKUP(BL$1,Capital!$B$16:$C$18,2,FALSE),0%)</f>
        <v>0</v>
      </c>
      <c r="BM2" s="179">
        <f>IFERROR(VLOOKUP(BM$1,Capital!$B$16:$C$18,2,FALSE),0%)</f>
        <v>0</v>
      </c>
      <c r="BN2" s="179">
        <f>IFERROR(VLOOKUP(BN$1,Capital!$B$16:$C$18,2,FALSE),0%)</f>
        <v>0</v>
      </c>
      <c r="BO2" s="179">
        <f>IFERROR(VLOOKUP(BO$1,Capital!$B$16:$C$18,2,FALSE),0%)</f>
        <v>0</v>
      </c>
      <c r="BP2" s="179">
        <f>IFERROR(VLOOKUP(BP$1,Capital!$B$16:$C$18,2,FALSE),0%)</f>
        <v>0</v>
      </c>
      <c r="BQ2" s="179">
        <f>IFERROR(VLOOKUP(BQ$1,Capital!$B$16:$C$18,2,FALSE),0%)</f>
        <v>0</v>
      </c>
      <c r="BR2" s="179">
        <f>IFERROR(VLOOKUP(BR$1,Capital!$B$16:$C$18,2,FALSE),0%)</f>
        <v>0</v>
      </c>
      <c r="BS2" s="179">
        <f>IFERROR(VLOOKUP(BS$1,Capital!$B$16:$C$18,2,FALSE),0%)</f>
        <v>0</v>
      </c>
      <c r="BT2" s="179">
        <f>IFERROR(VLOOKUP(BT$1,Capital!$B$16:$C$18,2,FALSE),0%)</f>
        <v>0</v>
      </c>
      <c r="BU2" s="179">
        <f>IFERROR(VLOOKUP(BU$1,Capital!$B$16:$C$18,2,FALSE),0%)</f>
        <v>0</v>
      </c>
      <c r="BV2" s="179">
        <f>IFERROR(VLOOKUP(BV$1,Capital!$B$16:$C$18,2,FALSE),0%)</f>
        <v>0</v>
      </c>
      <c r="BW2" s="179">
        <f>IFERROR(VLOOKUP(BW$1,Capital!$B$16:$C$18,2,FALSE),0%)</f>
        <v>0</v>
      </c>
      <c r="BX2" s="179">
        <f>IFERROR(VLOOKUP(BX$1,Capital!$B$16:$C$18,2,FALSE),0%)</f>
        <v>0</v>
      </c>
      <c r="BY2" s="179">
        <f>IFERROR(VLOOKUP(BY$1,Capital!$B$16:$C$18,2,FALSE),0%)</f>
        <v>0</v>
      </c>
      <c r="BZ2" s="179">
        <f>IFERROR(VLOOKUP(BZ$1,Capital!$B$16:$C$18,2,FALSE),0%)</f>
        <v>0</v>
      </c>
      <c r="CA2" s="179">
        <f>IFERROR(VLOOKUP(CA$1,Capital!$B$16:$C$18,2,FALSE),0%)</f>
        <v>0</v>
      </c>
      <c r="CB2" s="179">
        <f>IFERROR(VLOOKUP(CB$1,Capital!$B$16:$C$18,2,FALSE),0%)</f>
        <v>0</v>
      </c>
      <c r="CC2" s="179">
        <f>IFERROR(VLOOKUP(CC$1,Capital!$B$16:$C$18,2,FALSE),0%)</f>
        <v>0</v>
      </c>
      <c r="CD2" s="179">
        <f>IFERROR(VLOOKUP(CD$1,Capital!$B$16:$C$18,2,FALSE),0%)</f>
        <v>0</v>
      </c>
      <c r="CE2" s="179">
        <f>IFERROR(VLOOKUP(CE$1,Capital!$B$16:$C$18,2,FALSE),0%)</f>
        <v>0</v>
      </c>
      <c r="CF2" s="179">
        <f>IFERROR(VLOOKUP(CF$1,Capital!$B$16:$C$18,2,FALSE),0%)</f>
        <v>0</v>
      </c>
      <c r="CG2" s="179">
        <f>IFERROR(VLOOKUP(CG$1,Capital!$B$16:$C$18,2,FALSE),0%)</f>
        <v>0</v>
      </c>
      <c r="CH2" s="179">
        <f>IFERROR(VLOOKUP(CH$1,Capital!$B$16:$C$18,2,FALSE),0%)</f>
        <v>0</v>
      </c>
      <c r="CI2" s="179">
        <f>IFERROR(VLOOKUP(CI$1,Capital!$B$16:$C$18,2,FALSE),0%)</f>
        <v>0</v>
      </c>
      <c r="CJ2" s="179">
        <f>IFERROR(VLOOKUP(CJ$1,Capital!$B$16:$C$18,2,FALSE),0%)</f>
        <v>0</v>
      </c>
      <c r="CK2" s="179">
        <f>IFERROR(VLOOKUP(CK$1,Capital!$B$16:$C$18,2,FALSE),0%)</f>
        <v>0</v>
      </c>
      <c r="CL2" s="179">
        <f>IFERROR(VLOOKUP(CL$1,Capital!$B$16:$C$18,2,FALSE),0%)</f>
        <v>0</v>
      </c>
      <c r="CM2" s="179">
        <f>IFERROR(VLOOKUP(CM$1,Capital!$B$16:$C$18,2,FALSE),0%)</f>
        <v>0</v>
      </c>
      <c r="CN2" s="179">
        <f>IFERROR(VLOOKUP(CN$1,Capital!$B$16:$C$18,2,FALSE),0%)</f>
        <v>0</v>
      </c>
      <c r="CO2" s="179">
        <f>IFERROR(VLOOKUP(CO$1,Capital!$B$16:$C$18,2,FALSE),0%)</f>
        <v>0</v>
      </c>
      <c r="CP2" s="179">
        <f>IFERROR(VLOOKUP(CP$1,Capital!$B$16:$C$18,2,FALSE),0%)</f>
        <v>0</v>
      </c>
      <c r="CQ2" s="179">
        <f>IFERROR(VLOOKUP(CQ$1,Capital!$B$16:$C$18,2,FALSE),0%)</f>
        <v>0</v>
      </c>
      <c r="CR2" s="179">
        <f>IFERROR(VLOOKUP(CR$1,Capital!$B$16:$C$18,2,FALSE),0%)</f>
        <v>0</v>
      </c>
      <c r="CS2" s="179">
        <f>IFERROR(VLOOKUP(CS$1,Capital!$B$16:$C$18,2,FALSE),0%)</f>
        <v>0</v>
      </c>
      <c r="CT2" s="179">
        <f>IFERROR(VLOOKUP(CT$1,Capital!$B$16:$C$18,2,FALSE),0%)</f>
        <v>0</v>
      </c>
      <c r="CU2" s="179">
        <f>IFERROR(VLOOKUP(CU$1,Capital!$B$16:$C$18,2,FALSE),0%)</f>
        <v>0</v>
      </c>
      <c r="CV2" s="179">
        <f>IFERROR(VLOOKUP(CV$1,Capital!$B$16:$C$18,2,FALSE),0%)</f>
        <v>0</v>
      </c>
      <c r="CW2" s="179">
        <f>IFERROR(VLOOKUP(CW$1,Capital!$B$16:$C$18,2,FALSE),0%)</f>
        <v>0</v>
      </c>
      <c r="CX2" s="179">
        <f>IFERROR(VLOOKUP(CX$1,Capital!$B$16:$C$18,2,FALSE),0%)</f>
        <v>0</v>
      </c>
      <c r="CY2" s="179">
        <f>IFERROR(VLOOKUP(CY$1,Capital!$B$16:$C$18,2,FALSE),0%)</f>
        <v>0</v>
      </c>
      <c r="CZ2" s="179">
        <f>IFERROR(VLOOKUP(CZ$1,Capital!$B$16:$C$18,2,FALSE),0%)</f>
        <v>0</v>
      </c>
      <c r="DA2" s="179">
        <f>IFERROR(VLOOKUP(DA$1,Capital!$B$16:$C$18,2,FALSE),0%)</f>
        <v>0</v>
      </c>
      <c r="DB2" s="179">
        <f>IFERROR(VLOOKUP(DB$1,Capital!$B$16:$C$18,2,FALSE),0%)</f>
        <v>0</v>
      </c>
      <c r="DC2" s="179">
        <f>IFERROR(VLOOKUP(DC$1,Capital!$B$16:$C$18,2,FALSE),0%)</f>
        <v>0</v>
      </c>
      <c r="DD2" s="179">
        <f>IFERROR(VLOOKUP(DD$1,Capital!$B$16:$C$18,2,FALSE),0%)</f>
        <v>0</v>
      </c>
      <c r="DE2" s="179">
        <f>IFERROR(VLOOKUP(DE$1,Capital!$B$16:$C$18,2,FALSE),0%)</f>
        <v>0</v>
      </c>
      <c r="DF2" s="179">
        <f>IFERROR(VLOOKUP(DF$1,Capital!$B$16:$C$18,2,FALSE),0%)</f>
        <v>0</v>
      </c>
      <c r="DG2" s="179">
        <f>IFERROR(VLOOKUP(DG$1,Capital!$B$16:$C$18,2,FALSE),0%)</f>
        <v>0</v>
      </c>
      <c r="DH2" s="179">
        <f>IFERROR(VLOOKUP(DH$1,Capital!$B$16:$C$18,2,FALSE),0%)</f>
        <v>0</v>
      </c>
      <c r="DI2" s="179">
        <f>IFERROR(VLOOKUP(DI$1,Capital!$B$16:$C$18,2,FALSE),0%)</f>
        <v>0</v>
      </c>
      <c r="DJ2" s="179">
        <f>IFERROR(VLOOKUP(DJ$1,Capital!$B$16:$C$18,2,FALSE),0%)</f>
        <v>0</v>
      </c>
      <c r="DK2" s="179">
        <f>IFERROR(VLOOKUP(DK$1,Capital!$B$16:$C$18,2,FALSE),0%)</f>
        <v>0</v>
      </c>
      <c r="DL2" s="179">
        <f>IFERROR(VLOOKUP(DL$1,Capital!$B$16:$C$18,2,FALSE),0%)</f>
        <v>0</v>
      </c>
      <c r="DM2" s="179">
        <f>IFERROR(VLOOKUP(DM$1,Capital!$B$16:$C$18,2,FALSE),0%)</f>
        <v>0</v>
      </c>
      <c r="DN2" s="179">
        <f>IFERROR(VLOOKUP(DN$1,Capital!$B$16:$C$18,2,FALSE),0%)</f>
        <v>0</v>
      </c>
      <c r="DO2" s="179">
        <f>IFERROR(VLOOKUP(DO$1,Capital!$B$16:$C$18,2,FALSE),0%)</f>
        <v>0</v>
      </c>
      <c r="DP2" s="179">
        <f>IFERROR(VLOOKUP(DP$1,Capital!$B$16:$C$18,2,FALSE),0%)</f>
        <v>0</v>
      </c>
      <c r="DQ2" s="179">
        <f>IFERROR(VLOOKUP(DQ$1,Capital!$B$16:$C$18,2,FALSE),0%)</f>
        <v>0</v>
      </c>
      <c r="DR2" s="179">
        <f>IFERROR(VLOOKUP(DR$1,Capital!$B$16:$C$18,2,FALSE),0%)</f>
        <v>0</v>
      </c>
      <c r="DS2" s="179">
        <f>IFERROR(VLOOKUP(DS$1,Capital!$B$16:$C$18,2,FALSE),0%)</f>
        <v>0</v>
      </c>
      <c r="DT2" s="179">
        <f>IFERROR(VLOOKUP(DT$1,Capital!$B$16:$C$18,2,FALSE),0%)</f>
        <v>0</v>
      </c>
      <c r="DU2" s="179">
        <f>IFERROR(VLOOKUP(DU$1,Capital!$B$16:$C$18,2,FALSE),0%)</f>
        <v>0</v>
      </c>
      <c r="DV2" s="179">
        <f>IFERROR(VLOOKUP(DV$1,Capital!$B$16:$C$18,2,FALSE),0%)</f>
        <v>0</v>
      </c>
      <c r="DW2" s="179">
        <f>IFERROR(VLOOKUP(DW$1,Capital!$B$16:$C$18,2,FALSE),0%)</f>
        <v>0</v>
      </c>
      <c r="DX2" s="179">
        <f>IFERROR(VLOOKUP(DX$1,Capital!$B$16:$C$18,2,FALSE),0%)</f>
        <v>0</v>
      </c>
      <c r="DY2" s="179">
        <f>IFERROR(VLOOKUP(DY$1,Capital!$B$16:$C$18,2,FALSE),0%)</f>
        <v>0</v>
      </c>
      <c r="DZ2" s="179">
        <f>IFERROR(VLOOKUP(DZ$1,Capital!$B$16:$C$18,2,FALSE),0%)</f>
        <v>0</v>
      </c>
      <c r="EA2" s="179">
        <f>IFERROR(VLOOKUP(EA$1,Capital!$B$16:$C$18,2,FALSE),0%)</f>
        <v>0</v>
      </c>
      <c r="EB2" s="179">
        <f>IFERROR(VLOOKUP(EB$1,Capital!$B$16:$C$18,2,FALSE),0%)</f>
        <v>0</v>
      </c>
      <c r="EC2" s="179">
        <f>IFERROR(VLOOKUP(EC$1,Capital!$B$16:$C$18,2,FALSE),0%)</f>
        <v>0</v>
      </c>
      <c r="ED2" s="179">
        <f>IFERROR(VLOOKUP(ED$1,Capital!$B$16:$C$18,2,FALSE),0%)</f>
        <v>0</v>
      </c>
      <c r="EE2" s="179">
        <f>IFERROR(VLOOKUP(EE$1,Capital!$B$16:$C$18,2,FALSE),0%)</f>
        <v>0</v>
      </c>
      <c r="EF2" s="179">
        <f>IFERROR(VLOOKUP(EF$1,Capital!$B$16:$C$18,2,FALSE),0%)</f>
        <v>0</v>
      </c>
      <c r="EG2" s="179">
        <f>IFERROR(VLOOKUP(EG$1,Capital!$B$16:$C$18,2,FALSE),0%)</f>
        <v>0</v>
      </c>
      <c r="EH2" s="179">
        <f>IFERROR(VLOOKUP(EH$1,Capital!$B$16:$C$18,2,FALSE),0%)</f>
        <v>0</v>
      </c>
      <c r="EI2" s="179">
        <f>IFERROR(VLOOKUP(EI$1,Capital!$B$16:$C$18,2,FALSE),0%)</f>
        <v>0</v>
      </c>
      <c r="EJ2" s="179">
        <f>IFERROR(VLOOKUP(EJ$1,Capital!$B$16:$C$18,2,FALSE),0%)</f>
        <v>0</v>
      </c>
      <c r="EK2" s="179">
        <f>IFERROR(VLOOKUP(EK$1,Capital!$B$16:$C$18,2,FALSE),0%)</f>
        <v>0</v>
      </c>
      <c r="EL2" s="179">
        <f>IFERROR(VLOOKUP(EL$1,Capital!$B$16:$C$18,2,FALSE),0%)</f>
        <v>0</v>
      </c>
      <c r="EM2" s="179">
        <f>IFERROR(VLOOKUP(EM$1,Capital!$B$16:$C$18,2,FALSE),0%)</f>
        <v>0</v>
      </c>
      <c r="EN2" s="179">
        <f>IFERROR(VLOOKUP(EN$1,Capital!$B$16:$C$18,2,FALSE),0%)</f>
        <v>0</v>
      </c>
      <c r="EO2" s="179">
        <f>IFERROR(VLOOKUP(EO$1,Capital!$B$16:$C$18,2,FALSE),0%)</f>
        <v>0</v>
      </c>
      <c r="EP2" s="179">
        <f>IFERROR(VLOOKUP(EP$1,Capital!$B$16:$C$18,2,FALSE),0%)</f>
        <v>0</v>
      </c>
      <c r="EQ2" s="179">
        <f>IFERROR(VLOOKUP(EQ$1,Capital!$B$16:$C$18,2,FALSE),0%)</f>
        <v>0</v>
      </c>
      <c r="ER2" s="179">
        <f>IFERROR(VLOOKUP(ER$1,Capital!$B$16:$C$18,2,FALSE),0%)</f>
        <v>0</v>
      </c>
      <c r="ES2" s="179">
        <f>IFERROR(VLOOKUP(ES$1,Capital!$B$16:$C$18,2,FALSE),0%)</f>
        <v>0</v>
      </c>
      <c r="ET2" s="179">
        <f>IFERROR(VLOOKUP(ET$1,Capital!$B$16:$C$18,2,FALSE),0%)</f>
        <v>0</v>
      </c>
      <c r="EU2" s="179">
        <f>IFERROR(VLOOKUP(EU$1,Capital!$B$16:$C$18,2,FALSE),0%)</f>
        <v>0</v>
      </c>
      <c r="EV2" s="179">
        <f>IFERROR(VLOOKUP(EV$1,Capital!$B$16:$C$18,2,FALSE),0%)</f>
        <v>0</v>
      </c>
      <c r="EW2" s="179">
        <f>IFERROR(VLOOKUP(EW$1,Capital!$B$16:$C$18,2,FALSE),0%)</f>
        <v>0</v>
      </c>
      <c r="EX2" s="179">
        <f>IFERROR(VLOOKUP(EX$1,Capital!$B$16:$C$18,2,FALSE),0%)</f>
        <v>0</v>
      </c>
      <c r="EY2" s="179">
        <f>IFERROR(VLOOKUP(EY$1,Capital!$B$16:$C$18,2,FALSE),0%)</f>
        <v>0</v>
      </c>
      <c r="EZ2" s="179">
        <f>IFERROR(VLOOKUP(EZ$1,Capital!$B$16:$C$18,2,FALSE),0%)</f>
        <v>0</v>
      </c>
      <c r="FA2" s="179">
        <f>IFERROR(VLOOKUP(FA$1,Capital!$B$16:$C$18,2,FALSE),0%)</f>
        <v>0</v>
      </c>
      <c r="FB2" s="179">
        <f>IFERROR(VLOOKUP(FB$1,Capital!$B$16:$C$18,2,FALSE),0%)</f>
        <v>0</v>
      </c>
      <c r="FC2" s="179">
        <f>IFERROR(VLOOKUP(FC$1,Capital!$B$16:$C$18,2,FALSE),0%)</f>
        <v>0</v>
      </c>
      <c r="FD2" s="179">
        <f>IFERROR(VLOOKUP(FD$1,Capital!$B$16:$C$18,2,FALSE),0%)</f>
        <v>0</v>
      </c>
      <c r="FE2" s="179">
        <f>IFERROR(VLOOKUP(FE$1,Capital!$B$16:$C$18,2,FALSE),0%)</f>
        <v>0</v>
      </c>
      <c r="FF2" s="179">
        <f>IFERROR(VLOOKUP(FF$1,Capital!$B$16:$C$18,2,FALSE),0%)</f>
        <v>0</v>
      </c>
      <c r="FG2" s="179">
        <f>IFERROR(VLOOKUP(FG$1,Capital!$B$16:$C$18,2,FALSE),0%)</f>
        <v>0</v>
      </c>
      <c r="FH2" s="179">
        <f>IFERROR(VLOOKUP(FH$1,Capital!$B$16:$C$18,2,FALSE),0%)</f>
        <v>0</v>
      </c>
      <c r="FI2" s="179">
        <f>IFERROR(VLOOKUP(FI$1,Capital!$B$16:$C$18,2,FALSE),0%)</f>
        <v>0</v>
      </c>
      <c r="FJ2" s="179">
        <f>IFERROR(VLOOKUP(FJ$1,Capital!$B$16:$C$18,2,FALSE),0%)</f>
        <v>0</v>
      </c>
      <c r="FK2" s="179">
        <f>IFERROR(VLOOKUP(FK$1,Capital!$B$16:$C$18,2,FALSE),0%)</f>
        <v>0</v>
      </c>
      <c r="FL2" s="179">
        <f>IFERROR(VLOOKUP(FL$1,Capital!$B$16:$C$18,2,FALSE),0%)</f>
        <v>0</v>
      </c>
      <c r="FM2" s="179">
        <f>IFERROR(VLOOKUP(FM$1,Capital!$B$16:$C$18,2,FALSE),0%)</f>
        <v>0</v>
      </c>
      <c r="FN2" s="179">
        <f>IFERROR(VLOOKUP(FN$1,Capital!$B$16:$C$18,2,FALSE),0%)</f>
        <v>0</v>
      </c>
      <c r="FO2" s="179">
        <f>IFERROR(VLOOKUP(FO$1,Capital!$B$16:$C$18,2,FALSE),0%)</f>
        <v>0</v>
      </c>
      <c r="FP2" s="179">
        <f>IFERROR(VLOOKUP(FP$1,Capital!$B$16:$C$18,2,FALSE),0%)</f>
        <v>0</v>
      </c>
      <c r="FQ2" s="179">
        <f>IFERROR(VLOOKUP(FQ$1,Capital!$B$16:$C$18,2,FALSE),0%)</f>
        <v>0</v>
      </c>
      <c r="FR2" s="179">
        <f>IFERROR(VLOOKUP(FR$1,Capital!$B$16:$C$18,2,FALSE),0%)</f>
        <v>0</v>
      </c>
      <c r="FS2" s="179">
        <f>IFERROR(VLOOKUP(FS$1,Capital!$B$16:$C$18,2,FALSE),0%)</f>
        <v>0</v>
      </c>
      <c r="FT2" s="179">
        <f>IFERROR(VLOOKUP(FT$1,Capital!$B$16:$C$18,2,FALSE),0%)</f>
        <v>0</v>
      </c>
      <c r="FU2" s="179">
        <f>IFERROR(VLOOKUP(FU$1,Capital!$B$16:$C$18,2,FALSE),0%)</f>
        <v>0</v>
      </c>
      <c r="FV2" s="179">
        <f>IFERROR(VLOOKUP(FV$1,Capital!$B$16:$C$18,2,FALSE),0%)</f>
        <v>0</v>
      </c>
      <c r="FW2" s="179">
        <f>IFERROR(VLOOKUP(FW$1,Capital!$B$16:$C$18,2,FALSE),0%)</f>
        <v>0</v>
      </c>
      <c r="FX2" s="179">
        <f>IFERROR(VLOOKUP(FX$1,Capital!$B$16:$C$18,2,FALSE),0%)</f>
        <v>0</v>
      </c>
      <c r="FY2" s="179">
        <f>IFERROR(VLOOKUP(FY$1,Capital!$B$16:$C$18,2,FALSE),0%)</f>
        <v>0</v>
      </c>
      <c r="FZ2" s="179">
        <f>IFERROR(VLOOKUP(FZ$1,Capital!$B$16:$C$18,2,FALSE),0%)</f>
        <v>0</v>
      </c>
      <c r="GA2" s="179">
        <f>IFERROR(VLOOKUP(GA$1,Capital!$B$16:$C$18,2,FALSE),0%)</f>
        <v>0</v>
      </c>
      <c r="GB2" s="179">
        <f>IFERROR(VLOOKUP(GB$1,Capital!$B$16:$C$18,2,FALSE),0%)</f>
        <v>0</v>
      </c>
      <c r="GC2" s="179">
        <f>IFERROR(VLOOKUP(GC$1,Capital!$B$16:$C$18,2,FALSE),0%)</f>
        <v>0</v>
      </c>
      <c r="GD2" s="179">
        <f>IFERROR(VLOOKUP(GD$1,Capital!$B$16:$C$18,2,FALSE),0%)</f>
        <v>0</v>
      </c>
      <c r="GE2" s="179">
        <f>IFERROR(VLOOKUP(GE$1,Capital!$B$16:$C$18,2,FALSE),0%)</f>
        <v>0</v>
      </c>
      <c r="GF2" s="179">
        <f>IFERROR(VLOOKUP(GF$1,Capital!$B$16:$C$18,2,FALSE),0%)</f>
        <v>0</v>
      </c>
      <c r="GG2" s="179">
        <f>IFERROR(VLOOKUP(GG$1,Capital!$B$16:$C$18,2,FALSE),0%)</f>
        <v>0</v>
      </c>
      <c r="GH2" s="179">
        <f>IFERROR(VLOOKUP(GH$1,Capital!$B$16:$C$18,2,FALSE),0%)</f>
        <v>0</v>
      </c>
      <c r="GI2" s="179">
        <f>IFERROR(VLOOKUP(GI$1,Capital!$B$16:$C$18,2,FALSE),0%)</f>
        <v>0</v>
      </c>
      <c r="GJ2" s="179">
        <f>IFERROR(VLOOKUP(GJ$1,Capital!$B$16:$C$18,2,FALSE),0%)</f>
        <v>0</v>
      </c>
      <c r="GK2" s="179">
        <f>IFERROR(VLOOKUP(GK$1,Capital!$B$16:$C$18,2,FALSE),0%)</f>
        <v>0</v>
      </c>
      <c r="GL2" s="179">
        <f>IFERROR(VLOOKUP(GL$1,Capital!$B$16:$C$18,2,FALSE),0%)</f>
        <v>0</v>
      </c>
      <c r="GM2" s="179">
        <f>IFERROR(VLOOKUP(GM$1,Capital!$B$16:$C$18,2,FALSE),0%)</f>
        <v>0</v>
      </c>
      <c r="GN2" s="179">
        <f>IFERROR(VLOOKUP(GN$1,Capital!$B$16:$C$18,2,FALSE),0%)</f>
        <v>0</v>
      </c>
      <c r="GO2" s="179">
        <f>IFERROR(VLOOKUP(GO$1,Capital!$B$16:$C$18,2,FALSE),0%)</f>
        <v>0</v>
      </c>
      <c r="GP2" s="179">
        <f>IFERROR(VLOOKUP(GP$1,Capital!$B$16:$C$18,2,FALSE),0%)</f>
        <v>0</v>
      </c>
      <c r="GQ2" s="179">
        <f>IFERROR(VLOOKUP(GQ$1,Capital!$B$16:$C$18,2,FALSE),0%)</f>
        <v>0</v>
      </c>
      <c r="GR2" s="179">
        <f>IFERROR(VLOOKUP(GR$1,Capital!$B$16:$C$18,2,FALSE),0%)</f>
        <v>0</v>
      </c>
      <c r="GS2" s="179">
        <f>IFERROR(VLOOKUP(GS$1,Capital!$B$16:$C$18,2,FALSE),0%)</f>
        <v>0</v>
      </c>
      <c r="GT2" s="179">
        <f>IFERROR(VLOOKUP(GT$1,Capital!$B$16:$C$18,2,FALSE),0%)</f>
        <v>0</v>
      </c>
      <c r="GU2" s="179">
        <f>IFERROR(VLOOKUP(GU$1,Capital!$B$16:$C$18,2,FALSE),0%)</f>
        <v>0</v>
      </c>
      <c r="GV2" s="179">
        <f>IFERROR(VLOOKUP(GV$1,Capital!$B$16:$C$18,2,FALSE),0%)</f>
        <v>0</v>
      </c>
      <c r="GW2" s="179">
        <f>IFERROR(VLOOKUP(GW$1,Capital!$B$16:$C$18,2,FALSE),0%)</f>
        <v>0</v>
      </c>
      <c r="GX2" s="179">
        <f>IFERROR(VLOOKUP(GX$1,Capital!$B$16:$C$18,2,FALSE),0%)</f>
        <v>0</v>
      </c>
      <c r="GY2" s="179">
        <f>IFERROR(VLOOKUP(GY$1,Capital!$B$16:$C$18,2,FALSE),0%)</f>
        <v>0</v>
      </c>
      <c r="GZ2" s="179">
        <f>IFERROR(VLOOKUP(GZ$1,Capital!$B$16:$C$18,2,FALSE),0%)</f>
        <v>0</v>
      </c>
      <c r="HA2" s="179">
        <f>IFERROR(VLOOKUP(HA$1,Capital!$B$16:$C$18,2,FALSE),0%)</f>
        <v>0</v>
      </c>
      <c r="HB2" s="179">
        <f>IFERROR(VLOOKUP(HB$1,Capital!$B$16:$C$18,2,FALSE),0%)</f>
        <v>0</v>
      </c>
      <c r="HC2" s="179">
        <f>IFERROR(VLOOKUP(HC$1,Capital!$B$16:$C$18,2,FALSE),0%)</f>
        <v>0</v>
      </c>
      <c r="HD2" s="179">
        <f>IFERROR(VLOOKUP(HD$1,Capital!$B$16:$C$18,2,FALSE),0%)</f>
        <v>0</v>
      </c>
      <c r="HE2" s="179">
        <f>IFERROR(VLOOKUP(HE$1,Capital!$B$16:$C$18,2,FALSE),0%)</f>
        <v>0</v>
      </c>
      <c r="HF2" s="179">
        <f>IFERROR(VLOOKUP(HF$1,Capital!$B$16:$C$18,2,FALSE),0%)</f>
        <v>0</v>
      </c>
      <c r="HG2" s="179">
        <f>IFERROR(VLOOKUP(HG$1,Capital!$B$16:$C$18,2,FALSE),0%)</f>
        <v>0</v>
      </c>
      <c r="HH2" s="179">
        <f>IFERROR(VLOOKUP(HH$1,Capital!$B$16:$C$18,2,FALSE),0%)</f>
        <v>0</v>
      </c>
      <c r="HI2" s="179">
        <f>IFERROR(VLOOKUP(HI$1,Capital!$B$16:$C$18,2,FALSE),0%)</f>
        <v>0</v>
      </c>
      <c r="HJ2" s="179">
        <f>IFERROR(VLOOKUP(HJ$1,Capital!$B$16:$C$18,2,FALSE),0%)</f>
        <v>0</v>
      </c>
      <c r="HK2" s="179">
        <f>IFERROR(VLOOKUP(HK$1,Capital!$B$16:$C$18,2,FALSE),0%)</f>
        <v>0</v>
      </c>
      <c r="HL2" s="179">
        <f>IFERROR(VLOOKUP(HL$1,Capital!$B$16:$C$18,2,FALSE),0%)</f>
        <v>0</v>
      </c>
      <c r="HM2" s="179">
        <f>IFERROR(VLOOKUP(HM$1,Capital!$B$16:$C$18,2,FALSE),0%)</f>
        <v>0</v>
      </c>
      <c r="HN2" s="179">
        <f>IFERROR(VLOOKUP(HN$1,Capital!$B$16:$C$18,2,FALSE),0%)</f>
        <v>0</v>
      </c>
      <c r="HO2" s="179">
        <f>IFERROR(VLOOKUP(HO$1,Capital!$B$16:$C$18,2,FALSE),0%)</f>
        <v>0</v>
      </c>
      <c r="HP2" s="179">
        <f>IFERROR(VLOOKUP(HP$1,Capital!$B$16:$C$18,2,FALSE),0%)</f>
        <v>0</v>
      </c>
      <c r="HQ2" s="179">
        <f>IFERROR(VLOOKUP(HQ$1,Capital!$B$16:$C$18,2,FALSE),0%)</f>
        <v>0</v>
      </c>
      <c r="HR2" s="179">
        <f>IFERROR(VLOOKUP(HR$1,Capital!$B$16:$C$18,2,FALSE),0%)</f>
        <v>0</v>
      </c>
      <c r="HS2" s="179">
        <f>IFERROR(VLOOKUP(HS$1,Capital!$B$16:$C$18,2,FALSE),0%)</f>
        <v>0</v>
      </c>
      <c r="HT2" s="179">
        <f>IFERROR(VLOOKUP(HT$1,Capital!$B$16:$C$18,2,FALSE),0%)</f>
        <v>0</v>
      </c>
      <c r="HU2" s="179">
        <f>IFERROR(VLOOKUP(HU$1,Capital!$B$16:$C$18,2,FALSE),0%)</f>
        <v>0</v>
      </c>
      <c r="HV2" s="179">
        <f>IFERROR(VLOOKUP(HV$1,Capital!$B$16:$C$18,2,FALSE),0%)</f>
        <v>0</v>
      </c>
      <c r="HW2" s="179">
        <f>IFERROR(VLOOKUP(HW$1,Capital!$B$16:$C$18,2,FALSE),0%)</f>
        <v>0</v>
      </c>
      <c r="HX2" s="179">
        <f>IFERROR(VLOOKUP(HX$1,Capital!$B$16:$C$18,2,FALSE),0%)</f>
        <v>0</v>
      </c>
      <c r="HY2" s="179">
        <f>IFERROR(VLOOKUP(HY$1,Capital!$B$16:$C$18,2,FALSE),0%)</f>
        <v>0</v>
      </c>
      <c r="HZ2" s="179">
        <f>IFERROR(VLOOKUP(HZ$1,Capital!$B$16:$C$18,2,FALSE),0%)</f>
        <v>0</v>
      </c>
      <c r="IA2" s="179">
        <f>IFERROR(VLOOKUP(IA$1,Capital!$B$16:$C$18,2,FALSE),0%)</f>
        <v>0</v>
      </c>
      <c r="IB2" s="179">
        <f>IFERROR(VLOOKUP(IB$1,Capital!$B$16:$C$18,2,FALSE),0%)</f>
        <v>0</v>
      </c>
      <c r="IC2" s="179">
        <f>IFERROR(VLOOKUP(IC$1,Capital!$B$16:$C$18,2,FALSE),0%)</f>
        <v>0</v>
      </c>
      <c r="ID2" s="179">
        <f>IFERROR(VLOOKUP(ID$1,Capital!$B$16:$C$18,2,FALSE),0%)</f>
        <v>0</v>
      </c>
      <c r="IE2" s="179">
        <f>IFERROR(VLOOKUP(IE$1,Capital!$B$16:$C$18,2,FALSE),0%)</f>
        <v>0</v>
      </c>
      <c r="IF2" s="179">
        <f>IFERROR(VLOOKUP(IF$1,Capital!$B$16:$C$18,2,FALSE),0%)</f>
        <v>0</v>
      </c>
      <c r="IG2" s="179">
        <f>IFERROR(VLOOKUP(IG$1,Capital!$B$16:$C$18,2,FALSE),0%)</f>
        <v>0</v>
      </c>
      <c r="IH2" s="179">
        <f>IFERROR(VLOOKUP(IH$1,Capital!$B$16:$C$18,2,FALSE),0%)</f>
        <v>0</v>
      </c>
      <c r="II2" s="179">
        <f>IFERROR(VLOOKUP(II$1,Capital!$B$16:$C$18,2,FALSE),0%)</f>
        <v>0</v>
      </c>
      <c r="IJ2" s="179">
        <f>IFERROR(VLOOKUP(IJ$1,Capital!$B$16:$C$18,2,FALSE),0%)</f>
        <v>0</v>
      </c>
      <c r="IK2" s="179">
        <f>IFERROR(VLOOKUP(IK$1,Capital!$B$16:$C$18,2,FALSE),0%)</f>
        <v>0</v>
      </c>
      <c r="IL2" s="179">
        <f>IFERROR(VLOOKUP(IL$1,Capital!$B$16:$C$18,2,FALSE),0%)</f>
        <v>0</v>
      </c>
      <c r="IM2" s="179">
        <f>IFERROR(VLOOKUP(IM$1,Capital!$B$16:$C$18,2,FALSE),0%)</f>
        <v>0</v>
      </c>
      <c r="IN2" s="179">
        <f>IFERROR(VLOOKUP(IN$1,Capital!$B$16:$C$18,2,FALSE),0%)</f>
        <v>0</v>
      </c>
      <c r="IO2" s="179">
        <f>IFERROR(VLOOKUP(IO$1,Capital!$B$16:$C$18,2,FALSE),0%)</f>
        <v>0</v>
      </c>
      <c r="IP2" s="179">
        <f>IFERROR(VLOOKUP(IP$1,Capital!$B$16:$C$18,2,FALSE),0%)</f>
        <v>0</v>
      </c>
      <c r="IQ2" s="179">
        <f>IFERROR(VLOOKUP(IQ$1,Capital!$B$16:$C$18,2,FALSE),0%)</f>
        <v>0</v>
      </c>
      <c r="IR2" s="179">
        <f>IFERROR(VLOOKUP(IR$1,Capital!$B$16:$C$18,2,FALSE),0%)</f>
        <v>0</v>
      </c>
      <c r="IS2" s="179">
        <f>IFERROR(VLOOKUP(IS$1,Capital!$B$16:$C$18,2,FALSE),0%)</f>
        <v>0</v>
      </c>
      <c r="IT2" s="179">
        <f>IFERROR(VLOOKUP(IT$1,Capital!$B$16:$C$18,2,FALSE),0%)</f>
        <v>0</v>
      </c>
      <c r="IU2" s="179">
        <f>IFERROR(VLOOKUP(IU$1,Capital!$B$16:$C$18,2,FALSE),0%)</f>
        <v>0</v>
      </c>
      <c r="IV2" s="179">
        <f>IFERROR(VLOOKUP(IV$1,Capital!$B$16:$C$18,2,FALSE),0%)</f>
        <v>0</v>
      </c>
      <c r="IW2" s="179">
        <f>IFERROR(VLOOKUP(IW$1,Capital!$B$16:$C$18,2,FALSE),0%)</f>
        <v>0</v>
      </c>
      <c r="IX2" s="179">
        <f>IFERROR(VLOOKUP(IX$1,Capital!$B$16:$C$18,2,FALSE),0%)</f>
        <v>0</v>
      </c>
      <c r="IY2" s="179">
        <f>IFERROR(VLOOKUP(IY$1,Capital!$B$16:$C$18,2,FALSE),0%)</f>
        <v>0</v>
      </c>
      <c r="IZ2" s="179">
        <f>IFERROR(VLOOKUP(IZ$1,Capital!$B$16:$C$18,2,FALSE),0%)</f>
        <v>0</v>
      </c>
      <c r="JA2" s="179">
        <f>IFERROR(VLOOKUP(JA$1,Capital!$B$16:$C$18,2,FALSE),0%)</f>
        <v>0</v>
      </c>
      <c r="JB2" s="179">
        <f>IFERROR(VLOOKUP(JB$1,Capital!$B$16:$C$18,2,FALSE),0%)</f>
        <v>0</v>
      </c>
      <c r="JC2" s="179">
        <f>IFERROR(VLOOKUP(JC$1,Capital!$B$16:$C$18,2,FALSE),0%)</f>
        <v>0</v>
      </c>
      <c r="JD2" s="179">
        <f>IFERROR(VLOOKUP(JD$1,Capital!$B$16:$C$18,2,FALSE),0%)</f>
        <v>0</v>
      </c>
      <c r="JE2" s="179">
        <f>IFERROR(VLOOKUP(JE$1,Capital!$B$16:$C$18,2,FALSE),0%)</f>
        <v>0</v>
      </c>
      <c r="JF2" s="179">
        <f>IFERROR(VLOOKUP(JF$1,Capital!$B$16:$C$18,2,FALSE),0%)</f>
        <v>0</v>
      </c>
      <c r="JG2" s="179">
        <f>IFERROR(VLOOKUP(JG$1,Capital!$B$16:$C$18,2,FALSE),0%)</f>
        <v>0</v>
      </c>
      <c r="JH2" s="179">
        <f>IFERROR(VLOOKUP(JH$1,Capital!$B$16:$C$18,2,FALSE),0%)</f>
        <v>0</v>
      </c>
      <c r="JI2" s="179">
        <f>IFERROR(VLOOKUP(JI$1,Capital!$B$16:$C$18,2,FALSE),0%)</f>
        <v>0</v>
      </c>
      <c r="JJ2" s="179">
        <f>IFERROR(VLOOKUP(JJ$1,Capital!$B$16:$C$18,2,FALSE),0%)</f>
        <v>0</v>
      </c>
      <c r="JK2" s="179">
        <f>IFERROR(VLOOKUP(JK$1,Capital!$B$16:$C$18,2,FALSE),0%)</f>
        <v>0</v>
      </c>
      <c r="JL2" s="179">
        <f>IFERROR(VLOOKUP(JL$1,Capital!$B$16:$C$18,2,FALSE),0%)</f>
        <v>0</v>
      </c>
      <c r="JM2" s="179">
        <f>IFERROR(VLOOKUP(JM$1,Capital!$B$16:$C$18,2,FALSE),0%)</f>
        <v>0</v>
      </c>
      <c r="JN2" s="179">
        <f>IFERROR(VLOOKUP(JN$1,Capital!$B$16:$C$18,2,FALSE),0%)</f>
        <v>0</v>
      </c>
      <c r="JO2" s="179">
        <f>IFERROR(VLOOKUP(JO$1,Capital!$B$16:$C$18,2,FALSE),0%)</f>
        <v>0</v>
      </c>
      <c r="JP2" s="179">
        <f>IFERROR(VLOOKUP(JP$1,Capital!$B$16:$C$18,2,FALSE),0%)</f>
        <v>0</v>
      </c>
      <c r="JQ2" s="179">
        <f>IFERROR(VLOOKUP(JQ$1,Capital!$B$16:$C$18,2,FALSE),0%)</f>
        <v>0</v>
      </c>
      <c r="JR2" s="179">
        <f>IFERROR(VLOOKUP(JR$1,Capital!$B$16:$C$18,2,FALSE),0%)</f>
        <v>0</v>
      </c>
      <c r="JS2" s="179">
        <f>IFERROR(VLOOKUP(JS$1,Capital!$B$16:$C$18,2,FALSE),0%)</f>
        <v>0</v>
      </c>
      <c r="JT2" s="179">
        <f>IFERROR(VLOOKUP(JT$1,Capital!$B$16:$C$18,2,FALSE),0%)</f>
        <v>0</v>
      </c>
      <c r="JU2" s="179">
        <f>IFERROR(VLOOKUP(JU$1,Capital!$B$16:$C$18,2,FALSE),0%)</f>
        <v>0</v>
      </c>
      <c r="JV2" s="179">
        <f>IFERROR(VLOOKUP(JV$1,Capital!$B$16:$C$18,2,FALSE),0%)</f>
        <v>0</v>
      </c>
      <c r="JW2" s="179">
        <f>IFERROR(VLOOKUP(JW$1,Capital!$B$16:$C$18,2,FALSE),0%)</f>
        <v>0</v>
      </c>
      <c r="JX2" s="179">
        <f>IFERROR(VLOOKUP(JX$1,Capital!$B$16:$C$18,2,FALSE),0%)</f>
        <v>0</v>
      </c>
      <c r="JY2" s="179">
        <f>IFERROR(VLOOKUP(JY$1,Capital!$B$16:$C$18,2,FALSE),0%)</f>
        <v>0</v>
      </c>
      <c r="JZ2" s="179">
        <f>IFERROR(VLOOKUP(JZ$1,Capital!$B$16:$C$18,2,FALSE),0%)</f>
        <v>0</v>
      </c>
      <c r="KA2" s="179">
        <f>IFERROR(VLOOKUP(KA$1,Capital!$B$16:$C$18,2,FALSE),0%)</f>
        <v>0</v>
      </c>
      <c r="KB2" s="179">
        <f>IFERROR(VLOOKUP(KB$1,Capital!$B$16:$C$18,2,FALSE),0%)</f>
        <v>0</v>
      </c>
      <c r="KC2" s="179">
        <f>IFERROR(VLOOKUP(KC$1,Capital!$B$16:$C$18,2,FALSE),0%)</f>
        <v>0</v>
      </c>
      <c r="KD2" s="179">
        <f>IFERROR(VLOOKUP(KD$1,Capital!$B$16:$C$18,2,FALSE),0%)</f>
        <v>0</v>
      </c>
      <c r="KE2" s="179">
        <f>IFERROR(VLOOKUP(KE$1,Capital!$B$16:$C$18,2,FALSE),0%)</f>
        <v>0</v>
      </c>
      <c r="KF2" s="179">
        <f>IFERROR(VLOOKUP(KF$1,Capital!$B$16:$C$18,2,FALSE),0%)</f>
        <v>0</v>
      </c>
      <c r="KG2" s="179">
        <f>IFERROR(VLOOKUP(KG$1,Capital!$B$16:$C$18,2,FALSE),0%)</f>
        <v>0</v>
      </c>
      <c r="KH2" s="179">
        <f>IFERROR(VLOOKUP(KH$1,Capital!$B$16:$C$18,2,FALSE),0%)</f>
        <v>0</v>
      </c>
      <c r="KI2" s="179">
        <f>IFERROR(VLOOKUP(KI$1,Capital!$B$16:$C$18,2,FALSE),0%)</f>
        <v>0</v>
      </c>
      <c r="KJ2" s="179">
        <f>IFERROR(VLOOKUP(KJ$1,Capital!$B$16:$C$18,2,FALSE),0%)</f>
        <v>0</v>
      </c>
      <c r="KK2" s="179">
        <f>IFERROR(VLOOKUP(KK$1,Capital!$B$16:$C$18,2,FALSE),0%)</f>
        <v>0</v>
      </c>
      <c r="KL2" s="179">
        <f>IFERROR(VLOOKUP(KL$1,Capital!$B$16:$C$18,2,FALSE),0%)</f>
        <v>0</v>
      </c>
      <c r="KM2" s="179">
        <f>IFERROR(VLOOKUP(KM$1,Capital!$B$16:$C$18,2,FALSE),0%)</f>
        <v>0</v>
      </c>
      <c r="KN2" s="179">
        <f>IFERROR(VLOOKUP(KN$1,Capital!$B$16:$C$18,2,FALSE),0%)</f>
        <v>0</v>
      </c>
      <c r="KO2" s="179">
        <f>IFERROR(VLOOKUP(KO$1,Capital!$B$16:$C$18,2,FALSE),0%)</f>
        <v>0</v>
      </c>
      <c r="KP2" s="179">
        <f>IFERROR(VLOOKUP(KP$1,Capital!$B$16:$C$18,2,FALSE),0%)</f>
        <v>0</v>
      </c>
      <c r="KQ2" s="179">
        <f>IFERROR(VLOOKUP(KQ$1,Capital!$B$16:$C$18,2,FALSE),0%)</f>
        <v>0</v>
      </c>
      <c r="KR2" s="179">
        <f>IFERROR(VLOOKUP(KR$1,Capital!$B$16:$C$18,2,FALSE),0%)</f>
        <v>0</v>
      </c>
      <c r="KS2" s="179">
        <f>IFERROR(VLOOKUP(KS$1,Capital!$B$16:$C$18,2,FALSE),0%)</f>
        <v>0</v>
      </c>
      <c r="KT2" s="179">
        <f>IFERROR(VLOOKUP(KT$1,Capital!$B$16:$C$18,2,FALSE),0%)</f>
        <v>0</v>
      </c>
      <c r="KU2" s="179">
        <f>IFERROR(VLOOKUP(KU$1,Capital!$B$16:$C$18,2,FALSE),0%)</f>
        <v>0</v>
      </c>
      <c r="KV2" s="179">
        <f>IFERROR(VLOOKUP(KV$1,Capital!$B$16:$C$18,2,FALSE),0%)</f>
        <v>0</v>
      </c>
      <c r="KW2" s="179">
        <f>IFERROR(VLOOKUP(KW$1,Capital!$B$16:$C$18,2,FALSE),0%)</f>
        <v>0</v>
      </c>
      <c r="KX2" s="179">
        <f>IFERROR(VLOOKUP(KX$1,Capital!$B$16:$C$18,2,FALSE),0%)</f>
        <v>0</v>
      </c>
      <c r="KY2" s="179">
        <f>IFERROR(VLOOKUP(KY$1,Capital!$B$16:$C$18,2,FALSE),0%)</f>
        <v>0</v>
      </c>
      <c r="KZ2" s="179">
        <f>IFERROR(VLOOKUP(KZ$1,Capital!$B$16:$C$18,2,FALSE),0%)</f>
        <v>0</v>
      </c>
      <c r="LA2" s="179">
        <f>IFERROR(VLOOKUP(LA$1,Capital!$B$16:$C$18,2,FALSE),0%)</f>
        <v>0</v>
      </c>
      <c r="LB2" s="179">
        <f>IFERROR(VLOOKUP(LB$1,Capital!$B$16:$C$18,2,FALSE),0%)</f>
        <v>0</v>
      </c>
      <c r="LC2" s="179">
        <f>IFERROR(VLOOKUP(LC$1,Capital!$B$16:$C$18,2,FALSE),0%)</f>
        <v>0</v>
      </c>
      <c r="LD2" s="179">
        <f>IFERROR(VLOOKUP(LD$1,Capital!$B$16:$C$18,2,FALSE),0%)</f>
        <v>0</v>
      </c>
      <c r="LE2" s="179">
        <f>IFERROR(VLOOKUP(LE$1,Capital!$B$16:$C$18,2,FALSE),0%)</f>
        <v>0</v>
      </c>
      <c r="LF2" s="179">
        <f>IFERROR(VLOOKUP(LF$1,Capital!$B$16:$C$18,2,FALSE),0%)</f>
        <v>0</v>
      </c>
      <c r="LG2" s="179">
        <f>IFERROR(VLOOKUP(LG$1,Capital!$B$16:$C$18,2,FALSE),0%)</f>
        <v>0</v>
      </c>
      <c r="LH2" s="179">
        <f>IFERROR(VLOOKUP(LH$1,Capital!$B$16:$C$18,2,FALSE),0%)</f>
        <v>0</v>
      </c>
      <c r="LI2" s="179">
        <f>IFERROR(VLOOKUP(LI$1,Capital!$B$16:$C$18,2,FALSE),0%)</f>
        <v>0</v>
      </c>
      <c r="LJ2" s="179">
        <f>IFERROR(VLOOKUP(LJ$1,Capital!$B$16:$C$18,2,FALSE),0%)</f>
        <v>0</v>
      </c>
      <c r="LK2" s="179">
        <f>IFERROR(VLOOKUP(LK$1,Capital!$B$16:$C$18,2,FALSE),0%)</f>
        <v>0</v>
      </c>
      <c r="LL2" s="179">
        <f>IFERROR(VLOOKUP(LL$1,Capital!$B$16:$C$18,2,FALSE),0%)</f>
        <v>0</v>
      </c>
      <c r="LM2" s="179">
        <f>IFERROR(VLOOKUP(LM$1,Capital!$B$16:$C$18,2,FALSE),0%)</f>
        <v>0</v>
      </c>
      <c r="LN2" s="179">
        <f>IFERROR(VLOOKUP(LN$1,Capital!$B$16:$C$18,2,FALSE),0%)</f>
        <v>0</v>
      </c>
      <c r="LO2" s="179">
        <f>IFERROR(VLOOKUP(LO$1,Capital!$B$16:$C$18,2,FALSE),0%)</f>
        <v>0</v>
      </c>
      <c r="LP2" s="179">
        <f>IFERROR(VLOOKUP(LP$1,Capital!$B$16:$C$18,2,FALSE),0%)</f>
        <v>0</v>
      </c>
      <c r="LQ2" s="179">
        <f>IFERROR(VLOOKUP(LQ$1,Capital!$B$16:$C$18,2,FALSE),0%)</f>
        <v>0</v>
      </c>
      <c r="LR2" s="179">
        <f>IFERROR(VLOOKUP(LR$1,Capital!$B$16:$C$18,2,FALSE),0%)</f>
        <v>0</v>
      </c>
      <c r="LS2" s="179">
        <f>IFERROR(VLOOKUP(LS$1,Capital!$B$16:$C$18,2,FALSE),0%)</f>
        <v>0</v>
      </c>
      <c r="LT2" s="179">
        <f>IFERROR(VLOOKUP(LT$1,Capital!$B$16:$C$18,2,FALSE),0%)</f>
        <v>0</v>
      </c>
      <c r="LU2" s="179">
        <f>IFERROR(VLOOKUP(LU$1,Capital!$B$16:$C$18,2,FALSE),0%)</f>
        <v>0</v>
      </c>
      <c r="LV2" s="179">
        <f>IFERROR(VLOOKUP(LV$1,Capital!$B$16:$C$18,2,FALSE),0%)</f>
        <v>0</v>
      </c>
      <c r="LW2" s="179">
        <f>IFERROR(VLOOKUP(LW$1,Capital!$B$16:$C$18,2,FALSE),0%)</f>
        <v>0</v>
      </c>
      <c r="LX2" s="179">
        <f>IFERROR(VLOOKUP(LX$1,Capital!$B$16:$C$18,2,FALSE),0%)</f>
        <v>0</v>
      </c>
      <c r="LY2" s="179">
        <f>IFERROR(VLOOKUP(LY$1,Capital!$B$16:$C$18,2,FALSE),0%)</f>
        <v>0</v>
      </c>
      <c r="LZ2" s="179">
        <f>IFERROR(VLOOKUP(LZ$1,Capital!$B$16:$C$18,2,FALSE),0%)</f>
        <v>0</v>
      </c>
      <c r="MA2" s="179">
        <f>IFERROR(VLOOKUP(MA$1,Capital!$B$16:$C$18,2,FALSE),0%)</f>
        <v>0</v>
      </c>
      <c r="MB2" s="179">
        <f>IFERROR(VLOOKUP(MB$1,Capital!$B$16:$C$18,2,FALSE),0%)</f>
        <v>0</v>
      </c>
      <c r="MC2" s="179">
        <f>IFERROR(VLOOKUP(MC$1,Capital!$B$16:$C$18,2,FALSE),0%)</f>
        <v>0</v>
      </c>
      <c r="MD2" s="179">
        <f>IFERROR(VLOOKUP(MD$1,Capital!$B$16:$C$18,2,FALSE),0%)</f>
        <v>0</v>
      </c>
      <c r="ME2" s="179">
        <f>IFERROR(VLOOKUP(ME$1,Capital!$B$16:$C$18,2,FALSE),0%)</f>
        <v>0</v>
      </c>
      <c r="MF2" s="179">
        <f>IFERROR(VLOOKUP(MF$1,Capital!$B$16:$C$18,2,FALSE),0%)</f>
        <v>0</v>
      </c>
      <c r="MG2" s="179">
        <f>IFERROR(VLOOKUP(MG$1,Capital!$B$16:$C$18,2,FALSE),0%)</f>
        <v>0</v>
      </c>
      <c r="MH2" s="179">
        <f>IFERROR(VLOOKUP(MH$1,Capital!$B$16:$C$18,2,FALSE),0%)</f>
        <v>0</v>
      </c>
      <c r="MI2" s="179">
        <f>IFERROR(VLOOKUP(MI$1,Capital!$B$16:$C$18,2,FALSE),0%)</f>
        <v>0</v>
      </c>
      <c r="MJ2" s="179">
        <f>IFERROR(VLOOKUP(MJ$1,Capital!$B$16:$C$18,2,FALSE),0%)</f>
        <v>0</v>
      </c>
      <c r="MK2" s="179">
        <f>IFERROR(VLOOKUP(MK$1,Capital!$B$16:$C$18,2,FALSE),0%)</f>
        <v>0</v>
      </c>
      <c r="ML2" s="179">
        <f>IFERROR(VLOOKUP(ML$1,Capital!$B$16:$C$18,2,FALSE),0%)</f>
        <v>0</v>
      </c>
      <c r="MM2" s="179">
        <f>IFERROR(VLOOKUP(MM$1,Capital!$B$16:$C$18,2,FALSE),0%)</f>
        <v>0</v>
      </c>
      <c r="MN2" s="179">
        <f>IFERROR(VLOOKUP(MN$1,Capital!$B$16:$C$18,2,FALSE),0%)</f>
        <v>0</v>
      </c>
      <c r="MO2" s="179">
        <f>IFERROR(VLOOKUP(MO$1,Capital!$B$16:$C$18,2,FALSE),0%)</f>
        <v>0</v>
      </c>
      <c r="MP2" s="179">
        <f>IFERROR(VLOOKUP(MP$1,Capital!$B$16:$C$18,2,FALSE),0%)</f>
        <v>0</v>
      </c>
      <c r="MQ2" s="179">
        <f>IFERROR(VLOOKUP(MQ$1,Capital!$B$16:$C$18,2,FALSE),0%)</f>
        <v>0</v>
      </c>
      <c r="MR2" s="179">
        <f>IFERROR(VLOOKUP(MR$1,Capital!$B$16:$C$18,2,FALSE),0%)</f>
        <v>0</v>
      </c>
      <c r="MS2" s="179">
        <f>IFERROR(VLOOKUP(MS$1,Capital!$B$16:$C$18,2,FALSE),0%)</f>
        <v>0</v>
      </c>
      <c r="MT2" s="179">
        <f>IFERROR(VLOOKUP(MT$1,Capital!$B$16:$C$18,2,FALSE),0%)</f>
        <v>0</v>
      </c>
      <c r="MU2" s="179">
        <f>IFERROR(VLOOKUP(MU$1,Capital!$B$16:$C$18,2,FALSE),0%)</f>
        <v>0</v>
      </c>
      <c r="MV2" s="179">
        <f>IFERROR(VLOOKUP(MV$1,Capital!$B$16:$C$18,2,FALSE),0%)</f>
        <v>0</v>
      </c>
      <c r="MW2" s="179">
        <f>IFERROR(VLOOKUP(MW$1,Capital!$B$16:$C$18,2,FALSE),0%)</f>
        <v>0</v>
      </c>
      <c r="MX2" s="179">
        <f>IFERROR(VLOOKUP(MX$1,Capital!$B$16:$C$18,2,FALSE),0%)</f>
        <v>0</v>
      </c>
      <c r="MY2" s="179">
        <f>IFERROR(VLOOKUP(MY$1,Capital!$B$16:$C$18,2,FALSE),0%)</f>
        <v>0</v>
      </c>
      <c r="MZ2" s="179">
        <f>IFERROR(VLOOKUP(MZ$1,Capital!$B$16:$C$18,2,FALSE),0%)</f>
        <v>0</v>
      </c>
      <c r="NA2" s="179">
        <f>IFERROR(VLOOKUP(NA$1,Capital!$B$16:$C$18,2,FALSE),0%)</f>
        <v>0</v>
      </c>
      <c r="NB2" s="179">
        <f>IFERROR(VLOOKUP(NB$1,Capital!$B$16:$C$18,2,FALSE),0%)</f>
        <v>0</v>
      </c>
      <c r="NC2" s="179">
        <f>IFERROR(VLOOKUP(NC$1,Capital!$B$16:$C$18,2,FALSE),0%)</f>
        <v>0</v>
      </c>
      <c r="ND2" s="179">
        <f>IFERROR(VLOOKUP(ND$1,Capital!$B$16:$C$18,2,FALSE),0%)</f>
        <v>0</v>
      </c>
      <c r="NE2" s="179">
        <f>IFERROR(VLOOKUP(NE$1,Capital!$B$16:$C$18,2,FALSE),0%)</f>
        <v>0</v>
      </c>
      <c r="NF2" s="179">
        <f>IFERROR(VLOOKUP(NF$1,Capital!$B$16:$C$18,2,FALSE),0%)</f>
        <v>0</v>
      </c>
      <c r="NG2" s="179">
        <f>IFERROR(VLOOKUP(NG$1,Capital!$B$16:$C$18,2,FALSE),0%)</f>
        <v>0</v>
      </c>
      <c r="NH2" s="179">
        <f>IFERROR(VLOOKUP(NH$1,Capital!$B$16:$C$18,2,FALSE),0%)</f>
        <v>0</v>
      </c>
      <c r="NI2" s="179">
        <f>IFERROR(VLOOKUP(NI$1,Capital!$B$16:$C$18,2,FALSE),0%)</f>
        <v>0</v>
      </c>
      <c r="NJ2" s="179">
        <f>IFERROR(VLOOKUP(NJ$1,Capital!$B$16:$C$18,2,FALSE),0%)</f>
        <v>0</v>
      </c>
      <c r="NK2" s="179">
        <f>IFERROR(VLOOKUP(NK$1,Capital!$B$16:$C$18,2,FALSE),0%)</f>
        <v>0</v>
      </c>
      <c r="NL2" s="179">
        <f>IFERROR(VLOOKUP(NL$1,Capital!$B$16:$C$18,2,FALSE),0%)</f>
        <v>0</v>
      </c>
      <c r="NM2" s="179">
        <f>IFERROR(VLOOKUP(NM$1,Capital!$B$16:$C$18,2,FALSE),0%)</f>
        <v>0</v>
      </c>
      <c r="NN2" s="179">
        <f>IFERROR(VLOOKUP(NN$1,Capital!$B$16:$C$18,2,FALSE),0%)</f>
        <v>0</v>
      </c>
      <c r="NO2" s="179">
        <f>IFERROR(VLOOKUP(NO$1,Capital!$B$16:$C$18,2,FALSE),0%)</f>
        <v>0</v>
      </c>
      <c r="NP2" s="179">
        <f>IFERROR(VLOOKUP(NP$1,Capital!$B$16:$C$18,2,FALSE),0%)</f>
        <v>0</v>
      </c>
      <c r="NQ2" s="179">
        <f>IFERROR(VLOOKUP(NQ$1,Capital!$B$16:$C$18,2,FALSE),0%)</f>
        <v>0</v>
      </c>
      <c r="NR2" s="179">
        <f>IFERROR(VLOOKUP(NR$1,Capital!$B$16:$C$18,2,FALSE),0%)</f>
        <v>0</v>
      </c>
      <c r="NS2" s="179">
        <f>IFERROR(VLOOKUP(NS$1,Capital!$B$16:$C$18,2,FALSE),0%)</f>
        <v>0</v>
      </c>
      <c r="NT2" s="179">
        <f>IFERROR(VLOOKUP(NT$1,Capital!$B$16:$C$18,2,FALSE),0%)</f>
        <v>0</v>
      </c>
      <c r="NU2" s="179">
        <f>IFERROR(VLOOKUP(NU$1,Capital!$B$16:$C$18,2,FALSE),0%)</f>
        <v>0</v>
      </c>
      <c r="NV2" s="179">
        <f>IFERROR(VLOOKUP(NV$1,Capital!$B$16:$C$18,2,FALSE),0%)</f>
        <v>0</v>
      </c>
      <c r="NW2" s="179">
        <f>IFERROR(VLOOKUP(NW$1,Capital!$B$16:$C$18,2,FALSE),0%)</f>
        <v>0</v>
      </c>
      <c r="NX2" s="179">
        <f>IFERROR(VLOOKUP(NX$1,Capital!$B$16:$C$18,2,FALSE),0%)</f>
        <v>0</v>
      </c>
      <c r="NY2" s="179">
        <f>IFERROR(VLOOKUP(NY$1,Capital!$B$16:$C$18,2,FALSE),0%)</f>
        <v>0</v>
      </c>
      <c r="NZ2" s="179">
        <f>IFERROR(VLOOKUP(NZ$1,Capital!$B$16:$C$18,2,FALSE),0%)</f>
        <v>0</v>
      </c>
      <c r="OA2" s="179">
        <f>IFERROR(VLOOKUP(OA$1,Capital!$B$16:$C$18,2,FALSE),0%)</f>
        <v>0</v>
      </c>
      <c r="OB2" s="179">
        <f>IFERROR(VLOOKUP(OB$1,Capital!$B$16:$C$18,2,FALSE),0%)</f>
        <v>0</v>
      </c>
      <c r="OC2" s="179">
        <f>IFERROR(VLOOKUP(OC$1,Capital!$B$16:$C$18,2,FALSE),0%)</f>
        <v>0</v>
      </c>
      <c r="OD2" s="179">
        <f>IFERROR(VLOOKUP(OD$1,Capital!$B$16:$C$18,2,FALSE),0%)</f>
        <v>0</v>
      </c>
      <c r="OE2" s="179">
        <f>IFERROR(VLOOKUP(OE$1,Capital!$B$16:$C$18,2,FALSE),0%)</f>
        <v>0</v>
      </c>
      <c r="OF2" s="179">
        <f>IFERROR(VLOOKUP(OF$1,Capital!$B$16:$C$18,2,FALSE),0%)</f>
        <v>0</v>
      </c>
      <c r="OG2" s="179">
        <f>IFERROR(VLOOKUP(OG$1,Capital!$B$16:$C$18,2,FALSE),0%)</f>
        <v>0</v>
      </c>
      <c r="OH2" s="179">
        <f>IFERROR(VLOOKUP(OH$1,Capital!$B$16:$C$18,2,FALSE),0%)</f>
        <v>0</v>
      </c>
      <c r="OI2" s="179">
        <f>IFERROR(VLOOKUP(OI$1,Capital!$B$16:$C$18,2,FALSE),0%)</f>
        <v>0</v>
      </c>
      <c r="OJ2" s="179">
        <f>IFERROR(VLOOKUP(OJ$1,Capital!$B$16:$C$18,2,FALSE),0%)</f>
        <v>0</v>
      </c>
      <c r="OK2" s="179">
        <f>IFERROR(VLOOKUP(OK$1,Capital!$B$16:$C$18,2,FALSE),0%)</f>
        <v>0</v>
      </c>
      <c r="OL2" s="179">
        <f>IFERROR(VLOOKUP(OL$1,Capital!$B$16:$C$18,2,FALSE),0%)</f>
        <v>0</v>
      </c>
      <c r="OM2" s="179">
        <f>IFERROR(VLOOKUP(OM$1,Capital!$B$16:$C$18,2,FALSE),0%)</f>
        <v>0</v>
      </c>
      <c r="ON2" s="179">
        <f>IFERROR(VLOOKUP(ON$1,Capital!$B$16:$C$18,2,FALSE),0%)</f>
        <v>0</v>
      </c>
      <c r="OO2" s="179">
        <f>IFERROR(VLOOKUP(OO$1,Capital!$B$16:$C$18,2,FALSE),0%)</f>
        <v>0</v>
      </c>
      <c r="OP2" s="179">
        <f>IFERROR(VLOOKUP(OP$1,Capital!$B$16:$C$18,2,FALSE),0%)</f>
        <v>0</v>
      </c>
      <c r="OQ2" s="179">
        <f>IFERROR(VLOOKUP(OQ$1,Capital!$B$16:$C$18,2,FALSE),0%)</f>
        <v>0</v>
      </c>
      <c r="OR2" s="179">
        <f>IFERROR(VLOOKUP(OR$1,Capital!$B$16:$C$18,2,FALSE),0%)</f>
        <v>0</v>
      </c>
      <c r="OS2" s="179">
        <f>IFERROR(VLOOKUP(OS$1,Capital!$B$16:$C$18,2,FALSE),0%)</f>
        <v>0</v>
      </c>
      <c r="OT2" s="179">
        <f>IFERROR(VLOOKUP(OT$1,Capital!$B$16:$C$18,2,FALSE),0%)</f>
        <v>0</v>
      </c>
      <c r="OU2" s="179">
        <f>IFERROR(VLOOKUP(OU$1,Capital!$B$16:$C$18,2,FALSE),0%)</f>
        <v>0</v>
      </c>
      <c r="OV2" s="179">
        <f>IFERROR(VLOOKUP(OV$1,Capital!$B$16:$C$18,2,FALSE),0%)</f>
        <v>0</v>
      </c>
      <c r="OW2" s="179">
        <f>IFERROR(VLOOKUP(OW$1,Capital!$B$16:$C$18,2,FALSE),0%)</f>
        <v>0</v>
      </c>
      <c r="OX2" s="179">
        <f>IFERROR(VLOOKUP(OX$1,Capital!$B$16:$C$18,2,FALSE),0%)</f>
        <v>0</v>
      </c>
      <c r="OY2" s="179">
        <f>IFERROR(VLOOKUP(OY$1,Capital!$B$16:$C$18,2,FALSE),0%)</f>
        <v>0</v>
      </c>
      <c r="OZ2" s="179">
        <f>IFERROR(VLOOKUP(OZ$1,Capital!$B$16:$C$18,2,FALSE),0%)</f>
        <v>0</v>
      </c>
      <c r="PA2" s="179">
        <f>IFERROR(VLOOKUP(PA$1,Capital!$B$16:$C$18,2,FALSE),0%)</f>
        <v>0</v>
      </c>
      <c r="PB2" s="179">
        <f>IFERROR(VLOOKUP(PB$1,Capital!$B$16:$C$18,2,FALSE),0%)</f>
        <v>0</v>
      </c>
      <c r="PC2" s="179">
        <f>IFERROR(VLOOKUP(PC$1,Capital!$B$16:$C$18,2,FALSE),0%)</f>
        <v>0</v>
      </c>
      <c r="PD2" s="179">
        <f>IFERROR(VLOOKUP(PD$1,Capital!$B$16:$C$18,2,FALSE),0%)</f>
        <v>0</v>
      </c>
      <c r="PE2" s="179">
        <f>IFERROR(VLOOKUP(PE$1,Capital!$B$16:$C$18,2,FALSE),0%)</f>
        <v>0</v>
      </c>
      <c r="PF2" s="179">
        <f>IFERROR(VLOOKUP(PF$1,Capital!$B$16:$C$18,2,FALSE),0%)</f>
        <v>0</v>
      </c>
      <c r="PG2" s="179">
        <f>IFERROR(VLOOKUP(PG$1,Capital!$B$16:$C$18,2,FALSE),0%)</f>
        <v>0</v>
      </c>
      <c r="PH2" s="179">
        <f>IFERROR(VLOOKUP(PH$1,Capital!$B$16:$C$18,2,FALSE),0%)</f>
        <v>0</v>
      </c>
      <c r="PI2" s="179">
        <f>IFERROR(VLOOKUP(PI$1,Capital!$B$16:$C$18,2,FALSE),0%)</f>
        <v>0</v>
      </c>
      <c r="PJ2" s="179">
        <f>IFERROR(VLOOKUP(PJ$1,Capital!$B$16:$C$18,2,FALSE),0%)</f>
        <v>0</v>
      </c>
      <c r="PK2" s="179">
        <f>IFERROR(VLOOKUP(PK$1,Capital!$B$16:$C$18,2,FALSE),0%)</f>
        <v>0</v>
      </c>
      <c r="PL2" s="179">
        <f>IFERROR(VLOOKUP(PL$1,Capital!$B$16:$C$18,2,FALSE),0%)</f>
        <v>0</v>
      </c>
      <c r="PM2" s="179">
        <f>IFERROR(VLOOKUP(PM$1,Capital!$B$16:$C$18,2,FALSE),0%)</f>
        <v>0</v>
      </c>
      <c r="PN2" s="179">
        <f>IFERROR(VLOOKUP(PN$1,Capital!$B$16:$C$18,2,FALSE),0%)</f>
        <v>0</v>
      </c>
      <c r="PO2" s="179">
        <f>IFERROR(VLOOKUP(PO$1,Capital!$B$16:$C$18,2,FALSE),0%)</f>
        <v>0</v>
      </c>
      <c r="PP2" s="179">
        <f>IFERROR(VLOOKUP(PP$1,Capital!$B$16:$C$18,2,FALSE),0%)</f>
        <v>0</v>
      </c>
      <c r="PQ2" s="179">
        <f>IFERROR(VLOOKUP(PQ$1,Capital!$B$16:$C$18,2,FALSE),0%)</f>
        <v>0</v>
      </c>
      <c r="PR2" s="179">
        <f>IFERROR(VLOOKUP(PR$1,Capital!$B$16:$C$18,2,FALSE),0%)</f>
        <v>0</v>
      </c>
      <c r="PS2" s="179">
        <f>IFERROR(VLOOKUP(PS$1,Capital!$B$16:$C$18,2,FALSE),0%)</f>
        <v>0</v>
      </c>
      <c r="PT2" s="179">
        <f>IFERROR(VLOOKUP(PT$1,Capital!$B$16:$C$18,2,FALSE),0%)</f>
        <v>0</v>
      </c>
      <c r="PU2" s="179">
        <f>IFERROR(VLOOKUP(PU$1,Capital!$B$16:$C$18,2,FALSE),0%)</f>
        <v>0</v>
      </c>
      <c r="PV2" s="179">
        <f>IFERROR(VLOOKUP(PV$1,Capital!$B$16:$C$18,2,FALSE),0%)</f>
        <v>0</v>
      </c>
      <c r="PW2" s="179">
        <f>IFERROR(VLOOKUP(PW$1,Capital!$B$16:$C$18,2,FALSE),0%)</f>
        <v>0</v>
      </c>
      <c r="PX2" s="179">
        <f>IFERROR(VLOOKUP(PX$1,Capital!$B$16:$C$18,2,FALSE),0%)</f>
        <v>0</v>
      </c>
      <c r="PY2" s="179">
        <f>IFERROR(VLOOKUP(PY$1,Capital!$B$16:$C$18,2,FALSE),0%)</f>
        <v>0</v>
      </c>
      <c r="PZ2" s="179">
        <f>IFERROR(VLOOKUP(PZ$1,Capital!$B$16:$C$18,2,FALSE),0%)</f>
        <v>0</v>
      </c>
      <c r="QA2" s="179">
        <f>IFERROR(VLOOKUP(QA$1,Capital!$B$16:$C$18,2,FALSE),0%)</f>
        <v>0</v>
      </c>
      <c r="QB2" s="179">
        <f>IFERROR(VLOOKUP(QB$1,Capital!$B$16:$C$18,2,FALSE),0%)</f>
        <v>0</v>
      </c>
      <c r="QC2" s="179">
        <f>IFERROR(VLOOKUP(QC$1,Capital!$B$16:$C$18,2,FALSE),0%)</f>
        <v>0</v>
      </c>
      <c r="QD2" s="179">
        <f>IFERROR(VLOOKUP(QD$1,Capital!$B$16:$C$18,2,FALSE),0%)</f>
        <v>0</v>
      </c>
      <c r="QE2" s="179">
        <f>IFERROR(VLOOKUP(QE$1,Capital!$B$16:$C$18,2,FALSE),0%)</f>
        <v>0</v>
      </c>
      <c r="QF2" s="179">
        <f>IFERROR(VLOOKUP(QF$1,Capital!$B$16:$C$18,2,FALSE),0%)</f>
        <v>0</v>
      </c>
      <c r="QG2" s="179">
        <f>IFERROR(VLOOKUP(QG$1,Capital!$B$16:$C$18,2,FALSE),0%)</f>
        <v>0</v>
      </c>
      <c r="QH2" s="179">
        <f>IFERROR(VLOOKUP(QH$1,Capital!$B$16:$C$18,2,FALSE),0%)</f>
        <v>0</v>
      </c>
      <c r="QI2" s="179">
        <f>IFERROR(VLOOKUP(QI$1,Capital!$B$16:$C$18,2,FALSE),0%)</f>
        <v>0</v>
      </c>
      <c r="QJ2" s="179">
        <f>IFERROR(VLOOKUP(QJ$1,Capital!$B$16:$C$18,2,FALSE),0%)</f>
        <v>0</v>
      </c>
      <c r="QK2" s="179">
        <f>IFERROR(VLOOKUP(QK$1,Capital!$B$16:$C$18,2,FALSE),0%)</f>
        <v>0</v>
      </c>
      <c r="QL2" s="179">
        <f>IFERROR(VLOOKUP(QL$1,Capital!$B$16:$C$18,2,FALSE),0%)</f>
        <v>0</v>
      </c>
      <c r="QM2" s="179">
        <f>IFERROR(VLOOKUP(QM$1,Capital!$B$16:$C$18,2,FALSE),0%)</f>
        <v>0</v>
      </c>
      <c r="QN2" s="179">
        <f>IFERROR(VLOOKUP(QN$1,Capital!$B$16:$C$18,2,FALSE),0%)</f>
        <v>0</v>
      </c>
      <c r="QO2" s="179">
        <f>IFERROR(VLOOKUP(QO$1,Capital!$B$16:$C$18,2,FALSE),0%)</f>
        <v>0</v>
      </c>
      <c r="QP2" s="179">
        <f>IFERROR(VLOOKUP(QP$1,Capital!$B$16:$C$18,2,FALSE),0%)</f>
        <v>0</v>
      </c>
      <c r="QQ2" s="179">
        <f>IFERROR(VLOOKUP(QQ$1,Capital!$B$16:$C$18,2,FALSE),0%)</f>
        <v>0</v>
      </c>
      <c r="QR2" s="179">
        <f>IFERROR(VLOOKUP(QR$1,Capital!$B$16:$C$18,2,FALSE),0%)</f>
        <v>0</v>
      </c>
      <c r="QS2" s="179">
        <f>IFERROR(VLOOKUP(QS$1,Capital!$B$16:$C$18,2,FALSE),0%)</f>
        <v>0</v>
      </c>
      <c r="QT2" s="179">
        <f>IFERROR(VLOOKUP(QT$1,Capital!$B$16:$C$18,2,FALSE),0%)</f>
        <v>0</v>
      </c>
      <c r="QU2" s="179">
        <f>IFERROR(VLOOKUP(QU$1,Capital!$B$16:$C$18,2,FALSE),0%)</f>
        <v>0</v>
      </c>
      <c r="QV2" s="179">
        <f>IFERROR(VLOOKUP(QV$1,Capital!$B$16:$C$18,2,FALSE),0%)</f>
        <v>0</v>
      </c>
      <c r="QW2" s="179">
        <f>IFERROR(VLOOKUP(QW$1,Capital!$B$16:$C$18,2,FALSE),0%)</f>
        <v>0</v>
      </c>
      <c r="QX2" s="179">
        <f>IFERROR(VLOOKUP(QX$1,Capital!$B$16:$C$18,2,FALSE),0%)</f>
        <v>0</v>
      </c>
      <c r="QY2" s="179">
        <f>IFERROR(VLOOKUP(QY$1,Capital!$B$16:$C$18,2,FALSE),0%)</f>
        <v>0</v>
      </c>
      <c r="QZ2" s="179">
        <f>IFERROR(VLOOKUP(QZ$1,Capital!$B$16:$C$18,2,FALSE),0%)</f>
        <v>0</v>
      </c>
      <c r="RA2" s="179">
        <f>IFERROR(VLOOKUP(RA$1,Capital!$B$16:$C$18,2,FALSE),0%)</f>
        <v>0</v>
      </c>
      <c r="RB2" s="179">
        <f>IFERROR(VLOOKUP(RB$1,Capital!$B$16:$C$18,2,FALSE),0%)</f>
        <v>0</v>
      </c>
      <c r="RC2" s="179">
        <f>IFERROR(VLOOKUP(RC$1,Capital!$B$16:$C$18,2,FALSE),0%)</f>
        <v>0</v>
      </c>
      <c r="RD2" s="179">
        <f>IFERROR(VLOOKUP(RD$1,Capital!$B$16:$C$18,2,FALSE),0%)</f>
        <v>0</v>
      </c>
      <c r="RE2" s="179">
        <f>IFERROR(VLOOKUP(RE$1,Capital!$B$16:$C$18,2,FALSE),0%)</f>
        <v>0</v>
      </c>
      <c r="RF2" s="179">
        <f>IFERROR(VLOOKUP(RF$1,Capital!$B$16:$C$18,2,FALSE),0%)</f>
        <v>0</v>
      </c>
      <c r="RG2" s="179">
        <f>IFERROR(VLOOKUP(RG$1,Capital!$B$16:$C$18,2,FALSE),0%)</f>
        <v>0</v>
      </c>
      <c r="RH2" s="179">
        <f>IFERROR(VLOOKUP(RH$1,Capital!$B$16:$C$18,2,FALSE),0%)</f>
        <v>0</v>
      </c>
      <c r="RI2" s="179">
        <f>IFERROR(VLOOKUP(RI$1,Capital!$B$16:$C$18,2,FALSE),0%)</f>
        <v>0</v>
      </c>
      <c r="RJ2" s="179">
        <f>IFERROR(VLOOKUP(RJ$1,Capital!$B$16:$C$18,2,FALSE),0%)</f>
        <v>0</v>
      </c>
      <c r="RK2" s="179">
        <f>IFERROR(VLOOKUP(RK$1,Capital!$B$16:$C$18,2,FALSE),0%)</f>
        <v>0</v>
      </c>
      <c r="RL2" s="179">
        <f>IFERROR(VLOOKUP(RL$1,Capital!$B$16:$C$18,2,FALSE),0%)</f>
        <v>0</v>
      </c>
      <c r="RM2" s="179">
        <f>IFERROR(VLOOKUP(RM$1,Capital!$B$16:$C$18,2,FALSE),0%)</f>
        <v>0</v>
      </c>
      <c r="RN2" s="179">
        <f>IFERROR(VLOOKUP(RN$1,Capital!$B$16:$C$18,2,FALSE),0%)</f>
        <v>0</v>
      </c>
      <c r="RO2" s="179">
        <f>IFERROR(VLOOKUP(RO$1,Capital!$B$16:$C$18,2,FALSE),0%)</f>
        <v>0</v>
      </c>
      <c r="RP2" s="179">
        <f>IFERROR(VLOOKUP(RP$1,Capital!$B$16:$C$18,2,FALSE),0%)</f>
        <v>0</v>
      </c>
      <c r="RQ2" s="179">
        <f>IFERROR(VLOOKUP(RQ$1,Capital!$B$16:$C$18,2,FALSE),0%)</f>
        <v>0</v>
      </c>
      <c r="RR2" s="179">
        <f>IFERROR(VLOOKUP(RR$1,Capital!$B$16:$C$18,2,FALSE),0%)</f>
        <v>0</v>
      </c>
      <c r="RS2" s="179">
        <f>IFERROR(VLOOKUP(RS$1,Capital!$B$16:$C$18,2,FALSE),0%)</f>
        <v>0</v>
      </c>
      <c r="RT2" s="179">
        <f>IFERROR(VLOOKUP(RT$1,Capital!$B$16:$C$18,2,FALSE),0%)</f>
        <v>0</v>
      </c>
      <c r="RU2" s="179">
        <f>IFERROR(VLOOKUP(RU$1,Capital!$B$16:$C$18,2,FALSE),0%)</f>
        <v>0</v>
      </c>
      <c r="RV2" s="179">
        <f>IFERROR(VLOOKUP(RV$1,Capital!$B$16:$C$18,2,FALSE),0%)</f>
        <v>0</v>
      </c>
      <c r="RW2" s="179">
        <f>IFERROR(VLOOKUP(RW$1,Capital!$B$16:$C$18,2,FALSE),0%)</f>
        <v>0</v>
      </c>
      <c r="RX2" s="179">
        <f>IFERROR(VLOOKUP(RX$1,Capital!$B$16:$C$18,2,FALSE),0%)</f>
        <v>0</v>
      </c>
      <c r="RY2" s="179">
        <f>IFERROR(VLOOKUP(RY$1,Capital!$B$16:$C$18,2,FALSE),0%)</f>
        <v>0</v>
      </c>
      <c r="RZ2" s="179">
        <f>IFERROR(VLOOKUP(RZ$1,Capital!$B$16:$C$18,2,FALSE),0%)</f>
        <v>0</v>
      </c>
      <c r="SA2" s="179">
        <f>IFERROR(VLOOKUP(SA$1,Capital!$B$16:$C$18,2,FALSE),0%)</f>
        <v>0</v>
      </c>
      <c r="SB2" s="179">
        <f>IFERROR(VLOOKUP(SB$1,Capital!$B$16:$C$18,2,FALSE),0%)</f>
        <v>0</v>
      </c>
      <c r="SC2" s="179">
        <f>IFERROR(VLOOKUP(SC$1,Capital!$B$16:$C$18,2,FALSE),0%)</f>
        <v>0</v>
      </c>
      <c r="SD2" s="179">
        <f>IFERROR(VLOOKUP(SD$1,Capital!$B$16:$C$18,2,FALSE),0%)</f>
        <v>0</v>
      </c>
      <c r="SE2" s="179">
        <f>IFERROR(VLOOKUP(SE$1,Capital!$B$16:$C$18,2,FALSE),0%)</f>
        <v>0</v>
      </c>
      <c r="SF2" s="179">
        <f>IFERROR(VLOOKUP(SF$1,Capital!$B$16:$C$18,2,FALSE),0%)</f>
        <v>0</v>
      </c>
      <c r="SG2" s="179">
        <f>IFERROR(VLOOKUP(SG$1,Capital!$B$16:$C$18,2,FALSE),0%)</f>
        <v>0</v>
      </c>
      <c r="SH2" s="179">
        <f>IFERROR(VLOOKUP(SH$1,Capital!$B$16:$C$18,2,FALSE),0%)</f>
        <v>0</v>
      </c>
      <c r="SI2" s="179">
        <f>IFERROR(VLOOKUP(SI$1,Capital!$B$16:$C$18,2,FALSE),0%)</f>
        <v>0</v>
      </c>
      <c r="SJ2" s="179">
        <f>IFERROR(VLOOKUP(SJ$1,Capital!$B$16:$C$18,2,FALSE),0%)</f>
        <v>0</v>
      </c>
      <c r="SK2" s="179">
        <f>IFERROR(VLOOKUP(SK$1,Capital!$B$16:$C$18,2,FALSE),0%)</f>
        <v>0</v>
      </c>
      <c r="SL2" s="179">
        <f>IFERROR(VLOOKUP(SL$1,Capital!$B$16:$C$18,2,FALSE),0%)</f>
        <v>0</v>
      </c>
      <c r="SM2" s="179">
        <f>IFERROR(VLOOKUP(SM$1,Capital!$B$16:$C$18,2,FALSE),0%)</f>
        <v>0</v>
      </c>
      <c r="SN2" s="179">
        <f>IFERROR(VLOOKUP(SN$1,Capital!$B$16:$C$18,2,FALSE),0%)</f>
        <v>0</v>
      </c>
      <c r="SO2" s="179">
        <f>IFERROR(VLOOKUP(SO$1,Capital!$B$16:$C$18,2,FALSE),0%)</f>
        <v>0</v>
      </c>
      <c r="SP2" s="179">
        <f>IFERROR(VLOOKUP(SP$1,Capital!$B$16:$C$18,2,FALSE),0%)</f>
        <v>0</v>
      </c>
      <c r="SQ2" s="179">
        <f>IFERROR(VLOOKUP(SQ$1,Capital!$B$16:$C$18,2,FALSE),0%)</f>
        <v>0</v>
      </c>
      <c r="SR2" s="179">
        <f>IFERROR(VLOOKUP(SR$1,Capital!$B$16:$C$18,2,FALSE),0%)</f>
        <v>0</v>
      </c>
      <c r="SS2" s="179">
        <f>IFERROR(VLOOKUP(SS$1,Capital!$B$16:$C$18,2,FALSE),0%)</f>
        <v>0</v>
      </c>
      <c r="ST2" s="179">
        <f>IFERROR(VLOOKUP(ST$1,Capital!$B$16:$C$18,2,FALSE),0%)</f>
        <v>0</v>
      </c>
      <c r="SU2" s="179">
        <f>IFERROR(VLOOKUP(SU$1,Capital!$B$16:$C$18,2,FALSE),0%)</f>
        <v>0</v>
      </c>
      <c r="SV2" s="179">
        <f>IFERROR(VLOOKUP(SV$1,Capital!$B$16:$C$18,2,FALSE),0%)</f>
        <v>0</v>
      </c>
      <c r="SW2" s="179">
        <f>IFERROR(VLOOKUP(SW$1,Capital!$B$16:$C$18,2,FALSE),0%)</f>
        <v>0</v>
      </c>
      <c r="SX2" s="179">
        <f>IFERROR(VLOOKUP(SX$1,Capital!$B$16:$C$18,2,FALSE),0%)</f>
        <v>0</v>
      </c>
      <c r="SY2" s="179">
        <f>IFERROR(VLOOKUP(SY$1,Capital!$B$16:$C$18,2,FALSE),0%)</f>
        <v>0</v>
      </c>
      <c r="SZ2" s="179">
        <f>IFERROR(VLOOKUP(SZ$1,Capital!$B$16:$C$18,2,FALSE),0%)</f>
        <v>0</v>
      </c>
      <c r="TA2" s="179">
        <f>IFERROR(VLOOKUP(TA$1,Capital!$B$16:$C$18,2,FALSE),0%)</f>
        <v>0</v>
      </c>
      <c r="TB2" s="179">
        <f>IFERROR(VLOOKUP(TB$1,Capital!$B$16:$C$18,2,FALSE),0%)</f>
        <v>0</v>
      </c>
      <c r="TC2" s="179">
        <f>IFERROR(VLOOKUP(TC$1,Capital!$B$16:$C$18,2,FALSE),0%)</f>
        <v>0</v>
      </c>
      <c r="TD2" s="179">
        <f>IFERROR(VLOOKUP(TD$1,Capital!$B$16:$C$18,2,FALSE),0%)</f>
        <v>0</v>
      </c>
      <c r="TE2" s="179">
        <f>IFERROR(VLOOKUP(TE$1,Capital!$B$16:$C$18,2,FALSE),0%)</f>
        <v>0</v>
      </c>
      <c r="TF2" s="179">
        <f>IFERROR(VLOOKUP(TF$1,Capital!$B$16:$C$18,2,FALSE),0%)</f>
        <v>0</v>
      </c>
      <c r="TG2" s="179">
        <f>IFERROR(VLOOKUP(TG$1,Capital!$B$16:$C$18,2,FALSE),0%)</f>
        <v>0</v>
      </c>
      <c r="TH2" s="179">
        <f>IFERROR(VLOOKUP(TH$1,Capital!$B$16:$C$18,2,FALSE),0%)</f>
        <v>0</v>
      </c>
      <c r="TI2" s="179">
        <f>IFERROR(VLOOKUP(TI$1,Capital!$B$16:$C$18,2,FALSE),0%)</f>
        <v>0</v>
      </c>
      <c r="TJ2" s="179">
        <f>IFERROR(VLOOKUP(TJ$1,Capital!$B$16:$C$18,2,FALSE),0%)</f>
        <v>0</v>
      </c>
      <c r="TK2" s="179">
        <f>IFERROR(VLOOKUP(TK$1,Capital!$B$16:$C$18,2,FALSE),0%)</f>
        <v>0</v>
      </c>
      <c r="TL2" s="179">
        <f>IFERROR(VLOOKUP(TL$1,Capital!$B$16:$C$18,2,FALSE),0%)</f>
        <v>0</v>
      </c>
      <c r="TM2" s="179">
        <f>IFERROR(VLOOKUP(TM$1,Capital!$B$16:$C$18,2,FALSE),0%)</f>
        <v>0</v>
      </c>
      <c r="TN2" s="179">
        <f>IFERROR(VLOOKUP(TN$1,Capital!$B$16:$C$18,2,FALSE),0%)</f>
        <v>0</v>
      </c>
      <c r="TO2" s="179">
        <f>IFERROR(VLOOKUP(TO$1,Capital!$B$16:$C$18,2,FALSE),0%)</f>
        <v>0</v>
      </c>
      <c r="TP2" s="179">
        <f>IFERROR(VLOOKUP(TP$1,Capital!$B$16:$C$18,2,FALSE),0%)</f>
        <v>0</v>
      </c>
      <c r="TQ2" s="179">
        <f>IFERROR(VLOOKUP(TQ$1,Capital!$B$16:$C$18,2,FALSE),0%)</f>
        <v>0</v>
      </c>
      <c r="TR2" s="179">
        <f>IFERROR(VLOOKUP(TR$1,Capital!$B$16:$C$18,2,FALSE),0%)</f>
        <v>0</v>
      </c>
      <c r="TS2" s="179">
        <f>IFERROR(VLOOKUP(TS$1,Capital!$B$16:$C$18,2,FALSE),0%)</f>
        <v>0</v>
      </c>
      <c r="TT2" s="179">
        <f>IFERROR(VLOOKUP(TT$1,Capital!$B$16:$C$18,2,FALSE),0%)</f>
        <v>0</v>
      </c>
      <c r="TU2" s="179">
        <f>IFERROR(VLOOKUP(TU$1,Capital!$B$16:$C$18,2,FALSE),0%)</f>
        <v>0</v>
      </c>
      <c r="TV2" s="179">
        <f>IFERROR(VLOOKUP(TV$1,Capital!$B$16:$C$18,2,FALSE),0%)</f>
        <v>0</v>
      </c>
      <c r="TW2" s="179">
        <f>IFERROR(VLOOKUP(TW$1,Capital!$B$16:$C$18,2,FALSE),0%)</f>
        <v>0</v>
      </c>
      <c r="TX2" s="179">
        <f>IFERROR(VLOOKUP(TX$1,Capital!$B$16:$C$18,2,FALSE),0%)</f>
        <v>0</v>
      </c>
      <c r="TY2" s="179">
        <f>IFERROR(VLOOKUP(TY$1,Capital!$B$16:$C$18,2,FALSE),0%)</f>
        <v>0</v>
      </c>
      <c r="TZ2" s="179">
        <f>IFERROR(VLOOKUP(TZ$1,Capital!$B$16:$C$18,2,FALSE),0%)</f>
        <v>0</v>
      </c>
      <c r="UA2" s="179">
        <f>IFERROR(VLOOKUP(UA$1,Capital!$B$16:$C$18,2,FALSE),0%)</f>
        <v>0</v>
      </c>
      <c r="UB2" s="179">
        <f>IFERROR(VLOOKUP(UB$1,Capital!$B$16:$C$18,2,FALSE),0%)</f>
        <v>0</v>
      </c>
      <c r="UC2" s="179">
        <f>IFERROR(VLOOKUP(UC$1,Capital!$B$16:$C$18,2,FALSE),0%)</f>
        <v>0</v>
      </c>
      <c r="UD2" s="179">
        <f>IFERROR(VLOOKUP(UD$1,Capital!$B$16:$C$18,2,FALSE),0%)</f>
        <v>0</v>
      </c>
      <c r="UE2" s="179">
        <f>IFERROR(VLOOKUP(UE$1,Capital!$B$16:$C$18,2,FALSE),0%)</f>
        <v>0</v>
      </c>
      <c r="UF2" s="179">
        <f>IFERROR(VLOOKUP(UF$1,Capital!$B$16:$C$18,2,FALSE),0%)</f>
        <v>0</v>
      </c>
      <c r="UG2" s="179">
        <f>IFERROR(VLOOKUP(UG$1,Capital!$B$16:$C$18,2,FALSE),0%)</f>
        <v>0</v>
      </c>
      <c r="UH2" s="179">
        <f>IFERROR(VLOOKUP(UH$1,Capital!$B$16:$C$18,2,FALSE),0%)</f>
        <v>0</v>
      </c>
      <c r="UI2" s="179">
        <f>IFERROR(VLOOKUP(UI$1,Capital!$B$16:$C$18,2,FALSE),0%)</f>
        <v>0</v>
      </c>
      <c r="UJ2" s="179">
        <f>IFERROR(VLOOKUP(UJ$1,Capital!$B$16:$C$18,2,FALSE),0%)</f>
        <v>0</v>
      </c>
      <c r="UK2" s="179">
        <f>IFERROR(VLOOKUP(UK$1,Capital!$B$16:$C$18,2,FALSE),0%)</f>
        <v>0</v>
      </c>
      <c r="UL2" s="179">
        <f>IFERROR(VLOOKUP(UL$1,Capital!$B$16:$C$18,2,FALSE),0%)</f>
        <v>0</v>
      </c>
      <c r="UM2" s="179">
        <f>IFERROR(VLOOKUP(UM$1,Capital!$B$16:$C$18,2,FALSE),0%)</f>
        <v>0</v>
      </c>
      <c r="UN2" s="179">
        <f>IFERROR(VLOOKUP(UN$1,Capital!$B$16:$C$18,2,FALSE),0%)</f>
        <v>0</v>
      </c>
      <c r="UO2" s="179">
        <f>IFERROR(VLOOKUP(UO$1,Capital!$B$16:$C$18,2,FALSE),0%)</f>
        <v>0</v>
      </c>
      <c r="UP2" s="179">
        <f>IFERROR(VLOOKUP(UP$1,Capital!$B$16:$C$18,2,FALSE),0%)</f>
        <v>0</v>
      </c>
      <c r="UQ2" s="179">
        <f>IFERROR(VLOOKUP(UQ$1,Capital!$B$16:$C$18,2,FALSE),0%)</f>
        <v>0</v>
      </c>
      <c r="UR2" s="179">
        <f>IFERROR(VLOOKUP(UR$1,Capital!$B$16:$C$18,2,FALSE),0%)</f>
        <v>0</v>
      </c>
      <c r="US2" s="179">
        <f>IFERROR(VLOOKUP(US$1,Capital!$B$16:$C$18,2,FALSE),0%)</f>
        <v>0</v>
      </c>
      <c r="UT2" s="179">
        <f>IFERROR(VLOOKUP(UT$1,Capital!$B$16:$C$18,2,FALSE),0%)</f>
        <v>0</v>
      </c>
      <c r="UU2" s="179">
        <f>IFERROR(VLOOKUP(UU$1,Capital!$B$16:$C$18,2,FALSE),0%)</f>
        <v>0</v>
      </c>
      <c r="UV2" s="179">
        <f>IFERROR(VLOOKUP(UV$1,Capital!$B$16:$C$18,2,FALSE),0%)</f>
        <v>0</v>
      </c>
      <c r="UW2" s="179">
        <f>IFERROR(VLOOKUP(UW$1,Capital!$B$16:$C$18,2,FALSE),0%)</f>
        <v>0</v>
      </c>
      <c r="UX2" s="179">
        <f>IFERROR(VLOOKUP(UX$1,Capital!$B$16:$C$18,2,FALSE),0%)</f>
        <v>0</v>
      </c>
      <c r="UY2" s="179">
        <f>IFERROR(VLOOKUP(UY$1,Capital!$B$16:$C$18,2,FALSE),0%)</f>
        <v>0</v>
      </c>
      <c r="UZ2" s="179">
        <f>IFERROR(VLOOKUP(UZ$1,Capital!$B$16:$C$18,2,FALSE),0%)</f>
        <v>0</v>
      </c>
      <c r="VA2" s="179">
        <f>IFERROR(VLOOKUP(VA$1,Capital!$B$16:$C$18,2,FALSE),0%)</f>
        <v>0</v>
      </c>
      <c r="VB2" s="179">
        <f>IFERROR(VLOOKUP(VB$1,Capital!$B$16:$C$18,2,FALSE),0%)</f>
        <v>0</v>
      </c>
      <c r="VC2" s="179">
        <f>IFERROR(VLOOKUP(VC$1,Capital!$B$16:$C$18,2,FALSE),0%)</f>
        <v>0</v>
      </c>
      <c r="VD2" s="179">
        <f>IFERROR(VLOOKUP(VD$1,Capital!$B$16:$C$18,2,FALSE),0%)</f>
        <v>0</v>
      </c>
      <c r="VE2" s="179">
        <f>IFERROR(VLOOKUP(VE$1,Capital!$B$16:$C$18,2,FALSE),0%)</f>
        <v>0</v>
      </c>
      <c r="VF2" s="179">
        <f>IFERROR(VLOOKUP(VF$1,Capital!$B$16:$C$18,2,FALSE),0%)</f>
        <v>0</v>
      </c>
      <c r="VG2" s="179">
        <f>IFERROR(VLOOKUP(VG$1,Capital!$B$16:$C$18,2,FALSE),0%)</f>
        <v>0</v>
      </c>
      <c r="VH2" s="179">
        <f>IFERROR(VLOOKUP(VH$1,Capital!$B$16:$C$18,2,FALSE),0%)</f>
        <v>0</v>
      </c>
      <c r="VI2" s="179">
        <f>IFERROR(VLOOKUP(VI$1,Capital!$B$16:$C$18,2,FALSE),0%)</f>
        <v>0</v>
      </c>
      <c r="VJ2" s="179">
        <f>IFERROR(VLOOKUP(VJ$1,Capital!$B$16:$C$18,2,FALSE),0%)</f>
        <v>0</v>
      </c>
      <c r="VK2" s="179">
        <f>IFERROR(VLOOKUP(VK$1,Capital!$B$16:$C$18,2,FALSE),0%)</f>
        <v>0</v>
      </c>
      <c r="VL2" s="179">
        <f>IFERROR(VLOOKUP(VL$1,Capital!$B$16:$C$18,2,FALSE),0%)</f>
        <v>0</v>
      </c>
      <c r="VM2" s="179">
        <f>IFERROR(VLOOKUP(VM$1,Capital!$B$16:$C$18,2,FALSE),0%)</f>
        <v>0</v>
      </c>
      <c r="VN2" s="179">
        <f>IFERROR(VLOOKUP(VN$1,Capital!$B$16:$C$18,2,FALSE),0%)</f>
        <v>0</v>
      </c>
      <c r="VO2" s="179">
        <f>IFERROR(VLOOKUP(VO$1,Capital!$B$16:$C$18,2,FALSE),0%)</f>
        <v>0</v>
      </c>
      <c r="VP2" s="179">
        <f>IFERROR(VLOOKUP(VP$1,Capital!$B$16:$C$18,2,FALSE),0%)</f>
        <v>0</v>
      </c>
      <c r="VQ2" s="179">
        <f>IFERROR(VLOOKUP(VQ$1,Capital!$B$16:$C$18,2,FALSE),0%)</f>
        <v>0</v>
      </c>
      <c r="VR2" s="179">
        <f>IFERROR(VLOOKUP(VR$1,Capital!$B$16:$C$18,2,FALSE),0%)</f>
        <v>0</v>
      </c>
      <c r="VS2" s="179">
        <f>IFERROR(VLOOKUP(VS$1,Capital!$B$16:$C$18,2,FALSE),0%)</f>
        <v>0</v>
      </c>
      <c r="VT2" s="179">
        <f>IFERROR(VLOOKUP(VT$1,Capital!$B$16:$C$18,2,FALSE),0%)</f>
        <v>0</v>
      </c>
      <c r="VU2" s="179">
        <f>IFERROR(VLOOKUP(VU$1,Capital!$B$16:$C$18,2,FALSE),0%)</f>
        <v>0</v>
      </c>
      <c r="VV2" s="179">
        <f>IFERROR(VLOOKUP(VV$1,Capital!$B$16:$C$18,2,FALSE),0%)</f>
        <v>0</v>
      </c>
      <c r="VW2" s="179">
        <f>IFERROR(VLOOKUP(VW$1,Capital!$B$16:$C$18,2,FALSE),0%)</f>
        <v>0</v>
      </c>
      <c r="VX2" s="179">
        <f>IFERROR(VLOOKUP(VX$1,Capital!$B$16:$C$18,2,FALSE),0%)</f>
        <v>0</v>
      </c>
      <c r="VY2" s="179">
        <f>IFERROR(VLOOKUP(VY$1,Capital!$B$16:$C$18,2,FALSE),0%)</f>
        <v>0</v>
      </c>
      <c r="VZ2" s="179">
        <f>IFERROR(VLOOKUP(VZ$1,Capital!$B$16:$C$18,2,FALSE),0%)</f>
        <v>0</v>
      </c>
      <c r="WA2" s="179">
        <f>IFERROR(VLOOKUP(WA$1,Capital!$B$16:$C$18,2,FALSE),0%)</f>
        <v>0</v>
      </c>
      <c r="WB2" s="179">
        <f>IFERROR(VLOOKUP(WB$1,Capital!$B$16:$C$18,2,FALSE),0%)</f>
        <v>0</v>
      </c>
      <c r="WC2" s="179">
        <f>IFERROR(VLOOKUP(WC$1,Capital!$B$16:$C$18,2,FALSE),0%)</f>
        <v>0</v>
      </c>
      <c r="WD2" s="179">
        <f>IFERROR(VLOOKUP(WD$1,Capital!$B$16:$C$18,2,FALSE),0%)</f>
        <v>0</v>
      </c>
      <c r="WE2" s="179">
        <f>IFERROR(VLOOKUP(WE$1,Capital!$B$16:$C$18,2,FALSE),0%)</f>
        <v>0</v>
      </c>
      <c r="WF2" s="179">
        <f>IFERROR(VLOOKUP(WF$1,Capital!$B$16:$C$18,2,FALSE),0%)</f>
        <v>0</v>
      </c>
      <c r="WG2" s="179">
        <f>IFERROR(VLOOKUP(WG$1,Capital!$B$16:$C$18,2,FALSE),0%)</f>
        <v>0</v>
      </c>
      <c r="WH2" s="179">
        <f>IFERROR(VLOOKUP(WH$1,Capital!$B$16:$C$18,2,FALSE),0%)</f>
        <v>0</v>
      </c>
      <c r="WI2" s="179">
        <f>IFERROR(VLOOKUP(WI$1,Capital!$B$16:$C$18,2,FALSE),0%)</f>
        <v>0</v>
      </c>
      <c r="WJ2" s="179">
        <f>IFERROR(VLOOKUP(WJ$1,Capital!$B$16:$C$18,2,FALSE),0%)</f>
        <v>0</v>
      </c>
      <c r="WK2" s="179">
        <f>IFERROR(VLOOKUP(WK$1,Capital!$B$16:$C$18,2,FALSE),0%)</f>
        <v>0</v>
      </c>
      <c r="WL2" s="179">
        <f>IFERROR(VLOOKUP(WL$1,Capital!$B$16:$C$18,2,FALSE),0%)</f>
        <v>0</v>
      </c>
      <c r="WM2" s="179">
        <f>IFERROR(VLOOKUP(WM$1,Capital!$B$16:$C$18,2,FALSE),0%)</f>
        <v>0</v>
      </c>
      <c r="WN2" s="179">
        <f>IFERROR(VLOOKUP(WN$1,Capital!$B$16:$C$18,2,FALSE),0%)</f>
        <v>0</v>
      </c>
      <c r="WO2" s="179">
        <f>IFERROR(VLOOKUP(WO$1,Capital!$B$16:$C$18,2,FALSE),0%)</f>
        <v>0</v>
      </c>
      <c r="WP2" s="179">
        <f>IFERROR(VLOOKUP(WP$1,Capital!$B$16:$C$18,2,FALSE),0%)</f>
        <v>0</v>
      </c>
      <c r="WQ2" s="179">
        <f>IFERROR(VLOOKUP(WQ$1,Capital!$B$16:$C$18,2,FALSE),0%)</f>
        <v>0</v>
      </c>
      <c r="WR2" s="179">
        <f>IFERROR(VLOOKUP(WR$1,Capital!$B$16:$C$18,2,FALSE),0%)</f>
        <v>0</v>
      </c>
      <c r="WS2" s="179">
        <f>IFERROR(VLOOKUP(WS$1,Capital!$B$16:$C$18,2,FALSE),0%)</f>
        <v>0</v>
      </c>
      <c r="WT2" s="179">
        <f>IFERROR(VLOOKUP(WT$1,Capital!$B$16:$C$18,2,FALSE),0%)</f>
        <v>0</v>
      </c>
      <c r="WU2" s="179">
        <f>IFERROR(VLOOKUP(WU$1,Capital!$B$16:$C$18,2,FALSE),0%)</f>
        <v>0</v>
      </c>
      <c r="WV2" s="179">
        <f>IFERROR(VLOOKUP(WV$1,Capital!$B$16:$C$18,2,FALSE),0%)</f>
        <v>0</v>
      </c>
      <c r="WW2" s="179">
        <f>IFERROR(VLOOKUP(WW$1,Capital!$B$16:$C$18,2,FALSE),0%)</f>
        <v>0</v>
      </c>
      <c r="WX2" s="179">
        <f>IFERROR(VLOOKUP(WX$1,Capital!$B$16:$C$18,2,FALSE),0%)</f>
        <v>0</v>
      </c>
      <c r="WY2" s="179">
        <f>IFERROR(VLOOKUP(WY$1,Capital!$B$16:$C$18,2,FALSE),0%)</f>
        <v>0</v>
      </c>
      <c r="WZ2" s="179">
        <f>IFERROR(VLOOKUP(WZ$1,Capital!$B$16:$C$18,2,FALSE),0%)</f>
        <v>0</v>
      </c>
      <c r="XA2" s="179">
        <f>IFERROR(VLOOKUP(XA$1,Capital!$B$16:$C$18,2,FALSE),0%)</f>
        <v>0</v>
      </c>
      <c r="XB2" s="179">
        <f>IFERROR(VLOOKUP(XB$1,Capital!$B$16:$C$18,2,FALSE),0%)</f>
        <v>0</v>
      </c>
      <c r="XC2" s="179">
        <f>IFERROR(VLOOKUP(XC$1,Capital!$B$16:$C$18,2,FALSE),0%)</f>
        <v>0</v>
      </c>
      <c r="XD2" s="179">
        <f>IFERROR(VLOOKUP(XD$1,Capital!$B$16:$C$18,2,FALSE),0%)</f>
        <v>0</v>
      </c>
      <c r="XE2" s="179">
        <f>IFERROR(VLOOKUP(XE$1,Capital!$B$16:$C$18,2,FALSE),0%)</f>
        <v>0</v>
      </c>
      <c r="XF2" s="179">
        <f>IFERROR(VLOOKUP(XF$1,Capital!$B$16:$C$18,2,FALSE),0%)</f>
        <v>0</v>
      </c>
      <c r="XG2" s="179">
        <f>IFERROR(VLOOKUP(XG$1,Capital!$B$16:$C$18,2,FALSE),0%)</f>
        <v>0</v>
      </c>
      <c r="XH2" s="179">
        <f>IFERROR(VLOOKUP(XH$1,Capital!$B$16:$C$18,2,FALSE),0%)</f>
        <v>0</v>
      </c>
      <c r="XI2" s="179">
        <f>IFERROR(VLOOKUP(XI$1,Capital!$B$16:$C$18,2,FALSE),0%)</f>
        <v>0</v>
      </c>
      <c r="XJ2" s="179">
        <f>IFERROR(VLOOKUP(XJ$1,Capital!$B$16:$C$18,2,FALSE),0%)</f>
        <v>0</v>
      </c>
      <c r="XK2" s="179">
        <f>IFERROR(VLOOKUP(XK$1,Capital!$B$16:$C$18,2,FALSE),0%)</f>
        <v>0</v>
      </c>
      <c r="XL2" s="179">
        <f>IFERROR(VLOOKUP(XL$1,Capital!$B$16:$C$18,2,FALSE),0%)</f>
        <v>0</v>
      </c>
      <c r="XM2" s="179">
        <f>IFERROR(VLOOKUP(XM$1,Capital!$B$16:$C$18,2,FALSE),0%)</f>
        <v>0</v>
      </c>
      <c r="XN2" s="179">
        <f>IFERROR(VLOOKUP(XN$1,Capital!$B$16:$C$18,2,FALSE),0%)</f>
        <v>0</v>
      </c>
      <c r="XO2" s="179">
        <f>IFERROR(VLOOKUP(XO$1,Capital!$B$16:$C$18,2,FALSE),0%)</f>
        <v>0</v>
      </c>
      <c r="XP2" s="179">
        <f>IFERROR(VLOOKUP(XP$1,Capital!$B$16:$C$18,2,FALSE),0%)</f>
        <v>0</v>
      </c>
      <c r="XQ2" s="179">
        <f>IFERROR(VLOOKUP(XQ$1,Capital!$B$16:$C$18,2,FALSE),0%)</f>
        <v>0</v>
      </c>
      <c r="XR2" s="179">
        <f>IFERROR(VLOOKUP(XR$1,Capital!$B$16:$C$18,2,FALSE),0%)</f>
        <v>0</v>
      </c>
      <c r="XS2" s="179">
        <f>IFERROR(VLOOKUP(XS$1,Capital!$B$16:$C$18,2,FALSE),0%)</f>
        <v>0</v>
      </c>
      <c r="XT2" s="179">
        <f>IFERROR(VLOOKUP(XT$1,Capital!$B$16:$C$18,2,FALSE),0%)</f>
        <v>0</v>
      </c>
      <c r="XU2" s="179">
        <f>IFERROR(VLOOKUP(XU$1,Capital!$B$16:$C$18,2,FALSE),0%)</f>
        <v>0</v>
      </c>
      <c r="XV2" s="179">
        <f>IFERROR(VLOOKUP(XV$1,Capital!$B$16:$C$18,2,FALSE),0%)</f>
        <v>0</v>
      </c>
      <c r="XW2" s="179">
        <f>IFERROR(VLOOKUP(XW$1,Capital!$B$16:$C$18,2,FALSE),0%)</f>
        <v>0</v>
      </c>
      <c r="XX2" s="179">
        <f>IFERROR(VLOOKUP(XX$1,Capital!$B$16:$C$18,2,FALSE),0%)</f>
        <v>0</v>
      </c>
      <c r="XY2" s="179">
        <f>IFERROR(VLOOKUP(XY$1,Capital!$B$16:$C$18,2,FALSE),0%)</f>
        <v>0</v>
      </c>
      <c r="XZ2" s="179">
        <f>IFERROR(VLOOKUP(XZ$1,Capital!$B$16:$C$18,2,FALSE),0%)</f>
        <v>0</v>
      </c>
      <c r="YA2" s="179">
        <f>IFERROR(VLOOKUP(YA$1,Capital!$B$16:$C$18,2,FALSE),0%)</f>
        <v>0</v>
      </c>
      <c r="YB2" s="179">
        <f>IFERROR(VLOOKUP(YB$1,Capital!$B$16:$C$18,2,FALSE),0%)</f>
        <v>0</v>
      </c>
      <c r="YC2" s="179">
        <f>IFERROR(VLOOKUP(YC$1,Capital!$B$16:$C$18,2,FALSE),0%)</f>
        <v>0</v>
      </c>
      <c r="YD2" s="179">
        <f>IFERROR(VLOOKUP(YD$1,Capital!$B$16:$C$18,2,FALSE),0%)</f>
        <v>0</v>
      </c>
      <c r="YE2" s="179">
        <f>IFERROR(VLOOKUP(YE$1,Capital!$B$16:$C$18,2,FALSE),0%)</f>
        <v>0</v>
      </c>
      <c r="YF2" s="179">
        <f>IFERROR(VLOOKUP(YF$1,Capital!$B$16:$C$18,2,FALSE),0%)</f>
        <v>0</v>
      </c>
      <c r="YG2" s="179">
        <f>IFERROR(VLOOKUP(YG$1,Capital!$B$16:$C$18,2,FALSE),0%)</f>
        <v>0</v>
      </c>
      <c r="YH2" s="179">
        <f>IFERROR(VLOOKUP(YH$1,Capital!$B$16:$C$18,2,FALSE),0%)</f>
        <v>0</v>
      </c>
      <c r="YI2" s="179">
        <f>IFERROR(VLOOKUP(YI$1,Capital!$B$16:$C$18,2,FALSE),0%)</f>
        <v>0</v>
      </c>
      <c r="YJ2" s="179">
        <f>IFERROR(VLOOKUP(YJ$1,Capital!$B$16:$C$18,2,FALSE),0%)</f>
        <v>0</v>
      </c>
      <c r="YK2" s="179">
        <f>IFERROR(VLOOKUP(YK$1,Capital!$B$16:$C$18,2,FALSE),0%)</f>
        <v>0</v>
      </c>
      <c r="YL2" s="179">
        <f>IFERROR(VLOOKUP(YL$1,Capital!$B$16:$C$18,2,FALSE),0%)</f>
        <v>0</v>
      </c>
      <c r="YM2" s="179">
        <f>IFERROR(VLOOKUP(YM$1,Capital!$B$16:$C$18,2,FALSE),0%)</f>
        <v>0</v>
      </c>
      <c r="YN2" s="179">
        <f>IFERROR(VLOOKUP(YN$1,Capital!$B$16:$C$18,2,FALSE),0%)</f>
        <v>0</v>
      </c>
      <c r="YO2" s="179">
        <f>IFERROR(VLOOKUP(YO$1,Capital!$B$16:$C$18,2,FALSE),0%)</f>
        <v>0</v>
      </c>
      <c r="YP2" s="179">
        <f>IFERROR(VLOOKUP(YP$1,Capital!$B$16:$C$18,2,FALSE),0%)</f>
        <v>0</v>
      </c>
      <c r="YQ2" s="179">
        <f>IFERROR(VLOOKUP(YQ$1,Capital!$B$16:$C$18,2,FALSE),0%)</f>
        <v>0</v>
      </c>
      <c r="YR2" s="179">
        <f>IFERROR(VLOOKUP(YR$1,Capital!$B$16:$C$18,2,FALSE),0%)</f>
        <v>0</v>
      </c>
      <c r="YS2" s="179">
        <f>IFERROR(VLOOKUP(YS$1,Capital!$B$16:$C$18,2,FALSE),0%)</f>
        <v>0</v>
      </c>
      <c r="YT2" s="179">
        <f>IFERROR(VLOOKUP(YT$1,Capital!$B$16:$C$18,2,FALSE),0%)</f>
        <v>0</v>
      </c>
      <c r="YU2" s="179">
        <f>IFERROR(VLOOKUP(YU$1,Capital!$B$16:$C$18,2,FALSE),0%)</f>
        <v>0</v>
      </c>
      <c r="YV2" s="179">
        <f>IFERROR(VLOOKUP(YV$1,Capital!$B$16:$C$18,2,FALSE),0%)</f>
        <v>0</v>
      </c>
      <c r="YW2" s="179">
        <f>IFERROR(VLOOKUP(YW$1,Capital!$B$16:$C$18,2,FALSE),0%)</f>
        <v>0</v>
      </c>
      <c r="YX2" s="179">
        <f>IFERROR(VLOOKUP(YX$1,Capital!$B$16:$C$18,2,FALSE),0%)</f>
        <v>0</v>
      </c>
      <c r="YY2" s="179">
        <f>IFERROR(VLOOKUP(YY$1,Capital!$B$16:$C$18,2,FALSE),0%)</f>
        <v>0</v>
      </c>
      <c r="YZ2" s="179">
        <f>IFERROR(VLOOKUP(YZ$1,Capital!$B$16:$C$18,2,FALSE),0%)</f>
        <v>0</v>
      </c>
      <c r="ZA2" s="179">
        <f>IFERROR(VLOOKUP(ZA$1,Capital!$B$16:$C$18,2,FALSE),0%)</f>
        <v>0</v>
      </c>
      <c r="ZB2" s="179">
        <f>IFERROR(VLOOKUP(ZB$1,Capital!$B$16:$C$18,2,FALSE),0%)</f>
        <v>0</v>
      </c>
      <c r="ZC2" s="179">
        <f>IFERROR(VLOOKUP(ZC$1,Capital!$B$16:$C$18,2,FALSE),0%)</f>
        <v>0</v>
      </c>
      <c r="ZD2" s="179">
        <f>IFERROR(VLOOKUP(ZD$1,Capital!$B$16:$C$18,2,FALSE),0%)</f>
        <v>0</v>
      </c>
      <c r="ZE2" s="179">
        <f>IFERROR(VLOOKUP(ZE$1,Capital!$B$16:$C$18,2,FALSE),0%)</f>
        <v>0</v>
      </c>
      <c r="ZF2" s="179">
        <f>IFERROR(VLOOKUP(ZF$1,Capital!$B$16:$C$18,2,FALSE),0%)</f>
        <v>0</v>
      </c>
      <c r="ZG2" s="179">
        <f>IFERROR(VLOOKUP(ZG$1,Capital!$B$16:$C$18,2,FALSE),0%)</f>
        <v>0</v>
      </c>
      <c r="ZH2" s="179">
        <f>IFERROR(VLOOKUP(ZH$1,Capital!$B$16:$C$18,2,FALSE),0%)</f>
        <v>0</v>
      </c>
      <c r="ZI2" s="179">
        <f>IFERROR(VLOOKUP(ZI$1,Capital!$B$16:$C$18,2,FALSE),0%)</f>
        <v>0</v>
      </c>
      <c r="ZJ2" s="179">
        <f>IFERROR(VLOOKUP(ZJ$1,Capital!$B$16:$C$18,2,FALSE),0%)</f>
        <v>0</v>
      </c>
      <c r="ZK2" s="179">
        <f>IFERROR(VLOOKUP(ZK$1,Capital!$B$16:$C$18,2,FALSE),0%)</f>
        <v>0</v>
      </c>
      <c r="ZL2" s="179">
        <f>IFERROR(VLOOKUP(ZL$1,Capital!$B$16:$C$18,2,FALSE),0%)</f>
        <v>0</v>
      </c>
      <c r="ZM2" s="179">
        <f>IFERROR(VLOOKUP(ZM$1,Capital!$B$16:$C$18,2,FALSE),0%)</f>
        <v>0</v>
      </c>
      <c r="ZN2" s="179">
        <f>IFERROR(VLOOKUP(ZN$1,Capital!$B$16:$C$18,2,FALSE),0%)</f>
        <v>0</v>
      </c>
      <c r="ZO2" s="179">
        <f>IFERROR(VLOOKUP(ZO$1,Capital!$B$16:$C$18,2,FALSE),0%)</f>
        <v>0</v>
      </c>
      <c r="ZP2" s="179">
        <f>IFERROR(VLOOKUP(ZP$1,Capital!$B$16:$C$18,2,FALSE),0%)</f>
        <v>0</v>
      </c>
      <c r="ZQ2" s="179">
        <f>IFERROR(VLOOKUP(ZQ$1,Capital!$B$16:$C$18,2,FALSE),0%)</f>
        <v>0</v>
      </c>
      <c r="ZR2" s="179">
        <f>IFERROR(VLOOKUP(ZR$1,Capital!$B$16:$C$18,2,FALSE),0%)</f>
        <v>0</v>
      </c>
      <c r="ZS2" s="179">
        <f>IFERROR(VLOOKUP(ZS$1,Capital!$B$16:$C$18,2,FALSE),0%)</f>
        <v>0</v>
      </c>
      <c r="ZT2" s="179">
        <f>IFERROR(VLOOKUP(ZT$1,Capital!$B$16:$C$18,2,FALSE),0%)</f>
        <v>0</v>
      </c>
      <c r="ZU2" s="179">
        <f>IFERROR(VLOOKUP(ZU$1,Capital!$B$16:$C$18,2,FALSE),0%)</f>
        <v>0</v>
      </c>
      <c r="ZV2" s="179">
        <f>IFERROR(VLOOKUP(ZV$1,Capital!$B$16:$C$18,2,FALSE),0%)</f>
        <v>0</v>
      </c>
      <c r="ZW2" s="179">
        <f>IFERROR(VLOOKUP(ZW$1,Capital!$B$16:$C$18,2,FALSE),0%)</f>
        <v>0</v>
      </c>
      <c r="ZX2" s="179">
        <f>IFERROR(VLOOKUP(ZX$1,Capital!$B$16:$C$18,2,FALSE),0%)</f>
        <v>0</v>
      </c>
      <c r="ZY2" s="179">
        <f>IFERROR(VLOOKUP(ZY$1,Capital!$B$16:$C$18,2,FALSE),0%)</f>
        <v>0</v>
      </c>
      <c r="ZZ2" s="179">
        <f>IFERROR(VLOOKUP(ZZ$1,Capital!$B$16:$C$18,2,FALSE),0%)</f>
        <v>0</v>
      </c>
      <c r="AAA2" s="179">
        <f>IFERROR(VLOOKUP(AAA$1,Capital!$B$16:$C$18,2,FALSE),0%)</f>
        <v>0</v>
      </c>
      <c r="AAB2" s="179">
        <f>IFERROR(VLOOKUP(AAB$1,Capital!$B$16:$C$18,2,FALSE),0%)</f>
        <v>0</v>
      </c>
      <c r="AAC2" s="179">
        <f>IFERROR(VLOOKUP(AAC$1,Capital!$B$16:$C$18,2,FALSE),0%)</f>
        <v>0</v>
      </c>
      <c r="AAD2" s="179">
        <f>IFERROR(VLOOKUP(AAD$1,Capital!$B$16:$C$18,2,FALSE),0%)</f>
        <v>0</v>
      </c>
      <c r="AAE2" s="179">
        <f>IFERROR(VLOOKUP(AAE$1,Capital!$B$16:$C$18,2,FALSE),0%)</f>
        <v>0</v>
      </c>
      <c r="AAF2" s="179">
        <f>IFERROR(VLOOKUP(AAF$1,Capital!$B$16:$C$18,2,FALSE),0%)</f>
        <v>0</v>
      </c>
      <c r="AAG2" s="179">
        <f>IFERROR(VLOOKUP(AAG$1,Capital!$B$16:$C$18,2,FALSE),0%)</f>
        <v>0</v>
      </c>
      <c r="AAH2" s="179">
        <f>IFERROR(VLOOKUP(AAH$1,Capital!$B$16:$C$18,2,FALSE),0%)</f>
        <v>0</v>
      </c>
      <c r="AAI2" s="179">
        <f>IFERROR(VLOOKUP(AAI$1,Capital!$B$16:$C$18,2,FALSE),0%)</f>
        <v>0</v>
      </c>
      <c r="AAJ2" s="179">
        <f>IFERROR(VLOOKUP(AAJ$1,Capital!$B$16:$C$18,2,FALSE),0%)</f>
        <v>0</v>
      </c>
      <c r="AAK2" s="179">
        <f>IFERROR(VLOOKUP(AAK$1,Capital!$B$16:$C$18,2,FALSE),0%)</f>
        <v>0</v>
      </c>
      <c r="AAL2" s="179">
        <f>IFERROR(VLOOKUP(AAL$1,Capital!$B$16:$C$18,2,FALSE),0%)</f>
        <v>0</v>
      </c>
      <c r="AAM2" s="179">
        <f>IFERROR(VLOOKUP(AAM$1,Capital!$B$16:$C$18,2,FALSE),0%)</f>
        <v>0</v>
      </c>
      <c r="AAN2" s="179">
        <f>IFERROR(VLOOKUP(AAN$1,Capital!$B$16:$C$18,2,FALSE),0%)</f>
        <v>0</v>
      </c>
      <c r="AAO2" s="179">
        <f>IFERROR(VLOOKUP(AAO$1,Capital!$B$16:$C$18,2,FALSE),0%)</f>
        <v>0</v>
      </c>
      <c r="AAP2" s="179">
        <f>IFERROR(VLOOKUP(AAP$1,Capital!$B$16:$C$18,2,FALSE),0%)</f>
        <v>0</v>
      </c>
      <c r="AAQ2" s="179">
        <f>IFERROR(VLOOKUP(AAQ$1,Capital!$B$16:$C$18,2,FALSE),0%)</f>
        <v>0</v>
      </c>
      <c r="AAR2" s="179">
        <f>IFERROR(VLOOKUP(AAR$1,Capital!$B$16:$C$18,2,FALSE),0%)</f>
        <v>0</v>
      </c>
      <c r="AAS2" s="179">
        <f>IFERROR(VLOOKUP(AAS$1,Capital!$B$16:$C$18,2,FALSE),0%)</f>
        <v>0</v>
      </c>
      <c r="AAT2" s="179">
        <f>IFERROR(VLOOKUP(AAT$1,Capital!$B$16:$C$18,2,FALSE),0%)</f>
        <v>0</v>
      </c>
      <c r="AAU2" s="179">
        <f>IFERROR(VLOOKUP(AAU$1,Capital!$B$16:$C$18,2,FALSE),0%)</f>
        <v>0</v>
      </c>
      <c r="AAV2" s="179">
        <f>IFERROR(VLOOKUP(AAV$1,Capital!$B$16:$C$18,2,FALSE),0%)</f>
        <v>0</v>
      </c>
      <c r="AAW2" s="179">
        <f>IFERROR(VLOOKUP(AAW$1,Capital!$B$16:$C$18,2,FALSE),0%)</f>
        <v>0</v>
      </c>
      <c r="AAX2" s="179">
        <f>IFERROR(VLOOKUP(AAX$1,Capital!$B$16:$C$18,2,FALSE),0%)</f>
        <v>0</v>
      </c>
      <c r="AAY2" s="179">
        <f>IFERROR(VLOOKUP(AAY$1,Capital!$B$16:$C$18,2,FALSE),0%)</f>
        <v>0</v>
      </c>
      <c r="AAZ2" s="179">
        <f>IFERROR(VLOOKUP(AAZ$1,Capital!$B$16:$C$18,2,FALSE),0%)</f>
        <v>0</v>
      </c>
      <c r="ABA2" s="179">
        <f>IFERROR(VLOOKUP(ABA$1,Capital!$B$16:$C$18,2,FALSE),0%)</f>
        <v>0</v>
      </c>
      <c r="ABB2" s="179">
        <f>IFERROR(VLOOKUP(ABB$1,Capital!$B$16:$C$18,2,FALSE),0%)</f>
        <v>0</v>
      </c>
      <c r="ABC2" s="179">
        <f>IFERROR(VLOOKUP(ABC$1,Capital!$B$16:$C$18,2,FALSE),0%)</f>
        <v>0</v>
      </c>
      <c r="ABD2" s="179">
        <f>IFERROR(VLOOKUP(ABD$1,Capital!$B$16:$C$18,2,FALSE),0%)</f>
        <v>0</v>
      </c>
      <c r="ABE2" s="179">
        <f>IFERROR(VLOOKUP(ABE$1,Capital!$B$16:$C$18,2,FALSE),0%)</f>
        <v>0</v>
      </c>
      <c r="ABF2" s="179">
        <f>IFERROR(VLOOKUP(ABF$1,Capital!$B$16:$C$18,2,FALSE),0%)</f>
        <v>0</v>
      </c>
      <c r="ABG2" s="179">
        <f>IFERROR(VLOOKUP(ABG$1,Capital!$B$16:$C$18,2,FALSE),0%)</f>
        <v>0</v>
      </c>
      <c r="ABH2" s="179">
        <f>IFERROR(VLOOKUP(ABH$1,Capital!$B$16:$C$18,2,FALSE),0%)</f>
        <v>0</v>
      </c>
      <c r="ABI2" s="179">
        <f>IFERROR(VLOOKUP(ABI$1,Capital!$B$16:$C$18,2,FALSE),0%)</f>
        <v>0</v>
      </c>
      <c r="ABJ2" s="179">
        <f>IFERROR(VLOOKUP(ABJ$1,Capital!$B$16:$C$18,2,FALSE),0%)</f>
        <v>0</v>
      </c>
      <c r="ABK2" s="179">
        <f>IFERROR(VLOOKUP(ABK$1,Capital!$B$16:$C$18,2,FALSE),0%)</f>
        <v>0</v>
      </c>
      <c r="ABL2" s="179">
        <f>IFERROR(VLOOKUP(ABL$1,Capital!$B$16:$C$18,2,FALSE),0%)</f>
        <v>0</v>
      </c>
      <c r="ABM2" s="179">
        <f>IFERROR(VLOOKUP(ABM$1,Capital!$B$16:$C$18,2,FALSE),0%)</f>
        <v>0</v>
      </c>
      <c r="ABN2" s="179">
        <f>IFERROR(VLOOKUP(ABN$1,Capital!$B$16:$C$18,2,FALSE),0%)</f>
        <v>0</v>
      </c>
      <c r="ABO2" s="179">
        <f>IFERROR(VLOOKUP(ABO$1,Capital!$B$16:$C$18,2,FALSE),0%)</f>
        <v>0</v>
      </c>
      <c r="ABP2" s="179">
        <f>IFERROR(VLOOKUP(ABP$1,Capital!$B$16:$C$18,2,FALSE),0%)</f>
        <v>0</v>
      </c>
      <c r="ABQ2" s="179">
        <f>IFERROR(VLOOKUP(ABQ$1,Capital!$B$16:$C$18,2,FALSE),0%)</f>
        <v>0</v>
      </c>
      <c r="ABR2" s="179">
        <f>IFERROR(VLOOKUP(ABR$1,Capital!$B$16:$C$18,2,FALSE),0%)</f>
        <v>0</v>
      </c>
      <c r="ABS2" s="179">
        <f>IFERROR(VLOOKUP(ABS$1,Capital!$B$16:$C$18,2,FALSE),0%)</f>
        <v>0</v>
      </c>
      <c r="ABT2" s="179">
        <f>IFERROR(VLOOKUP(ABT$1,Capital!$B$16:$C$18,2,FALSE),0%)</f>
        <v>0</v>
      </c>
      <c r="ABU2" s="179">
        <f>IFERROR(VLOOKUP(ABU$1,Capital!$B$16:$C$18,2,FALSE),0%)</f>
        <v>0</v>
      </c>
      <c r="ABV2" s="179">
        <f>IFERROR(VLOOKUP(ABV$1,Capital!$B$16:$C$18,2,FALSE),0%)</f>
        <v>0</v>
      </c>
      <c r="ABW2" s="179">
        <f>IFERROR(VLOOKUP(ABW$1,Capital!$B$16:$C$18,2,FALSE),0%)</f>
        <v>0</v>
      </c>
      <c r="ABX2" s="179">
        <f>IFERROR(VLOOKUP(ABX$1,Capital!$B$16:$C$18,2,FALSE),0%)</f>
        <v>0</v>
      </c>
      <c r="ABY2" s="179">
        <f>IFERROR(VLOOKUP(ABY$1,Capital!$B$16:$C$18,2,FALSE),0%)</f>
        <v>0</v>
      </c>
      <c r="ABZ2" s="179">
        <f>IFERROR(VLOOKUP(ABZ$1,Capital!$B$16:$C$18,2,FALSE),0%)</f>
        <v>0</v>
      </c>
      <c r="ACA2" s="179">
        <f>IFERROR(VLOOKUP(ACA$1,Capital!$B$16:$C$18,2,FALSE),0%)</f>
        <v>0</v>
      </c>
      <c r="ACB2" s="179">
        <f>IFERROR(VLOOKUP(ACB$1,Capital!$B$16:$C$18,2,FALSE),0%)</f>
        <v>0</v>
      </c>
      <c r="ACC2" s="179">
        <f>IFERROR(VLOOKUP(ACC$1,Capital!$B$16:$C$18,2,FALSE),0%)</f>
        <v>0</v>
      </c>
      <c r="ACD2" s="179">
        <f>IFERROR(VLOOKUP(ACD$1,Capital!$B$16:$C$18,2,FALSE),0%)</f>
        <v>0</v>
      </c>
      <c r="ACE2" s="179">
        <f>IFERROR(VLOOKUP(ACE$1,Capital!$B$16:$C$18,2,FALSE),0%)</f>
        <v>0</v>
      </c>
      <c r="ACF2" s="179">
        <f>IFERROR(VLOOKUP(ACF$1,Capital!$B$16:$C$18,2,FALSE),0%)</f>
        <v>0</v>
      </c>
      <c r="ACG2" s="179">
        <f>IFERROR(VLOOKUP(ACG$1,Capital!$B$16:$C$18,2,FALSE),0%)</f>
        <v>0</v>
      </c>
      <c r="ACH2" s="179">
        <f>IFERROR(VLOOKUP(ACH$1,Capital!$B$16:$C$18,2,FALSE),0%)</f>
        <v>0</v>
      </c>
      <c r="ACI2" s="179">
        <f>IFERROR(VLOOKUP(ACI$1,Capital!$B$16:$C$18,2,FALSE),0%)</f>
        <v>0</v>
      </c>
      <c r="ACJ2" s="179">
        <f>IFERROR(VLOOKUP(ACJ$1,Capital!$B$16:$C$18,2,FALSE),0%)</f>
        <v>0</v>
      </c>
      <c r="ACK2" s="179">
        <f>IFERROR(VLOOKUP(ACK$1,Capital!$B$16:$C$18,2,FALSE),0%)</f>
        <v>0</v>
      </c>
      <c r="ACL2" s="179">
        <f>IFERROR(VLOOKUP(ACL$1,Capital!$B$16:$C$18,2,FALSE),0%)</f>
        <v>0</v>
      </c>
      <c r="ACM2" s="179">
        <f>IFERROR(VLOOKUP(ACM$1,Capital!$B$16:$C$18,2,FALSE),0%)</f>
        <v>0</v>
      </c>
      <c r="ACN2" s="179">
        <f>IFERROR(VLOOKUP(ACN$1,Capital!$B$16:$C$18,2,FALSE),0%)</f>
        <v>0</v>
      </c>
      <c r="ACO2" s="179">
        <f>IFERROR(VLOOKUP(ACO$1,Capital!$B$16:$C$18,2,FALSE),0%)</f>
        <v>0</v>
      </c>
      <c r="ACP2" s="179">
        <f>IFERROR(VLOOKUP(ACP$1,Capital!$B$16:$C$18,2,FALSE),0%)</f>
        <v>0</v>
      </c>
      <c r="ACQ2" s="179">
        <f>IFERROR(VLOOKUP(ACQ$1,Capital!$B$16:$C$18,2,FALSE),0%)</f>
        <v>0</v>
      </c>
      <c r="ACR2" s="179">
        <f>IFERROR(VLOOKUP(ACR$1,Capital!$B$16:$C$18,2,FALSE),0%)</f>
        <v>0</v>
      </c>
      <c r="ACS2" s="179">
        <f>IFERROR(VLOOKUP(ACS$1,Capital!$B$16:$C$18,2,FALSE),0%)</f>
        <v>0</v>
      </c>
      <c r="ACT2" s="179">
        <f>IFERROR(VLOOKUP(ACT$1,Capital!$B$16:$C$18,2,FALSE),0%)</f>
        <v>0</v>
      </c>
      <c r="ACU2" s="179">
        <f>IFERROR(VLOOKUP(ACU$1,Capital!$B$16:$C$18,2,FALSE),0%)</f>
        <v>0</v>
      </c>
      <c r="ACV2" s="179">
        <f>IFERROR(VLOOKUP(ACV$1,Capital!$B$16:$C$18,2,FALSE),0%)</f>
        <v>0</v>
      </c>
      <c r="ACW2" s="179">
        <f>IFERROR(VLOOKUP(ACW$1,Capital!$B$16:$C$18,2,FALSE),0%)</f>
        <v>0</v>
      </c>
      <c r="ACX2" s="179">
        <f>IFERROR(VLOOKUP(ACX$1,Capital!$B$16:$C$18,2,FALSE),0%)</f>
        <v>0</v>
      </c>
      <c r="ACY2" s="179">
        <f>IFERROR(VLOOKUP(ACY$1,Capital!$B$16:$C$18,2,FALSE),0%)</f>
        <v>0</v>
      </c>
      <c r="ACZ2" s="179">
        <f>IFERROR(VLOOKUP(ACZ$1,Capital!$B$16:$C$18,2,FALSE),0%)</f>
        <v>0</v>
      </c>
      <c r="ADA2" s="179">
        <f>IFERROR(VLOOKUP(ADA$1,Capital!$B$16:$C$18,2,FALSE),0%)</f>
        <v>0</v>
      </c>
      <c r="ADB2" s="179">
        <f>IFERROR(VLOOKUP(ADB$1,Capital!$B$16:$C$18,2,FALSE),0%)</f>
        <v>0</v>
      </c>
      <c r="ADC2" s="179">
        <f>IFERROR(VLOOKUP(ADC$1,Capital!$B$16:$C$18,2,FALSE),0%)</f>
        <v>0</v>
      </c>
      <c r="ADD2" s="179">
        <f>IFERROR(VLOOKUP(ADD$1,Capital!$B$16:$C$18,2,FALSE),0%)</f>
        <v>0</v>
      </c>
      <c r="ADE2" s="179">
        <f>IFERROR(VLOOKUP(ADE$1,Capital!$B$16:$C$18,2,FALSE),0%)</f>
        <v>0</v>
      </c>
      <c r="ADF2" s="179">
        <f>IFERROR(VLOOKUP(ADF$1,Capital!$B$16:$C$18,2,FALSE),0%)</f>
        <v>0</v>
      </c>
      <c r="ADG2" s="179">
        <f>IFERROR(VLOOKUP(ADG$1,Capital!$B$16:$C$18,2,FALSE),0%)</f>
        <v>0</v>
      </c>
      <c r="ADH2" s="179">
        <f>IFERROR(VLOOKUP(ADH$1,Capital!$B$16:$C$18,2,FALSE),0%)</f>
        <v>0</v>
      </c>
      <c r="ADI2" s="179">
        <f>IFERROR(VLOOKUP(ADI$1,Capital!$B$16:$C$18,2,FALSE),0%)</f>
        <v>0</v>
      </c>
      <c r="ADJ2" s="179">
        <f>IFERROR(VLOOKUP(ADJ$1,Capital!$B$16:$C$18,2,FALSE),0%)</f>
        <v>0</v>
      </c>
      <c r="ADK2" s="179">
        <f>IFERROR(VLOOKUP(ADK$1,Capital!$B$16:$C$18,2,FALSE),0%)</f>
        <v>0</v>
      </c>
      <c r="ADL2" s="179">
        <f>IFERROR(VLOOKUP(ADL$1,Capital!$B$16:$C$18,2,FALSE),0%)</f>
        <v>0</v>
      </c>
      <c r="ADM2" s="179">
        <f>IFERROR(VLOOKUP(ADM$1,Capital!$B$16:$C$18,2,FALSE),0%)</f>
        <v>0</v>
      </c>
      <c r="ADN2" s="179">
        <f>IFERROR(VLOOKUP(ADN$1,Capital!$B$16:$C$18,2,FALSE),0%)</f>
        <v>0</v>
      </c>
      <c r="ADO2" s="179">
        <f>IFERROR(VLOOKUP(ADO$1,Capital!$B$16:$C$18,2,FALSE),0%)</f>
        <v>0</v>
      </c>
      <c r="ADP2" s="179">
        <f>IFERROR(VLOOKUP(ADP$1,Capital!$B$16:$C$18,2,FALSE),0%)</f>
        <v>0</v>
      </c>
      <c r="ADQ2" s="179">
        <f>IFERROR(VLOOKUP(ADQ$1,Capital!$B$16:$C$18,2,FALSE),0%)</f>
        <v>0</v>
      </c>
      <c r="ADR2" s="179">
        <f>IFERROR(VLOOKUP(ADR$1,Capital!$B$16:$C$18,2,FALSE),0%)</f>
        <v>0</v>
      </c>
      <c r="ADS2" s="179">
        <f>IFERROR(VLOOKUP(ADS$1,Capital!$B$16:$C$18,2,FALSE),0%)</f>
        <v>0</v>
      </c>
      <c r="ADT2" s="179">
        <f>IFERROR(VLOOKUP(ADT$1,Capital!$B$16:$C$18,2,FALSE),0%)</f>
        <v>0</v>
      </c>
      <c r="ADU2" s="179">
        <f>IFERROR(VLOOKUP(ADU$1,Capital!$B$16:$C$18,2,FALSE),0%)</f>
        <v>0</v>
      </c>
      <c r="ADV2" s="179">
        <f>IFERROR(VLOOKUP(ADV$1,Capital!$B$16:$C$18,2,FALSE),0%)</f>
        <v>0</v>
      </c>
      <c r="ADW2" s="179">
        <f>IFERROR(VLOOKUP(ADW$1,Capital!$B$16:$C$18,2,FALSE),0%)</f>
        <v>0</v>
      </c>
      <c r="ADX2" s="179">
        <f>IFERROR(VLOOKUP(ADX$1,Capital!$B$16:$C$18,2,FALSE),0%)</f>
        <v>0</v>
      </c>
      <c r="ADY2" s="179">
        <f>IFERROR(VLOOKUP(ADY$1,Capital!$B$16:$C$18,2,FALSE),0%)</f>
        <v>0</v>
      </c>
      <c r="ADZ2" s="179">
        <f>IFERROR(VLOOKUP(ADZ$1,Capital!$B$16:$C$18,2,FALSE),0%)</f>
        <v>0</v>
      </c>
      <c r="AEA2" s="179">
        <f>IFERROR(VLOOKUP(AEA$1,Capital!$B$16:$C$18,2,FALSE),0%)</f>
        <v>0</v>
      </c>
      <c r="AEB2" s="179">
        <f>IFERROR(VLOOKUP(AEB$1,Capital!$B$16:$C$18,2,FALSE),0%)</f>
        <v>0</v>
      </c>
      <c r="AEC2" s="179">
        <f>IFERROR(VLOOKUP(AEC$1,Capital!$B$16:$C$18,2,FALSE),0%)</f>
        <v>0</v>
      </c>
      <c r="AED2" s="179">
        <f>IFERROR(VLOOKUP(AED$1,Capital!$B$16:$C$18,2,FALSE),0%)</f>
        <v>0</v>
      </c>
      <c r="AEE2" s="179">
        <f>IFERROR(VLOOKUP(AEE$1,Capital!$B$16:$C$18,2,FALSE),0%)</f>
        <v>0</v>
      </c>
      <c r="AEF2" s="179">
        <f>IFERROR(VLOOKUP(AEF$1,Capital!$B$16:$C$18,2,FALSE),0%)</f>
        <v>0</v>
      </c>
      <c r="AEG2" s="179">
        <f>IFERROR(VLOOKUP(AEG$1,Capital!$B$16:$C$18,2,FALSE),0%)</f>
        <v>0</v>
      </c>
      <c r="AEH2" s="179">
        <f>IFERROR(VLOOKUP(AEH$1,Capital!$B$16:$C$18,2,FALSE),0%)</f>
        <v>0</v>
      </c>
      <c r="AEI2" s="179">
        <f>IFERROR(VLOOKUP(AEI$1,Capital!$B$16:$C$18,2,FALSE),0%)</f>
        <v>0</v>
      </c>
      <c r="AEJ2" s="179">
        <f>IFERROR(VLOOKUP(AEJ$1,Capital!$B$16:$C$18,2,FALSE),0%)</f>
        <v>0</v>
      </c>
      <c r="AEK2" s="179">
        <f>IFERROR(VLOOKUP(AEK$1,Capital!$B$16:$C$18,2,FALSE),0%)</f>
        <v>0</v>
      </c>
      <c r="AEL2" s="179">
        <f>IFERROR(VLOOKUP(AEL$1,Capital!$B$16:$C$18,2,FALSE),0%)</f>
        <v>0</v>
      </c>
      <c r="AEM2" s="179">
        <f>IFERROR(VLOOKUP(AEM$1,Capital!$B$16:$C$18,2,FALSE),0%)</f>
        <v>0</v>
      </c>
      <c r="AEN2" s="179">
        <f>IFERROR(VLOOKUP(AEN$1,Capital!$B$16:$C$18,2,FALSE),0%)</f>
        <v>0</v>
      </c>
      <c r="AEO2" s="179">
        <f>IFERROR(VLOOKUP(AEO$1,Capital!$B$16:$C$18,2,FALSE),0%)</f>
        <v>0</v>
      </c>
      <c r="AEP2" s="179">
        <f>IFERROR(VLOOKUP(AEP$1,Capital!$B$16:$C$18,2,FALSE),0%)</f>
        <v>0</v>
      </c>
      <c r="AEQ2" s="179">
        <f>IFERROR(VLOOKUP(AEQ$1,Capital!$B$16:$C$18,2,FALSE),0%)</f>
        <v>0</v>
      </c>
      <c r="AER2" s="179">
        <f>IFERROR(VLOOKUP(AER$1,Capital!$B$16:$C$18,2,FALSE),0%)</f>
        <v>0</v>
      </c>
      <c r="AES2" s="179">
        <f>IFERROR(VLOOKUP(AES$1,Capital!$B$16:$C$18,2,FALSE),0%)</f>
        <v>0</v>
      </c>
      <c r="AET2" s="179">
        <f>IFERROR(VLOOKUP(AET$1,Capital!$B$16:$C$18,2,FALSE),0%)</f>
        <v>0</v>
      </c>
      <c r="AEU2" s="179">
        <f>IFERROR(VLOOKUP(AEU$1,Capital!$B$16:$C$18,2,FALSE),0%)</f>
        <v>0</v>
      </c>
      <c r="AEV2" s="179">
        <f>IFERROR(VLOOKUP(AEV$1,Capital!$B$16:$C$18,2,FALSE),0%)</f>
        <v>0</v>
      </c>
      <c r="AEW2" s="179">
        <f>IFERROR(VLOOKUP(AEW$1,Capital!$B$16:$C$18,2,FALSE),0%)</f>
        <v>0</v>
      </c>
      <c r="AEX2" s="179">
        <f>IFERROR(VLOOKUP(AEX$1,Capital!$B$16:$C$18,2,FALSE),0%)</f>
        <v>0</v>
      </c>
      <c r="AEY2" s="179">
        <f>IFERROR(VLOOKUP(AEY$1,Capital!$B$16:$C$18,2,FALSE),0%)</f>
        <v>0</v>
      </c>
      <c r="AEZ2" s="179">
        <f>IFERROR(VLOOKUP(AEZ$1,Capital!$B$16:$C$18,2,FALSE),0%)</f>
        <v>0</v>
      </c>
      <c r="AFA2" s="179">
        <f>IFERROR(VLOOKUP(AFA$1,Capital!$B$16:$C$18,2,FALSE),0%)</f>
        <v>0</v>
      </c>
      <c r="AFB2" s="179">
        <f>IFERROR(VLOOKUP(AFB$1,Capital!$B$16:$C$18,2,FALSE),0%)</f>
        <v>0</v>
      </c>
      <c r="AFC2" s="179">
        <f>IFERROR(VLOOKUP(AFC$1,Capital!$B$16:$C$18,2,FALSE),0%)</f>
        <v>0</v>
      </c>
      <c r="AFD2" s="179">
        <f>IFERROR(VLOOKUP(AFD$1,Capital!$B$16:$C$18,2,FALSE),0%)</f>
        <v>0</v>
      </c>
      <c r="AFE2" s="179">
        <f>IFERROR(VLOOKUP(AFE$1,Capital!$B$16:$C$18,2,FALSE),0%)</f>
        <v>0</v>
      </c>
      <c r="AFF2" s="179">
        <f>IFERROR(VLOOKUP(AFF$1,Capital!$B$16:$C$18,2,FALSE),0%)</f>
        <v>0</v>
      </c>
      <c r="AFG2" s="179">
        <f>IFERROR(VLOOKUP(AFG$1,Capital!$B$16:$C$18,2,FALSE),0%)</f>
        <v>0</v>
      </c>
      <c r="AFH2" s="179">
        <f>IFERROR(VLOOKUP(AFH$1,Capital!$B$16:$C$18,2,FALSE),0%)</f>
        <v>0</v>
      </c>
      <c r="AFI2" s="179">
        <f>IFERROR(VLOOKUP(AFI$1,Capital!$B$16:$C$18,2,FALSE),0%)</f>
        <v>0</v>
      </c>
      <c r="AFJ2" s="179">
        <f>IFERROR(VLOOKUP(AFJ$1,Capital!$B$16:$C$18,2,FALSE),0%)</f>
        <v>0</v>
      </c>
      <c r="AFK2" s="179">
        <f>IFERROR(VLOOKUP(AFK$1,Capital!$B$16:$C$18,2,FALSE),0%)</f>
        <v>0</v>
      </c>
      <c r="AFL2" s="179">
        <f>IFERROR(VLOOKUP(AFL$1,Capital!$B$16:$C$18,2,FALSE),0%)</f>
        <v>0</v>
      </c>
      <c r="AFM2" s="179">
        <f>IFERROR(VLOOKUP(AFM$1,Capital!$B$16:$C$18,2,FALSE),0%)</f>
        <v>0</v>
      </c>
      <c r="AFN2" s="179">
        <f>IFERROR(VLOOKUP(AFN$1,Capital!$B$16:$C$18,2,FALSE),0%)</f>
        <v>0</v>
      </c>
      <c r="AFO2" s="179">
        <f>IFERROR(VLOOKUP(AFO$1,Capital!$B$16:$C$18,2,FALSE),0%)</f>
        <v>0</v>
      </c>
      <c r="AFP2" s="179">
        <f>IFERROR(VLOOKUP(AFP$1,Capital!$B$16:$C$18,2,FALSE),0%)</f>
        <v>0</v>
      </c>
      <c r="AFQ2" s="179">
        <f>IFERROR(VLOOKUP(AFQ$1,Capital!$B$16:$C$18,2,FALSE),0%)</f>
        <v>0</v>
      </c>
      <c r="AFR2" s="179">
        <f>IFERROR(VLOOKUP(AFR$1,Capital!$B$16:$C$18,2,FALSE),0%)</f>
        <v>0</v>
      </c>
      <c r="AFS2" s="179">
        <f>IFERROR(VLOOKUP(AFS$1,Capital!$B$16:$C$18,2,FALSE),0%)</f>
        <v>0</v>
      </c>
      <c r="AFT2" s="179">
        <f>IFERROR(VLOOKUP(AFT$1,Capital!$B$16:$C$18,2,FALSE),0%)</f>
        <v>0</v>
      </c>
      <c r="AFU2" s="179">
        <f>IFERROR(VLOOKUP(AFU$1,Capital!$B$16:$C$18,2,FALSE),0%)</f>
        <v>0</v>
      </c>
      <c r="AFV2" s="179">
        <f>IFERROR(VLOOKUP(AFV$1,Capital!$B$16:$C$18,2,FALSE),0%)</f>
        <v>0</v>
      </c>
      <c r="AFW2" s="179">
        <f>IFERROR(VLOOKUP(AFW$1,Capital!$B$16:$C$18,2,FALSE),0%)</f>
        <v>0</v>
      </c>
      <c r="AFX2" s="179">
        <f>IFERROR(VLOOKUP(AFX$1,Capital!$B$16:$C$18,2,FALSE),0%)</f>
        <v>0</v>
      </c>
      <c r="AFY2" s="179">
        <f>IFERROR(VLOOKUP(AFY$1,Capital!$B$16:$C$18,2,FALSE),0%)</f>
        <v>0</v>
      </c>
      <c r="AFZ2" s="179">
        <f>IFERROR(VLOOKUP(AFZ$1,Capital!$B$16:$C$18,2,FALSE),0%)</f>
        <v>0</v>
      </c>
      <c r="AGA2" s="179">
        <f>IFERROR(VLOOKUP(AGA$1,Capital!$B$16:$C$18,2,FALSE),0%)</f>
        <v>0</v>
      </c>
      <c r="AGB2" s="179">
        <f>IFERROR(VLOOKUP(AGB$1,Capital!$B$16:$C$18,2,FALSE),0%)</f>
        <v>0</v>
      </c>
      <c r="AGC2" s="179">
        <f>IFERROR(VLOOKUP(AGC$1,Capital!$B$16:$C$18,2,FALSE),0%)</f>
        <v>0</v>
      </c>
      <c r="AGD2" s="179">
        <f>IFERROR(VLOOKUP(AGD$1,Capital!$B$16:$C$18,2,FALSE),0%)</f>
        <v>0</v>
      </c>
      <c r="AGE2" s="179">
        <f>IFERROR(VLOOKUP(AGE$1,Capital!$B$16:$C$18,2,FALSE),0%)</f>
        <v>0</v>
      </c>
      <c r="AGF2" s="179">
        <f>IFERROR(VLOOKUP(AGF$1,Capital!$B$16:$C$18,2,FALSE),0%)</f>
        <v>0</v>
      </c>
      <c r="AGG2" s="179">
        <f>IFERROR(VLOOKUP(AGG$1,Capital!$B$16:$C$18,2,FALSE),0%)</f>
        <v>0</v>
      </c>
      <c r="AGH2" s="179">
        <f>IFERROR(VLOOKUP(AGH$1,Capital!$B$16:$C$18,2,FALSE),0%)</f>
        <v>0</v>
      </c>
      <c r="AGI2" s="179">
        <f>IFERROR(VLOOKUP(AGI$1,Capital!$B$16:$C$18,2,FALSE),0%)</f>
        <v>0</v>
      </c>
      <c r="AGJ2" s="179">
        <f>IFERROR(VLOOKUP(AGJ$1,Capital!$B$16:$C$18,2,FALSE),0%)</f>
        <v>0</v>
      </c>
      <c r="AGK2" s="179">
        <f>IFERROR(VLOOKUP(AGK$1,Capital!$B$16:$C$18,2,FALSE),0%)</f>
        <v>0</v>
      </c>
      <c r="AGL2" s="179">
        <f>IFERROR(VLOOKUP(AGL$1,Capital!$B$16:$C$18,2,FALSE),0%)</f>
        <v>0</v>
      </c>
      <c r="AGM2" s="179">
        <f>IFERROR(VLOOKUP(AGM$1,Capital!$B$16:$C$18,2,FALSE),0%)</f>
        <v>0</v>
      </c>
      <c r="AGN2" s="179">
        <f>IFERROR(VLOOKUP(AGN$1,Capital!$B$16:$C$18,2,FALSE),0%)</f>
        <v>0</v>
      </c>
      <c r="AGO2" s="179">
        <f>IFERROR(VLOOKUP(AGO$1,Capital!$B$16:$C$18,2,FALSE),0%)</f>
        <v>0</v>
      </c>
      <c r="AGP2" s="179">
        <f>IFERROR(VLOOKUP(AGP$1,Capital!$B$16:$C$18,2,FALSE),0%)</f>
        <v>0</v>
      </c>
      <c r="AGQ2" s="179">
        <f>IFERROR(VLOOKUP(AGQ$1,Capital!$B$16:$C$18,2,FALSE),0%)</f>
        <v>0</v>
      </c>
      <c r="AGR2" s="179">
        <f>IFERROR(VLOOKUP(AGR$1,Capital!$B$16:$C$18,2,FALSE),0%)</f>
        <v>0</v>
      </c>
      <c r="AGS2" s="179">
        <f>IFERROR(VLOOKUP(AGS$1,Capital!$B$16:$C$18,2,FALSE),0%)</f>
        <v>0</v>
      </c>
      <c r="AGT2" s="179">
        <f>IFERROR(VLOOKUP(AGT$1,Capital!$B$16:$C$18,2,FALSE),0%)</f>
        <v>0</v>
      </c>
      <c r="AGU2" s="179">
        <f>IFERROR(VLOOKUP(AGU$1,Capital!$B$16:$C$18,2,FALSE),0%)</f>
        <v>0</v>
      </c>
      <c r="AGV2" s="179">
        <f>IFERROR(VLOOKUP(AGV$1,Capital!$B$16:$C$18,2,FALSE),0%)</f>
        <v>0</v>
      </c>
      <c r="AGW2" s="179">
        <f>IFERROR(VLOOKUP(AGW$1,Capital!$B$16:$C$18,2,FALSE),0%)</f>
        <v>0</v>
      </c>
      <c r="AGX2" s="179">
        <f>IFERROR(VLOOKUP(AGX$1,Capital!$B$16:$C$18,2,FALSE),0%)</f>
        <v>0</v>
      </c>
      <c r="AGY2" s="179">
        <f>IFERROR(VLOOKUP(AGY$1,Capital!$B$16:$C$18,2,FALSE),0%)</f>
        <v>0</v>
      </c>
      <c r="AGZ2" s="179">
        <f>IFERROR(VLOOKUP(AGZ$1,Capital!$B$16:$C$18,2,FALSE),0%)</f>
        <v>0</v>
      </c>
      <c r="AHA2" s="179">
        <f>IFERROR(VLOOKUP(AHA$1,Capital!$B$16:$C$18,2,FALSE),0%)</f>
        <v>0</v>
      </c>
      <c r="AHB2" s="179">
        <f>IFERROR(VLOOKUP(AHB$1,Capital!$B$16:$C$18,2,FALSE),0%)</f>
        <v>0</v>
      </c>
      <c r="AHC2" s="179">
        <f>IFERROR(VLOOKUP(AHC$1,Capital!$B$16:$C$18,2,FALSE),0%)</f>
        <v>0</v>
      </c>
      <c r="AHD2" s="179">
        <f>IFERROR(VLOOKUP(AHD$1,Capital!$B$16:$C$18,2,FALSE),0%)</f>
        <v>0</v>
      </c>
      <c r="AHE2" s="179">
        <f>IFERROR(VLOOKUP(AHE$1,Capital!$B$16:$C$18,2,FALSE),0%)</f>
        <v>0</v>
      </c>
      <c r="AHF2" s="179">
        <f>IFERROR(VLOOKUP(AHF$1,Capital!$B$16:$C$18,2,FALSE),0%)</f>
        <v>0</v>
      </c>
      <c r="AHG2" s="179">
        <f>IFERROR(VLOOKUP(AHG$1,Capital!$B$16:$C$18,2,FALSE),0%)</f>
        <v>0</v>
      </c>
      <c r="AHH2" s="179">
        <f>IFERROR(VLOOKUP(AHH$1,Capital!$B$16:$C$18,2,FALSE),0%)</f>
        <v>0</v>
      </c>
      <c r="AHI2" s="179">
        <f>IFERROR(VLOOKUP(AHI$1,Capital!$B$16:$C$18,2,FALSE),0%)</f>
        <v>0</v>
      </c>
      <c r="AHJ2" s="179">
        <f>IFERROR(VLOOKUP(AHJ$1,Capital!$B$16:$C$18,2,FALSE),0%)</f>
        <v>0</v>
      </c>
      <c r="AHK2" s="179">
        <f>IFERROR(VLOOKUP(AHK$1,Capital!$B$16:$C$18,2,FALSE),0%)</f>
        <v>0</v>
      </c>
      <c r="AHL2" s="179">
        <f>IFERROR(VLOOKUP(AHL$1,Capital!$B$16:$C$18,2,FALSE),0%)</f>
        <v>0</v>
      </c>
      <c r="AHM2" s="179">
        <f>IFERROR(VLOOKUP(AHM$1,Capital!$B$16:$C$18,2,FALSE),0%)</f>
        <v>0</v>
      </c>
      <c r="AHN2" s="179">
        <f>IFERROR(VLOOKUP(AHN$1,Capital!$B$16:$C$18,2,FALSE),0%)</f>
        <v>0</v>
      </c>
      <c r="AHO2" s="179">
        <f>IFERROR(VLOOKUP(AHO$1,Capital!$B$16:$C$18,2,FALSE),0%)</f>
        <v>0</v>
      </c>
      <c r="AHP2" s="179">
        <f>IFERROR(VLOOKUP(AHP$1,Capital!$B$16:$C$18,2,FALSE),0%)</f>
        <v>0</v>
      </c>
      <c r="AHQ2" s="179">
        <f>IFERROR(VLOOKUP(AHQ$1,Capital!$B$16:$C$18,2,FALSE),0%)</f>
        <v>0</v>
      </c>
      <c r="AHR2" s="179">
        <f>IFERROR(VLOOKUP(AHR$1,Capital!$B$16:$C$18,2,FALSE),0%)</f>
        <v>0</v>
      </c>
      <c r="AHS2" s="179">
        <f>IFERROR(VLOOKUP(AHS$1,Capital!$B$16:$C$18,2,FALSE),0%)</f>
        <v>0</v>
      </c>
      <c r="AHT2" s="179">
        <f>IFERROR(VLOOKUP(AHT$1,Capital!$B$16:$C$18,2,FALSE),0%)</f>
        <v>0</v>
      </c>
      <c r="AHU2" s="179">
        <f>IFERROR(VLOOKUP(AHU$1,Capital!$B$16:$C$18,2,FALSE),0%)</f>
        <v>0</v>
      </c>
      <c r="AHV2" s="179">
        <f>IFERROR(VLOOKUP(AHV$1,Capital!$B$16:$C$18,2,FALSE),0%)</f>
        <v>0</v>
      </c>
      <c r="AHW2" s="179">
        <f>IFERROR(VLOOKUP(AHW$1,Capital!$B$16:$C$18,2,FALSE),0%)</f>
        <v>0</v>
      </c>
      <c r="AHX2" s="179">
        <f>IFERROR(VLOOKUP(AHX$1,Capital!$B$16:$C$18,2,FALSE),0%)</f>
        <v>0</v>
      </c>
      <c r="AHY2" s="179">
        <f>IFERROR(VLOOKUP(AHY$1,Capital!$B$16:$C$18,2,FALSE),0%)</f>
        <v>0</v>
      </c>
      <c r="AHZ2" s="179">
        <f>IFERROR(VLOOKUP(AHZ$1,Capital!$B$16:$C$18,2,FALSE),0%)</f>
        <v>0</v>
      </c>
      <c r="AIA2" s="179">
        <f>IFERROR(VLOOKUP(AIA$1,Capital!$B$16:$C$18,2,FALSE),0%)</f>
        <v>0</v>
      </c>
      <c r="AIB2" s="179">
        <f>IFERROR(VLOOKUP(AIB$1,Capital!$B$16:$C$18,2,FALSE),0%)</f>
        <v>0</v>
      </c>
      <c r="AIC2" s="179">
        <f>IFERROR(VLOOKUP(AIC$1,Capital!$B$16:$C$18,2,FALSE),0%)</f>
        <v>0</v>
      </c>
      <c r="AID2" s="179">
        <f>IFERROR(VLOOKUP(AID$1,Capital!$B$16:$C$18,2,FALSE),0%)</f>
        <v>0</v>
      </c>
      <c r="AIE2" s="179">
        <f>IFERROR(VLOOKUP(AIE$1,Capital!$B$16:$C$18,2,FALSE),0%)</f>
        <v>0</v>
      </c>
      <c r="AIF2" s="179">
        <f>IFERROR(VLOOKUP(AIF$1,Capital!$B$16:$C$18,2,FALSE),0%)</f>
        <v>0</v>
      </c>
      <c r="AIG2" s="179">
        <f>IFERROR(VLOOKUP(AIG$1,Capital!$B$16:$C$18,2,FALSE),0%)</f>
        <v>0</v>
      </c>
      <c r="AIH2" s="179">
        <f>IFERROR(VLOOKUP(AIH$1,Capital!$B$16:$C$18,2,FALSE),0%)</f>
        <v>0</v>
      </c>
      <c r="AII2" s="179">
        <f>IFERROR(VLOOKUP(AII$1,Capital!$B$16:$C$18,2,FALSE),0%)</f>
        <v>0</v>
      </c>
      <c r="AIJ2" s="179">
        <f>IFERROR(VLOOKUP(AIJ$1,Capital!$B$16:$C$18,2,FALSE),0%)</f>
        <v>0</v>
      </c>
      <c r="AIK2" s="179">
        <f>IFERROR(VLOOKUP(AIK$1,Capital!$B$16:$C$18,2,FALSE),0%)</f>
        <v>0</v>
      </c>
      <c r="AIL2" s="179">
        <f>IFERROR(VLOOKUP(AIL$1,Capital!$B$16:$C$18,2,FALSE),0%)</f>
        <v>0</v>
      </c>
      <c r="AIM2" s="179">
        <f>IFERROR(VLOOKUP(AIM$1,Capital!$B$16:$C$18,2,FALSE),0%)</f>
        <v>0</v>
      </c>
      <c r="AIN2" s="179">
        <f>IFERROR(VLOOKUP(AIN$1,Capital!$B$16:$C$18,2,FALSE),0%)</f>
        <v>0</v>
      </c>
      <c r="AIO2" s="179">
        <f>IFERROR(VLOOKUP(AIO$1,Capital!$B$16:$C$18,2,FALSE),0%)</f>
        <v>0</v>
      </c>
      <c r="AIP2" s="179">
        <f>IFERROR(VLOOKUP(AIP$1,Capital!$B$16:$C$18,2,FALSE),0%)</f>
        <v>0</v>
      </c>
      <c r="AIQ2" s="179">
        <f>IFERROR(VLOOKUP(AIQ$1,Capital!$B$16:$C$18,2,FALSE),0%)</f>
        <v>0</v>
      </c>
      <c r="AIR2" s="179">
        <f>IFERROR(VLOOKUP(AIR$1,Capital!$B$16:$C$18,2,FALSE),0%)</f>
        <v>0</v>
      </c>
      <c r="AIS2" s="179">
        <f>IFERROR(VLOOKUP(AIS$1,Capital!$B$16:$C$18,2,FALSE),0%)</f>
        <v>0</v>
      </c>
      <c r="AIT2" s="179">
        <f>IFERROR(VLOOKUP(AIT$1,Capital!$B$16:$C$18,2,FALSE),0%)</f>
        <v>0</v>
      </c>
      <c r="AIU2" s="179">
        <f>IFERROR(VLOOKUP(AIU$1,Capital!$B$16:$C$18,2,FALSE),0%)</f>
        <v>0</v>
      </c>
      <c r="AIV2" s="179">
        <f>IFERROR(VLOOKUP(AIV$1,Capital!$B$16:$C$18,2,FALSE),0%)</f>
        <v>0</v>
      </c>
      <c r="AIW2" s="179">
        <f>IFERROR(VLOOKUP(AIW$1,Capital!$B$16:$C$18,2,FALSE),0%)</f>
        <v>0</v>
      </c>
      <c r="AIX2" s="179">
        <f>IFERROR(VLOOKUP(AIX$1,Capital!$B$16:$C$18,2,FALSE),0%)</f>
        <v>0</v>
      </c>
      <c r="AIY2" s="179">
        <f>IFERROR(VLOOKUP(AIY$1,Capital!$B$16:$C$18,2,FALSE),0%)</f>
        <v>0</v>
      </c>
      <c r="AIZ2" s="179">
        <f>IFERROR(VLOOKUP(AIZ$1,Capital!$B$16:$C$18,2,FALSE),0%)</f>
        <v>0</v>
      </c>
      <c r="AJA2" s="179">
        <f>IFERROR(VLOOKUP(AJA$1,Capital!$B$16:$C$18,2,FALSE),0%)</f>
        <v>0</v>
      </c>
      <c r="AJB2" s="179">
        <f>IFERROR(VLOOKUP(AJB$1,Capital!$B$16:$C$18,2,FALSE),0%)</f>
        <v>0</v>
      </c>
      <c r="AJC2" s="179">
        <f>IFERROR(VLOOKUP(AJC$1,Capital!$B$16:$C$18,2,FALSE),0%)</f>
        <v>0</v>
      </c>
      <c r="AJD2" s="179">
        <f>IFERROR(VLOOKUP(AJD$1,Capital!$B$16:$C$18,2,FALSE),0%)</f>
        <v>0</v>
      </c>
      <c r="AJE2" s="179">
        <f>IFERROR(VLOOKUP(AJE$1,Capital!$B$16:$C$18,2,FALSE),0%)</f>
        <v>0</v>
      </c>
      <c r="AJF2" s="179">
        <f>IFERROR(VLOOKUP(AJF$1,Capital!$B$16:$C$18,2,FALSE),0%)</f>
        <v>0</v>
      </c>
      <c r="AJG2" s="179">
        <f>IFERROR(VLOOKUP(AJG$1,Capital!$B$16:$C$18,2,FALSE),0%)</f>
        <v>0</v>
      </c>
      <c r="AJH2" s="179">
        <f>IFERROR(VLOOKUP(AJH$1,Capital!$B$16:$C$18,2,FALSE),0%)</f>
        <v>0</v>
      </c>
      <c r="AJI2" s="179">
        <f>IFERROR(VLOOKUP(AJI$1,Capital!$B$16:$C$18,2,FALSE),0%)</f>
        <v>0</v>
      </c>
      <c r="AJJ2" s="179">
        <f>IFERROR(VLOOKUP(AJJ$1,Capital!$B$16:$C$18,2,FALSE),0%)</f>
        <v>0</v>
      </c>
      <c r="AJK2" s="179">
        <f>IFERROR(VLOOKUP(AJK$1,Capital!$B$16:$C$18,2,FALSE),0%)</f>
        <v>0</v>
      </c>
      <c r="AJL2" s="179">
        <f>IFERROR(VLOOKUP(AJL$1,Capital!$B$16:$C$18,2,FALSE),0%)</f>
        <v>0</v>
      </c>
      <c r="AJM2" s="179">
        <f>IFERROR(VLOOKUP(AJM$1,Capital!$B$16:$C$18,2,FALSE),0%)</f>
        <v>0</v>
      </c>
      <c r="AJN2" s="179">
        <f>IFERROR(VLOOKUP(AJN$1,Capital!$B$16:$C$18,2,FALSE),0%)</f>
        <v>0</v>
      </c>
      <c r="AJO2" s="179">
        <f>IFERROR(VLOOKUP(AJO$1,Capital!$B$16:$C$18,2,FALSE),0%)</f>
        <v>0</v>
      </c>
      <c r="AJP2" s="179">
        <f>IFERROR(VLOOKUP(AJP$1,Capital!$B$16:$C$18,2,FALSE),0%)</f>
        <v>0</v>
      </c>
      <c r="AJQ2" s="179">
        <f>IFERROR(VLOOKUP(AJQ$1,Capital!$B$16:$C$18,2,FALSE),0%)</f>
        <v>0</v>
      </c>
      <c r="AJR2" s="179">
        <f>IFERROR(VLOOKUP(AJR$1,Capital!$B$16:$C$18,2,FALSE),0%)</f>
        <v>0</v>
      </c>
      <c r="AJS2" s="179">
        <f>IFERROR(VLOOKUP(AJS$1,Capital!$B$16:$C$18,2,FALSE),0%)</f>
        <v>0</v>
      </c>
      <c r="AJT2" s="179">
        <f>IFERROR(VLOOKUP(AJT$1,Capital!$B$16:$C$18,2,FALSE),0%)</f>
        <v>0</v>
      </c>
      <c r="AJU2" s="179">
        <f>IFERROR(VLOOKUP(AJU$1,Capital!$B$16:$C$18,2,FALSE),0%)</f>
        <v>0</v>
      </c>
      <c r="AJV2" s="179">
        <f>IFERROR(VLOOKUP(AJV$1,Capital!$B$16:$C$18,2,FALSE),0%)</f>
        <v>0</v>
      </c>
      <c r="AJW2" s="179">
        <f>IFERROR(VLOOKUP(AJW$1,Capital!$B$16:$C$18,2,FALSE),0%)</f>
        <v>0</v>
      </c>
      <c r="AJX2" s="179">
        <f>IFERROR(VLOOKUP(AJX$1,Capital!$B$16:$C$18,2,FALSE),0%)</f>
        <v>0</v>
      </c>
      <c r="AJY2" s="179">
        <f>IFERROR(VLOOKUP(AJY$1,Capital!$B$16:$C$18,2,FALSE),0%)</f>
        <v>0</v>
      </c>
      <c r="AJZ2" s="179">
        <f>IFERROR(VLOOKUP(AJZ$1,Capital!$B$16:$C$18,2,FALSE),0%)</f>
        <v>0</v>
      </c>
      <c r="AKA2" s="179">
        <f>IFERROR(VLOOKUP(AKA$1,Capital!$B$16:$C$18,2,FALSE),0%)</f>
        <v>0</v>
      </c>
      <c r="AKB2" s="179">
        <f>IFERROR(VLOOKUP(AKB$1,Capital!$B$16:$C$18,2,FALSE),0%)</f>
        <v>0</v>
      </c>
      <c r="AKC2" s="179">
        <f>IFERROR(VLOOKUP(AKC$1,Capital!$B$16:$C$18,2,FALSE),0%)</f>
        <v>0</v>
      </c>
      <c r="AKD2" s="179">
        <f>IFERROR(VLOOKUP(AKD$1,Capital!$B$16:$C$18,2,FALSE),0%)</f>
        <v>0</v>
      </c>
      <c r="AKE2" s="179">
        <f>IFERROR(VLOOKUP(AKE$1,Capital!$B$16:$C$18,2,FALSE),0%)</f>
        <v>0</v>
      </c>
      <c r="AKF2" s="179">
        <f>IFERROR(VLOOKUP(AKF$1,Capital!$B$16:$C$18,2,FALSE),0%)</f>
        <v>0</v>
      </c>
      <c r="AKG2" s="179">
        <f>IFERROR(VLOOKUP(AKG$1,Capital!$B$16:$C$18,2,FALSE),0%)</f>
        <v>0</v>
      </c>
      <c r="AKH2" s="179">
        <f>IFERROR(VLOOKUP(AKH$1,Capital!$B$16:$C$18,2,FALSE),0%)</f>
        <v>0</v>
      </c>
      <c r="AKI2" s="179">
        <f>IFERROR(VLOOKUP(AKI$1,Capital!$B$16:$C$18,2,FALSE),0%)</f>
        <v>0</v>
      </c>
      <c r="AKJ2" s="179">
        <f>IFERROR(VLOOKUP(AKJ$1,Capital!$B$16:$C$18,2,FALSE),0%)</f>
        <v>0</v>
      </c>
      <c r="AKK2" s="179">
        <f>IFERROR(VLOOKUP(AKK$1,Capital!$B$16:$C$18,2,FALSE),0%)</f>
        <v>0</v>
      </c>
      <c r="AKL2" s="179">
        <f>IFERROR(VLOOKUP(AKL$1,Capital!$B$16:$C$18,2,FALSE),0%)</f>
        <v>0</v>
      </c>
      <c r="AKM2" s="179">
        <f>IFERROR(VLOOKUP(AKM$1,Capital!$B$16:$C$18,2,FALSE),0%)</f>
        <v>0</v>
      </c>
      <c r="AKN2" s="179">
        <f>IFERROR(VLOOKUP(AKN$1,Capital!$B$16:$C$18,2,FALSE),0%)</f>
        <v>0</v>
      </c>
      <c r="AKO2" s="179">
        <f>IFERROR(VLOOKUP(AKO$1,Capital!$B$16:$C$18,2,FALSE),0%)</f>
        <v>0</v>
      </c>
      <c r="AKP2" s="179">
        <f>IFERROR(VLOOKUP(AKP$1,Capital!$B$16:$C$18,2,FALSE),0%)</f>
        <v>0</v>
      </c>
      <c r="AKQ2" s="179">
        <f>IFERROR(VLOOKUP(AKQ$1,Capital!$B$16:$C$18,2,FALSE),0%)</f>
        <v>0</v>
      </c>
      <c r="AKR2" s="179">
        <f>IFERROR(VLOOKUP(AKR$1,Capital!$B$16:$C$18,2,FALSE),0%)</f>
        <v>0</v>
      </c>
      <c r="AKS2" s="179">
        <f>IFERROR(VLOOKUP(AKS$1,Capital!$B$16:$C$18,2,FALSE),0%)</f>
        <v>0</v>
      </c>
      <c r="AKT2" s="179">
        <f>IFERROR(VLOOKUP(AKT$1,Capital!$B$16:$C$18,2,FALSE),0%)</f>
        <v>0</v>
      </c>
      <c r="AKU2" s="179">
        <f>IFERROR(VLOOKUP(AKU$1,Capital!$B$16:$C$18,2,FALSE),0%)</f>
        <v>0</v>
      </c>
      <c r="AKV2" s="179">
        <f>IFERROR(VLOOKUP(AKV$1,Capital!$B$16:$C$18,2,FALSE),0%)</f>
        <v>0</v>
      </c>
      <c r="AKW2" s="179">
        <f>IFERROR(VLOOKUP(AKW$1,Capital!$B$16:$C$18,2,FALSE),0%)</f>
        <v>0</v>
      </c>
      <c r="AKX2" s="179">
        <f>IFERROR(VLOOKUP(AKX$1,Capital!$B$16:$C$18,2,FALSE),0%)</f>
        <v>0</v>
      </c>
      <c r="AKY2" s="179">
        <f>IFERROR(VLOOKUP(AKY$1,Capital!$B$16:$C$18,2,FALSE),0%)</f>
        <v>0</v>
      </c>
      <c r="AKZ2" s="179">
        <f>IFERROR(VLOOKUP(AKZ$1,Capital!$B$16:$C$18,2,FALSE),0%)</f>
        <v>0</v>
      </c>
      <c r="ALA2" s="179">
        <f>IFERROR(VLOOKUP(ALA$1,Capital!$B$16:$C$18,2,FALSE),0%)</f>
        <v>0</v>
      </c>
      <c r="ALB2" s="179">
        <f>IFERROR(VLOOKUP(ALB$1,Capital!$B$16:$C$18,2,FALSE),0%)</f>
        <v>0</v>
      </c>
      <c r="ALC2" s="179">
        <f>IFERROR(VLOOKUP(ALC$1,Capital!$B$16:$C$18,2,FALSE),0%)</f>
        <v>0</v>
      </c>
      <c r="ALD2" s="179">
        <f>IFERROR(VLOOKUP(ALD$1,Capital!$B$16:$C$18,2,FALSE),0%)</f>
        <v>0</v>
      </c>
      <c r="ALE2" s="179">
        <f>IFERROR(VLOOKUP(ALE$1,Capital!$B$16:$C$18,2,FALSE),0%)</f>
        <v>0</v>
      </c>
      <c r="ALF2" s="179">
        <f>IFERROR(VLOOKUP(ALF$1,Capital!$B$16:$C$18,2,FALSE),0%)</f>
        <v>0</v>
      </c>
      <c r="ALG2" s="179">
        <f>IFERROR(VLOOKUP(ALG$1,Capital!$B$16:$C$18,2,FALSE),0%)</f>
        <v>0</v>
      </c>
      <c r="ALH2" s="179">
        <f>IFERROR(VLOOKUP(ALH$1,Capital!$B$16:$C$18,2,FALSE),0%)</f>
        <v>0</v>
      </c>
      <c r="ALI2" s="179">
        <f>IFERROR(VLOOKUP(ALI$1,Capital!$B$16:$C$18,2,FALSE),0%)</f>
        <v>0</v>
      </c>
      <c r="ALJ2" s="179">
        <f>IFERROR(VLOOKUP(ALJ$1,Capital!$B$16:$C$18,2,FALSE),0%)</f>
        <v>0</v>
      </c>
      <c r="ALK2" s="179">
        <f>IFERROR(VLOOKUP(ALK$1,Capital!$B$16:$C$18,2,FALSE),0%)</f>
        <v>0</v>
      </c>
      <c r="ALL2" s="179">
        <f>IFERROR(VLOOKUP(ALL$1,Capital!$B$16:$C$18,2,FALSE),0%)</f>
        <v>0</v>
      </c>
      <c r="ALM2" s="179">
        <f>IFERROR(VLOOKUP(ALM$1,Capital!$B$16:$C$18,2,FALSE),0%)</f>
        <v>0</v>
      </c>
      <c r="ALN2" s="179">
        <f>IFERROR(VLOOKUP(ALN$1,Capital!$B$16:$C$18,2,FALSE),0%)</f>
        <v>0</v>
      </c>
      <c r="ALO2" s="179">
        <f>IFERROR(VLOOKUP(ALO$1,Capital!$B$16:$C$18,2,FALSE),0%)</f>
        <v>0</v>
      </c>
      <c r="ALP2" s="179">
        <f>IFERROR(VLOOKUP(ALP$1,Capital!$B$16:$C$18,2,FALSE),0%)</f>
        <v>0</v>
      </c>
      <c r="ALQ2" s="179">
        <f>IFERROR(VLOOKUP(ALQ$1,Capital!$B$16:$C$18,2,FALSE),0%)</f>
        <v>0</v>
      </c>
      <c r="ALR2" s="179">
        <f>IFERROR(VLOOKUP(ALR$1,Capital!$B$16:$C$18,2,FALSE),0%)</f>
        <v>0</v>
      </c>
      <c r="ALS2" s="179">
        <f>IFERROR(VLOOKUP(ALS$1,Capital!$B$16:$C$18,2,FALSE),0%)</f>
        <v>0</v>
      </c>
      <c r="ALT2" s="179">
        <f>IFERROR(VLOOKUP(ALT$1,Capital!$B$16:$C$18,2,FALSE),0%)</f>
        <v>0</v>
      </c>
      <c r="ALU2" s="179">
        <f>IFERROR(VLOOKUP(ALU$1,Capital!$B$16:$C$18,2,FALSE),0%)</f>
        <v>0</v>
      </c>
      <c r="ALV2" s="179">
        <f>IFERROR(VLOOKUP(ALV$1,Capital!$B$16:$C$18,2,FALSE),0%)</f>
        <v>0</v>
      </c>
      <c r="ALW2" s="179">
        <f>IFERROR(VLOOKUP(ALW$1,Capital!$B$16:$C$18,2,FALSE),0%)</f>
        <v>0</v>
      </c>
      <c r="ALX2" s="179">
        <f>IFERROR(VLOOKUP(ALX$1,Capital!$B$16:$C$18,2,FALSE),0%)</f>
        <v>0</v>
      </c>
      <c r="ALY2" s="179">
        <f>IFERROR(VLOOKUP(ALY$1,Capital!$B$16:$C$18,2,FALSE),0%)</f>
        <v>0</v>
      </c>
      <c r="ALZ2" s="179">
        <f>IFERROR(VLOOKUP(ALZ$1,Capital!$B$16:$C$18,2,FALSE),0%)</f>
        <v>0</v>
      </c>
      <c r="AMA2" s="179">
        <f>IFERROR(VLOOKUP(AMA$1,Capital!$B$16:$C$18,2,FALSE),0%)</f>
        <v>0</v>
      </c>
      <c r="AMB2" s="179">
        <f>IFERROR(VLOOKUP(AMB$1,Capital!$B$16:$C$18,2,FALSE),0%)</f>
        <v>0</v>
      </c>
      <c r="AMC2" s="179">
        <f>IFERROR(VLOOKUP(AMC$1,Capital!$B$16:$C$18,2,FALSE),0%)</f>
        <v>0</v>
      </c>
      <c r="AMD2" s="179">
        <f>IFERROR(VLOOKUP(AMD$1,Capital!$B$16:$C$18,2,FALSE),0%)</f>
        <v>0</v>
      </c>
      <c r="AME2" s="179">
        <f>IFERROR(VLOOKUP(AME$1,Capital!$B$16:$C$18,2,FALSE),0%)</f>
        <v>0</v>
      </c>
      <c r="AMF2" s="179">
        <f>IFERROR(VLOOKUP(AMF$1,Capital!$B$16:$C$18,2,FALSE),0%)</f>
        <v>0</v>
      </c>
      <c r="AMG2" s="179">
        <f>IFERROR(VLOOKUP(AMG$1,Capital!$B$16:$C$18,2,FALSE),0%)</f>
        <v>0</v>
      </c>
      <c r="AMH2" s="179">
        <f>IFERROR(VLOOKUP(AMH$1,Capital!$B$16:$C$18,2,FALSE),0%)</f>
        <v>0</v>
      </c>
      <c r="AMI2" s="179">
        <f>IFERROR(VLOOKUP(AMI$1,Capital!$B$16:$C$18,2,FALSE),0%)</f>
        <v>0</v>
      </c>
      <c r="AMJ2" s="179">
        <f>IFERROR(VLOOKUP(AMJ$1,Capital!$B$16:$C$18,2,FALSE),0%)</f>
        <v>0</v>
      </c>
      <c r="AMK2" s="179">
        <f>IFERROR(VLOOKUP(AMK$1,Capital!$B$16:$C$18,2,FALSE),0%)</f>
        <v>0</v>
      </c>
      <c r="AML2" s="179">
        <f>IFERROR(VLOOKUP(AML$1,Capital!$B$16:$C$18,2,FALSE),0%)</f>
        <v>0</v>
      </c>
      <c r="AMM2" s="179">
        <f>IFERROR(VLOOKUP(AMM$1,Capital!$B$16:$C$18,2,FALSE),0%)</f>
        <v>0</v>
      </c>
      <c r="AMN2" s="179">
        <f>IFERROR(VLOOKUP(AMN$1,Capital!$B$16:$C$18,2,FALSE),0%)</f>
        <v>0</v>
      </c>
      <c r="AMO2" s="179">
        <f>IFERROR(VLOOKUP(AMO$1,Capital!$B$16:$C$18,2,FALSE),0%)</f>
        <v>0</v>
      </c>
      <c r="AMP2" s="179">
        <f>IFERROR(VLOOKUP(AMP$1,Capital!$B$16:$C$18,2,FALSE),0%)</f>
        <v>0</v>
      </c>
      <c r="AMQ2" s="179">
        <f>IFERROR(VLOOKUP(AMQ$1,Capital!$B$16:$C$18,2,FALSE),0%)</f>
        <v>0</v>
      </c>
      <c r="AMR2" s="179">
        <f>IFERROR(VLOOKUP(AMR$1,Capital!$B$16:$C$18,2,FALSE),0%)</f>
        <v>0</v>
      </c>
      <c r="AMS2" s="179">
        <f>IFERROR(VLOOKUP(AMS$1,Capital!$B$16:$C$18,2,FALSE),0%)</f>
        <v>0</v>
      </c>
      <c r="AMT2" s="179">
        <f>IFERROR(VLOOKUP(AMT$1,Capital!$B$16:$C$18,2,FALSE),0%)</f>
        <v>0</v>
      </c>
      <c r="AMU2" s="179">
        <f>IFERROR(VLOOKUP(AMU$1,Capital!$B$16:$C$18,2,FALSE),0%)</f>
        <v>0</v>
      </c>
      <c r="AMV2" s="179">
        <f>IFERROR(VLOOKUP(AMV$1,Capital!$B$16:$C$18,2,FALSE),0%)</f>
        <v>0</v>
      </c>
      <c r="AMW2" s="179">
        <f>IFERROR(VLOOKUP(AMW$1,Capital!$B$16:$C$18,2,FALSE),0%)</f>
        <v>0</v>
      </c>
      <c r="AMX2" s="179">
        <f>IFERROR(VLOOKUP(AMX$1,Capital!$B$16:$C$18,2,FALSE),0%)</f>
        <v>0</v>
      </c>
      <c r="AMY2" s="179">
        <f>IFERROR(VLOOKUP(AMY$1,Capital!$B$16:$C$18,2,FALSE),0%)</f>
        <v>0</v>
      </c>
      <c r="AMZ2" s="179">
        <f>IFERROR(VLOOKUP(AMZ$1,Capital!$B$16:$C$18,2,FALSE),0%)</f>
        <v>0</v>
      </c>
      <c r="ANA2" s="179">
        <f>IFERROR(VLOOKUP(ANA$1,Capital!$B$16:$C$18,2,FALSE),0%)</f>
        <v>0</v>
      </c>
      <c r="ANB2" s="179">
        <f>IFERROR(VLOOKUP(ANB$1,Capital!$B$16:$C$18,2,FALSE),0%)</f>
        <v>0</v>
      </c>
      <c r="ANC2" s="179">
        <f>IFERROR(VLOOKUP(ANC$1,Capital!$B$16:$C$18,2,FALSE),0%)</f>
        <v>0</v>
      </c>
      <c r="AND2" s="179">
        <f>IFERROR(VLOOKUP(AND$1,Capital!$B$16:$C$18,2,FALSE),0%)</f>
        <v>0</v>
      </c>
      <c r="ANE2" s="179">
        <f>IFERROR(VLOOKUP(ANE$1,Capital!$B$16:$C$18,2,FALSE),0%)</f>
        <v>0</v>
      </c>
      <c r="ANF2" s="179">
        <f>IFERROR(VLOOKUP(ANF$1,Capital!$B$16:$C$18,2,FALSE),0%)</f>
        <v>0</v>
      </c>
      <c r="ANG2" s="179">
        <f>IFERROR(VLOOKUP(ANG$1,Capital!$B$16:$C$18,2,FALSE),0%)</f>
        <v>0</v>
      </c>
      <c r="ANH2" s="179">
        <f>IFERROR(VLOOKUP(ANH$1,Capital!$B$16:$C$18,2,FALSE),0%)</f>
        <v>0</v>
      </c>
      <c r="ANI2" s="179">
        <f>IFERROR(VLOOKUP(ANI$1,Capital!$B$16:$C$18,2,FALSE),0%)</f>
        <v>0</v>
      </c>
      <c r="ANJ2" s="179">
        <f>IFERROR(VLOOKUP(ANJ$1,Capital!$B$16:$C$18,2,FALSE),0%)</f>
        <v>0</v>
      </c>
      <c r="ANK2" s="179">
        <f>IFERROR(VLOOKUP(ANK$1,Capital!$B$16:$C$18,2,FALSE),0%)</f>
        <v>0</v>
      </c>
      <c r="ANL2" s="179">
        <f>IFERROR(VLOOKUP(ANL$1,Capital!$B$16:$C$18,2,FALSE),0%)</f>
        <v>0</v>
      </c>
      <c r="ANM2" s="179">
        <f>IFERROR(VLOOKUP(ANM$1,Capital!$B$16:$C$18,2,FALSE),0%)</f>
        <v>0</v>
      </c>
      <c r="ANN2" s="179">
        <f>IFERROR(VLOOKUP(ANN$1,Capital!$B$16:$C$18,2,FALSE),0%)</f>
        <v>0</v>
      </c>
      <c r="ANO2" s="179">
        <f>IFERROR(VLOOKUP(ANO$1,Capital!$B$16:$C$18,2,FALSE),0%)</f>
        <v>0</v>
      </c>
      <c r="ANP2" s="179">
        <f>IFERROR(VLOOKUP(ANP$1,Capital!$B$16:$C$18,2,FALSE),0%)</f>
        <v>0</v>
      </c>
      <c r="ANQ2" s="179">
        <f>IFERROR(VLOOKUP(ANQ$1,Capital!$B$16:$C$18,2,FALSE),0%)</f>
        <v>0</v>
      </c>
      <c r="ANR2" s="179">
        <f>IFERROR(VLOOKUP(ANR$1,Capital!$B$16:$C$18,2,FALSE),0%)</f>
        <v>0</v>
      </c>
      <c r="ANS2" s="179">
        <f>IFERROR(VLOOKUP(ANS$1,Capital!$B$16:$C$18,2,FALSE),0%)</f>
        <v>0</v>
      </c>
      <c r="ANT2" s="179">
        <f>IFERROR(VLOOKUP(ANT$1,Capital!$B$16:$C$18,2,FALSE),0%)</f>
        <v>0</v>
      </c>
      <c r="ANU2" s="179">
        <f>IFERROR(VLOOKUP(ANU$1,Capital!$B$16:$C$18,2,FALSE),0%)</f>
        <v>0</v>
      </c>
      <c r="ANV2" s="179">
        <f>IFERROR(VLOOKUP(ANV$1,Capital!$B$16:$C$18,2,FALSE),0%)</f>
        <v>0</v>
      </c>
      <c r="ANW2" s="179">
        <f>IFERROR(VLOOKUP(ANW$1,Capital!$B$16:$C$18,2,FALSE),0%)</f>
        <v>0</v>
      </c>
      <c r="ANX2" s="179">
        <f>IFERROR(VLOOKUP(ANX$1,Capital!$B$16:$C$18,2,FALSE),0%)</f>
        <v>0</v>
      </c>
      <c r="ANY2" s="179">
        <f>IFERROR(VLOOKUP(ANY$1,Capital!$B$16:$C$18,2,FALSE),0%)</f>
        <v>0</v>
      </c>
      <c r="ANZ2" s="179">
        <f>IFERROR(VLOOKUP(ANZ$1,Capital!$B$16:$C$18,2,FALSE),0%)</f>
        <v>0</v>
      </c>
      <c r="AOA2" s="179">
        <f>IFERROR(VLOOKUP(AOA$1,Capital!$B$16:$C$18,2,FALSE),0%)</f>
        <v>0</v>
      </c>
      <c r="AOB2" s="179">
        <f>IFERROR(VLOOKUP(AOB$1,Capital!$B$16:$C$18,2,FALSE),0%)</f>
        <v>0</v>
      </c>
      <c r="AOC2" s="179">
        <f>IFERROR(VLOOKUP(AOC$1,Capital!$B$16:$C$18,2,FALSE),0%)</f>
        <v>0</v>
      </c>
      <c r="AOD2" s="179">
        <f>IFERROR(VLOOKUP(AOD$1,Capital!$B$16:$C$18,2,FALSE),0%)</f>
        <v>0</v>
      </c>
      <c r="AOE2" s="179">
        <f>IFERROR(VLOOKUP(AOE$1,Capital!$B$16:$C$18,2,FALSE),0%)</f>
        <v>0</v>
      </c>
      <c r="AOF2" s="179">
        <f>IFERROR(VLOOKUP(AOF$1,Capital!$B$16:$C$18,2,FALSE),0%)</f>
        <v>0</v>
      </c>
      <c r="AOG2" s="179">
        <f>IFERROR(VLOOKUP(AOG$1,Capital!$B$16:$C$18,2,FALSE),0%)</f>
        <v>0</v>
      </c>
      <c r="AOH2" s="179">
        <f>IFERROR(VLOOKUP(AOH$1,Capital!$B$16:$C$18,2,FALSE),0%)</f>
        <v>0</v>
      </c>
      <c r="AOI2" s="179">
        <f>IFERROR(VLOOKUP(AOI$1,Capital!$B$16:$C$18,2,FALSE),0%)</f>
        <v>0</v>
      </c>
      <c r="AOJ2" s="179">
        <f>IFERROR(VLOOKUP(AOJ$1,Capital!$B$16:$C$18,2,FALSE),0%)</f>
        <v>0</v>
      </c>
      <c r="AOK2" s="179">
        <f>IFERROR(VLOOKUP(AOK$1,Capital!$B$16:$C$18,2,FALSE),0%)</f>
        <v>0</v>
      </c>
      <c r="AOL2" s="179">
        <f>IFERROR(VLOOKUP(AOL$1,Capital!$B$16:$C$18,2,FALSE),0%)</f>
        <v>0</v>
      </c>
      <c r="AOM2" s="179">
        <f>IFERROR(VLOOKUP(AOM$1,Capital!$B$16:$C$18,2,FALSE),0%)</f>
        <v>0</v>
      </c>
      <c r="AON2" s="179">
        <f>IFERROR(VLOOKUP(AON$1,Capital!$B$16:$C$18,2,FALSE),0%)</f>
        <v>0</v>
      </c>
      <c r="AOO2" s="179">
        <f>IFERROR(VLOOKUP(AOO$1,Capital!$B$16:$C$18,2,FALSE),0%)</f>
        <v>0</v>
      </c>
      <c r="AOP2" s="179">
        <f>IFERROR(VLOOKUP(AOP$1,Capital!$B$16:$C$18,2,FALSE),0%)</f>
        <v>0</v>
      </c>
      <c r="AOQ2" s="179">
        <f>IFERROR(VLOOKUP(AOQ$1,Capital!$B$16:$C$18,2,FALSE),0%)</f>
        <v>0</v>
      </c>
      <c r="AOR2" s="179">
        <f>IFERROR(VLOOKUP(AOR$1,Capital!$B$16:$C$18,2,FALSE),0%)</f>
        <v>0</v>
      </c>
      <c r="AOS2" s="179">
        <f>IFERROR(VLOOKUP(AOS$1,Capital!$B$16:$C$18,2,FALSE),0%)</f>
        <v>0</v>
      </c>
      <c r="AOT2" s="179">
        <f>IFERROR(VLOOKUP(AOT$1,Capital!$B$16:$C$18,2,FALSE),0%)</f>
        <v>0</v>
      </c>
      <c r="AOU2" s="179">
        <f>IFERROR(VLOOKUP(AOU$1,Capital!$B$16:$C$18,2,FALSE),0%)</f>
        <v>0</v>
      </c>
      <c r="AOV2" s="179">
        <f>IFERROR(VLOOKUP(AOV$1,Capital!$B$16:$C$18,2,FALSE),0%)</f>
        <v>0</v>
      </c>
      <c r="AOW2" s="179">
        <f>IFERROR(VLOOKUP(AOW$1,Capital!$B$16:$C$18,2,FALSE),0%)</f>
        <v>0</v>
      </c>
      <c r="AOX2" s="179">
        <f>IFERROR(VLOOKUP(AOX$1,Capital!$B$16:$C$18,2,FALSE),0%)</f>
        <v>0</v>
      </c>
      <c r="AOY2" s="179">
        <f>IFERROR(VLOOKUP(AOY$1,Capital!$B$16:$C$18,2,FALSE),0%)</f>
        <v>0</v>
      </c>
      <c r="AOZ2" s="179">
        <f>IFERROR(VLOOKUP(AOZ$1,Capital!$B$16:$C$18,2,FALSE),0%)</f>
        <v>0</v>
      </c>
      <c r="APA2" s="179">
        <f>IFERROR(VLOOKUP(APA$1,Capital!$B$16:$C$18,2,FALSE),0%)</f>
        <v>0</v>
      </c>
      <c r="APB2" s="179">
        <f>IFERROR(VLOOKUP(APB$1,Capital!$B$16:$C$18,2,FALSE),0%)</f>
        <v>0</v>
      </c>
      <c r="APC2" s="179">
        <f>IFERROR(VLOOKUP(APC$1,Capital!$B$16:$C$18,2,FALSE),0%)</f>
        <v>0</v>
      </c>
      <c r="APD2" s="179">
        <f>IFERROR(VLOOKUP(APD$1,Capital!$B$16:$C$18,2,FALSE),0%)</f>
        <v>0</v>
      </c>
      <c r="APE2" s="179">
        <f>IFERROR(VLOOKUP(APE$1,Capital!$B$16:$C$18,2,FALSE),0%)</f>
        <v>0</v>
      </c>
      <c r="APF2" s="179">
        <f>IFERROR(VLOOKUP(APF$1,Capital!$B$16:$C$18,2,FALSE),0%)</f>
        <v>0</v>
      </c>
      <c r="APG2" s="179">
        <f>IFERROR(VLOOKUP(APG$1,Capital!$B$16:$C$18,2,FALSE),0%)</f>
        <v>0</v>
      </c>
      <c r="APH2" s="179">
        <f>IFERROR(VLOOKUP(APH$1,Capital!$B$16:$C$18,2,FALSE),0%)</f>
        <v>0</v>
      </c>
      <c r="API2" s="179">
        <f>IFERROR(VLOOKUP(API$1,Capital!$B$16:$C$18,2,FALSE),0%)</f>
        <v>0</v>
      </c>
      <c r="APJ2" s="179">
        <f>IFERROR(VLOOKUP(APJ$1,Capital!$B$16:$C$18,2,FALSE),0%)</f>
        <v>0</v>
      </c>
      <c r="APK2" s="179">
        <f>IFERROR(VLOOKUP(APK$1,Capital!$B$16:$C$18,2,FALSE),0%)</f>
        <v>0</v>
      </c>
      <c r="APL2" s="179">
        <f>IFERROR(VLOOKUP(APL$1,Capital!$B$16:$C$18,2,FALSE),0%)</f>
        <v>0</v>
      </c>
      <c r="APM2" s="179">
        <f>IFERROR(VLOOKUP(APM$1,Capital!$B$16:$C$18,2,FALSE),0%)</f>
        <v>0</v>
      </c>
      <c r="APN2" s="179">
        <f>IFERROR(VLOOKUP(APN$1,Capital!$B$16:$C$18,2,FALSE),0%)</f>
        <v>0</v>
      </c>
      <c r="APO2" s="179">
        <f>IFERROR(VLOOKUP(APO$1,Capital!$B$16:$C$18,2,FALSE),0%)</f>
        <v>0</v>
      </c>
      <c r="APP2" s="179">
        <f>IFERROR(VLOOKUP(APP$1,Capital!$B$16:$C$18,2,FALSE),0%)</f>
        <v>0</v>
      </c>
      <c r="APQ2" s="179">
        <f>IFERROR(VLOOKUP(APQ$1,Capital!$B$16:$C$18,2,FALSE),0%)</f>
        <v>0</v>
      </c>
      <c r="APR2" s="179">
        <f>IFERROR(VLOOKUP(APR$1,Capital!$B$16:$C$18,2,FALSE),0%)</f>
        <v>0</v>
      </c>
      <c r="APS2" s="179">
        <f>IFERROR(VLOOKUP(APS$1,Capital!$B$16:$C$18,2,FALSE),0%)</f>
        <v>0</v>
      </c>
      <c r="APT2" s="179">
        <f>IFERROR(VLOOKUP(APT$1,Capital!$B$16:$C$18,2,FALSE),0%)</f>
        <v>0</v>
      </c>
      <c r="APU2" s="179">
        <f>IFERROR(VLOOKUP(APU$1,Capital!$B$16:$C$18,2,FALSE),0%)</f>
        <v>0</v>
      </c>
      <c r="APV2" s="179">
        <f>IFERROR(VLOOKUP(APV$1,Capital!$B$16:$C$18,2,FALSE),0%)</f>
        <v>0</v>
      </c>
      <c r="APW2" s="179">
        <f>IFERROR(VLOOKUP(APW$1,Capital!$B$16:$C$18,2,FALSE),0%)</f>
        <v>0</v>
      </c>
      <c r="APX2" s="179">
        <f>IFERROR(VLOOKUP(APX$1,Capital!$B$16:$C$18,2,FALSE),0%)</f>
        <v>0</v>
      </c>
      <c r="APY2" s="179">
        <f>IFERROR(VLOOKUP(APY$1,Capital!$B$16:$C$18,2,FALSE),0%)</f>
        <v>0</v>
      </c>
      <c r="APZ2" s="179">
        <f>IFERROR(VLOOKUP(APZ$1,Capital!$B$16:$C$18,2,FALSE),0%)</f>
        <v>0</v>
      </c>
      <c r="AQA2" s="179">
        <f>IFERROR(VLOOKUP(AQA$1,Capital!$B$16:$C$18,2,FALSE),0%)</f>
        <v>0</v>
      </c>
      <c r="AQB2" s="179">
        <f>IFERROR(VLOOKUP(AQB$1,Capital!$B$16:$C$18,2,FALSE),0%)</f>
        <v>0</v>
      </c>
      <c r="AQC2" s="179">
        <f>IFERROR(VLOOKUP(AQC$1,Capital!$B$16:$C$18,2,FALSE),0%)</f>
        <v>0</v>
      </c>
      <c r="AQD2" s="179">
        <f>IFERROR(VLOOKUP(AQD$1,Capital!$B$16:$C$18,2,FALSE),0%)</f>
        <v>0</v>
      </c>
      <c r="AQE2" s="179">
        <f>IFERROR(VLOOKUP(AQE$1,Capital!$B$16:$C$18,2,FALSE),0%)</f>
        <v>0</v>
      </c>
      <c r="AQF2" s="179">
        <f>IFERROR(VLOOKUP(AQF$1,Capital!$B$16:$C$18,2,FALSE),0%)</f>
        <v>0</v>
      </c>
      <c r="AQG2" s="179">
        <f>IFERROR(VLOOKUP(AQG$1,Capital!$B$16:$C$18,2,FALSE),0%)</f>
        <v>0</v>
      </c>
      <c r="AQH2" s="179">
        <f>IFERROR(VLOOKUP(AQH$1,Capital!$B$16:$C$18,2,FALSE),0%)</f>
        <v>0</v>
      </c>
      <c r="AQI2" s="179">
        <f>IFERROR(VLOOKUP(AQI$1,Capital!$B$16:$C$18,2,FALSE),0%)</f>
        <v>0</v>
      </c>
      <c r="AQJ2" s="179">
        <f>IFERROR(VLOOKUP(AQJ$1,Capital!$B$16:$C$18,2,FALSE),0%)</f>
        <v>0</v>
      </c>
      <c r="AQK2" s="179">
        <f>IFERROR(VLOOKUP(AQK$1,Capital!$B$16:$C$18,2,FALSE),0%)</f>
        <v>0</v>
      </c>
      <c r="AQL2" s="179">
        <f>IFERROR(VLOOKUP(AQL$1,Capital!$B$16:$C$18,2,FALSE),0%)</f>
        <v>0</v>
      </c>
      <c r="AQM2" s="179">
        <f>IFERROR(VLOOKUP(AQM$1,Capital!$B$16:$C$18,2,FALSE),0%)</f>
        <v>0</v>
      </c>
      <c r="AQN2" s="179">
        <f>IFERROR(VLOOKUP(AQN$1,Capital!$B$16:$C$18,2,FALSE),0%)</f>
        <v>0</v>
      </c>
      <c r="AQO2" s="179">
        <f>IFERROR(VLOOKUP(AQO$1,Capital!$B$16:$C$18,2,FALSE),0%)</f>
        <v>0</v>
      </c>
      <c r="AQP2" s="179">
        <f>IFERROR(VLOOKUP(AQP$1,Capital!$B$16:$C$18,2,FALSE),0%)</f>
        <v>0</v>
      </c>
      <c r="AQQ2" s="179">
        <f>IFERROR(VLOOKUP(AQQ$1,Capital!$B$16:$C$18,2,FALSE),0%)</f>
        <v>0</v>
      </c>
      <c r="AQR2" s="179">
        <f>IFERROR(VLOOKUP(AQR$1,Capital!$B$16:$C$18,2,FALSE),0%)</f>
        <v>0</v>
      </c>
      <c r="AQS2" s="179">
        <f>IFERROR(VLOOKUP(AQS$1,Capital!$B$16:$C$18,2,FALSE),0%)</f>
        <v>0</v>
      </c>
      <c r="AQT2" s="179">
        <f>IFERROR(VLOOKUP(AQT$1,Capital!$B$16:$C$18,2,FALSE),0%)</f>
        <v>0</v>
      </c>
      <c r="AQU2" s="179">
        <f>IFERROR(VLOOKUP(AQU$1,Capital!$B$16:$C$18,2,FALSE),0%)</f>
        <v>0</v>
      </c>
      <c r="AQV2" s="179">
        <f>IFERROR(VLOOKUP(AQV$1,Capital!$B$16:$C$18,2,FALSE),0%)</f>
        <v>0</v>
      </c>
      <c r="AQW2" s="179">
        <f>IFERROR(VLOOKUP(AQW$1,Capital!$B$16:$C$18,2,FALSE),0%)</f>
        <v>0</v>
      </c>
      <c r="AQX2" s="179">
        <f>IFERROR(VLOOKUP(AQX$1,Capital!$B$16:$C$18,2,FALSE),0%)</f>
        <v>0</v>
      </c>
      <c r="AQY2" s="179">
        <f>IFERROR(VLOOKUP(AQY$1,Capital!$B$16:$C$18,2,FALSE),0%)</f>
        <v>0</v>
      </c>
      <c r="AQZ2" s="179">
        <f>IFERROR(VLOOKUP(AQZ$1,Capital!$B$16:$C$18,2,FALSE),0%)</f>
        <v>0</v>
      </c>
      <c r="ARA2" s="179">
        <f>IFERROR(VLOOKUP(ARA$1,Capital!$B$16:$C$18,2,FALSE),0%)</f>
        <v>0</v>
      </c>
      <c r="ARB2" s="179">
        <f>IFERROR(VLOOKUP(ARB$1,Capital!$B$16:$C$18,2,FALSE),0%)</f>
        <v>0</v>
      </c>
      <c r="ARC2" s="179">
        <f>IFERROR(VLOOKUP(ARC$1,Capital!$B$16:$C$18,2,FALSE),0%)</f>
        <v>0</v>
      </c>
      <c r="ARD2" s="179">
        <f>IFERROR(VLOOKUP(ARD$1,Capital!$B$16:$C$18,2,FALSE),0%)</f>
        <v>0</v>
      </c>
      <c r="ARE2" s="179">
        <f>IFERROR(VLOOKUP(ARE$1,Capital!$B$16:$C$18,2,FALSE),0%)</f>
        <v>0</v>
      </c>
      <c r="ARF2" s="179">
        <f>IFERROR(VLOOKUP(ARF$1,Capital!$B$16:$C$18,2,FALSE),0%)</f>
        <v>0</v>
      </c>
      <c r="ARG2" s="179">
        <f>IFERROR(VLOOKUP(ARG$1,Capital!$B$16:$C$18,2,FALSE),0%)</f>
        <v>0</v>
      </c>
      <c r="ARH2" s="179">
        <f>IFERROR(VLOOKUP(ARH$1,Capital!$B$16:$C$18,2,FALSE),0%)</f>
        <v>0</v>
      </c>
      <c r="ARI2" s="179">
        <f>IFERROR(VLOOKUP(ARI$1,Capital!$B$16:$C$18,2,FALSE),0%)</f>
        <v>0</v>
      </c>
      <c r="ARJ2" s="179">
        <f>IFERROR(VLOOKUP(ARJ$1,Capital!$B$16:$C$18,2,FALSE),0%)</f>
        <v>0</v>
      </c>
      <c r="ARK2" s="179">
        <f>IFERROR(VLOOKUP(ARK$1,Capital!$B$16:$C$18,2,FALSE),0%)</f>
        <v>0</v>
      </c>
      <c r="ARL2" s="179">
        <f>IFERROR(VLOOKUP(ARL$1,Capital!$B$16:$C$18,2,FALSE),0%)</f>
        <v>0</v>
      </c>
      <c r="ARM2" s="179">
        <f>IFERROR(VLOOKUP(ARM$1,Capital!$B$16:$C$18,2,FALSE),0%)</f>
        <v>0</v>
      </c>
      <c r="ARN2" s="179">
        <f>IFERROR(VLOOKUP(ARN$1,Capital!$B$16:$C$18,2,FALSE),0%)</f>
        <v>0</v>
      </c>
      <c r="ARO2" s="179">
        <f>IFERROR(VLOOKUP(ARO$1,Capital!$B$16:$C$18,2,FALSE),0%)</f>
        <v>0</v>
      </c>
      <c r="ARP2" s="179">
        <f>IFERROR(VLOOKUP(ARP$1,Capital!$B$16:$C$18,2,FALSE),0%)</f>
        <v>0</v>
      </c>
      <c r="ARQ2" s="179">
        <f>IFERROR(VLOOKUP(ARQ$1,Capital!$B$16:$C$18,2,FALSE),0%)</f>
        <v>0</v>
      </c>
      <c r="ARR2" s="179">
        <f>IFERROR(VLOOKUP(ARR$1,Capital!$B$16:$C$18,2,FALSE),0%)</f>
        <v>0</v>
      </c>
      <c r="ARS2" s="179">
        <f>IFERROR(VLOOKUP(ARS$1,Capital!$B$16:$C$18,2,FALSE),0%)</f>
        <v>0</v>
      </c>
      <c r="ART2" s="179">
        <f>IFERROR(VLOOKUP(ART$1,Capital!$B$16:$C$18,2,FALSE),0%)</f>
        <v>0</v>
      </c>
      <c r="ARU2" s="179">
        <f>IFERROR(VLOOKUP(ARU$1,Capital!$B$16:$C$18,2,FALSE),0%)</f>
        <v>0</v>
      </c>
      <c r="ARV2" s="179">
        <f>IFERROR(VLOOKUP(ARV$1,Capital!$B$16:$C$18,2,FALSE),0%)</f>
        <v>0</v>
      </c>
      <c r="ARW2" s="179">
        <f>IFERROR(VLOOKUP(ARW$1,Capital!$B$16:$C$18,2,FALSE),0%)</f>
        <v>0</v>
      </c>
      <c r="ARX2" s="179">
        <f>IFERROR(VLOOKUP(ARX$1,Capital!$B$16:$C$18,2,FALSE),0%)</f>
        <v>0</v>
      </c>
      <c r="ARY2" s="179">
        <f>IFERROR(VLOOKUP(ARY$1,Capital!$B$16:$C$18,2,FALSE),0%)</f>
        <v>0</v>
      </c>
      <c r="ARZ2" s="179">
        <f>IFERROR(VLOOKUP(ARZ$1,Capital!$B$16:$C$18,2,FALSE),0%)</f>
        <v>0</v>
      </c>
      <c r="ASA2" s="179">
        <f>IFERROR(VLOOKUP(ASA$1,Capital!$B$16:$C$18,2,FALSE),0%)</f>
        <v>0</v>
      </c>
      <c r="ASB2" s="179">
        <f>IFERROR(VLOOKUP(ASB$1,Capital!$B$16:$C$18,2,FALSE),0%)</f>
        <v>0</v>
      </c>
      <c r="ASC2" s="179">
        <f>IFERROR(VLOOKUP(ASC$1,Capital!$B$16:$C$18,2,FALSE),0%)</f>
        <v>0</v>
      </c>
      <c r="ASD2" s="179">
        <f>IFERROR(VLOOKUP(ASD$1,Capital!$B$16:$C$18,2,FALSE),0%)</f>
        <v>0</v>
      </c>
      <c r="ASE2" s="179">
        <f>IFERROR(VLOOKUP(ASE$1,Capital!$B$16:$C$18,2,FALSE),0%)</f>
        <v>0</v>
      </c>
      <c r="ASF2" s="179">
        <f>IFERROR(VLOOKUP(ASF$1,Capital!$B$16:$C$18,2,FALSE),0%)</f>
        <v>0</v>
      </c>
      <c r="ASG2" s="179">
        <f>IFERROR(VLOOKUP(ASG$1,Capital!$B$16:$C$18,2,FALSE),0%)</f>
        <v>0</v>
      </c>
      <c r="ASH2" s="179">
        <f>IFERROR(VLOOKUP(ASH$1,Capital!$B$16:$C$18,2,FALSE),0%)</f>
        <v>0</v>
      </c>
      <c r="ASI2" s="179">
        <f>IFERROR(VLOOKUP(ASI$1,Capital!$B$16:$C$18,2,FALSE),0%)</f>
        <v>0</v>
      </c>
      <c r="ASJ2" s="179">
        <f>IFERROR(VLOOKUP(ASJ$1,Capital!$B$16:$C$18,2,FALSE),0%)</f>
        <v>0</v>
      </c>
      <c r="ASK2" s="179">
        <f>IFERROR(VLOOKUP(ASK$1,Capital!$B$16:$C$18,2,FALSE),0%)</f>
        <v>0</v>
      </c>
      <c r="ASL2" s="179">
        <f>IFERROR(VLOOKUP(ASL$1,Capital!$B$16:$C$18,2,FALSE),0%)</f>
        <v>0</v>
      </c>
      <c r="ASM2" s="179">
        <f>IFERROR(VLOOKUP(ASM$1,Capital!$B$16:$C$18,2,FALSE),0%)</f>
        <v>0</v>
      </c>
      <c r="ASN2" s="179">
        <f>IFERROR(VLOOKUP(ASN$1,Capital!$B$16:$C$18,2,FALSE),0%)</f>
        <v>0</v>
      </c>
      <c r="ASO2" s="179">
        <f>IFERROR(VLOOKUP(ASO$1,Capital!$B$16:$C$18,2,FALSE),0%)</f>
        <v>0</v>
      </c>
      <c r="ASP2" s="179">
        <f>IFERROR(VLOOKUP(ASP$1,Capital!$B$16:$C$18,2,FALSE),0%)</f>
        <v>0</v>
      </c>
      <c r="ASQ2" s="179">
        <f>IFERROR(VLOOKUP(ASQ$1,Capital!$B$16:$C$18,2,FALSE),0%)</f>
        <v>0</v>
      </c>
      <c r="ASR2" s="179">
        <f>IFERROR(VLOOKUP(ASR$1,Capital!$B$16:$C$18,2,FALSE),0%)</f>
        <v>0</v>
      </c>
      <c r="ASS2" s="179">
        <f>IFERROR(VLOOKUP(ASS$1,Capital!$B$16:$C$18,2,FALSE),0%)</f>
        <v>0</v>
      </c>
      <c r="AST2" s="179">
        <f>IFERROR(VLOOKUP(AST$1,Capital!$B$16:$C$18,2,FALSE),0%)</f>
        <v>0</v>
      </c>
      <c r="ASU2" s="179">
        <f>IFERROR(VLOOKUP(ASU$1,Capital!$B$16:$C$18,2,FALSE),0%)</f>
        <v>0</v>
      </c>
      <c r="ASV2" s="179">
        <f>IFERROR(VLOOKUP(ASV$1,Capital!$B$16:$C$18,2,FALSE),0%)</f>
        <v>0</v>
      </c>
      <c r="ASW2" s="179">
        <f>IFERROR(VLOOKUP(ASW$1,Capital!$B$16:$C$18,2,FALSE),0%)</f>
        <v>0</v>
      </c>
      <c r="ASX2" s="179">
        <f>IFERROR(VLOOKUP(ASX$1,Capital!$B$16:$C$18,2,FALSE),0%)</f>
        <v>0</v>
      </c>
      <c r="ASY2" s="179">
        <f>IFERROR(VLOOKUP(ASY$1,Capital!$B$16:$C$18,2,FALSE),0%)</f>
        <v>0</v>
      </c>
      <c r="ASZ2" s="179">
        <f>IFERROR(VLOOKUP(ASZ$1,Capital!$B$16:$C$18,2,FALSE),0%)</f>
        <v>0</v>
      </c>
      <c r="ATA2" s="179">
        <f>IFERROR(VLOOKUP(ATA$1,Capital!$B$16:$C$18,2,FALSE),0%)</f>
        <v>0</v>
      </c>
      <c r="ATB2" s="179">
        <f>IFERROR(VLOOKUP(ATB$1,Capital!$B$16:$C$18,2,FALSE),0%)</f>
        <v>0</v>
      </c>
      <c r="ATC2" s="179">
        <f>IFERROR(VLOOKUP(ATC$1,Capital!$B$16:$C$18,2,FALSE),0%)</f>
        <v>0</v>
      </c>
      <c r="ATD2" s="179">
        <f>IFERROR(VLOOKUP(ATD$1,Capital!$B$16:$C$18,2,FALSE),0%)</f>
        <v>0</v>
      </c>
      <c r="ATE2" s="179">
        <f>IFERROR(VLOOKUP(ATE$1,Capital!$B$16:$C$18,2,FALSE),0%)</f>
        <v>0</v>
      </c>
      <c r="ATF2" s="179">
        <f>IFERROR(VLOOKUP(ATF$1,Capital!$B$16:$C$18,2,FALSE),0%)</f>
        <v>0</v>
      </c>
      <c r="ATG2" s="179">
        <f>IFERROR(VLOOKUP(ATG$1,Capital!$B$16:$C$18,2,FALSE),0%)</f>
        <v>0</v>
      </c>
      <c r="ATH2" s="179">
        <f>IFERROR(VLOOKUP(ATH$1,Capital!$B$16:$C$18,2,FALSE),0%)</f>
        <v>0</v>
      </c>
      <c r="ATI2" s="179">
        <f>IFERROR(VLOOKUP(ATI$1,Capital!$B$16:$C$18,2,FALSE),0%)</f>
        <v>0</v>
      </c>
      <c r="ATJ2" s="179">
        <f>IFERROR(VLOOKUP(ATJ$1,Capital!$B$16:$C$18,2,FALSE),0%)</f>
        <v>0</v>
      </c>
      <c r="ATK2" s="179">
        <f>IFERROR(VLOOKUP(ATK$1,Capital!$B$16:$C$18,2,FALSE),0%)</f>
        <v>0</v>
      </c>
      <c r="ATL2" s="179">
        <f>IFERROR(VLOOKUP(ATL$1,Capital!$B$16:$C$18,2,FALSE),0%)</f>
        <v>0</v>
      </c>
      <c r="ATM2" s="179">
        <f>IFERROR(VLOOKUP(ATM$1,Capital!$B$16:$C$18,2,FALSE),0%)</f>
        <v>0</v>
      </c>
      <c r="ATN2" s="179">
        <f>IFERROR(VLOOKUP(ATN$1,Capital!$B$16:$C$18,2,FALSE),0%)</f>
        <v>0</v>
      </c>
      <c r="ATO2" s="179">
        <f>IFERROR(VLOOKUP(ATO$1,Capital!$B$16:$C$18,2,FALSE),0%)</f>
        <v>0</v>
      </c>
      <c r="ATP2" s="179">
        <f>IFERROR(VLOOKUP(ATP$1,Capital!$B$16:$C$18,2,FALSE),0%)</f>
        <v>0</v>
      </c>
      <c r="ATQ2" s="179">
        <f>IFERROR(VLOOKUP(ATQ$1,Capital!$B$16:$C$18,2,FALSE),0%)</f>
        <v>0</v>
      </c>
      <c r="ATR2" s="179">
        <f>IFERROR(VLOOKUP(ATR$1,Capital!$B$16:$C$18,2,FALSE),0%)</f>
        <v>0</v>
      </c>
      <c r="ATS2" s="179">
        <f>IFERROR(VLOOKUP(ATS$1,Capital!$B$16:$C$18,2,FALSE),0%)</f>
        <v>0</v>
      </c>
      <c r="ATT2" s="179">
        <f>IFERROR(VLOOKUP(ATT$1,Capital!$B$16:$C$18,2,FALSE),0%)</f>
        <v>0</v>
      </c>
      <c r="ATU2" s="179">
        <f>IFERROR(VLOOKUP(ATU$1,Capital!$B$16:$C$18,2,FALSE),0%)</f>
        <v>0</v>
      </c>
      <c r="ATV2" s="179">
        <f>IFERROR(VLOOKUP(ATV$1,Capital!$B$16:$C$18,2,FALSE),0%)</f>
        <v>0</v>
      </c>
      <c r="ATW2" s="179">
        <f>IFERROR(VLOOKUP(ATW$1,Capital!$B$16:$C$18,2,FALSE),0%)</f>
        <v>0</v>
      </c>
      <c r="ATX2" s="179">
        <f>IFERROR(VLOOKUP(ATX$1,Capital!$B$16:$C$18,2,FALSE),0%)</f>
        <v>0</v>
      </c>
      <c r="ATY2" s="179">
        <f>IFERROR(VLOOKUP(ATY$1,Capital!$B$16:$C$18,2,FALSE),0%)</f>
        <v>0</v>
      </c>
      <c r="ATZ2" s="179">
        <f>IFERROR(VLOOKUP(ATZ$1,Capital!$B$16:$C$18,2,FALSE),0%)</f>
        <v>0</v>
      </c>
      <c r="AUA2" s="179">
        <f>IFERROR(VLOOKUP(AUA$1,Capital!$B$16:$C$18,2,FALSE),0%)</f>
        <v>0</v>
      </c>
      <c r="AUB2" s="179">
        <f>IFERROR(VLOOKUP(AUB$1,Capital!$B$16:$C$18,2,FALSE),0%)</f>
        <v>0</v>
      </c>
      <c r="AUC2" s="179">
        <f>IFERROR(VLOOKUP(AUC$1,Capital!$B$16:$C$18,2,FALSE),0%)</f>
        <v>0</v>
      </c>
      <c r="AUD2" s="179">
        <f>IFERROR(VLOOKUP(AUD$1,Capital!$B$16:$C$18,2,FALSE),0%)</f>
        <v>0</v>
      </c>
      <c r="AUE2" s="179">
        <f>IFERROR(VLOOKUP(AUE$1,Capital!$B$16:$C$18,2,FALSE),0%)</f>
        <v>0</v>
      </c>
      <c r="AUF2" s="179">
        <f>IFERROR(VLOOKUP(AUF$1,Capital!$B$16:$C$18,2,FALSE),0%)</f>
        <v>0</v>
      </c>
      <c r="AUG2" s="179">
        <f>IFERROR(VLOOKUP(AUG$1,Capital!$B$16:$C$18,2,FALSE),0%)</f>
        <v>0</v>
      </c>
      <c r="AUH2" s="179">
        <f>IFERROR(VLOOKUP(AUH$1,Capital!$B$16:$C$18,2,FALSE),0%)</f>
        <v>0</v>
      </c>
      <c r="AUI2" s="179">
        <f>IFERROR(VLOOKUP(AUI$1,Capital!$B$16:$C$18,2,FALSE),0%)</f>
        <v>0</v>
      </c>
      <c r="AUJ2" s="179">
        <f>IFERROR(VLOOKUP(AUJ$1,Capital!$B$16:$C$18,2,FALSE),0%)</f>
        <v>0</v>
      </c>
      <c r="AUK2" s="179">
        <f>IFERROR(VLOOKUP(AUK$1,Capital!$B$16:$C$18,2,FALSE),0%)</f>
        <v>0</v>
      </c>
      <c r="AUL2" s="179">
        <f>IFERROR(VLOOKUP(AUL$1,Capital!$B$16:$C$18,2,FALSE),0%)</f>
        <v>0</v>
      </c>
      <c r="AUM2" s="179">
        <f>IFERROR(VLOOKUP(AUM$1,Capital!$B$16:$C$18,2,FALSE),0%)</f>
        <v>0</v>
      </c>
      <c r="AUN2" s="179">
        <f>IFERROR(VLOOKUP(AUN$1,Capital!$B$16:$C$18,2,FALSE),0%)</f>
        <v>0</v>
      </c>
      <c r="AUO2" s="179">
        <f>IFERROR(VLOOKUP(AUO$1,Capital!$B$16:$C$18,2,FALSE),0%)</f>
        <v>0</v>
      </c>
      <c r="AUP2" s="179">
        <f>IFERROR(VLOOKUP(AUP$1,Capital!$B$16:$C$18,2,FALSE),0%)</f>
        <v>0</v>
      </c>
      <c r="AUQ2" s="179">
        <f>IFERROR(VLOOKUP(AUQ$1,Capital!$B$16:$C$18,2,FALSE),0%)</f>
        <v>0</v>
      </c>
      <c r="AUR2" s="179">
        <f>IFERROR(VLOOKUP(AUR$1,Capital!$B$16:$C$18,2,FALSE),0%)</f>
        <v>0</v>
      </c>
      <c r="AUS2" s="179">
        <f>IFERROR(VLOOKUP(AUS$1,Capital!$B$16:$C$18,2,FALSE),0%)</f>
        <v>0</v>
      </c>
      <c r="AUT2" s="179">
        <f>IFERROR(VLOOKUP(AUT$1,Capital!$B$16:$C$18,2,FALSE),0%)</f>
        <v>0</v>
      </c>
      <c r="AUU2" s="179">
        <f>IFERROR(VLOOKUP(AUU$1,Capital!$B$16:$C$18,2,FALSE),0%)</f>
        <v>0</v>
      </c>
      <c r="AUV2" s="179">
        <f>IFERROR(VLOOKUP(AUV$1,Capital!$B$16:$C$18,2,FALSE),0%)</f>
        <v>0</v>
      </c>
      <c r="AUW2" s="179">
        <f>IFERROR(VLOOKUP(AUW$1,Capital!$B$16:$C$18,2,FALSE),0%)</f>
        <v>0</v>
      </c>
      <c r="AUX2" s="179">
        <f>IFERROR(VLOOKUP(AUX$1,Capital!$B$16:$C$18,2,FALSE),0%)</f>
        <v>0</v>
      </c>
      <c r="AUY2" s="179">
        <f>IFERROR(VLOOKUP(AUY$1,Capital!$B$16:$C$18,2,FALSE),0%)</f>
        <v>0</v>
      </c>
      <c r="AUZ2" s="179">
        <f>IFERROR(VLOOKUP(AUZ$1,Capital!$B$16:$C$18,2,FALSE),0%)</f>
        <v>0</v>
      </c>
      <c r="AVA2" s="179">
        <f>IFERROR(VLOOKUP(AVA$1,Capital!$B$16:$C$18,2,FALSE),0%)</f>
        <v>0</v>
      </c>
      <c r="AVB2" s="179">
        <f>IFERROR(VLOOKUP(AVB$1,Capital!$B$16:$C$18,2,FALSE),0%)</f>
        <v>0</v>
      </c>
      <c r="AVC2" s="179">
        <f>IFERROR(VLOOKUP(AVC$1,Capital!$B$16:$C$18,2,FALSE),0%)</f>
        <v>0</v>
      </c>
      <c r="AVD2" s="179">
        <f>IFERROR(VLOOKUP(AVD$1,Capital!$B$16:$C$18,2,FALSE),0%)</f>
        <v>0</v>
      </c>
      <c r="AVE2" s="179">
        <f>IFERROR(VLOOKUP(AVE$1,Capital!$B$16:$C$18,2,FALSE),0%)</f>
        <v>0</v>
      </c>
      <c r="AVF2" s="179">
        <f>IFERROR(VLOOKUP(AVF$1,Capital!$B$16:$C$18,2,FALSE),0%)</f>
        <v>0</v>
      </c>
      <c r="AVG2" s="179">
        <f>IFERROR(VLOOKUP(AVG$1,Capital!$B$16:$C$18,2,FALSE),0%)</f>
        <v>0</v>
      </c>
      <c r="AVH2" s="179">
        <f>IFERROR(VLOOKUP(AVH$1,Capital!$B$16:$C$18,2,FALSE),0%)</f>
        <v>0</v>
      </c>
      <c r="AVI2" s="179">
        <f>IFERROR(VLOOKUP(AVI$1,Capital!$B$16:$C$18,2,FALSE),0%)</f>
        <v>0</v>
      </c>
      <c r="AVJ2" s="179">
        <f>IFERROR(VLOOKUP(AVJ$1,Capital!$B$16:$C$18,2,FALSE),0%)</f>
        <v>0</v>
      </c>
      <c r="AVK2" s="179">
        <f>IFERROR(VLOOKUP(AVK$1,Capital!$B$16:$C$18,2,FALSE),0%)</f>
        <v>0</v>
      </c>
      <c r="AVL2" s="179">
        <f>IFERROR(VLOOKUP(AVL$1,Capital!$B$16:$C$18,2,FALSE),0%)</f>
        <v>0</v>
      </c>
      <c r="AVM2" s="179">
        <f>IFERROR(VLOOKUP(AVM$1,Capital!$B$16:$C$18,2,FALSE),0%)</f>
        <v>0</v>
      </c>
      <c r="AVN2" s="179">
        <f>IFERROR(VLOOKUP(AVN$1,Capital!$B$16:$C$18,2,FALSE),0%)</f>
        <v>0</v>
      </c>
      <c r="AVO2" s="179">
        <f>IFERROR(VLOOKUP(AVO$1,Capital!$B$16:$C$18,2,FALSE),0%)</f>
        <v>0</v>
      </c>
      <c r="AVP2" s="179">
        <f>IFERROR(VLOOKUP(AVP$1,Capital!$B$16:$C$18,2,FALSE),0%)</f>
        <v>0</v>
      </c>
      <c r="AVQ2" s="179">
        <f>IFERROR(VLOOKUP(AVQ$1,Capital!$B$16:$C$18,2,FALSE),0%)</f>
        <v>0</v>
      </c>
      <c r="AVR2" s="179">
        <f>IFERROR(VLOOKUP(AVR$1,Capital!$B$16:$C$18,2,FALSE),0%)</f>
        <v>0</v>
      </c>
      <c r="AVS2" s="179">
        <f>IFERROR(VLOOKUP(AVS$1,Capital!$B$16:$C$18,2,FALSE),0%)</f>
        <v>0</v>
      </c>
      <c r="AVT2" s="179">
        <f>IFERROR(VLOOKUP(AVT$1,Capital!$B$16:$C$18,2,FALSE),0%)</f>
        <v>0</v>
      </c>
      <c r="AVU2" s="179">
        <f>IFERROR(VLOOKUP(AVU$1,Capital!$B$16:$C$18,2,FALSE),0%)</f>
        <v>0</v>
      </c>
      <c r="AVV2" s="179">
        <f>IFERROR(VLOOKUP(AVV$1,Capital!$B$16:$C$18,2,FALSE),0%)</f>
        <v>0</v>
      </c>
      <c r="AVW2" s="179">
        <f>IFERROR(VLOOKUP(AVW$1,Capital!$B$16:$C$18,2,FALSE),0%)</f>
        <v>0</v>
      </c>
      <c r="AVX2" s="179">
        <f>IFERROR(VLOOKUP(AVX$1,Capital!$B$16:$C$18,2,FALSE),0%)</f>
        <v>0</v>
      </c>
      <c r="AVY2" s="179">
        <f>IFERROR(VLOOKUP(AVY$1,Capital!$B$16:$C$18,2,FALSE),0%)</f>
        <v>0</v>
      </c>
      <c r="AVZ2" s="179">
        <f>IFERROR(VLOOKUP(AVZ$1,Capital!$B$16:$C$18,2,FALSE),0%)</f>
        <v>0</v>
      </c>
      <c r="AWA2" s="179">
        <f>IFERROR(VLOOKUP(AWA$1,Capital!$B$16:$C$18,2,FALSE),0%)</f>
        <v>0</v>
      </c>
      <c r="AWB2" s="179">
        <f>IFERROR(VLOOKUP(AWB$1,Capital!$B$16:$C$18,2,FALSE),0%)</f>
        <v>0</v>
      </c>
      <c r="AWC2" s="179">
        <f>IFERROR(VLOOKUP(AWC$1,Capital!$B$16:$C$18,2,FALSE),0%)</f>
        <v>0</v>
      </c>
      <c r="AWD2" s="179">
        <f>IFERROR(VLOOKUP(AWD$1,Capital!$B$16:$C$18,2,FALSE),0%)</f>
        <v>0</v>
      </c>
      <c r="AWE2" s="179">
        <f>IFERROR(VLOOKUP(AWE$1,Capital!$B$16:$C$18,2,FALSE),0%)</f>
        <v>0</v>
      </c>
      <c r="AWF2" s="179">
        <f>IFERROR(VLOOKUP(AWF$1,Capital!$B$16:$C$18,2,FALSE),0%)</f>
        <v>0</v>
      </c>
      <c r="AWG2" s="179">
        <f>IFERROR(VLOOKUP(AWG$1,Capital!$B$16:$C$18,2,FALSE),0%)</f>
        <v>0</v>
      </c>
      <c r="AWH2" s="179">
        <f>IFERROR(VLOOKUP(AWH$1,Capital!$B$16:$C$18,2,FALSE),0%)</f>
        <v>0</v>
      </c>
      <c r="AWI2" s="179">
        <f>IFERROR(VLOOKUP(AWI$1,Capital!$B$16:$C$18,2,FALSE),0%)</f>
        <v>0</v>
      </c>
      <c r="AWJ2" s="179">
        <f>IFERROR(VLOOKUP(AWJ$1,Capital!$B$16:$C$18,2,FALSE),0%)</f>
        <v>0</v>
      </c>
      <c r="AWK2" s="179">
        <f>IFERROR(VLOOKUP(AWK$1,Capital!$B$16:$C$18,2,FALSE),0%)</f>
        <v>0</v>
      </c>
      <c r="AWL2" s="179">
        <f>IFERROR(VLOOKUP(AWL$1,Capital!$B$16:$C$18,2,FALSE),0%)</f>
        <v>0</v>
      </c>
      <c r="AWM2" s="179">
        <f>IFERROR(VLOOKUP(AWM$1,Capital!$B$16:$C$18,2,FALSE),0%)</f>
        <v>0</v>
      </c>
      <c r="AWN2" s="179">
        <f>IFERROR(VLOOKUP(AWN$1,Capital!$B$16:$C$18,2,FALSE),0%)</f>
        <v>0</v>
      </c>
      <c r="AWO2" s="179">
        <f>IFERROR(VLOOKUP(AWO$1,Capital!$B$16:$C$18,2,FALSE),0%)</f>
        <v>0</v>
      </c>
      <c r="AWP2" s="179">
        <f>IFERROR(VLOOKUP(AWP$1,Capital!$B$16:$C$18,2,FALSE),0%)</f>
        <v>0</v>
      </c>
      <c r="AWQ2" s="179">
        <f>IFERROR(VLOOKUP(AWQ$1,Capital!$B$16:$C$18,2,FALSE),0%)</f>
        <v>0</v>
      </c>
      <c r="AWR2" s="179">
        <f>IFERROR(VLOOKUP(AWR$1,Capital!$B$16:$C$18,2,FALSE),0%)</f>
        <v>0</v>
      </c>
      <c r="AWS2" s="179">
        <f>IFERROR(VLOOKUP(AWS$1,Capital!$B$16:$C$18,2,FALSE),0%)</f>
        <v>0</v>
      </c>
      <c r="AWT2" s="179">
        <f>IFERROR(VLOOKUP(AWT$1,Capital!$B$16:$C$18,2,FALSE),0%)</f>
        <v>0</v>
      </c>
      <c r="AWU2" s="179">
        <f>IFERROR(VLOOKUP(AWU$1,Capital!$B$16:$C$18,2,FALSE),0%)</f>
        <v>0</v>
      </c>
      <c r="AWV2" s="179">
        <f>IFERROR(VLOOKUP(AWV$1,Capital!$B$16:$C$18,2,FALSE),0%)</f>
        <v>0</v>
      </c>
      <c r="AWW2" s="179">
        <f>IFERROR(VLOOKUP(AWW$1,Capital!$B$16:$C$18,2,FALSE),0%)</f>
        <v>0</v>
      </c>
      <c r="AWX2" s="179">
        <f>IFERROR(VLOOKUP(AWX$1,Capital!$B$16:$C$18,2,FALSE),0%)</f>
        <v>0</v>
      </c>
      <c r="AWY2" s="179">
        <f>IFERROR(VLOOKUP(AWY$1,Capital!$B$16:$C$18,2,FALSE),0%)</f>
        <v>0</v>
      </c>
      <c r="AWZ2" s="179">
        <f>IFERROR(VLOOKUP(AWZ$1,Capital!$B$16:$C$18,2,FALSE),0%)</f>
        <v>0</v>
      </c>
      <c r="AXA2" s="179">
        <f>IFERROR(VLOOKUP(AXA$1,Capital!$B$16:$C$18,2,FALSE),0%)</f>
        <v>0</v>
      </c>
      <c r="AXB2" s="179">
        <f>IFERROR(VLOOKUP(AXB$1,Capital!$B$16:$C$18,2,FALSE),0%)</f>
        <v>0</v>
      </c>
      <c r="AXC2" s="179">
        <f>IFERROR(VLOOKUP(AXC$1,Capital!$B$16:$C$18,2,FALSE),0%)</f>
        <v>0</v>
      </c>
      <c r="AXD2" s="179">
        <f>IFERROR(VLOOKUP(AXD$1,Capital!$B$16:$C$18,2,FALSE),0%)</f>
        <v>0</v>
      </c>
      <c r="AXE2" s="179">
        <f>IFERROR(VLOOKUP(AXE$1,Capital!$B$16:$C$18,2,FALSE),0%)</f>
        <v>0</v>
      </c>
      <c r="AXF2" s="179">
        <f>IFERROR(VLOOKUP(AXF$1,Capital!$B$16:$C$18,2,FALSE),0%)</f>
        <v>0</v>
      </c>
      <c r="AXG2" s="179">
        <f>IFERROR(VLOOKUP(AXG$1,Capital!$B$16:$C$18,2,FALSE),0%)</f>
        <v>0</v>
      </c>
      <c r="AXH2" s="179">
        <f>IFERROR(VLOOKUP(AXH$1,Capital!$B$16:$C$18,2,FALSE),0%)</f>
        <v>0</v>
      </c>
      <c r="AXI2" s="179">
        <f>IFERROR(VLOOKUP(AXI$1,Capital!$B$16:$C$18,2,FALSE),0%)</f>
        <v>0</v>
      </c>
      <c r="AXJ2" s="179">
        <f>IFERROR(VLOOKUP(AXJ$1,Capital!$B$16:$C$18,2,FALSE),0%)</f>
        <v>0</v>
      </c>
      <c r="AXK2" s="179">
        <f>IFERROR(VLOOKUP(AXK$1,Capital!$B$16:$C$18,2,FALSE),0%)</f>
        <v>0</v>
      </c>
      <c r="AXL2" s="179">
        <f>IFERROR(VLOOKUP(AXL$1,Capital!$B$16:$C$18,2,FALSE),0%)</f>
        <v>0</v>
      </c>
      <c r="AXM2" s="179">
        <f>IFERROR(VLOOKUP(AXM$1,Capital!$B$16:$C$18,2,FALSE),0%)</f>
        <v>0</v>
      </c>
      <c r="AXN2" s="179">
        <f>IFERROR(VLOOKUP(AXN$1,Capital!$B$16:$C$18,2,FALSE),0%)</f>
        <v>0</v>
      </c>
      <c r="AXO2" s="179">
        <f>IFERROR(VLOOKUP(AXO$1,Capital!$B$16:$C$18,2,FALSE),0%)</f>
        <v>0</v>
      </c>
      <c r="AXP2" s="179">
        <f>IFERROR(VLOOKUP(AXP$1,Capital!$B$16:$C$18,2,FALSE),0%)</f>
        <v>0</v>
      </c>
      <c r="AXQ2" s="179">
        <f>IFERROR(VLOOKUP(AXQ$1,Capital!$B$16:$C$18,2,FALSE),0%)</f>
        <v>0</v>
      </c>
      <c r="AXR2" s="179">
        <f>IFERROR(VLOOKUP(AXR$1,Capital!$B$16:$C$18,2,FALSE),0%)</f>
        <v>0</v>
      </c>
      <c r="AXS2" s="179">
        <f>IFERROR(VLOOKUP(AXS$1,Capital!$B$16:$C$18,2,FALSE),0%)</f>
        <v>0</v>
      </c>
      <c r="AXT2" s="179">
        <f>IFERROR(VLOOKUP(AXT$1,Capital!$B$16:$C$18,2,FALSE),0%)</f>
        <v>0</v>
      </c>
      <c r="AXU2" s="179">
        <f>IFERROR(VLOOKUP(AXU$1,Capital!$B$16:$C$18,2,FALSE),0%)</f>
        <v>0</v>
      </c>
      <c r="AXV2" s="179">
        <f>IFERROR(VLOOKUP(AXV$1,Capital!$B$16:$C$18,2,FALSE),0%)</f>
        <v>0</v>
      </c>
      <c r="AXW2" s="179">
        <f>IFERROR(VLOOKUP(AXW$1,Capital!$B$16:$C$18,2,FALSE),0%)</f>
        <v>0</v>
      </c>
      <c r="AXX2" s="179">
        <f>IFERROR(VLOOKUP(AXX$1,Capital!$B$16:$C$18,2,FALSE),0%)</f>
        <v>0</v>
      </c>
      <c r="AXY2" s="179">
        <f>IFERROR(VLOOKUP(AXY$1,Capital!$B$16:$C$18,2,FALSE),0%)</f>
        <v>0</v>
      </c>
      <c r="AXZ2" s="179">
        <f>IFERROR(VLOOKUP(AXZ$1,Capital!$B$16:$C$18,2,FALSE),0%)</f>
        <v>0</v>
      </c>
      <c r="AYA2" s="179">
        <f>IFERROR(VLOOKUP(AYA$1,Capital!$B$16:$C$18,2,FALSE),0%)</f>
        <v>0</v>
      </c>
      <c r="AYB2" s="179">
        <f>IFERROR(VLOOKUP(AYB$1,Capital!$B$16:$C$18,2,FALSE),0%)</f>
        <v>0</v>
      </c>
      <c r="AYC2" s="179">
        <f>IFERROR(VLOOKUP(AYC$1,Capital!$B$16:$C$18,2,FALSE),0%)</f>
        <v>0</v>
      </c>
      <c r="AYD2" s="179">
        <f>IFERROR(VLOOKUP(AYD$1,Capital!$B$16:$C$18,2,FALSE),0%)</f>
        <v>0</v>
      </c>
      <c r="AYE2" s="179">
        <f>IFERROR(VLOOKUP(AYE$1,Capital!$B$16:$C$18,2,FALSE),0%)</f>
        <v>0</v>
      </c>
      <c r="AYF2" s="179">
        <f>IFERROR(VLOOKUP(AYF$1,Capital!$B$16:$C$18,2,FALSE),0%)</f>
        <v>0</v>
      </c>
      <c r="AYG2" s="179">
        <f>IFERROR(VLOOKUP(AYG$1,Capital!$B$16:$C$18,2,FALSE),0%)</f>
        <v>0</v>
      </c>
      <c r="AYH2" s="179">
        <f>IFERROR(VLOOKUP(AYH$1,Capital!$B$16:$C$18,2,FALSE),0%)</f>
        <v>0</v>
      </c>
      <c r="AYI2" s="179">
        <f>IFERROR(VLOOKUP(AYI$1,Capital!$B$16:$C$18,2,FALSE),0%)</f>
        <v>0</v>
      </c>
      <c r="AYJ2" s="179">
        <f>IFERROR(VLOOKUP(AYJ$1,Capital!$B$16:$C$18,2,FALSE),0%)</f>
        <v>0</v>
      </c>
      <c r="AYK2" s="179">
        <f>IFERROR(VLOOKUP(AYK$1,Capital!$B$16:$C$18,2,FALSE),0%)</f>
        <v>0</v>
      </c>
      <c r="AYL2" s="179">
        <f>IFERROR(VLOOKUP(AYL$1,Capital!$B$16:$C$18,2,FALSE),0%)</f>
        <v>0</v>
      </c>
      <c r="AYM2" s="179">
        <f>IFERROR(VLOOKUP(AYM$1,Capital!$B$16:$C$18,2,FALSE),0%)</f>
        <v>0</v>
      </c>
      <c r="AYN2" s="179">
        <f>IFERROR(VLOOKUP(AYN$1,Capital!$B$16:$C$18,2,FALSE),0%)</f>
        <v>0</v>
      </c>
      <c r="AYO2" s="179">
        <f>IFERROR(VLOOKUP(AYO$1,Capital!$B$16:$C$18,2,FALSE),0%)</f>
        <v>0</v>
      </c>
      <c r="AYP2" s="179">
        <f>IFERROR(VLOOKUP(AYP$1,Capital!$B$16:$C$18,2,FALSE),0%)</f>
        <v>0</v>
      </c>
      <c r="AYQ2" s="179">
        <f>IFERROR(VLOOKUP(AYQ$1,Capital!$B$16:$C$18,2,FALSE),0%)</f>
        <v>0</v>
      </c>
      <c r="AYR2" s="179">
        <f>IFERROR(VLOOKUP(AYR$1,Capital!$B$16:$C$18,2,FALSE),0%)</f>
        <v>0</v>
      </c>
      <c r="AYS2" s="179">
        <f>IFERROR(VLOOKUP(AYS$1,Capital!$B$16:$C$18,2,FALSE),0%)</f>
        <v>0</v>
      </c>
      <c r="AYT2" s="179">
        <f>IFERROR(VLOOKUP(AYT$1,Capital!$B$16:$C$18,2,FALSE),0%)</f>
        <v>0</v>
      </c>
      <c r="AYU2" s="179">
        <f>IFERROR(VLOOKUP(AYU$1,Capital!$B$16:$C$18,2,FALSE),0%)</f>
        <v>0</v>
      </c>
      <c r="AYV2" s="179">
        <f>IFERROR(VLOOKUP(AYV$1,Capital!$B$16:$C$18,2,FALSE),0%)</f>
        <v>0</v>
      </c>
      <c r="AYW2" s="179">
        <f>IFERROR(VLOOKUP(AYW$1,Capital!$B$16:$C$18,2,FALSE),0%)</f>
        <v>0</v>
      </c>
      <c r="AYX2" s="179">
        <f>IFERROR(VLOOKUP(AYX$1,Capital!$B$16:$C$18,2,FALSE),0%)</f>
        <v>0</v>
      </c>
      <c r="AYY2" s="179">
        <f>IFERROR(VLOOKUP(AYY$1,Capital!$B$16:$C$18,2,FALSE),0%)</f>
        <v>0</v>
      </c>
      <c r="AYZ2" s="179">
        <f>IFERROR(VLOOKUP(AYZ$1,Capital!$B$16:$C$18,2,FALSE),0%)</f>
        <v>0</v>
      </c>
      <c r="AZA2" s="179">
        <f>IFERROR(VLOOKUP(AZA$1,Capital!$B$16:$C$18,2,FALSE),0%)</f>
        <v>0</v>
      </c>
      <c r="AZB2" s="179">
        <f>IFERROR(VLOOKUP(AZB$1,Capital!$B$16:$C$18,2,FALSE),0%)</f>
        <v>0</v>
      </c>
      <c r="AZC2" s="179">
        <f>IFERROR(VLOOKUP(AZC$1,Capital!$B$16:$C$18,2,FALSE),0%)</f>
        <v>0</v>
      </c>
      <c r="AZD2" s="179">
        <f>IFERROR(VLOOKUP(AZD$1,Capital!$B$16:$C$18,2,FALSE),0%)</f>
        <v>0</v>
      </c>
      <c r="AZE2" s="179">
        <f>IFERROR(VLOOKUP(AZE$1,Capital!$B$16:$C$18,2,FALSE),0%)</f>
        <v>0</v>
      </c>
      <c r="AZF2" s="179">
        <f>IFERROR(VLOOKUP(AZF$1,Capital!$B$16:$C$18,2,FALSE),0%)</f>
        <v>0</v>
      </c>
      <c r="AZG2" s="179">
        <f>IFERROR(VLOOKUP(AZG$1,Capital!$B$16:$C$18,2,FALSE),0%)</f>
        <v>0</v>
      </c>
      <c r="AZH2" s="179">
        <f>IFERROR(VLOOKUP(AZH$1,Capital!$B$16:$C$18,2,FALSE),0%)</f>
        <v>0</v>
      </c>
      <c r="AZI2" s="179">
        <f>IFERROR(VLOOKUP(AZI$1,Capital!$B$16:$C$18,2,FALSE),0%)</f>
        <v>0</v>
      </c>
      <c r="AZJ2" s="179">
        <f>IFERROR(VLOOKUP(AZJ$1,Capital!$B$16:$C$18,2,FALSE),0%)</f>
        <v>0</v>
      </c>
      <c r="AZK2" s="179">
        <f>IFERROR(VLOOKUP(AZK$1,Capital!$B$16:$C$18,2,FALSE),0%)</f>
        <v>0</v>
      </c>
      <c r="AZL2" s="179">
        <f>IFERROR(VLOOKUP(AZL$1,Capital!$B$16:$C$18,2,FALSE),0%)</f>
        <v>0</v>
      </c>
      <c r="AZM2" s="179">
        <f>IFERROR(VLOOKUP(AZM$1,Capital!$B$16:$C$18,2,FALSE),0%)</f>
        <v>0</v>
      </c>
      <c r="AZN2" s="179">
        <f>IFERROR(VLOOKUP(AZN$1,Capital!$B$16:$C$18,2,FALSE),0%)</f>
        <v>0</v>
      </c>
      <c r="AZO2" s="179">
        <f>IFERROR(VLOOKUP(AZO$1,Capital!$B$16:$C$18,2,FALSE),0%)</f>
        <v>0</v>
      </c>
      <c r="AZP2" s="179">
        <f>IFERROR(VLOOKUP(AZP$1,Capital!$B$16:$C$18,2,FALSE),0%)</f>
        <v>0</v>
      </c>
      <c r="AZQ2" s="179">
        <f>IFERROR(VLOOKUP(AZQ$1,Capital!$B$16:$C$18,2,FALSE),0%)</f>
        <v>0</v>
      </c>
      <c r="AZR2" s="179">
        <f>IFERROR(VLOOKUP(AZR$1,Capital!$B$16:$C$18,2,FALSE),0%)</f>
        <v>0</v>
      </c>
      <c r="AZS2" s="179">
        <f>IFERROR(VLOOKUP(AZS$1,Capital!$B$16:$C$18,2,FALSE),0%)</f>
        <v>0</v>
      </c>
      <c r="AZT2" s="179">
        <f>IFERROR(VLOOKUP(AZT$1,Capital!$B$16:$C$18,2,FALSE),0%)</f>
        <v>0</v>
      </c>
      <c r="AZU2" s="179">
        <f>IFERROR(VLOOKUP(AZU$1,Capital!$B$16:$C$18,2,FALSE),0%)</f>
        <v>0</v>
      </c>
      <c r="AZV2" s="179">
        <f>IFERROR(VLOOKUP(AZV$1,Capital!$B$16:$C$18,2,FALSE),0%)</f>
        <v>0</v>
      </c>
      <c r="AZW2" s="179">
        <f>IFERROR(VLOOKUP(AZW$1,Capital!$B$16:$C$18,2,FALSE),0%)</f>
        <v>0</v>
      </c>
      <c r="AZX2" s="179">
        <f>IFERROR(VLOOKUP(AZX$1,Capital!$B$16:$C$18,2,FALSE),0%)</f>
        <v>0</v>
      </c>
      <c r="AZY2" s="179">
        <f>IFERROR(VLOOKUP(AZY$1,Capital!$B$16:$C$18,2,FALSE),0%)</f>
        <v>0</v>
      </c>
      <c r="AZZ2" s="179">
        <f>IFERROR(VLOOKUP(AZZ$1,Capital!$B$16:$C$18,2,FALSE),0%)</f>
        <v>0</v>
      </c>
      <c r="BAA2" s="179">
        <f>IFERROR(VLOOKUP(BAA$1,Capital!$B$16:$C$18,2,FALSE),0%)</f>
        <v>0</v>
      </c>
      <c r="BAB2" s="179">
        <f>IFERROR(VLOOKUP(BAB$1,Capital!$B$16:$C$18,2,FALSE),0%)</f>
        <v>0</v>
      </c>
      <c r="BAC2" s="179">
        <f>IFERROR(VLOOKUP(BAC$1,Capital!$B$16:$C$18,2,FALSE),0%)</f>
        <v>0</v>
      </c>
      <c r="BAD2" s="179">
        <f>IFERROR(VLOOKUP(BAD$1,Capital!$B$16:$C$18,2,FALSE),0%)</f>
        <v>0</v>
      </c>
      <c r="BAE2" s="179">
        <f>IFERROR(VLOOKUP(BAE$1,Capital!$B$16:$C$18,2,FALSE),0%)</f>
        <v>0</v>
      </c>
      <c r="BAF2" s="179">
        <f>IFERROR(VLOOKUP(BAF$1,Capital!$B$16:$C$18,2,FALSE),0%)</f>
        <v>0</v>
      </c>
      <c r="BAG2" s="179">
        <f>IFERROR(VLOOKUP(BAG$1,Capital!$B$16:$C$18,2,FALSE),0%)</f>
        <v>0</v>
      </c>
      <c r="BAH2" s="179">
        <f>IFERROR(VLOOKUP(BAH$1,Capital!$B$16:$C$18,2,FALSE),0%)</f>
        <v>0</v>
      </c>
      <c r="BAI2" s="179">
        <f>IFERROR(VLOOKUP(BAI$1,Capital!$B$16:$C$18,2,FALSE),0%)</f>
        <v>0</v>
      </c>
      <c r="BAJ2" s="179">
        <f>IFERROR(VLOOKUP(BAJ$1,Capital!$B$16:$C$18,2,FALSE),0%)</f>
        <v>0</v>
      </c>
      <c r="BAK2" s="179">
        <f>IFERROR(VLOOKUP(BAK$1,Capital!$B$16:$C$18,2,FALSE),0%)</f>
        <v>0</v>
      </c>
      <c r="BAL2" s="179">
        <f>IFERROR(VLOOKUP(BAL$1,Capital!$B$16:$C$18,2,FALSE),0%)</f>
        <v>0</v>
      </c>
      <c r="BAM2" s="179">
        <f>IFERROR(VLOOKUP(BAM$1,Capital!$B$16:$C$18,2,FALSE),0%)</f>
        <v>0</v>
      </c>
      <c r="BAN2" s="179">
        <f>IFERROR(VLOOKUP(BAN$1,Capital!$B$16:$C$18,2,FALSE),0%)</f>
        <v>0</v>
      </c>
      <c r="BAO2" s="179">
        <f>IFERROR(VLOOKUP(BAO$1,Capital!$B$16:$C$18,2,FALSE),0%)</f>
        <v>0</v>
      </c>
      <c r="BAP2" s="179">
        <f>IFERROR(VLOOKUP(BAP$1,Capital!$B$16:$C$18,2,FALSE),0%)</f>
        <v>0</v>
      </c>
      <c r="BAQ2" s="179">
        <f>IFERROR(VLOOKUP(BAQ$1,Capital!$B$16:$C$18,2,FALSE),0%)</f>
        <v>0</v>
      </c>
      <c r="BAR2" s="179">
        <f>IFERROR(VLOOKUP(BAR$1,Capital!$B$16:$C$18,2,FALSE),0%)</f>
        <v>0</v>
      </c>
      <c r="BAS2" s="179">
        <f>IFERROR(VLOOKUP(BAS$1,Capital!$B$16:$C$18,2,FALSE),0%)</f>
        <v>0</v>
      </c>
      <c r="BAT2" s="179">
        <f>IFERROR(VLOOKUP(BAT$1,Capital!$B$16:$C$18,2,FALSE),0%)</f>
        <v>0</v>
      </c>
      <c r="BAU2" s="179">
        <f>IFERROR(VLOOKUP(BAU$1,Capital!$B$16:$C$18,2,FALSE),0%)</f>
        <v>0</v>
      </c>
      <c r="BAV2" s="179">
        <f>IFERROR(VLOOKUP(BAV$1,Capital!$B$16:$C$18,2,FALSE),0%)</f>
        <v>0</v>
      </c>
      <c r="BAW2" s="179">
        <f>IFERROR(VLOOKUP(BAW$1,Capital!$B$16:$C$18,2,FALSE),0%)</f>
        <v>0</v>
      </c>
      <c r="BAX2" s="179">
        <f>IFERROR(VLOOKUP(BAX$1,Capital!$B$16:$C$18,2,FALSE),0%)</f>
        <v>0</v>
      </c>
      <c r="BAY2" s="179">
        <f>IFERROR(VLOOKUP(BAY$1,Capital!$B$16:$C$18,2,FALSE),0%)</f>
        <v>0</v>
      </c>
      <c r="BAZ2" s="179">
        <f>IFERROR(VLOOKUP(BAZ$1,Capital!$B$16:$C$18,2,FALSE),0%)</f>
        <v>0</v>
      </c>
      <c r="BBA2" s="179">
        <f>IFERROR(VLOOKUP(BBA$1,Capital!$B$16:$C$18,2,FALSE),0%)</f>
        <v>0</v>
      </c>
      <c r="BBB2" s="179">
        <f>IFERROR(VLOOKUP(BBB$1,Capital!$B$16:$C$18,2,FALSE),0%)</f>
        <v>0</v>
      </c>
      <c r="BBC2" s="179">
        <f>IFERROR(VLOOKUP(BBC$1,Capital!$B$16:$C$18,2,FALSE),0%)</f>
        <v>0</v>
      </c>
      <c r="BBD2" s="179">
        <f>IFERROR(VLOOKUP(BBD$1,Capital!$B$16:$C$18,2,FALSE),0%)</f>
        <v>0</v>
      </c>
      <c r="BBE2" s="179">
        <f>IFERROR(VLOOKUP(BBE$1,Capital!$B$16:$C$18,2,FALSE),0%)</f>
        <v>0</v>
      </c>
      <c r="BBF2" s="179">
        <f>IFERROR(VLOOKUP(BBF$1,Capital!$B$16:$C$18,2,FALSE),0%)</f>
        <v>0</v>
      </c>
      <c r="BBG2" s="179">
        <f>IFERROR(VLOOKUP(BBG$1,Capital!$B$16:$C$18,2,FALSE),0%)</f>
        <v>0</v>
      </c>
      <c r="BBH2" s="179">
        <f>IFERROR(VLOOKUP(BBH$1,Capital!$B$16:$C$18,2,FALSE),0%)</f>
        <v>0</v>
      </c>
      <c r="BBI2" s="179">
        <f>IFERROR(VLOOKUP(BBI$1,Capital!$B$16:$C$18,2,FALSE),0%)</f>
        <v>0</v>
      </c>
      <c r="BBJ2" s="179">
        <f>IFERROR(VLOOKUP(BBJ$1,Capital!$B$16:$C$18,2,FALSE),0%)</f>
        <v>0</v>
      </c>
      <c r="BBK2" s="179">
        <f>IFERROR(VLOOKUP(BBK$1,Capital!$B$16:$C$18,2,FALSE),0%)</f>
        <v>0</v>
      </c>
      <c r="BBL2" s="179">
        <f>IFERROR(VLOOKUP(BBL$1,Capital!$B$16:$C$18,2,FALSE),0%)</f>
        <v>0</v>
      </c>
      <c r="BBM2" s="179">
        <f>IFERROR(VLOOKUP(BBM$1,Capital!$B$16:$C$18,2,FALSE),0%)</f>
        <v>0</v>
      </c>
      <c r="BBN2" s="179">
        <f>IFERROR(VLOOKUP(BBN$1,Capital!$B$16:$C$18,2,FALSE),0%)</f>
        <v>0</v>
      </c>
      <c r="BBO2" s="179">
        <f>IFERROR(VLOOKUP(BBO$1,Capital!$B$16:$C$18,2,FALSE),0%)</f>
        <v>0</v>
      </c>
      <c r="BBP2" s="179">
        <f>IFERROR(VLOOKUP(BBP$1,Capital!$B$16:$C$18,2,FALSE),0%)</f>
        <v>0</v>
      </c>
      <c r="BBQ2" s="179">
        <f>IFERROR(VLOOKUP(BBQ$1,Capital!$B$16:$C$18,2,FALSE),0%)</f>
        <v>0</v>
      </c>
      <c r="BBR2" s="179">
        <f>IFERROR(VLOOKUP(BBR$1,Capital!$B$16:$C$18,2,FALSE),0%)</f>
        <v>0</v>
      </c>
      <c r="BBS2" s="179">
        <f>IFERROR(VLOOKUP(BBS$1,Capital!$B$16:$C$18,2,FALSE),0%)</f>
        <v>0</v>
      </c>
      <c r="BBT2" s="179">
        <f>IFERROR(VLOOKUP(BBT$1,Capital!$B$16:$C$18,2,FALSE),0%)</f>
        <v>0</v>
      </c>
      <c r="BBU2" s="179">
        <f>IFERROR(VLOOKUP(BBU$1,Capital!$B$16:$C$18,2,FALSE),0%)</f>
        <v>0</v>
      </c>
      <c r="BBV2" s="179">
        <f>IFERROR(VLOOKUP(BBV$1,Capital!$B$16:$C$18,2,FALSE),0%)</f>
        <v>0</v>
      </c>
      <c r="BBW2" s="179">
        <f>IFERROR(VLOOKUP(BBW$1,Capital!$B$16:$C$18,2,FALSE),0%)</f>
        <v>0</v>
      </c>
      <c r="BBX2" s="179">
        <f>IFERROR(VLOOKUP(BBX$1,Capital!$B$16:$C$18,2,FALSE),0%)</f>
        <v>0</v>
      </c>
      <c r="BBY2" s="179">
        <f>IFERROR(VLOOKUP(BBY$1,Capital!$B$16:$C$18,2,FALSE),0%)</f>
        <v>0</v>
      </c>
      <c r="BBZ2" s="179">
        <f>IFERROR(VLOOKUP(BBZ$1,Capital!$B$16:$C$18,2,FALSE),0%)</f>
        <v>0</v>
      </c>
      <c r="BCA2" s="179">
        <f>IFERROR(VLOOKUP(BCA$1,Capital!$B$16:$C$18,2,FALSE),0%)</f>
        <v>0</v>
      </c>
      <c r="BCB2" s="179">
        <f>IFERROR(VLOOKUP(BCB$1,Capital!$B$16:$C$18,2,FALSE),0%)</f>
        <v>0</v>
      </c>
      <c r="BCC2" s="179">
        <f>IFERROR(VLOOKUP(BCC$1,Capital!$B$16:$C$18,2,FALSE),0%)</f>
        <v>0</v>
      </c>
      <c r="BCD2" s="179">
        <f>IFERROR(VLOOKUP(BCD$1,Capital!$B$16:$C$18,2,FALSE),0%)</f>
        <v>0</v>
      </c>
      <c r="BCE2" s="179">
        <f>IFERROR(VLOOKUP(BCE$1,Capital!$B$16:$C$18,2,FALSE),0%)</f>
        <v>0</v>
      </c>
      <c r="BCF2" s="179">
        <f>IFERROR(VLOOKUP(BCF$1,Capital!$B$16:$C$18,2,FALSE),0%)</f>
        <v>0</v>
      </c>
      <c r="BCG2" s="179">
        <f>IFERROR(VLOOKUP(BCG$1,Capital!$B$16:$C$18,2,FALSE),0%)</f>
        <v>0</v>
      </c>
      <c r="BCH2" s="179">
        <f>IFERROR(VLOOKUP(BCH$1,Capital!$B$16:$C$18,2,FALSE),0%)</f>
        <v>0</v>
      </c>
      <c r="BCI2" s="179">
        <f>IFERROR(VLOOKUP(BCI$1,Capital!$B$16:$C$18,2,FALSE),0%)</f>
        <v>0</v>
      </c>
      <c r="BCJ2" s="179">
        <f>IFERROR(VLOOKUP(BCJ$1,Capital!$B$16:$C$18,2,FALSE),0%)</f>
        <v>0</v>
      </c>
      <c r="BCK2" s="179">
        <f>IFERROR(VLOOKUP(BCK$1,Capital!$B$16:$C$18,2,FALSE),0%)</f>
        <v>0</v>
      </c>
      <c r="BCL2" s="179">
        <f>IFERROR(VLOOKUP(BCL$1,Capital!$B$16:$C$18,2,FALSE),0%)</f>
        <v>0</v>
      </c>
      <c r="BCM2" s="179">
        <f>IFERROR(VLOOKUP(BCM$1,Capital!$B$16:$C$18,2,FALSE),0%)</f>
        <v>0</v>
      </c>
      <c r="BCN2" s="179">
        <f>IFERROR(VLOOKUP(BCN$1,Capital!$B$16:$C$18,2,FALSE),0%)</f>
        <v>0</v>
      </c>
      <c r="BCO2" s="179">
        <f>IFERROR(VLOOKUP(BCO$1,Capital!$B$16:$C$18,2,FALSE),0%)</f>
        <v>0</v>
      </c>
      <c r="BCP2" s="179">
        <f>IFERROR(VLOOKUP(BCP$1,Capital!$B$16:$C$18,2,FALSE),0%)</f>
        <v>0</v>
      </c>
      <c r="BCQ2" s="179">
        <f>IFERROR(VLOOKUP(BCQ$1,Capital!$B$16:$C$18,2,FALSE),0%)</f>
        <v>0.3333</v>
      </c>
      <c r="BCR2" s="179">
        <f>IFERROR(VLOOKUP(BCR$1,Capital!$B$16:$C$18,2,FALSE),0%)</f>
        <v>0</v>
      </c>
      <c r="BCS2" s="179">
        <f>IFERROR(VLOOKUP(BCS$1,Capital!$B$16:$C$18,2,FALSE),0%)</f>
        <v>0</v>
      </c>
      <c r="BCT2" s="179">
        <f>IFERROR(VLOOKUP(BCT$1,Capital!$B$16:$C$18,2,FALSE),0%)</f>
        <v>0</v>
      </c>
      <c r="BCU2" s="179">
        <f>IFERROR(VLOOKUP(BCU$1,Capital!$B$16:$C$18,2,FALSE),0%)</f>
        <v>0</v>
      </c>
      <c r="BCV2" s="179">
        <f>IFERROR(VLOOKUP(BCV$1,Capital!$B$16:$C$18,2,FALSE),0%)</f>
        <v>0</v>
      </c>
      <c r="BCW2" s="179">
        <f>IFERROR(VLOOKUP(BCW$1,Capital!$B$16:$C$18,2,FALSE),0%)</f>
        <v>0.3333</v>
      </c>
      <c r="BCX2" s="179">
        <f>IFERROR(VLOOKUP(BCX$1,Capital!$B$16:$C$18,2,FALSE),0%)</f>
        <v>0</v>
      </c>
      <c r="BCY2" s="179">
        <f>IFERROR(VLOOKUP(BCY$1,Capital!$B$16:$C$18,2,FALSE),0%)</f>
        <v>0</v>
      </c>
      <c r="BCZ2" s="179">
        <f>IFERROR(VLOOKUP(BCZ$1,Capital!$B$16:$C$18,2,FALSE),0%)</f>
        <v>0</v>
      </c>
      <c r="BDA2" s="179">
        <f>IFERROR(VLOOKUP(BDA$1,Capital!$B$16:$C$18,2,FALSE),0%)</f>
        <v>0</v>
      </c>
      <c r="BDB2" s="179">
        <f>IFERROR(VLOOKUP(BDB$1,Capital!$B$16:$C$18,2,FALSE),0%)</f>
        <v>0</v>
      </c>
      <c r="BDC2" s="179">
        <f>IFERROR(VLOOKUP(BDC$1,Capital!$B$16:$C$18,2,FALSE),0%)</f>
        <v>0</v>
      </c>
      <c r="BDD2" s="179">
        <f>IFERROR(VLOOKUP(BDD$1,Capital!$B$16:$C$18,2,FALSE),0%)</f>
        <v>0</v>
      </c>
      <c r="BDE2" s="179">
        <f>IFERROR(VLOOKUP(BDE$1,Capital!$B$16:$C$18,2,FALSE),0%)</f>
        <v>0</v>
      </c>
      <c r="BDF2" s="179">
        <f>IFERROR(VLOOKUP(BDF$1,Capital!$B$16:$C$18,2,FALSE),0%)</f>
        <v>0</v>
      </c>
      <c r="BDG2" s="179">
        <f>IFERROR(VLOOKUP(BDG$1,Capital!$B$16:$C$18,2,FALSE),0%)</f>
        <v>0</v>
      </c>
      <c r="BDH2" s="179">
        <f>IFERROR(VLOOKUP(BDH$1,Capital!$B$16:$C$18,2,FALSE),0%)</f>
        <v>0</v>
      </c>
      <c r="BDI2" s="179">
        <f>IFERROR(VLOOKUP(BDI$1,Capital!$B$16:$C$18,2,FALSE),0%)</f>
        <v>0</v>
      </c>
      <c r="BDJ2" s="179">
        <f>IFERROR(VLOOKUP(BDJ$1,Capital!$B$16:$C$18,2,FALSE),0%)</f>
        <v>0</v>
      </c>
      <c r="BDK2" s="179">
        <f>IFERROR(VLOOKUP(BDK$1,Capital!$B$16:$C$18,2,FALSE),0%)</f>
        <v>0</v>
      </c>
      <c r="BDL2" s="179">
        <f>IFERROR(VLOOKUP(BDL$1,Capital!$B$16:$C$18,2,FALSE),0%)</f>
        <v>0</v>
      </c>
      <c r="BDM2" s="179">
        <f>IFERROR(VLOOKUP(BDM$1,Capital!$B$16:$C$18,2,FALSE),0%)</f>
        <v>0</v>
      </c>
      <c r="BDN2" s="179">
        <f>IFERROR(VLOOKUP(BDN$1,Capital!$B$16:$C$18,2,FALSE),0%)</f>
        <v>0</v>
      </c>
      <c r="BDO2" s="179">
        <f>IFERROR(VLOOKUP(BDO$1,Capital!$B$16:$C$18,2,FALSE),0%)</f>
        <v>0</v>
      </c>
      <c r="BDP2" s="179">
        <f>IFERROR(VLOOKUP(BDP$1,Capital!$B$16:$C$18,2,FALSE),0%)</f>
        <v>0</v>
      </c>
      <c r="BDQ2" s="179">
        <f>IFERROR(VLOOKUP(BDQ$1,Capital!$B$16:$C$18,2,FALSE),0%)</f>
        <v>0</v>
      </c>
      <c r="BDR2" s="179">
        <f>IFERROR(VLOOKUP(BDR$1,Capital!$B$16:$C$18,2,FALSE),0%)</f>
        <v>0</v>
      </c>
      <c r="BDS2" s="179">
        <f>IFERROR(VLOOKUP(BDS$1,Capital!$B$16:$C$18,2,FALSE),0%)</f>
        <v>0</v>
      </c>
      <c r="BDT2" s="179">
        <f>IFERROR(VLOOKUP(BDT$1,Capital!$B$16:$C$18,2,FALSE),0%)</f>
        <v>0</v>
      </c>
      <c r="BDU2" s="179">
        <f>IFERROR(VLOOKUP(BDU$1,Capital!$B$16:$C$18,2,FALSE),0%)</f>
        <v>0</v>
      </c>
      <c r="BDV2" s="179">
        <f>IFERROR(VLOOKUP(BDV$1,Capital!$B$16:$C$18,2,FALSE),0%)</f>
        <v>0</v>
      </c>
      <c r="BDW2" s="179">
        <f>IFERROR(VLOOKUP(BDW$1,Capital!$B$16:$C$18,2,FALSE),0%)</f>
        <v>0</v>
      </c>
      <c r="BDX2" s="179">
        <f>IFERROR(VLOOKUP(BDX$1,Capital!$B$16:$C$18,2,FALSE),0%)</f>
        <v>0</v>
      </c>
      <c r="BDY2" s="179">
        <f>IFERROR(VLOOKUP(BDY$1,Capital!$B$16:$C$18,2,FALSE),0%)</f>
        <v>0</v>
      </c>
      <c r="BDZ2" s="179">
        <f>IFERROR(VLOOKUP(BDZ$1,Capital!$B$16:$C$18,2,FALSE),0%)</f>
        <v>0</v>
      </c>
      <c r="BEA2" s="179">
        <f>IFERROR(VLOOKUP(BEA$1,Capital!$B$16:$C$18,2,FALSE),0%)</f>
        <v>0</v>
      </c>
      <c r="BEB2" s="179">
        <f>IFERROR(VLOOKUP(BEB$1,Capital!$B$16:$C$18,2,FALSE),0%)</f>
        <v>0</v>
      </c>
      <c r="BEC2" s="179">
        <f>IFERROR(VLOOKUP(BEC$1,Capital!$B$16:$C$18,2,FALSE),0%)</f>
        <v>0</v>
      </c>
      <c r="BED2" s="179">
        <f>IFERROR(VLOOKUP(BED$1,Capital!$B$16:$C$18,2,FALSE),0%)</f>
        <v>0</v>
      </c>
      <c r="BEE2" s="179">
        <f>IFERROR(VLOOKUP(BEE$1,Capital!$B$16:$C$18,2,FALSE),0%)</f>
        <v>0</v>
      </c>
      <c r="BEF2" s="179">
        <f>IFERROR(VLOOKUP(BEF$1,Capital!$B$16:$C$18,2,FALSE),0%)</f>
        <v>0</v>
      </c>
      <c r="BEG2" s="179">
        <f>IFERROR(VLOOKUP(BEG$1,Capital!$B$16:$C$18,2,FALSE),0%)</f>
        <v>0</v>
      </c>
      <c r="BEH2" s="179">
        <f>IFERROR(VLOOKUP(BEH$1,Capital!$B$16:$C$18,2,FALSE),0%)</f>
        <v>0</v>
      </c>
      <c r="BEI2" s="179">
        <f>IFERROR(VLOOKUP(BEI$1,Capital!$B$16:$C$18,2,FALSE),0%)</f>
        <v>0</v>
      </c>
      <c r="BEJ2" s="179">
        <f>IFERROR(VLOOKUP(BEJ$1,Capital!$B$16:$C$18,2,FALSE),0%)</f>
        <v>0</v>
      </c>
      <c r="BEK2" s="179">
        <f>IFERROR(VLOOKUP(BEK$1,Capital!$B$16:$C$18,2,FALSE),0%)</f>
        <v>0</v>
      </c>
      <c r="BEL2" s="179">
        <f>IFERROR(VLOOKUP(BEL$1,Capital!$B$16:$C$18,2,FALSE),0%)</f>
        <v>0</v>
      </c>
      <c r="BEM2" s="179">
        <f>IFERROR(VLOOKUP(BEM$1,Capital!$B$16:$C$18,2,FALSE),0%)</f>
        <v>0</v>
      </c>
      <c r="BEN2" s="179">
        <f>IFERROR(VLOOKUP(BEN$1,Capital!$B$16:$C$18,2,FALSE),0%)</f>
        <v>0</v>
      </c>
      <c r="BEO2" s="179">
        <f>IFERROR(VLOOKUP(BEO$1,Capital!$B$16:$C$18,2,FALSE),0%)</f>
        <v>0</v>
      </c>
      <c r="BEP2" s="179">
        <f>IFERROR(VLOOKUP(BEP$1,Capital!$B$16:$C$18,2,FALSE),0%)</f>
        <v>0</v>
      </c>
      <c r="BEQ2" s="179">
        <f>IFERROR(VLOOKUP(BEQ$1,Capital!$B$16:$C$18,2,FALSE),0%)</f>
        <v>0</v>
      </c>
      <c r="BER2" s="179">
        <f>IFERROR(VLOOKUP(BER$1,Capital!$B$16:$C$18,2,FALSE),0%)</f>
        <v>0</v>
      </c>
      <c r="BES2" s="179">
        <f>IFERROR(VLOOKUP(BES$1,Capital!$B$16:$C$18,2,FALSE),0%)</f>
        <v>0</v>
      </c>
      <c r="BET2" s="179">
        <f>IFERROR(VLOOKUP(BET$1,Capital!$B$16:$C$18,2,FALSE),0%)</f>
        <v>0</v>
      </c>
      <c r="BEU2" s="179">
        <f>IFERROR(VLOOKUP(BEU$1,Capital!$B$16:$C$18,2,FALSE),0%)</f>
        <v>0</v>
      </c>
      <c r="BEV2" s="179">
        <f>IFERROR(VLOOKUP(BEV$1,Capital!$B$16:$C$18,2,FALSE),0%)</f>
        <v>0</v>
      </c>
      <c r="BEW2" s="179">
        <f>IFERROR(VLOOKUP(BEW$1,Capital!$B$16:$C$18,2,FALSE),0%)</f>
        <v>0</v>
      </c>
      <c r="BEX2" s="179">
        <f>IFERROR(VLOOKUP(BEX$1,Capital!$B$16:$C$18,2,FALSE),0%)</f>
        <v>0</v>
      </c>
      <c r="BEY2" s="179">
        <f>IFERROR(VLOOKUP(BEY$1,Capital!$B$16:$C$18,2,FALSE),0%)</f>
        <v>0</v>
      </c>
      <c r="BEZ2" s="179">
        <f>IFERROR(VLOOKUP(BEZ$1,Capital!$B$16:$C$18,2,FALSE),0%)</f>
        <v>0</v>
      </c>
      <c r="BFA2" s="179">
        <f>IFERROR(VLOOKUP(BFA$1,Capital!$B$16:$C$18,2,FALSE),0%)</f>
        <v>0</v>
      </c>
      <c r="BFB2" s="179">
        <f>IFERROR(VLOOKUP(BFB$1,Capital!$B$16:$C$18,2,FALSE),0%)</f>
        <v>0</v>
      </c>
      <c r="BFC2" s="179">
        <f>IFERROR(VLOOKUP(BFC$1,Capital!$B$16:$C$18,2,FALSE),0%)</f>
        <v>0</v>
      </c>
      <c r="BFD2" s="179">
        <f>IFERROR(VLOOKUP(BFD$1,Capital!$B$16:$C$18,2,FALSE),0%)</f>
        <v>0</v>
      </c>
      <c r="BFE2" s="179">
        <f>IFERROR(VLOOKUP(BFE$1,Capital!$B$16:$C$18,2,FALSE),0%)</f>
        <v>0</v>
      </c>
      <c r="BFF2" s="179">
        <f>IFERROR(VLOOKUP(BFF$1,Capital!$B$16:$C$18,2,FALSE),0%)</f>
        <v>0</v>
      </c>
      <c r="BFG2" s="179">
        <f>IFERROR(VLOOKUP(BFG$1,Capital!$B$16:$C$18,2,FALSE),0%)</f>
        <v>0</v>
      </c>
      <c r="BFH2" s="179">
        <f>IFERROR(VLOOKUP(BFH$1,Capital!$B$16:$C$18,2,FALSE),0%)</f>
        <v>0</v>
      </c>
      <c r="BFI2" s="179">
        <f>IFERROR(VLOOKUP(BFI$1,Capital!$B$16:$C$18,2,FALSE),0%)</f>
        <v>0</v>
      </c>
      <c r="BFJ2" s="179">
        <f>IFERROR(VLOOKUP(BFJ$1,Capital!$B$16:$C$18,2,FALSE),0%)</f>
        <v>0</v>
      </c>
      <c r="BFK2" s="179">
        <f>IFERROR(VLOOKUP(BFK$1,Capital!$B$16:$C$18,2,FALSE),0%)</f>
        <v>0</v>
      </c>
      <c r="BFL2" s="179">
        <f>IFERROR(VLOOKUP(BFL$1,Capital!$B$16:$C$18,2,FALSE),0%)</f>
        <v>0</v>
      </c>
      <c r="BFM2" s="179">
        <f>IFERROR(VLOOKUP(BFM$1,Capital!$B$16:$C$18,2,FALSE),0%)</f>
        <v>0</v>
      </c>
      <c r="BFN2" s="179">
        <f>IFERROR(VLOOKUP(BFN$1,Capital!$B$16:$C$18,2,FALSE),0%)</f>
        <v>0</v>
      </c>
      <c r="BFO2" s="179">
        <f>IFERROR(VLOOKUP(BFO$1,Capital!$B$16:$C$18,2,FALSE),0%)</f>
        <v>0</v>
      </c>
      <c r="BFP2" s="179">
        <f>IFERROR(VLOOKUP(BFP$1,Capital!$B$16:$C$18,2,FALSE),0%)</f>
        <v>0</v>
      </c>
      <c r="BFQ2" s="179">
        <f>IFERROR(VLOOKUP(BFQ$1,Capital!$B$16:$C$18,2,FALSE),0%)</f>
        <v>0</v>
      </c>
      <c r="BFR2" s="179">
        <f>IFERROR(VLOOKUP(BFR$1,Capital!$B$16:$C$18,2,FALSE),0%)</f>
        <v>0</v>
      </c>
      <c r="BFS2" s="179">
        <f>IFERROR(VLOOKUP(BFS$1,Capital!$B$16:$C$18,2,FALSE),0%)</f>
        <v>0</v>
      </c>
      <c r="BFT2" s="179">
        <f>IFERROR(VLOOKUP(BFT$1,Capital!$B$16:$C$18,2,FALSE),0%)</f>
        <v>0</v>
      </c>
      <c r="BFU2" s="179">
        <f>IFERROR(VLOOKUP(BFU$1,Capital!$B$16:$C$18,2,FALSE),0%)</f>
        <v>0</v>
      </c>
      <c r="BFV2" s="179">
        <f>IFERROR(VLOOKUP(BFV$1,Capital!$B$16:$C$18,2,FALSE),0%)</f>
        <v>0</v>
      </c>
      <c r="BFW2" s="179">
        <f>IFERROR(VLOOKUP(BFW$1,Capital!$B$16:$C$18,2,FALSE),0%)</f>
        <v>0</v>
      </c>
      <c r="BFX2" s="179">
        <f>IFERROR(VLOOKUP(BFX$1,Capital!$B$16:$C$18,2,FALSE),0%)</f>
        <v>0</v>
      </c>
      <c r="BFY2" s="179">
        <f>IFERROR(VLOOKUP(BFY$1,Capital!$B$16:$C$18,2,FALSE),0%)</f>
        <v>0</v>
      </c>
      <c r="BFZ2" s="179">
        <f>IFERROR(VLOOKUP(BFZ$1,Capital!$B$16:$C$18,2,FALSE),0%)</f>
        <v>0</v>
      </c>
      <c r="BGA2" s="179">
        <f>IFERROR(VLOOKUP(BGA$1,Capital!$B$16:$C$18,2,FALSE),0%)</f>
        <v>0</v>
      </c>
      <c r="BGB2" s="179">
        <f>IFERROR(VLOOKUP(BGB$1,Capital!$B$16:$C$18,2,FALSE),0%)</f>
        <v>0</v>
      </c>
      <c r="BGC2" s="179">
        <f>IFERROR(VLOOKUP(BGC$1,Capital!$B$16:$C$18,2,FALSE),0%)</f>
        <v>0</v>
      </c>
      <c r="BGD2" s="179">
        <f>IFERROR(VLOOKUP(BGD$1,Capital!$B$16:$C$18,2,FALSE),0%)</f>
        <v>0</v>
      </c>
      <c r="BGE2" s="179">
        <f>IFERROR(VLOOKUP(BGE$1,Capital!$B$16:$C$18,2,FALSE),0%)</f>
        <v>0</v>
      </c>
      <c r="BGF2" s="179">
        <f>IFERROR(VLOOKUP(BGF$1,Capital!$B$16:$C$18,2,FALSE),0%)</f>
        <v>0</v>
      </c>
      <c r="BGG2" s="179">
        <f>IFERROR(VLOOKUP(BGG$1,Capital!$B$16:$C$18,2,FALSE),0%)</f>
        <v>0</v>
      </c>
      <c r="BGH2" s="179">
        <f>IFERROR(VLOOKUP(BGH$1,Capital!$B$16:$C$18,2,FALSE),0%)</f>
        <v>0</v>
      </c>
      <c r="BGI2" s="179">
        <f>IFERROR(VLOOKUP(BGI$1,Capital!$B$16:$C$18,2,FALSE),0%)</f>
        <v>0</v>
      </c>
      <c r="BGJ2" s="179">
        <f>IFERROR(VLOOKUP(BGJ$1,Capital!$B$16:$C$18,2,FALSE),0%)</f>
        <v>0</v>
      </c>
      <c r="BGK2" s="179">
        <f>IFERROR(VLOOKUP(BGK$1,Capital!$B$16:$C$18,2,FALSE),0%)</f>
        <v>0</v>
      </c>
      <c r="BGL2" s="179">
        <f>IFERROR(VLOOKUP(BGL$1,Capital!$B$16:$C$18,2,FALSE),0%)</f>
        <v>0</v>
      </c>
      <c r="BGM2" s="179">
        <f>IFERROR(VLOOKUP(BGM$1,Capital!$B$16:$C$18,2,FALSE),0%)</f>
        <v>0</v>
      </c>
      <c r="BGN2" s="179">
        <f>IFERROR(VLOOKUP(BGN$1,Capital!$B$16:$C$18,2,FALSE),0%)</f>
        <v>0</v>
      </c>
      <c r="BGO2" s="179">
        <f>IFERROR(VLOOKUP(BGO$1,Capital!$B$16:$C$18,2,FALSE),0%)</f>
        <v>0</v>
      </c>
      <c r="BGP2" s="179">
        <f>IFERROR(VLOOKUP(BGP$1,Capital!$B$16:$C$18,2,FALSE),0%)</f>
        <v>0</v>
      </c>
      <c r="BGQ2" s="179">
        <f>IFERROR(VLOOKUP(BGQ$1,Capital!$B$16:$C$18,2,FALSE),0%)</f>
        <v>0</v>
      </c>
      <c r="BGR2" s="179">
        <f>IFERROR(VLOOKUP(BGR$1,Capital!$B$16:$C$18,2,FALSE),0%)</f>
        <v>0</v>
      </c>
      <c r="BGS2" s="179">
        <f>IFERROR(VLOOKUP(BGS$1,Capital!$B$16:$C$18,2,FALSE),0%)</f>
        <v>0</v>
      </c>
      <c r="BGT2" s="179">
        <f>IFERROR(VLOOKUP(BGT$1,Capital!$B$16:$C$18,2,FALSE),0%)</f>
        <v>0</v>
      </c>
      <c r="BGU2" s="179">
        <f>IFERROR(VLOOKUP(BGU$1,Capital!$B$16:$C$18,2,FALSE),0%)</f>
        <v>0</v>
      </c>
      <c r="BGV2" s="179">
        <f>IFERROR(VLOOKUP(BGV$1,Capital!$B$16:$C$18,2,FALSE),0%)</f>
        <v>0</v>
      </c>
      <c r="BGW2" s="179">
        <f>IFERROR(VLOOKUP(BGW$1,Capital!$B$16:$C$18,2,FALSE),0%)</f>
        <v>0</v>
      </c>
      <c r="BGX2" s="179">
        <f>IFERROR(VLOOKUP(BGX$1,Capital!$B$16:$C$18,2,FALSE),0%)</f>
        <v>0</v>
      </c>
      <c r="BGY2" s="179">
        <f>IFERROR(VLOOKUP(BGY$1,Capital!$B$16:$C$18,2,FALSE),0%)</f>
        <v>0</v>
      </c>
      <c r="BGZ2" s="179">
        <f>IFERROR(VLOOKUP(BGZ$1,Capital!$B$16:$C$18,2,FALSE),0%)</f>
        <v>0</v>
      </c>
      <c r="BHA2" s="179">
        <f>IFERROR(VLOOKUP(BHA$1,Capital!$B$16:$C$18,2,FALSE),0%)</f>
        <v>0</v>
      </c>
      <c r="BHB2" s="179">
        <f>IFERROR(VLOOKUP(BHB$1,Capital!$B$16:$C$18,2,FALSE),0%)</f>
        <v>0</v>
      </c>
      <c r="BHC2" s="179">
        <f>IFERROR(VLOOKUP(BHC$1,Capital!$B$16:$C$18,2,FALSE),0%)</f>
        <v>0</v>
      </c>
      <c r="BHD2" s="179">
        <f>IFERROR(VLOOKUP(BHD$1,Capital!$B$16:$C$18,2,FALSE),0%)</f>
        <v>0</v>
      </c>
      <c r="BHE2" s="179">
        <f>IFERROR(VLOOKUP(BHE$1,Capital!$B$16:$C$18,2,FALSE),0%)</f>
        <v>0</v>
      </c>
      <c r="BHF2" s="179">
        <f>IFERROR(VLOOKUP(BHF$1,Capital!$B$16:$C$18,2,FALSE),0%)</f>
        <v>0</v>
      </c>
      <c r="BHG2" s="179">
        <f>IFERROR(VLOOKUP(BHG$1,Capital!$B$16:$C$18,2,FALSE),0%)</f>
        <v>0</v>
      </c>
      <c r="BHH2" s="179">
        <f>IFERROR(VLOOKUP(BHH$1,Capital!$B$16:$C$18,2,FALSE),0%)</f>
        <v>0</v>
      </c>
      <c r="BHI2" s="179">
        <f>IFERROR(VLOOKUP(BHI$1,Capital!$B$16:$C$18,2,FALSE),0%)</f>
        <v>0</v>
      </c>
      <c r="BHJ2" s="179">
        <f>IFERROR(VLOOKUP(BHJ$1,Capital!$B$16:$C$18,2,FALSE),0%)</f>
        <v>0</v>
      </c>
      <c r="BHK2" s="179">
        <f>IFERROR(VLOOKUP(BHK$1,Capital!$B$16:$C$18,2,FALSE),0%)</f>
        <v>0</v>
      </c>
      <c r="BHL2" s="179">
        <f>IFERROR(VLOOKUP(BHL$1,Capital!$B$16:$C$18,2,FALSE),0%)</f>
        <v>0</v>
      </c>
      <c r="BHM2" s="179">
        <f>IFERROR(VLOOKUP(BHM$1,Capital!$B$16:$C$18,2,FALSE),0%)</f>
        <v>0.3333</v>
      </c>
      <c r="BHN2" s="179">
        <f>IFERROR(VLOOKUP(BHN$1,Capital!$B$16:$C$18,2,FALSE),0%)</f>
        <v>0</v>
      </c>
      <c r="BHO2" s="179">
        <f>IFERROR(VLOOKUP(BHO$1,Capital!$B$16:$C$18,2,FALSE),0%)</f>
        <v>0</v>
      </c>
      <c r="BHP2" s="179">
        <f>IFERROR(VLOOKUP(BHP$1,Capital!$B$16:$C$18,2,FALSE),0%)</f>
        <v>0</v>
      </c>
      <c r="BHQ2" s="179">
        <f>IFERROR(VLOOKUP(BHQ$1,Capital!$B$16:$C$18,2,FALSE),0%)</f>
        <v>0</v>
      </c>
      <c r="BHR2" s="179">
        <f>IFERROR(VLOOKUP(BHR$1,Capital!$B$16:$C$18,2,FALSE),0%)</f>
        <v>0</v>
      </c>
      <c r="BHS2" s="179">
        <f>IFERROR(VLOOKUP(BHS$1,Capital!$B$16:$C$18,2,FALSE),0%)</f>
        <v>0</v>
      </c>
      <c r="BHT2" s="179">
        <f>IFERROR(VLOOKUP(BHT$1,Capital!$B$16:$C$18,2,FALSE),0%)</f>
        <v>0</v>
      </c>
      <c r="BHU2" s="179">
        <f>IFERROR(VLOOKUP(BHU$1,Capital!$B$16:$C$18,2,FALSE),0%)</f>
        <v>0</v>
      </c>
      <c r="BHV2" s="179">
        <f>IFERROR(VLOOKUP(BHV$1,Capital!$B$16:$C$18,2,FALSE),0%)</f>
        <v>0</v>
      </c>
      <c r="BHW2" s="179">
        <f>IFERROR(VLOOKUP(BHW$1,Capital!$B$16:$C$18,2,FALSE),0%)</f>
        <v>0</v>
      </c>
      <c r="BHX2" s="179">
        <f>IFERROR(VLOOKUP(BHX$1,Capital!$B$16:$C$18,2,FALSE),0%)</f>
        <v>0</v>
      </c>
      <c r="BHY2" s="179">
        <f>IFERROR(VLOOKUP(BHY$1,Capital!$B$16:$C$18,2,FALSE),0%)</f>
        <v>0</v>
      </c>
      <c r="BHZ2" s="179">
        <f>IFERROR(VLOOKUP(BHZ$1,Capital!$B$16:$C$18,2,FALSE),0%)</f>
        <v>0</v>
      </c>
      <c r="BIA2" s="179">
        <f>IFERROR(VLOOKUP(BIA$1,Capital!$B$16:$C$18,2,FALSE),0%)</f>
        <v>0</v>
      </c>
      <c r="BIB2" s="179">
        <f>IFERROR(VLOOKUP(BIB$1,Capital!$B$16:$C$18,2,FALSE),0%)</f>
        <v>0</v>
      </c>
      <c r="BIC2" s="179">
        <f>IFERROR(VLOOKUP(BIC$1,Capital!$B$16:$C$18,2,FALSE),0%)</f>
        <v>0</v>
      </c>
      <c r="BID2" s="179">
        <f>IFERROR(VLOOKUP(BID$1,Capital!$B$16:$C$18,2,FALSE),0%)</f>
        <v>0</v>
      </c>
      <c r="BIE2" s="179">
        <f>IFERROR(VLOOKUP(BIE$1,Capital!$B$16:$C$18,2,FALSE),0%)</f>
        <v>0</v>
      </c>
      <c r="BIF2" s="179">
        <f>IFERROR(VLOOKUP(BIF$1,Capital!$B$16:$C$18,2,FALSE),0%)</f>
        <v>0</v>
      </c>
      <c r="BIG2" s="179">
        <f>IFERROR(VLOOKUP(BIG$1,Capital!$B$16:$C$18,2,FALSE),0%)</f>
        <v>0</v>
      </c>
      <c r="BIH2" s="179">
        <f>IFERROR(VLOOKUP(BIH$1,Capital!$B$16:$C$18,2,FALSE),0%)</f>
        <v>0</v>
      </c>
      <c r="BII2" s="179">
        <f>IFERROR(VLOOKUP(BII$1,Capital!$B$16:$C$18,2,FALSE),0%)</f>
        <v>0</v>
      </c>
      <c r="BIJ2" s="179">
        <f>IFERROR(VLOOKUP(BIJ$1,Capital!$B$16:$C$18,2,FALSE),0%)</f>
        <v>0</v>
      </c>
      <c r="BIK2" s="179">
        <f>IFERROR(VLOOKUP(BIK$1,Capital!$B$16:$C$18,2,FALSE),0%)</f>
        <v>0</v>
      </c>
      <c r="BIL2" s="179">
        <f>IFERROR(VLOOKUP(BIL$1,Capital!$B$16:$C$18,2,FALSE),0%)</f>
        <v>0</v>
      </c>
      <c r="BIM2" s="179">
        <f>IFERROR(VLOOKUP(BIM$1,Capital!$B$16:$C$18,2,FALSE),0%)</f>
        <v>0</v>
      </c>
      <c r="BIN2" s="179">
        <f>IFERROR(VLOOKUP(BIN$1,Capital!$B$16:$C$18,2,FALSE),0%)</f>
        <v>0</v>
      </c>
      <c r="BIO2" s="179">
        <f>IFERROR(VLOOKUP(BIO$1,Capital!$B$16:$C$18,2,FALSE),0%)</f>
        <v>0</v>
      </c>
      <c r="BIP2" s="179">
        <f>IFERROR(VLOOKUP(BIP$1,Capital!$B$16:$C$18,2,FALSE),0%)</f>
        <v>0</v>
      </c>
      <c r="BIQ2" s="179">
        <f>IFERROR(VLOOKUP(BIQ$1,Capital!$B$16:$C$18,2,FALSE),0%)</f>
        <v>0</v>
      </c>
      <c r="BIR2" s="179">
        <f>IFERROR(VLOOKUP(BIR$1,Capital!$B$16:$C$18,2,FALSE),0%)</f>
        <v>0</v>
      </c>
      <c r="BIS2" s="179">
        <f>IFERROR(VLOOKUP(BIS$1,Capital!$B$16:$C$18,2,FALSE),0%)</f>
        <v>0</v>
      </c>
      <c r="BIT2" s="179">
        <f>IFERROR(VLOOKUP(BIT$1,Capital!$B$16:$C$18,2,FALSE),0%)</f>
        <v>0</v>
      </c>
      <c r="BIU2" s="179">
        <f>IFERROR(VLOOKUP(BIU$1,Capital!$B$16:$C$18,2,FALSE),0%)</f>
        <v>0</v>
      </c>
      <c r="BIV2" s="179">
        <f>IFERROR(VLOOKUP(BIV$1,Capital!$B$16:$C$18,2,FALSE),0%)</f>
        <v>0</v>
      </c>
      <c r="BIW2" s="179">
        <f>IFERROR(VLOOKUP(BIW$1,Capital!$B$16:$C$18,2,FALSE),0%)</f>
        <v>0</v>
      </c>
      <c r="BIX2" s="179">
        <f>IFERROR(VLOOKUP(BIX$1,Capital!$B$16:$C$18,2,FALSE),0%)</f>
        <v>0</v>
      </c>
      <c r="BIY2" s="179">
        <f>IFERROR(VLOOKUP(BIY$1,Capital!$B$16:$C$18,2,FALSE),0%)</f>
        <v>0</v>
      </c>
      <c r="BIZ2" s="179">
        <f>IFERROR(VLOOKUP(BIZ$1,Capital!$B$16:$C$18,2,FALSE),0%)</f>
        <v>0</v>
      </c>
      <c r="BJA2" s="179">
        <f>IFERROR(VLOOKUP(BJA$1,Capital!$B$16:$C$18,2,FALSE),0%)</f>
        <v>0</v>
      </c>
      <c r="BJB2" s="179">
        <f>IFERROR(VLOOKUP(BJB$1,Capital!$B$16:$C$18,2,FALSE),0%)</f>
        <v>0</v>
      </c>
      <c r="BJC2" s="179">
        <f>IFERROR(VLOOKUP(BJC$1,Capital!$B$16:$C$18,2,FALSE),0%)</f>
        <v>0</v>
      </c>
      <c r="BJD2" s="179">
        <f>IFERROR(VLOOKUP(BJD$1,Capital!$B$16:$C$18,2,FALSE),0%)</f>
        <v>0</v>
      </c>
      <c r="BJE2" s="179">
        <f>IFERROR(VLOOKUP(BJE$1,Capital!$B$16:$C$18,2,FALSE),0%)</f>
        <v>0</v>
      </c>
      <c r="BJF2" s="179">
        <f>IFERROR(VLOOKUP(BJF$1,Capital!$B$16:$C$18,2,FALSE),0%)</f>
        <v>0</v>
      </c>
      <c r="BJG2" s="179">
        <f>IFERROR(VLOOKUP(BJG$1,Capital!$B$16:$C$18,2,FALSE),0%)</f>
        <v>0</v>
      </c>
      <c r="BJH2" s="179">
        <f>IFERROR(VLOOKUP(BJH$1,Capital!$B$16:$C$18,2,FALSE),0%)</f>
        <v>0</v>
      </c>
      <c r="BJI2" s="179">
        <f>IFERROR(VLOOKUP(BJI$1,Capital!$B$16:$C$18,2,FALSE),0%)</f>
        <v>0</v>
      </c>
      <c r="BJJ2" s="179">
        <f>IFERROR(VLOOKUP(BJJ$1,Capital!$B$16:$C$18,2,FALSE),0%)</f>
        <v>0</v>
      </c>
      <c r="BJK2" s="179">
        <f>IFERROR(VLOOKUP(BJK$1,Capital!$B$16:$C$18,2,FALSE),0%)</f>
        <v>0</v>
      </c>
      <c r="BJL2" s="179">
        <f>IFERROR(VLOOKUP(BJL$1,Capital!$B$16:$C$18,2,FALSE),0%)</f>
        <v>0</v>
      </c>
      <c r="BJM2" s="179">
        <f>IFERROR(VLOOKUP(BJM$1,Capital!$B$16:$C$18,2,FALSE),0%)</f>
        <v>0</v>
      </c>
      <c r="BJN2" s="179">
        <f>IFERROR(VLOOKUP(BJN$1,Capital!$B$16:$C$18,2,FALSE),0%)</f>
        <v>0</v>
      </c>
      <c r="BJO2" s="179">
        <f>IFERROR(VLOOKUP(BJO$1,Capital!$B$16:$C$18,2,FALSE),0%)</f>
        <v>0</v>
      </c>
      <c r="BJP2" s="179">
        <f>IFERROR(VLOOKUP(BJP$1,Capital!$B$16:$C$18,2,FALSE),0%)</f>
        <v>0</v>
      </c>
      <c r="BJQ2" s="179">
        <f>IFERROR(VLOOKUP(BJQ$1,Capital!$B$16:$C$18,2,FALSE),0%)</f>
        <v>0</v>
      </c>
      <c r="BJR2" s="179">
        <f>IFERROR(VLOOKUP(BJR$1,Capital!$B$16:$C$18,2,FALSE),0%)</f>
        <v>0</v>
      </c>
      <c r="BJS2" s="179">
        <f>IFERROR(VLOOKUP(BJS$1,Capital!$B$16:$C$18,2,FALSE),0%)</f>
        <v>0</v>
      </c>
      <c r="BJT2" s="179">
        <f>IFERROR(VLOOKUP(BJT$1,Capital!$B$16:$C$18,2,FALSE),0%)</f>
        <v>0</v>
      </c>
      <c r="BJU2" s="179">
        <f>IFERROR(VLOOKUP(BJU$1,Capital!$B$16:$C$18,2,FALSE),0%)</f>
        <v>0</v>
      </c>
      <c r="BJV2" s="179">
        <f>IFERROR(VLOOKUP(BJV$1,Capital!$B$16:$C$18,2,FALSE),0%)</f>
        <v>0</v>
      </c>
      <c r="BJW2" s="179">
        <f>IFERROR(VLOOKUP(BJW$1,Capital!$B$16:$C$18,2,FALSE),0%)</f>
        <v>0</v>
      </c>
      <c r="BJX2" s="179">
        <f>IFERROR(VLOOKUP(BJX$1,Capital!$B$16:$C$18,2,FALSE),0%)</f>
        <v>0</v>
      </c>
      <c r="BJY2" s="179">
        <f>IFERROR(VLOOKUP(BJY$1,Capital!$B$16:$C$18,2,FALSE),0%)</f>
        <v>0</v>
      </c>
      <c r="BJZ2" s="179">
        <f>IFERROR(VLOOKUP(BJZ$1,Capital!$B$16:$C$18,2,FALSE),0%)</f>
        <v>0</v>
      </c>
      <c r="BKA2" s="179">
        <f>IFERROR(VLOOKUP(BKA$1,Capital!$B$16:$C$18,2,FALSE),0%)</f>
        <v>0</v>
      </c>
      <c r="BKB2" s="179">
        <f>IFERROR(VLOOKUP(BKB$1,Capital!$B$16:$C$18,2,FALSE),0%)</f>
        <v>0</v>
      </c>
      <c r="BKC2" s="179">
        <f>IFERROR(VLOOKUP(BKC$1,Capital!$B$16:$C$18,2,FALSE),0%)</f>
        <v>0</v>
      </c>
      <c r="BKD2" s="179">
        <f>IFERROR(VLOOKUP(BKD$1,Capital!$B$16:$C$18,2,FALSE),0%)</f>
        <v>0</v>
      </c>
      <c r="BKE2" s="179">
        <f>IFERROR(VLOOKUP(BKE$1,Capital!$B$16:$C$18,2,FALSE),0%)</f>
        <v>0</v>
      </c>
      <c r="BKF2" s="179">
        <f>IFERROR(VLOOKUP(BKF$1,Capital!$B$16:$C$18,2,FALSE),0%)</f>
        <v>0</v>
      </c>
      <c r="BKG2" s="179">
        <f>IFERROR(VLOOKUP(BKG$1,Capital!$B$16:$C$18,2,FALSE),0%)</f>
        <v>0</v>
      </c>
      <c r="BKH2" s="179">
        <f>IFERROR(VLOOKUP(BKH$1,Capital!$B$16:$C$18,2,FALSE),0%)</f>
        <v>0</v>
      </c>
      <c r="BKI2" s="179">
        <f>IFERROR(VLOOKUP(BKI$1,Capital!$B$16:$C$18,2,FALSE),0%)</f>
        <v>0</v>
      </c>
      <c r="BKJ2" s="179">
        <f>IFERROR(VLOOKUP(BKJ$1,Capital!$B$16:$C$18,2,FALSE),0%)</f>
        <v>0</v>
      </c>
      <c r="BKK2" s="179">
        <f>IFERROR(VLOOKUP(BKK$1,Capital!$B$16:$C$18,2,FALSE),0%)</f>
        <v>0</v>
      </c>
      <c r="BKL2" s="179">
        <f>IFERROR(VLOOKUP(BKL$1,Capital!$B$16:$C$18,2,FALSE),0%)</f>
        <v>0</v>
      </c>
      <c r="BKM2" s="179">
        <f>IFERROR(VLOOKUP(BKM$1,Capital!$B$16:$C$18,2,FALSE),0%)</f>
        <v>0</v>
      </c>
      <c r="BKN2" s="179">
        <f>IFERROR(VLOOKUP(BKN$1,Capital!$B$16:$C$18,2,FALSE),0%)</f>
        <v>0</v>
      </c>
      <c r="BKO2" s="179">
        <f>IFERROR(VLOOKUP(BKO$1,Capital!$B$16:$C$18,2,FALSE),0%)</f>
        <v>0</v>
      </c>
      <c r="BKP2" s="179">
        <f>IFERROR(VLOOKUP(BKP$1,Capital!$B$16:$C$18,2,FALSE),0%)</f>
        <v>0</v>
      </c>
      <c r="BKQ2" s="179">
        <f>IFERROR(VLOOKUP(BKQ$1,Capital!$B$16:$C$18,2,FALSE),0%)</f>
        <v>0</v>
      </c>
      <c r="BKR2" s="179">
        <f>IFERROR(VLOOKUP(BKR$1,Capital!$B$16:$C$18,2,FALSE),0%)</f>
        <v>0</v>
      </c>
      <c r="BKS2" s="179">
        <f>IFERROR(VLOOKUP(BKS$1,Capital!$B$16:$C$18,2,FALSE),0%)</f>
        <v>0</v>
      </c>
      <c r="BKT2" s="179">
        <f>IFERROR(VLOOKUP(BKT$1,Capital!$B$16:$C$18,2,FALSE),0%)</f>
        <v>0</v>
      </c>
      <c r="BKU2" s="179">
        <f>IFERROR(VLOOKUP(BKU$1,Capital!$B$16:$C$18,2,FALSE),0%)</f>
        <v>0</v>
      </c>
      <c r="BKV2" s="179">
        <f>IFERROR(VLOOKUP(BKV$1,Capital!$B$16:$C$18,2,FALSE),0%)</f>
        <v>0</v>
      </c>
      <c r="BKW2" s="179">
        <f>IFERROR(VLOOKUP(BKW$1,Capital!$B$16:$C$18,2,FALSE),0%)</f>
        <v>0</v>
      </c>
      <c r="BKX2" s="179">
        <f>IFERROR(VLOOKUP(BKX$1,Capital!$B$16:$C$18,2,FALSE),0%)</f>
        <v>0</v>
      </c>
      <c r="BKY2" s="179">
        <f>IFERROR(VLOOKUP(BKY$1,Capital!$B$16:$C$18,2,FALSE),0%)</f>
        <v>0</v>
      </c>
      <c r="BKZ2" s="179">
        <f>IFERROR(VLOOKUP(BKZ$1,Capital!$B$16:$C$18,2,FALSE),0%)</f>
        <v>0</v>
      </c>
      <c r="BLA2" s="179">
        <f>IFERROR(VLOOKUP(BLA$1,Capital!$B$16:$C$18,2,FALSE),0%)</f>
        <v>0</v>
      </c>
      <c r="BLB2" s="179">
        <f>IFERROR(VLOOKUP(BLB$1,Capital!$B$16:$C$18,2,FALSE),0%)</f>
        <v>0</v>
      </c>
      <c r="BLC2" s="179">
        <f>IFERROR(VLOOKUP(BLC$1,Capital!$B$16:$C$18,2,FALSE),0%)</f>
        <v>0</v>
      </c>
      <c r="BLD2" s="179">
        <f>IFERROR(VLOOKUP(BLD$1,Capital!$B$16:$C$18,2,FALSE),0%)</f>
        <v>0</v>
      </c>
      <c r="BLE2" s="179">
        <f>IFERROR(VLOOKUP(BLE$1,Capital!$B$16:$C$18,2,FALSE),0%)</f>
        <v>0</v>
      </c>
      <c r="BLF2" s="179">
        <f>IFERROR(VLOOKUP(BLF$1,Capital!$B$16:$C$18,2,FALSE),0%)</f>
        <v>0</v>
      </c>
      <c r="BLG2" s="179">
        <f>IFERROR(VLOOKUP(BLG$1,Capital!$B$16:$C$18,2,FALSE),0%)</f>
        <v>0</v>
      </c>
      <c r="BLH2" s="179">
        <f>IFERROR(VLOOKUP(BLH$1,Capital!$B$16:$C$18,2,FALSE),0%)</f>
        <v>0</v>
      </c>
      <c r="BLI2" s="179">
        <f>IFERROR(VLOOKUP(BLI$1,Capital!$B$16:$C$18,2,FALSE),0%)</f>
        <v>0</v>
      </c>
      <c r="BLJ2" s="179">
        <f>IFERROR(VLOOKUP(BLJ$1,Capital!$B$16:$C$18,2,FALSE),0%)</f>
        <v>0</v>
      </c>
      <c r="BLK2" s="179">
        <f>IFERROR(VLOOKUP(BLK$1,Capital!$B$16:$C$18,2,FALSE),0%)</f>
        <v>0</v>
      </c>
      <c r="BLL2" s="179">
        <f>IFERROR(VLOOKUP(BLL$1,Capital!$B$16:$C$18,2,FALSE),0%)</f>
        <v>0</v>
      </c>
      <c r="BLM2" s="179">
        <f>IFERROR(VLOOKUP(BLM$1,Capital!$B$16:$C$18,2,FALSE),0%)</f>
        <v>0</v>
      </c>
      <c r="BLN2" s="179">
        <f>IFERROR(VLOOKUP(BLN$1,Capital!$B$16:$C$18,2,FALSE),0%)</f>
        <v>0</v>
      </c>
      <c r="BLO2" s="179">
        <f>IFERROR(VLOOKUP(BLO$1,Capital!$B$16:$C$18,2,FALSE),0%)</f>
        <v>0</v>
      </c>
      <c r="BLP2" s="179">
        <f>IFERROR(VLOOKUP(BLP$1,Capital!$B$16:$C$18,2,FALSE),0%)</f>
        <v>0</v>
      </c>
      <c r="BLQ2" s="179">
        <f>IFERROR(VLOOKUP(BLQ$1,Capital!$B$16:$C$18,2,FALSE),0%)</f>
        <v>0</v>
      </c>
      <c r="BLR2" s="179">
        <f>IFERROR(VLOOKUP(BLR$1,Capital!$B$16:$C$18,2,FALSE),0%)</f>
        <v>0</v>
      </c>
      <c r="BLS2" s="179">
        <f>IFERROR(VLOOKUP(BLS$1,Capital!$B$16:$C$18,2,FALSE),0%)</f>
        <v>0</v>
      </c>
      <c r="BLT2" s="179">
        <f>IFERROR(VLOOKUP(BLT$1,Capital!$B$16:$C$18,2,FALSE),0%)</f>
        <v>0</v>
      </c>
      <c r="BLU2" s="179">
        <f>IFERROR(VLOOKUP(BLU$1,Capital!$B$16:$C$18,2,FALSE),0%)</f>
        <v>0</v>
      </c>
      <c r="BLV2" s="179">
        <f>IFERROR(VLOOKUP(BLV$1,Capital!$B$16:$C$18,2,FALSE),0%)</f>
        <v>0</v>
      </c>
      <c r="BLW2" s="179">
        <f>IFERROR(VLOOKUP(BLW$1,Capital!$B$16:$C$18,2,FALSE),0%)</f>
        <v>0</v>
      </c>
      <c r="BLX2" s="179">
        <f>IFERROR(VLOOKUP(BLX$1,Capital!$B$16:$C$18,2,FALSE),0%)</f>
        <v>0</v>
      </c>
      <c r="BLY2" s="179">
        <f>IFERROR(VLOOKUP(BLY$1,Capital!$B$16:$C$18,2,FALSE),0%)</f>
        <v>0</v>
      </c>
      <c r="BLZ2" s="179">
        <f>IFERROR(VLOOKUP(BLZ$1,Capital!$B$16:$C$18,2,FALSE),0%)</f>
        <v>0</v>
      </c>
      <c r="BMA2" s="179">
        <f>IFERROR(VLOOKUP(BMA$1,Capital!$B$16:$C$18,2,FALSE),0%)</f>
        <v>0</v>
      </c>
      <c r="BMB2" s="179">
        <f>IFERROR(VLOOKUP(BMB$1,Capital!$B$16:$C$18,2,FALSE),0%)</f>
        <v>0</v>
      </c>
      <c r="BMC2" s="179">
        <f>IFERROR(VLOOKUP(BMC$1,Capital!$B$16:$C$18,2,FALSE),0%)</f>
        <v>0</v>
      </c>
      <c r="BMD2" s="179">
        <f>IFERROR(VLOOKUP(BMD$1,Capital!$B$16:$C$18,2,FALSE),0%)</f>
        <v>0</v>
      </c>
      <c r="BME2" s="179">
        <f>IFERROR(VLOOKUP(BME$1,Capital!$B$16:$C$18,2,FALSE),0%)</f>
        <v>0</v>
      </c>
      <c r="BMF2" s="179">
        <f>IFERROR(VLOOKUP(BMF$1,Capital!$B$16:$C$18,2,FALSE),0%)</f>
        <v>0</v>
      </c>
      <c r="BMG2" s="179">
        <f>IFERROR(VLOOKUP(BMG$1,Capital!$B$16:$C$18,2,FALSE),0%)</f>
        <v>0</v>
      </c>
      <c r="BMH2" s="179">
        <f>IFERROR(VLOOKUP(BMH$1,Capital!$B$16:$C$18,2,FALSE),0%)</f>
        <v>0</v>
      </c>
      <c r="BMI2" s="179">
        <f>IFERROR(VLOOKUP(BMI$1,Capital!$B$16:$C$18,2,FALSE),0%)</f>
        <v>0</v>
      </c>
      <c r="BMJ2" s="179">
        <f>IFERROR(VLOOKUP(BMJ$1,Capital!$B$16:$C$18,2,FALSE),0%)</f>
        <v>0</v>
      </c>
      <c r="BMK2" s="179">
        <f>IFERROR(VLOOKUP(BMK$1,Capital!$B$16:$C$18,2,FALSE),0%)</f>
        <v>0</v>
      </c>
      <c r="BML2" s="179">
        <f>IFERROR(VLOOKUP(BML$1,Capital!$B$16:$C$18,2,FALSE),0%)</f>
        <v>0</v>
      </c>
      <c r="BMM2" s="179">
        <f>IFERROR(VLOOKUP(BMM$1,Capital!$B$16:$C$18,2,FALSE),0%)</f>
        <v>0</v>
      </c>
      <c r="BMN2" s="179">
        <f>IFERROR(VLOOKUP(BMN$1,Capital!$B$16:$C$18,2,FALSE),0%)</f>
        <v>0</v>
      </c>
      <c r="BMO2" s="179">
        <f>IFERROR(VLOOKUP(BMO$1,Capital!$B$16:$C$18,2,FALSE),0%)</f>
        <v>0</v>
      </c>
      <c r="BMP2" s="179">
        <f>IFERROR(VLOOKUP(BMP$1,Capital!$B$16:$C$18,2,FALSE),0%)</f>
        <v>0</v>
      </c>
      <c r="BMQ2" s="179">
        <f>IFERROR(VLOOKUP(BMQ$1,Capital!$B$16:$C$18,2,FALSE),0%)</f>
        <v>0</v>
      </c>
      <c r="BMR2" s="179">
        <f>IFERROR(VLOOKUP(BMR$1,Capital!$B$16:$C$18,2,FALSE),0%)</f>
        <v>0</v>
      </c>
      <c r="BMS2" s="179">
        <f>IFERROR(VLOOKUP(BMS$1,Capital!$B$16:$C$18,2,FALSE),0%)</f>
        <v>0</v>
      </c>
      <c r="BMT2" s="179">
        <f>IFERROR(VLOOKUP(BMT$1,Capital!$B$16:$C$18,2,FALSE),0%)</f>
        <v>0</v>
      </c>
      <c r="BMU2" s="179">
        <f>IFERROR(VLOOKUP(BMU$1,Capital!$B$16:$C$18,2,FALSE),0%)</f>
        <v>0</v>
      </c>
      <c r="BMV2" s="179">
        <f>IFERROR(VLOOKUP(BMV$1,Capital!$B$16:$C$18,2,FALSE),0%)</f>
        <v>0</v>
      </c>
      <c r="BMW2" s="179">
        <f>IFERROR(VLOOKUP(BMW$1,Capital!$B$16:$C$18,2,FALSE),0%)</f>
        <v>0</v>
      </c>
      <c r="BMX2" s="179">
        <f>IFERROR(VLOOKUP(BMX$1,Capital!$B$16:$C$18,2,FALSE),0%)</f>
        <v>0</v>
      </c>
      <c r="BMY2" s="179">
        <f>IFERROR(VLOOKUP(BMY$1,Capital!$B$16:$C$18,2,FALSE),0%)</f>
        <v>0</v>
      </c>
      <c r="BMZ2" s="179">
        <f>IFERROR(VLOOKUP(BMZ$1,Capital!$B$16:$C$18,2,FALSE),0%)</f>
        <v>0</v>
      </c>
      <c r="BNA2" s="179">
        <f>IFERROR(VLOOKUP(BNA$1,Capital!$B$16:$C$18,2,FALSE),0%)</f>
        <v>0</v>
      </c>
      <c r="BNB2" s="179">
        <f>IFERROR(VLOOKUP(BNB$1,Capital!$B$16:$C$18,2,FALSE),0%)</f>
        <v>0</v>
      </c>
      <c r="BNC2" s="179">
        <f>IFERROR(VLOOKUP(BNC$1,Capital!$B$16:$C$18,2,FALSE),0%)</f>
        <v>0</v>
      </c>
      <c r="BND2" s="179">
        <f>IFERROR(VLOOKUP(BND$1,Capital!$B$16:$C$18,2,FALSE),0%)</f>
        <v>0</v>
      </c>
      <c r="BNE2" s="179">
        <f>IFERROR(VLOOKUP(BNE$1,Capital!$B$16:$C$18,2,FALSE),0%)</f>
        <v>0</v>
      </c>
      <c r="BNF2" s="179">
        <f>IFERROR(VLOOKUP(BNF$1,Capital!$B$16:$C$18,2,FALSE),0%)</f>
        <v>0</v>
      </c>
      <c r="BNG2" s="179">
        <f>IFERROR(VLOOKUP(BNG$1,Capital!$B$16:$C$18,2,FALSE),0%)</f>
        <v>0</v>
      </c>
      <c r="BNH2" s="179">
        <f>IFERROR(VLOOKUP(BNH$1,Capital!$B$16:$C$18,2,FALSE),0%)</f>
        <v>0</v>
      </c>
      <c r="BNI2" s="179">
        <f>IFERROR(VLOOKUP(BNI$1,Capital!$B$16:$C$18,2,FALSE),0%)</f>
        <v>0</v>
      </c>
      <c r="BNJ2" s="179">
        <f>IFERROR(VLOOKUP(BNJ$1,Capital!$B$16:$C$18,2,FALSE),0%)</f>
        <v>0</v>
      </c>
      <c r="BNK2" s="179">
        <f>IFERROR(VLOOKUP(BNK$1,Capital!$B$16:$C$18,2,FALSE),0%)</f>
        <v>0</v>
      </c>
      <c r="BNL2" s="179">
        <f>IFERROR(VLOOKUP(BNL$1,Capital!$B$16:$C$18,2,FALSE),0%)</f>
        <v>0</v>
      </c>
      <c r="BNM2" s="179">
        <f>IFERROR(VLOOKUP(BNM$1,Capital!$B$16:$C$18,2,FALSE),0%)</f>
        <v>0</v>
      </c>
      <c r="BNN2" s="179">
        <f>IFERROR(VLOOKUP(BNN$1,Capital!$B$16:$C$18,2,FALSE),0%)</f>
        <v>0</v>
      </c>
      <c r="BNO2" s="179">
        <f>IFERROR(VLOOKUP(BNO$1,Capital!$B$16:$C$18,2,FALSE),0%)</f>
        <v>0</v>
      </c>
      <c r="BNP2" s="179">
        <f>IFERROR(VLOOKUP(BNP$1,Capital!$B$16:$C$18,2,FALSE),0%)</f>
        <v>0</v>
      </c>
      <c r="BNQ2" s="179">
        <f>IFERROR(VLOOKUP(BNQ$1,Capital!$B$16:$C$18,2,FALSE),0%)</f>
        <v>0</v>
      </c>
      <c r="BNR2" s="179">
        <f>IFERROR(VLOOKUP(BNR$1,Capital!$B$16:$C$18,2,FALSE),0%)</f>
        <v>0</v>
      </c>
      <c r="BNS2" s="179">
        <f>IFERROR(VLOOKUP(BNS$1,Capital!$B$16:$C$18,2,FALSE),0%)</f>
        <v>0</v>
      </c>
      <c r="BNT2" s="179">
        <f>IFERROR(VLOOKUP(BNT$1,Capital!$B$16:$C$18,2,FALSE),0%)</f>
        <v>0</v>
      </c>
      <c r="BNU2" s="179">
        <f>IFERROR(VLOOKUP(BNU$1,Capital!$B$16:$C$18,2,FALSE),0%)</f>
        <v>0</v>
      </c>
      <c r="BNV2" s="179">
        <f>IFERROR(VLOOKUP(BNV$1,Capital!$B$16:$C$18,2,FALSE),0%)</f>
        <v>0</v>
      </c>
      <c r="BNW2" s="179">
        <f>IFERROR(VLOOKUP(BNW$1,Capital!$B$16:$C$18,2,FALSE),0%)</f>
        <v>0</v>
      </c>
      <c r="BNX2" s="179">
        <f>IFERROR(VLOOKUP(BNX$1,Capital!$B$16:$C$18,2,FALSE),0%)</f>
        <v>0</v>
      </c>
      <c r="BNY2" s="179">
        <f>IFERROR(VLOOKUP(BNY$1,Capital!$B$16:$C$18,2,FALSE),0%)</f>
        <v>0</v>
      </c>
      <c r="BNZ2" s="179">
        <f>IFERROR(VLOOKUP(BNZ$1,Capital!$B$16:$C$18,2,FALSE),0%)</f>
        <v>0</v>
      </c>
      <c r="BOA2" s="179">
        <f>IFERROR(VLOOKUP(BOA$1,Capital!$B$16:$C$18,2,FALSE),0%)</f>
        <v>0</v>
      </c>
      <c r="BOB2" s="179">
        <f>IFERROR(VLOOKUP(BOB$1,Capital!$B$16:$C$18,2,FALSE),0%)</f>
        <v>0</v>
      </c>
      <c r="BOC2" s="179">
        <f>IFERROR(VLOOKUP(BOC$1,Capital!$B$16:$C$18,2,FALSE),0%)</f>
        <v>0</v>
      </c>
      <c r="BOD2" s="179">
        <f>IFERROR(VLOOKUP(BOD$1,Capital!$B$16:$C$18,2,FALSE),0%)</f>
        <v>0</v>
      </c>
      <c r="BOE2" s="179">
        <f>IFERROR(VLOOKUP(BOE$1,Capital!$B$16:$C$18,2,FALSE),0%)</f>
        <v>0</v>
      </c>
      <c r="BOF2" s="179">
        <f>IFERROR(VLOOKUP(BOF$1,Capital!$B$16:$C$18,2,FALSE),0%)</f>
        <v>0</v>
      </c>
      <c r="BOG2" s="179">
        <f>IFERROR(VLOOKUP(BOG$1,Capital!$B$16:$C$18,2,FALSE),0%)</f>
        <v>0</v>
      </c>
      <c r="BOH2" s="179">
        <f>IFERROR(VLOOKUP(BOH$1,Capital!$B$16:$C$18,2,FALSE),0%)</f>
        <v>0</v>
      </c>
      <c r="BOI2" s="179">
        <f>IFERROR(VLOOKUP(BOI$1,Capital!$B$16:$C$18,2,FALSE),0%)</f>
        <v>0</v>
      </c>
      <c r="BOJ2" s="179">
        <f>IFERROR(VLOOKUP(BOJ$1,Capital!$B$16:$C$18,2,FALSE),0%)</f>
        <v>0</v>
      </c>
      <c r="BOK2" s="179">
        <f>IFERROR(VLOOKUP(BOK$1,Capital!$B$16:$C$18,2,FALSE),0%)</f>
        <v>0</v>
      </c>
      <c r="BOL2" s="179">
        <f>IFERROR(VLOOKUP(BOL$1,Capital!$B$16:$C$18,2,FALSE),0%)</f>
        <v>0</v>
      </c>
      <c r="BOM2" s="179">
        <f>IFERROR(VLOOKUP(BOM$1,Capital!$B$16:$C$18,2,FALSE),0%)</f>
        <v>0</v>
      </c>
      <c r="BON2" s="179">
        <f>IFERROR(VLOOKUP(BON$1,Capital!$B$16:$C$18,2,FALSE),0%)</f>
        <v>0</v>
      </c>
      <c r="BOO2" s="179">
        <f>IFERROR(VLOOKUP(BOO$1,Capital!$B$16:$C$18,2,FALSE),0%)</f>
        <v>0</v>
      </c>
      <c r="BOP2" s="179">
        <f>IFERROR(VLOOKUP(BOP$1,Capital!$B$16:$C$18,2,FALSE),0%)</f>
        <v>0</v>
      </c>
      <c r="BOQ2" s="179">
        <f>IFERROR(VLOOKUP(BOQ$1,Capital!$B$16:$C$18,2,FALSE),0%)</f>
        <v>0</v>
      </c>
      <c r="BOR2" s="179">
        <f>IFERROR(VLOOKUP(BOR$1,Capital!$B$16:$C$18,2,FALSE),0%)</f>
        <v>0</v>
      </c>
      <c r="BOS2" s="179">
        <f>IFERROR(VLOOKUP(BOS$1,Capital!$B$16:$C$18,2,FALSE),0%)</f>
        <v>0</v>
      </c>
      <c r="BOT2" s="179">
        <f>IFERROR(VLOOKUP(BOT$1,Capital!$B$16:$C$18,2,FALSE),0%)</f>
        <v>0</v>
      </c>
      <c r="BOU2" s="179">
        <f>IFERROR(VLOOKUP(BOU$1,Capital!$B$16:$C$18,2,FALSE),0%)</f>
        <v>0</v>
      </c>
      <c r="BOV2" s="179">
        <f>IFERROR(VLOOKUP(BOV$1,Capital!$B$16:$C$18,2,FALSE),0%)</f>
        <v>0</v>
      </c>
      <c r="BOW2" s="179">
        <f>IFERROR(VLOOKUP(BOW$1,Capital!$B$16:$C$18,2,FALSE),0%)</f>
        <v>0</v>
      </c>
      <c r="BOX2" s="179">
        <f>IFERROR(VLOOKUP(BOX$1,Capital!$B$16:$C$18,2,FALSE),0%)</f>
        <v>0</v>
      </c>
      <c r="BOY2" s="179">
        <f>IFERROR(VLOOKUP(BOY$1,Capital!$B$16:$C$18,2,FALSE),0%)</f>
        <v>0</v>
      </c>
      <c r="BOZ2" s="179">
        <f>IFERROR(VLOOKUP(BOZ$1,Capital!$B$16:$C$18,2,FALSE),0%)</f>
        <v>0</v>
      </c>
      <c r="BPA2" s="179">
        <f>IFERROR(VLOOKUP(BPA$1,Capital!$B$16:$C$18,2,FALSE),0%)</f>
        <v>0</v>
      </c>
      <c r="BPB2" s="179">
        <f>IFERROR(VLOOKUP(BPB$1,Capital!$B$16:$C$18,2,FALSE),0%)</f>
        <v>0</v>
      </c>
      <c r="BPC2" s="179">
        <f>IFERROR(VLOOKUP(BPC$1,Capital!$B$16:$C$18,2,FALSE),0%)</f>
        <v>0</v>
      </c>
      <c r="BPD2" s="179">
        <f>IFERROR(VLOOKUP(BPD$1,Capital!$B$16:$C$18,2,FALSE),0%)</f>
        <v>0</v>
      </c>
      <c r="BPE2" s="179">
        <f>IFERROR(VLOOKUP(BPE$1,Capital!$B$16:$C$18,2,FALSE),0%)</f>
        <v>0</v>
      </c>
      <c r="BPF2" s="179">
        <f>IFERROR(VLOOKUP(BPF$1,Capital!$B$16:$C$18,2,FALSE),0%)</f>
        <v>0</v>
      </c>
      <c r="BPG2" s="179">
        <f>IFERROR(VLOOKUP(BPG$1,Capital!$B$16:$C$18,2,FALSE),0%)</f>
        <v>0</v>
      </c>
      <c r="BPH2" s="179">
        <f>IFERROR(VLOOKUP(BPH$1,Capital!$B$16:$C$18,2,FALSE),0%)</f>
        <v>0</v>
      </c>
      <c r="BPI2" s="179">
        <f>IFERROR(VLOOKUP(BPI$1,Capital!$B$16:$C$18,2,FALSE),0%)</f>
        <v>0</v>
      </c>
      <c r="BPJ2" s="179">
        <f>IFERROR(VLOOKUP(BPJ$1,Capital!$B$16:$C$18,2,FALSE),0%)</f>
        <v>0</v>
      </c>
      <c r="BPK2" s="179">
        <f>IFERROR(VLOOKUP(BPK$1,Capital!$B$16:$C$18,2,FALSE),0%)</f>
        <v>0</v>
      </c>
      <c r="BPL2" s="179">
        <f>IFERROR(VLOOKUP(BPL$1,Capital!$B$16:$C$18,2,FALSE),0%)</f>
        <v>0</v>
      </c>
      <c r="BPM2" s="179">
        <f>IFERROR(VLOOKUP(BPM$1,Capital!$B$16:$C$18,2,FALSE),0%)</f>
        <v>0</v>
      </c>
      <c r="BPN2" s="179">
        <f>IFERROR(VLOOKUP(BPN$1,Capital!$B$16:$C$18,2,FALSE),0%)</f>
        <v>0</v>
      </c>
      <c r="BPO2" s="179">
        <f>IFERROR(VLOOKUP(BPO$1,Capital!$B$16:$C$18,2,FALSE),0%)</f>
        <v>0</v>
      </c>
      <c r="BPP2" s="179">
        <f>IFERROR(VLOOKUP(BPP$1,Capital!$B$16:$C$18,2,FALSE),0%)</f>
        <v>0</v>
      </c>
      <c r="BPQ2" s="179">
        <f>IFERROR(VLOOKUP(BPQ$1,Capital!$B$16:$C$18,2,FALSE),0%)</f>
        <v>0</v>
      </c>
      <c r="BPR2" s="179">
        <f>IFERROR(VLOOKUP(BPR$1,Capital!$B$16:$C$18,2,FALSE),0%)</f>
        <v>0</v>
      </c>
      <c r="BPS2" s="179">
        <f>IFERROR(VLOOKUP(BPS$1,Capital!$B$16:$C$18,2,FALSE),0%)</f>
        <v>0</v>
      </c>
      <c r="BPT2" s="179">
        <f>IFERROR(VLOOKUP(BPT$1,Capital!$B$16:$C$18,2,FALSE),0%)</f>
        <v>0</v>
      </c>
      <c r="BPU2" s="179">
        <f>IFERROR(VLOOKUP(BPU$1,Capital!$B$16:$C$18,2,FALSE),0%)</f>
        <v>0</v>
      </c>
      <c r="BPV2" s="179">
        <f>IFERROR(VLOOKUP(BPV$1,Capital!$B$16:$C$18,2,FALSE),0%)</f>
        <v>0</v>
      </c>
      <c r="BPW2" s="179">
        <f>IFERROR(VLOOKUP(BPW$1,Capital!$B$16:$C$18,2,FALSE),0%)</f>
        <v>0</v>
      </c>
      <c r="BPX2" s="179">
        <f>IFERROR(VLOOKUP(BPX$1,Capital!$B$16:$C$18,2,FALSE),0%)</f>
        <v>0</v>
      </c>
      <c r="BPY2" s="179">
        <f>IFERROR(VLOOKUP(BPY$1,Capital!$B$16:$C$18,2,FALSE),0%)</f>
        <v>0</v>
      </c>
      <c r="BPZ2" s="179">
        <f>IFERROR(VLOOKUP(BPZ$1,Capital!$B$16:$C$18,2,FALSE),0%)</f>
        <v>0</v>
      </c>
      <c r="BQA2" s="179">
        <f>IFERROR(VLOOKUP(BQA$1,Capital!$B$16:$C$18,2,FALSE),0%)</f>
        <v>0</v>
      </c>
      <c r="BQB2" s="179">
        <f>IFERROR(VLOOKUP(BQB$1,Capital!$B$16:$C$18,2,FALSE),0%)</f>
        <v>0</v>
      </c>
      <c r="BQC2" s="179">
        <f>IFERROR(VLOOKUP(BQC$1,Capital!$B$16:$C$18,2,FALSE),0%)</f>
        <v>0</v>
      </c>
      <c r="BQD2" s="179">
        <f>IFERROR(VLOOKUP(BQD$1,Capital!$B$16:$C$18,2,FALSE),0%)</f>
        <v>0</v>
      </c>
      <c r="BQE2" s="179">
        <f>IFERROR(VLOOKUP(BQE$1,Capital!$B$16:$C$18,2,FALSE),0%)</f>
        <v>0</v>
      </c>
      <c r="BQF2" s="179">
        <f>IFERROR(VLOOKUP(BQF$1,Capital!$B$16:$C$18,2,FALSE),0%)</f>
        <v>0</v>
      </c>
      <c r="BQG2" s="179">
        <f>IFERROR(VLOOKUP(BQG$1,Capital!$B$16:$C$18,2,FALSE),0%)</f>
        <v>0</v>
      </c>
      <c r="BQH2" s="179">
        <f>IFERROR(VLOOKUP(BQH$1,Capital!$B$16:$C$18,2,FALSE),0%)</f>
        <v>0</v>
      </c>
      <c r="BQI2" s="179">
        <f>IFERROR(VLOOKUP(BQI$1,Capital!$B$16:$C$18,2,FALSE),0%)</f>
        <v>0</v>
      </c>
      <c r="BQJ2" s="179">
        <f>IFERROR(VLOOKUP(BQJ$1,Capital!$B$16:$C$18,2,FALSE),0%)</f>
        <v>0</v>
      </c>
      <c r="BQK2" s="179">
        <f>IFERROR(VLOOKUP(BQK$1,Capital!$B$16:$C$18,2,FALSE),0%)</f>
        <v>0</v>
      </c>
      <c r="BQL2" s="179">
        <f>IFERROR(VLOOKUP(BQL$1,Capital!$B$16:$C$18,2,FALSE),0%)</f>
        <v>0</v>
      </c>
      <c r="BQM2" s="179">
        <f>IFERROR(VLOOKUP(BQM$1,Capital!$B$16:$C$18,2,FALSE),0%)</f>
        <v>0</v>
      </c>
      <c r="BQN2" s="179">
        <f>IFERROR(VLOOKUP(BQN$1,Capital!$B$16:$C$18,2,FALSE),0%)</f>
        <v>0</v>
      </c>
      <c r="BQO2" s="179">
        <f>IFERROR(VLOOKUP(BQO$1,Capital!$B$16:$C$18,2,FALSE),0%)</f>
        <v>0</v>
      </c>
      <c r="BQP2" s="179">
        <f>IFERROR(VLOOKUP(BQP$1,Capital!$B$16:$C$18,2,FALSE),0%)</f>
        <v>0</v>
      </c>
      <c r="BQQ2" s="179">
        <f>IFERROR(VLOOKUP(BQQ$1,Capital!$B$16:$C$18,2,FALSE),0%)</f>
        <v>0</v>
      </c>
      <c r="BQR2" s="179">
        <f>IFERROR(VLOOKUP(BQR$1,Capital!$B$16:$C$18,2,FALSE),0%)</f>
        <v>0</v>
      </c>
      <c r="BQS2" s="179">
        <f>IFERROR(VLOOKUP(BQS$1,Capital!$B$16:$C$18,2,FALSE),0%)</f>
        <v>0</v>
      </c>
      <c r="BQT2" s="179">
        <f>IFERROR(VLOOKUP(BQT$1,Capital!$B$16:$C$18,2,FALSE),0%)</f>
        <v>0</v>
      </c>
      <c r="BQU2" s="179">
        <f>IFERROR(VLOOKUP(BQU$1,Capital!$B$16:$C$18,2,FALSE),0%)</f>
        <v>0</v>
      </c>
      <c r="BQV2" s="179">
        <f>IFERROR(VLOOKUP(BQV$1,Capital!$B$16:$C$18,2,FALSE),0%)</f>
        <v>0</v>
      </c>
      <c r="BQW2" s="179">
        <f>IFERROR(VLOOKUP(BQW$1,Capital!$B$16:$C$18,2,FALSE),0%)</f>
        <v>0</v>
      </c>
      <c r="BQX2" s="179">
        <f>IFERROR(VLOOKUP(BQX$1,Capital!$B$16:$C$18,2,FALSE),0%)</f>
        <v>0</v>
      </c>
      <c r="BQY2" s="179">
        <f>IFERROR(VLOOKUP(BQY$1,Capital!$B$16:$C$18,2,FALSE),0%)</f>
        <v>0</v>
      </c>
      <c r="BQZ2" s="179">
        <f>IFERROR(VLOOKUP(BQZ$1,Capital!$B$16:$C$18,2,FALSE),0%)</f>
        <v>0</v>
      </c>
      <c r="BRA2" s="179">
        <f>IFERROR(VLOOKUP(BRA$1,Capital!$B$16:$C$18,2,FALSE),0%)</f>
        <v>0</v>
      </c>
      <c r="BRB2" s="179">
        <f>IFERROR(VLOOKUP(BRB$1,Capital!$B$16:$C$18,2,FALSE),0%)</f>
        <v>0</v>
      </c>
      <c r="BRC2" s="179">
        <f>IFERROR(VLOOKUP(BRC$1,Capital!$B$16:$C$18,2,FALSE),0%)</f>
        <v>0</v>
      </c>
      <c r="BRD2" s="179">
        <f>IFERROR(VLOOKUP(BRD$1,Capital!$B$16:$C$18,2,FALSE),0%)</f>
        <v>0</v>
      </c>
      <c r="BRE2" s="179">
        <f>IFERROR(VLOOKUP(BRE$1,Capital!$B$16:$C$18,2,FALSE),0%)</f>
        <v>0</v>
      </c>
      <c r="BRF2" s="179">
        <f>IFERROR(VLOOKUP(BRF$1,Capital!$B$16:$C$18,2,FALSE),0%)</f>
        <v>0</v>
      </c>
      <c r="BRG2" s="179">
        <f>IFERROR(VLOOKUP(BRG$1,Capital!$B$16:$C$18,2,FALSE),0%)</f>
        <v>0</v>
      </c>
      <c r="BRH2" s="179">
        <f>IFERROR(VLOOKUP(BRH$1,Capital!$B$16:$C$18,2,FALSE),0%)</f>
        <v>0</v>
      </c>
      <c r="BRI2" s="179">
        <f>IFERROR(VLOOKUP(BRI$1,Capital!$B$16:$C$18,2,FALSE),0%)</f>
        <v>0</v>
      </c>
      <c r="BRJ2" s="179">
        <f>IFERROR(VLOOKUP(BRJ$1,Capital!$B$16:$C$18,2,FALSE),0%)</f>
        <v>0</v>
      </c>
      <c r="BRK2" s="179">
        <f>IFERROR(VLOOKUP(BRK$1,Capital!$B$16:$C$18,2,FALSE),0%)</f>
        <v>0</v>
      </c>
      <c r="BRL2" s="179">
        <f>IFERROR(VLOOKUP(BRL$1,Capital!$B$16:$C$18,2,FALSE),0%)</f>
        <v>0</v>
      </c>
      <c r="BRM2" s="179">
        <f>IFERROR(VLOOKUP(BRM$1,Capital!$B$16:$C$18,2,FALSE),0%)</f>
        <v>0</v>
      </c>
      <c r="BRN2" s="179">
        <f>IFERROR(VLOOKUP(BRN$1,Capital!$B$16:$C$18,2,FALSE),0%)</f>
        <v>0</v>
      </c>
      <c r="BRO2" s="179">
        <f>IFERROR(VLOOKUP(BRO$1,Capital!$B$16:$C$18,2,FALSE),0%)</f>
        <v>0</v>
      </c>
      <c r="BRP2" s="179">
        <f>IFERROR(VLOOKUP(BRP$1,Capital!$B$16:$C$18,2,FALSE),0%)</f>
        <v>0</v>
      </c>
      <c r="BRQ2" s="179">
        <f>IFERROR(VLOOKUP(BRQ$1,Capital!$B$16:$C$18,2,FALSE),0%)</f>
        <v>0</v>
      </c>
      <c r="BRR2" s="179">
        <f>IFERROR(VLOOKUP(BRR$1,Capital!$B$16:$C$18,2,FALSE),0%)</f>
        <v>0</v>
      </c>
      <c r="BRS2" s="179">
        <f>IFERROR(VLOOKUP(BRS$1,Capital!$B$16:$C$18,2,FALSE),0%)</f>
        <v>0</v>
      </c>
      <c r="BRT2" s="179">
        <f>IFERROR(VLOOKUP(BRT$1,Capital!$B$16:$C$18,2,FALSE),0%)</f>
        <v>0</v>
      </c>
      <c r="BRU2" s="179">
        <f>IFERROR(VLOOKUP(BRU$1,Capital!$B$16:$C$18,2,FALSE),0%)</f>
        <v>0</v>
      </c>
      <c r="BRV2" s="179">
        <f>IFERROR(VLOOKUP(BRV$1,Capital!$B$16:$C$18,2,FALSE),0%)</f>
        <v>0</v>
      </c>
      <c r="BRW2" s="179">
        <f>IFERROR(VLOOKUP(BRW$1,Capital!$B$16:$C$18,2,FALSE),0%)</f>
        <v>0</v>
      </c>
      <c r="BRX2" s="179">
        <f>IFERROR(VLOOKUP(BRX$1,Capital!$B$16:$C$18,2,FALSE),0%)</f>
        <v>0</v>
      </c>
      <c r="BRY2" s="179">
        <f>IFERROR(VLOOKUP(BRY$1,Capital!$B$16:$C$18,2,FALSE),0%)</f>
        <v>0</v>
      </c>
      <c r="BRZ2" s="179">
        <f>IFERROR(VLOOKUP(BRZ$1,Capital!$B$16:$C$18,2,FALSE),0%)</f>
        <v>0</v>
      </c>
      <c r="BSA2" s="179">
        <f>IFERROR(VLOOKUP(BSA$1,Capital!$B$16:$C$18,2,FALSE),0%)</f>
        <v>0</v>
      </c>
      <c r="BSB2" s="179">
        <f>IFERROR(VLOOKUP(BSB$1,Capital!$B$16:$C$18,2,FALSE),0%)</f>
        <v>0</v>
      </c>
      <c r="BSC2" s="179">
        <f>IFERROR(VLOOKUP(BSC$1,Capital!$B$16:$C$18,2,FALSE),0%)</f>
        <v>0</v>
      </c>
      <c r="BSD2" s="179">
        <f>IFERROR(VLOOKUP(BSD$1,Capital!$B$16:$C$18,2,FALSE),0%)</f>
        <v>0</v>
      </c>
      <c r="BSE2" s="179">
        <f>IFERROR(VLOOKUP(BSE$1,Capital!$B$16:$C$18,2,FALSE),0%)</f>
        <v>0</v>
      </c>
      <c r="BSF2" s="179">
        <f>IFERROR(VLOOKUP(BSF$1,Capital!$B$16:$C$18,2,FALSE),0%)</f>
        <v>0</v>
      </c>
      <c r="BSG2" s="179">
        <f>IFERROR(VLOOKUP(BSG$1,Capital!$B$16:$C$18,2,FALSE),0%)</f>
        <v>0</v>
      </c>
      <c r="BSH2" s="179">
        <f>IFERROR(VLOOKUP(BSH$1,Capital!$B$16:$C$18,2,FALSE),0%)</f>
        <v>0</v>
      </c>
      <c r="BSI2" s="179">
        <f>IFERROR(VLOOKUP(BSI$1,Capital!$B$16:$C$18,2,FALSE),0%)</f>
        <v>0</v>
      </c>
      <c r="BSJ2" s="179">
        <f>IFERROR(VLOOKUP(BSJ$1,Capital!$B$16:$C$18,2,FALSE),0%)</f>
        <v>0</v>
      </c>
      <c r="BSK2" s="179">
        <f>IFERROR(VLOOKUP(BSK$1,Capital!$B$16:$C$18,2,FALSE),0%)</f>
        <v>0</v>
      </c>
      <c r="BSL2" s="179">
        <f>IFERROR(VLOOKUP(BSL$1,Capital!$B$16:$C$18,2,FALSE),0%)</f>
        <v>0</v>
      </c>
      <c r="BSM2" s="179">
        <f>IFERROR(VLOOKUP(BSM$1,Capital!$B$16:$C$18,2,FALSE),0%)</f>
        <v>0</v>
      </c>
      <c r="BSN2" s="179">
        <f>IFERROR(VLOOKUP(BSN$1,Capital!$B$16:$C$18,2,FALSE),0%)</f>
        <v>0</v>
      </c>
      <c r="BSO2" s="179">
        <f>IFERROR(VLOOKUP(BSO$1,Capital!$B$16:$C$18,2,FALSE),0%)</f>
        <v>0</v>
      </c>
      <c r="BSP2" s="179">
        <f>IFERROR(VLOOKUP(BSP$1,Capital!$B$16:$C$18,2,FALSE),0%)</f>
        <v>0</v>
      </c>
      <c r="BSQ2" s="179">
        <f>IFERROR(VLOOKUP(BSQ$1,Capital!$B$16:$C$18,2,FALSE),0%)</f>
        <v>0</v>
      </c>
      <c r="BSR2" s="179">
        <f>IFERROR(VLOOKUP(BSR$1,Capital!$B$16:$C$18,2,FALSE),0%)</f>
        <v>0</v>
      </c>
      <c r="BSS2" s="179">
        <f>IFERROR(VLOOKUP(BSS$1,Capital!$B$16:$C$18,2,FALSE),0%)</f>
        <v>0</v>
      </c>
      <c r="BST2" s="179">
        <f>IFERROR(VLOOKUP(BST$1,Capital!$B$16:$C$18,2,FALSE),0%)</f>
        <v>0</v>
      </c>
      <c r="BSU2" s="179">
        <f>IFERROR(VLOOKUP(BSU$1,Capital!$B$16:$C$18,2,FALSE),0%)</f>
        <v>0</v>
      </c>
      <c r="BSV2" s="179">
        <f>IFERROR(VLOOKUP(BSV$1,Capital!$B$16:$C$18,2,FALSE),0%)</f>
        <v>0</v>
      </c>
      <c r="BSW2" s="179">
        <f>IFERROR(VLOOKUP(BSW$1,Capital!$B$16:$C$18,2,FALSE),0%)</f>
        <v>0</v>
      </c>
      <c r="BSX2" s="179">
        <f>IFERROR(VLOOKUP(BSX$1,Capital!$B$16:$C$18,2,FALSE),0%)</f>
        <v>0</v>
      </c>
      <c r="BSY2" s="179">
        <f>IFERROR(VLOOKUP(BSY$1,Capital!$B$16:$C$18,2,FALSE),0%)</f>
        <v>0</v>
      </c>
      <c r="BSZ2" s="179">
        <f>IFERROR(VLOOKUP(BSZ$1,Capital!$B$16:$C$18,2,FALSE),0%)</f>
        <v>0</v>
      </c>
      <c r="BTA2" s="179">
        <f>IFERROR(VLOOKUP(BTA$1,Capital!$B$16:$C$18,2,FALSE),0%)</f>
        <v>0</v>
      </c>
      <c r="BTB2" s="179">
        <f>IFERROR(VLOOKUP(BTB$1,Capital!$B$16:$C$18,2,FALSE),0%)</f>
        <v>0</v>
      </c>
      <c r="BTC2" s="179">
        <f>IFERROR(VLOOKUP(BTC$1,Capital!$B$16:$C$18,2,FALSE),0%)</f>
        <v>0</v>
      </c>
      <c r="BTD2" s="179">
        <f>IFERROR(VLOOKUP(BTD$1,Capital!$B$16:$C$18,2,FALSE),0%)</f>
        <v>0</v>
      </c>
      <c r="BTE2" s="179">
        <f>IFERROR(VLOOKUP(BTE$1,Capital!$B$16:$C$18,2,FALSE),0%)</f>
        <v>0</v>
      </c>
      <c r="BTF2" s="179">
        <f>IFERROR(VLOOKUP(BTF$1,Capital!$B$16:$C$18,2,FALSE),0%)</f>
        <v>0</v>
      </c>
      <c r="BTG2" s="179">
        <f>IFERROR(VLOOKUP(BTG$1,Capital!$B$16:$C$18,2,FALSE),0%)</f>
        <v>0</v>
      </c>
      <c r="BTH2" s="179">
        <f>IFERROR(VLOOKUP(BTH$1,Capital!$B$16:$C$18,2,FALSE),0%)</f>
        <v>0</v>
      </c>
      <c r="BTI2" s="179">
        <f>IFERROR(VLOOKUP(BTI$1,Capital!$B$16:$C$18,2,FALSE),0%)</f>
        <v>0</v>
      </c>
      <c r="BTJ2" s="179">
        <f>IFERROR(VLOOKUP(BTJ$1,Capital!$B$16:$C$18,2,FALSE),0%)</f>
        <v>0</v>
      </c>
      <c r="BTK2" s="179">
        <f>IFERROR(VLOOKUP(BTK$1,Capital!$B$16:$C$18,2,FALSE),0%)</f>
        <v>0</v>
      </c>
      <c r="BTL2" s="179">
        <f>IFERROR(VLOOKUP(BTL$1,Capital!$B$16:$C$18,2,FALSE),0%)</f>
        <v>0</v>
      </c>
      <c r="BTM2" s="179">
        <f>IFERROR(VLOOKUP(BTM$1,Capital!$B$16:$C$18,2,FALSE),0%)</f>
        <v>0</v>
      </c>
      <c r="BTN2" s="179">
        <f>IFERROR(VLOOKUP(BTN$1,Capital!$B$16:$C$18,2,FALSE),0%)</f>
        <v>0</v>
      </c>
      <c r="BTO2" s="179">
        <f>IFERROR(VLOOKUP(BTO$1,Capital!$B$16:$C$18,2,FALSE),0%)</f>
        <v>0</v>
      </c>
      <c r="BTP2" s="179">
        <f>IFERROR(VLOOKUP(BTP$1,Capital!$B$16:$C$18,2,FALSE),0%)</f>
        <v>0</v>
      </c>
      <c r="BTQ2" s="179">
        <f>IFERROR(VLOOKUP(BTQ$1,Capital!$B$16:$C$18,2,FALSE),0%)</f>
        <v>0</v>
      </c>
      <c r="BTR2" s="179">
        <f>IFERROR(VLOOKUP(BTR$1,Capital!$B$16:$C$18,2,FALSE),0%)</f>
        <v>0</v>
      </c>
      <c r="BTS2" s="179">
        <f>IFERROR(VLOOKUP(BTS$1,Capital!$B$16:$C$18,2,FALSE),0%)</f>
        <v>0</v>
      </c>
      <c r="BTT2" s="179">
        <f>IFERROR(VLOOKUP(BTT$1,Capital!$B$16:$C$18,2,FALSE),0%)</f>
        <v>0</v>
      </c>
      <c r="BTU2" s="179">
        <f>IFERROR(VLOOKUP(BTU$1,Capital!$B$16:$C$18,2,FALSE),0%)</f>
        <v>0</v>
      </c>
      <c r="BTV2" s="179">
        <f>IFERROR(VLOOKUP(BTV$1,Capital!$B$16:$C$18,2,FALSE),0%)</f>
        <v>0</v>
      </c>
      <c r="BTW2" s="179">
        <f>IFERROR(VLOOKUP(BTW$1,Capital!$B$16:$C$18,2,FALSE),0%)</f>
        <v>0</v>
      </c>
      <c r="BTX2" s="179">
        <f>IFERROR(VLOOKUP(BTX$1,Capital!$B$16:$C$18,2,FALSE),0%)</f>
        <v>0</v>
      </c>
      <c r="BTY2" s="179">
        <f>IFERROR(VLOOKUP(BTY$1,Capital!$B$16:$C$18,2,FALSE),0%)</f>
        <v>0</v>
      </c>
      <c r="BTZ2" s="179">
        <f>IFERROR(VLOOKUP(BTZ$1,Capital!$B$16:$C$18,2,FALSE),0%)</f>
        <v>0</v>
      </c>
      <c r="BUA2" s="179">
        <f>IFERROR(VLOOKUP(BUA$1,Capital!$B$16:$C$18,2,FALSE),0%)</f>
        <v>0</v>
      </c>
      <c r="BUB2" s="179">
        <f>IFERROR(VLOOKUP(BUB$1,Capital!$B$16:$C$18,2,FALSE),0%)</f>
        <v>0</v>
      </c>
      <c r="BUC2" s="179">
        <f>IFERROR(VLOOKUP(BUC$1,Capital!$B$16:$C$18,2,FALSE),0%)</f>
        <v>0</v>
      </c>
      <c r="BUD2" s="179">
        <f>IFERROR(VLOOKUP(BUD$1,Capital!$B$16:$C$18,2,FALSE),0%)</f>
        <v>0</v>
      </c>
      <c r="BUE2" s="179">
        <f>IFERROR(VLOOKUP(BUE$1,Capital!$B$16:$C$18,2,FALSE),0%)</f>
        <v>0</v>
      </c>
      <c r="BUF2" s="179">
        <f>IFERROR(VLOOKUP(BUF$1,Capital!$B$16:$C$18,2,FALSE),0%)</f>
        <v>0</v>
      </c>
      <c r="BUG2" s="179">
        <f>IFERROR(VLOOKUP(BUG$1,Capital!$B$16:$C$18,2,FALSE),0%)</f>
        <v>0</v>
      </c>
      <c r="BUH2" s="179">
        <f>IFERROR(VLOOKUP(BUH$1,Capital!$B$16:$C$18,2,FALSE),0%)</f>
        <v>0</v>
      </c>
      <c r="BUI2" s="179">
        <f>IFERROR(VLOOKUP(BUI$1,Capital!$B$16:$C$18,2,FALSE),0%)</f>
        <v>0</v>
      </c>
      <c r="BUJ2" s="179">
        <f>IFERROR(VLOOKUP(BUJ$1,Capital!$B$16:$C$18,2,FALSE),0%)</f>
        <v>0</v>
      </c>
      <c r="BUK2" s="179">
        <f>IFERROR(VLOOKUP(BUK$1,Capital!$B$16:$C$18,2,FALSE),0%)</f>
        <v>0</v>
      </c>
      <c r="BUL2" s="179">
        <f>IFERROR(VLOOKUP(BUL$1,Capital!$B$16:$C$18,2,FALSE),0%)</f>
        <v>0</v>
      </c>
      <c r="BUM2" s="179">
        <f>IFERROR(VLOOKUP(BUM$1,Capital!$B$16:$C$18,2,FALSE),0%)</f>
        <v>0</v>
      </c>
      <c r="BUN2" s="179">
        <f>IFERROR(VLOOKUP(BUN$1,Capital!$B$16:$C$18,2,FALSE),0%)</f>
        <v>0</v>
      </c>
      <c r="BUO2" s="179">
        <f>IFERROR(VLOOKUP(BUO$1,Capital!$B$16:$C$18,2,FALSE),0%)</f>
        <v>0</v>
      </c>
      <c r="BUP2" s="179">
        <f>IFERROR(VLOOKUP(BUP$1,Capital!$B$16:$C$18,2,FALSE),0%)</f>
        <v>0</v>
      </c>
      <c r="BUQ2" s="179">
        <f>IFERROR(VLOOKUP(BUQ$1,Capital!$B$16:$C$18,2,FALSE),0%)</f>
        <v>0</v>
      </c>
      <c r="BUR2" s="179">
        <f>IFERROR(VLOOKUP(BUR$1,Capital!$B$16:$C$18,2,FALSE),0%)</f>
        <v>0</v>
      </c>
      <c r="BUS2" s="179">
        <f>IFERROR(VLOOKUP(BUS$1,Capital!$B$16:$C$18,2,FALSE),0%)</f>
        <v>0</v>
      </c>
      <c r="BUT2" s="179">
        <f>IFERROR(VLOOKUP(BUT$1,Capital!$B$16:$C$18,2,FALSE),0%)</f>
        <v>0</v>
      </c>
      <c r="BUU2" s="179">
        <f>IFERROR(VLOOKUP(BUU$1,Capital!$B$16:$C$18,2,FALSE),0%)</f>
        <v>0</v>
      </c>
      <c r="BUV2" s="179">
        <f>IFERROR(VLOOKUP(BUV$1,Capital!$B$16:$C$18,2,FALSE),0%)</f>
        <v>0</v>
      </c>
      <c r="BUW2" s="179">
        <f>IFERROR(VLOOKUP(BUW$1,Capital!$B$16:$C$18,2,FALSE),0%)</f>
        <v>0</v>
      </c>
      <c r="BUX2" s="179">
        <f>IFERROR(VLOOKUP(BUX$1,Capital!$B$16:$C$18,2,FALSE),0%)</f>
        <v>0</v>
      </c>
      <c r="BUY2" s="179">
        <f>IFERROR(VLOOKUP(BUY$1,Capital!$B$16:$C$18,2,FALSE),0%)</f>
        <v>0</v>
      </c>
      <c r="BUZ2" s="179">
        <f>IFERROR(VLOOKUP(BUZ$1,Capital!$B$16:$C$18,2,FALSE),0%)</f>
        <v>0</v>
      </c>
      <c r="BVA2" s="179">
        <f>IFERROR(VLOOKUP(BVA$1,Capital!$B$16:$C$18,2,FALSE),0%)</f>
        <v>0</v>
      </c>
      <c r="BVB2" s="179">
        <f>IFERROR(VLOOKUP(BVB$1,Capital!$B$16:$C$18,2,FALSE),0%)</f>
        <v>0</v>
      </c>
      <c r="BVC2" s="179">
        <f>IFERROR(VLOOKUP(BVC$1,Capital!$B$16:$C$18,2,FALSE),0%)</f>
        <v>0</v>
      </c>
      <c r="BVD2" s="179">
        <f>IFERROR(VLOOKUP(BVD$1,Capital!$B$16:$C$18,2,FALSE),0%)</f>
        <v>0</v>
      </c>
      <c r="BVE2" s="179">
        <f>IFERROR(VLOOKUP(BVE$1,Capital!$B$16:$C$18,2,FALSE),0%)</f>
        <v>0</v>
      </c>
      <c r="BVF2" s="179">
        <f>IFERROR(VLOOKUP(BVF$1,Capital!$B$16:$C$18,2,FALSE),0%)</f>
        <v>0</v>
      </c>
      <c r="BVG2" s="179">
        <f>IFERROR(VLOOKUP(BVG$1,Capital!$B$16:$C$18,2,FALSE),0%)</f>
        <v>0</v>
      </c>
      <c r="BVH2" s="179">
        <f>IFERROR(VLOOKUP(BVH$1,Capital!$B$16:$C$18,2,FALSE),0%)</f>
        <v>0</v>
      </c>
      <c r="BVI2" s="179">
        <f>IFERROR(VLOOKUP(BVI$1,Capital!$B$16:$C$18,2,FALSE),0%)</f>
        <v>0</v>
      </c>
      <c r="BVJ2" s="179">
        <f>IFERROR(VLOOKUP(BVJ$1,Capital!$B$16:$C$18,2,FALSE),0%)</f>
        <v>0</v>
      </c>
      <c r="BVK2" s="179">
        <f>IFERROR(VLOOKUP(BVK$1,Capital!$B$16:$C$18,2,FALSE),0%)</f>
        <v>0</v>
      </c>
      <c r="BVL2" s="179">
        <f>IFERROR(VLOOKUP(BVL$1,Capital!$B$16:$C$18,2,FALSE),0%)</f>
        <v>0</v>
      </c>
      <c r="BVM2" s="179">
        <f>IFERROR(VLOOKUP(BVM$1,Capital!$B$16:$C$18,2,FALSE),0%)</f>
        <v>0</v>
      </c>
      <c r="BVN2" s="179">
        <f>IFERROR(VLOOKUP(BVN$1,Capital!$B$16:$C$18,2,FALSE),0%)</f>
        <v>0</v>
      </c>
      <c r="BVO2" s="179">
        <f>IFERROR(VLOOKUP(BVO$1,Capital!$B$16:$C$18,2,FALSE),0%)</f>
        <v>0</v>
      </c>
      <c r="BVP2" s="179">
        <f>IFERROR(VLOOKUP(BVP$1,Capital!$B$16:$C$18,2,FALSE),0%)</f>
        <v>0</v>
      </c>
      <c r="BVQ2" s="179">
        <f>IFERROR(VLOOKUP(BVQ$1,Capital!$B$16:$C$18,2,FALSE),0%)</f>
        <v>0</v>
      </c>
      <c r="BVR2" s="179">
        <f>IFERROR(VLOOKUP(BVR$1,Capital!$B$16:$C$18,2,FALSE),0%)</f>
        <v>0</v>
      </c>
      <c r="BVS2" s="179">
        <f>IFERROR(VLOOKUP(BVS$1,Capital!$B$16:$C$18,2,FALSE),0%)</f>
        <v>0</v>
      </c>
      <c r="BVT2" s="179">
        <f>IFERROR(VLOOKUP(BVT$1,Capital!$B$16:$C$18,2,FALSE),0%)</f>
        <v>0</v>
      </c>
      <c r="BVU2" s="179">
        <f>IFERROR(VLOOKUP(BVU$1,Capital!$B$16:$C$18,2,FALSE),0%)</f>
        <v>0</v>
      </c>
      <c r="BVV2" s="179">
        <f>IFERROR(VLOOKUP(BVV$1,Capital!$B$16:$C$18,2,FALSE),0%)</f>
        <v>0</v>
      </c>
      <c r="BVW2" s="179">
        <f>IFERROR(VLOOKUP(BVW$1,Capital!$B$16:$C$18,2,FALSE),0%)</f>
        <v>0</v>
      </c>
      <c r="BVX2" s="179">
        <f>IFERROR(VLOOKUP(BVX$1,Capital!$B$16:$C$18,2,FALSE),0%)</f>
        <v>0</v>
      </c>
      <c r="BVY2" s="179">
        <f>IFERROR(VLOOKUP(BVY$1,Capital!$B$16:$C$18,2,FALSE),0%)</f>
        <v>0</v>
      </c>
      <c r="BVZ2" s="179">
        <f>IFERROR(VLOOKUP(BVZ$1,Capital!$B$16:$C$18,2,FALSE),0%)</f>
        <v>0</v>
      </c>
      <c r="BWA2" s="179">
        <f>IFERROR(VLOOKUP(BWA$1,Capital!$B$16:$C$18,2,FALSE),0%)</f>
        <v>0</v>
      </c>
      <c r="BWB2" s="179">
        <f>IFERROR(VLOOKUP(BWB$1,Capital!$B$16:$C$18,2,FALSE),0%)</f>
        <v>0</v>
      </c>
      <c r="BWC2" s="179">
        <f>IFERROR(VLOOKUP(BWC$1,Capital!$B$16:$C$18,2,FALSE),0%)</f>
        <v>0</v>
      </c>
      <c r="BWD2" s="179">
        <f>IFERROR(VLOOKUP(BWD$1,Capital!$B$16:$C$18,2,FALSE),0%)</f>
        <v>0</v>
      </c>
      <c r="BWE2" s="179">
        <f>IFERROR(VLOOKUP(BWE$1,Capital!$B$16:$C$18,2,FALSE),0%)</f>
        <v>0</v>
      </c>
      <c r="BWF2" s="179">
        <f>IFERROR(VLOOKUP(BWF$1,Capital!$B$16:$C$18,2,FALSE),0%)</f>
        <v>0</v>
      </c>
      <c r="BWG2" s="179">
        <f>IFERROR(VLOOKUP(BWG$1,Capital!$B$16:$C$18,2,FALSE),0%)</f>
        <v>0</v>
      </c>
      <c r="BWH2" s="179">
        <f>IFERROR(VLOOKUP(BWH$1,Capital!$B$16:$C$18,2,FALSE),0%)</f>
        <v>0</v>
      </c>
      <c r="BWI2" s="179">
        <f>IFERROR(VLOOKUP(BWI$1,Capital!$B$16:$C$18,2,FALSE),0%)</f>
        <v>0</v>
      </c>
      <c r="BWJ2" s="179">
        <f>IFERROR(VLOOKUP(BWJ$1,Capital!$B$16:$C$18,2,FALSE),0%)</f>
        <v>0</v>
      </c>
      <c r="BWK2" s="179">
        <f>IFERROR(VLOOKUP(BWK$1,Capital!$B$16:$C$18,2,FALSE),0%)</f>
        <v>0</v>
      </c>
      <c r="BWL2" s="179">
        <f>IFERROR(VLOOKUP(BWL$1,Capital!$B$16:$C$18,2,FALSE),0%)</f>
        <v>0</v>
      </c>
      <c r="BWM2" s="179">
        <f>IFERROR(VLOOKUP(BWM$1,Capital!$B$16:$C$18,2,FALSE),0%)</f>
        <v>0</v>
      </c>
      <c r="BWN2" s="179">
        <f>IFERROR(VLOOKUP(BWN$1,Capital!$B$16:$C$18,2,FALSE),0%)</f>
        <v>0</v>
      </c>
      <c r="BWO2" s="179">
        <f>IFERROR(VLOOKUP(BWO$1,Capital!$B$16:$C$18,2,FALSE),0%)</f>
        <v>0</v>
      </c>
      <c r="BWP2" s="179">
        <f>IFERROR(VLOOKUP(BWP$1,Capital!$B$16:$C$18,2,FALSE),0%)</f>
        <v>0</v>
      </c>
      <c r="BWQ2" s="179">
        <f>IFERROR(VLOOKUP(BWQ$1,Capital!$B$16:$C$18,2,FALSE),0%)</f>
        <v>0</v>
      </c>
      <c r="BWR2" s="179">
        <f>IFERROR(VLOOKUP(BWR$1,Capital!$B$16:$C$18,2,FALSE),0%)</f>
        <v>0</v>
      </c>
      <c r="BWS2" s="179">
        <f>IFERROR(VLOOKUP(BWS$1,Capital!$B$16:$C$18,2,FALSE),0%)</f>
        <v>0</v>
      </c>
      <c r="BWT2" s="179">
        <f>IFERROR(VLOOKUP(BWT$1,Capital!$B$16:$C$18,2,FALSE),0%)</f>
        <v>0</v>
      </c>
      <c r="BWU2" s="179">
        <f>IFERROR(VLOOKUP(BWU$1,Capital!$B$16:$C$18,2,FALSE),0%)</f>
        <v>0</v>
      </c>
      <c r="BWV2" s="179">
        <f>IFERROR(VLOOKUP(BWV$1,Capital!$B$16:$C$18,2,FALSE),0%)</f>
        <v>0</v>
      </c>
      <c r="BWW2" s="179">
        <f>IFERROR(VLOOKUP(BWW$1,Capital!$B$16:$C$18,2,FALSE),0%)</f>
        <v>0</v>
      </c>
      <c r="BWX2" s="179">
        <f>IFERROR(VLOOKUP(BWX$1,Capital!$B$16:$C$18,2,FALSE),0%)</f>
        <v>0</v>
      </c>
      <c r="BWY2" s="179">
        <f>IFERROR(VLOOKUP(BWY$1,Capital!$B$16:$C$18,2,FALSE),0%)</f>
        <v>0</v>
      </c>
      <c r="BWZ2" s="179">
        <f>IFERROR(VLOOKUP(BWZ$1,Capital!$B$16:$C$18,2,FALSE),0%)</f>
        <v>0</v>
      </c>
      <c r="BXA2" s="179">
        <f>IFERROR(VLOOKUP(BXA$1,Capital!$B$16:$C$18,2,FALSE),0%)</f>
        <v>0</v>
      </c>
      <c r="BXB2" s="179">
        <f>IFERROR(VLOOKUP(BXB$1,Capital!$B$16:$C$18,2,FALSE),0%)</f>
        <v>0</v>
      </c>
      <c r="BXC2" s="179">
        <f>IFERROR(VLOOKUP(BXC$1,Capital!$B$16:$C$18,2,FALSE),0%)</f>
        <v>0</v>
      </c>
      <c r="BXD2" s="179">
        <f>IFERROR(VLOOKUP(BXD$1,Capital!$B$16:$C$18,2,FALSE),0%)</f>
        <v>0</v>
      </c>
      <c r="BXE2" s="179">
        <f>IFERROR(VLOOKUP(BXE$1,Capital!$B$16:$C$18,2,FALSE),0%)</f>
        <v>0</v>
      </c>
      <c r="BXF2" s="179">
        <f>IFERROR(VLOOKUP(BXF$1,Capital!$B$16:$C$18,2,FALSE),0%)</f>
        <v>0</v>
      </c>
      <c r="BXG2" s="179">
        <f>IFERROR(VLOOKUP(BXG$1,Capital!$B$16:$C$18,2,FALSE),0%)</f>
        <v>0</v>
      </c>
      <c r="BXH2" s="179">
        <f>IFERROR(VLOOKUP(BXH$1,Capital!$B$16:$C$18,2,FALSE),0%)</f>
        <v>0</v>
      </c>
      <c r="BXI2" s="179">
        <f>IFERROR(VLOOKUP(BXI$1,Capital!$B$16:$C$18,2,FALSE),0%)</f>
        <v>0</v>
      </c>
      <c r="BXJ2" s="179">
        <f>IFERROR(VLOOKUP(BXJ$1,Capital!$B$16:$C$18,2,FALSE),0%)</f>
        <v>0</v>
      </c>
      <c r="BXK2" s="179">
        <f>IFERROR(VLOOKUP(BXK$1,Capital!$B$16:$C$18,2,FALSE),0%)</f>
        <v>0</v>
      </c>
      <c r="BXL2" s="179">
        <f>IFERROR(VLOOKUP(BXL$1,Capital!$B$16:$C$18,2,FALSE),0%)</f>
        <v>0</v>
      </c>
      <c r="BXM2" s="179">
        <f>IFERROR(VLOOKUP(BXM$1,Capital!$B$16:$C$18,2,FALSE),0%)</f>
        <v>0</v>
      </c>
      <c r="BXN2" s="179">
        <f>IFERROR(VLOOKUP(BXN$1,Capital!$B$16:$C$18,2,FALSE),0%)</f>
        <v>0</v>
      </c>
      <c r="BXO2" s="179">
        <f>IFERROR(VLOOKUP(BXO$1,Capital!$B$16:$C$18,2,FALSE),0%)</f>
        <v>0</v>
      </c>
      <c r="BXP2" s="179">
        <f>IFERROR(VLOOKUP(BXP$1,Capital!$B$16:$C$18,2,FALSE),0%)</f>
        <v>0</v>
      </c>
      <c r="BXQ2" s="179">
        <f>IFERROR(VLOOKUP(BXQ$1,Capital!$B$16:$C$18,2,FALSE),0%)</f>
        <v>0</v>
      </c>
      <c r="BXR2" s="179">
        <f>IFERROR(VLOOKUP(BXR$1,Capital!$B$16:$C$18,2,FALSE),0%)</f>
        <v>0</v>
      </c>
      <c r="BXS2" s="179">
        <f>IFERROR(VLOOKUP(BXS$1,Capital!$B$16:$C$18,2,FALSE),0%)</f>
        <v>0</v>
      </c>
      <c r="BXT2" s="179">
        <f>IFERROR(VLOOKUP(BXT$1,Capital!$B$16:$C$18,2,FALSE),0%)</f>
        <v>0</v>
      </c>
      <c r="BXU2" s="179">
        <f>IFERROR(VLOOKUP(BXU$1,Capital!$B$16:$C$18,2,FALSE),0%)</f>
        <v>0</v>
      </c>
      <c r="BXV2" s="179">
        <f>IFERROR(VLOOKUP(BXV$1,Capital!$B$16:$C$18,2,FALSE),0%)</f>
        <v>0</v>
      </c>
      <c r="BXW2" s="179">
        <f>IFERROR(VLOOKUP(BXW$1,Capital!$B$16:$C$18,2,FALSE),0%)</f>
        <v>0</v>
      </c>
      <c r="BXX2" s="179">
        <f>IFERROR(VLOOKUP(BXX$1,Capital!$B$16:$C$18,2,FALSE),0%)</f>
        <v>0</v>
      </c>
      <c r="BXY2" s="179">
        <f>IFERROR(VLOOKUP(BXY$1,Capital!$B$16:$C$18,2,FALSE),0%)</f>
        <v>0</v>
      </c>
      <c r="BXZ2" s="179">
        <f>IFERROR(VLOOKUP(BXZ$1,Capital!$B$16:$C$18,2,FALSE),0%)</f>
        <v>0</v>
      </c>
      <c r="BYA2" s="179">
        <f>IFERROR(VLOOKUP(BYA$1,Capital!$B$16:$C$18,2,FALSE),0%)</f>
        <v>0</v>
      </c>
      <c r="BYB2" s="179">
        <f>IFERROR(VLOOKUP(BYB$1,Capital!$B$16:$C$18,2,FALSE),0%)</f>
        <v>0</v>
      </c>
      <c r="BYC2" s="179">
        <f>IFERROR(VLOOKUP(BYC$1,Capital!$B$16:$C$18,2,FALSE),0%)</f>
        <v>0</v>
      </c>
      <c r="BYD2" s="179">
        <f>IFERROR(VLOOKUP(BYD$1,Capital!$B$16:$C$18,2,FALSE),0%)</f>
        <v>0</v>
      </c>
      <c r="BYE2" s="179">
        <f>IFERROR(VLOOKUP(BYE$1,Capital!$B$16:$C$18,2,FALSE),0%)</f>
        <v>0</v>
      </c>
      <c r="BYF2" s="179">
        <f>IFERROR(VLOOKUP(BYF$1,Capital!$B$16:$C$18,2,FALSE),0%)</f>
        <v>0</v>
      </c>
      <c r="BYG2" s="179">
        <f>IFERROR(VLOOKUP(BYG$1,Capital!$B$16:$C$18,2,FALSE),0%)</f>
        <v>0</v>
      </c>
      <c r="BYH2" s="179">
        <f>IFERROR(VLOOKUP(BYH$1,Capital!$B$16:$C$18,2,FALSE),0%)</f>
        <v>0</v>
      </c>
      <c r="BYI2" s="179">
        <f>IFERROR(VLOOKUP(BYI$1,Capital!$B$16:$C$18,2,FALSE),0%)</f>
        <v>0</v>
      </c>
      <c r="BYJ2" s="179">
        <f>IFERROR(VLOOKUP(BYJ$1,Capital!$B$16:$C$18,2,FALSE),0%)</f>
        <v>0</v>
      </c>
      <c r="BYK2" s="179">
        <f>IFERROR(VLOOKUP(BYK$1,Capital!$B$16:$C$18,2,FALSE),0%)</f>
        <v>0</v>
      </c>
      <c r="BYL2" s="179">
        <f>IFERROR(VLOOKUP(BYL$1,Capital!$B$16:$C$18,2,FALSE),0%)</f>
        <v>0</v>
      </c>
      <c r="BYM2" s="179">
        <f>IFERROR(VLOOKUP(BYM$1,Capital!$B$16:$C$18,2,FALSE),0%)</f>
        <v>0</v>
      </c>
      <c r="BYN2" s="179">
        <f>IFERROR(VLOOKUP(BYN$1,Capital!$B$16:$C$18,2,FALSE),0%)</f>
        <v>0</v>
      </c>
      <c r="BYO2" s="179">
        <f>IFERROR(VLOOKUP(BYO$1,Capital!$B$16:$C$18,2,FALSE),0%)</f>
        <v>0</v>
      </c>
      <c r="BYP2" s="179">
        <f>IFERROR(VLOOKUP(BYP$1,Capital!$B$16:$C$18,2,FALSE),0%)</f>
        <v>0</v>
      </c>
      <c r="BYQ2" s="179">
        <f>IFERROR(VLOOKUP(BYQ$1,Capital!$B$16:$C$18,2,FALSE),0%)</f>
        <v>0</v>
      </c>
      <c r="BYR2" s="179">
        <f>IFERROR(VLOOKUP(BYR$1,Capital!$B$16:$C$18,2,FALSE),0%)</f>
        <v>0</v>
      </c>
      <c r="BYS2" s="179">
        <f>IFERROR(VLOOKUP(BYS$1,Capital!$B$16:$C$18,2,FALSE),0%)</f>
        <v>0</v>
      </c>
      <c r="BYT2" s="179">
        <f>IFERROR(VLOOKUP(BYT$1,Capital!$B$16:$C$18,2,FALSE),0%)</f>
        <v>0</v>
      </c>
      <c r="BYU2" s="179">
        <f>IFERROR(VLOOKUP(BYU$1,Capital!$B$16:$C$18,2,FALSE),0%)</f>
        <v>0</v>
      </c>
      <c r="BYV2" s="179">
        <f>IFERROR(VLOOKUP(BYV$1,Capital!$B$16:$C$18,2,FALSE),0%)</f>
        <v>0</v>
      </c>
      <c r="BYW2" s="179">
        <f>IFERROR(VLOOKUP(BYW$1,Capital!$B$16:$C$18,2,FALSE),0%)</f>
        <v>0</v>
      </c>
      <c r="BYX2" s="179">
        <f>IFERROR(VLOOKUP(BYX$1,Capital!$B$16:$C$18,2,FALSE),0%)</f>
        <v>0</v>
      </c>
      <c r="BYY2" s="179">
        <f>IFERROR(VLOOKUP(BYY$1,Capital!$B$16:$C$18,2,FALSE),0%)</f>
        <v>0</v>
      </c>
      <c r="BYZ2" s="179">
        <f>IFERROR(VLOOKUP(BYZ$1,Capital!$B$16:$C$18,2,FALSE),0%)</f>
        <v>0</v>
      </c>
      <c r="BZA2" s="179">
        <f>IFERROR(VLOOKUP(BZA$1,Capital!$B$16:$C$18,2,FALSE),0%)</f>
        <v>0</v>
      </c>
      <c r="BZB2" s="179">
        <f>IFERROR(VLOOKUP(BZB$1,Capital!$B$16:$C$18,2,FALSE),0%)</f>
        <v>0</v>
      </c>
      <c r="BZC2" s="179">
        <f>IFERROR(VLOOKUP(BZC$1,Capital!$B$16:$C$18,2,FALSE),0%)</f>
        <v>0</v>
      </c>
      <c r="BZD2" s="179">
        <f>IFERROR(VLOOKUP(BZD$1,Capital!$B$16:$C$18,2,FALSE),0%)</f>
        <v>0</v>
      </c>
      <c r="BZE2" s="179">
        <f>IFERROR(VLOOKUP(BZE$1,Capital!$B$16:$C$18,2,FALSE),0%)</f>
        <v>0</v>
      </c>
      <c r="BZF2" s="179">
        <f>IFERROR(VLOOKUP(BZF$1,Capital!$B$16:$C$18,2,FALSE),0%)</f>
        <v>0</v>
      </c>
      <c r="BZG2" s="179">
        <f>IFERROR(VLOOKUP(BZG$1,Capital!$B$16:$C$18,2,FALSE),0%)</f>
        <v>0</v>
      </c>
      <c r="BZH2" s="179">
        <f>IFERROR(VLOOKUP(BZH$1,Capital!$B$16:$C$18,2,FALSE),0%)</f>
        <v>0</v>
      </c>
      <c r="BZI2" s="179">
        <f>IFERROR(VLOOKUP(BZI$1,Capital!$B$16:$C$18,2,FALSE),0%)</f>
        <v>0</v>
      </c>
      <c r="BZJ2" s="179">
        <f>IFERROR(VLOOKUP(BZJ$1,Capital!$B$16:$C$18,2,FALSE),0%)</f>
        <v>0</v>
      </c>
      <c r="BZK2" s="179">
        <f>IFERROR(VLOOKUP(BZK$1,Capital!$B$16:$C$18,2,FALSE),0%)</f>
        <v>0</v>
      </c>
      <c r="BZL2" s="179">
        <f>IFERROR(VLOOKUP(BZL$1,Capital!$B$16:$C$18,2,FALSE),0%)</f>
        <v>0</v>
      </c>
      <c r="BZM2" s="179">
        <f>IFERROR(VLOOKUP(BZM$1,Capital!$B$16:$C$18,2,FALSE),0%)</f>
        <v>0</v>
      </c>
      <c r="BZN2" s="179">
        <f>IFERROR(VLOOKUP(BZN$1,Capital!$B$16:$C$18,2,FALSE),0%)</f>
        <v>0</v>
      </c>
      <c r="BZO2" s="179">
        <f>IFERROR(VLOOKUP(BZO$1,Capital!$B$16:$C$18,2,FALSE),0%)</f>
        <v>0</v>
      </c>
      <c r="BZP2" s="179">
        <f>IFERROR(VLOOKUP(BZP$1,Capital!$B$16:$C$18,2,FALSE),0%)</f>
        <v>0</v>
      </c>
      <c r="BZQ2" s="179">
        <f>IFERROR(VLOOKUP(BZQ$1,Capital!$B$16:$C$18,2,FALSE),0%)</f>
        <v>0</v>
      </c>
      <c r="BZR2" s="179">
        <f>IFERROR(VLOOKUP(BZR$1,Capital!$B$16:$C$18,2,FALSE),0%)</f>
        <v>0</v>
      </c>
      <c r="BZS2" s="179">
        <f>IFERROR(VLOOKUP(BZS$1,Capital!$B$16:$C$18,2,FALSE),0%)</f>
        <v>0</v>
      </c>
      <c r="BZT2" s="179">
        <f>IFERROR(VLOOKUP(BZT$1,Capital!$B$16:$C$18,2,FALSE),0%)</f>
        <v>0</v>
      </c>
      <c r="BZU2" s="179">
        <f>IFERROR(VLOOKUP(BZU$1,Capital!$B$16:$C$18,2,FALSE),0%)</f>
        <v>0</v>
      </c>
      <c r="BZV2" s="179">
        <f>IFERROR(VLOOKUP(BZV$1,Capital!$B$16:$C$18,2,FALSE),0%)</f>
        <v>0</v>
      </c>
      <c r="BZW2" s="179">
        <f>IFERROR(VLOOKUP(BZW$1,Capital!$B$16:$C$18,2,FALSE),0%)</f>
        <v>0</v>
      </c>
      <c r="BZX2" s="179">
        <f>IFERROR(VLOOKUP(BZX$1,Capital!$B$16:$C$18,2,FALSE),0%)</f>
        <v>0</v>
      </c>
      <c r="BZY2" s="179">
        <f>IFERROR(VLOOKUP(BZY$1,Capital!$B$16:$C$18,2,FALSE),0%)</f>
        <v>0</v>
      </c>
      <c r="BZZ2" s="179">
        <f>IFERROR(VLOOKUP(BZZ$1,Capital!$B$16:$C$18,2,FALSE),0%)</f>
        <v>0</v>
      </c>
      <c r="CAA2" s="179">
        <f>IFERROR(VLOOKUP(CAA$1,Capital!$B$16:$C$18,2,FALSE),0%)</f>
        <v>0</v>
      </c>
      <c r="CAB2" s="179">
        <f>IFERROR(VLOOKUP(CAB$1,Capital!$B$16:$C$18,2,FALSE),0%)</f>
        <v>0</v>
      </c>
      <c r="CAC2" s="179">
        <f>IFERROR(VLOOKUP(CAC$1,Capital!$B$16:$C$18,2,FALSE),0%)</f>
        <v>0</v>
      </c>
      <c r="CAD2" s="179">
        <f>IFERROR(VLOOKUP(CAD$1,Capital!$B$16:$C$18,2,FALSE),0%)</f>
        <v>0</v>
      </c>
      <c r="CAE2" s="179">
        <f>IFERROR(VLOOKUP(CAE$1,Capital!$B$16:$C$18,2,FALSE),0%)</f>
        <v>0</v>
      </c>
      <c r="CAF2" s="179">
        <f>IFERROR(VLOOKUP(CAF$1,Capital!$B$16:$C$18,2,FALSE),0%)</f>
        <v>0</v>
      </c>
      <c r="CAG2" s="179">
        <f>IFERROR(VLOOKUP(CAG$1,Capital!$B$16:$C$18,2,FALSE),0%)</f>
        <v>0</v>
      </c>
      <c r="CAH2" s="179">
        <f>IFERROR(VLOOKUP(CAH$1,Capital!$B$16:$C$18,2,FALSE),0%)</f>
        <v>0</v>
      </c>
      <c r="CAI2" s="179">
        <f>IFERROR(VLOOKUP(CAI$1,Capital!$B$16:$C$18,2,FALSE),0%)</f>
        <v>0</v>
      </c>
      <c r="CAJ2" s="179">
        <f>IFERROR(VLOOKUP(CAJ$1,Capital!$B$16:$C$18,2,FALSE),0%)</f>
        <v>0</v>
      </c>
      <c r="CAK2" s="179">
        <f>IFERROR(VLOOKUP(CAK$1,Capital!$B$16:$C$18,2,FALSE),0%)</f>
        <v>0</v>
      </c>
      <c r="CAL2" s="179">
        <f>IFERROR(VLOOKUP(CAL$1,Capital!$B$16:$C$18,2,FALSE),0%)</f>
        <v>0</v>
      </c>
      <c r="CAM2" s="179">
        <f>IFERROR(VLOOKUP(CAM$1,Capital!$B$16:$C$18,2,FALSE),0%)</f>
        <v>0</v>
      </c>
      <c r="CAN2" s="179">
        <f>IFERROR(VLOOKUP(CAN$1,Capital!$B$16:$C$18,2,FALSE),0%)</f>
        <v>0</v>
      </c>
      <c r="CAO2" s="179">
        <f>IFERROR(VLOOKUP(CAO$1,Capital!$B$16:$C$18,2,FALSE),0%)</f>
        <v>0</v>
      </c>
      <c r="CAP2" s="179">
        <f>IFERROR(VLOOKUP(CAP$1,Capital!$B$16:$C$18,2,FALSE),0%)</f>
        <v>0</v>
      </c>
      <c r="CAQ2" s="179">
        <f>IFERROR(VLOOKUP(CAQ$1,Capital!$B$16:$C$18,2,FALSE),0%)</f>
        <v>0</v>
      </c>
      <c r="CAR2" s="179">
        <f>IFERROR(VLOOKUP(CAR$1,Capital!$B$16:$C$18,2,FALSE),0%)</f>
        <v>0</v>
      </c>
      <c r="CAS2" s="179">
        <f>IFERROR(VLOOKUP(CAS$1,Capital!$B$16:$C$18,2,FALSE),0%)</f>
        <v>0</v>
      </c>
      <c r="CAT2" s="179">
        <f>IFERROR(VLOOKUP(CAT$1,Capital!$B$16:$C$18,2,FALSE),0%)</f>
        <v>0</v>
      </c>
      <c r="CAU2" s="179">
        <f>IFERROR(VLOOKUP(CAU$1,Capital!$B$16:$C$18,2,FALSE),0%)</f>
        <v>0</v>
      </c>
      <c r="CAV2" s="179">
        <f>IFERROR(VLOOKUP(CAV$1,Capital!$B$16:$C$18,2,FALSE),0%)</f>
        <v>0</v>
      </c>
      <c r="CAW2" s="179">
        <f>IFERROR(VLOOKUP(CAW$1,Capital!$B$16:$C$18,2,FALSE),0%)</f>
        <v>0</v>
      </c>
      <c r="CAX2" s="179">
        <f>IFERROR(VLOOKUP(CAX$1,Capital!$B$16:$C$18,2,FALSE),0%)</f>
        <v>0</v>
      </c>
      <c r="CAY2" s="179">
        <f>IFERROR(VLOOKUP(CAY$1,Capital!$B$16:$C$18,2,FALSE),0%)</f>
        <v>0</v>
      </c>
      <c r="CAZ2" s="179">
        <f>IFERROR(VLOOKUP(CAZ$1,Capital!$B$16:$C$18,2,FALSE),0%)</f>
        <v>0</v>
      </c>
      <c r="CBA2" s="179">
        <f>IFERROR(VLOOKUP(CBA$1,Capital!$B$16:$C$18,2,FALSE),0%)</f>
        <v>0</v>
      </c>
      <c r="CBB2" s="179">
        <f>IFERROR(VLOOKUP(CBB$1,Capital!$B$16:$C$18,2,FALSE),0%)</f>
        <v>0</v>
      </c>
      <c r="CBC2" s="179">
        <f>IFERROR(VLOOKUP(CBC$1,Capital!$B$16:$C$18,2,FALSE),0%)</f>
        <v>0</v>
      </c>
      <c r="CBD2" s="179">
        <f>IFERROR(VLOOKUP(CBD$1,Capital!$B$16:$C$18,2,FALSE),0%)</f>
        <v>0</v>
      </c>
      <c r="CBE2" s="179">
        <f>IFERROR(VLOOKUP(CBE$1,Capital!$B$16:$C$18,2,FALSE),0%)</f>
        <v>0</v>
      </c>
      <c r="CBF2" s="179">
        <f>IFERROR(VLOOKUP(CBF$1,Capital!$B$16:$C$18,2,FALSE),0%)</f>
        <v>0</v>
      </c>
      <c r="CBG2" s="179">
        <f>IFERROR(VLOOKUP(CBG$1,Capital!$B$16:$C$18,2,FALSE),0%)</f>
        <v>0</v>
      </c>
      <c r="CBH2" s="179">
        <f>IFERROR(VLOOKUP(CBH$1,Capital!$B$16:$C$18,2,FALSE),0%)</f>
        <v>0</v>
      </c>
      <c r="CBI2" s="179">
        <f>IFERROR(VLOOKUP(CBI$1,Capital!$B$16:$C$18,2,FALSE),0%)</f>
        <v>0</v>
      </c>
      <c r="CBJ2" s="179">
        <f>IFERROR(VLOOKUP(CBJ$1,Capital!$B$16:$C$18,2,FALSE),0%)</f>
        <v>0</v>
      </c>
      <c r="CBK2" s="179">
        <f>IFERROR(VLOOKUP(CBK$1,Capital!$B$16:$C$18,2,FALSE),0%)</f>
        <v>0</v>
      </c>
      <c r="CBL2" s="179">
        <f>IFERROR(VLOOKUP(CBL$1,Capital!$B$16:$C$18,2,FALSE),0%)</f>
        <v>0</v>
      </c>
      <c r="CBM2" s="179">
        <f>IFERROR(VLOOKUP(CBM$1,Capital!$B$16:$C$18,2,FALSE),0%)</f>
        <v>0</v>
      </c>
      <c r="CBN2" s="179">
        <f>IFERROR(VLOOKUP(CBN$1,Capital!$B$16:$C$18,2,FALSE),0%)</f>
        <v>0</v>
      </c>
      <c r="CBO2" s="179">
        <f>IFERROR(VLOOKUP(CBO$1,Capital!$B$16:$C$18,2,FALSE),0%)</f>
        <v>0</v>
      </c>
      <c r="CBP2" s="179">
        <f>IFERROR(VLOOKUP(CBP$1,Capital!$B$16:$C$18,2,FALSE),0%)</f>
        <v>0</v>
      </c>
      <c r="CBQ2" s="179">
        <f>IFERROR(VLOOKUP(CBQ$1,Capital!$B$16:$C$18,2,FALSE),0%)</f>
        <v>0</v>
      </c>
      <c r="CBR2" s="179">
        <f>IFERROR(VLOOKUP(CBR$1,Capital!$B$16:$C$18,2,FALSE),0%)</f>
        <v>0</v>
      </c>
      <c r="CBS2" s="179">
        <f>IFERROR(VLOOKUP(CBS$1,Capital!$B$16:$C$18,2,FALSE),0%)</f>
        <v>0</v>
      </c>
      <c r="CBT2" s="179">
        <f>IFERROR(VLOOKUP(CBT$1,Capital!$B$16:$C$18,2,FALSE),0%)</f>
        <v>0</v>
      </c>
      <c r="CBU2" s="179">
        <f>IFERROR(VLOOKUP(CBU$1,Capital!$B$16:$C$18,2,FALSE),0%)</f>
        <v>0</v>
      </c>
      <c r="CBV2" s="179">
        <f>IFERROR(VLOOKUP(CBV$1,Capital!$B$16:$C$18,2,FALSE),0%)</f>
        <v>0</v>
      </c>
      <c r="CBW2" s="179">
        <f t="shared" ref="CBW2:CBW8" si="1">SUM(B2:CBV2)</f>
        <v>0.9999</v>
      </c>
    </row>
    <row r="3">
      <c r="A3" s="410" t="s">
        <v>14</v>
      </c>
      <c r="B3" s="179">
        <f>IFERROR(VLOOKUP(B$1,Equilibrium[[Ticker]:[Weight]],2,FALSE),0%)</f>
        <v>0</v>
      </c>
      <c r="C3" s="179">
        <f>IFERROR(VLOOKUP(C$1,Equilibrium[[Ticker]:[Weight]],2,FALSE),0%)</f>
        <v>0</v>
      </c>
      <c r="D3" s="179">
        <f>IFERROR(VLOOKUP(D$1,Equilibrium[[Ticker]:[Weight]],2,FALSE),0%)</f>
        <v>0</v>
      </c>
      <c r="E3" s="179">
        <f>IFERROR(VLOOKUP(E$1,Equilibrium[[Ticker]:[Weight]],2,FALSE),0%)</f>
        <v>0</v>
      </c>
      <c r="F3" s="179">
        <f>IFERROR(VLOOKUP(F$1,Equilibrium[[Ticker]:[Weight]],2,FALSE),0%)</f>
        <v>0</v>
      </c>
      <c r="G3" s="179">
        <f>IFERROR(VLOOKUP(G$1,Equilibrium[[Ticker]:[Weight]],2,FALSE),0%)</f>
        <v>0</v>
      </c>
      <c r="H3" s="179">
        <f>IFERROR(VLOOKUP(H$1,Equilibrium[[Ticker]:[Weight]],2,FALSE),0%)</f>
        <v>0</v>
      </c>
      <c r="I3" s="179">
        <f>IFERROR(VLOOKUP(I$1,Equilibrium[[Ticker]:[Weight]],2,FALSE),0%)</f>
        <v>0</v>
      </c>
      <c r="J3" s="179">
        <f>IFERROR(VLOOKUP(J$1,Equilibrium[[Ticker]:[Weight]],2,FALSE),0%)</f>
        <v>0</v>
      </c>
      <c r="K3" s="179">
        <f>IFERROR(VLOOKUP(K$1,Equilibrium[[Ticker]:[Weight]],2,FALSE),0%)</f>
        <v>0</v>
      </c>
      <c r="L3" s="179">
        <f>IFERROR(VLOOKUP(L$1,Equilibrium[[Ticker]:[Weight]],2,FALSE),0%)</f>
        <v>0</v>
      </c>
      <c r="M3" s="179">
        <f>IFERROR(VLOOKUP(M$1,Equilibrium[[Ticker]:[Weight]],2,FALSE),0%)</f>
        <v>0</v>
      </c>
      <c r="N3" s="179">
        <f>IFERROR(VLOOKUP(N$1,Equilibrium[[Ticker]:[Weight]],2,FALSE),0%)</f>
        <v>0</v>
      </c>
      <c r="O3" s="179">
        <f>IFERROR(VLOOKUP(O$1,Equilibrium[[Ticker]:[Weight]],2,FALSE),0%)</f>
        <v>0</v>
      </c>
      <c r="P3" s="179">
        <f>IFERROR(VLOOKUP(P$1,Equilibrium[[Ticker]:[Weight]],2,FALSE),0%)</f>
        <v>0</v>
      </c>
      <c r="Q3" s="179">
        <f>IFERROR(VLOOKUP(Q$1,Equilibrium[[Ticker]:[Weight]],2,FALSE),0%)</f>
        <v>0</v>
      </c>
      <c r="R3" s="179">
        <f>IFERROR(VLOOKUP(R$1,Equilibrium[[Ticker]:[Weight]],2,FALSE),0%)</f>
        <v>0</v>
      </c>
      <c r="S3" s="179">
        <f>IFERROR(VLOOKUP(S$1,Equilibrium[[Ticker]:[Weight]],2,FALSE),0%)</f>
        <v>0</v>
      </c>
      <c r="T3" s="179">
        <f>IFERROR(VLOOKUP(T$1,Equilibrium[[Ticker]:[Weight]],2,FALSE),0%)</f>
        <v>0</v>
      </c>
      <c r="U3" s="179">
        <f>IFERROR(VLOOKUP(U$1,Equilibrium[[Ticker]:[Weight]],2,FALSE),0%)</f>
        <v>0</v>
      </c>
      <c r="V3" s="179">
        <f>IFERROR(VLOOKUP(V$1,Equilibrium[[Ticker]:[Weight]],2,FALSE),0%)</f>
        <v>0</v>
      </c>
      <c r="W3" s="179">
        <f>IFERROR(VLOOKUP(W$1,Equilibrium[[Ticker]:[Weight]],2,FALSE),0%)</f>
        <v>0</v>
      </c>
      <c r="X3" s="179">
        <f>IFERROR(VLOOKUP(X$1,Equilibrium[[Ticker]:[Weight]],2,FALSE),0%)</f>
        <v>0</v>
      </c>
      <c r="Y3" s="179">
        <f>IFERROR(VLOOKUP(Y$1,Equilibrium[[Ticker]:[Weight]],2,FALSE),0%)</f>
        <v>0</v>
      </c>
      <c r="Z3" s="179">
        <f>IFERROR(VLOOKUP(Z$1,Equilibrium[[Ticker]:[Weight]],2,FALSE),0%)</f>
        <v>0</v>
      </c>
      <c r="AA3" s="179">
        <f>IFERROR(VLOOKUP(AA$1,Equilibrium[[Ticker]:[Weight]],2,FALSE),0%)</f>
        <v>0</v>
      </c>
      <c r="AB3" s="179">
        <f>IFERROR(VLOOKUP(AB$1,Equilibrium[[Ticker]:[Weight]],2,FALSE),0%)</f>
        <v>0</v>
      </c>
      <c r="AC3" s="179">
        <f>IFERROR(VLOOKUP(AC$1,Equilibrium[[Ticker]:[Weight]],2,FALSE),0%)</f>
        <v>0</v>
      </c>
      <c r="AD3" s="179">
        <f>IFERROR(VLOOKUP(AD$1,Equilibrium[[Ticker]:[Weight]],2,FALSE),0%)</f>
        <v>0</v>
      </c>
      <c r="AE3" s="179">
        <f>IFERROR(VLOOKUP(AE$1,Equilibrium[[Ticker]:[Weight]],2,FALSE),0%)</f>
        <v>0</v>
      </c>
      <c r="AF3" s="179">
        <f>IFERROR(VLOOKUP(AF$1,Equilibrium[[Ticker]:[Weight]],2,FALSE),0%)</f>
        <v>0</v>
      </c>
      <c r="AG3" s="179">
        <f>IFERROR(VLOOKUP(AG$1,Equilibrium[[Ticker]:[Weight]],2,FALSE),0%)</f>
        <v>0</v>
      </c>
      <c r="AH3" s="179">
        <f>IFERROR(VLOOKUP(AH$1,Equilibrium[[Ticker]:[Weight]],2,FALSE),0%)</f>
        <v>0</v>
      </c>
      <c r="AI3" s="179">
        <f>IFERROR(VLOOKUP(AI$1,Equilibrium[[Ticker]:[Weight]],2,FALSE),0%)</f>
        <v>0</v>
      </c>
      <c r="AJ3" s="179">
        <f>IFERROR(VLOOKUP(AJ$1,Equilibrium[[Ticker]:[Weight]],2,FALSE),0%)</f>
        <v>0</v>
      </c>
      <c r="AK3" s="179">
        <f>IFERROR(VLOOKUP(AK$1,Equilibrium[[Ticker]:[Weight]],2,FALSE),0%)</f>
        <v>0</v>
      </c>
      <c r="AL3" s="179">
        <f>IFERROR(VLOOKUP(AL$1,Equilibrium[[Ticker]:[Weight]],2,FALSE),0%)</f>
        <v>0</v>
      </c>
      <c r="AM3" s="179">
        <f>IFERROR(VLOOKUP(AM$1,Equilibrium[[Ticker]:[Weight]],2,FALSE),0%)</f>
        <v>0</v>
      </c>
      <c r="AN3" s="179">
        <f>IFERROR(VLOOKUP(AN$1,Equilibrium[[Ticker]:[Weight]],2,FALSE),0%)</f>
        <v>0</v>
      </c>
      <c r="AO3" s="179">
        <f>IFERROR(VLOOKUP(AO$1,Equilibrium[[Ticker]:[Weight]],2,FALSE),0%)</f>
        <v>0</v>
      </c>
      <c r="AP3" s="179">
        <f>IFERROR(VLOOKUP(AP$1,Equilibrium[[Ticker]:[Weight]],2,FALSE),0%)</f>
        <v>0</v>
      </c>
      <c r="AQ3" s="179">
        <f>IFERROR(VLOOKUP(AQ$1,Equilibrium[[Ticker]:[Weight]],2,FALSE),0%)</f>
        <v>0</v>
      </c>
      <c r="AR3" s="179">
        <f>IFERROR(VLOOKUP(AR$1,Equilibrium[[Ticker]:[Weight]],2,FALSE),0%)</f>
        <v>0</v>
      </c>
      <c r="AS3" s="179">
        <f>IFERROR(VLOOKUP(AS$1,Equilibrium[[Ticker]:[Weight]],2,FALSE),0%)</f>
        <v>0</v>
      </c>
      <c r="AT3" s="179">
        <f>IFERROR(VLOOKUP(AT$1,Equilibrium[[Ticker]:[Weight]],2,FALSE),0%)</f>
        <v>0</v>
      </c>
      <c r="AU3" s="179">
        <f>IFERROR(VLOOKUP(AU$1,Equilibrium[[Ticker]:[Weight]],2,FALSE),0%)</f>
        <v>0</v>
      </c>
      <c r="AV3" s="179">
        <f>IFERROR(VLOOKUP(AV$1,Equilibrium[[Ticker]:[Weight]],2,FALSE),0%)</f>
        <v>0</v>
      </c>
      <c r="AW3" s="179">
        <f>IFERROR(VLOOKUP(AW$1,Equilibrium[[Ticker]:[Weight]],2,FALSE),0%)</f>
        <v>0</v>
      </c>
      <c r="AX3" s="179">
        <f>IFERROR(VLOOKUP(AX$1,Equilibrium[[Ticker]:[Weight]],2,FALSE),0%)</f>
        <v>0</v>
      </c>
      <c r="AY3" s="179">
        <f>IFERROR(VLOOKUP(AY$1,Equilibrium[[Ticker]:[Weight]],2,FALSE),0%)</f>
        <v>0</v>
      </c>
      <c r="AZ3" s="179">
        <f>IFERROR(VLOOKUP(AZ$1,Equilibrium[[Ticker]:[Weight]],2,FALSE),0%)</f>
        <v>0</v>
      </c>
      <c r="BA3" s="179">
        <f>IFERROR(VLOOKUP(BA$1,Equilibrium[[Ticker]:[Weight]],2,FALSE),0%)</f>
        <v>0</v>
      </c>
      <c r="BB3" s="179">
        <f>IFERROR(VLOOKUP(BB$1,Equilibrium[[Ticker]:[Weight]],2,FALSE),0%)</f>
        <v>0</v>
      </c>
      <c r="BC3" s="179">
        <f>IFERROR(VLOOKUP(BC$1,Equilibrium[[Ticker]:[Weight]],2,FALSE),0%)</f>
        <v>0</v>
      </c>
      <c r="BD3" s="179">
        <f>IFERROR(VLOOKUP(BD$1,Equilibrium[[Ticker]:[Weight]],2,FALSE),0%)</f>
        <v>0</v>
      </c>
      <c r="BE3" s="179">
        <f>IFERROR(VLOOKUP(BE$1,Equilibrium[[Ticker]:[Weight]],2,FALSE),0%)</f>
        <v>0</v>
      </c>
      <c r="BF3" s="179">
        <f>IFERROR(VLOOKUP(BF$1,Equilibrium[[Ticker]:[Weight]],2,FALSE),0%)</f>
        <v>0</v>
      </c>
      <c r="BG3" s="179">
        <f>IFERROR(VLOOKUP(BG$1,Equilibrium[[Ticker]:[Weight]],2,FALSE),0%)</f>
        <v>0</v>
      </c>
      <c r="BH3" s="179">
        <f>IFERROR(VLOOKUP(BH$1,Equilibrium[[Ticker]:[Weight]],2,FALSE),0%)</f>
        <v>0</v>
      </c>
      <c r="BI3" s="179">
        <f>IFERROR(VLOOKUP(BI$1,Equilibrium[[Ticker]:[Weight]],2,FALSE),0%)</f>
        <v>0</v>
      </c>
      <c r="BJ3" s="179">
        <f>IFERROR(VLOOKUP(BJ$1,Equilibrium[[Ticker]:[Weight]],2,FALSE),0%)</f>
        <v>0</v>
      </c>
      <c r="BK3" s="179">
        <f>IFERROR(VLOOKUP(BK$1,Equilibrium[[Ticker]:[Weight]],2,FALSE),0%)</f>
        <v>0</v>
      </c>
      <c r="BL3" s="179">
        <f>IFERROR(VLOOKUP(BL$1,Equilibrium[[Ticker]:[Weight]],2,FALSE),0%)</f>
        <v>0</v>
      </c>
      <c r="BM3" s="179">
        <f>IFERROR(VLOOKUP(BM$1,Equilibrium[[Ticker]:[Weight]],2,FALSE),0%)</f>
        <v>0</v>
      </c>
      <c r="BN3" s="179">
        <f>IFERROR(VLOOKUP(BN$1,Equilibrium[[Ticker]:[Weight]],2,FALSE),0%)</f>
        <v>0</v>
      </c>
      <c r="BO3" s="179">
        <f>IFERROR(VLOOKUP(BO$1,Equilibrium[[Ticker]:[Weight]],2,FALSE),0%)</f>
        <v>0</v>
      </c>
      <c r="BP3" s="179">
        <f>IFERROR(VLOOKUP(BP$1,Equilibrium[[Ticker]:[Weight]],2,FALSE),0%)</f>
        <v>0</v>
      </c>
      <c r="BQ3" s="179">
        <f>IFERROR(VLOOKUP(BQ$1,Equilibrium[[Ticker]:[Weight]],2,FALSE),0%)</f>
        <v>0</v>
      </c>
      <c r="BR3" s="179">
        <f>IFERROR(VLOOKUP(BR$1,Equilibrium[[Ticker]:[Weight]],2,FALSE),0%)</f>
        <v>0</v>
      </c>
      <c r="BS3" s="179">
        <f>IFERROR(VLOOKUP(BS$1,Equilibrium[[Ticker]:[Weight]],2,FALSE),0%)</f>
        <v>0</v>
      </c>
      <c r="BT3" s="179">
        <f>IFERROR(VLOOKUP(BT$1,Equilibrium[[Ticker]:[Weight]],2,FALSE),0%)</f>
        <v>0</v>
      </c>
      <c r="BU3" s="179">
        <f>IFERROR(VLOOKUP(BU$1,Equilibrium[[Ticker]:[Weight]],2,FALSE),0%)</f>
        <v>0</v>
      </c>
      <c r="BV3" s="179">
        <f>IFERROR(VLOOKUP(BV$1,Equilibrium[[Ticker]:[Weight]],2,FALSE),0%)</f>
        <v>0</v>
      </c>
      <c r="BW3" s="179">
        <f>IFERROR(VLOOKUP(BW$1,Equilibrium[[Ticker]:[Weight]],2,FALSE),0%)</f>
        <v>0</v>
      </c>
      <c r="BX3" s="179">
        <f>IFERROR(VLOOKUP(BX$1,Equilibrium[[Ticker]:[Weight]],2,FALSE),0%)</f>
        <v>0</v>
      </c>
      <c r="BY3" s="179">
        <f>IFERROR(VLOOKUP(BY$1,Equilibrium[[Ticker]:[Weight]],2,FALSE),0%)</f>
        <v>0</v>
      </c>
      <c r="BZ3" s="179">
        <f>IFERROR(VLOOKUP(BZ$1,Equilibrium[[Ticker]:[Weight]],2,FALSE),0%)</f>
        <v>0</v>
      </c>
      <c r="CA3" s="179">
        <f>IFERROR(VLOOKUP(CA$1,Equilibrium[[Ticker]:[Weight]],2,FALSE),0%)</f>
        <v>0</v>
      </c>
      <c r="CB3" s="179">
        <f>IFERROR(VLOOKUP(CB$1,Equilibrium[[Ticker]:[Weight]],2,FALSE),0%)</f>
        <v>0</v>
      </c>
      <c r="CC3" s="179">
        <f>IFERROR(VLOOKUP(CC$1,Equilibrium[[Ticker]:[Weight]],2,FALSE),0%)</f>
        <v>0</v>
      </c>
      <c r="CD3" s="179">
        <f>IFERROR(VLOOKUP(CD$1,Equilibrium[[Ticker]:[Weight]],2,FALSE),0%)</f>
        <v>0</v>
      </c>
      <c r="CE3" s="179">
        <f>IFERROR(VLOOKUP(CE$1,Equilibrium[[Ticker]:[Weight]],2,FALSE),0%)</f>
        <v>0</v>
      </c>
      <c r="CF3" s="179">
        <f>IFERROR(VLOOKUP(CF$1,Equilibrium[[Ticker]:[Weight]],2,FALSE),0%)</f>
        <v>0</v>
      </c>
      <c r="CG3" s="179">
        <f>IFERROR(VLOOKUP(CG$1,Equilibrium[[Ticker]:[Weight]],2,FALSE),0%)</f>
        <v>0</v>
      </c>
      <c r="CH3" s="179">
        <f>IFERROR(VLOOKUP(CH$1,Equilibrium[[Ticker]:[Weight]],2,FALSE),0%)</f>
        <v>0</v>
      </c>
      <c r="CI3" s="179">
        <f>IFERROR(VLOOKUP(CI$1,Equilibrium[[Ticker]:[Weight]],2,FALSE),0%)</f>
        <v>0</v>
      </c>
      <c r="CJ3" s="179">
        <f>IFERROR(VLOOKUP(CJ$1,Equilibrium[[Ticker]:[Weight]],2,FALSE),0%)</f>
        <v>0</v>
      </c>
      <c r="CK3" s="179">
        <f>IFERROR(VLOOKUP(CK$1,Equilibrium[[Ticker]:[Weight]],2,FALSE),0%)</f>
        <v>0</v>
      </c>
      <c r="CL3" s="179">
        <f>IFERROR(VLOOKUP(CL$1,Equilibrium[[Ticker]:[Weight]],2,FALSE),0%)</f>
        <v>0</v>
      </c>
      <c r="CM3" s="179">
        <f>IFERROR(VLOOKUP(CM$1,Equilibrium[[Ticker]:[Weight]],2,FALSE),0%)</f>
        <v>0</v>
      </c>
      <c r="CN3" s="179">
        <f>IFERROR(VLOOKUP(CN$1,Equilibrium[[Ticker]:[Weight]],2,FALSE),0%)</f>
        <v>0</v>
      </c>
      <c r="CO3" s="179">
        <f>IFERROR(VLOOKUP(CO$1,Equilibrium[[Ticker]:[Weight]],2,FALSE),0%)</f>
        <v>0</v>
      </c>
      <c r="CP3" s="179">
        <f>IFERROR(VLOOKUP(CP$1,Equilibrium[[Ticker]:[Weight]],2,FALSE),0%)</f>
        <v>0</v>
      </c>
      <c r="CQ3" s="179">
        <f>IFERROR(VLOOKUP(CQ$1,Equilibrium[[Ticker]:[Weight]],2,FALSE),0%)</f>
        <v>0</v>
      </c>
      <c r="CR3" s="179">
        <f>IFERROR(VLOOKUP(CR$1,Equilibrium[[Ticker]:[Weight]],2,FALSE),0%)</f>
        <v>0</v>
      </c>
      <c r="CS3" s="179">
        <f>IFERROR(VLOOKUP(CS$1,Equilibrium[[Ticker]:[Weight]],2,FALSE),0%)</f>
        <v>0</v>
      </c>
      <c r="CT3" s="179">
        <f>IFERROR(VLOOKUP(CT$1,Equilibrium[[Ticker]:[Weight]],2,FALSE),0%)</f>
        <v>0</v>
      </c>
      <c r="CU3" s="179">
        <f>IFERROR(VLOOKUP(CU$1,Equilibrium[[Ticker]:[Weight]],2,FALSE),0%)</f>
        <v>0</v>
      </c>
      <c r="CV3" s="179">
        <f>IFERROR(VLOOKUP(CV$1,Equilibrium[[Ticker]:[Weight]],2,FALSE),0%)</f>
        <v>0</v>
      </c>
      <c r="CW3" s="179">
        <f>IFERROR(VLOOKUP(CW$1,Equilibrium[[Ticker]:[Weight]],2,FALSE),0%)</f>
        <v>0</v>
      </c>
      <c r="CX3" s="179">
        <f>IFERROR(VLOOKUP(CX$1,Equilibrium[[Ticker]:[Weight]],2,FALSE),0%)</f>
        <v>0</v>
      </c>
      <c r="CY3" s="179">
        <f>IFERROR(VLOOKUP(CY$1,Equilibrium[[Ticker]:[Weight]],2,FALSE),0%)</f>
        <v>0</v>
      </c>
      <c r="CZ3" s="179">
        <f>IFERROR(VLOOKUP(CZ$1,Equilibrium[[Ticker]:[Weight]],2,FALSE),0%)</f>
        <v>0</v>
      </c>
      <c r="DA3" s="179">
        <f>IFERROR(VLOOKUP(DA$1,Equilibrium[[Ticker]:[Weight]],2,FALSE),0%)</f>
        <v>0</v>
      </c>
      <c r="DB3" s="179">
        <f>IFERROR(VLOOKUP(DB$1,Equilibrium[[Ticker]:[Weight]],2,FALSE),0%)</f>
        <v>0</v>
      </c>
      <c r="DC3" s="179">
        <f>IFERROR(VLOOKUP(DC$1,Equilibrium[[Ticker]:[Weight]],2,FALSE),0%)</f>
        <v>0</v>
      </c>
      <c r="DD3" s="179">
        <f>IFERROR(VLOOKUP(DD$1,Equilibrium[[Ticker]:[Weight]],2,FALSE),0%)</f>
        <v>0</v>
      </c>
      <c r="DE3" s="179">
        <f>IFERROR(VLOOKUP(DE$1,Equilibrium[[Ticker]:[Weight]],2,FALSE),0%)</f>
        <v>0</v>
      </c>
      <c r="DF3" s="179">
        <f>IFERROR(VLOOKUP(DF$1,Equilibrium[[Ticker]:[Weight]],2,FALSE),0%)</f>
        <v>0</v>
      </c>
      <c r="DG3" s="179">
        <f>IFERROR(VLOOKUP(DG$1,Equilibrium[[Ticker]:[Weight]],2,FALSE),0%)</f>
        <v>0</v>
      </c>
      <c r="DH3" s="179">
        <f>IFERROR(VLOOKUP(DH$1,Equilibrium[[Ticker]:[Weight]],2,FALSE),0%)</f>
        <v>0</v>
      </c>
      <c r="DI3" s="179">
        <f>IFERROR(VLOOKUP(DI$1,Equilibrium[[Ticker]:[Weight]],2,FALSE),0%)</f>
        <v>0</v>
      </c>
      <c r="DJ3" s="179">
        <f>IFERROR(VLOOKUP(DJ$1,Equilibrium[[Ticker]:[Weight]],2,FALSE),0%)</f>
        <v>0</v>
      </c>
      <c r="DK3" s="179">
        <f>IFERROR(VLOOKUP(DK$1,Equilibrium[[Ticker]:[Weight]],2,FALSE),0%)</f>
        <v>0</v>
      </c>
      <c r="DL3" s="179">
        <f>IFERROR(VLOOKUP(DL$1,Equilibrium[[Ticker]:[Weight]],2,FALSE),0%)</f>
        <v>0</v>
      </c>
      <c r="DM3" s="179">
        <f>IFERROR(VLOOKUP(DM$1,Equilibrium[[Ticker]:[Weight]],2,FALSE),0%)</f>
        <v>0</v>
      </c>
      <c r="DN3" s="179">
        <f>IFERROR(VLOOKUP(DN$1,Equilibrium[[Ticker]:[Weight]],2,FALSE),0%)</f>
        <v>0</v>
      </c>
      <c r="DO3" s="179">
        <f>IFERROR(VLOOKUP(DO$1,Equilibrium[[Ticker]:[Weight]],2,FALSE),0%)</f>
        <v>0</v>
      </c>
      <c r="DP3" s="179">
        <f>IFERROR(VLOOKUP(DP$1,Equilibrium[[Ticker]:[Weight]],2,FALSE),0%)</f>
        <v>0</v>
      </c>
      <c r="DQ3" s="179">
        <f>IFERROR(VLOOKUP(DQ$1,Equilibrium[[Ticker]:[Weight]],2,FALSE),0%)</f>
        <v>0</v>
      </c>
      <c r="DR3" s="179">
        <f>IFERROR(VLOOKUP(DR$1,Equilibrium[[Ticker]:[Weight]],2,FALSE),0%)</f>
        <v>0</v>
      </c>
      <c r="DS3" s="179">
        <f>IFERROR(VLOOKUP(DS$1,Equilibrium[[Ticker]:[Weight]],2,FALSE),0%)</f>
        <v>0</v>
      </c>
      <c r="DT3" s="179">
        <f>IFERROR(VLOOKUP(DT$1,Equilibrium[[Ticker]:[Weight]],2,FALSE),0%)</f>
        <v>0</v>
      </c>
      <c r="DU3" s="179">
        <f>IFERROR(VLOOKUP(DU$1,Equilibrium[[Ticker]:[Weight]],2,FALSE),0%)</f>
        <v>0</v>
      </c>
      <c r="DV3" s="179">
        <f>IFERROR(VLOOKUP(DV$1,Equilibrium[[Ticker]:[Weight]],2,FALSE),0%)</f>
        <v>0</v>
      </c>
      <c r="DW3" s="179">
        <f>IFERROR(VLOOKUP(DW$1,Equilibrium[[Ticker]:[Weight]],2,FALSE),0%)</f>
        <v>0</v>
      </c>
      <c r="DX3" s="179">
        <f>IFERROR(VLOOKUP(DX$1,Equilibrium[[Ticker]:[Weight]],2,FALSE),0%)</f>
        <v>0</v>
      </c>
      <c r="DY3" s="179">
        <f>IFERROR(VLOOKUP(DY$1,Equilibrium[[Ticker]:[Weight]],2,FALSE),0%)</f>
        <v>0</v>
      </c>
      <c r="DZ3" s="179">
        <f>IFERROR(VLOOKUP(DZ$1,Equilibrium[[Ticker]:[Weight]],2,FALSE),0%)</f>
        <v>0</v>
      </c>
      <c r="EA3" s="179">
        <f>IFERROR(VLOOKUP(EA$1,Equilibrium[[Ticker]:[Weight]],2,FALSE),0%)</f>
        <v>0</v>
      </c>
      <c r="EB3" s="179">
        <f>IFERROR(VLOOKUP(EB$1,Equilibrium[[Ticker]:[Weight]],2,FALSE),0%)</f>
        <v>0</v>
      </c>
      <c r="EC3" s="179">
        <f>IFERROR(VLOOKUP(EC$1,Equilibrium[[Ticker]:[Weight]],2,FALSE),0%)</f>
        <v>0</v>
      </c>
      <c r="ED3" s="179">
        <f>IFERROR(VLOOKUP(ED$1,Equilibrium[[Ticker]:[Weight]],2,FALSE),0%)</f>
        <v>0</v>
      </c>
      <c r="EE3" s="179">
        <f>IFERROR(VLOOKUP(EE$1,Equilibrium[[Ticker]:[Weight]],2,FALSE),0%)</f>
        <v>0</v>
      </c>
      <c r="EF3" s="179">
        <f>IFERROR(VLOOKUP(EF$1,Equilibrium[[Ticker]:[Weight]],2,FALSE),0%)</f>
        <v>0</v>
      </c>
      <c r="EG3" s="179">
        <f>IFERROR(VLOOKUP(EG$1,Equilibrium[[Ticker]:[Weight]],2,FALSE),0%)</f>
        <v>0</v>
      </c>
      <c r="EH3" s="179">
        <f>IFERROR(VLOOKUP(EH$1,Equilibrium[[Ticker]:[Weight]],2,FALSE),0%)</f>
        <v>0</v>
      </c>
      <c r="EI3" s="179">
        <f>IFERROR(VLOOKUP(EI$1,Equilibrium[[Ticker]:[Weight]],2,FALSE),0%)</f>
        <v>0</v>
      </c>
      <c r="EJ3" s="179">
        <f>IFERROR(VLOOKUP(EJ$1,Equilibrium[[Ticker]:[Weight]],2,FALSE),0%)</f>
        <v>0</v>
      </c>
      <c r="EK3" s="179">
        <f>IFERROR(VLOOKUP(EK$1,Equilibrium[[Ticker]:[Weight]],2,FALSE),0%)</f>
        <v>0</v>
      </c>
      <c r="EL3" s="179">
        <f>IFERROR(VLOOKUP(EL$1,Equilibrium[[Ticker]:[Weight]],2,FALSE),0%)</f>
        <v>0</v>
      </c>
      <c r="EM3" s="179">
        <f>IFERROR(VLOOKUP(EM$1,Equilibrium[[Ticker]:[Weight]],2,FALSE),0%)</f>
        <v>0</v>
      </c>
      <c r="EN3" s="179">
        <f>IFERROR(VLOOKUP(EN$1,Equilibrium[[Ticker]:[Weight]],2,FALSE),0%)</f>
        <v>0</v>
      </c>
      <c r="EO3" s="179">
        <f>IFERROR(VLOOKUP(EO$1,Equilibrium[[Ticker]:[Weight]],2,FALSE),0%)</f>
        <v>0</v>
      </c>
      <c r="EP3" s="179">
        <f>IFERROR(VLOOKUP(EP$1,Equilibrium[[Ticker]:[Weight]],2,FALSE),0%)</f>
        <v>0</v>
      </c>
      <c r="EQ3" s="179">
        <f>IFERROR(VLOOKUP(EQ$1,Equilibrium[[Ticker]:[Weight]],2,FALSE),0%)</f>
        <v>0</v>
      </c>
      <c r="ER3" s="179">
        <f>IFERROR(VLOOKUP(ER$1,Equilibrium[[Ticker]:[Weight]],2,FALSE),0%)</f>
        <v>0</v>
      </c>
      <c r="ES3" s="179">
        <f>IFERROR(VLOOKUP(ES$1,Equilibrium[[Ticker]:[Weight]],2,FALSE),0%)</f>
        <v>0</v>
      </c>
      <c r="ET3" s="179">
        <f>IFERROR(VLOOKUP(ET$1,Equilibrium[[Ticker]:[Weight]],2,FALSE),0%)</f>
        <v>0</v>
      </c>
      <c r="EU3" s="179">
        <f>IFERROR(VLOOKUP(EU$1,Equilibrium[[Ticker]:[Weight]],2,FALSE),0%)</f>
        <v>0</v>
      </c>
      <c r="EV3" s="179">
        <f>IFERROR(VLOOKUP(EV$1,Equilibrium[[Ticker]:[Weight]],2,FALSE),0%)</f>
        <v>0</v>
      </c>
      <c r="EW3" s="179">
        <f>IFERROR(VLOOKUP(EW$1,Equilibrium[[Ticker]:[Weight]],2,FALSE),0%)</f>
        <v>0</v>
      </c>
      <c r="EX3" s="179">
        <f>IFERROR(VLOOKUP(EX$1,Equilibrium[[Ticker]:[Weight]],2,FALSE),0%)</f>
        <v>0</v>
      </c>
      <c r="EY3" s="179">
        <f>IFERROR(VLOOKUP(EY$1,Equilibrium[[Ticker]:[Weight]],2,FALSE),0%)</f>
        <v>0</v>
      </c>
      <c r="EZ3" s="179">
        <f>IFERROR(VLOOKUP(EZ$1,Equilibrium[[Ticker]:[Weight]],2,FALSE),0%)</f>
        <v>0</v>
      </c>
      <c r="FA3" s="179">
        <f>IFERROR(VLOOKUP(FA$1,Equilibrium[[Ticker]:[Weight]],2,FALSE),0%)</f>
        <v>0</v>
      </c>
      <c r="FB3" s="179">
        <f>IFERROR(VLOOKUP(FB$1,Equilibrium[[Ticker]:[Weight]],2,FALSE),0%)</f>
        <v>0</v>
      </c>
      <c r="FC3" s="179">
        <f>IFERROR(VLOOKUP(FC$1,Equilibrium[[Ticker]:[Weight]],2,FALSE),0%)</f>
        <v>0</v>
      </c>
      <c r="FD3" s="179">
        <f>IFERROR(VLOOKUP(FD$1,Equilibrium[[Ticker]:[Weight]],2,FALSE),0%)</f>
        <v>0</v>
      </c>
      <c r="FE3" s="179">
        <f>IFERROR(VLOOKUP(FE$1,Equilibrium[[Ticker]:[Weight]],2,FALSE),0%)</f>
        <v>0</v>
      </c>
      <c r="FF3" s="179">
        <f>IFERROR(VLOOKUP(FF$1,Equilibrium[[Ticker]:[Weight]],2,FALSE),0%)</f>
        <v>0</v>
      </c>
      <c r="FG3" s="179">
        <f>IFERROR(VLOOKUP(FG$1,Equilibrium[[Ticker]:[Weight]],2,FALSE),0%)</f>
        <v>0</v>
      </c>
      <c r="FH3" s="179">
        <f>IFERROR(VLOOKUP(FH$1,Equilibrium[[Ticker]:[Weight]],2,FALSE),0%)</f>
        <v>0.05216730052</v>
      </c>
      <c r="FI3" s="179">
        <f>IFERROR(VLOOKUP(FI$1,Equilibrium[[Ticker]:[Weight]],2,FALSE),0%)</f>
        <v>0</v>
      </c>
      <c r="FJ3" s="179">
        <f>IFERROR(VLOOKUP(FJ$1,Equilibrium[[Ticker]:[Weight]],2,FALSE),0%)</f>
        <v>0</v>
      </c>
      <c r="FK3" s="179">
        <f>IFERROR(VLOOKUP(FK$1,Equilibrium[[Ticker]:[Weight]],2,FALSE),0%)</f>
        <v>0</v>
      </c>
      <c r="FL3" s="179">
        <f>IFERROR(VLOOKUP(FL$1,Equilibrium[[Ticker]:[Weight]],2,FALSE),0%)</f>
        <v>0</v>
      </c>
      <c r="FM3" s="179">
        <f>IFERROR(VLOOKUP(FM$1,Equilibrium[[Ticker]:[Weight]],2,FALSE),0%)</f>
        <v>0</v>
      </c>
      <c r="FN3" s="179">
        <f>IFERROR(VLOOKUP(FN$1,Equilibrium[[Ticker]:[Weight]],2,FALSE),0%)</f>
        <v>0</v>
      </c>
      <c r="FO3" s="179">
        <f>IFERROR(VLOOKUP(FO$1,Equilibrium[[Ticker]:[Weight]],2,FALSE),0%)</f>
        <v>0</v>
      </c>
      <c r="FP3" s="179">
        <f>IFERROR(VLOOKUP(FP$1,Equilibrium[[Ticker]:[Weight]],2,FALSE),0%)</f>
        <v>0</v>
      </c>
      <c r="FQ3" s="179">
        <f>IFERROR(VLOOKUP(FQ$1,Equilibrium[[Ticker]:[Weight]],2,FALSE),0%)</f>
        <v>0</v>
      </c>
      <c r="FR3" s="179">
        <f>IFERROR(VLOOKUP(FR$1,Equilibrium[[Ticker]:[Weight]],2,FALSE),0%)</f>
        <v>0</v>
      </c>
      <c r="FS3" s="179">
        <f>IFERROR(VLOOKUP(FS$1,Equilibrium[[Ticker]:[Weight]],2,FALSE),0%)</f>
        <v>0</v>
      </c>
      <c r="FT3" s="179">
        <f>IFERROR(VLOOKUP(FT$1,Equilibrium[[Ticker]:[Weight]],2,FALSE),0%)</f>
        <v>0</v>
      </c>
      <c r="FU3" s="179">
        <f>IFERROR(VLOOKUP(FU$1,Equilibrium[[Ticker]:[Weight]],2,FALSE),0%)</f>
        <v>0</v>
      </c>
      <c r="FV3" s="179">
        <f>IFERROR(VLOOKUP(FV$1,Equilibrium[[Ticker]:[Weight]],2,FALSE),0%)</f>
        <v>0</v>
      </c>
      <c r="FW3" s="179">
        <f>IFERROR(VLOOKUP(FW$1,Equilibrium[[Ticker]:[Weight]],2,FALSE),0%)</f>
        <v>0</v>
      </c>
      <c r="FX3" s="179">
        <f>IFERROR(VLOOKUP(FX$1,Equilibrium[[Ticker]:[Weight]],2,FALSE),0%)</f>
        <v>0</v>
      </c>
      <c r="FY3" s="179">
        <f>IFERROR(VLOOKUP(FY$1,Equilibrium[[Ticker]:[Weight]],2,FALSE),0%)</f>
        <v>0</v>
      </c>
      <c r="FZ3" s="179">
        <f>IFERROR(VLOOKUP(FZ$1,Equilibrium[[Ticker]:[Weight]],2,FALSE),0%)</f>
        <v>0</v>
      </c>
      <c r="GA3" s="179">
        <f>IFERROR(VLOOKUP(GA$1,Equilibrium[[Ticker]:[Weight]],2,FALSE),0%)</f>
        <v>0</v>
      </c>
      <c r="GB3" s="179">
        <f>IFERROR(VLOOKUP(GB$1,Equilibrium[[Ticker]:[Weight]],2,FALSE),0%)</f>
        <v>0</v>
      </c>
      <c r="GC3" s="179">
        <f>IFERROR(VLOOKUP(GC$1,Equilibrium[[Ticker]:[Weight]],2,FALSE),0%)</f>
        <v>0</v>
      </c>
      <c r="GD3" s="179">
        <f>IFERROR(VLOOKUP(GD$1,Equilibrium[[Ticker]:[Weight]],2,FALSE),0%)</f>
        <v>0</v>
      </c>
      <c r="GE3" s="179">
        <f>IFERROR(VLOOKUP(GE$1,Equilibrium[[Ticker]:[Weight]],2,FALSE),0%)</f>
        <v>0</v>
      </c>
      <c r="GF3" s="179">
        <f>IFERROR(VLOOKUP(GF$1,Equilibrium[[Ticker]:[Weight]],2,FALSE),0%)</f>
        <v>0</v>
      </c>
      <c r="GG3" s="179">
        <f>IFERROR(VLOOKUP(GG$1,Equilibrium[[Ticker]:[Weight]],2,FALSE),0%)</f>
        <v>0</v>
      </c>
      <c r="GH3" s="179">
        <f>IFERROR(VLOOKUP(GH$1,Equilibrium[[Ticker]:[Weight]],2,FALSE),0%)</f>
        <v>0</v>
      </c>
      <c r="GI3" s="179">
        <f>IFERROR(VLOOKUP(GI$1,Equilibrium[[Ticker]:[Weight]],2,FALSE),0%)</f>
        <v>0</v>
      </c>
      <c r="GJ3" s="179">
        <f>IFERROR(VLOOKUP(GJ$1,Equilibrium[[Ticker]:[Weight]],2,FALSE),0%)</f>
        <v>0</v>
      </c>
      <c r="GK3" s="179">
        <f>IFERROR(VLOOKUP(GK$1,Equilibrium[[Ticker]:[Weight]],2,FALSE),0%)</f>
        <v>0</v>
      </c>
      <c r="GL3" s="179">
        <f>IFERROR(VLOOKUP(GL$1,Equilibrium[[Ticker]:[Weight]],2,FALSE),0%)</f>
        <v>0</v>
      </c>
      <c r="GM3" s="179">
        <f>IFERROR(VLOOKUP(GM$1,Equilibrium[[Ticker]:[Weight]],2,FALSE),0%)</f>
        <v>0</v>
      </c>
      <c r="GN3" s="179">
        <f>IFERROR(VLOOKUP(GN$1,Equilibrium[[Ticker]:[Weight]],2,FALSE),0%)</f>
        <v>0</v>
      </c>
      <c r="GO3" s="179">
        <f>IFERROR(VLOOKUP(GO$1,Equilibrium[[Ticker]:[Weight]],2,FALSE),0%)</f>
        <v>0</v>
      </c>
      <c r="GP3" s="179">
        <f>IFERROR(VLOOKUP(GP$1,Equilibrium[[Ticker]:[Weight]],2,FALSE),0%)</f>
        <v>0</v>
      </c>
      <c r="GQ3" s="179">
        <f>IFERROR(VLOOKUP(GQ$1,Equilibrium[[Ticker]:[Weight]],2,FALSE),0%)</f>
        <v>0</v>
      </c>
      <c r="GR3" s="179">
        <f>IFERROR(VLOOKUP(GR$1,Equilibrium[[Ticker]:[Weight]],2,FALSE),0%)</f>
        <v>0</v>
      </c>
      <c r="GS3" s="179">
        <f>IFERROR(VLOOKUP(GS$1,Equilibrium[[Ticker]:[Weight]],2,FALSE),0%)</f>
        <v>0</v>
      </c>
      <c r="GT3" s="179">
        <f>IFERROR(VLOOKUP(GT$1,Equilibrium[[Ticker]:[Weight]],2,FALSE),0%)</f>
        <v>0</v>
      </c>
      <c r="GU3" s="179">
        <f>IFERROR(VLOOKUP(GU$1,Equilibrium[[Ticker]:[Weight]],2,FALSE),0%)</f>
        <v>0</v>
      </c>
      <c r="GV3" s="179">
        <f>IFERROR(VLOOKUP(GV$1,Equilibrium[[Ticker]:[Weight]],2,FALSE),0%)</f>
        <v>0</v>
      </c>
      <c r="GW3" s="179">
        <f>IFERROR(VLOOKUP(GW$1,Equilibrium[[Ticker]:[Weight]],2,FALSE),0%)</f>
        <v>0</v>
      </c>
      <c r="GX3" s="179">
        <f>IFERROR(VLOOKUP(GX$1,Equilibrium[[Ticker]:[Weight]],2,FALSE),0%)</f>
        <v>0</v>
      </c>
      <c r="GY3" s="179">
        <f>IFERROR(VLOOKUP(GY$1,Equilibrium[[Ticker]:[Weight]],2,FALSE),0%)</f>
        <v>0</v>
      </c>
      <c r="GZ3" s="179">
        <f>IFERROR(VLOOKUP(GZ$1,Equilibrium[[Ticker]:[Weight]],2,FALSE),0%)</f>
        <v>0</v>
      </c>
      <c r="HA3" s="179">
        <f>IFERROR(VLOOKUP(HA$1,Equilibrium[[Ticker]:[Weight]],2,FALSE),0%)</f>
        <v>0</v>
      </c>
      <c r="HB3" s="179">
        <f>IFERROR(VLOOKUP(HB$1,Equilibrium[[Ticker]:[Weight]],2,FALSE),0%)</f>
        <v>0</v>
      </c>
      <c r="HC3" s="179">
        <f>IFERROR(VLOOKUP(HC$1,Equilibrium[[Ticker]:[Weight]],2,FALSE),0%)</f>
        <v>0</v>
      </c>
      <c r="HD3" s="179">
        <f>IFERROR(VLOOKUP(HD$1,Equilibrium[[Ticker]:[Weight]],2,FALSE),0%)</f>
        <v>0</v>
      </c>
      <c r="HE3" s="179">
        <f>IFERROR(VLOOKUP(HE$1,Equilibrium[[Ticker]:[Weight]],2,FALSE),0%)</f>
        <v>0</v>
      </c>
      <c r="HF3" s="179">
        <f>IFERROR(VLOOKUP(HF$1,Equilibrium[[Ticker]:[Weight]],2,FALSE),0%)</f>
        <v>0</v>
      </c>
      <c r="HG3" s="179">
        <f>IFERROR(VLOOKUP(HG$1,Equilibrium[[Ticker]:[Weight]],2,FALSE),0%)</f>
        <v>0</v>
      </c>
      <c r="HH3" s="179">
        <f>IFERROR(VLOOKUP(HH$1,Equilibrium[[Ticker]:[Weight]],2,FALSE),0%)</f>
        <v>0</v>
      </c>
      <c r="HI3" s="179">
        <f>IFERROR(VLOOKUP(HI$1,Equilibrium[[Ticker]:[Weight]],2,FALSE),0%)</f>
        <v>0</v>
      </c>
      <c r="HJ3" s="179">
        <f>IFERROR(VLOOKUP(HJ$1,Equilibrium[[Ticker]:[Weight]],2,FALSE),0%)</f>
        <v>0</v>
      </c>
      <c r="HK3" s="179">
        <f>IFERROR(VLOOKUP(HK$1,Equilibrium[[Ticker]:[Weight]],2,FALSE),0%)</f>
        <v>0</v>
      </c>
      <c r="HL3" s="179">
        <f>IFERROR(VLOOKUP(HL$1,Equilibrium[[Ticker]:[Weight]],2,FALSE),0%)</f>
        <v>0</v>
      </c>
      <c r="HM3" s="179">
        <f>IFERROR(VLOOKUP(HM$1,Equilibrium[[Ticker]:[Weight]],2,FALSE),0%)</f>
        <v>0</v>
      </c>
      <c r="HN3" s="179">
        <f>IFERROR(VLOOKUP(HN$1,Equilibrium[[Ticker]:[Weight]],2,FALSE),0%)</f>
        <v>0</v>
      </c>
      <c r="HO3" s="179">
        <f>IFERROR(VLOOKUP(HO$1,Equilibrium[[Ticker]:[Weight]],2,FALSE),0%)</f>
        <v>0</v>
      </c>
      <c r="HP3" s="179">
        <f>IFERROR(VLOOKUP(HP$1,Equilibrium[[Ticker]:[Weight]],2,FALSE),0%)</f>
        <v>0</v>
      </c>
      <c r="HQ3" s="179">
        <f>IFERROR(VLOOKUP(HQ$1,Equilibrium[[Ticker]:[Weight]],2,FALSE),0%)</f>
        <v>0</v>
      </c>
      <c r="HR3" s="179">
        <f>IFERROR(VLOOKUP(HR$1,Equilibrium[[Ticker]:[Weight]],2,FALSE),0%)</f>
        <v>0</v>
      </c>
      <c r="HS3" s="179">
        <f>IFERROR(VLOOKUP(HS$1,Equilibrium[[Ticker]:[Weight]],2,FALSE),0%)</f>
        <v>0</v>
      </c>
      <c r="HT3" s="179">
        <f>IFERROR(VLOOKUP(HT$1,Equilibrium[[Ticker]:[Weight]],2,FALSE),0%)</f>
        <v>0</v>
      </c>
      <c r="HU3" s="179">
        <f>IFERROR(VLOOKUP(HU$1,Equilibrium[[Ticker]:[Weight]],2,FALSE),0%)</f>
        <v>0</v>
      </c>
      <c r="HV3" s="179">
        <f>IFERROR(VLOOKUP(HV$1,Equilibrium[[Ticker]:[Weight]],2,FALSE),0%)</f>
        <v>0</v>
      </c>
      <c r="HW3" s="179">
        <f>IFERROR(VLOOKUP(HW$1,Equilibrium[[Ticker]:[Weight]],2,FALSE),0%)</f>
        <v>0</v>
      </c>
      <c r="HX3" s="179">
        <f>IFERROR(VLOOKUP(HX$1,Equilibrium[[Ticker]:[Weight]],2,FALSE),0%)</f>
        <v>0</v>
      </c>
      <c r="HY3" s="179">
        <f>IFERROR(VLOOKUP(HY$1,Equilibrium[[Ticker]:[Weight]],2,FALSE),0%)</f>
        <v>0</v>
      </c>
      <c r="HZ3" s="179">
        <f>IFERROR(VLOOKUP(HZ$1,Equilibrium[[Ticker]:[Weight]],2,FALSE),0%)</f>
        <v>0</v>
      </c>
      <c r="IA3" s="179">
        <f>IFERROR(VLOOKUP(IA$1,Equilibrium[[Ticker]:[Weight]],2,FALSE),0%)</f>
        <v>0</v>
      </c>
      <c r="IB3" s="179">
        <f>IFERROR(VLOOKUP(IB$1,Equilibrium[[Ticker]:[Weight]],2,FALSE),0%)</f>
        <v>0</v>
      </c>
      <c r="IC3" s="179">
        <f>IFERROR(VLOOKUP(IC$1,Equilibrium[[Ticker]:[Weight]],2,FALSE),0%)</f>
        <v>0</v>
      </c>
      <c r="ID3" s="179">
        <f>IFERROR(VLOOKUP(ID$1,Equilibrium[[Ticker]:[Weight]],2,FALSE),0%)</f>
        <v>0</v>
      </c>
      <c r="IE3" s="179">
        <f>IFERROR(VLOOKUP(IE$1,Equilibrium[[Ticker]:[Weight]],2,FALSE),0%)</f>
        <v>0</v>
      </c>
      <c r="IF3" s="179">
        <f>IFERROR(VLOOKUP(IF$1,Equilibrium[[Ticker]:[Weight]],2,FALSE),0%)</f>
        <v>0</v>
      </c>
      <c r="IG3" s="179">
        <f>IFERROR(VLOOKUP(IG$1,Equilibrium[[Ticker]:[Weight]],2,FALSE),0%)</f>
        <v>0</v>
      </c>
      <c r="IH3" s="179">
        <f>IFERROR(VLOOKUP(IH$1,Equilibrium[[Ticker]:[Weight]],2,FALSE),0%)</f>
        <v>0</v>
      </c>
      <c r="II3" s="179">
        <f>IFERROR(VLOOKUP(II$1,Equilibrium[[Ticker]:[Weight]],2,FALSE),0%)</f>
        <v>0</v>
      </c>
      <c r="IJ3" s="179">
        <f>IFERROR(VLOOKUP(IJ$1,Equilibrium[[Ticker]:[Weight]],2,FALSE),0%)</f>
        <v>0</v>
      </c>
      <c r="IK3" s="179">
        <f>IFERROR(VLOOKUP(IK$1,Equilibrium[[Ticker]:[Weight]],2,FALSE),0%)</f>
        <v>0</v>
      </c>
      <c r="IL3" s="179">
        <f>IFERROR(VLOOKUP(IL$1,Equilibrium[[Ticker]:[Weight]],2,FALSE),0%)</f>
        <v>0</v>
      </c>
      <c r="IM3" s="179">
        <f>IFERROR(VLOOKUP(IM$1,Equilibrium[[Ticker]:[Weight]],2,FALSE),0%)</f>
        <v>0</v>
      </c>
      <c r="IN3" s="179">
        <f>IFERROR(VLOOKUP(IN$1,Equilibrium[[Ticker]:[Weight]],2,FALSE),0%)</f>
        <v>0</v>
      </c>
      <c r="IO3" s="179">
        <f>IFERROR(VLOOKUP(IO$1,Equilibrium[[Ticker]:[Weight]],2,FALSE),0%)</f>
        <v>0</v>
      </c>
      <c r="IP3" s="179">
        <f>IFERROR(VLOOKUP(IP$1,Equilibrium[[Ticker]:[Weight]],2,FALSE),0%)</f>
        <v>0</v>
      </c>
      <c r="IQ3" s="179">
        <f>IFERROR(VLOOKUP(IQ$1,Equilibrium[[Ticker]:[Weight]],2,FALSE),0%)</f>
        <v>0</v>
      </c>
      <c r="IR3" s="179">
        <f>IFERROR(VLOOKUP(IR$1,Equilibrium[[Ticker]:[Weight]],2,FALSE),0%)</f>
        <v>0</v>
      </c>
      <c r="IS3" s="179">
        <f>IFERROR(VLOOKUP(IS$1,Equilibrium[[Ticker]:[Weight]],2,FALSE),0%)</f>
        <v>0</v>
      </c>
      <c r="IT3" s="179">
        <f>IFERROR(VLOOKUP(IT$1,Equilibrium[[Ticker]:[Weight]],2,FALSE),0%)</f>
        <v>0</v>
      </c>
      <c r="IU3" s="179">
        <f>IFERROR(VLOOKUP(IU$1,Equilibrium[[Ticker]:[Weight]],2,FALSE),0%)</f>
        <v>0</v>
      </c>
      <c r="IV3" s="179">
        <f>IFERROR(VLOOKUP(IV$1,Equilibrium[[Ticker]:[Weight]],2,FALSE),0%)</f>
        <v>0</v>
      </c>
      <c r="IW3" s="179">
        <f>IFERROR(VLOOKUP(IW$1,Equilibrium[[Ticker]:[Weight]],2,FALSE),0%)</f>
        <v>0</v>
      </c>
      <c r="IX3" s="179">
        <f>IFERROR(VLOOKUP(IX$1,Equilibrium[[Ticker]:[Weight]],2,FALSE),0%)</f>
        <v>0</v>
      </c>
      <c r="IY3" s="179">
        <f>IFERROR(VLOOKUP(IY$1,Equilibrium[[Ticker]:[Weight]],2,FALSE),0%)</f>
        <v>0</v>
      </c>
      <c r="IZ3" s="179">
        <f>IFERROR(VLOOKUP(IZ$1,Equilibrium[[Ticker]:[Weight]],2,FALSE),0%)</f>
        <v>0</v>
      </c>
      <c r="JA3" s="179">
        <f>IFERROR(VLOOKUP(JA$1,Equilibrium[[Ticker]:[Weight]],2,FALSE),0%)</f>
        <v>0</v>
      </c>
      <c r="JB3" s="179">
        <f>IFERROR(VLOOKUP(JB$1,Equilibrium[[Ticker]:[Weight]],2,FALSE),0%)</f>
        <v>0</v>
      </c>
      <c r="JC3" s="179">
        <f>IFERROR(VLOOKUP(JC$1,Equilibrium[[Ticker]:[Weight]],2,FALSE),0%)</f>
        <v>0</v>
      </c>
      <c r="JD3" s="179">
        <f>IFERROR(VLOOKUP(JD$1,Equilibrium[[Ticker]:[Weight]],2,FALSE),0%)</f>
        <v>0</v>
      </c>
      <c r="JE3" s="179">
        <f>IFERROR(VLOOKUP(JE$1,Equilibrium[[Ticker]:[Weight]],2,FALSE),0%)</f>
        <v>0</v>
      </c>
      <c r="JF3" s="179">
        <f>IFERROR(VLOOKUP(JF$1,Equilibrium[[Ticker]:[Weight]],2,FALSE),0%)</f>
        <v>0</v>
      </c>
      <c r="JG3" s="179">
        <f>IFERROR(VLOOKUP(JG$1,Equilibrium[[Ticker]:[Weight]],2,FALSE),0%)</f>
        <v>0</v>
      </c>
      <c r="JH3" s="179">
        <f>IFERROR(VLOOKUP(JH$1,Equilibrium[[Ticker]:[Weight]],2,FALSE),0%)</f>
        <v>0</v>
      </c>
      <c r="JI3" s="179">
        <f>IFERROR(VLOOKUP(JI$1,Equilibrium[[Ticker]:[Weight]],2,FALSE),0%)</f>
        <v>0</v>
      </c>
      <c r="JJ3" s="179">
        <f>IFERROR(VLOOKUP(JJ$1,Equilibrium[[Ticker]:[Weight]],2,FALSE),0%)</f>
        <v>0</v>
      </c>
      <c r="JK3" s="179">
        <f>IFERROR(VLOOKUP(JK$1,Equilibrium[[Ticker]:[Weight]],2,FALSE),0%)</f>
        <v>0</v>
      </c>
      <c r="JL3" s="179">
        <f>IFERROR(VLOOKUP(JL$1,Equilibrium[[Ticker]:[Weight]],2,FALSE),0%)</f>
        <v>0</v>
      </c>
      <c r="JM3" s="179">
        <f>IFERROR(VLOOKUP(JM$1,Equilibrium[[Ticker]:[Weight]],2,FALSE),0%)</f>
        <v>0</v>
      </c>
      <c r="JN3" s="179">
        <f>IFERROR(VLOOKUP(JN$1,Equilibrium[[Ticker]:[Weight]],2,FALSE),0%)</f>
        <v>0</v>
      </c>
      <c r="JO3" s="179">
        <f>IFERROR(VLOOKUP(JO$1,Equilibrium[[Ticker]:[Weight]],2,FALSE),0%)</f>
        <v>0</v>
      </c>
      <c r="JP3" s="179">
        <f>IFERROR(VLOOKUP(JP$1,Equilibrium[[Ticker]:[Weight]],2,FALSE),0%)</f>
        <v>0</v>
      </c>
      <c r="JQ3" s="179">
        <f>IFERROR(VLOOKUP(JQ$1,Equilibrium[[Ticker]:[Weight]],2,FALSE),0%)</f>
        <v>0</v>
      </c>
      <c r="JR3" s="179">
        <f>IFERROR(VLOOKUP(JR$1,Equilibrium[[Ticker]:[Weight]],2,FALSE),0%)</f>
        <v>0</v>
      </c>
      <c r="JS3" s="179">
        <f>IFERROR(VLOOKUP(JS$1,Equilibrium[[Ticker]:[Weight]],2,FALSE),0%)</f>
        <v>0</v>
      </c>
      <c r="JT3" s="179">
        <f>IFERROR(VLOOKUP(JT$1,Equilibrium[[Ticker]:[Weight]],2,FALSE),0%)</f>
        <v>0</v>
      </c>
      <c r="JU3" s="179">
        <f>IFERROR(VLOOKUP(JU$1,Equilibrium[[Ticker]:[Weight]],2,FALSE),0%)</f>
        <v>0</v>
      </c>
      <c r="JV3" s="179">
        <f>IFERROR(VLOOKUP(JV$1,Equilibrium[[Ticker]:[Weight]],2,FALSE),0%)</f>
        <v>0</v>
      </c>
      <c r="JW3" s="179">
        <f>IFERROR(VLOOKUP(JW$1,Equilibrium[[Ticker]:[Weight]],2,FALSE),0%)</f>
        <v>0</v>
      </c>
      <c r="JX3" s="179">
        <f>IFERROR(VLOOKUP(JX$1,Equilibrium[[Ticker]:[Weight]],2,FALSE),0%)</f>
        <v>0</v>
      </c>
      <c r="JY3" s="179">
        <f>IFERROR(VLOOKUP(JY$1,Equilibrium[[Ticker]:[Weight]],2,FALSE),0%)</f>
        <v>0</v>
      </c>
      <c r="JZ3" s="179">
        <f>IFERROR(VLOOKUP(JZ$1,Equilibrium[[Ticker]:[Weight]],2,FALSE),0%)</f>
        <v>0</v>
      </c>
      <c r="KA3" s="179">
        <f>IFERROR(VLOOKUP(KA$1,Equilibrium[[Ticker]:[Weight]],2,FALSE),0%)</f>
        <v>0</v>
      </c>
      <c r="KB3" s="179">
        <f>IFERROR(VLOOKUP(KB$1,Equilibrium[[Ticker]:[Weight]],2,FALSE),0%)</f>
        <v>0</v>
      </c>
      <c r="KC3" s="179">
        <f>IFERROR(VLOOKUP(KC$1,Equilibrium[[Ticker]:[Weight]],2,FALSE),0%)</f>
        <v>0</v>
      </c>
      <c r="KD3" s="179">
        <f>IFERROR(VLOOKUP(KD$1,Equilibrium[[Ticker]:[Weight]],2,FALSE),0%)</f>
        <v>0</v>
      </c>
      <c r="KE3" s="179">
        <f>IFERROR(VLOOKUP(KE$1,Equilibrium[[Ticker]:[Weight]],2,FALSE),0%)</f>
        <v>0</v>
      </c>
      <c r="KF3" s="179">
        <f>IFERROR(VLOOKUP(KF$1,Equilibrium[[Ticker]:[Weight]],2,FALSE),0%)</f>
        <v>0</v>
      </c>
      <c r="KG3" s="179">
        <f>IFERROR(VLOOKUP(KG$1,Equilibrium[[Ticker]:[Weight]],2,FALSE),0%)</f>
        <v>0</v>
      </c>
      <c r="KH3" s="179">
        <f>IFERROR(VLOOKUP(KH$1,Equilibrium[[Ticker]:[Weight]],2,FALSE),0%)</f>
        <v>0</v>
      </c>
      <c r="KI3" s="179">
        <f>IFERROR(VLOOKUP(KI$1,Equilibrium[[Ticker]:[Weight]],2,FALSE),0%)</f>
        <v>0</v>
      </c>
      <c r="KJ3" s="179">
        <f>IFERROR(VLOOKUP(KJ$1,Equilibrium[[Ticker]:[Weight]],2,FALSE),0%)</f>
        <v>0</v>
      </c>
      <c r="KK3" s="179">
        <f>IFERROR(VLOOKUP(KK$1,Equilibrium[[Ticker]:[Weight]],2,FALSE),0%)</f>
        <v>0</v>
      </c>
      <c r="KL3" s="179">
        <f>IFERROR(VLOOKUP(KL$1,Equilibrium[[Ticker]:[Weight]],2,FALSE),0%)</f>
        <v>0</v>
      </c>
      <c r="KM3" s="179">
        <f>IFERROR(VLOOKUP(KM$1,Equilibrium[[Ticker]:[Weight]],2,FALSE),0%)</f>
        <v>0</v>
      </c>
      <c r="KN3" s="179">
        <f>IFERROR(VLOOKUP(KN$1,Equilibrium[[Ticker]:[Weight]],2,FALSE),0%)</f>
        <v>0</v>
      </c>
      <c r="KO3" s="179">
        <f>IFERROR(VLOOKUP(KO$1,Equilibrium[[Ticker]:[Weight]],2,FALSE),0%)</f>
        <v>0</v>
      </c>
      <c r="KP3" s="179">
        <f>IFERROR(VLOOKUP(KP$1,Equilibrium[[Ticker]:[Weight]],2,FALSE),0%)</f>
        <v>0</v>
      </c>
      <c r="KQ3" s="179">
        <f>IFERROR(VLOOKUP(KQ$1,Equilibrium[[Ticker]:[Weight]],2,FALSE),0%)</f>
        <v>0</v>
      </c>
      <c r="KR3" s="179">
        <f>IFERROR(VLOOKUP(KR$1,Equilibrium[[Ticker]:[Weight]],2,FALSE),0%)</f>
        <v>0</v>
      </c>
      <c r="KS3" s="179">
        <f>IFERROR(VLOOKUP(KS$1,Equilibrium[[Ticker]:[Weight]],2,FALSE),0%)</f>
        <v>0</v>
      </c>
      <c r="KT3" s="179">
        <f>IFERROR(VLOOKUP(KT$1,Equilibrium[[Ticker]:[Weight]],2,FALSE),0%)</f>
        <v>0</v>
      </c>
      <c r="KU3" s="179">
        <f>IFERROR(VLOOKUP(KU$1,Equilibrium[[Ticker]:[Weight]],2,FALSE),0%)</f>
        <v>0</v>
      </c>
      <c r="KV3" s="179">
        <f>IFERROR(VLOOKUP(KV$1,Equilibrium[[Ticker]:[Weight]],2,FALSE),0%)</f>
        <v>0</v>
      </c>
      <c r="KW3" s="179">
        <f>IFERROR(VLOOKUP(KW$1,Equilibrium[[Ticker]:[Weight]],2,FALSE),0%)</f>
        <v>0</v>
      </c>
      <c r="KX3" s="179">
        <f>IFERROR(VLOOKUP(KX$1,Equilibrium[[Ticker]:[Weight]],2,FALSE),0%)</f>
        <v>0</v>
      </c>
      <c r="KY3" s="179">
        <f>IFERROR(VLOOKUP(KY$1,Equilibrium[[Ticker]:[Weight]],2,FALSE),0%)</f>
        <v>0</v>
      </c>
      <c r="KZ3" s="179">
        <f>IFERROR(VLOOKUP(KZ$1,Equilibrium[[Ticker]:[Weight]],2,FALSE),0%)</f>
        <v>0</v>
      </c>
      <c r="LA3" s="179">
        <f>IFERROR(VLOOKUP(LA$1,Equilibrium[[Ticker]:[Weight]],2,FALSE),0%)</f>
        <v>0</v>
      </c>
      <c r="LB3" s="179">
        <f>IFERROR(VLOOKUP(LB$1,Equilibrium[[Ticker]:[Weight]],2,FALSE),0%)</f>
        <v>0</v>
      </c>
      <c r="LC3" s="179">
        <f>IFERROR(VLOOKUP(LC$1,Equilibrium[[Ticker]:[Weight]],2,FALSE),0%)</f>
        <v>0</v>
      </c>
      <c r="LD3" s="179">
        <f>IFERROR(VLOOKUP(LD$1,Equilibrium[[Ticker]:[Weight]],2,FALSE),0%)</f>
        <v>0</v>
      </c>
      <c r="LE3" s="179">
        <f>IFERROR(VLOOKUP(LE$1,Equilibrium[[Ticker]:[Weight]],2,FALSE),0%)</f>
        <v>0</v>
      </c>
      <c r="LF3" s="179">
        <f>IFERROR(VLOOKUP(LF$1,Equilibrium[[Ticker]:[Weight]],2,FALSE),0%)</f>
        <v>0</v>
      </c>
      <c r="LG3" s="179">
        <f>IFERROR(VLOOKUP(LG$1,Equilibrium[[Ticker]:[Weight]],2,FALSE),0%)</f>
        <v>0</v>
      </c>
      <c r="LH3" s="179">
        <f>IFERROR(VLOOKUP(LH$1,Equilibrium[[Ticker]:[Weight]],2,FALSE),0%)</f>
        <v>0</v>
      </c>
      <c r="LI3" s="179">
        <f>IFERROR(VLOOKUP(LI$1,Equilibrium[[Ticker]:[Weight]],2,FALSE),0%)</f>
        <v>0</v>
      </c>
      <c r="LJ3" s="179">
        <f>IFERROR(VLOOKUP(LJ$1,Equilibrium[[Ticker]:[Weight]],2,FALSE),0%)</f>
        <v>0</v>
      </c>
      <c r="LK3" s="179">
        <f>IFERROR(VLOOKUP(LK$1,Equilibrium[[Ticker]:[Weight]],2,FALSE),0%)</f>
        <v>0</v>
      </c>
      <c r="LL3" s="179">
        <f>IFERROR(VLOOKUP(LL$1,Equilibrium[[Ticker]:[Weight]],2,FALSE),0%)</f>
        <v>0</v>
      </c>
      <c r="LM3" s="179">
        <f>IFERROR(VLOOKUP(LM$1,Equilibrium[[Ticker]:[Weight]],2,FALSE),0%)</f>
        <v>0</v>
      </c>
      <c r="LN3" s="179">
        <f>IFERROR(VLOOKUP(LN$1,Equilibrium[[Ticker]:[Weight]],2,FALSE),0%)</f>
        <v>0</v>
      </c>
      <c r="LO3" s="179">
        <f>IFERROR(VLOOKUP(LO$1,Equilibrium[[Ticker]:[Weight]],2,FALSE),0%)</f>
        <v>0</v>
      </c>
      <c r="LP3" s="179">
        <f>IFERROR(VLOOKUP(LP$1,Equilibrium[[Ticker]:[Weight]],2,FALSE),0%)</f>
        <v>0</v>
      </c>
      <c r="LQ3" s="179">
        <f>IFERROR(VLOOKUP(LQ$1,Equilibrium[[Ticker]:[Weight]],2,FALSE),0%)</f>
        <v>0</v>
      </c>
      <c r="LR3" s="179">
        <f>IFERROR(VLOOKUP(LR$1,Equilibrium[[Ticker]:[Weight]],2,FALSE),0%)</f>
        <v>0</v>
      </c>
      <c r="LS3" s="179">
        <f>IFERROR(VLOOKUP(LS$1,Equilibrium[[Ticker]:[Weight]],2,FALSE),0%)</f>
        <v>0</v>
      </c>
      <c r="LT3" s="179">
        <f>IFERROR(VLOOKUP(LT$1,Equilibrium[[Ticker]:[Weight]],2,FALSE),0%)</f>
        <v>0</v>
      </c>
      <c r="LU3" s="179">
        <f>IFERROR(VLOOKUP(LU$1,Equilibrium[[Ticker]:[Weight]],2,FALSE),0%)</f>
        <v>0</v>
      </c>
      <c r="LV3" s="179">
        <f>IFERROR(VLOOKUP(LV$1,Equilibrium[[Ticker]:[Weight]],2,FALSE),0%)</f>
        <v>0</v>
      </c>
      <c r="LW3" s="179">
        <f>IFERROR(VLOOKUP(LW$1,Equilibrium[[Ticker]:[Weight]],2,FALSE),0%)</f>
        <v>0</v>
      </c>
      <c r="LX3" s="179">
        <f>IFERROR(VLOOKUP(LX$1,Equilibrium[[Ticker]:[Weight]],2,FALSE),0%)</f>
        <v>0</v>
      </c>
      <c r="LY3" s="179">
        <f>IFERROR(VLOOKUP(LY$1,Equilibrium[[Ticker]:[Weight]],2,FALSE),0%)</f>
        <v>0</v>
      </c>
      <c r="LZ3" s="179">
        <f>IFERROR(VLOOKUP(LZ$1,Equilibrium[[Ticker]:[Weight]],2,FALSE),0%)</f>
        <v>0</v>
      </c>
      <c r="MA3" s="179">
        <f>IFERROR(VLOOKUP(MA$1,Equilibrium[[Ticker]:[Weight]],2,FALSE),0%)</f>
        <v>0</v>
      </c>
      <c r="MB3" s="179">
        <f>IFERROR(VLOOKUP(MB$1,Equilibrium[[Ticker]:[Weight]],2,FALSE),0%)</f>
        <v>0</v>
      </c>
      <c r="MC3" s="179">
        <f>IFERROR(VLOOKUP(MC$1,Equilibrium[[Ticker]:[Weight]],2,FALSE),0%)</f>
        <v>0</v>
      </c>
      <c r="MD3" s="179">
        <f>IFERROR(VLOOKUP(MD$1,Equilibrium[[Ticker]:[Weight]],2,FALSE),0%)</f>
        <v>0</v>
      </c>
      <c r="ME3" s="179">
        <f>IFERROR(VLOOKUP(ME$1,Equilibrium[[Ticker]:[Weight]],2,FALSE),0%)</f>
        <v>0</v>
      </c>
      <c r="MF3" s="179">
        <f>IFERROR(VLOOKUP(MF$1,Equilibrium[[Ticker]:[Weight]],2,FALSE),0%)</f>
        <v>0</v>
      </c>
      <c r="MG3" s="179">
        <f>IFERROR(VLOOKUP(MG$1,Equilibrium[[Ticker]:[Weight]],2,FALSE),0%)</f>
        <v>0</v>
      </c>
      <c r="MH3" s="179">
        <f>IFERROR(VLOOKUP(MH$1,Equilibrium[[Ticker]:[Weight]],2,FALSE),0%)</f>
        <v>0</v>
      </c>
      <c r="MI3" s="179">
        <f>IFERROR(VLOOKUP(MI$1,Equilibrium[[Ticker]:[Weight]],2,FALSE),0%)</f>
        <v>0</v>
      </c>
      <c r="MJ3" s="179">
        <f>IFERROR(VLOOKUP(MJ$1,Equilibrium[[Ticker]:[Weight]],2,FALSE),0%)</f>
        <v>0</v>
      </c>
      <c r="MK3" s="179">
        <f>IFERROR(VLOOKUP(MK$1,Equilibrium[[Ticker]:[Weight]],2,FALSE),0%)</f>
        <v>0</v>
      </c>
      <c r="ML3" s="179">
        <f>IFERROR(VLOOKUP(ML$1,Equilibrium[[Ticker]:[Weight]],2,FALSE),0%)</f>
        <v>0</v>
      </c>
      <c r="MM3" s="179">
        <f>IFERROR(VLOOKUP(MM$1,Equilibrium[[Ticker]:[Weight]],2,FALSE),0%)</f>
        <v>0</v>
      </c>
      <c r="MN3" s="179">
        <f>IFERROR(VLOOKUP(MN$1,Equilibrium[[Ticker]:[Weight]],2,FALSE),0%)</f>
        <v>0</v>
      </c>
      <c r="MO3" s="179">
        <f>IFERROR(VLOOKUP(MO$1,Equilibrium[[Ticker]:[Weight]],2,FALSE),0%)</f>
        <v>0</v>
      </c>
      <c r="MP3" s="179">
        <f>IFERROR(VLOOKUP(MP$1,Equilibrium[[Ticker]:[Weight]],2,FALSE),0%)</f>
        <v>0</v>
      </c>
      <c r="MQ3" s="179">
        <f>IFERROR(VLOOKUP(MQ$1,Equilibrium[[Ticker]:[Weight]],2,FALSE),0%)</f>
        <v>0</v>
      </c>
      <c r="MR3" s="179">
        <f>IFERROR(VLOOKUP(MR$1,Equilibrium[[Ticker]:[Weight]],2,FALSE),0%)</f>
        <v>0</v>
      </c>
      <c r="MS3" s="179">
        <f>IFERROR(VLOOKUP(MS$1,Equilibrium[[Ticker]:[Weight]],2,FALSE),0%)</f>
        <v>0</v>
      </c>
      <c r="MT3" s="179">
        <f>IFERROR(VLOOKUP(MT$1,Equilibrium[[Ticker]:[Weight]],2,FALSE),0%)</f>
        <v>0</v>
      </c>
      <c r="MU3" s="179">
        <f>IFERROR(VLOOKUP(MU$1,Equilibrium[[Ticker]:[Weight]],2,FALSE),0%)</f>
        <v>0</v>
      </c>
      <c r="MV3" s="179">
        <f>IFERROR(VLOOKUP(MV$1,Equilibrium[[Ticker]:[Weight]],2,FALSE),0%)</f>
        <v>0</v>
      </c>
      <c r="MW3" s="179">
        <f>IFERROR(VLOOKUP(MW$1,Equilibrium[[Ticker]:[Weight]],2,FALSE),0%)</f>
        <v>0</v>
      </c>
      <c r="MX3" s="179">
        <f>IFERROR(VLOOKUP(MX$1,Equilibrium[[Ticker]:[Weight]],2,FALSE),0%)</f>
        <v>0</v>
      </c>
      <c r="MY3" s="179">
        <f>IFERROR(VLOOKUP(MY$1,Equilibrium[[Ticker]:[Weight]],2,FALSE),0%)</f>
        <v>0</v>
      </c>
      <c r="MZ3" s="179">
        <f>IFERROR(VLOOKUP(MZ$1,Equilibrium[[Ticker]:[Weight]],2,FALSE),0%)</f>
        <v>0</v>
      </c>
      <c r="NA3" s="179">
        <f>IFERROR(VLOOKUP(NA$1,Equilibrium[[Ticker]:[Weight]],2,FALSE),0%)</f>
        <v>0</v>
      </c>
      <c r="NB3" s="179">
        <f>IFERROR(VLOOKUP(NB$1,Equilibrium[[Ticker]:[Weight]],2,FALSE),0%)</f>
        <v>0</v>
      </c>
      <c r="NC3" s="179">
        <f>IFERROR(VLOOKUP(NC$1,Equilibrium[[Ticker]:[Weight]],2,FALSE),0%)</f>
        <v>0</v>
      </c>
      <c r="ND3" s="179">
        <f>IFERROR(VLOOKUP(ND$1,Equilibrium[[Ticker]:[Weight]],2,FALSE),0%)</f>
        <v>0</v>
      </c>
      <c r="NE3" s="179">
        <f>IFERROR(VLOOKUP(NE$1,Equilibrium[[Ticker]:[Weight]],2,FALSE),0%)</f>
        <v>0</v>
      </c>
      <c r="NF3" s="179">
        <f>IFERROR(VLOOKUP(NF$1,Equilibrium[[Ticker]:[Weight]],2,FALSE),0%)</f>
        <v>0</v>
      </c>
      <c r="NG3" s="179">
        <f>IFERROR(VLOOKUP(NG$1,Equilibrium[[Ticker]:[Weight]],2,FALSE),0%)</f>
        <v>0</v>
      </c>
      <c r="NH3" s="179">
        <f>IFERROR(VLOOKUP(NH$1,Equilibrium[[Ticker]:[Weight]],2,FALSE),0%)</f>
        <v>0</v>
      </c>
      <c r="NI3" s="179">
        <f>IFERROR(VLOOKUP(NI$1,Equilibrium[[Ticker]:[Weight]],2,FALSE),0%)</f>
        <v>0</v>
      </c>
      <c r="NJ3" s="179">
        <f>IFERROR(VLOOKUP(NJ$1,Equilibrium[[Ticker]:[Weight]],2,FALSE),0%)</f>
        <v>0</v>
      </c>
      <c r="NK3" s="179">
        <f>IFERROR(VLOOKUP(NK$1,Equilibrium[[Ticker]:[Weight]],2,FALSE),0%)</f>
        <v>0</v>
      </c>
      <c r="NL3" s="179">
        <f>IFERROR(VLOOKUP(NL$1,Equilibrium[[Ticker]:[Weight]],2,FALSE),0%)</f>
        <v>0</v>
      </c>
      <c r="NM3" s="179">
        <f>IFERROR(VLOOKUP(NM$1,Equilibrium[[Ticker]:[Weight]],2,FALSE),0%)</f>
        <v>0</v>
      </c>
      <c r="NN3" s="179">
        <f>IFERROR(VLOOKUP(NN$1,Equilibrium[[Ticker]:[Weight]],2,FALSE),0%)</f>
        <v>0</v>
      </c>
      <c r="NO3" s="179">
        <f>IFERROR(VLOOKUP(NO$1,Equilibrium[[Ticker]:[Weight]],2,FALSE),0%)</f>
        <v>0</v>
      </c>
      <c r="NP3" s="179">
        <f>IFERROR(VLOOKUP(NP$1,Equilibrium[[Ticker]:[Weight]],2,FALSE),0%)</f>
        <v>0</v>
      </c>
      <c r="NQ3" s="179">
        <f>IFERROR(VLOOKUP(NQ$1,Equilibrium[[Ticker]:[Weight]],2,FALSE),0%)</f>
        <v>0</v>
      </c>
      <c r="NR3" s="179">
        <f>IFERROR(VLOOKUP(NR$1,Equilibrium[[Ticker]:[Weight]],2,FALSE),0%)</f>
        <v>0</v>
      </c>
      <c r="NS3" s="179">
        <f>IFERROR(VLOOKUP(NS$1,Equilibrium[[Ticker]:[Weight]],2,FALSE),0%)</f>
        <v>0</v>
      </c>
      <c r="NT3" s="179">
        <f>IFERROR(VLOOKUP(NT$1,Equilibrium[[Ticker]:[Weight]],2,FALSE),0%)</f>
        <v>0</v>
      </c>
      <c r="NU3" s="179">
        <f>IFERROR(VLOOKUP(NU$1,Equilibrium[[Ticker]:[Weight]],2,FALSE),0%)</f>
        <v>0</v>
      </c>
      <c r="NV3" s="179">
        <f>IFERROR(VLOOKUP(NV$1,Equilibrium[[Ticker]:[Weight]],2,FALSE),0%)</f>
        <v>0</v>
      </c>
      <c r="NW3" s="179">
        <f>IFERROR(VLOOKUP(NW$1,Equilibrium[[Ticker]:[Weight]],2,FALSE),0%)</f>
        <v>0</v>
      </c>
      <c r="NX3" s="179">
        <f>IFERROR(VLOOKUP(NX$1,Equilibrium[[Ticker]:[Weight]],2,FALSE),0%)</f>
        <v>0</v>
      </c>
      <c r="NY3" s="179">
        <f>IFERROR(VLOOKUP(NY$1,Equilibrium[[Ticker]:[Weight]],2,FALSE),0%)</f>
        <v>0</v>
      </c>
      <c r="NZ3" s="179">
        <f>IFERROR(VLOOKUP(NZ$1,Equilibrium[[Ticker]:[Weight]],2,FALSE),0%)</f>
        <v>0</v>
      </c>
      <c r="OA3" s="179">
        <f>IFERROR(VLOOKUP(OA$1,Equilibrium[[Ticker]:[Weight]],2,FALSE),0%)</f>
        <v>0</v>
      </c>
      <c r="OB3" s="179">
        <f>IFERROR(VLOOKUP(OB$1,Equilibrium[[Ticker]:[Weight]],2,FALSE),0%)</f>
        <v>0</v>
      </c>
      <c r="OC3" s="179">
        <f>IFERROR(VLOOKUP(OC$1,Equilibrium[[Ticker]:[Weight]],2,FALSE),0%)</f>
        <v>0</v>
      </c>
      <c r="OD3" s="179">
        <f>IFERROR(VLOOKUP(OD$1,Equilibrium[[Ticker]:[Weight]],2,FALSE),0%)</f>
        <v>0</v>
      </c>
      <c r="OE3" s="179">
        <f>IFERROR(VLOOKUP(OE$1,Equilibrium[[Ticker]:[Weight]],2,FALSE),0%)</f>
        <v>0</v>
      </c>
      <c r="OF3" s="179">
        <f>IFERROR(VLOOKUP(OF$1,Equilibrium[[Ticker]:[Weight]],2,FALSE),0%)</f>
        <v>0</v>
      </c>
      <c r="OG3" s="179">
        <f>IFERROR(VLOOKUP(OG$1,Equilibrium[[Ticker]:[Weight]],2,FALSE),0%)</f>
        <v>0</v>
      </c>
      <c r="OH3" s="179">
        <f>IFERROR(VLOOKUP(OH$1,Equilibrium[[Ticker]:[Weight]],2,FALSE),0%)</f>
        <v>0</v>
      </c>
      <c r="OI3" s="179">
        <f>IFERROR(VLOOKUP(OI$1,Equilibrium[[Ticker]:[Weight]],2,FALSE),0%)</f>
        <v>0</v>
      </c>
      <c r="OJ3" s="179">
        <f>IFERROR(VLOOKUP(OJ$1,Equilibrium[[Ticker]:[Weight]],2,FALSE),0%)</f>
        <v>0</v>
      </c>
      <c r="OK3" s="179">
        <f>IFERROR(VLOOKUP(OK$1,Equilibrium[[Ticker]:[Weight]],2,FALSE),0%)</f>
        <v>0</v>
      </c>
      <c r="OL3" s="179">
        <f>IFERROR(VLOOKUP(OL$1,Equilibrium[[Ticker]:[Weight]],2,FALSE),0%)</f>
        <v>0</v>
      </c>
      <c r="OM3" s="179">
        <f>IFERROR(VLOOKUP(OM$1,Equilibrium[[Ticker]:[Weight]],2,FALSE),0%)</f>
        <v>0</v>
      </c>
      <c r="ON3" s="179">
        <f>IFERROR(VLOOKUP(ON$1,Equilibrium[[Ticker]:[Weight]],2,FALSE),0%)</f>
        <v>0</v>
      </c>
      <c r="OO3" s="179">
        <f>IFERROR(VLOOKUP(OO$1,Equilibrium[[Ticker]:[Weight]],2,FALSE),0%)</f>
        <v>0</v>
      </c>
      <c r="OP3" s="179">
        <f>IFERROR(VLOOKUP(OP$1,Equilibrium[[Ticker]:[Weight]],2,FALSE),0%)</f>
        <v>0</v>
      </c>
      <c r="OQ3" s="179">
        <f>IFERROR(VLOOKUP(OQ$1,Equilibrium[[Ticker]:[Weight]],2,FALSE),0%)</f>
        <v>0</v>
      </c>
      <c r="OR3" s="179">
        <f>IFERROR(VLOOKUP(OR$1,Equilibrium[[Ticker]:[Weight]],2,FALSE),0%)</f>
        <v>0</v>
      </c>
      <c r="OS3" s="179">
        <f>IFERROR(VLOOKUP(OS$1,Equilibrium[[Ticker]:[Weight]],2,FALSE),0%)</f>
        <v>0</v>
      </c>
      <c r="OT3" s="179">
        <f>IFERROR(VLOOKUP(OT$1,Equilibrium[[Ticker]:[Weight]],2,FALSE),0%)</f>
        <v>0</v>
      </c>
      <c r="OU3" s="179">
        <f>IFERROR(VLOOKUP(OU$1,Equilibrium[[Ticker]:[Weight]],2,FALSE),0%)</f>
        <v>0</v>
      </c>
      <c r="OV3" s="179">
        <f>IFERROR(VLOOKUP(OV$1,Equilibrium[[Ticker]:[Weight]],2,FALSE),0%)</f>
        <v>0</v>
      </c>
      <c r="OW3" s="179">
        <f>IFERROR(VLOOKUP(OW$1,Equilibrium[[Ticker]:[Weight]],2,FALSE),0%)</f>
        <v>0</v>
      </c>
      <c r="OX3" s="179">
        <f>IFERROR(VLOOKUP(OX$1,Equilibrium[[Ticker]:[Weight]],2,FALSE),0%)</f>
        <v>0</v>
      </c>
      <c r="OY3" s="179">
        <f>IFERROR(VLOOKUP(OY$1,Equilibrium[[Ticker]:[Weight]],2,FALSE),0%)</f>
        <v>0</v>
      </c>
      <c r="OZ3" s="179">
        <f>IFERROR(VLOOKUP(OZ$1,Equilibrium[[Ticker]:[Weight]],2,FALSE),0%)</f>
        <v>0</v>
      </c>
      <c r="PA3" s="179">
        <f>IFERROR(VLOOKUP(PA$1,Equilibrium[[Ticker]:[Weight]],2,FALSE),0%)</f>
        <v>0</v>
      </c>
      <c r="PB3" s="179">
        <f>IFERROR(VLOOKUP(PB$1,Equilibrium[[Ticker]:[Weight]],2,FALSE),0%)</f>
        <v>0</v>
      </c>
      <c r="PC3" s="179">
        <f>IFERROR(VLOOKUP(PC$1,Equilibrium[[Ticker]:[Weight]],2,FALSE),0%)</f>
        <v>0</v>
      </c>
      <c r="PD3" s="179">
        <f>IFERROR(VLOOKUP(PD$1,Equilibrium[[Ticker]:[Weight]],2,FALSE),0%)</f>
        <v>0</v>
      </c>
      <c r="PE3" s="179">
        <f>IFERROR(VLOOKUP(PE$1,Equilibrium[[Ticker]:[Weight]],2,FALSE),0%)</f>
        <v>0</v>
      </c>
      <c r="PF3" s="179">
        <f>IFERROR(VLOOKUP(PF$1,Equilibrium[[Ticker]:[Weight]],2,FALSE),0%)</f>
        <v>0</v>
      </c>
      <c r="PG3" s="179">
        <f>IFERROR(VLOOKUP(PG$1,Equilibrium[[Ticker]:[Weight]],2,FALSE),0%)</f>
        <v>0</v>
      </c>
      <c r="PH3" s="179">
        <f>IFERROR(VLOOKUP(PH$1,Equilibrium[[Ticker]:[Weight]],2,FALSE),0%)</f>
        <v>0</v>
      </c>
      <c r="PI3" s="179">
        <f>IFERROR(VLOOKUP(PI$1,Equilibrium[[Ticker]:[Weight]],2,FALSE),0%)</f>
        <v>0</v>
      </c>
      <c r="PJ3" s="179">
        <f>IFERROR(VLOOKUP(PJ$1,Equilibrium[[Ticker]:[Weight]],2,FALSE),0%)</f>
        <v>0</v>
      </c>
      <c r="PK3" s="179">
        <f>IFERROR(VLOOKUP(PK$1,Equilibrium[[Ticker]:[Weight]],2,FALSE),0%)</f>
        <v>0</v>
      </c>
      <c r="PL3" s="179">
        <f>IFERROR(VLOOKUP(PL$1,Equilibrium[[Ticker]:[Weight]],2,FALSE),0%)</f>
        <v>0</v>
      </c>
      <c r="PM3" s="179">
        <f>IFERROR(VLOOKUP(PM$1,Equilibrium[[Ticker]:[Weight]],2,FALSE),0%)</f>
        <v>0</v>
      </c>
      <c r="PN3" s="179">
        <f>IFERROR(VLOOKUP(PN$1,Equilibrium[[Ticker]:[Weight]],2,FALSE),0%)</f>
        <v>0</v>
      </c>
      <c r="PO3" s="179">
        <f>IFERROR(VLOOKUP(PO$1,Equilibrium[[Ticker]:[Weight]],2,FALSE),0%)</f>
        <v>0</v>
      </c>
      <c r="PP3" s="179">
        <f>IFERROR(VLOOKUP(PP$1,Equilibrium[[Ticker]:[Weight]],2,FALSE),0%)</f>
        <v>0</v>
      </c>
      <c r="PQ3" s="179">
        <f>IFERROR(VLOOKUP(PQ$1,Equilibrium[[Ticker]:[Weight]],2,FALSE),0%)</f>
        <v>0</v>
      </c>
      <c r="PR3" s="179">
        <f>IFERROR(VLOOKUP(PR$1,Equilibrium[[Ticker]:[Weight]],2,FALSE),0%)</f>
        <v>0</v>
      </c>
      <c r="PS3" s="179">
        <f>IFERROR(VLOOKUP(PS$1,Equilibrium[[Ticker]:[Weight]],2,FALSE),0%)</f>
        <v>0</v>
      </c>
      <c r="PT3" s="179">
        <f>IFERROR(VLOOKUP(PT$1,Equilibrium[[Ticker]:[Weight]],2,FALSE),0%)</f>
        <v>0</v>
      </c>
      <c r="PU3" s="179">
        <f>IFERROR(VLOOKUP(PU$1,Equilibrium[[Ticker]:[Weight]],2,FALSE),0%)</f>
        <v>0</v>
      </c>
      <c r="PV3" s="179">
        <f>IFERROR(VLOOKUP(PV$1,Equilibrium[[Ticker]:[Weight]],2,FALSE),0%)</f>
        <v>0</v>
      </c>
      <c r="PW3" s="179">
        <f>IFERROR(VLOOKUP(PW$1,Equilibrium[[Ticker]:[Weight]],2,FALSE),0%)</f>
        <v>0</v>
      </c>
      <c r="PX3" s="179">
        <f>IFERROR(VLOOKUP(PX$1,Equilibrium[[Ticker]:[Weight]],2,FALSE),0%)</f>
        <v>0</v>
      </c>
      <c r="PY3" s="179">
        <f>IFERROR(VLOOKUP(PY$1,Equilibrium[[Ticker]:[Weight]],2,FALSE),0%)</f>
        <v>0</v>
      </c>
      <c r="PZ3" s="179">
        <f>IFERROR(VLOOKUP(PZ$1,Equilibrium[[Ticker]:[Weight]],2,FALSE),0%)</f>
        <v>0</v>
      </c>
      <c r="QA3" s="179">
        <f>IFERROR(VLOOKUP(QA$1,Equilibrium[[Ticker]:[Weight]],2,FALSE),0%)</f>
        <v>0</v>
      </c>
      <c r="QB3" s="179">
        <f>IFERROR(VLOOKUP(QB$1,Equilibrium[[Ticker]:[Weight]],2,FALSE),0%)</f>
        <v>0</v>
      </c>
      <c r="QC3" s="179">
        <f>IFERROR(VLOOKUP(QC$1,Equilibrium[[Ticker]:[Weight]],2,FALSE),0%)</f>
        <v>0</v>
      </c>
      <c r="QD3" s="179">
        <f>IFERROR(VLOOKUP(QD$1,Equilibrium[[Ticker]:[Weight]],2,FALSE),0%)</f>
        <v>0</v>
      </c>
      <c r="QE3" s="179">
        <f>IFERROR(VLOOKUP(QE$1,Equilibrium[[Ticker]:[Weight]],2,FALSE),0%)</f>
        <v>0</v>
      </c>
      <c r="QF3" s="179">
        <f>IFERROR(VLOOKUP(QF$1,Equilibrium[[Ticker]:[Weight]],2,FALSE),0%)</f>
        <v>0</v>
      </c>
      <c r="QG3" s="179">
        <f>IFERROR(VLOOKUP(QG$1,Equilibrium[[Ticker]:[Weight]],2,FALSE),0%)</f>
        <v>0</v>
      </c>
      <c r="QH3" s="179">
        <f>IFERROR(VLOOKUP(QH$1,Equilibrium[[Ticker]:[Weight]],2,FALSE),0%)</f>
        <v>0</v>
      </c>
      <c r="QI3" s="179">
        <f>IFERROR(VLOOKUP(QI$1,Equilibrium[[Ticker]:[Weight]],2,FALSE),0%)</f>
        <v>0</v>
      </c>
      <c r="QJ3" s="179">
        <f>IFERROR(VLOOKUP(QJ$1,Equilibrium[[Ticker]:[Weight]],2,FALSE),0%)</f>
        <v>0</v>
      </c>
      <c r="QK3" s="179">
        <f>IFERROR(VLOOKUP(QK$1,Equilibrium[[Ticker]:[Weight]],2,FALSE),0%)</f>
        <v>0</v>
      </c>
      <c r="QL3" s="179">
        <f>IFERROR(VLOOKUP(QL$1,Equilibrium[[Ticker]:[Weight]],2,FALSE),0%)</f>
        <v>0</v>
      </c>
      <c r="QM3" s="179">
        <f>IFERROR(VLOOKUP(QM$1,Equilibrium[[Ticker]:[Weight]],2,FALSE),0%)</f>
        <v>0</v>
      </c>
      <c r="QN3" s="179">
        <f>IFERROR(VLOOKUP(QN$1,Equilibrium[[Ticker]:[Weight]],2,FALSE),0%)</f>
        <v>0</v>
      </c>
      <c r="QO3" s="179">
        <f>IFERROR(VLOOKUP(QO$1,Equilibrium[[Ticker]:[Weight]],2,FALSE),0%)</f>
        <v>0</v>
      </c>
      <c r="QP3" s="179">
        <f>IFERROR(VLOOKUP(QP$1,Equilibrium[[Ticker]:[Weight]],2,FALSE),0%)</f>
        <v>0</v>
      </c>
      <c r="QQ3" s="179">
        <f>IFERROR(VLOOKUP(QQ$1,Equilibrium[[Ticker]:[Weight]],2,FALSE),0%)</f>
        <v>0</v>
      </c>
      <c r="QR3" s="179">
        <f>IFERROR(VLOOKUP(QR$1,Equilibrium[[Ticker]:[Weight]],2,FALSE),0%)</f>
        <v>0</v>
      </c>
      <c r="QS3" s="179">
        <f>IFERROR(VLOOKUP(QS$1,Equilibrium[[Ticker]:[Weight]],2,FALSE),0%)</f>
        <v>0</v>
      </c>
      <c r="QT3" s="179">
        <f>IFERROR(VLOOKUP(QT$1,Equilibrium[[Ticker]:[Weight]],2,FALSE),0%)</f>
        <v>0</v>
      </c>
      <c r="QU3" s="179">
        <f>IFERROR(VLOOKUP(QU$1,Equilibrium[[Ticker]:[Weight]],2,FALSE),0%)</f>
        <v>0</v>
      </c>
      <c r="QV3" s="179">
        <f>IFERROR(VLOOKUP(QV$1,Equilibrium[[Ticker]:[Weight]],2,FALSE),0%)</f>
        <v>0</v>
      </c>
      <c r="QW3" s="179">
        <f>IFERROR(VLOOKUP(QW$1,Equilibrium[[Ticker]:[Weight]],2,FALSE),0%)</f>
        <v>0</v>
      </c>
      <c r="QX3" s="179">
        <f>IFERROR(VLOOKUP(QX$1,Equilibrium[[Ticker]:[Weight]],2,FALSE),0%)</f>
        <v>0</v>
      </c>
      <c r="QY3" s="179">
        <f>IFERROR(VLOOKUP(QY$1,Equilibrium[[Ticker]:[Weight]],2,FALSE),0%)</f>
        <v>0</v>
      </c>
      <c r="QZ3" s="179">
        <f>IFERROR(VLOOKUP(QZ$1,Equilibrium[[Ticker]:[Weight]],2,FALSE),0%)</f>
        <v>0</v>
      </c>
      <c r="RA3" s="179">
        <f>IFERROR(VLOOKUP(RA$1,Equilibrium[[Ticker]:[Weight]],2,FALSE),0%)</f>
        <v>0</v>
      </c>
      <c r="RB3" s="179">
        <f>IFERROR(VLOOKUP(RB$1,Equilibrium[[Ticker]:[Weight]],2,FALSE),0%)</f>
        <v>0</v>
      </c>
      <c r="RC3" s="179">
        <f>IFERROR(VLOOKUP(RC$1,Equilibrium[[Ticker]:[Weight]],2,FALSE),0%)</f>
        <v>0</v>
      </c>
      <c r="RD3" s="179">
        <f>IFERROR(VLOOKUP(RD$1,Equilibrium[[Ticker]:[Weight]],2,FALSE),0%)</f>
        <v>0</v>
      </c>
      <c r="RE3" s="179">
        <f>IFERROR(VLOOKUP(RE$1,Equilibrium[[Ticker]:[Weight]],2,FALSE),0%)</f>
        <v>0</v>
      </c>
      <c r="RF3" s="179">
        <f>IFERROR(VLOOKUP(RF$1,Equilibrium[[Ticker]:[Weight]],2,FALSE),0%)</f>
        <v>0</v>
      </c>
      <c r="RG3" s="179">
        <f>IFERROR(VLOOKUP(RG$1,Equilibrium[[Ticker]:[Weight]],2,FALSE),0%)</f>
        <v>0</v>
      </c>
      <c r="RH3" s="179">
        <f>IFERROR(VLOOKUP(RH$1,Equilibrium[[Ticker]:[Weight]],2,FALSE),0%)</f>
        <v>0</v>
      </c>
      <c r="RI3" s="179">
        <f>IFERROR(VLOOKUP(RI$1,Equilibrium[[Ticker]:[Weight]],2,FALSE),0%)</f>
        <v>0</v>
      </c>
      <c r="RJ3" s="179">
        <f>IFERROR(VLOOKUP(RJ$1,Equilibrium[[Ticker]:[Weight]],2,FALSE),0%)</f>
        <v>0</v>
      </c>
      <c r="RK3" s="179">
        <f>IFERROR(VLOOKUP(RK$1,Equilibrium[[Ticker]:[Weight]],2,FALSE),0%)</f>
        <v>0</v>
      </c>
      <c r="RL3" s="179">
        <f>IFERROR(VLOOKUP(RL$1,Equilibrium[[Ticker]:[Weight]],2,FALSE),0%)</f>
        <v>0</v>
      </c>
      <c r="RM3" s="179">
        <f>IFERROR(VLOOKUP(RM$1,Equilibrium[[Ticker]:[Weight]],2,FALSE),0%)</f>
        <v>0</v>
      </c>
      <c r="RN3" s="179">
        <f>IFERROR(VLOOKUP(RN$1,Equilibrium[[Ticker]:[Weight]],2,FALSE),0%)</f>
        <v>0</v>
      </c>
      <c r="RO3" s="179">
        <f>IFERROR(VLOOKUP(RO$1,Equilibrium[[Ticker]:[Weight]],2,FALSE),0%)</f>
        <v>0</v>
      </c>
      <c r="RP3" s="179">
        <f>IFERROR(VLOOKUP(RP$1,Equilibrium[[Ticker]:[Weight]],2,FALSE),0%)</f>
        <v>0</v>
      </c>
      <c r="RQ3" s="179">
        <f>IFERROR(VLOOKUP(RQ$1,Equilibrium[[Ticker]:[Weight]],2,FALSE),0%)</f>
        <v>0</v>
      </c>
      <c r="RR3" s="179">
        <f>IFERROR(VLOOKUP(RR$1,Equilibrium[[Ticker]:[Weight]],2,FALSE),0%)</f>
        <v>0</v>
      </c>
      <c r="RS3" s="179">
        <f>IFERROR(VLOOKUP(RS$1,Equilibrium[[Ticker]:[Weight]],2,FALSE),0%)</f>
        <v>0</v>
      </c>
      <c r="RT3" s="179">
        <f>IFERROR(VLOOKUP(RT$1,Equilibrium[[Ticker]:[Weight]],2,FALSE),0%)</f>
        <v>0</v>
      </c>
      <c r="RU3" s="179">
        <f>IFERROR(VLOOKUP(RU$1,Equilibrium[[Ticker]:[Weight]],2,FALSE),0%)</f>
        <v>0</v>
      </c>
      <c r="RV3" s="179">
        <f>IFERROR(VLOOKUP(RV$1,Equilibrium[[Ticker]:[Weight]],2,FALSE),0%)</f>
        <v>0</v>
      </c>
      <c r="RW3" s="179">
        <f>IFERROR(VLOOKUP(RW$1,Equilibrium[[Ticker]:[Weight]],2,FALSE),0%)</f>
        <v>0</v>
      </c>
      <c r="RX3" s="179">
        <f>IFERROR(VLOOKUP(RX$1,Equilibrium[[Ticker]:[Weight]],2,FALSE),0%)</f>
        <v>0</v>
      </c>
      <c r="RY3" s="179">
        <f>IFERROR(VLOOKUP(RY$1,Equilibrium[[Ticker]:[Weight]],2,FALSE),0%)</f>
        <v>0</v>
      </c>
      <c r="RZ3" s="179">
        <f>IFERROR(VLOOKUP(RZ$1,Equilibrium[[Ticker]:[Weight]],2,FALSE),0%)</f>
        <v>0</v>
      </c>
      <c r="SA3" s="179">
        <f>IFERROR(VLOOKUP(SA$1,Equilibrium[[Ticker]:[Weight]],2,FALSE),0%)</f>
        <v>0</v>
      </c>
      <c r="SB3" s="179">
        <f>IFERROR(VLOOKUP(SB$1,Equilibrium[[Ticker]:[Weight]],2,FALSE),0%)</f>
        <v>0</v>
      </c>
      <c r="SC3" s="179">
        <f>IFERROR(VLOOKUP(SC$1,Equilibrium[[Ticker]:[Weight]],2,FALSE),0%)</f>
        <v>0</v>
      </c>
      <c r="SD3" s="179">
        <f>IFERROR(VLOOKUP(SD$1,Equilibrium[[Ticker]:[Weight]],2,FALSE),0%)</f>
        <v>0</v>
      </c>
      <c r="SE3" s="179">
        <f>IFERROR(VLOOKUP(SE$1,Equilibrium[[Ticker]:[Weight]],2,FALSE),0%)</f>
        <v>0</v>
      </c>
      <c r="SF3" s="179">
        <f>IFERROR(VLOOKUP(SF$1,Equilibrium[[Ticker]:[Weight]],2,FALSE),0%)</f>
        <v>0</v>
      </c>
      <c r="SG3" s="179">
        <f>IFERROR(VLOOKUP(SG$1,Equilibrium[[Ticker]:[Weight]],2,FALSE),0%)</f>
        <v>0</v>
      </c>
      <c r="SH3" s="179">
        <f>IFERROR(VLOOKUP(SH$1,Equilibrium[[Ticker]:[Weight]],2,FALSE),0%)</f>
        <v>0</v>
      </c>
      <c r="SI3" s="179">
        <f>IFERROR(VLOOKUP(SI$1,Equilibrium[[Ticker]:[Weight]],2,FALSE),0%)</f>
        <v>0</v>
      </c>
      <c r="SJ3" s="179">
        <f>IFERROR(VLOOKUP(SJ$1,Equilibrium[[Ticker]:[Weight]],2,FALSE),0%)</f>
        <v>0</v>
      </c>
      <c r="SK3" s="179">
        <f>IFERROR(VLOOKUP(SK$1,Equilibrium[[Ticker]:[Weight]],2,FALSE),0%)</f>
        <v>0</v>
      </c>
      <c r="SL3" s="179">
        <f>IFERROR(VLOOKUP(SL$1,Equilibrium[[Ticker]:[Weight]],2,FALSE),0%)</f>
        <v>0</v>
      </c>
      <c r="SM3" s="179">
        <f>IFERROR(VLOOKUP(SM$1,Equilibrium[[Ticker]:[Weight]],2,FALSE),0%)</f>
        <v>0</v>
      </c>
      <c r="SN3" s="179">
        <f>IFERROR(VLOOKUP(SN$1,Equilibrium[[Ticker]:[Weight]],2,FALSE),0%)</f>
        <v>0</v>
      </c>
      <c r="SO3" s="179">
        <f>IFERROR(VLOOKUP(SO$1,Equilibrium[[Ticker]:[Weight]],2,FALSE),0%)</f>
        <v>0</v>
      </c>
      <c r="SP3" s="179">
        <f>IFERROR(VLOOKUP(SP$1,Equilibrium[[Ticker]:[Weight]],2,FALSE),0%)</f>
        <v>0</v>
      </c>
      <c r="SQ3" s="179">
        <f>IFERROR(VLOOKUP(SQ$1,Equilibrium[[Ticker]:[Weight]],2,FALSE),0%)</f>
        <v>0</v>
      </c>
      <c r="SR3" s="179">
        <f>IFERROR(VLOOKUP(SR$1,Equilibrium[[Ticker]:[Weight]],2,FALSE),0%)</f>
        <v>0</v>
      </c>
      <c r="SS3" s="179">
        <f>IFERROR(VLOOKUP(SS$1,Equilibrium[[Ticker]:[Weight]],2,FALSE),0%)</f>
        <v>0</v>
      </c>
      <c r="ST3" s="179">
        <f>IFERROR(VLOOKUP(ST$1,Equilibrium[[Ticker]:[Weight]],2,FALSE),0%)</f>
        <v>0</v>
      </c>
      <c r="SU3" s="179">
        <f>IFERROR(VLOOKUP(SU$1,Equilibrium[[Ticker]:[Weight]],2,FALSE),0%)</f>
        <v>0</v>
      </c>
      <c r="SV3" s="179">
        <f>IFERROR(VLOOKUP(SV$1,Equilibrium[[Ticker]:[Weight]],2,FALSE),0%)</f>
        <v>0</v>
      </c>
      <c r="SW3" s="179">
        <f>IFERROR(VLOOKUP(SW$1,Equilibrium[[Ticker]:[Weight]],2,FALSE),0%)</f>
        <v>0</v>
      </c>
      <c r="SX3" s="179">
        <f>IFERROR(VLOOKUP(SX$1,Equilibrium[[Ticker]:[Weight]],2,FALSE),0%)</f>
        <v>0</v>
      </c>
      <c r="SY3" s="179">
        <f>IFERROR(VLOOKUP(SY$1,Equilibrium[[Ticker]:[Weight]],2,FALSE),0%)</f>
        <v>0</v>
      </c>
      <c r="SZ3" s="179">
        <f>IFERROR(VLOOKUP(SZ$1,Equilibrium[[Ticker]:[Weight]],2,FALSE),0%)</f>
        <v>0</v>
      </c>
      <c r="TA3" s="179">
        <f>IFERROR(VLOOKUP(TA$1,Equilibrium[[Ticker]:[Weight]],2,FALSE),0%)</f>
        <v>0</v>
      </c>
      <c r="TB3" s="179">
        <f>IFERROR(VLOOKUP(TB$1,Equilibrium[[Ticker]:[Weight]],2,FALSE),0%)</f>
        <v>0</v>
      </c>
      <c r="TC3" s="179">
        <f>IFERROR(VLOOKUP(TC$1,Equilibrium[[Ticker]:[Weight]],2,FALSE),0%)</f>
        <v>0</v>
      </c>
      <c r="TD3" s="179">
        <f>IFERROR(VLOOKUP(TD$1,Equilibrium[[Ticker]:[Weight]],2,FALSE),0%)</f>
        <v>0</v>
      </c>
      <c r="TE3" s="179">
        <f>IFERROR(VLOOKUP(TE$1,Equilibrium[[Ticker]:[Weight]],2,FALSE),0%)</f>
        <v>0</v>
      </c>
      <c r="TF3" s="179">
        <f>IFERROR(VLOOKUP(TF$1,Equilibrium[[Ticker]:[Weight]],2,FALSE),0%)</f>
        <v>0</v>
      </c>
      <c r="TG3" s="179">
        <f>IFERROR(VLOOKUP(TG$1,Equilibrium[[Ticker]:[Weight]],2,FALSE),0%)</f>
        <v>0</v>
      </c>
      <c r="TH3" s="179">
        <f>IFERROR(VLOOKUP(TH$1,Equilibrium[[Ticker]:[Weight]],2,FALSE),0%)</f>
        <v>0</v>
      </c>
      <c r="TI3" s="179">
        <f>IFERROR(VLOOKUP(TI$1,Equilibrium[[Ticker]:[Weight]],2,FALSE),0%)</f>
        <v>0</v>
      </c>
      <c r="TJ3" s="179">
        <f>IFERROR(VLOOKUP(TJ$1,Equilibrium[[Ticker]:[Weight]],2,FALSE),0%)</f>
        <v>0</v>
      </c>
      <c r="TK3" s="179">
        <f>IFERROR(VLOOKUP(TK$1,Equilibrium[[Ticker]:[Weight]],2,FALSE),0%)</f>
        <v>0</v>
      </c>
      <c r="TL3" s="179">
        <f>IFERROR(VLOOKUP(TL$1,Equilibrium[[Ticker]:[Weight]],2,FALSE),0%)</f>
        <v>0</v>
      </c>
      <c r="TM3" s="179">
        <f>IFERROR(VLOOKUP(TM$1,Equilibrium[[Ticker]:[Weight]],2,FALSE),0%)</f>
        <v>0</v>
      </c>
      <c r="TN3" s="179">
        <f>IFERROR(VLOOKUP(TN$1,Equilibrium[[Ticker]:[Weight]],2,FALSE),0%)</f>
        <v>0</v>
      </c>
      <c r="TO3" s="179">
        <f>IFERROR(VLOOKUP(TO$1,Equilibrium[[Ticker]:[Weight]],2,FALSE),0%)</f>
        <v>0</v>
      </c>
      <c r="TP3" s="179">
        <f>IFERROR(VLOOKUP(TP$1,Equilibrium[[Ticker]:[Weight]],2,FALSE),0%)</f>
        <v>0</v>
      </c>
      <c r="TQ3" s="179">
        <f>IFERROR(VLOOKUP(TQ$1,Equilibrium[[Ticker]:[Weight]],2,FALSE),0%)</f>
        <v>0</v>
      </c>
      <c r="TR3" s="179">
        <f>IFERROR(VLOOKUP(TR$1,Equilibrium[[Ticker]:[Weight]],2,FALSE),0%)</f>
        <v>0</v>
      </c>
      <c r="TS3" s="179">
        <f>IFERROR(VLOOKUP(TS$1,Equilibrium[[Ticker]:[Weight]],2,FALSE),0%)</f>
        <v>0</v>
      </c>
      <c r="TT3" s="179">
        <f>IFERROR(VLOOKUP(TT$1,Equilibrium[[Ticker]:[Weight]],2,FALSE),0%)</f>
        <v>0</v>
      </c>
      <c r="TU3" s="179">
        <f>IFERROR(VLOOKUP(TU$1,Equilibrium[[Ticker]:[Weight]],2,FALSE),0%)</f>
        <v>0</v>
      </c>
      <c r="TV3" s="179">
        <f>IFERROR(VLOOKUP(TV$1,Equilibrium[[Ticker]:[Weight]],2,FALSE),0%)</f>
        <v>0</v>
      </c>
      <c r="TW3" s="179">
        <f>IFERROR(VLOOKUP(TW$1,Equilibrium[[Ticker]:[Weight]],2,FALSE),0%)</f>
        <v>0</v>
      </c>
      <c r="TX3" s="179">
        <f>IFERROR(VLOOKUP(TX$1,Equilibrium[[Ticker]:[Weight]],2,FALSE),0%)</f>
        <v>0</v>
      </c>
      <c r="TY3" s="179">
        <f>IFERROR(VLOOKUP(TY$1,Equilibrium[[Ticker]:[Weight]],2,FALSE),0%)</f>
        <v>0</v>
      </c>
      <c r="TZ3" s="179">
        <f>IFERROR(VLOOKUP(TZ$1,Equilibrium[[Ticker]:[Weight]],2,FALSE),0%)</f>
        <v>0</v>
      </c>
      <c r="UA3" s="179">
        <f>IFERROR(VLOOKUP(UA$1,Equilibrium[[Ticker]:[Weight]],2,FALSE),0%)</f>
        <v>0</v>
      </c>
      <c r="UB3" s="179">
        <f>IFERROR(VLOOKUP(UB$1,Equilibrium[[Ticker]:[Weight]],2,FALSE),0%)</f>
        <v>0</v>
      </c>
      <c r="UC3" s="179">
        <f>IFERROR(VLOOKUP(UC$1,Equilibrium[[Ticker]:[Weight]],2,FALSE),0%)</f>
        <v>0</v>
      </c>
      <c r="UD3" s="179">
        <f>IFERROR(VLOOKUP(UD$1,Equilibrium[[Ticker]:[Weight]],2,FALSE),0%)</f>
        <v>0</v>
      </c>
      <c r="UE3" s="179">
        <f>IFERROR(VLOOKUP(UE$1,Equilibrium[[Ticker]:[Weight]],2,FALSE),0%)</f>
        <v>0</v>
      </c>
      <c r="UF3" s="179">
        <f>IFERROR(VLOOKUP(UF$1,Equilibrium[[Ticker]:[Weight]],2,FALSE),0%)</f>
        <v>0</v>
      </c>
      <c r="UG3" s="179">
        <f>IFERROR(VLOOKUP(UG$1,Equilibrium[[Ticker]:[Weight]],2,FALSE),0%)</f>
        <v>0</v>
      </c>
      <c r="UH3" s="179">
        <f>IFERROR(VLOOKUP(UH$1,Equilibrium[[Ticker]:[Weight]],2,FALSE),0%)</f>
        <v>0</v>
      </c>
      <c r="UI3" s="179">
        <f>IFERROR(VLOOKUP(UI$1,Equilibrium[[Ticker]:[Weight]],2,FALSE),0%)</f>
        <v>0</v>
      </c>
      <c r="UJ3" s="179">
        <f>IFERROR(VLOOKUP(UJ$1,Equilibrium[[Ticker]:[Weight]],2,FALSE),0%)</f>
        <v>0</v>
      </c>
      <c r="UK3" s="179">
        <f>IFERROR(VLOOKUP(UK$1,Equilibrium[[Ticker]:[Weight]],2,FALSE),0%)</f>
        <v>0</v>
      </c>
      <c r="UL3" s="179">
        <f>IFERROR(VLOOKUP(UL$1,Equilibrium[[Ticker]:[Weight]],2,FALSE),0%)</f>
        <v>0</v>
      </c>
      <c r="UM3" s="179">
        <f>IFERROR(VLOOKUP(UM$1,Equilibrium[[Ticker]:[Weight]],2,FALSE),0%)</f>
        <v>0</v>
      </c>
      <c r="UN3" s="179">
        <f>IFERROR(VLOOKUP(UN$1,Equilibrium[[Ticker]:[Weight]],2,FALSE),0%)</f>
        <v>0</v>
      </c>
      <c r="UO3" s="179">
        <f>IFERROR(VLOOKUP(UO$1,Equilibrium[[Ticker]:[Weight]],2,FALSE),0%)</f>
        <v>0</v>
      </c>
      <c r="UP3" s="179">
        <f>IFERROR(VLOOKUP(UP$1,Equilibrium[[Ticker]:[Weight]],2,FALSE),0%)</f>
        <v>0</v>
      </c>
      <c r="UQ3" s="179">
        <f>IFERROR(VLOOKUP(UQ$1,Equilibrium[[Ticker]:[Weight]],2,FALSE),0%)</f>
        <v>0</v>
      </c>
      <c r="UR3" s="179">
        <f>IFERROR(VLOOKUP(UR$1,Equilibrium[[Ticker]:[Weight]],2,FALSE),0%)</f>
        <v>0</v>
      </c>
      <c r="US3" s="179">
        <f>IFERROR(VLOOKUP(US$1,Equilibrium[[Ticker]:[Weight]],2,FALSE),0%)</f>
        <v>0</v>
      </c>
      <c r="UT3" s="179">
        <f>IFERROR(VLOOKUP(UT$1,Equilibrium[[Ticker]:[Weight]],2,FALSE),0%)</f>
        <v>0</v>
      </c>
      <c r="UU3" s="179">
        <f>IFERROR(VLOOKUP(UU$1,Equilibrium[[Ticker]:[Weight]],2,FALSE),0%)</f>
        <v>0</v>
      </c>
      <c r="UV3" s="179">
        <f>IFERROR(VLOOKUP(UV$1,Equilibrium[[Ticker]:[Weight]],2,FALSE),0%)</f>
        <v>0</v>
      </c>
      <c r="UW3" s="179">
        <f>IFERROR(VLOOKUP(UW$1,Equilibrium[[Ticker]:[Weight]],2,FALSE),0%)</f>
        <v>0</v>
      </c>
      <c r="UX3" s="179">
        <f>IFERROR(VLOOKUP(UX$1,Equilibrium[[Ticker]:[Weight]],2,FALSE),0%)</f>
        <v>0</v>
      </c>
      <c r="UY3" s="179">
        <f>IFERROR(VLOOKUP(UY$1,Equilibrium[[Ticker]:[Weight]],2,FALSE),0%)</f>
        <v>0</v>
      </c>
      <c r="UZ3" s="179">
        <f>IFERROR(VLOOKUP(UZ$1,Equilibrium[[Ticker]:[Weight]],2,FALSE),0%)</f>
        <v>0</v>
      </c>
      <c r="VA3" s="179">
        <f>IFERROR(VLOOKUP(VA$1,Equilibrium[[Ticker]:[Weight]],2,FALSE),0%)</f>
        <v>0</v>
      </c>
      <c r="VB3" s="179">
        <f>IFERROR(VLOOKUP(VB$1,Equilibrium[[Ticker]:[Weight]],2,FALSE),0%)</f>
        <v>0</v>
      </c>
      <c r="VC3" s="179">
        <f>IFERROR(VLOOKUP(VC$1,Equilibrium[[Ticker]:[Weight]],2,FALSE),0%)</f>
        <v>0</v>
      </c>
      <c r="VD3" s="179">
        <f>IFERROR(VLOOKUP(VD$1,Equilibrium[[Ticker]:[Weight]],2,FALSE),0%)</f>
        <v>0</v>
      </c>
      <c r="VE3" s="179">
        <f>IFERROR(VLOOKUP(VE$1,Equilibrium[[Ticker]:[Weight]],2,FALSE),0%)</f>
        <v>0</v>
      </c>
      <c r="VF3" s="179">
        <f>IFERROR(VLOOKUP(VF$1,Equilibrium[[Ticker]:[Weight]],2,FALSE),0%)</f>
        <v>0</v>
      </c>
      <c r="VG3" s="179">
        <f>IFERROR(VLOOKUP(VG$1,Equilibrium[[Ticker]:[Weight]],2,FALSE),0%)</f>
        <v>0</v>
      </c>
      <c r="VH3" s="179">
        <f>IFERROR(VLOOKUP(VH$1,Equilibrium[[Ticker]:[Weight]],2,FALSE),0%)</f>
        <v>0</v>
      </c>
      <c r="VI3" s="179">
        <f>IFERROR(VLOOKUP(VI$1,Equilibrium[[Ticker]:[Weight]],2,FALSE),0%)</f>
        <v>0</v>
      </c>
      <c r="VJ3" s="179">
        <f>IFERROR(VLOOKUP(VJ$1,Equilibrium[[Ticker]:[Weight]],2,FALSE),0%)</f>
        <v>0</v>
      </c>
      <c r="VK3" s="179">
        <f>IFERROR(VLOOKUP(VK$1,Equilibrium[[Ticker]:[Weight]],2,FALSE),0%)</f>
        <v>0</v>
      </c>
      <c r="VL3" s="179">
        <f>IFERROR(VLOOKUP(VL$1,Equilibrium[[Ticker]:[Weight]],2,FALSE),0%)</f>
        <v>0</v>
      </c>
      <c r="VM3" s="179">
        <f>IFERROR(VLOOKUP(VM$1,Equilibrium[[Ticker]:[Weight]],2,FALSE),0%)</f>
        <v>0</v>
      </c>
      <c r="VN3" s="179">
        <f>IFERROR(VLOOKUP(VN$1,Equilibrium[[Ticker]:[Weight]],2,FALSE),0%)</f>
        <v>0</v>
      </c>
      <c r="VO3" s="179">
        <f>IFERROR(VLOOKUP(VO$1,Equilibrium[[Ticker]:[Weight]],2,FALSE),0%)</f>
        <v>0</v>
      </c>
      <c r="VP3" s="179">
        <f>IFERROR(VLOOKUP(VP$1,Equilibrium[[Ticker]:[Weight]],2,FALSE),0%)</f>
        <v>0</v>
      </c>
      <c r="VQ3" s="179">
        <f>IFERROR(VLOOKUP(VQ$1,Equilibrium[[Ticker]:[Weight]],2,FALSE),0%)</f>
        <v>0</v>
      </c>
      <c r="VR3" s="179">
        <f>IFERROR(VLOOKUP(VR$1,Equilibrium[[Ticker]:[Weight]],2,FALSE),0%)</f>
        <v>0</v>
      </c>
      <c r="VS3" s="179">
        <f>IFERROR(VLOOKUP(VS$1,Equilibrium[[Ticker]:[Weight]],2,FALSE),0%)</f>
        <v>0</v>
      </c>
      <c r="VT3" s="179">
        <f>IFERROR(VLOOKUP(VT$1,Equilibrium[[Ticker]:[Weight]],2,FALSE),0%)</f>
        <v>0</v>
      </c>
      <c r="VU3" s="179">
        <f>IFERROR(VLOOKUP(VU$1,Equilibrium[[Ticker]:[Weight]],2,FALSE),0%)</f>
        <v>0</v>
      </c>
      <c r="VV3" s="179">
        <f>IFERROR(VLOOKUP(VV$1,Equilibrium[[Ticker]:[Weight]],2,FALSE),0%)</f>
        <v>0</v>
      </c>
      <c r="VW3" s="179">
        <f>IFERROR(VLOOKUP(VW$1,Equilibrium[[Ticker]:[Weight]],2,FALSE),0%)</f>
        <v>0</v>
      </c>
      <c r="VX3" s="179">
        <f>IFERROR(VLOOKUP(VX$1,Equilibrium[[Ticker]:[Weight]],2,FALSE),0%)</f>
        <v>0</v>
      </c>
      <c r="VY3" s="179">
        <f>IFERROR(VLOOKUP(VY$1,Equilibrium[[Ticker]:[Weight]],2,FALSE),0%)</f>
        <v>0</v>
      </c>
      <c r="VZ3" s="179">
        <f>IFERROR(VLOOKUP(VZ$1,Equilibrium[[Ticker]:[Weight]],2,FALSE),0%)</f>
        <v>0</v>
      </c>
      <c r="WA3" s="179">
        <f>IFERROR(VLOOKUP(WA$1,Equilibrium[[Ticker]:[Weight]],2,FALSE),0%)</f>
        <v>0</v>
      </c>
      <c r="WB3" s="179">
        <f>IFERROR(VLOOKUP(WB$1,Equilibrium[[Ticker]:[Weight]],2,FALSE),0%)</f>
        <v>0</v>
      </c>
      <c r="WC3" s="179">
        <f>IFERROR(VLOOKUP(WC$1,Equilibrium[[Ticker]:[Weight]],2,FALSE),0%)</f>
        <v>0</v>
      </c>
      <c r="WD3" s="179">
        <f>IFERROR(VLOOKUP(WD$1,Equilibrium[[Ticker]:[Weight]],2,FALSE),0%)</f>
        <v>0</v>
      </c>
      <c r="WE3" s="179">
        <f>IFERROR(VLOOKUP(WE$1,Equilibrium[[Ticker]:[Weight]],2,FALSE),0%)</f>
        <v>0</v>
      </c>
      <c r="WF3" s="179">
        <f>IFERROR(VLOOKUP(WF$1,Equilibrium[[Ticker]:[Weight]],2,FALSE),0%)</f>
        <v>0</v>
      </c>
      <c r="WG3" s="179">
        <f>IFERROR(VLOOKUP(WG$1,Equilibrium[[Ticker]:[Weight]],2,FALSE),0%)</f>
        <v>0</v>
      </c>
      <c r="WH3" s="179">
        <f>IFERROR(VLOOKUP(WH$1,Equilibrium[[Ticker]:[Weight]],2,FALSE),0%)</f>
        <v>0</v>
      </c>
      <c r="WI3" s="179">
        <f>IFERROR(VLOOKUP(WI$1,Equilibrium[[Ticker]:[Weight]],2,FALSE),0%)</f>
        <v>0</v>
      </c>
      <c r="WJ3" s="179">
        <f>IFERROR(VLOOKUP(WJ$1,Equilibrium[[Ticker]:[Weight]],2,FALSE),0%)</f>
        <v>0</v>
      </c>
      <c r="WK3" s="179">
        <f>IFERROR(VLOOKUP(WK$1,Equilibrium[[Ticker]:[Weight]],2,FALSE),0%)</f>
        <v>0</v>
      </c>
      <c r="WL3" s="179">
        <f>IFERROR(VLOOKUP(WL$1,Equilibrium[[Ticker]:[Weight]],2,FALSE),0%)</f>
        <v>0</v>
      </c>
      <c r="WM3" s="179">
        <f>IFERROR(VLOOKUP(WM$1,Equilibrium[[Ticker]:[Weight]],2,FALSE),0%)</f>
        <v>0</v>
      </c>
      <c r="WN3" s="179">
        <f>IFERROR(VLOOKUP(WN$1,Equilibrium[[Ticker]:[Weight]],2,FALSE),0%)</f>
        <v>0</v>
      </c>
      <c r="WO3" s="179">
        <f>IFERROR(VLOOKUP(WO$1,Equilibrium[[Ticker]:[Weight]],2,FALSE),0%)</f>
        <v>0</v>
      </c>
      <c r="WP3" s="179">
        <f>IFERROR(VLOOKUP(WP$1,Equilibrium[[Ticker]:[Weight]],2,FALSE),0%)</f>
        <v>0</v>
      </c>
      <c r="WQ3" s="179">
        <f>IFERROR(VLOOKUP(WQ$1,Equilibrium[[Ticker]:[Weight]],2,FALSE),0%)</f>
        <v>0</v>
      </c>
      <c r="WR3" s="179">
        <f>IFERROR(VLOOKUP(WR$1,Equilibrium[[Ticker]:[Weight]],2,FALSE),0%)</f>
        <v>0</v>
      </c>
      <c r="WS3" s="179">
        <f>IFERROR(VLOOKUP(WS$1,Equilibrium[[Ticker]:[Weight]],2,FALSE),0%)</f>
        <v>0</v>
      </c>
      <c r="WT3" s="179">
        <f>IFERROR(VLOOKUP(WT$1,Equilibrium[[Ticker]:[Weight]],2,FALSE),0%)</f>
        <v>0</v>
      </c>
      <c r="WU3" s="179">
        <f>IFERROR(VLOOKUP(WU$1,Equilibrium[[Ticker]:[Weight]],2,FALSE),0%)</f>
        <v>0</v>
      </c>
      <c r="WV3" s="179">
        <f>IFERROR(VLOOKUP(WV$1,Equilibrium[[Ticker]:[Weight]],2,FALSE),0%)</f>
        <v>0</v>
      </c>
      <c r="WW3" s="179">
        <f>IFERROR(VLOOKUP(WW$1,Equilibrium[[Ticker]:[Weight]],2,FALSE),0%)</f>
        <v>0</v>
      </c>
      <c r="WX3" s="179">
        <f>IFERROR(VLOOKUP(WX$1,Equilibrium[[Ticker]:[Weight]],2,FALSE),0%)</f>
        <v>0</v>
      </c>
      <c r="WY3" s="179">
        <f>IFERROR(VLOOKUP(WY$1,Equilibrium[[Ticker]:[Weight]],2,FALSE),0%)</f>
        <v>0</v>
      </c>
      <c r="WZ3" s="179">
        <f>IFERROR(VLOOKUP(WZ$1,Equilibrium[[Ticker]:[Weight]],2,FALSE),0%)</f>
        <v>0</v>
      </c>
      <c r="XA3" s="179">
        <f>IFERROR(VLOOKUP(XA$1,Equilibrium[[Ticker]:[Weight]],2,FALSE),0%)</f>
        <v>0</v>
      </c>
      <c r="XB3" s="179">
        <f>IFERROR(VLOOKUP(XB$1,Equilibrium[[Ticker]:[Weight]],2,FALSE),0%)</f>
        <v>0</v>
      </c>
      <c r="XC3" s="179">
        <f>IFERROR(VLOOKUP(XC$1,Equilibrium[[Ticker]:[Weight]],2,FALSE),0%)</f>
        <v>0</v>
      </c>
      <c r="XD3" s="179">
        <f>IFERROR(VLOOKUP(XD$1,Equilibrium[[Ticker]:[Weight]],2,FALSE),0%)</f>
        <v>0</v>
      </c>
      <c r="XE3" s="179">
        <f>IFERROR(VLOOKUP(XE$1,Equilibrium[[Ticker]:[Weight]],2,FALSE),0%)</f>
        <v>0</v>
      </c>
      <c r="XF3" s="179">
        <f>IFERROR(VLOOKUP(XF$1,Equilibrium[[Ticker]:[Weight]],2,FALSE),0%)</f>
        <v>0</v>
      </c>
      <c r="XG3" s="179">
        <f>IFERROR(VLOOKUP(XG$1,Equilibrium[[Ticker]:[Weight]],2,FALSE),0%)</f>
        <v>0</v>
      </c>
      <c r="XH3" s="179">
        <f>IFERROR(VLOOKUP(XH$1,Equilibrium[[Ticker]:[Weight]],2,FALSE),0%)</f>
        <v>0</v>
      </c>
      <c r="XI3" s="179">
        <f>IFERROR(VLOOKUP(XI$1,Equilibrium[[Ticker]:[Weight]],2,FALSE),0%)</f>
        <v>0</v>
      </c>
      <c r="XJ3" s="179">
        <f>IFERROR(VLOOKUP(XJ$1,Equilibrium[[Ticker]:[Weight]],2,FALSE),0%)</f>
        <v>0</v>
      </c>
      <c r="XK3" s="179">
        <f>IFERROR(VLOOKUP(XK$1,Equilibrium[[Ticker]:[Weight]],2,FALSE),0%)</f>
        <v>0</v>
      </c>
      <c r="XL3" s="179">
        <f>IFERROR(VLOOKUP(XL$1,Equilibrium[[Ticker]:[Weight]],2,FALSE),0%)</f>
        <v>0</v>
      </c>
      <c r="XM3" s="179">
        <f>IFERROR(VLOOKUP(XM$1,Equilibrium[[Ticker]:[Weight]],2,FALSE),0%)</f>
        <v>0</v>
      </c>
      <c r="XN3" s="179">
        <f>IFERROR(VLOOKUP(XN$1,Equilibrium[[Ticker]:[Weight]],2,FALSE),0%)</f>
        <v>0</v>
      </c>
      <c r="XO3" s="179">
        <f>IFERROR(VLOOKUP(XO$1,Equilibrium[[Ticker]:[Weight]],2,FALSE),0%)</f>
        <v>0</v>
      </c>
      <c r="XP3" s="179">
        <f>IFERROR(VLOOKUP(XP$1,Equilibrium[[Ticker]:[Weight]],2,FALSE),0%)</f>
        <v>0</v>
      </c>
      <c r="XQ3" s="179">
        <f>IFERROR(VLOOKUP(XQ$1,Equilibrium[[Ticker]:[Weight]],2,FALSE),0%)</f>
        <v>0</v>
      </c>
      <c r="XR3" s="179">
        <f>IFERROR(VLOOKUP(XR$1,Equilibrium[[Ticker]:[Weight]],2,FALSE),0%)</f>
        <v>0</v>
      </c>
      <c r="XS3" s="179">
        <f>IFERROR(VLOOKUP(XS$1,Equilibrium[[Ticker]:[Weight]],2,FALSE),0%)</f>
        <v>0</v>
      </c>
      <c r="XT3" s="179">
        <f>IFERROR(VLOOKUP(XT$1,Equilibrium[[Ticker]:[Weight]],2,FALSE),0%)</f>
        <v>0</v>
      </c>
      <c r="XU3" s="179">
        <f>IFERROR(VLOOKUP(XU$1,Equilibrium[[Ticker]:[Weight]],2,FALSE),0%)</f>
        <v>0</v>
      </c>
      <c r="XV3" s="179">
        <f>IFERROR(VLOOKUP(XV$1,Equilibrium[[Ticker]:[Weight]],2,FALSE),0%)</f>
        <v>0</v>
      </c>
      <c r="XW3" s="179">
        <f>IFERROR(VLOOKUP(XW$1,Equilibrium[[Ticker]:[Weight]],2,FALSE),0%)</f>
        <v>0</v>
      </c>
      <c r="XX3" s="179">
        <f>IFERROR(VLOOKUP(XX$1,Equilibrium[[Ticker]:[Weight]],2,FALSE),0%)</f>
        <v>0</v>
      </c>
      <c r="XY3" s="179">
        <f>IFERROR(VLOOKUP(XY$1,Equilibrium[[Ticker]:[Weight]],2,FALSE),0%)</f>
        <v>0</v>
      </c>
      <c r="XZ3" s="179">
        <f>IFERROR(VLOOKUP(XZ$1,Equilibrium[[Ticker]:[Weight]],2,FALSE),0%)</f>
        <v>0</v>
      </c>
      <c r="YA3" s="179">
        <f>IFERROR(VLOOKUP(YA$1,Equilibrium[[Ticker]:[Weight]],2,FALSE),0%)</f>
        <v>0</v>
      </c>
      <c r="YB3" s="179">
        <f>IFERROR(VLOOKUP(YB$1,Equilibrium[[Ticker]:[Weight]],2,FALSE),0%)</f>
        <v>0</v>
      </c>
      <c r="YC3" s="179">
        <f>IFERROR(VLOOKUP(YC$1,Equilibrium[[Ticker]:[Weight]],2,FALSE),0%)</f>
        <v>0</v>
      </c>
      <c r="YD3" s="179">
        <f>IFERROR(VLOOKUP(YD$1,Equilibrium[[Ticker]:[Weight]],2,FALSE),0%)</f>
        <v>0</v>
      </c>
      <c r="YE3" s="179">
        <f>IFERROR(VLOOKUP(YE$1,Equilibrium[[Ticker]:[Weight]],2,FALSE),0%)</f>
        <v>0</v>
      </c>
      <c r="YF3" s="179">
        <f>IFERROR(VLOOKUP(YF$1,Equilibrium[[Ticker]:[Weight]],2,FALSE),0%)</f>
        <v>0</v>
      </c>
      <c r="YG3" s="179">
        <f>IFERROR(VLOOKUP(YG$1,Equilibrium[[Ticker]:[Weight]],2,FALSE),0%)</f>
        <v>0</v>
      </c>
      <c r="YH3" s="179">
        <f>IFERROR(VLOOKUP(YH$1,Equilibrium[[Ticker]:[Weight]],2,FALSE),0%)</f>
        <v>0</v>
      </c>
      <c r="YI3" s="179">
        <f>IFERROR(VLOOKUP(YI$1,Equilibrium[[Ticker]:[Weight]],2,FALSE),0%)</f>
        <v>0</v>
      </c>
      <c r="YJ3" s="179">
        <f>IFERROR(VLOOKUP(YJ$1,Equilibrium[[Ticker]:[Weight]],2,FALSE),0%)</f>
        <v>0</v>
      </c>
      <c r="YK3" s="179">
        <f>IFERROR(VLOOKUP(YK$1,Equilibrium[[Ticker]:[Weight]],2,FALSE),0%)</f>
        <v>0</v>
      </c>
      <c r="YL3" s="179">
        <f>IFERROR(VLOOKUP(YL$1,Equilibrium[[Ticker]:[Weight]],2,FALSE),0%)</f>
        <v>0</v>
      </c>
      <c r="YM3" s="179">
        <f>IFERROR(VLOOKUP(YM$1,Equilibrium[[Ticker]:[Weight]],2,FALSE),0%)</f>
        <v>0</v>
      </c>
      <c r="YN3" s="179">
        <f>IFERROR(VLOOKUP(YN$1,Equilibrium[[Ticker]:[Weight]],2,FALSE),0%)</f>
        <v>0</v>
      </c>
      <c r="YO3" s="179">
        <f>IFERROR(VLOOKUP(YO$1,Equilibrium[[Ticker]:[Weight]],2,FALSE),0%)</f>
        <v>0</v>
      </c>
      <c r="YP3" s="179">
        <f>IFERROR(VLOOKUP(YP$1,Equilibrium[[Ticker]:[Weight]],2,FALSE),0%)</f>
        <v>0</v>
      </c>
      <c r="YQ3" s="179">
        <f>IFERROR(VLOOKUP(YQ$1,Equilibrium[[Ticker]:[Weight]],2,FALSE),0%)</f>
        <v>0</v>
      </c>
      <c r="YR3" s="179">
        <f>IFERROR(VLOOKUP(YR$1,Equilibrium[[Ticker]:[Weight]],2,FALSE),0%)</f>
        <v>0</v>
      </c>
      <c r="YS3" s="179">
        <f>IFERROR(VLOOKUP(YS$1,Equilibrium[[Ticker]:[Weight]],2,FALSE),0%)</f>
        <v>0</v>
      </c>
      <c r="YT3" s="179">
        <f>IFERROR(VLOOKUP(YT$1,Equilibrium[[Ticker]:[Weight]],2,FALSE),0%)</f>
        <v>0</v>
      </c>
      <c r="YU3" s="179">
        <f>IFERROR(VLOOKUP(YU$1,Equilibrium[[Ticker]:[Weight]],2,FALSE),0%)</f>
        <v>0</v>
      </c>
      <c r="YV3" s="179">
        <f>IFERROR(VLOOKUP(YV$1,Equilibrium[[Ticker]:[Weight]],2,FALSE),0%)</f>
        <v>0</v>
      </c>
      <c r="YW3" s="179">
        <f>IFERROR(VLOOKUP(YW$1,Equilibrium[[Ticker]:[Weight]],2,FALSE),0%)</f>
        <v>0</v>
      </c>
      <c r="YX3" s="179">
        <f>IFERROR(VLOOKUP(YX$1,Equilibrium[[Ticker]:[Weight]],2,FALSE),0%)</f>
        <v>0</v>
      </c>
      <c r="YY3" s="179">
        <f>IFERROR(VLOOKUP(YY$1,Equilibrium[[Ticker]:[Weight]],2,FALSE),0%)</f>
        <v>0</v>
      </c>
      <c r="YZ3" s="179">
        <f>IFERROR(VLOOKUP(YZ$1,Equilibrium[[Ticker]:[Weight]],2,FALSE),0%)</f>
        <v>0</v>
      </c>
      <c r="ZA3" s="179">
        <f>IFERROR(VLOOKUP(ZA$1,Equilibrium[[Ticker]:[Weight]],2,FALSE),0%)</f>
        <v>0</v>
      </c>
      <c r="ZB3" s="179">
        <f>IFERROR(VLOOKUP(ZB$1,Equilibrium[[Ticker]:[Weight]],2,FALSE),0%)</f>
        <v>0</v>
      </c>
      <c r="ZC3" s="179">
        <f>IFERROR(VLOOKUP(ZC$1,Equilibrium[[Ticker]:[Weight]],2,FALSE),0%)</f>
        <v>0</v>
      </c>
      <c r="ZD3" s="179">
        <f>IFERROR(VLOOKUP(ZD$1,Equilibrium[[Ticker]:[Weight]],2,FALSE),0%)</f>
        <v>0</v>
      </c>
      <c r="ZE3" s="179">
        <f>IFERROR(VLOOKUP(ZE$1,Equilibrium[[Ticker]:[Weight]],2,FALSE),0%)</f>
        <v>0</v>
      </c>
      <c r="ZF3" s="179">
        <f>IFERROR(VLOOKUP(ZF$1,Equilibrium[[Ticker]:[Weight]],2,FALSE),0%)</f>
        <v>0</v>
      </c>
      <c r="ZG3" s="179">
        <f>IFERROR(VLOOKUP(ZG$1,Equilibrium[[Ticker]:[Weight]],2,FALSE),0%)</f>
        <v>0</v>
      </c>
      <c r="ZH3" s="179">
        <f>IFERROR(VLOOKUP(ZH$1,Equilibrium[[Ticker]:[Weight]],2,FALSE),0%)</f>
        <v>0</v>
      </c>
      <c r="ZI3" s="179">
        <f>IFERROR(VLOOKUP(ZI$1,Equilibrium[[Ticker]:[Weight]],2,FALSE),0%)</f>
        <v>0</v>
      </c>
      <c r="ZJ3" s="179">
        <f>IFERROR(VLOOKUP(ZJ$1,Equilibrium[[Ticker]:[Weight]],2,FALSE),0%)</f>
        <v>0</v>
      </c>
      <c r="ZK3" s="179">
        <f>IFERROR(VLOOKUP(ZK$1,Equilibrium[[Ticker]:[Weight]],2,FALSE),0%)</f>
        <v>0.1503</v>
      </c>
      <c r="ZL3" s="179">
        <f>IFERROR(VLOOKUP(ZL$1,Equilibrium[[Ticker]:[Weight]],2,FALSE),0%)</f>
        <v>0</v>
      </c>
      <c r="ZM3" s="179">
        <f>IFERROR(VLOOKUP(ZM$1,Equilibrium[[Ticker]:[Weight]],2,FALSE),0%)</f>
        <v>0</v>
      </c>
      <c r="ZN3" s="179">
        <f>IFERROR(VLOOKUP(ZN$1,Equilibrium[[Ticker]:[Weight]],2,FALSE),0%)</f>
        <v>0</v>
      </c>
      <c r="ZO3" s="179">
        <f>IFERROR(VLOOKUP(ZO$1,Equilibrium[[Ticker]:[Weight]],2,FALSE),0%)</f>
        <v>0</v>
      </c>
      <c r="ZP3" s="179">
        <f>IFERROR(VLOOKUP(ZP$1,Equilibrium[[Ticker]:[Weight]],2,FALSE),0%)</f>
        <v>0</v>
      </c>
      <c r="ZQ3" s="179">
        <f>IFERROR(VLOOKUP(ZQ$1,Equilibrium[[Ticker]:[Weight]],2,FALSE),0%)</f>
        <v>0</v>
      </c>
      <c r="ZR3" s="179">
        <f>IFERROR(VLOOKUP(ZR$1,Equilibrium[[Ticker]:[Weight]],2,FALSE),0%)</f>
        <v>0</v>
      </c>
      <c r="ZS3" s="179">
        <f>IFERROR(VLOOKUP(ZS$1,Equilibrium[[Ticker]:[Weight]],2,FALSE),0%)</f>
        <v>0</v>
      </c>
      <c r="ZT3" s="179">
        <f>IFERROR(VLOOKUP(ZT$1,Equilibrium[[Ticker]:[Weight]],2,FALSE),0%)</f>
        <v>0</v>
      </c>
      <c r="ZU3" s="179">
        <f>IFERROR(VLOOKUP(ZU$1,Equilibrium[[Ticker]:[Weight]],2,FALSE),0%)</f>
        <v>0</v>
      </c>
      <c r="ZV3" s="179">
        <f>IFERROR(VLOOKUP(ZV$1,Equilibrium[[Ticker]:[Weight]],2,FALSE),0%)</f>
        <v>0</v>
      </c>
      <c r="ZW3" s="179">
        <f>IFERROR(VLOOKUP(ZW$1,Equilibrium[[Ticker]:[Weight]],2,FALSE),0%)</f>
        <v>0</v>
      </c>
      <c r="ZX3" s="179">
        <f>IFERROR(VLOOKUP(ZX$1,Equilibrium[[Ticker]:[Weight]],2,FALSE),0%)</f>
        <v>0</v>
      </c>
      <c r="ZY3" s="179">
        <f>IFERROR(VLOOKUP(ZY$1,Equilibrium[[Ticker]:[Weight]],2,FALSE),0%)</f>
        <v>0</v>
      </c>
      <c r="ZZ3" s="179">
        <f>IFERROR(VLOOKUP(ZZ$1,Equilibrium[[Ticker]:[Weight]],2,FALSE),0%)</f>
        <v>0</v>
      </c>
      <c r="AAA3" s="179">
        <f>IFERROR(VLOOKUP(AAA$1,Equilibrium[[Ticker]:[Weight]],2,FALSE),0%)</f>
        <v>0</v>
      </c>
      <c r="AAB3" s="179">
        <f>IFERROR(VLOOKUP(AAB$1,Equilibrium[[Ticker]:[Weight]],2,FALSE),0%)</f>
        <v>0</v>
      </c>
      <c r="AAC3" s="179">
        <f>IFERROR(VLOOKUP(AAC$1,Equilibrium[[Ticker]:[Weight]],2,FALSE),0%)</f>
        <v>0</v>
      </c>
      <c r="AAD3" s="179">
        <f>IFERROR(VLOOKUP(AAD$1,Equilibrium[[Ticker]:[Weight]],2,FALSE),0%)</f>
        <v>0</v>
      </c>
      <c r="AAE3" s="179">
        <f>IFERROR(VLOOKUP(AAE$1,Equilibrium[[Ticker]:[Weight]],2,FALSE),0%)</f>
        <v>0</v>
      </c>
      <c r="AAF3" s="179">
        <f>IFERROR(VLOOKUP(AAF$1,Equilibrium[[Ticker]:[Weight]],2,FALSE),0%)</f>
        <v>0</v>
      </c>
      <c r="AAG3" s="179">
        <f>IFERROR(VLOOKUP(AAG$1,Equilibrium[[Ticker]:[Weight]],2,FALSE),0%)</f>
        <v>0</v>
      </c>
      <c r="AAH3" s="179">
        <f>IFERROR(VLOOKUP(AAH$1,Equilibrium[[Ticker]:[Weight]],2,FALSE),0%)</f>
        <v>0</v>
      </c>
      <c r="AAI3" s="179">
        <f>IFERROR(VLOOKUP(AAI$1,Equilibrium[[Ticker]:[Weight]],2,FALSE),0%)</f>
        <v>0</v>
      </c>
      <c r="AAJ3" s="179">
        <f>IFERROR(VLOOKUP(AAJ$1,Equilibrium[[Ticker]:[Weight]],2,FALSE),0%)</f>
        <v>0</v>
      </c>
      <c r="AAK3" s="179">
        <f>IFERROR(VLOOKUP(AAK$1,Equilibrium[[Ticker]:[Weight]],2,FALSE),0%)</f>
        <v>0</v>
      </c>
      <c r="AAL3" s="179">
        <f>IFERROR(VLOOKUP(AAL$1,Equilibrium[[Ticker]:[Weight]],2,FALSE),0%)</f>
        <v>0</v>
      </c>
      <c r="AAM3" s="179">
        <f>IFERROR(VLOOKUP(AAM$1,Equilibrium[[Ticker]:[Weight]],2,FALSE),0%)</f>
        <v>0</v>
      </c>
      <c r="AAN3" s="179">
        <f>IFERROR(VLOOKUP(AAN$1,Equilibrium[[Ticker]:[Weight]],2,FALSE),0%)</f>
        <v>0</v>
      </c>
      <c r="AAO3" s="179">
        <f>IFERROR(VLOOKUP(AAO$1,Equilibrium[[Ticker]:[Weight]],2,FALSE),0%)</f>
        <v>0</v>
      </c>
      <c r="AAP3" s="179">
        <f>IFERROR(VLOOKUP(AAP$1,Equilibrium[[Ticker]:[Weight]],2,FALSE),0%)</f>
        <v>0</v>
      </c>
      <c r="AAQ3" s="179">
        <f>IFERROR(VLOOKUP(AAQ$1,Equilibrium[[Ticker]:[Weight]],2,FALSE),0%)</f>
        <v>0</v>
      </c>
      <c r="AAR3" s="179">
        <f>IFERROR(VLOOKUP(AAR$1,Equilibrium[[Ticker]:[Weight]],2,FALSE),0%)</f>
        <v>0</v>
      </c>
      <c r="AAS3" s="179">
        <f>IFERROR(VLOOKUP(AAS$1,Equilibrium[[Ticker]:[Weight]],2,FALSE),0%)</f>
        <v>0</v>
      </c>
      <c r="AAT3" s="179">
        <f>IFERROR(VLOOKUP(AAT$1,Equilibrium[[Ticker]:[Weight]],2,FALSE),0%)</f>
        <v>0</v>
      </c>
      <c r="AAU3" s="179">
        <f>IFERROR(VLOOKUP(AAU$1,Equilibrium[[Ticker]:[Weight]],2,FALSE),0%)</f>
        <v>0</v>
      </c>
      <c r="AAV3" s="179">
        <f>IFERROR(VLOOKUP(AAV$1,Equilibrium[[Ticker]:[Weight]],2,FALSE),0%)</f>
        <v>0</v>
      </c>
      <c r="AAW3" s="179">
        <f>IFERROR(VLOOKUP(AAW$1,Equilibrium[[Ticker]:[Weight]],2,FALSE),0%)</f>
        <v>0</v>
      </c>
      <c r="AAX3" s="179">
        <f>IFERROR(VLOOKUP(AAX$1,Equilibrium[[Ticker]:[Weight]],2,FALSE),0%)</f>
        <v>0</v>
      </c>
      <c r="AAY3" s="179">
        <f>IFERROR(VLOOKUP(AAY$1,Equilibrium[[Ticker]:[Weight]],2,FALSE),0%)</f>
        <v>0</v>
      </c>
      <c r="AAZ3" s="179">
        <f>IFERROR(VLOOKUP(AAZ$1,Equilibrium[[Ticker]:[Weight]],2,FALSE),0%)</f>
        <v>0</v>
      </c>
      <c r="ABA3" s="179">
        <f>IFERROR(VLOOKUP(ABA$1,Equilibrium[[Ticker]:[Weight]],2,FALSE),0%)</f>
        <v>0</v>
      </c>
      <c r="ABB3" s="179">
        <f>IFERROR(VLOOKUP(ABB$1,Equilibrium[[Ticker]:[Weight]],2,FALSE),0%)</f>
        <v>0</v>
      </c>
      <c r="ABC3" s="179">
        <f>IFERROR(VLOOKUP(ABC$1,Equilibrium[[Ticker]:[Weight]],2,FALSE),0%)</f>
        <v>0</v>
      </c>
      <c r="ABD3" s="179">
        <f>IFERROR(VLOOKUP(ABD$1,Equilibrium[[Ticker]:[Weight]],2,FALSE),0%)</f>
        <v>0</v>
      </c>
      <c r="ABE3" s="179">
        <f>IFERROR(VLOOKUP(ABE$1,Equilibrium[[Ticker]:[Weight]],2,FALSE),0%)</f>
        <v>0</v>
      </c>
      <c r="ABF3" s="179">
        <f>IFERROR(VLOOKUP(ABF$1,Equilibrium[[Ticker]:[Weight]],2,FALSE),0%)</f>
        <v>0</v>
      </c>
      <c r="ABG3" s="179">
        <f>IFERROR(VLOOKUP(ABG$1,Equilibrium[[Ticker]:[Weight]],2,FALSE),0%)</f>
        <v>0</v>
      </c>
      <c r="ABH3" s="179">
        <f>IFERROR(VLOOKUP(ABH$1,Equilibrium[[Ticker]:[Weight]],2,FALSE),0%)</f>
        <v>0</v>
      </c>
      <c r="ABI3" s="179">
        <f>IFERROR(VLOOKUP(ABI$1,Equilibrium[[Ticker]:[Weight]],2,FALSE),0%)</f>
        <v>0</v>
      </c>
      <c r="ABJ3" s="179">
        <f>IFERROR(VLOOKUP(ABJ$1,Equilibrium[[Ticker]:[Weight]],2,FALSE),0%)</f>
        <v>0</v>
      </c>
      <c r="ABK3" s="179">
        <f>IFERROR(VLOOKUP(ABK$1,Equilibrium[[Ticker]:[Weight]],2,FALSE),0%)</f>
        <v>0</v>
      </c>
      <c r="ABL3" s="179">
        <f>IFERROR(VLOOKUP(ABL$1,Equilibrium[[Ticker]:[Weight]],2,FALSE),0%)</f>
        <v>0</v>
      </c>
      <c r="ABM3" s="179">
        <f>IFERROR(VLOOKUP(ABM$1,Equilibrium[[Ticker]:[Weight]],2,FALSE),0%)</f>
        <v>0</v>
      </c>
      <c r="ABN3" s="179">
        <f>IFERROR(VLOOKUP(ABN$1,Equilibrium[[Ticker]:[Weight]],2,FALSE),0%)</f>
        <v>0</v>
      </c>
      <c r="ABO3" s="179">
        <f>IFERROR(VLOOKUP(ABO$1,Equilibrium[[Ticker]:[Weight]],2,FALSE),0%)</f>
        <v>0</v>
      </c>
      <c r="ABP3" s="179">
        <f>IFERROR(VLOOKUP(ABP$1,Equilibrium[[Ticker]:[Weight]],2,FALSE),0%)</f>
        <v>0</v>
      </c>
      <c r="ABQ3" s="179">
        <f>IFERROR(VLOOKUP(ABQ$1,Equilibrium[[Ticker]:[Weight]],2,FALSE),0%)</f>
        <v>0</v>
      </c>
      <c r="ABR3" s="179">
        <f>IFERROR(VLOOKUP(ABR$1,Equilibrium[[Ticker]:[Weight]],2,FALSE),0%)</f>
        <v>0</v>
      </c>
      <c r="ABS3" s="179">
        <f>IFERROR(VLOOKUP(ABS$1,Equilibrium[[Ticker]:[Weight]],2,FALSE),0%)</f>
        <v>0</v>
      </c>
      <c r="ABT3" s="179">
        <f>IFERROR(VLOOKUP(ABT$1,Equilibrium[[Ticker]:[Weight]],2,FALSE),0%)</f>
        <v>0</v>
      </c>
      <c r="ABU3" s="179">
        <f>IFERROR(VLOOKUP(ABU$1,Equilibrium[[Ticker]:[Weight]],2,FALSE),0%)</f>
        <v>0</v>
      </c>
      <c r="ABV3" s="179">
        <f>IFERROR(VLOOKUP(ABV$1,Equilibrium[[Ticker]:[Weight]],2,FALSE),0%)</f>
        <v>0</v>
      </c>
      <c r="ABW3" s="179">
        <f>IFERROR(VLOOKUP(ABW$1,Equilibrium[[Ticker]:[Weight]],2,FALSE),0%)</f>
        <v>0</v>
      </c>
      <c r="ABX3" s="179">
        <f>IFERROR(VLOOKUP(ABX$1,Equilibrium[[Ticker]:[Weight]],2,FALSE),0%)</f>
        <v>0</v>
      </c>
      <c r="ABY3" s="179">
        <f>IFERROR(VLOOKUP(ABY$1,Equilibrium[[Ticker]:[Weight]],2,FALSE),0%)</f>
        <v>0</v>
      </c>
      <c r="ABZ3" s="179">
        <f>IFERROR(VLOOKUP(ABZ$1,Equilibrium[[Ticker]:[Weight]],2,FALSE),0%)</f>
        <v>0</v>
      </c>
      <c r="ACA3" s="179">
        <f>IFERROR(VLOOKUP(ACA$1,Equilibrium[[Ticker]:[Weight]],2,FALSE),0%)</f>
        <v>0</v>
      </c>
      <c r="ACB3" s="179">
        <f>IFERROR(VLOOKUP(ACB$1,Equilibrium[[Ticker]:[Weight]],2,FALSE),0%)</f>
        <v>0</v>
      </c>
      <c r="ACC3" s="179">
        <f>IFERROR(VLOOKUP(ACC$1,Equilibrium[[Ticker]:[Weight]],2,FALSE),0%)</f>
        <v>0</v>
      </c>
      <c r="ACD3" s="179">
        <f>IFERROR(VLOOKUP(ACD$1,Equilibrium[[Ticker]:[Weight]],2,FALSE),0%)</f>
        <v>0</v>
      </c>
      <c r="ACE3" s="179">
        <f>IFERROR(VLOOKUP(ACE$1,Equilibrium[[Ticker]:[Weight]],2,FALSE),0%)</f>
        <v>0</v>
      </c>
      <c r="ACF3" s="179">
        <f>IFERROR(VLOOKUP(ACF$1,Equilibrium[[Ticker]:[Weight]],2,FALSE),0%)</f>
        <v>0</v>
      </c>
      <c r="ACG3" s="179">
        <f>IFERROR(VLOOKUP(ACG$1,Equilibrium[[Ticker]:[Weight]],2,FALSE),0%)</f>
        <v>0</v>
      </c>
      <c r="ACH3" s="179">
        <f>IFERROR(VLOOKUP(ACH$1,Equilibrium[[Ticker]:[Weight]],2,FALSE),0%)</f>
        <v>0</v>
      </c>
      <c r="ACI3" s="179">
        <f>IFERROR(VLOOKUP(ACI$1,Equilibrium[[Ticker]:[Weight]],2,FALSE),0%)</f>
        <v>0</v>
      </c>
      <c r="ACJ3" s="179">
        <f>IFERROR(VLOOKUP(ACJ$1,Equilibrium[[Ticker]:[Weight]],2,FALSE),0%)</f>
        <v>0</v>
      </c>
      <c r="ACK3" s="179">
        <f>IFERROR(VLOOKUP(ACK$1,Equilibrium[[Ticker]:[Weight]],2,FALSE),0%)</f>
        <v>0</v>
      </c>
      <c r="ACL3" s="179">
        <f>IFERROR(VLOOKUP(ACL$1,Equilibrium[[Ticker]:[Weight]],2,FALSE),0%)</f>
        <v>0</v>
      </c>
      <c r="ACM3" s="179">
        <f>IFERROR(VLOOKUP(ACM$1,Equilibrium[[Ticker]:[Weight]],2,FALSE),0%)</f>
        <v>0</v>
      </c>
      <c r="ACN3" s="179">
        <f>IFERROR(VLOOKUP(ACN$1,Equilibrium[[Ticker]:[Weight]],2,FALSE),0%)</f>
        <v>0</v>
      </c>
      <c r="ACO3" s="179">
        <f>IFERROR(VLOOKUP(ACO$1,Equilibrium[[Ticker]:[Weight]],2,FALSE),0%)</f>
        <v>0</v>
      </c>
      <c r="ACP3" s="179">
        <f>IFERROR(VLOOKUP(ACP$1,Equilibrium[[Ticker]:[Weight]],2,FALSE),0%)</f>
        <v>0</v>
      </c>
      <c r="ACQ3" s="179">
        <f>IFERROR(VLOOKUP(ACQ$1,Equilibrium[[Ticker]:[Weight]],2,FALSE),0%)</f>
        <v>0</v>
      </c>
      <c r="ACR3" s="179">
        <f>IFERROR(VLOOKUP(ACR$1,Equilibrium[[Ticker]:[Weight]],2,FALSE),0%)</f>
        <v>0</v>
      </c>
      <c r="ACS3" s="179">
        <f>IFERROR(VLOOKUP(ACS$1,Equilibrium[[Ticker]:[Weight]],2,FALSE),0%)</f>
        <v>0</v>
      </c>
      <c r="ACT3" s="179">
        <f>IFERROR(VLOOKUP(ACT$1,Equilibrium[[Ticker]:[Weight]],2,FALSE),0%)</f>
        <v>0</v>
      </c>
      <c r="ACU3" s="179">
        <f>IFERROR(VLOOKUP(ACU$1,Equilibrium[[Ticker]:[Weight]],2,FALSE),0%)</f>
        <v>0</v>
      </c>
      <c r="ACV3" s="179">
        <f>IFERROR(VLOOKUP(ACV$1,Equilibrium[[Ticker]:[Weight]],2,FALSE),0%)</f>
        <v>0</v>
      </c>
      <c r="ACW3" s="179">
        <f>IFERROR(VLOOKUP(ACW$1,Equilibrium[[Ticker]:[Weight]],2,FALSE),0%)</f>
        <v>0</v>
      </c>
      <c r="ACX3" s="179">
        <f>IFERROR(VLOOKUP(ACX$1,Equilibrium[[Ticker]:[Weight]],2,FALSE),0%)</f>
        <v>0</v>
      </c>
      <c r="ACY3" s="179">
        <f>IFERROR(VLOOKUP(ACY$1,Equilibrium[[Ticker]:[Weight]],2,FALSE),0%)</f>
        <v>0</v>
      </c>
      <c r="ACZ3" s="179">
        <f>IFERROR(VLOOKUP(ACZ$1,Equilibrium[[Ticker]:[Weight]],2,FALSE),0%)</f>
        <v>0</v>
      </c>
      <c r="ADA3" s="179">
        <f>IFERROR(VLOOKUP(ADA$1,Equilibrium[[Ticker]:[Weight]],2,FALSE),0%)</f>
        <v>0</v>
      </c>
      <c r="ADB3" s="179">
        <f>IFERROR(VLOOKUP(ADB$1,Equilibrium[[Ticker]:[Weight]],2,FALSE),0%)</f>
        <v>0</v>
      </c>
      <c r="ADC3" s="179">
        <f>IFERROR(VLOOKUP(ADC$1,Equilibrium[[Ticker]:[Weight]],2,FALSE),0%)</f>
        <v>0</v>
      </c>
      <c r="ADD3" s="179">
        <f>IFERROR(VLOOKUP(ADD$1,Equilibrium[[Ticker]:[Weight]],2,FALSE),0%)</f>
        <v>0</v>
      </c>
      <c r="ADE3" s="179">
        <f>IFERROR(VLOOKUP(ADE$1,Equilibrium[[Ticker]:[Weight]],2,FALSE),0%)</f>
        <v>0</v>
      </c>
      <c r="ADF3" s="179">
        <f>IFERROR(VLOOKUP(ADF$1,Equilibrium[[Ticker]:[Weight]],2,FALSE),0%)</f>
        <v>0</v>
      </c>
      <c r="ADG3" s="179">
        <f>IFERROR(VLOOKUP(ADG$1,Equilibrium[[Ticker]:[Weight]],2,FALSE),0%)</f>
        <v>0</v>
      </c>
      <c r="ADH3" s="179">
        <f>IFERROR(VLOOKUP(ADH$1,Equilibrium[[Ticker]:[Weight]],2,FALSE),0%)</f>
        <v>0</v>
      </c>
      <c r="ADI3" s="179">
        <f>IFERROR(VLOOKUP(ADI$1,Equilibrium[[Ticker]:[Weight]],2,FALSE),0%)</f>
        <v>0</v>
      </c>
      <c r="ADJ3" s="179">
        <f>IFERROR(VLOOKUP(ADJ$1,Equilibrium[[Ticker]:[Weight]],2,FALSE),0%)</f>
        <v>0</v>
      </c>
      <c r="ADK3" s="179">
        <f>IFERROR(VLOOKUP(ADK$1,Equilibrium[[Ticker]:[Weight]],2,FALSE),0%)</f>
        <v>0</v>
      </c>
      <c r="ADL3" s="179">
        <f>IFERROR(VLOOKUP(ADL$1,Equilibrium[[Ticker]:[Weight]],2,FALSE),0%)</f>
        <v>0</v>
      </c>
      <c r="ADM3" s="179">
        <f>IFERROR(VLOOKUP(ADM$1,Equilibrium[[Ticker]:[Weight]],2,FALSE),0%)</f>
        <v>0</v>
      </c>
      <c r="ADN3" s="179">
        <f>IFERROR(VLOOKUP(ADN$1,Equilibrium[[Ticker]:[Weight]],2,FALSE),0%)</f>
        <v>0</v>
      </c>
      <c r="ADO3" s="179">
        <f>IFERROR(VLOOKUP(ADO$1,Equilibrium[[Ticker]:[Weight]],2,FALSE),0%)</f>
        <v>0.0375</v>
      </c>
      <c r="ADP3" s="179">
        <f>IFERROR(VLOOKUP(ADP$1,Equilibrium[[Ticker]:[Weight]],2,FALSE),0%)</f>
        <v>0</v>
      </c>
      <c r="ADQ3" s="179">
        <f>IFERROR(VLOOKUP(ADQ$1,Equilibrium[[Ticker]:[Weight]],2,FALSE),0%)</f>
        <v>0</v>
      </c>
      <c r="ADR3" s="179">
        <f>IFERROR(VLOOKUP(ADR$1,Equilibrium[[Ticker]:[Weight]],2,FALSE),0%)</f>
        <v>0</v>
      </c>
      <c r="ADS3" s="179">
        <f>IFERROR(VLOOKUP(ADS$1,Equilibrium[[Ticker]:[Weight]],2,FALSE),0%)</f>
        <v>0</v>
      </c>
      <c r="ADT3" s="179">
        <f>IFERROR(VLOOKUP(ADT$1,Equilibrium[[Ticker]:[Weight]],2,FALSE),0%)</f>
        <v>0</v>
      </c>
      <c r="ADU3" s="179">
        <f>IFERROR(VLOOKUP(ADU$1,Equilibrium[[Ticker]:[Weight]],2,FALSE),0%)</f>
        <v>0</v>
      </c>
      <c r="ADV3" s="179">
        <f>IFERROR(VLOOKUP(ADV$1,Equilibrium[[Ticker]:[Weight]],2,FALSE),0%)</f>
        <v>0</v>
      </c>
      <c r="ADW3" s="179">
        <f>IFERROR(VLOOKUP(ADW$1,Equilibrium[[Ticker]:[Weight]],2,FALSE),0%)</f>
        <v>0</v>
      </c>
      <c r="ADX3" s="179">
        <f>IFERROR(VLOOKUP(ADX$1,Equilibrium[[Ticker]:[Weight]],2,FALSE),0%)</f>
        <v>0.1101</v>
      </c>
      <c r="ADY3" s="179">
        <f>IFERROR(VLOOKUP(ADY$1,Equilibrium[[Ticker]:[Weight]],2,FALSE),0%)</f>
        <v>0</v>
      </c>
      <c r="ADZ3" s="179">
        <f>IFERROR(VLOOKUP(ADZ$1,Equilibrium[[Ticker]:[Weight]],2,FALSE),0%)</f>
        <v>0</v>
      </c>
      <c r="AEA3" s="179">
        <f>IFERROR(VLOOKUP(AEA$1,Equilibrium[[Ticker]:[Weight]],2,FALSE),0%)</f>
        <v>0</v>
      </c>
      <c r="AEB3" s="179">
        <f>IFERROR(VLOOKUP(AEB$1,Equilibrium[[Ticker]:[Weight]],2,FALSE),0%)</f>
        <v>0</v>
      </c>
      <c r="AEC3" s="179">
        <f>IFERROR(VLOOKUP(AEC$1,Equilibrium[[Ticker]:[Weight]],2,FALSE),0%)</f>
        <v>0</v>
      </c>
      <c r="AED3" s="179">
        <f>IFERROR(VLOOKUP(AED$1,Equilibrium[[Ticker]:[Weight]],2,FALSE),0%)</f>
        <v>0.1108</v>
      </c>
      <c r="AEE3" s="179">
        <f>IFERROR(VLOOKUP(AEE$1,Equilibrium[[Ticker]:[Weight]],2,FALSE),0%)</f>
        <v>0</v>
      </c>
      <c r="AEF3" s="179">
        <f>IFERROR(VLOOKUP(AEF$1,Equilibrium[[Ticker]:[Weight]],2,FALSE),0%)</f>
        <v>0</v>
      </c>
      <c r="AEG3" s="179">
        <f>IFERROR(VLOOKUP(AEG$1,Equilibrium[[Ticker]:[Weight]],2,FALSE),0%)</f>
        <v>0</v>
      </c>
      <c r="AEH3" s="179">
        <f>IFERROR(VLOOKUP(AEH$1,Equilibrium[[Ticker]:[Weight]],2,FALSE),0%)</f>
        <v>0</v>
      </c>
      <c r="AEI3" s="179">
        <f>IFERROR(VLOOKUP(AEI$1,Equilibrium[[Ticker]:[Weight]],2,FALSE),0%)</f>
        <v>0</v>
      </c>
      <c r="AEJ3" s="179">
        <f>IFERROR(VLOOKUP(AEJ$1,Equilibrium[[Ticker]:[Weight]],2,FALSE),0%)</f>
        <v>0</v>
      </c>
      <c r="AEK3" s="179">
        <f>IFERROR(VLOOKUP(AEK$1,Equilibrium[[Ticker]:[Weight]],2,FALSE),0%)</f>
        <v>0</v>
      </c>
      <c r="AEL3" s="179">
        <f>IFERROR(VLOOKUP(AEL$1,Equilibrium[[Ticker]:[Weight]],2,FALSE),0%)</f>
        <v>0</v>
      </c>
      <c r="AEM3" s="179">
        <f>IFERROR(VLOOKUP(AEM$1,Equilibrium[[Ticker]:[Weight]],2,FALSE),0%)</f>
        <v>0</v>
      </c>
      <c r="AEN3" s="179">
        <f>IFERROR(VLOOKUP(AEN$1,Equilibrium[[Ticker]:[Weight]],2,FALSE),0%)</f>
        <v>0</v>
      </c>
      <c r="AEO3" s="179">
        <f>IFERROR(VLOOKUP(AEO$1,Equilibrium[[Ticker]:[Weight]],2,FALSE),0%)</f>
        <v>0</v>
      </c>
      <c r="AEP3" s="179">
        <f>IFERROR(VLOOKUP(AEP$1,Equilibrium[[Ticker]:[Weight]],2,FALSE),0%)</f>
        <v>0</v>
      </c>
      <c r="AEQ3" s="179">
        <f>IFERROR(VLOOKUP(AEQ$1,Equilibrium[[Ticker]:[Weight]],2,FALSE),0%)</f>
        <v>0</v>
      </c>
      <c r="AER3" s="179">
        <f>IFERROR(VLOOKUP(AER$1,Equilibrium[[Ticker]:[Weight]],2,FALSE),0%)</f>
        <v>0</v>
      </c>
      <c r="AES3" s="179">
        <f>IFERROR(VLOOKUP(AES$1,Equilibrium[[Ticker]:[Weight]],2,FALSE),0%)</f>
        <v>0</v>
      </c>
      <c r="AET3" s="179">
        <f>IFERROR(VLOOKUP(AET$1,Equilibrium[[Ticker]:[Weight]],2,FALSE),0%)</f>
        <v>0</v>
      </c>
      <c r="AEU3" s="179">
        <f>IFERROR(VLOOKUP(AEU$1,Equilibrium[[Ticker]:[Weight]],2,FALSE),0%)</f>
        <v>0</v>
      </c>
      <c r="AEV3" s="179">
        <f>IFERROR(VLOOKUP(AEV$1,Equilibrium[[Ticker]:[Weight]],2,FALSE),0%)</f>
        <v>0</v>
      </c>
      <c r="AEW3" s="179">
        <f>IFERROR(VLOOKUP(AEW$1,Equilibrium[[Ticker]:[Weight]],2,FALSE),0%)</f>
        <v>0</v>
      </c>
      <c r="AEX3" s="179">
        <f>IFERROR(VLOOKUP(AEX$1,Equilibrium[[Ticker]:[Weight]],2,FALSE),0%)</f>
        <v>0</v>
      </c>
      <c r="AEY3" s="179">
        <f>IFERROR(VLOOKUP(AEY$1,Equilibrium[[Ticker]:[Weight]],2,FALSE),0%)</f>
        <v>0</v>
      </c>
      <c r="AEZ3" s="179">
        <f>IFERROR(VLOOKUP(AEZ$1,Equilibrium[[Ticker]:[Weight]],2,FALSE),0%)</f>
        <v>0</v>
      </c>
      <c r="AFA3" s="179">
        <f>IFERROR(VLOOKUP(AFA$1,Equilibrium[[Ticker]:[Weight]],2,FALSE),0%)</f>
        <v>0</v>
      </c>
      <c r="AFB3" s="179">
        <f>IFERROR(VLOOKUP(AFB$1,Equilibrium[[Ticker]:[Weight]],2,FALSE),0%)</f>
        <v>0</v>
      </c>
      <c r="AFC3" s="179">
        <f>IFERROR(VLOOKUP(AFC$1,Equilibrium[[Ticker]:[Weight]],2,FALSE),0%)</f>
        <v>0</v>
      </c>
      <c r="AFD3" s="179">
        <f>IFERROR(VLOOKUP(AFD$1,Equilibrium[[Ticker]:[Weight]],2,FALSE),0%)</f>
        <v>0</v>
      </c>
      <c r="AFE3" s="179">
        <f>IFERROR(VLOOKUP(AFE$1,Equilibrium[[Ticker]:[Weight]],2,FALSE),0%)</f>
        <v>0</v>
      </c>
      <c r="AFF3" s="179">
        <f>IFERROR(VLOOKUP(AFF$1,Equilibrium[[Ticker]:[Weight]],2,FALSE),0%)</f>
        <v>0.02664536113</v>
      </c>
      <c r="AFG3" s="179">
        <f>IFERROR(VLOOKUP(AFG$1,Equilibrium[[Ticker]:[Weight]],2,FALSE),0%)</f>
        <v>0</v>
      </c>
      <c r="AFH3" s="179">
        <f>IFERROR(VLOOKUP(AFH$1,Equilibrium[[Ticker]:[Weight]],2,FALSE),0%)</f>
        <v>0</v>
      </c>
      <c r="AFI3" s="179">
        <f>IFERROR(VLOOKUP(AFI$1,Equilibrium[[Ticker]:[Weight]],2,FALSE),0%)</f>
        <v>0</v>
      </c>
      <c r="AFJ3" s="179">
        <f>IFERROR(VLOOKUP(AFJ$1,Equilibrium[[Ticker]:[Weight]],2,FALSE),0%)</f>
        <v>0</v>
      </c>
      <c r="AFK3" s="179">
        <f>IFERROR(VLOOKUP(AFK$1,Equilibrium[[Ticker]:[Weight]],2,FALSE),0%)</f>
        <v>0</v>
      </c>
      <c r="AFL3" s="179">
        <f>IFERROR(VLOOKUP(AFL$1,Equilibrium[[Ticker]:[Weight]],2,FALSE),0%)</f>
        <v>0</v>
      </c>
      <c r="AFM3" s="179">
        <f>IFERROR(VLOOKUP(AFM$1,Equilibrium[[Ticker]:[Weight]],2,FALSE),0%)</f>
        <v>0</v>
      </c>
      <c r="AFN3" s="179">
        <f>IFERROR(VLOOKUP(AFN$1,Equilibrium[[Ticker]:[Weight]],2,FALSE),0%)</f>
        <v>0</v>
      </c>
      <c r="AFO3" s="179">
        <f>IFERROR(VLOOKUP(AFO$1,Equilibrium[[Ticker]:[Weight]],2,FALSE),0%)</f>
        <v>0</v>
      </c>
      <c r="AFP3" s="179">
        <f>IFERROR(VLOOKUP(AFP$1,Equilibrium[[Ticker]:[Weight]],2,FALSE),0%)</f>
        <v>0</v>
      </c>
      <c r="AFQ3" s="179">
        <f>IFERROR(VLOOKUP(AFQ$1,Equilibrium[[Ticker]:[Weight]],2,FALSE),0%)</f>
        <v>0</v>
      </c>
      <c r="AFR3" s="179">
        <f>IFERROR(VLOOKUP(AFR$1,Equilibrium[[Ticker]:[Weight]],2,FALSE),0%)</f>
        <v>0</v>
      </c>
      <c r="AFS3" s="179">
        <f>IFERROR(VLOOKUP(AFS$1,Equilibrium[[Ticker]:[Weight]],2,FALSE),0%)</f>
        <v>0</v>
      </c>
      <c r="AFT3" s="179">
        <f>IFERROR(VLOOKUP(AFT$1,Equilibrium[[Ticker]:[Weight]],2,FALSE),0%)</f>
        <v>0</v>
      </c>
      <c r="AFU3" s="179">
        <f>IFERROR(VLOOKUP(AFU$1,Equilibrium[[Ticker]:[Weight]],2,FALSE),0%)</f>
        <v>0</v>
      </c>
      <c r="AFV3" s="179">
        <f>IFERROR(VLOOKUP(AFV$1,Equilibrium[[Ticker]:[Weight]],2,FALSE),0%)</f>
        <v>0.0861</v>
      </c>
      <c r="AFW3" s="179">
        <f>IFERROR(VLOOKUP(AFW$1,Equilibrium[[Ticker]:[Weight]],2,FALSE),0%)</f>
        <v>0</v>
      </c>
      <c r="AFX3" s="179">
        <f>IFERROR(VLOOKUP(AFX$1,Equilibrium[[Ticker]:[Weight]],2,FALSE),0%)</f>
        <v>0</v>
      </c>
      <c r="AFY3" s="179">
        <f>IFERROR(VLOOKUP(AFY$1,Equilibrium[[Ticker]:[Weight]],2,FALSE),0%)</f>
        <v>0</v>
      </c>
      <c r="AFZ3" s="179">
        <f>IFERROR(VLOOKUP(AFZ$1,Equilibrium[[Ticker]:[Weight]],2,FALSE),0%)</f>
        <v>0</v>
      </c>
      <c r="AGA3" s="179">
        <f>IFERROR(VLOOKUP(AGA$1,Equilibrium[[Ticker]:[Weight]],2,FALSE),0%)</f>
        <v>0</v>
      </c>
      <c r="AGB3" s="179">
        <f>IFERROR(VLOOKUP(AGB$1,Equilibrium[[Ticker]:[Weight]],2,FALSE),0%)</f>
        <v>0</v>
      </c>
      <c r="AGC3" s="179">
        <f>IFERROR(VLOOKUP(AGC$1,Equilibrium[[Ticker]:[Weight]],2,FALSE),0%)</f>
        <v>0</v>
      </c>
      <c r="AGD3" s="179">
        <f>IFERROR(VLOOKUP(AGD$1,Equilibrium[[Ticker]:[Weight]],2,FALSE),0%)</f>
        <v>0</v>
      </c>
      <c r="AGE3" s="179">
        <f>IFERROR(VLOOKUP(AGE$1,Equilibrium[[Ticker]:[Weight]],2,FALSE),0%)</f>
        <v>0</v>
      </c>
      <c r="AGF3" s="179">
        <f>IFERROR(VLOOKUP(AGF$1,Equilibrium[[Ticker]:[Weight]],2,FALSE),0%)</f>
        <v>0</v>
      </c>
      <c r="AGG3" s="179">
        <f>IFERROR(VLOOKUP(AGG$1,Equilibrium[[Ticker]:[Weight]],2,FALSE),0%)</f>
        <v>0</v>
      </c>
      <c r="AGH3" s="179">
        <f>IFERROR(VLOOKUP(AGH$1,Equilibrium[[Ticker]:[Weight]],2,FALSE),0%)</f>
        <v>0</v>
      </c>
      <c r="AGI3" s="179">
        <f>IFERROR(VLOOKUP(AGI$1,Equilibrium[[Ticker]:[Weight]],2,FALSE),0%)</f>
        <v>0</v>
      </c>
      <c r="AGJ3" s="179">
        <f>IFERROR(VLOOKUP(AGJ$1,Equilibrium[[Ticker]:[Weight]],2,FALSE),0%)</f>
        <v>0</v>
      </c>
      <c r="AGK3" s="179">
        <f>IFERROR(VLOOKUP(AGK$1,Equilibrium[[Ticker]:[Weight]],2,FALSE),0%)</f>
        <v>0</v>
      </c>
      <c r="AGL3" s="179">
        <f>IFERROR(VLOOKUP(AGL$1,Equilibrium[[Ticker]:[Weight]],2,FALSE),0%)</f>
        <v>0</v>
      </c>
      <c r="AGM3" s="179">
        <f>IFERROR(VLOOKUP(AGM$1,Equilibrium[[Ticker]:[Weight]],2,FALSE),0%)</f>
        <v>0</v>
      </c>
      <c r="AGN3" s="179">
        <f>IFERROR(VLOOKUP(AGN$1,Equilibrium[[Ticker]:[Weight]],2,FALSE),0%)</f>
        <v>0</v>
      </c>
      <c r="AGO3" s="179">
        <f>IFERROR(VLOOKUP(AGO$1,Equilibrium[[Ticker]:[Weight]],2,FALSE),0%)</f>
        <v>0</v>
      </c>
      <c r="AGP3" s="179">
        <f>IFERROR(VLOOKUP(AGP$1,Equilibrium[[Ticker]:[Weight]],2,FALSE),0%)</f>
        <v>0</v>
      </c>
      <c r="AGQ3" s="179">
        <f>IFERROR(VLOOKUP(AGQ$1,Equilibrium[[Ticker]:[Weight]],2,FALSE),0%)</f>
        <v>0</v>
      </c>
      <c r="AGR3" s="179">
        <f>IFERROR(VLOOKUP(AGR$1,Equilibrium[[Ticker]:[Weight]],2,FALSE),0%)</f>
        <v>0</v>
      </c>
      <c r="AGS3" s="179">
        <f>IFERROR(VLOOKUP(AGS$1,Equilibrium[[Ticker]:[Weight]],2,FALSE),0%)</f>
        <v>0</v>
      </c>
      <c r="AGT3" s="179">
        <f>IFERROR(VLOOKUP(AGT$1,Equilibrium[[Ticker]:[Weight]],2,FALSE),0%)</f>
        <v>0</v>
      </c>
      <c r="AGU3" s="179">
        <f>IFERROR(VLOOKUP(AGU$1,Equilibrium[[Ticker]:[Weight]],2,FALSE),0%)</f>
        <v>0</v>
      </c>
      <c r="AGV3" s="179">
        <f>IFERROR(VLOOKUP(AGV$1,Equilibrium[[Ticker]:[Weight]],2,FALSE),0%)</f>
        <v>0</v>
      </c>
      <c r="AGW3" s="179">
        <f>IFERROR(VLOOKUP(AGW$1,Equilibrium[[Ticker]:[Weight]],2,FALSE),0%)</f>
        <v>0</v>
      </c>
      <c r="AGX3" s="179">
        <f>IFERROR(VLOOKUP(AGX$1,Equilibrium[[Ticker]:[Weight]],2,FALSE),0%)</f>
        <v>0</v>
      </c>
      <c r="AGY3" s="179">
        <f>IFERROR(VLOOKUP(AGY$1,Equilibrium[[Ticker]:[Weight]],2,FALSE),0%)</f>
        <v>0</v>
      </c>
      <c r="AGZ3" s="179">
        <f>IFERROR(VLOOKUP(AGZ$1,Equilibrium[[Ticker]:[Weight]],2,FALSE),0%)</f>
        <v>0</v>
      </c>
      <c r="AHA3" s="179">
        <f>IFERROR(VLOOKUP(AHA$1,Equilibrium[[Ticker]:[Weight]],2,FALSE),0%)</f>
        <v>0</v>
      </c>
      <c r="AHB3" s="179">
        <f>IFERROR(VLOOKUP(AHB$1,Equilibrium[[Ticker]:[Weight]],2,FALSE),0%)</f>
        <v>0</v>
      </c>
      <c r="AHC3" s="179">
        <f>IFERROR(VLOOKUP(AHC$1,Equilibrium[[Ticker]:[Weight]],2,FALSE),0%)</f>
        <v>0</v>
      </c>
      <c r="AHD3" s="179">
        <f>IFERROR(VLOOKUP(AHD$1,Equilibrium[[Ticker]:[Weight]],2,FALSE),0%)</f>
        <v>0</v>
      </c>
      <c r="AHE3" s="179">
        <f>IFERROR(VLOOKUP(AHE$1,Equilibrium[[Ticker]:[Weight]],2,FALSE),0%)</f>
        <v>0</v>
      </c>
      <c r="AHF3" s="179">
        <f>IFERROR(VLOOKUP(AHF$1,Equilibrium[[Ticker]:[Weight]],2,FALSE),0%)</f>
        <v>0</v>
      </c>
      <c r="AHG3" s="179">
        <f>IFERROR(VLOOKUP(AHG$1,Equilibrium[[Ticker]:[Weight]],2,FALSE),0%)</f>
        <v>0</v>
      </c>
      <c r="AHH3" s="179">
        <f>IFERROR(VLOOKUP(AHH$1,Equilibrium[[Ticker]:[Weight]],2,FALSE),0%)</f>
        <v>0</v>
      </c>
      <c r="AHI3" s="179">
        <f>IFERROR(VLOOKUP(AHI$1,Equilibrium[[Ticker]:[Weight]],2,FALSE),0%)</f>
        <v>0</v>
      </c>
      <c r="AHJ3" s="179">
        <f>IFERROR(VLOOKUP(AHJ$1,Equilibrium[[Ticker]:[Weight]],2,FALSE),0%)</f>
        <v>0</v>
      </c>
      <c r="AHK3" s="179">
        <f>IFERROR(VLOOKUP(AHK$1,Equilibrium[[Ticker]:[Weight]],2,FALSE),0%)</f>
        <v>0</v>
      </c>
      <c r="AHL3" s="179">
        <f>IFERROR(VLOOKUP(AHL$1,Equilibrium[[Ticker]:[Weight]],2,FALSE),0%)</f>
        <v>0</v>
      </c>
      <c r="AHM3" s="179">
        <f>IFERROR(VLOOKUP(AHM$1,Equilibrium[[Ticker]:[Weight]],2,FALSE),0%)</f>
        <v>0</v>
      </c>
      <c r="AHN3" s="179">
        <f>IFERROR(VLOOKUP(AHN$1,Equilibrium[[Ticker]:[Weight]],2,FALSE),0%)</f>
        <v>0</v>
      </c>
      <c r="AHO3" s="179">
        <f>IFERROR(VLOOKUP(AHO$1,Equilibrium[[Ticker]:[Weight]],2,FALSE),0%)</f>
        <v>0</v>
      </c>
      <c r="AHP3" s="179">
        <f>IFERROR(VLOOKUP(AHP$1,Equilibrium[[Ticker]:[Weight]],2,FALSE),0%)</f>
        <v>0</v>
      </c>
      <c r="AHQ3" s="179">
        <f>IFERROR(VLOOKUP(AHQ$1,Equilibrium[[Ticker]:[Weight]],2,FALSE),0%)</f>
        <v>0</v>
      </c>
      <c r="AHR3" s="179">
        <f>IFERROR(VLOOKUP(AHR$1,Equilibrium[[Ticker]:[Weight]],2,FALSE),0%)</f>
        <v>0</v>
      </c>
      <c r="AHS3" s="179">
        <f>IFERROR(VLOOKUP(AHS$1,Equilibrium[[Ticker]:[Weight]],2,FALSE),0%)</f>
        <v>0</v>
      </c>
      <c r="AHT3" s="179">
        <f>IFERROR(VLOOKUP(AHT$1,Equilibrium[[Ticker]:[Weight]],2,FALSE),0%)</f>
        <v>0</v>
      </c>
      <c r="AHU3" s="179">
        <f>IFERROR(VLOOKUP(AHU$1,Equilibrium[[Ticker]:[Weight]],2,FALSE),0%)</f>
        <v>0</v>
      </c>
      <c r="AHV3" s="179">
        <f>IFERROR(VLOOKUP(AHV$1,Equilibrium[[Ticker]:[Weight]],2,FALSE),0%)</f>
        <v>0</v>
      </c>
      <c r="AHW3" s="179">
        <f>IFERROR(VLOOKUP(AHW$1,Equilibrium[[Ticker]:[Weight]],2,FALSE),0%)</f>
        <v>0</v>
      </c>
      <c r="AHX3" s="179">
        <f>IFERROR(VLOOKUP(AHX$1,Equilibrium[[Ticker]:[Weight]],2,FALSE),0%)</f>
        <v>0</v>
      </c>
      <c r="AHY3" s="179">
        <f>IFERROR(VLOOKUP(AHY$1,Equilibrium[[Ticker]:[Weight]],2,FALSE),0%)</f>
        <v>0</v>
      </c>
      <c r="AHZ3" s="179">
        <f>IFERROR(VLOOKUP(AHZ$1,Equilibrium[[Ticker]:[Weight]],2,FALSE),0%)</f>
        <v>0</v>
      </c>
      <c r="AIA3" s="179">
        <f>IFERROR(VLOOKUP(AIA$1,Equilibrium[[Ticker]:[Weight]],2,FALSE),0%)</f>
        <v>0</v>
      </c>
      <c r="AIB3" s="179">
        <f>IFERROR(VLOOKUP(AIB$1,Equilibrium[[Ticker]:[Weight]],2,FALSE),0%)</f>
        <v>0</v>
      </c>
      <c r="AIC3" s="179">
        <f>IFERROR(VLOOKUP(AIC$1,Equilibrium[[Ticker]:[Weight]],2,FALSE),0%)</f>
        <v>0</v>
      </c>
      <c r="AID3" s="179">
        <f>IFERROR(VLOOKUP(AID$1,Equilibrium[[Ticker]:[Weight]],2,FALSE),0%)</f>
        <v>0</v>
      </c>
      <c r="AIE3" s="179">
        <f>IFERROR(VLOOKUP(AIE$1,Equilibrium[[Ticker]:[Weight]],2,FALSE),0%)</f>
        <v>0</v>
      </c>
      <c r="AIF3" s="179">
        <f>IFERROR(VLOOKUP(AIF$1,Equilibrium[[Ticker]:[Weight]],2,FALSE),0%)</f>
        <v>0</v>
      </c>
      <c r="AIG3" s="179">
        <f>IFERROR(VLOOKUP(AIG$1,Equilibrium[[Ticker]:[Weight]],2,FALSE),0%)</f>
        <v>0</v>
      </c>
      <c r="AIH3" s="179">
        <f>IFERROR(VLOOKUP(AIH$1,Equilibrium[[Ticker]:[Weight]],2,FALSE),0%)</f>
        <v>0</v>
      </c>
      <c r="AII3" s="179">
        <f>IFERROR(VLOOKUP(AII$1,Equilibrium[[Ticker]:[Weight]],2,FALSE),0%)</f>
        <v>0</v>
      </c>
      <c r="AIJ3" s="179">
        <f>IFERROR(VLOOKUP(AIJ$1,Equilibrium[[Ticker]:[Weight]],2,FALSE),0%)</f>
        <v>0</v>
      </c>
      <c r="AIK3" s="179">
        <f>IFERROR(VLOOKUP(AIK$1,Equilibrium[[Ticker]:[Weight]],2,FALSE),0%)</f>
        <v>0</v>
      </c>
      <c r="AIL3" s="179">
        <f>IFERROR(VLOOKUP(AIL$1,Equilibrium[[Ticker]:[Weight]],2,FALSE),0%)</f>
        <v>0</v>
      </c>
      <c r="AIM3" s="179">
        <f>IFERROR(VLOOKUP(AIM$1,Equilibrium[[Ticker]:[Weight]],2,FALSE),0%)</f>
        <v>0</v>
      </c>
      <c r="AIN3" s="179">
        <f>IFERROR(VLOOKUP(AIN$1,Equilibrium[[Ticker]:[Weight]],2,FALSE),0%)</f>
        <v>0</v>
      </c>
      <c r="AIO3" s="179">
        <f>IFERROR(VLOOKUP(AIO$1,Equilibrium[[Ticker]:[Weight]],2,FALSE),0%)</f>
        <v>0</v>
      </c>
      <c r="AIP3" s="179">
        <f>IFERROR(VLOOKUP(AIP$1,Equilibrium[[Ticker]:[Weight]],2,FALSE),0%)</f>
        <v>0</v>
      </c>
      <c r="AIQ3" s="179">
        <f>IFERROR(VLOOKUP(AIQ$1,Equilibrium[[Ticker]:[Weight]],2,FALSE),0%)</f>
        <v>0</v>
      </c>
      <c r="AIR3" s="179">
        <f>IFERROR(VLOOKUP(AIR$1,Equilibrium[[Ticker]:[Weight]],2,FALSE),0%)</f>
        <v>0</v>
      </c>
      <c r="AIS3" s="179">
        <f>IFERROR(VLOOKUP(AIS$1,Equilibrium[[Ticker]:[Weight]],2,FALSE),0%)</f>
        <v>0</v>
      </c>
      <c r="AIT3" s="179">
        <f>IFERROR(VLOOKUP(AIT$1,Equilibrium[[Ticker]:[Weight]],2,FALSE),0%)</f>
        <v>0</v>
      </c>
      <c r="AIU3" s="179">
        <f>IFERROR(VLOOKUP(AIU$1,Equilibrium[[Ticker]:[Weight]],2,FALSE),0%)</f>
        <v>0</v>
      </c>
      <c r="AIV3" s="179">
        <f>IFERROR(VLOOKUP(AIV$1,Equilibrium[[Ticker]:[Weight]],2,FALSE),0%)</f>
        <v>0</v>
      </c>
      <c r="AIW3" s="179">
        <f>IFERROR(VLOOKUP(AIW$1,Equilibrium[[Ticker]:[Weight]],2,FALSE),0%)</f>
        <v>0</v>
      </c>
      <c r="AIX3" s="179">
        <f>IFERROR(VLOOKUP(AIX$1,Equilibrium[[Ticker]:[Weight]],2,FALSE),0%)</f>
        <v>0</v>
      </c>
      <c r="AIY3" s="179">
        <f>IFERROR(VLOOKUP(AIY$1,Equilibrium[[Ticker]:[Weight]],2,FALSE),0%)</f>
        <v>0</v>
      </c>
      <c r="AIZ3" s="179">
        <f>IFERROR(VLOOKUP(AIZ$1,Equilibrium[[Ticker]:[Weight]],2,FALSE),0%)</f>
        <v>0</v>
      </c>
      <c r="AJA3" s="179">
        <f>IFERROR(VLOOKUP(AJA$1,Equilibrium[[Ticker]:[Weight]],2,FALSE),0%)</f>
        <v>0</v>
      </c>
      <c r="AJB3" s="179">
        <f>IFERROR(VLOOKUP(AJB$1,Equilibrium[[Ticker]:[Weight]],2,FALSE),0%)</f>
        <v>0</v>
      </c>
      <c r="AJC3" s="179">
        <f>IFERROR(VLOOKUP(AJC$1,Equilibrium[[Ticker]:[Weight]],2,FALSE),0%)</f>
        <v>0</v>
      </c>
      <c r="AJD3" s="179">
        <f>IFERROR(VLOOKUP(AJD$1,Equilibrium[[Ticker]:[Weight]],2,FALSE),0%)</f>
        <v>0</v>
      </c>
      <c r="AJE3" s="179">
        <f>IFERROR(VLOOKUP(AJE$1,Equilibrium[[Ticker]:[Weight]],2,FALSE),0%)</f>
        <v>0</v>
      </c>
      <c r="AJF3" s="179">
        <f>IFERROR(VLOOKUP(AJF$1,Equilibrium[[Ticker]:[Weight]],2,FALSE),0%)</f>
        <v>0</v>
      </c>
      <c r="AJG3" s="179">
        <f>IFERROR(VLOOKUP(AJG$1,Equilibrium[[Ticker]:[Weight]],2,FALSE),0%)</f>
        <v>0</v>
      </c>
      <c r="AJH3" s="179">
        <f>IFERROR(VLOOKUP(AJH$1,Equilibrium[[Ticker]:[Weight]],2,FALSE),0%)</f>
        <v>0</v>
      </c>
      <c r="AJI3" s="179">
        <f>IFERROR(VLOOKUP(AJI$1,Equilibrium[[Ticker]:[Weight]],2,FALSE),0%)</f>
        <v>0</v>
      </c>
      <c r="AJJ3" s="179">
        <f>IFERROR(VLOOKUP(AJJ$1,Equilibrium[[Ticker]:[Weight]],2,FALSE),0%)</f>
        <v>0</v>
      </c>
      <c r="AJK3" s="179">
        <f>IFERROR(VLOOKUP(AJK$1,Equilibrium[[Ticker]:[Weight]],2,FALSE),0%)</f>
        <v>0</v>
      </c>
      <c r="AJL3" s="179">
        <f>IFERROR(VLOOKUP(AJL$1,Equilibrium[[Ticker]:[Weight]],2,FALSE),0%)</f>
        <v>0</v>
      </c>
      <c r="AJM3" s="179">
        <f>IFERROR(VLOOKUP(AJM$1,Equilibrium[[Ticker]:[Weight]],2,FALSE),0%)</f>
        <v>0</v>
      </c>
      <c r="AJN3" s="179">
        <f>IFERROR(VLOOKUP(AJN$1,Equilibrium[[Ticker]:[Weight]],2,FALSE),0%)</f>
        <v>0</v>
      </c>
      <c r="AJO3" s="179">
        <f>IFERROR(VLOOKUP(AJO$1,Equilibrium[[Ticker]:[Weight]],2,FALSE),0%)</f>
        <v>0</v>
      </c>
      <c r="AJP3" s="179">
        <f>IFERROR(VLOOKUP(AJP$1,Equilibrium[[Ticker]:[Weight]],2,FALSE),0%)</f>
        <v>0</v>
      </c>
      <c r="AJQ3" s="179">
        <f>IFERROR(VLOOKUP(AJQ$1,Equilibrium[[Ticker]:[Weight]],2,FALSE),0%)</f>
        <v>0</v>
      </c>
      <c r="AJR3" s="179">
        <f>IFERROR(VLOOKUP(AJR$1,Equilibrium[[Ticker]:[Weight]],2,FALSE),0%)</f>
        <v>0</v>
      </c>
      <c r="AJS3" s="179">
        <f>IFERROR(VLOOKUP(AJS$1,Equilibrium[[Ticker]:[Weight]],2,FALSE),0%)</f>
        <v>0</v>
      </c>
      <c r="AJT3" s="179">
        <f>IFERROR(VLOOKUP(AJT$1,Equilibrium[[Ticker]:[Weight]],2,FALSE),0%)</f>
        <v>0</v>
      </c>
      <c r="AJU3" s="179">
        <f>IFERROR(VLOOKUP(AJU$1,Equilibrium[[Ticker]:[Weight]],2,FALSE),0%)</f>
        <v>0</v>
      </c>
      <c r="AJV3" s="179">
        <f>IFERROR(VLOOKUP(AJV$1,Equilibrium[[Ticker]:[Weight]],2,FALSE),0%)</f>
        <v>0</v>
      </c>
      <c r="AJW3" s="179">
        <f>IFERROR(VLOOKUP(AJW$1,Equilibrium[[Ticker]:[Weight]],2,FALSE),0%)</f>
        <v>0</v>
      </c>
      <c r="AJX3" s="179">
        <f>IFERROR(VLOOKUP(AJX$1,Equilibrium[[Ticker]:[Weight]],2,FALSE),0%)</f>
        <v>0</v>
      </c>
      <c r="AJY3" s="179">
        <f>IFERROR(VLOOKUP(AJY$1,Equilibrium[[Ticker]:[Weight]],2,FALSE),0%)</f>
        <v>0</v>
      </c>
      <c r="AJZ3" s="179">
        <f>IFERROR(VLOOKUP(AJZ$1,Equilibrium[[Ticker]:[Weight]],2,FALSE),0%)</f>
        <v>0</v>
      </c>
      <c r="AKA3" s="179">
        <f>IFERROR(VLOOKUP(AKA$1,Equilibrium[[Ticker]:[Weight]],2,FALSE),0%)</f>
        <v>0</v>
      </c>
      <c r="AKB3" s="179">
        <f>IFERROR(VLOOKUP(AKB$1,Equilibrium[[Ticker]:[Weight]],2,FALSE),0%)</f>
        <v>0</v>
      </c>
      <c r="AKC3" s="179">
        <f>IFERROR(VLOOKUP(AKC$1,Equilibrium[[Ticker]:[Weight]],2,FALSE),0%)</f>
        <v>0</v>
      </c>
      <c r="AKD3" s="179">
        <f>IFERROR(VLOOKUP(AKD$1,Equilibrium[[Ticker]:[Weight]],2,FALSE),0%)</f>
        <v>0</v>
      </c>
      <c r="AKE3" s="179">
        <f>IFERROR(VLOOKUP(AKE$1,Equilibrium[[Ticker]:[Weight]],2,FALSE),0%)</f>
        <v>0</v>
      </c>
      <c r="AKF3" s="179">
        <f>IFERROR(VLOOKUP(AKF$1,Equilibrium[[Ticker]:[Weight]],2,FALSE),0%)</f>
        <v>0</v>
      </c>
      <c r="AKG3" s="179">
        <f>IFERROR(VLOOKUP(AKG$1,Equilibrium[[Ticker]:[Weight]],2,FALSE),0%)</f>
        <v>0</v>
      </c>
      <c r="AKH3" s="179">
        <f>IFERROR(VLOOKUP(AKH$1,Equilibrium[[Ticker]:[Weight]],2,FALSE),0%)</f>
        <v>0</v>
      </c>
      <c r="AKI3" s="179">
        <f>IFERROR(VLOOKUP(AKI$1,Equilibrium[[Ticker]:[Weight]],2,FALSE),0%)</f>
        <v>0</v>
      </c>
      <c r="AKJ3" s="179">
        <f>IFERROR(VLOOKUP(AKJ$1,Equilibrium[[Ticker]:[Weight]],2,FALSE),0%)</f>
        <v>0</v>
      </c>
      <c r="AKK3" s="179">
        <f>IFERROR(VLOOKUP(AKK$1,Equilibrium[[Ticker]:[Weight]],2,FALSE),0%)</f>
        <v>0</v>
      </c>
      <c r="AKL3" s="179">
        <f>IFERROR(VLOOKUP(AKL$1,Equilibrium[[Ticker]:[Weight]],2,FALSE),0%)</f>
        <v>0</v>
      </c>
      <c r="AKM3" s="179">
        <f>IFERROR(VLOOKUP(AKM$1,Equilibrium[[Ticker]:[Weight]],2,FALSE),0%)</f>
        <v>0</v>
      </c>
      <c r="AKN3" s="179">
        <f>IFERROR(VLOOKUP(AKN$1,Equilibrium[[Ticker]:[Weight]],2,FALSE),0%)</f>
        <v>0</v>
      </c>
      <c r="AKO3" s="179">
        <f>IFERROR(VLOOKUP(AKO$1,Equilibrium[[Ticker]:[Weight]],2,FALSE),0%)</f>
        <v>0</v>
      </c>
      <c r="AKP3" s="179">
        <f>IFERROR(VLOOKUP(AKP$1,Equilibrium[[Ticker]:[Weight]],2,FALSE),0%)</f>
        <v>0</v>
      </c>
      <c r="AKQ3" s="179">
        <f>IFERROR(VLOOKUP(AKQ$1,Equilibrium[[Ticker]:[Weight]],2,FALSE),0%)</f>
        <v>0</v>
      </c>
      <c r="AKR3" s="179">
        <f>IFERROR(VLOOKUP(AKR$1,Equilibrium[[Ticker]:[Weight]],2,FALSE),0%)</f>
        <v>0</v>
      </c>
      <c r="AKS3" s="179">
        <f>IFERROR(VLOOKUP(AKS$1,Equilibrium[[Ticker]:[Weight]],2,FALSE),0%)</f>
        <v>0</v>
      </c>
      <c r="AKT3" s="179">
        <f>IFERROR(VLOOKUP(AKT$1,Equilibrium[[Ticker]:[Weight]],2,FALSE),0%)</f>
        <v>0</v>
      </c>
      <c r="AKU3" s="179">
        <f>IFERROR(VLOOKUP(AKU$1,Equilibrium[[Ticker]:[Weight]],2,FALSE),0%)</f>
        <v>0</v>
      </c>
      <c r="AKV3" s="179">
        <f>IFERROR(VLOOKUP(AKV$1,Equilibrium[[Ticker]:[Weight]],2,FALSE),0%)</f>
        <v>0</v>
      </c>
      <c r="AKW3" s="179">
        <f>IFERROR(VLOOKUP(AKW$1,Equilibrium[[Ticker]:[Weight]],2,FALSE),0%)</f>
        <v>0</v>
      </c>
      <c r="AKX3" s="179">
        <f>IFERROR(VLOOKUP(AKX$1,Equilibrium[[Ticker]:[Weight]],2,FALSE),0%)</f>
        <v>0</v>
      </c>
      <c r="AKY3" s="179">
        <f>IFERROR(VLOOKUP(AKY$1,Equilibrium[[Ticker]:[Weight]],2,FALSE),0%)</f>
        <v>0</v>
      </c>
      <c r="AKZ3" s="179">
        <f>IFERROR(VLOOKUP(AKZ$1,Equilibrium[[Ticker]:[Weight]],2,FALSE),0%)</f>
        <v>0</v>
      </c>
      <c r="ALA3" s="179">
        <f>IFERROR(VLOOKUP(ALA$1,Equilibrium[[Ticker]:[Weight]],2,FALSE),0%)</f>
        <v>0</v>
      </c>
      <c r="ALB3" s="179">
        <f>IFERROR(VLOOKUP(ALB$1,Equilibrium[[Ticker]:[Weight]],2,FALSE),0%)</f>
        <v>0</v>
      </c>
      <c r="ALC3" s="179">
        <f>IFERROR(VLOOKUP(ALC$1,Equilibrium[[Ticker]:[Weight]],2,FALSE),0%)</f>
        <v>0</v>
      </c>
      <c r="ALD3" s="179">
        <f>IFERROR(VLOOKUP(ALD$1,Equilibrium[[Ticker]:[Weight]],2,FALSE),0%)</f>
        <v>0</v>
      </c>
      <c r="ALE3" s="179">
        <f>IFERROR(VLOOKUP(ALE$1,Equilibrium[[Ticker]:[Weight]],2,FALSE),0%)</f>
        <v>0</v>
      </c>
      <c r="ALF3" s="179">
        <f>IFERROR(VLOOKUP(ALF$1,Equilibrium[[Ticker]:[Weight]],2,FALSE),0%)</f>
        <v>0</v>
      </c>
      <c r="ALG3" s="179">
        <f>IFERROR(VLOOKUP(ALG$1,Equilibrium[[Ticker]:[Weight]],2,FALSE),0%)</f>
        <v>0</v>
      </c>
      <c r="ALH3" s="179">
        <f>IFERROR(VLOOKUP(ALH$1,Equilibrium[[Ticker]:[Weight]],2,FALSE),0%)</f>
        <v>0</v>
      </c>
      <c r="ALI3" s="179">
        <f>IFERROR(VLOOKUP(ALI$1,Equilibrium[[Ticker]:[Weight]],2,FALSE),0%)</f>
        <v>0</v>
      </c>
      <c r="ALJ3" s="179">
        <f>IFERROR(VLOOKUP(ALJ$1,Equilibrium[[Ticker]:[Weight]],2,FALSE),0%)</f>
        <v>0</v>
      </c>
      <c r="ALK3" s="179">
        <f>IFERROR(VLOOKUP(ALK$1,Equilibrium[[Ticker]:[Weight]],2,FALSE),0%)</f>
        <v>0</v>
      </c>
      <c r="ALL3" s="179">
        <f>IFERROR(VLOOKUP(ALL$1,Equilibrium[[Ticker]:[Weight]],2,FALSE),0%)</f>
        <v>0</v>
      </c>
      <c r="ALM3" s="179">
        <f>IFERROR(VLOOKUP(ALM$1,Equilibrium[[Ticker]:[Weight]],2,FALSE),0%)</f>
        <v>0</v>
      </c>
      <c r="ALN3" s="179">
        <f>IFERROR(VLOOKUP(ALN$1,Equilibrium[[Ticker]:[Weight]],2,FALSE),0%)</f>
        <v>0</v>
      </c>
      <c r="ALO3" s="179">
        <f>IFERROR(VLOOKUP(ALO$1,Equilibrium[[Ticker]:[Weight]],2,FALSE),0%)</f>
        <v>0</v>
      </c>
      <c r="ALP3" s="179">
        <f>IFERROR(VLOOKUP(ALP$1,Equilibrium[[Ticker]:[Weight]],2,FALSE),0%)</f>
        <v>0</v>
      </c>
      <c r="ALQ3" s="179">
        <f>IFERROR(VLOOKUP(ALQ$1,Equilibrium[[Ticker]:[Weight]],2,FALSE),0%)</f>
        <v>0</v>
      </c>
      <c r="ALR3" s="179">
        <f>IFERROR(VLOOKUP(ALR$1,Equilibrium[[Ticker]:[Weight]],2,FALSE),0%)</f>
        <v>0</v>
      </c>
      <c r="ALS3" s="179">
        <f>IFERROR(VLOOKUP(ALS$1,Equilibrium[[Ticker]:[Weight]],2,FALSE),0%)</f>
        <v>0</v>
      </c>
      <c r="ALT3" s="179">
        <f>IFERROR(VLOOKUP(ALT$1,Equilibrium[[Ticker]:[Weight]],2,FALSE),0%)</f>
        <v>0</v>
      </c>
      <c r="ALU3" s="179">
        <f>IFERROR(VLOOKUP(ALU$1,Equilibrium[[Ticker]:[Weight]],2,FALSE),0%)</f>
        <v>0</v>
      </c>
      <c r="ALV3" s="179">
        <f>IFERROR(VLOOKUP(ALV$1,Equilibrium[[Ticker]:[Weight]],2,FALSE),0%)</f>
        <v>0</v>
      </c>
      <c r="ALW3" s="179">
        <f>IFERROR(VLOOKUP(ALW$1,Equilibrium[[Ticker]:[Weight]],2,FALSE),0%)</f>
        <v>0</v>
      </c>
      <c r="ALX3" s="179">
        <f>IFERROR(VLOOKUP(ALX$1,Equilibrium[[Ticker]:[Weight]],2,FALSE),0%)</f>
        <v>0</v>
      </c>
      <c r="ALY3" s="179">
        <f>IFERROR(VLOOKUP(ALY$1,Equilibrium[[Ticker]:[Weight]],2,FALSE),0%)</f>
        <v>0</v>
      </c>
      <c r="ALZ3" s="179">
        <f>IFERROR(VLOOKUP(ALZ$1,Equilibrium[[Ticker]:[Weight]],2,FALSE),0%)</f>
        <v>0</v>
      </c>
      <c r="AMA3" s="179">
        <f>IFERROR(VLOOKUP(AMA$1,Equilibrium[[Ticker]:[Weight]],2,FALSE),0%)</f>
        <v>0</v>
      </c>
      <c r="AMB3" s="179">
        <f>IFERROR(VLOOKUP(AMB$1,Equilibrium[[Ticker]:[Weight]],2,FALSE),0%)</f>
        <v>0</v>
      </c>
      <c r="AMC3" s="179">
        <f>IFERROR(VLOOKUP(AMC$1,Equilibrium[[Ticker]:[Weight]],2,FALSE),0%)</f>
        <v>0</v>
      </c>
      <c r="AMD3" s="179">
        <f>IFERROR(VLOOKUP(AMD$1,Equilibrium[[Ticker]:[Weight]],2,FALSE),0%)</f>
        <v>0</v>
      </c>
      <c r="AME3" s="179">
        <f>IFERROR(VLOOKUP(AME$1,Equilibrium[[Ticker]:[Weight]],2,FALSE),0%)</f>
        <v>0</v>
      </c>
      <c r="AMF3" s="179">
        <f>IFERROR(VLOOKUP(AMF$1,Equilibrium[[Ticker]:[Weight]],2,FALSE),0%)</f>
        <v>0</v>
      </c>
      <c r="AMG3" s="179">
        <f>IFERROR(VLOOKUP(AMG$1,Equilibrium[[Ticker]:[Weight]],2,FALSE),0%)</f>
        <v>0</v>
      </c>
      <c r="AMH3" s="179">
        <f>IFERROR(VLOOKUP(AMH$1,Equilibrium[[Ticker]:[Weight]],2,FALSE),0%)</f>
        <v>0</v>
      </c>
      <c r="AMI3" s="179">
        <f>IFERROR(VLOOKUP(AMI$1,Equilibrium[[Ticker]:[Weight]],2,FALSE),0%)</f>
        <v>0</v>
      </c>
      <c r="AMJ3" s="179">
        <f>IFERROR(VLOOKUP(AMJ$1,Equilibrium[[Ticker]:[Weight]],2,FALSE),0%)</f>
        <v>0</v>
      </c>
      <c r="AMK3" s="179">
        <f>IFERROR(VLOOKUP(AMK$1,Equilibrium[[Ticker]:[Weight]],2,FALSE),0%)</f>
        <v>0</v>
      </c>
      <c r="AML3" s="179">
        <f>IFERROR(VLOOKUP(AML$1,Equilibrium[[Ticker]:[Weight]],2,FALSE),0%)</f>
        <v>0</v>
      </c>
      <c r="AMM3" s="179">
        <f>IFERROR(VLOOKUP(AMM$1,Equilibrium[[Ticker]:[Weight]],2,FALSE),0%)</f>
        <v>0</v>
      </c>
      <c r="AMN3" s="179">
        <f>IFERROR(VLOOKUP(AMN$1,Equilibrium[[Ticker]:[Weight]],2,FALSE),0%)</f>
        <v>0</v>
      </c>
      <c r="AMO3" s="179">
        <f>IFERROR(VLOOKUP(AMO$1,Equilibrium[[Ticker]:[Weight]],2,FALSE),0%)</f>
        <v>0</v>
      </c>
      <c r="AMP3" s="179">
        <f>IFERROR(VLOOKUP(AMP$1,Equilibrium[[Ticker]:[Weight]],2,FALSE),0%)</f>
        <v>0</v>
      </c>
      <c r="AMQ3" s="179">
        <f>IFERROR(VLOOKUP(AMQ$1,Equilibrium[[Ticker]:[Weight]],2,FALSE),0%)</f>
        <v>0</v>
      </c>
      <c r="AMR3" s="179">
        <f>IFERROR(VLOOKUP(AMR$1,Equilibrium[[Ticker]:[Weight]],2,FALSE),0%)</f>
        <v>0</v>
      </c>
      <c r="AMS3" s="179">
        <f>IFERROR(VLOOKUP(AMS$1,Equilibrium[[Ticker]:[Weight]],2,FALSE),0%)</f>
        <v>0</v>
      </c>
      <c r="AMT3" s="179">
        <f>IFERROR(VLOOKUP(AMT$1,Equilibrium[[Ticker]:[Weight]],2,FALSE),0%)</f>
        <v>0</v>
      </c>
      <c r="AMU3" s="179">
        <f>IFERROR(VLOOKUP(AMU$1,Equilibrium[[Ticker]:[Weight]],2,FALSE),0%)</f>
        <v>0</v>
      </c>
      <c r="AMV3" s="179">
        <f>IFERROR(VLOOKUP(AMV$1,Equilibrium[[Ticker]:[Weight]],2,FALSE),0%)</f>
        <v>0</v>
      </c>
      <c r="AMW3" s="179">
        <f>IFERROR(VLOOKUP(AMW$1,Equilibrium[[Ticker]:[Weight]],2,FALSE),0%)</f>
        <v>0</v>
      </c>
      <c r="AMX3" s="179">
        <f>IFERROR(VLOOKUP(AMX$1,Equilibrium[[Ticker]:[Weight]],2,FALSE),0%)</f>
        <v>0</v>
      </c>
      <c r="AMY3" s="179">
        <f>IFERROR(VLOOKUP(AMY$1,Equilibrium[[Ticker]:[Weight]],2,FALSE),0%)</f>
        <v>0</v>
      </c>
      <c r="AMZ3" s="179">
        <f>IFERROR(VLOOKUP(AMZ$1,Equilibrium[[Ticker]:[Weight]],2,FALSE),0%)</f>
        <v>0</v>
      </c>
      <c r="ANA3" s="179">
        <f>IFERROR(VLOOKUP(ANA$1,Equilibrium[[Ticker]:[Weight]],2,FALSE),0%)</f>
        <v>0</v>
      </c>
      <c r="ANB3" s="179">
        <f>IFERROR(VLOOKUP(ANB$1,Equilibrium[[Ticker]:[Weight]],2,FALSE),0%)</f>
        <v>0</v>
      </c>
      <c r="ANC3" s="179">
        <f>IFERROR(VLOOKUP(ANC$1,Equilibrium[[Ticker]:[Weight]],2,FALSE),0%)</f>
        <v>0</v>
      </c>
      <c r="AND3" s="179">
        <f>IFERROR(VLOOKUP(AND$1,Equilibrium[[Ticker]:[Weight]],2,FALSE),0%)</f>
        <v>0</v>
      </c>
      <c r="ANE3" s="179">
        <f>IFERROR(VLOOKUP(ANE$1,Equilibrium[[Ticker]:[Weight]],2,FALSE),0%)</f>
        <v>0</v>
      </c>
      <c r="ANF3" s="179">
        <f>IFERROR(VLOOKUP(ANF$1,Equilibrium[[Ticker]:[Weight]],2,FALSE),0%)</f>
        <v>0</v>
      </c>
      <c r="ANG3" s="179">
        <f>IFERROR(VLOOKUP(ANG$1,Equilibrium[[Ticker]:[Weight]],2,FALSE),0%)</f>
        <v>0</v>
      </c>
      <c r="ANH3" s="179">
        <f>IFERROR(VLOOKUP(ANH$1,Equilibrium[[Ticker]:[Weight]],2,FALSE),0%)</f>
        <v>0</v>
      </c>
      <c r="ANI3" s="179">
        <f>IFERROR(VLOOKUP(ANI$1,Equilibrium[[Ticker]:[Weight]],2,FALSE),0%)</f>
        <v>0</v>
      </c>
      <c r="ANJ3" s="179">
        <f>IFERROR(VLOOKUP(ANJ$1,Equilibrium[[Ticker]:[Weight]],2,FALSE),0%)</f>
        <v>0</v>
      </c>
      <c r="ANK3" s="179">
        <f>IFERROR(VLOOKUP(ANK$1,Equilibrium[[Ticker]:[Weight]],2,FALSE),0%)</f>
        <v>0</v>
      </c>
      <c r="ANL3" s="179">
        <f>IFERROR(VLOOKUP(ANL$1,Equilibrium[[Ticker]:[Weight]],2,FALSE),0%)</f>
        <v>0</v>
      </c>
      <c r="ANM3" s="179">
        <f>IFERROR(VLOOKUP(ANM$1,Equilibrium[[Ticker]:[Weight]],2,FALSE),0%)</f>
        <v>0</v>
      </c>
      <c r="ANN3" s="179">
        <f>IFERROR(VLOOKUP(ANN$1,Equilibrium[[Ticker]:[Weight]],2,FALSE),0%)</f>
        <v>0</v>
      </c>
      <c r="ANO3" s="179">
        <f>IFERROR(VLOOKUP(ANO$1,Equilibrium[[Ticker]:[Weight]],2,FALSE),0%)</f>
        <v>0</v>
      </c>
      <c r="ANP3" s="179">
        <f>IFERROR(VLOOKUP(ANP$1,Equilibrium[[Ticker]:[Weight]],2,FALSE),0%)</f>
        <v>0</v>
      </c>
      <c r="ANQ3" s="179">
        <f>IFERROR(VLOOKUP(ANQ$1,Equilibrium[[Ticker]:[Weight]],2,FALSE),0%)</f>
        <v>0</v>
      </c>
      <c r="ANR3" s="179">
        <f>IFERROR(VLOOKUP(ANR$1,Equilibrium[[Ticker]:[Weight]],2,FALSE),0%)</f>
        <v>0</v>
      </c>
      <c r="ANS3" s="179">
        <f>IFERROR(VLOOKUP(ANS$1,Equilibrium[[Ticker]:[Weight]],2,FALSE),0%)</f>
        <v>0</v>
      </c>
      <c r="ANT3" s="179">
        <f>IFERROR(VLOOKUP(ANT$1,Equilibrium[[Ticker]:[Weight]],2,FALSE),0%)</f>
        <v>0</v>
      </c>
      <c r="ANU3" s="179">
        <f>IFERROR(VLOOKUP(ANU$1,Equilibrium[[Ticker]:[Weight]],2,FALSE),0%)</f>
        <v>0</v>
      </c>
      <c r="ANV3" s="179">
        <f>IFERROR(VLOOKUP(ANV$1,Equilibrium[[Ticker]:[Weight]],2,FALSE),0%)</f>
        <v>0</v>
      </c>
      <c r="ANW3" s="179">
        <f>IFERROR(VLOOKUP(ANW$1,Equilibrium[[Ticker]:[Weight]],2,FALSE),0%)</f>
        <v>0</v>
      </c>
      <c r="ANX3" s="179">
        <f>IFERROR(VLOOKUP(ANX$1,Equilibrium[[Ticker]:[Weight]],2,FALSE),0%)</f>
        <v>0</v>
      </c>
      <c r="ANY3" s="179">
        <f>IFERROR(VLOOKUP(ANY$1,Equilibrium[[Ticker]:[Weight]],2,FALSE),0%)</f>
        <v>0</v>
      </c>
      <c r="ANZ3" s="179">
        <f>IFERROR(VLOOKUP(ANZ$1,Equilibrium[[Ticker]:[Weight]],2,FALSE),0%)</f>
        <v>0</v>
      </c>
      <c r="AOA3" s="179">
        <f>IFERROR(VLOOKUP(AOA$1,Equilibrium[[Ticker]:[Weight]],2,FALSE),0%)</f>
        <v>0</v>
      </c>
      <c r="AOB3" s="179">
        <f>IFERROR(VLOOKUP(AOB$1,Equilibrium[[Ticker]:[Weight]],2,FALSE),0%)</f>
        <v>0</v>
      </c>
      <c r="AOC3" s="179">
        <f>IFERROR(VLOOKUP(AOC$1,Equilibrium[[Ticker]:[Weight]],2,FALSE),0%)</f>
        <v>0</v>
      </c>
      <c r="AOD3" s="179">
        <f>IFERROR(VLOOKUP(AOD$1,Equilibrium[[Ticker]:[Weight]],2,FALSE),0%)</f>
        <v>0</v>
      </c>
      <c r="AOE3" s="179">
        <f>IFERROR(VLOOKUP(AOE$1,Equilibrium[[Ticker]:[Weight]],2,FALSE),0%)</f>
        <v>0</v>
      </c>
      <c r="AOF3" s="179">
        <f>IFERROR(VLOOKUP(AOF$1,Equilibrium[[Ticker]:[Weight]],2,FALSE),0%)</f>
        <v>0</v>
      </c>
      <c r="AOG3" s="179">
        <f>IFERROR(VLOOKUP(AOG$1,Equilibrium[[Ticker]:[Weight]],2,FALSE),0%)</f>
        <v>0</v>
      </c>
      <c r="AOH3" s="179">
        <f>IFERROR(VLOOKUP(AOH$1,Equilibrium[[Ticker]:[Weight]],2,FALSE),0%)</f>
        <v>0</v>
      </c>
      <c r="AOI3" s="179">
        <f>IFERROR(VLOOKUP(AOI$1,Equilibrium[[Ticker]:[Weight]],2,FALSE),0%)</f>
        <v>0</v>
      </c>
      <c r="AOJ3" s="179">
        <f>IFERROR(VLOOKUP(AOJ$1,Equilibrium[[Ticker]:[Weight]],2,FALSE),0%)</f>
        <v>0</v>
      </c>
      <c r="AOK3" s="179">
        <f>IFERROR(VLOOKUP(AOK$1,Equilibrium[[Ticker]:[Weight]],2,FALSE),0%)</f>
        <v>0</v>
      </c>
      <c r="AOL3" s="179">
        <f>IFERROR(VLOOKUP(AOL$1,Equilibrium[[Ticker]:[Weight]],2,FALSE),0%)</f>
        <v>0</v>
      </c>
      <c r="AOM3" s="179">
        <f>IFERROR(VLOOKUP(AOM$1,Equilibrium[[Ticker]:[Weight]],2,FALSE),0%)</f>
        <v>0</v>
      </c>
      <c r="AON3" s="179">
        <f>IFERROR(VLOOKUP(AON$1,Equilibrium[[Ticker]:[Weight]],2,FALSE),0%)</f>
        <v>0</v>
      </c>
      <c r="AOO3" s="179">
        <f>IFERROR(VLOOKUP(AOO$1,Equilibrium[[Ticker]:[Weight]],2,FALSE),0%)</f>
        <v>0</v>
      </c>
      <c r="AOP3" s="179">
        <f>IFERROR(VLOOKUP(AOP$1,Equilibrium[[Ticker]:[Weight]],2,FALSE),0%)</f>
        <v>0</v>
      </c>
      <c r="AOQ3" s="179">
        <f>IFERROR(VLOOKUP(AOQ$1,Equilibrium[[Ticker]:[Weight]],2,FALSE),0%)</f>
        <v>0</v>
      </c>
      <c r="AOR3" s="179">
        <f>IFERROR(VLOOKUP(AOR$1,Equilibrium[[Ticker]:[Weight]],2,FALSE),0%)</f>
        <v>0</v>
      </c>
      <c r="AOS3" s="179">
        <f>IFERROR(VLOOKUP(AOS$1,Equilibrium[[Ticker]:[Weight]],2,FALSE),0%)</f>
        <v>0</v>
      </c>
      <c r="AOT3" s="179">
        <f>IFERROR(VLOOKUP(AOT$1,Equilibrium[[Ticker]:[Weight]],2,FALSE),0%)</f>
        <v>0</v>
      </c>
      <c r="AOU3" s="179">
        <f>IFERROR(VLOOKUP(AOU$1,Equilibrium[[Ticker]:[Weight]],2,FALSE),0%)</f>
        <v>0</v>
      </c>
      <c r="AOV3" s="179">
        <f>IFERROR(VLOOKUP(AOV$1,Equilibrium[[Ticker]:[Weight]],2,FALSE),0%)</f>
        <v>0</v>
      </c>
      <c r="AOW3" s="179">
        <f>IFERROR(VLOOKUP(AOW$1,Equilibrium[[Ticker]:[Weight]],2,FALSE),0%)</f>
        <v>0</v>
      </c>
      <c r="AOX3" s="179">
        <f>IFERROR(VLOOKUP(AOX$1,Equilibrium[[Ticker]:[Weight]],2,FALSE),0%)</f>
        <v>0</v>
      </c>
      <c r="AOY3" s="179">
        <f>IFERROR(VLOOKUP(AOY$1,Equilibrium[[Ticker]:[Weight]],2,FALSE),0%)</f>
        <v>0</v>
      </c>
      <c r="AOZ3" s="179">
        <f>IFERROR(VLOOKUP(AOZ$1,Equilibrium[[Ticker]:[Weight]],2,FALSE),0%)</f>
        <v>0</v>
      </c>
      <c r="APA3" s="179">
        <f>IFERROR(VLOOKUP(APA$1,Equilibrium[[Ticker]:[Weight]],2,FALSE),0%)</f>
        <v>0</v>
      </c>
      <c r="APB3" s="179">
        <f>IFERROR(VLOOKUP(APB$1,Equilibrium[[Ticker]:[Weight]],2,FALSE),0%)</f>
        <v>0</v>
      </c>
      <c r="APC3" s="179">
        <f>IFERROR(VLOOKUP(APC$1,Equilibrium[[Ticker]:[Weight]],2,FALSE),0%)</f>
        <v>0</v>
      </c>
      <c r="APD3" s="179">
        <f>IFERROR(VLOOKUP(APD$1,Equilibrium[[Ticker]:[Weight]],2,FALSE),0%)</f>
        <v>0</v>
      </c>
      <c r="APE3" s="179">
        <f>IFERROR(VLOOKUP(APE$1,Equilibrium[[Ticker]:[Weight]],2,FALSE),0%)</f>
        <v>0</v>
      </c>
      <c r="APF3" s="179">
        <f>IFERROR(VLOOKUP(APF$1,Equilibrium[[Ticker]:[Weight]],2,FALSE),0%)</f>
        <v>0</v>
      </c>
      <c r="APG3" s="179">
        <f>IFERROR(VLOOKUP(APG$1,Equilibrium[[Ticker]:[Weight]],2,FALSE),0%)</f>
        <v>0</v>
      </c>
      <c r="APH3" s="179">
        <f>IFERROR(VLOOKUP(APH$1,Equilibrium[[Ticker]:[Weight]],2,FALSE),0%)</f>
        <v>0</v>
      </c>
      <c r="API3" s="179">
        <f>IFERROR(VLOOKUP(API$1,Equilibrium[[Ticker]:[Weight]],2,FALSE),0%)</f>
        <v>0</v>
      </c>
      <c r="APJ3" s="179">
        <f>IFERROR(VLOOKUP(APJ$1,Equilibrium[[Ticker]:[Weight]],2,FALSE),0%)</f>
        <v>0</v>
      </c>
      <c r="APK3" s="179">
        <f>IFERROR(VLOOKUP(APK$1,Equilibrium[[Ticker]:[Weight]],2,FALSE),0%)</f>
        <v>0</v>
      </c>
      <c r="APL3" s="179">
        <f>IFERROR(VLOOKUP(APL$1,Equilibrium[[Ticker]:[Weight]],2,FALSE),0%)</f>
        <v>0</v>
      </c>
      <c r="APM3" s="179">
        <f>IFERROR(VLOOKUP(APM$1,Equilibrium[[Ticker]:[Weight]],2,FALSE),0%)</f>
        <v>0</v>
      </c>
      <c r="APN3" s="179">
        <f>IFERROR(VLOOKUP(APN$1,Equilibrium[[Ticker]:[Weight]],2,FALSE),0%)</f>
        <v>0</v>
      </c>
      <c r="APO3" s="179">
        <f>IFERROR(VLOOKUP(APO$1,Equilibrium[[Ticker]:[Weight]],2,FALSE),0%)</f>
        <v>0</v>
      </c>
      <c r="APP3" s="179">
        <f>IFERROR(VLOOKUP(APP$1,Equilibrium[[Ticker]:[Weight]],2,FALSE),0%)</f>
        <v>0</v>
      </c>
      <c r="APQ3" s="179">
        <f>IFERROR(VLOOKUP(APQ$1,Equilibrium[[Ticker]:[Weight]],2,FALSE),0%)</f>
        <v>0</v>
      </c>
      <c r="APR3" s="179">
        <f>IFERROR(VLOOKUP(APR$1,Equilibrium[[Ticker]:[Weight]],2,FALSE),0%)</f>
        <v>0</v>
      </c>
      <c r="APS3" s="179">
        <f>IFERROR(VLOOKUP(APS$1,Equilibrium[[Ticker]:[Weight]],2,FALSE),0%)</f>
        <v>0</v>
      </c>
      <c r="APT3" s="179">
        <f>IFERROR(VLOOKUP(APT$1,Equilibrium[[Ticker]:[Weight]],2,FALSE),0%)</f>
        <v>0</v>
      </c>
      <c r="APU3" s="179">
        <f>IFERROR(VLOOKUP(APU$1,Equilibrium[[Ticker]:[Weight]],2,FALSE),0%)</f>
        <v>0</v>
      </c>
      <c r="APV3" s="179">
        <f>IFERROR(VLOOKUP(APV$1,Equilibrium[[Ticker]:[Weight]],2,FALSE),0%)</f>
        <v>0</v>
      </c>
      <c r="APW3" s="179">
        <f>IFERROR(VLOOKUP(APW$1,Equilibrium[[Ticker]:[Weight]],2,FALSE),0%)</f>
        <v>0</v>
      </c>
      <c r="APX3" s="179">
        <f>IFERROR(VLOOKUP(APX$1,Equilibrium[[Ticker]:[Weight]],2,FALSE),0%)</f>
        <v>0</v>
      </c>
      <c r="APY3" s="179">
        <f>IFERROR(VLOOKUP(APY$1,Equilibrium[[Ticker]:[Weight]],2,FALSE),0%)</f>
        <v>0</v>
      </c>
      <c r="APZ3" s="179">
        <f>IFERROR(VLOOKUP(APZ$1,Equilibrium[[Ticker]:[Weight]],2,FALSE),0%)</f>
        <v>0</v>
      </c>
      <c r="AQA3" s="179">
        <f>IFERROR(VLOOKUP(AQA$1,Equilibrium[[Ticker]:[Weight]],2,FALSE),0%)</f>
        <v>0</v>
      </c>
      <c r="AQB3" s="179">
        <f>IFERROR(VLOOKUP(AQB$1,Equilibrium[[Ticker]:[Weight]],2,FALSE),0%)</f>
        <v>0</v>
      </c>
      <c r="AQC3" s="179">
        <f>IFERROR(VLOOKUP(AQC$1,Equilibrium[[Ticker]:[Weight]],2,FALSE),0%)</f>
        <v>0</v>
      </c>
      <c r="AQD3" s="179">
        <f>IFERROR(VLOOKUP(AQD$1,Equilibrium[[Ticker]:[Weight]],2,FALSE),0%)</f>
        <v>0</v>
      </c>
      <c r="AQE3" s="179">
        <f>IFERROR(VLOOKUP(AQE$1,Equilibrium[[Ticker]:[Weight]],2,FALSE),0%)</f>
        <v>0</v>
      </c>
      <c r="AQF3" s="179">
        <f>IFERROR(VLOOKUP(AQF$1,Equilibrium[[Ticker]:[Weight]],2,FALSE),0%)</f>
        <v>0</v>
      </c>
      <c r="AQG3" s="179">
        <f>IFERROR(VLOOKUP(AQG$1,Equilibrium[[Ticker]:[Weight]],2,FALSE),0%)</f>
        <v>0</v>
      </c>
      <c r="AQH3" s="179">
        <f>IFERROR(VLOOKUP(AQH$1,Equilibrium[[Ticker]:[Weight]],2,FALSE),0%)</f>
        <v>0</v>
      </c>
      <c r="AQI3" s="179">
        <f>IFERROR(VLOOKUP(AQI$1,Equilibrium[[Ticker]:[Weight]],2,FALSE),0%)</f>
        <v>0</v>
      </c>
      <c r="AQJ3" s="179">
        <f>IFERROR(VLOOKUP(AQJ$1,Equilibrium[[Ticker]:[Weight]],2,FALSE),0%)</f>
        <v>0</v>
      </c>
      <c r="AQK3" s="179">
        <f>IFERROR(VLOOKUP(AQK$1,Equilibrium[[Ticker]:[Weight]],2,FALSE),0%)</f>
        <v>0</v>
      </c>
      <c r="AQL3" s="179">
        <f>IFERROR(VLOOKUP(AQL$1,Equilibrium[[Ticker]:[Weight]],2,FALSE),0%)</f>
        <v>0</v>
      </c>
      <c r="AQM3" s="179">
        <f>IFERROR(VLOOKUP(AQM$1,Equilibrium[[Ticker]:[Weight]],2,FALSE),0%)</f>
        <v>0</v>
      </c>
      <c r="AQN3" s="179">
        <f>IFERROR(VLOOKUP(AQN$1,Equilibrium[[Ticker]:[Weight]],2,FALSE),0%)</f>
        <v>0</v>
      </c>
      <c r="AQO3" s="179">
        <f>IFERROR(VLOOKUP(AQO$1,Equilibrium[[Ticker]:[Weight]],2,FALSE),0%)</f>
        <v>0</v>
      </c>
      <c r="AQP3" s="179">
        <f>IFERROR(VLOOKUP(AQP$1,Equilibrium[[Ticker]:[Weight]],2,FALSE),0%)</f>
        <v>0</v>
      </c>
      <c r="AQQ3" s="179">
        <f>IFERROR(VLOOKUP(AQQ$1,Equilibrium[[Ticker]:[Weight]],2,FALSE),0%)</f>
        <v>0</v>
      </c>
      <c r="AQR3" s="179">
        <f>IFERROR(VLOOKUP(AQR$1,Equilibrium[[Ticker]:[Weight]],2,FALSE),0%)</f>
        <v>0</v>
      </c>
      <c r="AQS3" s="179">
        <f>IFERROR(VLOOKUP(AQS$1,Equilibrium[[Ticker]:[Weight]],2,FALSE),0%)</f>
        <v>0</v>
      </c>
      <c r="AQT3" s="179">
        <f>IFERROR(VLOOKUP(AQT$1,Equilibrium[[Ticker]:[Weight]],2,FALSE),0%)</f>
        <v>0</v>
      </c>
      <c r="AQU3" s="179">
        <f>IFERROR(VLOOKUP(AQU$1,Equilibrium[[Ticker]:[Weight]],2,FALSE),0%)</f>
        <v>0</v>
      </c>
      <c r="AQV3" s="179">
        <f>IFERROR(VLOOKUP(AQV$1,Equilibrium[[Ticker]:[Weight]],2,FALSE),0%)</f>
        <v>0</v>
      </c>
      <c r="AQW3" s="179">
        <f>IFERROR(VLOOKUP(AQW$1,Equilibrium[[Ticker]:[Weight]],2,FALSE),0%)</f>
        <v>0</v>
      </c>
      <c r="AQX3" s="179">
        <f>IFERROR(VLOOKUP(AQX$1,Equilibrium[[Ticker]:[Weight]],2,FALSE),0%)</f>
        <v>0</v>
      </c>
      <c r="AQY3" s="179">
        <f>IFERROR(VLOOKUP(AQY$1,Equilibrium[[Ticker]:[Weight]],2,FALSE),0%)</f>
        <v>0</v>
      </c>
      <c r="AQZ3" s="179">
        <f>IFERROR(VLOOKUP(AQZ$1,Equilibrium[[Ticker]:[Weight]],2,FALSE),0%)</f>
        <v>0</v>
      </c>
      <c r="ARA3" s="179">
        <f>IFERROR(VLOOKUP(ARA$1,Equilibrium[[Ticker]:[Weight]],2,FALSE),0%)</f>
        <v>0</v>
      </c>
      <c r="ARB3" s="179">
        <f>IFERROR(VLOOKUP(ARB$1,Equilibrium[[Ticker]:[Weight]],2,FALSE),0%)</f>
        <v>0</v>
      </c>
      <c r="ARC3" s="179">
        <f>IFERROR(VLOOKUP(ARC$1,Equilibrium[[Ticker]:[Weight]],2,FALSE),0%)</f>
        <v>0</v>
      </c>
      <c r="ARD3" s="179">
        <f>IFERROR(VLOOKUP(ARD$1,Equilibrium[[Ticker]:[Weight]],2,FALSE),0%)</f>
        <v>0</v>
      </c>
      <c r="ARE3" s="179">
        <f>IFERROR(VLOOKUP(ARE$1,Equilibrium[[Ticker]:[Weight]],2,FALSE),0%)</f>
        <v>0</v>
      </c>
      <c r="ARF3" s="179">
        <f>IFERROR(VLOOKUP(ARF$1,Equilibrium[[Ticker]:[Weight]],2,FALSE),0%)</f>
        <v>0</v>
      </c>
      <c r="ARG3" s="179">
        <f>IFERROR(VLOOKUP(ARG$1,Equilibrium[[Ticker]:[Weight]],2,FALSE),0%)</f>
        <v>0</v>
      </c>
      <c r="ARH3" s="179">
        <f>IFERROR(VLOOKUP(ARH$1,Equilibrium[[Ticker]:[Weight]],2,FALSE),0%)</f>
        <v>0</v>
      </c>
      <c r="ARI3" s="179">
        <f>IFERROR(VLOOKUP(ARI$1,Equilibrium[[Ticker]:[Weight]],2,FALSE),0%)</f>
        <v>0</v>
      </c>
      <c r="ARJ3" s="179">
        <f>IFERROR(VLOOKUP(ARJ$1,Equilibrium[[Ticker]:[Weight]],2,FALSE),0%)</f>
        <v>0</v>
      </c>
      <c r="ARK3" s="179">
        <f>IFERROR(VLOOKUP(ARK$1,Equilibrium[[Ticker]:[Weight]],2,FALSE),0%)</f>
        <v>0</v>
      </c>
      <c r="ARL3" s="179">
        <f>IFERROR(VLOOKUP(ARL$1,Equilibrium[[Ticker]:[Weight]],2,FALSE),0%)</f>
        <v>0</v>
      </c>
      <c r="ARM3" s="179">
        <f>IFERROR(VLOOKUP(ARM$1,Equilibrium[[Ticker]:[Weight]],2,FALSE),0%)</f>
        <v>0</v>
      </c>
      <c r="ARN3" s="179">
        <f>IFERROR(VLOOKUP(ARN$1,Equilibrium[[Ticker]:[Weight]],2,FALSE),0%)</f>
        <v>0</v>
      </c>
      <c r="ARO3" s="179">
        <f>IFERROR(VLOOKUP(ARO$1,Equilibrium[[Ticker]:[Weight]],2,FALSE),0%)</f>
        <v>0</v>
      </c>
      <c r="ARP3" s="179">
        <f>IFERROR(VLOOKUP(ARP$1,Equilibrium[[Ticker]:[Weight]],2,FALSE),0%)</f>
        <v>0</v>
      </c>
      <c r="ARQ3" s="179">
        <f>IFERROR(VLOOKUP(ARQ$1,Equilibrium[[Ticker]:[Weight]],2,FALSE),0%)</f>
        <v>0</v>
      </c>
      <c r="ARR3" s="179">
        <f>IFERROR(VLOOKUP(ARR$1,Equilibrium[[Ticker]:[Weight]],2,FALSE),0%)</f>
        <v>0</v>
      </c>
      <c r="ARS3" s="179">
        <f>IFERROR(VLOOKUP(ARS$1,Equilibrium[[Ticker]:[Weight]],2,FALSE),0%)</f>
        <v>0</v>
      </c>
      <c r="ART3" s="179">
        <f>IFERROR(VLOOKUP(ART$1,Equilibrium[[Ticker]:[Weight]],2,FALSE),0%)</f>
        <v>0</v>
      </c>
      <c r="ARU3" s="179">
        <f>IFERROR(VLOOKUP(ARU$1,Equilibrium[[Ticker]:[Weight]],2,FALSE),0%)</f>
        <v>0</v>
      </c>
      <c r="ARV3" s="179">
        <f>IFERROR(VLOOKUP(ARV$1,Equilibrium[[Ticker]:[Weight]],2,FALSE),0%)</f>
        <v>0</v>
      </c>
      <c r="ARW3" s="179">
        <f>IFERROR(VLOOKUP(ARW$1,Equilibrium[[Ticker]:[Weight]],2,FALSE),0%)</f>
        <v>0</v>
      </c>
      <c r="ARX3" s="179">
        <f>IFERROR(VLOOKUP(ARX$1,Equilibrium[[Ticker]:[Weight]],2,FALSE),0%)</f>
        <v>0</v>
      </c>
      <c r="ARY3" s="179">
        <f>IFERROR(VLOOKUP(ARY$1,Equilibrium[[Ticker]:[Weight]],2,FALSE),0%)</f>
        <v>0</v>
      </c>
      <c r="ARZ3" s="179">
        <f>IFERROR(VLOOKUP(ARZ$1,Equilibrium[[Ticker]:[Weight]],2,FALSE),0%)</f>
        <v>0</v>
      </c>
      <c r="ASA3" s="179">
        <f>IFERROR(VLOOKUP(ASA$1,Equilibrium[[Ticker]:[Weight]],2,FALSE),0%)</f>
        <v>0</v>
      </c>
      <c r="ASB3" s="179">
        <f>IFERROR(VLOOKUP(ASB$1,Equilibrium[[Ticker]:[Weight]],2,FALSE),0%)</f>
        <v>0</v>
      </c>
      <c r="ASC3" s="179">
        <f>IFERROR(VLOOKUP(ASC$1,Equilibrium[[Ticker]:[Weight]],2,FALSE),0%)</f>
        <v>0</v>
      </c>
      <c r="ASD3" s="179">
        <f>IFERROR(VLOOKUP(ASD$1,Equilibrium[[Ticker]:[Weight]],2,FALSE),0%)</f>
        <v>0</v>
      </c>
      <c r="ASE3" s="179">
        <f>IFERROR(VLOOKUP(ASE$1,Equilibrium[[Ticker]:[Weight]],2,FALSE),0%)</f>
        <v>0</v>
      </c>
      <c r="ASF3" s="179">
        <f>IFERROR(VLOOKUP(ASF$1,Equilibrium[[Ticker]:[Weight]],2,FALSE),0%)</f>
        <v>0</v>
      </c>
      <c r="ASG3" s="179">
        <f>IFERROR(VLOOKUP(ASG$1,Equilibrium[[Ticker]:[Weight]],2,FALSE),0%)</f>
        <v>0</v>
      </c>
      <c r="ASH3" s="179">
        <f>IFERROR(VLOOKUP(ASH$1,Equilibrium[[Ticker]:[Weight]],2,FALSE),0%)</f>
        <v>0</v>
      </c>
      <c r="ASI3" s="179">
        <f>IFERROR(VLOOKUP(ASI$1,Equilibrium[[Ticker]:[Weight]],2,FALSE),0%)</f>
        <v>0</v>
      </c>
      <c r="ASJ3" s="179">
        <f>IFERROR(VLOOKUP(ASJ$1,Equilibrium[[Ticker]:[Weight]],2,FALSE),0%)</f>
        <v>0</v>
      </c>
      <c r="ASK3" s="179">
        <f>IFERROR(VLOOKUP(ASK$1,Equilibrium[[Ticker]:[Weight]],2,FALSE),0%)</f>
        <v>0</v>
      </c>
      <c r="ASL3" s="179">
        <f>IFERROR(VLOOKUP(ASL$1,Equilibrium[[Ticker]:[Weight]],2,FALSE),0%)</f>
        <v>0</v>
      </c>
      <c r="ASM3" s="179">
        <f>IFERROR(VLOOKUP(ASM$1,Equilibrium[[Ticker]:[Weight]],2,FALSE),0%)</f>
        <v>0</v>
      </c>
      <c r="ASN3" s="179">
        <f>IFERROR(VLOOKUP(ASN$1,Equilibrium[[Ticker]:[Weight]],2,FALSE),0%)</f>
        <v>0</v>
      </c>
      <c r="ASO3" s="179">
        <f>IFERROR(VLOOKUP(ASO$1,Equilibrium[[Ticker]:[Weight]],2,FALSE),0%)</f>
        <v>0</v>
      </c>
      <c r="ASP3" s="179">
        <f>IFERROR(VLOOKUP(ASP$1,Equilibrium[[Ticker]:[Weight]],2,FALSE),0%)</f>
        <v>0</v>
      </c>
      <c r="ASQ3" s="179">
        <f>IFERROR(VLOOKUP(ASQ$1,Equilibrium[[Ticker]:[Weight]],2,FALSE),0%)</f>
        <v>0</v>
      </c>
      <c r="ASR3" s="179">
        <f>IFERROR(VLOOKUP(ASR$1,Equilibrium[[Ticker]:[Weight]],2,FALSE),0%)</f>
        <v>0</v>
      </c>
      <c r="ASS3" s="179">
        <f>IFERROR(VLOOKUP(ASS$1,Equilibrium[[Ticker]:[Weight]],2,FALSE),0%)</f>
        <v>0</v>
      </c>
      <c r="AST3" s="179">
        <f>IFERROR(VLOOKUP(AST$1,Equilibrium[[Ticker]:[Weight]],2,FALSE),0%)</f>
        <v>0</v>
      </c>
      <c r="ASU3" s="179">
        <f>IFERROR(VLOOKUP(ASU$1,Equilibrium[[Ticker]:[Weight]],2,FALSE),0%)</f>
        <v>0</v>
      </c>
      <c r="ASV3" s="179">
        <f>IFERROR(VLOOKUP(ASV$1,Equilibrium[[Ticker]:[Weight]],2,FALSE),0%)</f>
        <v>0</v>
      </c>
      <c r="ASW3" s="179">
        <f>IFERROR(VLOOKUP(ASW$1,Equilibrium[[Ticker]:[Weight]],2,FALSE),0%)</f>
        <v>0</v>
      </c>
      <c r="ASX3" s="179">
        <f>IFERROR(VLOOKUP(ASX$1,Equilibrium[[Ticker]:[Weight]],2,FALSE),0%)</f>
        <v>0</v>
      </c>
      <c r="ASY3" s="179">
        <f>IFERROR(VLOOKUP(ASY$1,Equilibrium[[Ticker]:[Weight]],2,FALSE),0%)</f>
        <v>0</v>
      </c>
      <c r="ASZ3" s="179">
        <f>IFERROR(VLOOKUP(ASZ$1,Equilibrium[[Ticker]:[Weight]],2,FALSE),0%)</f>
        <v>0</v>
      </c>
      <c r="ATA3" s="179">
        <f>IFERROR(VLOOKUP(ATA$1,Equilibrium[[Ticker]:[Weight]],2,FALSE),0%)</f>
        <v>0</v>
      </c>
      <c r="ATB3" s="179">
        <f>IFERROR(VLOOKUP(ATB$1,Equilibrium[[Ticker]:[Weight]],2,FALSE),0%)</f>
        <v>0</v>
      </c>
      <c r="ATC3" s="179">
        <f>IFERROR(VLOOKUP(ATC$1,Equilibrium[[Ticker]:[Weight]],2,FALSE),0%)</f>
        <v>0</v>
      </c>
      <c r="ATD3" s="179">
        <f>IFERROR(VLOOKUP(ATD$1,Equilibrium[[Ticker]:[Weight]],2,FALSE),0%)</f>
        <v>0</v>
      </c>
      <c r="ATE3" s="179">
        <f>IFERROR(VLOOKUP(ATE$1,Equilibrium[[Ticker]:[Weight]],2,FALSE),0%)</f>
        <v>0</v>
      </c>
      <c r="ATF3" s="179">
        <f>IFERROR(VLOOKUP(ATF$1,Equilibrium[[Ticker]:[Weight]],2,FALSE),0%)</f>
        <v>0</v>
      </c>
      <c r="ATG3" s="179">
        <f>IFERROR(VLOOKUP(ATG$1,Equilibrium[[Ticker]:[Weight]],2,FALSE),0%)</f>
        <v>0</v>
      </c>
      <c r="ATH3" s="179">
        <f>IFERROR(VLOOKUP(ATH$1,Equilibrium[[Ticker]:[Weight]],2,FALSE),0%)</f>
        <v>0</v>
      </c>
      <c r="ATI3" s="179">
        <f>IFERROR(VLOOKUP(ATI$1,Equilibrium[[Ticker]:[Weight]],2,FALSE),0%)</f>
        <v>0</v>
      </c>
      <c r="ATJ3" s="179">
        <f>IFERROR(VLOOKUP(ATJ$1,Equilibrium[[Ticker]:[Weight]],2,FALSE),0%)</f>
        <v>0</v>
      </c>
      <c r="ATK3" s="179">
        <f>IFERROR(VLOOKUP(ATK$1,Equilibrium[[Ticker]:[Weight]],2,FALSE),0%)</f>
        <v>0</v>
      </c>
      <c r="ATL3" s="179">
        <f>IFERROR(VLOOKUP(ATL$1,Equilibrium[[Ticker]:[Weight]],2,FALSE),0%)</f>
        <v>0</v>
      </c>
      <c r="ATM3" s="179">
        <f>IFERROR(VLOOKUP(ATM$1,Equilibrium[[Ticker]:[Weight]],2,FALSE),0%)</f>
        <v>0</v>
      </c>
      <c r="ATN3" s="179">
        <f>IFERROR(VLOOKUP(ATN$1,Equilibrium[[Ticker]:[Weight]],2,FALSE),0%)</f>
        <v>0</v>
      </c>
      <c r="ATO3" s="179">
        <f>IFERROR(VLOOKUP(ATO$1,Equilibrium[[Ticker]:[Weight]],2,FALSE),0%)</f>
        <v>0</v>
      </c>
      <c r="ATP3" s="179">
        <f>IFERROR(VLOOKUP(ATP$1,Equilibrium[[Ticker]:[Weight]],2,FALSE),0%)</f>
        <v>0</v>
      </c>
      <c r="ATQ3" s="179">
        <f>IFERROR(VLOOKUP(ATQ$1,Equilibrium[[Ticker]:[Weight]],2,FALSE),0%)</f>
        <v>0</v>
      </c>
      <c r="ATR3" s="179">
        <f>IFERROR(VLOOKUP(ATR$1,Equilibrium[[Ticker]:[Weight]],2,FALSE),0%)</f>
        <v>0</v>
      </c>
      <c r="ATS3" s="179">
        <f>IFERROR(VLOOKUP(ATS$1,Equilibrium[[Ticker]:[Weight]],2,FALSE),0%)</f>
        <v>0</v>
      </c>
      <c r="ATT3" s="179">
        <f>IFERROR(VLOOKUP(ATT$1,Equilibrium[[Ticker]:[Weight]],2,FALSE),0%)</f>
        <v>0</v>
      </c>
      <c r="ATU3" s="179">
        <f>IFERROR(VLOOKUP(ATU$1,Equilibrium[[Ticker]:[Weight]],2,FALSE),0%)</f>
        <v>0</v>
      </c>
      <c r="ATV3" s="179">
        <f>IFERROR(VLOOKUP(ATV$1,Equilibrium[[Ticker]:[Weight]],2,FALSE),0%)</f>
        <v>0</v>
      </c>
      <c r="ATW3" s="179">
        <f>IFERROR(VLOOKUP(ATW$1,Equilibrium[[Ticker]:[Weight]],2,FALSE),0%)</f>
        <v>0</v>
      </c>
      <c r="ATX3" s="179">
        <f>IFERROR(VLOOKUP(ATX$1,Equilibrium[[Ticker]:[Weight]],2,FALSE),0%)</f>
        <v>0</v>
      </c>
      <c r="ATY3" s="179">
        <f>IFERROR(VLOOKUP(ATY$1,Equilibrium[[Ticker]:[Weight]],2,FALSE),0%)</f>
        <v>0</v>
      </c>
      <c r="ATZ3" s="179">
        <f>IFERROR(VLOOKUP(ATZ$1,Equilibrium[[Ticker]:[Weight]],2,FALSE),0%)</f>
        <v>0</v>
      </c>
      <c r="AUA3" s="179">
        <f>IFERROR(VLOOKUP(AUA$1,Equilibrium[[Ticker]:[Weight]],2,FALSE),0%)</f>
        <v>0</v>
      </c>
      <c r="AUB3" s="179">
        <f>IFERROR(VLOOKUP(AUB$1,Equilibrium[[Ticker]:[Weight]],2,FALSE),0%)</f>
        <v>0</v>
      </c>
      <c r="AUC3" s="179">
        <f>IFERROR(VLOOKUP(AUC$1,Equilibrium[[Ticker]:[Weight]],2,FALSE),0%)</f>
        <v>0</v>
      </c>
      <c r="AUD3" s="179">
        <f>IFERROR(VLOOKUP(AUD$1,Equilibrium[[Ticker]:[Weight]],2,FALSE),0%)</f>
        <v>0</v>
      </c>
      <c r="AUE3" s="179">
        <f>IFERROR(VLOOKUP(AUE$1,Equilibrium[[Ticker]:[Weight]],2,FALSE),0%)</f>
        <v>0</v>
      </c>
      <c r="AUF3" s="179">
        <f>IFERROR(VLOOKUP(AUF$1,Equilibrium[[Ticker]:[Weight]],2,FALSE),0%)</f>
        <v>0</v>
      </c>
      <c r="AUG3" s="179">
        <f>IFERROR(VLOOKUP(AUG$1,Equilibrium[[Ticker]:[Weight]],2,FALSE),0%)</f>
        <v>0</v>
      </c>
      <c r="AUH3" s="179">
        <f>IFERROR(VLOOKUP(AUH$1,Equilibrium[[Ticker]:[Weight]],2,FALSE),0%)</f>
        <v>0</v>
      </c>
      <c r="AUI3" s="179">
        <f>IFERROR(VLOOKUP(AUI$1,Equilibrium[[Ticker]:[Weight]],2,FALSE),0%)</f>
        <v>0</v>
      </c>
      <c r="AUJ3" s="179">
        <f>IFERROR(VLOOKUP(AUJ$1,Equilibrium[[Ticker]:[Weight]],2,FALSE),0%)</f>
        <v>0</v>
      </c>
      <c r="AUK3" s="179">
        <f>IFERROR(VLOOKUP(AUK$1,Equilibrium[[Ticker]:[Weight]],2,FALSE),0%)</f>
        <v>0</v>
      </c>
      <c r="AUL3" s="179">
        <f>IFERROR(VLOOKUP(AUL$1,Equilibrium[[Ticker]:[Weight]],2,FALSE),0%)</f>
        <v>0</v>
      </c>
      <c r="AUM3" s="179">
        <f>IFERROR(VLOOKUP(AUM$1,Equilibrium[[Ticker]:[Weight]],2,FALSE),0%)</f>
        <v>0</v>
      </c>
      <c r="AUN3" s="179">
        <f>IFERROR(VLOOKUP(AUN$1,Equilibrium[[Ticker]:[Weight]],2,FALSE),0%)</f>
        <v>0</v>
      </c>
      <c r="AUO3" s="179">
        <f>IFERROR(VLOOKUP(AUO$1,Equilibrium[[Ticker]:[Weight]],2,FALSE),0%)</f>
        <v>0</v>
      </c>
      <c r="AUP3" s="179">
        <f>IFERROR(VLOOKUP(AUP$1,Equilibrium[[Ticker]:[Weight]],2,FALSE),0%)</f>
        <v>0</v>
      </c>
      <c r="AUQ3" s="179">
        <f>IFERROR(VLOOKUP(AUQ$1,Equilibrium[[Ticker]:[Weight]],2,FALSE),0%)</f>
        <v>0</v>
      </c>
      <c r="AUR3" s="179">
        <f>IFERROR(VLOOKUP(AUR$1,Equilibrium[[Ticker]:[Weight]],2,FALSE),0%)</f>
        <v>0</v>
      </c>
      <c r="AUS3" s="179">
        <f>IFERROR(VLOOKUP(AUS$1,Equilibrium[[Ticker]:[Weight]],2,FALSE),0%)</f>
        <v>0</v>
      </c>
      <c r="AUT3" s="179">
        <f>IFERROR(VLOOKUP(AUT$1,Equilibrium[[Ticker]:[Weight]],2,FALSE),0%)</f>
        <v>0</v>
      </c>
      <c r="AUU3" s="179">
        <f>IFERROR(VLOOKUP(AUU$1,Equilibrium[[Ticker]:[Weight]],2,FALSE),0%)</f>
        <v>0</v>
      </c>
      <c r="AUV3" s="179">
        <f>IFERROR(VLOOKUP(AUV$1,Equilibrium[[Ticker]:[Weight]],2,FALSE),0%)</f>
        <v>0</v>
      </c>
      <c r="AUW3" s="179">
        <f>IFERROR(VLOOKUP(AUW$1,Equilibrium[[Ticker]:[Weight]],2,FALSE),0%)</f>
        <v>0</v>
      </c>
      <c r="AUX3" s="179">
        <f>IFERROR(VLOOKUP(AUX$1,Equilibrium[[Ticker]:[Weight]],2,FALSE),0%)</f>
        <v>0</v>
      </c>
      <c r="AUY3" s="179">
        <f>IFERROR(VLOOKUP(AUY$1,Equilibrium[[Ticker]:[Weight]],2,FALSE),0%)</f>
        <v>0</v>
      </c>
      <c r="AUZ3" s="179">
        <f>IFERROR(VLOOKUP(AUZ$1,Equilibrium[[Ticker]:[Weight]],2,FALSE),0%)</f>
        <v>0</v>
      </c>
      <c r="AVA3" s="179">
        <f>IFERROR(VLOOKUP(AVA$1,Equilibrium[[Ticker]:[Weight]],2,FALSE),0%)</f>
        <v>0</v>
      </c>
      <c r="AVB3" s="179">
        <f>IFERROR(VLOOKUP(AVB$1,Equilibrium[[Ticker]:[Weight]],2,FALSE),0%)</f>
        <v>0</v>
      </c>
      <c r="AVC3" s="179">
        <f>IFERROR(VLOOKUP(AVC$1,Equilibrium[[Ticker]:[Weight]],2,FALSE),0%)</f>
        <v>0</v>
      </c>
      <c r="AVD3" s="179">
        <f>IFERROR(VLOOKUP(AVD$1,Equilibrium[[Ticker]:[Weight]],2,FALSE),0%)</f>
        <v>0</v>
      </c>
      <c r="AVE3" s="179">
        <f>IFERROR(VLOOKUP(AVE$1,Equilibrium[[Ticker]:[Weight]],2,FALSE),0%)</f>
        <v>0</v>
      </c>
      <c r="AVF3" s="179">
        <f>IFERROR(VLOOKUP(AVF$1,Equilibrium[[Ticker]:[Weight]],2,FALSE),0%)</f>
        <v>0</v>
      </c>
      <c r="AVG3" s="179">
        <f>IFERROR(VLOOKUP(AVG$1,Equilibrium[[Ticker]:[Weight]],2,FALSE),0%)</f>
        <v>0</v>
      </c>
      <c r="AVH3" s="179">
        <f>IFERROR(VLOOKUP(AVH$1,Equilibrium[[Ticker]:[Weight]],2,FALSE),0%)</f>
        <v>0</v>
      </c>
      <c r="AVI3" s="179">
        <f>IFERROR(VLOOKUP(AVI$1,Equilibrium[[Ticker]:[Weight]],2,FALSE),0%)</f>
        <v>0</v>
      </c>
      <c r="AVJ3" s="179">
        <f>IFERROR(VLOOKUP(AVJ$1,Equilibrium[[Ticker]:[Weight]],2,FALSE),0%)</f>
        <v>0</v>
      </c>
      <c r="AVK3" s="179">
        <f>IFERROR(VLOOKUP(AVK$1,Equilibrium[[Ticker]:[Weight]],2,FALSE),0%)</f>
        <v>0</v>
      </c>
      <c r="AVL3" s="179">
        <f>IFERROR(VLOOKUP(AVL$1,Equilibrium[[Ticker]:[Weight]],2,FALSE),0%)</f>
        <v>0</v>
      </c>
      <c r="AVM3" s="179">
        <f>IFERROR(VLOOKUP(AVM$1,Equilibrium[[Ticker]:[Weight]],2,FALSE),0%)</f>
        <v>0</v>
      </c>
      <c r="AVN3" s="179">
        <f>IFERROR(VLOOKUP(AVN$1,Equilibrium[[Ticker]:[Weight]],2,FALSE),0%)</f>
        <v>0</v>
      </c>
      <c r="AVO3" s="179">
        <f>IFERROR(VLOOKUP(AVO$1,Equilibrium[[Ticker]:[Weight]],2,FALSE),0%)</f>
        <v>0</v>
      </c>
      <c r="AVP3" s="179">
        <f>IFERROR(VLOOKUP(AVP$1,Equilibrium[[Ticker]:[Weight]],2,FALSE),0%)</f>
        <v>0</v>
      </c>
      <c r="AVQ3" s="179">
        <f>IFERROR(VLOOKUP(AVQ$1,Equilibrium[[Ticker]:[Weight]],2,FALSE),0%)</f>
        <v>0</v>
      </c>
      <c r="AVR3" s="179">
        <f>IFERROR(VLOOKUP(AVR$1,Equilibrium[[Ticker]:[Weight]],2,FALSE),0%)</f>
        <v>0</v>
      </c>
      <c r="AVS3" s="179">
        <f>IFERROR(VLOOKUP(AVS$1,Equilibrium[[Ticker]:[Weight]],2,FALSE),0%)</f>
        <v>0</v>
      </c>
      <c r="AVT3" s="179">
        <f>IFERROR(VLOOKUP(AVT$1,Equilibrium[[Ticker]:[Weight]],2,FALSE),0%)</f>
        <v>0</v>
      </c>
      <c r="AVU3" s="179">
        <f>IFERROR(VLOOKUP(AVU$1,Equilibrium[[Ticker]:[Weight]],2,FALSE),0%)</f>
        <v>0</v>
      </c>
      <c r="AVV3" s="179">
        <f>IFERROR(VLOOKUP(AVV$1,Equilibrium[[Ticker]:[Weight]],2,FALSE),0%)</f>
        <v>0</v>
      </c>
      <c r="AVW3" s="179">
        <f>IFERROR(VLOOKUP(AVW$1,Equilibrium[[Ticker]:[Weight]],2,FALSE),0%)</f>
        <v>0</v>
      </c>
      <c r="AVX3" s="179">
        <f>IFERROR(VLOOKUP(AVX$1,Equilibrium[[Ticker]:[Weight]],2,FALSE),0%)</f>
        <v>0</v>
      </c>
      <c r="AVY3" s="179">
        <f>IFERROR(VLOOKUP(AVY$1,Equilibrium[[Ticker]:[Weight]],2,FALSE),0%)</f>
        <v>0</v>
      </c>
      <c r="AVZ3" s="179">
        <f>IFERROR(VLOOKUP(AVZ$1,Equilibrium[[Ticker]:[Weight]],2,FALSE),0%)</f>
        <v>0</v>
      </c>
      <c r="AWA3" s="179">
        <f>IFERROR(VLOOKUP(AWA$1,Equilibrium[[Ticker]:[Weight]],2,FALSE),0%)</f>
        <v>0</v>
      </c>
      <c r="AWB3" s="179">
        <f>IFERROR(VLOOKUP(AWB$1,Equilibrium[[Ticker]:[Weight]],2,FALSE),0%)</f>
        <v>0</v>
      </c>
      <c r="AWC3" s="179">
        <f>IFERROR(VLOOKUP(AWC$1,Equilibrium[[Ticker]:[Weight]],2,FALSE),0%)</f>
        <v>0</v>
      </c>
      <c r="AWD3" s="179">
        <f>IFERROR(VLOOKUP(AWD$1,Equilibrium[[Ticker]:[Weight]],2,FALSE),0%)</f>
        <v>0</v>
      </c>
      <c r="AWE3" s="179">
        <f>IFERROR(VLOOKUP(AWE$1,Equilibrium[[Ticker]:[Weight]],2,FALSE),0%)</f>
        <v>0</v>
      </c>
      <c r="AWF3" s="179">
        <f>IFERROR(VLOOKUP(AWF$1,Equilibrium[[Ticker]:[Weight]],2,FALSE),0%)</f>
        <v>0</v>
      </c>
      <c r="AWG3" s="179">
        <f>IFERROR(VLOOKUP(AWG$1,Equilibrium[[Ticker]:[Weight]],2,FALSE),0%)</f>
        <v>0</v>
      </c>
      <c r="AWH3" s="179">
        <f>IFERROR(VLOOKUP(AWH$1,Equilibrium[[Ticker]:[Weight]],2,FALSE),0%)</f>
        <v>0</v>
      </c>
      <c r="AWI3" s="179">
        <f>IFERROR(VLOOKUP(AWI$1,Equilibrium[[Ticker]:[Weight]],2,FALSE),0%)</f>
        <v>0</v>
      </c>
      <c r="AWJ3" s="179">
        <f>IFERROR(VLOOKUP(AWJ$1,Equilibrium[[Ticker]:[Weight]],2,FALSE),0%)</f>
        <v>0</v>
      </c>
      <c r="AWK3" s="179">
        <f>IFERROR(VLOOKUP(AWK$1,Equilibrium[[Ticker]:[Weight]],2,FALSE),0%)</f>
        <v>0</v>
      </c>
      <c r="AWL3" s="179">
        <f>IFERROR(VLOOKUP(AWL$1,Equilibrium[[Ticker]:[Weight]],2,FALSE),0%)</f>
        <v>0</v>
      </c>
      <c r="AWM3" s="179">
        <f>IFERROR(VLOOKUP(AWM$1,Equilibrium[[Ticker]:[Weight]],2,FALSE),0%)</f>
        <v>0</v>
      </c>
      <c r="AWN3" s="179">
        <f>IFERROR(VLOOKUP(AWN$1,Equilibrium[[Ticker]:[Weight]],2,FALSE),0%)</f>
        <v>0</v>
      </c>
      <c r="AWO3" s="179">
        <f>IFERROR(VLOOKUP(AWO$1,Equilibrium[[Ticker]:[Weight]],2,FALSE),0%)</f>
        <v>0</v>
      </c>
      <c r="AWP3" s="179">
        <f>IFERROR(VLOOKUP(AWP$1,Equilibrium[[Ticker]:[Weight]],2,FALSE),0%)</f>
        <v>0</v>
      </c>
      <c r="AWQ3" s="179">
        <f>IFERROR(VLOOKUP(AWQ$1,Equilibrium[[Ticker]:[Weight]],2,FALSE),0%)</f>
        <v>0</v>
      </c>
      <c r="AWR3" s="179">
        <f>IFERROR(VLOOKUP(AWR$1,Equilibrium[[Ticker]:[Weight]],2,FALSE),0%)</f>
        <v>0</v>
      </c>
      <c r="AWS3" s="179">
        <f>IFERROR(VLOOKUP(AWS$1,Equilibrium[[Ticker]:[Weight]],2,FALSE),0%)</f>
        <v>0</v>
      </c>
      <c r="AWT3" s="179">
        <f>IFERROR(VLOOKUP(AWT$1,Equilibrium[[Ticker]:[Weight]],2,FALSE),0%)</f>
        <v>0</v>
      </c>
      <c r="AWU3" s="179">
        <f>IFERROR(VLOOKUP(AWU$1,Equilibrium[[Ticker]:[Weight]],2,FALSE),0%)</f>
        <v>0</v>
      </c>
      <c r="AWV3" s="179">
        <f>IFERROR(VLOOKUP(AWV$1,Equilibrium[[Ticker]:[Weight]],2,FALSE),0%)</f>
        <v>0</v>
      </c>
      <c r="AWW3" s="179">
        <f>IFERROR(VLOOKUP(AWW$1,Equilibrium[[Ticker]:[Weight]],2,FALSE),0%)</f>
        <v>0</v>
      </c>
      <c r="AWX3" s="179">
        <f>IFERROR(VLOOKUP(AWX$1,Equilibrium[[Ticker]:[Weight]],2,FALSE),0%)</f>
        <v>0</v>
      </c>
      <c r="AWY3" s="179">
        <f>IFERROR(VLOOKUP(AWY$1,Equilibrium[[Ticker]:[Weight]],2,FALSE),0%)</f>
        <v>0</v>
      </c>
      <c r="AWZ3" s="179">
        <f>IFERROR(VLOOKUP(AWZ$1,Equilibrium[[Ticker]:[Weight]],2,FALSE),0%)</f>
        <v>0</v>
      </c>
      <c r="AXA3" s="179">
        <f>IFERROR(VLOOKUP(AXA$1,Equilibrium[[Ticker]:[Weight]],2,FALSE),0%)</f>
        <v>0</v>
      </c>
      <c r="AXB3" s="179">
        <f>IFERROR(VLOOKUP(AXB$1,Equilibrium[[Ticker]:[Weight]],2,FALSE),0%)</f>
        <v>0</v>
      </c>
      <c r="AXC3" s="179">
        <f>IFERROR(VLOOKUP(AXC$1,Equilibrium[[Ticker]:[Weight]],2,FALSE),0%)</f>
        <v>0</v>
      </c>
      <c r="AXD3" s="179">
        <f>IFERROR(VLOOKUP(AXD$1,Equilibrium[[Ticker]:[Weight]],2,FALSE),0%)</f>
        <v>0</v>
      </c>
      <c r="AXE3" s="179">
        <f>IFERROR(VLOOKUP(AXE$1,Equilibrium[[Ticker]:[Weight]],2,FALSE),0%)</f>
        <v>0</v>
      </c>
      <c r="AXF3" s="179">
        <f>IFERROR(VLOOKUP(AXF$1,Equilibrium[[Ticker]:[Weight]],2,FALSE),0%)</f>
        <v>0</v>
      </c>
      <c r="AXG3" s="179">
        <f>IFERROR(VLOOKUP(AXG$1,Equilibrium[[Ticker]:[Weight]],2,FALSE),0%)</f>
        <v>0</v>
      </c>
      <c r="AXH3" s="179">
        <f>IFERROR(VLOOKUP(AXH$1,Equilibrium[[Ticker]:[Weight]],2,FALSE),0%)</f>
        <v>0</v>
      </c>
      <c r="AXI3" s="179">
        <f>IFERROR(VLOOKUP(AXI$1,Equilibrium[[Ticker]:[Weight]],2,FALSE),0%)</f>
        <v>0</v>
      </c>
      <c r="AXJ3" s="179">
        <f>IFERROR(VLOOKUP(AXJ$1,Equilibrium[[Ticker]:[Weight]],2,FALSE),0%)</f>
        <v>0</v>
      </c>
      <c r="AXK3" s="179">
        <f>IFERROR(VLOOKUP(AXK$1,Equilibrium[[Ticker]:[Weight]],2,FALSE),0%)</f>
        <v>0</v>
      </c>
      <c r="AXL3" s="179">
        <f>IFERROR(VLOOKUP(AXL$1,Equilibrium[[Ticker]:[Weight]],2,FALSE),0%)</f>
        <v>0</v>
      </c>
      <c r="AXM3" s="179">
        <f>IFERROR(VLOOKUP(AXM$1,Equilibrium[[Ticker]:[Weight]],2,FALSE),0%)</f>
        <v>0</v>
      </c>
      <c r="AXN3" s="179">
        <f>IFERROR(VLOOKUP(AXN$1,Equilibrium[[Ticker]:[Weight]],2,FALSE),0%)</f>
        <v>0</v>
      </c>
      <c r="AXO3" s="179">
        <f>IFERROR(VLOOKUP(AXO$1,Equilibrium[[Ticker]:[Weight]],2,FALSE),0%)</f>
        <v>0</v>
      </c>
      <c r="AXP3" s="179">
        <f>IFERROR(VLOOKUP(AXP$1,Equilibrium[[Ticker]:[Weight]],2,FALSE),0%)</f>
        <v>0</v>
      </c>
      <c r="AXQ3" s="179">
        <f>IFERROR(VLOOKUP(AXQ$1,Equilibrium[[Ticker]:[Weight]],2,FALSE),0%)</f>
        <v>0</v>
      </c>
      <c r="AXR3" s="179">
        <f>IFERROR(VLOOKUP(AXR$1,Equilibrium[[Ticker]:[Weight]],2,FALSE),0%)</f>
        <v>0</v>
      </c>
      <c r="AXS3" s="179">
        <f>IFERROR(VLOOKUP(AXS$1,Equilibrium[[Ticker]:[Weight]],2,FALSE),0%)</f>
        <v>0</v>
      </c>
      <c r="AXT3" s="179">
        <f>IFERROR(VLOOKUP(AXT$1,Equilibrium[[Ticker]:[Weight]],2,FALSE),0%)</f>
        <v>0</v>
      </c>
      <c r="AXU3" s="179">
        <f>IFERROR(VLOOKUP(AXU$1,Equilibrium[[Ticker]:[Weight]],2,FALSE),0%)</f>
        <v>0</v>
      </c>
      <c r="AXV3" s="179">
        <f>IFERROR(VLOOKUP(AXV$1,Equilibrium[[Ticker]:[Weight]],2,FALSE),0%)</f>
        <v>0</v>
      </c>
      <c r="AXW3" s="179">
        <f>IFERROR(VLOOKUP(AXW$1,Equilibrium[[Ticker]:[Weight]],2,FALSE),0%)</f>
        <v>0</v>
      </c>
      <c r="AXX3" s="179">
        <f>IFERROR(VLOOKUP(AXX$1,Equilibrium[[Ticker]:[Weight]],2,FALSE),0%)</f>
        <v>0</v>
      </c>
      <c r="AXY3" s="179">
        <f>IFERROR(VLOOKUP(AXY$1,Equilibrium[[Ticker]:[Weight]],2,FALSE),0%)</f>
        <v>0</v>
      </c>
      <c r="AXZ3" s="179">
        <f>IFERROR(VLOOKUP(AXZ$1,Equilibrium[[Ticker]:[Weight]],2,FALSE),0%)</f>
        <v>0</v>
      </c>
      <c r="AYA3" s="179">
        <f>IFERROR(VLOOKUP(AYA$1,Equilibrium[[Ticker]:[Weight]],2,FALSE),0%)</f>
        <v>0</v>
      </c>
      <c r="AYB3" s="179">
        <f>IFERROR(VLOOKUP(AYB$1,Equilibrium[[Ticker]:[Weight]],2,FALSE),0%)</f>
        <v>0</v>
      </c>
      <c r="AYC3" s="179">
        <f>IFERROR(VLOOKUP(AYC$1,Equilibrium[[Ticker]:[Weight]],2,FALSE),0%)</f>
        <v>0</v>
      </c>
      <c r="AYD3" s="179">
        <f>IFERROR(VLOOKUP(AYD$1,Equilibrium[[Ticker]:[Weight]],2,FALSE),0%)</f>
        <v>0</v>
      </c>
      <c r="AYE3" s="179">
        <f>IFERROR(VLOOKUP(AYE$1,Equilibrium[[Ticker]:[Weight]],2,FALSE),0%)</f>
        <v>0</v>
      </c>
      <c r="AYF3" s="179">
        <f>IFERROR(VLOOKUP(AYF$1,Equilibrium[[Ticker]:[Weight]],2,FALSE),0%)</f>
        <v>0</v>
      </c>
      <c r="AYG3" s="179">
        <f>IFERROR(VLOOKUP(AYG$1,Equilibrium[[Ticker]:[Weight]],2,FALSE),0%)</f>
        <v>0</v>
      </c>
      <c r="AYH3" s="179">
        <f>IFERROR(VLOOKUP(AYH$1,Equilibrium[[Ticker]:[Weight]],2,FALSE),0%)</f>
        <v>0</v>
      </c>
      <c r="AYI3" s="179">
        <f>IFERROR(VLOOKUP(AYI$1,Equilibrium[[Ticker]:[Weight]],2,FALSE),0%)</f>
        <v>0</v>
      </c>
      <c r="AYJ3" s="179">
        <f>IFERROR(VLOOKUP(AYJ$1,Equilibrium[[Ticker]:[Weight]],2,FALSE),0%)</f>
        <v>0</v>
      </c>
      <c r="AYK3" s="179">
        <f>IFERROR(VLOOKUP(AYK$1,Equilibrium[[Ticker]:[Weight]],2,FALSE),0%)</f>
        <v>0</v>
      </c>
      <c r="AYL3" s="179">
        <f>IFERROR(VLOOKUP(AYL$1,Equilibrium[[Ticker]:[Weight]],2,FALSE),0%)</f>
        <v>0</v>
      </c>
      <c r="AYM3" s="179">
        <f>IFERROR(VLOOKUP(AYM$1,Equilibrium[[Ticker]:[Weight]],2,FALSE),0%)</f>
        <v>0</v>
      </c>
      <c r="AYN3" s="179">
        <f>IFERROR(VLOOKUP(AYN$1,Equilibrium[[Ticker]:[Weight]],2,FALSE),0%)</f>
        <v>0</v>
      </c>
      <c r="AYO3" s="179">
        <f>IFERROR(VLOOKUP(AYO$1,Equilibrium[[Ticker]:[Weight]],2,FALSE),0%)</f>
        <v>0</v>
      </c>
      <c r="AYP3" s="179">
        <f>IFERROR(VLOOKUP(AYP$1,Equilibrium[[Ticker]:[Weight]],2,FALSE),0%)</f>
        <v>0</v>
      </c>
      <c r="AYQ3" s="179">
        <f>IFERROR(VLOOKUP(AYQ$1,Equilibrium[[Ticker]:[Weight]],2,FALSE),0%)</f>
        <v>0</v>
      </c>
      <c r="AYR3" s="179">
        <f>IFERROR(VLOOKUP(AYR$1,Equilibrium[[Ticker]:[Weight]],2,FALSE),0%)</f>
        <v>0</v>
      </c>
      <c r="AYS3" s="179">
        <f>IFERROR(VLOOKUP(AYS$1,Equilibrium[[Ticker]:[Weight]],2,FALSE),0%)</f>
        <v>0</v>
      </c>
      <c r="AYT3" s="179">
        <f>IFERROR(VLOOKUP(AYT$1,Equilibrium[[Ticker]:[Weight]],2,FALSE),0%)</f>
        <v>0</v>
      </c>
      <c r="AYU3" s="179">
        <f>IFERROR(VLOOKUP(AYU$1,Equilibrium[[Ticker]:[Weight]],2,FALSE),0%)</f>
        <v>0</v>
      </c>
      <c r="AYV3" s="179">
        <f>IFERROR(VLOOKUP(AYV$1,Equilibrium[[Ticker]:[Weight]],2,FALSE),0%)</f>
        <v>0</v>
      </c>
      <c r="AYW3" s="179">
        <f>IFERROR(VLOOKUP(AYW$1,Equilibrium[[Ticker]:[Weight]],2,FALSE),0%)</f>
        <v>0</v>
      </c>
      <c r="AYX3" s="179">
        <f>IFERROR(VLOOKUP(AYX$1,Equilibrium[[Ticker]:[Weight]],2,FALSE),0%)</f>
        <v>0</v>
      </c>
      <c r="AYY3" s="179">
        <f>IFERROR(VLOOKUP(AYY$1,Equilibrium[[Ticker]:[Weight]],2,FALSE),0%)</f>
        <v>0</v>
      </c>
      <c r="AYZ3" s="179">
        <f>IFERROR(VLOOKUP(AYZ$1,Equilibrium[[Ticker]:[Weight]],2,FALSE),0%)</f>
        <v>0</v>
      </c>
      <c r="AZA3" s="179">
        <f>IFERROR(VLOOKUP(AZA$1,Equilibrium[[Ticker]:[Weight]],2,FALSE),0%)</f>
        <v>0</v>
      </c>
      <c r="AZB3" s="179">
        <f>IFERROR(VLOOKUP(AZB$1,Equilibrium[[Ticker]:[Weight]],2,FALSE),0%)</f>
        <v>0</v>
      </c>
      <c r="AZC3" s="179">
        <f>IFERROR(VLOOKUP(AZC$1,Equilibrium[[Ticker]:[Weight]],2,FALSE),0%)</f>
        <v>0</v>
      </c>
      <c r="AZD3" s="179">
        <f>IFERROR(VLOOKUP(AZD$1,Equilibrium[[Ticker]:[Weight]],2,FALSE),0%)</f>
        <v>0</v>
      </c>
      <c r="AZE3" s="179">
        <f>IFERROR(VLOOKUP(AZE$1,Equilibrium[[Ticker]:[Weight]],2,FALSE),0%)</f>
        <v>0</v>
      </c>
      <c r="AZF3" s="179">
        <f>IFERROR(VLOOKUP(AZF$1,Equilibrium[[Ticker]:[Weight]],2,FALSE),0%)</f>
        <v>0</v>
      </c>
      <c r="AZG3" s="179">
        <f>IFERROR(VLOOKUP(AZG$1,Equilibrium[[Ticker]:[Weight]],2,FALSE),0%)</f>
        <v>0</v>
      </c>
      <c r="AZH3" s="179">
        <f>IFERROR(VLOOKUP(AZH$1,Equilibrium[[Ticker]:[Weight]],2,FALSE),0%)</f>
        <v>0</v>
      </c>
      <c r="AZI3" s="179">
        <f>IFERROR(VLOOKUP(AZI$1,Equilibrium[[Ticker]:[Weight]],2,FALSE),0%)</f>
        <v>0</v>
      </c>
      <c r="AZJ3" s="179">
        <f>IFERROR(VLOOKUP(AZJ$1,Equilibrium[[Ticker]:[Weight]],2,FALSE),0%)</f>
        <v>0</v>
      </c>
      <c r="AZK3" s="179">
        <f>IFERROR(VLOOKUP(AZK$1,Equilibrium[[Ticker]:[Weight]],2,FALSE),0%)</f>
        <v>0</v>
      </c>
      <c r="AZL3" s="179">
        <f>IFERROR(VLOOKUP(AZL$1,Equilibrium[[Ticker]:[Weight]],2,FALSE),0%)</f>
        <v>0</v>
      </c>
      <c r="AZM3" s="179">
        <f>IFERROR(VLOOKUP(AZM$1,Equilibrium[[Ticker]:[Weight]],2,FALSE),0%)</f>
        <v>0</v>
      </c>
      <c r="AZN3" s="179">
        <f>IFERROR(VLOOKUP(AZN$1,Equilibrium[[Ticker]:[Weight]],2,FALSE),0%)</f>
        <v>0</v>
      </c>
      <c r="AZO3" s="179">
        <f>IFERROR(VLOOKUP(AZO$1,Equilibrium[[Ticker]:[Weight]],2,FALSE),0%)</f>
        <v>0</v>
      </c>
      <c r="AZP3" s="179">
        <f>IFERROR(VLOOKUP(AZP$1,Equilibrium[[Ticker]:[Weight]],2,FALSE),0%)</f>
        <v>0</v>
      </c>
      <c r="AZQ3" s="179">
        <f>IFERROR(VLOOKUP(AZQ$1,Equilibrium[[Ticker]:[Weight]],2,FALSE),0%)</f>
        <v>0</v>
      </c>
      <c r="AZR3" s="179">
        <f>IFERROR(VLOOKUP(AZR$1,Equilibrium[[Ticker]:[Weight]],2,FALSE),0%)</f>
        <v>0</v>
      </c>
      <c r="AZS3" s="179">
        <f>IFERROR(VLOOKUP(AZS$1,Equilibrium[[Ticker]:[Weight]],2,FALSE),0%)</f>
        <v>0</v>
      </c>
      <c r="AZT3" s="179">
        <f>IFERROR(VLOOKUP(AZT$1,Equilibrium[[Ticker]:[Weight]],2,FALSE),0%)</f>
        <v>0</v>
      </c>
      <c r="AZU3" s="179">
        <f>IFERROR(VLOOKUP(AZU$1,Equilibrium[[Ticker]:[Weight]],2,FALSE),0%)</f>
        <v>0</v>
      </c>
      <c r="AZV3" s="179">
        <f>IFERROR(VLOOKUP(AZV$1,Equilibrium[[Ticker]:[Weight]],2,FALSE),0%)</f>
        <v>0</v>
      </c>
      <c r="AZW3" s="179">
        <f>IFERROR(VLOOKUP(AZW$1,Equilibrium[[Ticker]:[Weight]],2,FALSE),0%)</f>
        <v>0</v>
      </c>
      <c r="AZX3" s="179">
        <f>IFERROR(VLOOKUP(AZX$1,Equilibrium[[Ticker]:[Weight]],2,FALSE),0%)</f>
        <v>0</v>
      </c>
      <c r="AZY3" s="179">
        <f>IFERROR(VLOOKUP(AZY$1,Equilibrium[[Ticker]:[Weight]],2,FALSE),0%)</f>
        <v>0</v>
      </c>
      <c r="AZZ3" s="179">
        <f>IFERROR(VLOOKUP(AZZ$1,Equilibrium[[Ticker]:[Weight]],2,FALSE),0%)</f>
        <v>0</v>
      </c>
      <c r="BAA3" s="179">
        <f>IFERROR(VLOOKUP(BAA$1,Equilibrium[[Ticker]:[Weight]],2,FALSE),0%)</f>
        <v>0</v>
      </c>
      <c r="BAB3" s="179">
        <f>IFERROR(VLOOKUP(BAB$1,Equilibrium[[Ticker]:[Weight]],2,FALSE),0%)</f>
        <v>0</v>
      </c>
      <c r="BAC3" s="179">
        <f>IFERROR(VLOOKUP(BAC$1,Equilibrium[[Ticker]:[Weight]],2,FALSE),0%)</f>
        <v>0</v>
      </c>
      <c r="BAD3" s="179">
        <f>IFERROR(VLOOKUP(BAD$1,Equilibrium[[Ticker]:[Weight]],2,FALSE),0%)</f>
        <v>0</v>
      </c>
      <c r="BAE3" s="179">
        <f>IFERROR(VLOOKUP(BAE$1,Equilibrium[[Ticker]:[Weight]],2,FALSE),0%)</f>
        <v>0</v>
      </c>
      <c r="BAF3" s="179">
        <f>IFERROR(VLOOKUP(BAF$1,Equilibrium[[Ticker]:[Weight]],2,FALSE),0%)</f>
        <v>0</v>
      </c>
      <c r="BAG3" s="179">
        <f>IFERROR(VLOOKUP(BAG$1,Equilibrium[[Ticker]:[Weight]],2,FALSE),0%)</f>
        <v>0</v>
      </c>
      <c r="BAH3" s="179">
        <f>IFERROR(VLOOKUP(BAH$1,Equilibrium[[Ticker]:[Weight]],2,FALSE),0%)</f>
        <v>0</v>
      </c>
      <c r="BAI3" s="179">
        <f>IFERROR(VLOOKUP(BAI$1,Equilibrium[[Ticker]:[Weight]],2,FALSE),0%)</f>
        <v>0</v>
      </c>
      <c r="BAJ3" s="179">
        <f>IFERROR(VLOOKUP(BAJ$1,Equilibrium[[Ticker]:[Weight]],2,FALSE),0%)</f>
        <v>0</v>
      </c>
      <c r="BAK3" s="179">
        <f>IFERROR(VLOOKUP(BAK$1,Equilibrium[[Ticker]:[Weight]],2,FALSE),0%)</f>
        <v>0</v>
      </c>
      <c r="BAL3" s="179">
        <f>IFERROR(VLOOKUP(BAL$1,Equilibrium[[Ticker]:[Weight]],2,FALSE),0%)</f>
        <v>0</v>
      </c>
      <c r="BAM3" s="179">
        <f>IFERROR(VLOOKUP(BAM$1,Equilibrium[[Ticker]:[Weight]],2,FALSE),0%)</f>
        <v>0</v>
      </c>
      <c r="BAN3" s="179">
        <f>IFERROR(VLOOKUP(BAN$1,Equilibrium[[Ticker]:[Weight]],2,FALSE),0%)</f>
        <v>0</v>
      </c>
      <c r="BAO3" s="179">
        <f>IFERROR(VLOOKUP(BAO$1,Equilibrium[[Ticker]:[Weight]],2,FALSE),0%)</f>
        <v>0</v>
      </c>
      <c r="BAP3" s="179">
        <f>IFERROR(VLOOKUP(BAP$1,Equilibrium[[Ticker]:[Weight]],2,FALSE),0%)</f>
        <v>0</v>
      </c>
      <c r="BAQ3" s="179">
        <f>IFERROR(VLOOKUP(BAQ$1,Equilibrium[[Ticker]:[Weight]],2,FALSE),0%)</f>
        <v>0</v>
      </c>
      <c r="BAR3" s="179">
        <f>IFERROR(VLOOKUP(BAR$1,Equilibrium[[Ticker]:[Weight]],2,FALSE),0%)</f>
        <v>0</v>
      </c>
      <c r="BAS3" s="179">
        <f>IFERROR(VLOOKUP(BAS$1,Equilibrium[[Ticker]:[Weight]],2,FALSE),0%)</f>
        <v>0</v>
      </c>
      <c r="BAT3" s="179">
        <f>IFERROR(VLOOKUP(BAT$1,Equilibrium[[Ticker]:[Weight]],2,FALSE),0%)</f>
        <v>0</v>
      </c>
      <c r="BAU3" s="179">
        <f>IFERROR(VLOOKUP(BAU$1,Equilibrium[[Ticker]:[Weight]],2,FALSE),0%)</f>
        <v>0</v>
      </c>
      <c r="BAV3" s="179">
        <f>IFERROR(VLOOKUP(BAV$1,Equilibrium[[Ticker]:[Weight]],2,FALSE),0%)</f>
        <v>0</v>
      </c>
      <c r="BAW3" s="179">
        <f>IFERROR(VLOOKUP(BAW$1,Equilibrium[[Ticker]:[Weight]],2,FALSE),0%)</f>
        <v>0</v>
      </c>
      <c r="BAX3" s="179">
        <f>IFERROR(VLOOKUP(BAX$1,Equilibrium[[Ticker]:[Weight]],2,FALSE),0%)</f>
        <v>0</v>
      </c>
      <c r="BAY3" s="179">
        <f>IFERROR(VLOOKUP(BAY$1,Equilibrium[[Ticker]:[Weight]],2,FALSE),0%)</f>
        <v>0</v>
      </c>
      <c r="BAZ3" s="179">
        <f>IFERROR(VLOOKUP(BAZ$1,Equilibrium[[Ticker]:[Weight]],2,FALSE),0%)</f>
        <v>0</v>
      </c>
      <c r="BBA3" s="179">
        <f>IFERROR(VLOOKUP(BBA$1,Equilibrium[[Ticker]:[Weight]],2,FALSE),0%)</f>
        <v>0</v>
      </c>
      <c r="BBB3" s="179">
        <f>IFERROR(VLOOKUP(BBB$1,Equilibrium[[Ticker]:[Weight]],2,FALSE),0%)</f>
        <v>0</v>
      </c>
      <c r="BBC3" s="179">
        <f>IFERROR(VLOOKUP(BBC$1,Equilibrium[[Ticker]:[Weight]],2,FALSE),0%)</f>
        <v>0</v>
      </c>
      <c r="BBD3" s="179">
        <f>IFERROR(VLOOKUP(BBD$1,Equilibrium[[Ticker]:[Weight]],2,FALSE),0%)</f>
        <v>0</v>
      </c>
      <c r="BBE3" s="179">
        <f>IFERROR(VLOOKUP(BBE$1,Equilibrium[[Ticker]:[Weight]],2,FALSE),0%)</f>
        <v>0</v>
      </c>
      <c r="BBF3" s="179">
        <f>IFERROR(VLOOKUP(BBF$1,Equilibrium[[Ticker]:[Weight]],2,FALSE),0%)</f>
        <v>0</v>
      </c>
      <c r="BBG3" s="179">
        <f>IFERROR(VLOOKUP(BBG$1,Equilibrium[[Ticker]:[Weight]],2,FALSE),0%)</f>
        <v>0</v>
      </c>
      <c r="BBH3" s="179">
        <f>IFERROR(VLOOKUP(BBH$1,Equilibrium[[Ticker]:[Weight]],2,FALSE),0%)</f>
        <v>0</v>
      </c>
      <c r="BBI3" s="179">
        <f>IFERROR(VLOOKUP(BBI$1,Equilibrium[[Ticker]:[Weight]],2,FALSE),0%)</f>
        <v>0</v>
      </c>
      <c r="BBJ3" s="179">
        <f>IFERROR(VLOOKUP(BBJ$1,Equilibrium[[Ticker]:[Weight]],2,FALSE),0%)</f>
        <v>0</v>
      </c>
      <c r="BBK3" s="179">
        <f>IFERROR(VLOOKUP(BBK$1,Equilibrium[[Ticker]:[Weight]],2,FALSE),0%)</f>
        <v>0</v>
      </c>
      <c r="BBL3" s="179">
        <f>IFERROR(VLOOKUP(BBL$1,Equilibrium[[Ticker]:[Weight]],2,FALSE),0%)</f>
        <v>0</v>
      </c>
      <c r="BBM3" s="179">
        <f>IFERROR(VLOOKUP(BBM$1,Equilibrium[[Ticker]:[Weight]],2,FALSE),0%)</f>
        <v>0</v>
      </c>
      <c r="BBN3" s="179">
        <f>IFERROR(VLOOKUP(BBN$1,Equilibrium[[Ticker]:[Weight]],2,FALSE),0%)</f>
        <v>0</v>
      </c>
      <c r="BBO3" s="179">
        <f>IFERROR(VLOOKUP(BBO$1,Equilibrium[[Ticker]:[Weight]],2,FALSE),0%)</f>
        <v>0</v>
      </c>
      <c r="BBP3" s="179">
        <f>IFERROR(VLOOKUP(BBP$1,Equilibrium[[Ticker]:[Weight]],2,FALSE),0%)</f>
        <v>0</v>
      </c>
      <c r="BBQ3" s="179">
        <f>IFERROR(VLOOKUP(BBQ$1,Equilibrium[[Ticker]:[Weight]],2,FALSE),0%)</f>
        <v>0</v>
      </c>
      <c r="BBR3" s="179">
        <f>IFERROR(VLOOKUP(BBR$1,Equilibrium[[Ticker]:[Weight]],2,FALSE),0%)</f>
        <v>0</v>
      </c>
      <c r="BBS3" s="179">
        <f>IFERROR(VLOOKUP(BBS$1,Equilibrium[[Ticker]:[Weight]],2,FALSE),0%)</f>
        <v>0</v>
      </c>
      <c r="BBT3" s="179">
        <f>IFERROR(VLOOKUP(BBT$1,Equilibrium[[Ticker]:[Weight]],2,FALSE),0%)</f>
        <v>0</v>
      </c>
      <c r="BBU3" s="179">
        <f>IFERROR(VLOOKUP(BBU$1,Equilibrium[[Ticker]:[Weight]],2,FALSE),0%)</f>
        <v>0</v>
      </c>
      <c r="BBV3" s="179">
        <f>IFERROR(VLOOKUP(BBV$1,Equilibrium[[Ticker]:[Weight]],2,FALSE),0%)</f>
        <v>0</v>
      </c>
      <c r="BBW3" s="179">
        <f>IFERROR(VLOOKUP(BBW$1,Equilibrium[[Ticker]:[Weight]],2,FALSE),0%)</f>
        <v>0</v>
      </c>
      <c r="BBX3" s="179">
        <f>IFERROR(VLOOKUP(BBX$1,Equilibrium[[Ticker]:[Weight]],2,FALSE),0%)</f>
        <v>0</v>
      </c>
      <c r="BBY3" s="179">
        <f>IFERROR(VLOOKUP(BBY$1,Equilibrium[[Ticker]:[Weight]],2,FALSE),0%)</f>
        <v>0</v>
      </c>
      <c r="BBZ3" s="179">
        <f>IFERROR(VLOOKUP(BBZ$1,Equilibrium[[Ticker]:[Weight]],2,FALSE),0%)</f>
        <v>0</v>
      </c>
      <c r="BCA3" s="179">
        <f>IFERROR(VLOOKUP(BCA$1,Equilibrium[[Ticker]:[Weight]],2,FALSE),0%)</f>
        <v>0</v>
      </c>
      <c r="BCB3" s="179">
        <f>IFERROR(VLOOKUP(BCB$1,Equilibrium[[Ticker]:[Weight]],2,FALSE),0%)</f>
        <v>0</v>
      </c>
      <c r="BCC3" s="179">
        <f>IFERROR(VLOOKUP(BCC$1,Equilibrium[[Ticker]:[Weight]],2,FALSE),0%)</f>
        <v>0</v>
      </c>
      <c r="BCD3" s="179">
        <f>IFERROR(VLOOKUP(BCD$1,Equilibrium[[Ticker]:[Weight]],2,FALSE),0%)</f>
        <v>0</v>
      </c>
      <c r="BCE3" s="179">
        <f>IFERROR(VLOOKUP(BCE$1,Equilibrium[[Ticker]:[Weight]],2,FALSE),0%)</f>
        <v>0</v>
      </c>
      <c r="BCF3" s="179">
        <f>IFERROR(VLOOKUP(BCF$1,Equilibrium[[Ticker]:[Weight]],2,FALSE),0%)</f>
        <v>0</v>
      </c>
      <c r="BCG3" s="179">
        <f>IFERROR(VLOOKUP(BCG$1,Equilibrium[[Ticker]:[Weight]],2,FALSE),0%)</f>
        <v>0</v>
      </c>
      <c r="BCH3" s="179">
        <f>IFERROR(VLOOKUP(BCH$1,Equilibrium[[Ticker]:[Weight]],2,FALSE),0%)</f>
        <v>0</v>
      </c>
      <c r="BCI3" s="179">
        <f>IFERROR(VLOOKUP(BCI$1,Equilibrium[[Ticker]:[Weight]],2,FALSE),0%)</f>
        <v>0</v>
      </c>
      <c r="BCJ3" s="179">
        <f>IFERROR(VLOOKUP(BCJ$1,Equilibrium[[Ticker]:[Weight]],2,FALSE),0%)</f>
        <v>0</v>
      </c>
      <c r="BCK3" s="179">
        <f>IFERROR(VLOOKUP(BCK$1,Equilibrium[[Ticker]:[Weight]],2,FALSE),0%)</f>
        <v>0</v>
      </c>
      <c r="BCL3" s="179">
        <f>IFERROR(VLOOKUP(BCL$1,Equilibrium[[Ticker]:[Weight]],2,FALSE),0%)</f>
        <v>0</v>
      </c>
      <c r="BCM3" s="179">
        <f>IFERROR(VLOOKUP(BCM$1,Equilibrium[[Ticker]:[Weight]],2,FALSE),0%)</f>
        <v>0</v>
      </c>
      <c r="BCN3" s="179">
        <f>IFERROR(VLOOKUP(BCN$1,Equilibrium[[Ticker]:[Weight]],2,FALSE),0%)</f>
        <v>0</v>
      </c>
      <c r="BCO3" s="179">
        <f>IFERROR(VLOOKUP(BCO$1,Equilibrium[[Ticker]:[Weight]],2,FALSE),0%)</f>
        <v>0</v>
      </c>
      <c r="BCP3" s="179">
        <f>IFERROR(VLOOKUP(BCP$1,Equilibrium[[Ticker]:[Weight]],2,FALSE),0%)</f>
        <v>0</v>
      </c>
      <c r="BCQ3" s="179">
        <f>IFERROR(VLOOKUP(BCQ$1,Equilibrium[[Ticker]:[Weight]],2,FALSE),0%)</f>
        <v>0</v>
      </c>
      <c r="BCR3" s="179">
        <f>IFERROR(VLOOKUP(BCR$1,Equilibrium[[Ticker]:[Weight]],2,FALSE),0%)</f>
        <v>0</v>
      </c>
      <c r="BCS3" s="179">
        <f>IFERROR(VLOOKUP(BCS$1,Equilibrium[[Ticker]:[Weight]],2,FALSE),0%)</f>
        <v>0</v>
      </c>
      <c r="BCT3" s="179">
        <f>IFERROR(VLOOKUP(BCT$1,Equilibrium[[Ticker]:[Weight]],2,FALSE),0%)</f>
        <v>0</v>
      </c>
      <c r="BCU3" s="179">
        <f>IFERROR(VLOOKUP(BCU$1,Equilibrium[[Ticker]:[Weight]],2,FALSE),0%)</f>
        <v>0</v>
      </c>
      <c r="BCV3" s="179">
        <f>IFERROR(VLOOKUP(BCV$1,Equilibrium[[Ticker]:[Weight]],2,FALSE),0%)</f>
        <v>0</v>
      </c>
      <c r="BCW3" s="179">
        <f>IFERROR(VLOOKUP(BCW$1,Equilibrium[[Ticker]:[Weight]],2,FALSE),0%)</f>
        <v>0</v>
      </c>
      <c r="BCX3" s="179">
        <f>IFERROR(VLOOKUP(BCX$1,Equilibrium[[Ticker]:[Weight]],2,FALSE),0%)</f>
        <v>0</v>
      </c>
      <c r="BCY3" s="179">
        <f>IFERROR(VLOOKUP(BCY$1,Equilibrium[[Ticker]:[Weight]],2,FALSE),0%)</f>
        <v>0</v>
      </c>
      <c r="BCZ3" s="179">
        <f>IFERROR(VLOOKUP(BCZ$1,Equilibrium[[Ticker]:[Weight]],2,FALSE),0%)</f>
        <v>0</v>
      </c>
      <c r="BDA3" s="179">
        <f>IFERROR(VLOOKUP(BDA$1,Equilibrium[[Ticker]:[Weight]],2,FALSE),0%)</f>
        <v>0</v>
      </c>
      <c r="BDB3" s="179">
        <f>IFERROR(VLOOKUP(BDB$1,Equilibrium[[Ticker]:[Weight]],2,FALSE),0%)</f>
        <v>0</v>
      </c>
      <c r="BDC3" s="179">
        <f>IFERROR(VLOOKUP(BDC$1,Equilibrium[[Ticker]:[Weight]],2,FALSE),0%)</f>
        <v>0</v>
      </c>
      <c r="BDD3" s="179">
        <f>IFERROR(VLOOKUP(BDD$1,Equilibrium[[Ticker]:[Weight]],2,FALSE),0%)</f>
        <v>0</v>
      </c>
      <c r="BDE3" s="179">
        <f>IFERROR(VLOOKUP(BDE$1,Equilibrium[[Ticker]:[Weight]],2,FALSE),0%)</f>
        <v>0</v>
      </c>
      <c r="BDF3" s="179">
        <f>IFERROR(VLOOKUP(BDF$1,Equilibrium[[Ticker]:[Weight]],2,FALSE),0%)</f>
        <v>0</v>
      </c>
      <c r="BDG3" s="179">
        <f>IFERROR(VLOOKUP(BDG$1,Equilibrium[[Ticker]:[Weight]],2,FALSE),0%)</f>
        <v>0</v>
      </c>
      <c r="BDH3" s="179">
        <f>IFERROR(VLOOKUP(BDH$1,Equilibrium[[Ticker]:[Weight]],2,FALSE),0%)</f>
        <v>0</v>
      </c>
      <c r="BDI3" s="179">
        <f>IFERROR(VLOOKUP(BDI$1,Equilibrium[[Ticker]:[Weight]],2,FALSE),0%)</f>
        <v>0</v>
      </c>
      <c r="BDJ3" s="179">
        <f>IFERROR(VLOOKUP(BDJ$1,Equilibrium[[Ticker]:[Weight]],2,FALSE),0%)</f>
        <v>0</v>
      </c>
      <c r="BDK3" s="179">
        <f>IFERROR(VLOOKUP(BDK$1,Equilibrium[[Ticker]:[Weight]],2,FALSE),0%)</f>
        <v>0</v>
      </c>
      <c r="BDL3" s="179">
        <f>IFERROR(VLOOKUP(BDL$1,Equilibrium[[Ticker]:[Weight]],2,FALSE),0%)</f>
        <v>0</v>
      </c>
      <c r="BDM3" s="179">
        <f>IFERROR(VLOOKUP(BDM$1,Equilibrium[[Ticker]:[Weight]],2,FALSE),0%)</f>
        <v>0</v>
      </c>
      <c r="BDN3" s="179">
        <f>IFERROR(VLOOKUP(BDN$1,Equilibrium[[Ticker]:[Weight]],2,FALSE),0%)</f>
        <v>0</v>
      </c>
      <c r="BDO3" s="179">
        <f>IFERROR(VLOOKUP(BDO$1,Equilibrium[[Ticker]:[Weight]],2,FALSE),0%)</f>
        <v>0</v>
      </c>
      <c r="BDP3" s="179">
        <f>IFERROR(VLOOKUP(BDP$1,Equilibrium[[Ticker]:[Weight]],2,FALSE),0%)</f>
        <v>0</v>
      </c>
      <c r="BDQ3" s="179">
        <f>IFERROR(VLOOKUP(BDQ$1,Equilibrium[[Ticker]:[Weight]],2,FALSE),0%)</f>
        <v>0</v>
      </c>
      <c r="BDR3" s="179">
        <f>IFERROR(VLOOKUP(BDR$1,Equilibrium[[Ticker]:[Weight]],2,FALSE),0%)</f>
        <v>0</v>
      </c>
      <c r="BDS3" s="179">
        <f>IFERROR(VLOOKUP(BDS$1,Equilibrium[[Ticker]:[Weight]],2,FALSE),0%)</f>
        <v>0</v>
      </c>
      <c r="BDT3" s="179">
        <f>IFERROR(VLOOKUP(BDT$1,Equilibrium[[Ticker]:[Weight]],2,FALSE),0%)</f>
        <v>0</v>
      </c>
      <c r="BDU3" s="179">
        <f>IFERROR(VLOOKUP(BDU$1,Equilibrium[[Ticker]:[Weight]],2,FALSE),0%)</f>
        <v>0</v>
      </c>
      <c r="BDV3" s="179">
        <f>IFERROR(VLOOKUP(BDV$1,Equilibrium[[Ticker]:[Weight]],2,FALSE),0%)</f>
        <v>0</v>
      </c>
      <c r="BDW3" s="179">
        <f>IFERROR(VLOOKUP(BDW$1,Equilibrium[[Ticker]:[Weight]],2,FALSE),0%)</f>
        <v>0</v>
      </c>
      <c r="BDX3" s="179">
        <f>IFERROR(VLOOKUP(BDX$1,Equilibrium[[Ticker]:[Weight]],2,FALSE),0%)</f>
        <v>0</v>
      </c>
      <c r="BDY3" s="179">
        <f>IFERROR(VLOOKUP(BDY$1,Equilibrium[[Ticker]:[Weight]],2,FALSE),0%)</f>
        <v>0</v>
      </c>
      <c r="BDZ3" s="179">
        <f>IFERROR(VLOOKUP(BDZ$1,Equilibrium[[Ticker]:[Weight]],2,FALSE),0%)</f>
        <v>0</v>
      </c>
      <c r="BEA3" s="179">
        <f>IFERROR(VLOOKUP(BEA$1,Equilibrium[[Ticker]:[Weight]],2,FALSE),0%)</f>
        <v>0</v>
      </c>
      <c r="BEB3" s="179">
        <f>IFERROR(VLOOKUP(BEB$1,Equilibrium[[Ticker]:[Weight]],2,FALSE),0%)</f>
        <v>0</v>
      </c>
      <c r="BEC3" s="179">
        <f>IFERROR(VLOOKUP(BEC$1,Equilibrium[[Ticker]:[Weight]],2,FALSE),0%)</f>
        <v>0</v>
      </c>
      <c r="BED3" s="179">
        <f>IFERROR(VLOOKUP(BED$1,Equilibrium[[Ticker]:[Weight]],2,FALSE),0%)</f>
        <v>0</v>
      </c>
      <c r="BEE3" s="179">
        <f>IFERROR(VLOOKUP(BEE$1,Equilibrium[[Ticker]:[Weight]],2,FALSE),0%)</f>
        <v>0</v>
      </c>
      <c r="BEF3" s="179">
        <f>IFERROR(VLOOKUP(BEF$1,Equilibrium[[Ticker]:[Weight]],2,FALSE),0%)</f>
        <v>0</v>
      </c>
      <c r="BEG3" s="179">
        <f>IFERROR(VLOOKUP(BEG$1,Equilibrium[[Ticker]:[Weight]],2,FALSE),0%)</f>
        <v>0</v>
      </c>
      <c r="BEH3" s="179">
        <f>IFERROR(VLOOKUP(BEH$1,Equilibrium[[Ticker]:[Weight]],2,FALSE),0%)</f>
        <v>0</v>
      </c>
      <c r="BEI3" s="179">
        <f>IFERROR(VLOOKUP(BEI$1,Equilibrium[[Ticker]:[Weight]],2,FALSE),0%)</f>
        <v>0</v>
      </c>
      <c r="BEJ3" s="179">
        <f>IFERROR(VLOOKUP(BEJ$1,Equilibrium[[Ticker]:[Weight]],2,FALSE),0%)</f>
        <v>0</v>
      </c>
      <c r="BEK3" s="179">
        <f>IFERROR(VLOOKUP(BEK$1,Equilibrium[[Ticker]:[Weight]],2,FALSE),0%)</f>
        <v>0</v>
      </c>
      <c r="BEL3" s="179">
        <f>IFERROR(VLOOKUP(BEL$1,Equilibrium[[Ticker]:[Weight]],2,FALSE),0%)</f>
        <v>0</v>
      </c>
      <c r="BEM3" s="179">
        <f>IFERROR(VLOOKUP(BEM$1,Equilibrium[[Ticker]:[Weight]],2,FALSE),0%)</f>
        <v>0</v>
      </c>
      <c r="BEN3" s="179">
        <f>IFERROR(VLOOKUP(BEN$1,Equilibrium[[Ticker]:[Weight]],2,FALSE),0%)</f>
        <v>0</v>
      </c>
      <c r="BEO3" s="179">
        <f>IFERROR(VLOOKUP(BEO$1,Equilibrium[[Ticker]:[Weight]],2,FALSE),0%)</f>
        <v>0</v>
      </c>
      <c r="BEP3" s="179">
        <f>IFERROR(VLOOKUP(BEP$1,Equilibrium[[Ticker]:[Weight]],2,FALSE),0%)</f>
        <v>0</v>
      </c>
      <c r="BEQ3" s="179">
        <f>IFERROR(VLOOKUP(BEQ$1,Equilibrium[[Ticker]:[Weight]],2,FALSE),0%)</f>
        <v>0</v>
      </c>
      <c r="BER3" s="179">
        <f>IFERROR(VLOOKUP(BER$1,Equilibrium[[Ticker]:[Weight]],2,FALSE),0%)</f>
        <v>0</v>
      </c>
      <c r="BES3" s="179">
        <f>IFERROR(VLOOKUP(BES$1,Equilibrium[[Ticker]:[Weight]],2,FALSE),0%)</f>
        <v>0</v>
      </c>
      <c r="BET3" s="179">
        <f>IFERROR(VLOOKUP(BET$1,Equilibrium[[Ticker]:[Weight]],2,FALSE),0%)</f>
        <v>0</v>
      </c>
      <c r="BEU3" s="179">
        <f>IFERROR(VLOOKUP(BEU$1,Equilibrium[[Ticker]:[Weight]],2,FALSE),0%)</f>
        <v>0</v>
      </c>
      <c r="BEV3" s="179">
        <f>IFERROR(VLOOKUP(BEV$1,Equilibrium[[Ticker]:[Weight]],2,FALSE),0%)</f>
        <v>0</v>
      </c>
      <c r="BEW3" s="179">
        <f>IFERROR(VLOOKUP(BEW$1,Equilibrium[[Ticker]:[Weight]],2,FALSE),0%)</f>
        <v>0</v>
      </c>
      <c r="BEX3" s="179">
        <f>IFERROR(VLOOKUP(BEX$1,Equilibrium[[Ticker]:[Weight]],2,FALSE),0%)</f>
        <v>0</v>
      </c>
      <c r="BEY3" s="179">
        <f>IFERROR(VLOOKUP(BEY$1,Equilibrium[[Ticker]:[Weight]],2,FALSE),0%)</f>
        <v>0</v>
      </c>
      <c r="BEZ3" s="179">
        <f>IFERROR(VLOOKUP(BEZ$1,Equilibrium[[Ticker]:[Weight]],2,FALSE),0%)</f>
        <v>0</v>
      </c>
      <c r="BFA3" s="179">
        <f>IFERROR(VLOOKUP(BFA$1,Equilibrium[[Ticker]:[Weight]],2,FALSE),0%)</f>
        <v>0</v>
      </c>
      <c r="BFB3" s="179">
        <f>IFERROR(VLOOKUP(BFB$1,Equilibrium[[Ticker]:[Weight]],2,FALSE),0%)</f>
        <v>0</v>
      </c>
      <c r="BFC3" s="179">
        <f>IFERROR(VLOOKUP(BFC$1,Equilibrium[[Ticker]:[Weight]],2,FALSE),0%)</f>
        <v>0</v>
      </c>
      <c r="BFD3" s="179">
        <f>IFERROR(VLOOKUP(BFD$1,Equilibrium[[Ticker]:[Weight]],2,FALSE),0%)</f>
        <v>0.0778</v>
      </c>
      <c r="BFE3" s="179">
        <f>IFERROR(VLOOKUP(BFE$1,Equilibrium[[Ticker]:[Weight]],2,FALSE),0%)</f>
        <v>0</v>
      </c>
      <c r="BFF3" s="179">
        <f>IFERROR(VLOOKUP(BFF$1,Equilibrium[[Ticker]:[Weight]],2,FALSE),0%)</f>
        <v>0</v>
      </c>
      <c r="BFG3" s="179">
        <f>IFERROR(VLOOKUP(BFG$1,Equilibrium[[Ticker]:[Weight]],2,FALSE),0%)</f>
        <v>0</v>
      </c>
      <c r="BFH3" s="179">
        <f>IFERROR(VLOOKUP(BFH$1,Equilibrium[[Ticker]:[Weight]],2,FALSE),0%)</f>
        <v>0</v>
      </c>
      <c r="BFI3" s="179">
        <f>IFERROR(VLOOKUP(BFI$1,Equilibrium[[Ticker]:[Weight]],2,FALSE),0%)</f>
        <v>0</v>
      </c>
      <c r="BFJ3" s="179">
        <f>IFERROR(VLOOKUP(BFJ$1,Equilibrium[[Ticker]:[Weight]],2,FALSE),0%)</f>
        <v>0</v>
      </c>
      <c r="BFK3" s="179">
        <f>IFERROR(VLOOKUP(BFK$1,Equilibrium[[Ticker]:[Weight]],2,FALSE),0%)</f>
        <v>0</v>
      </c>
      <c r="BFL3" s="179">
        <f>IFERROR(VLOOKUP(BFL$1,Equilibrium[[Ticker]:[Weight]],2,FALSE),0%)</f>
        <v>0</v>
      </c>
      <c r="BFM3" s="179">
        <f>IFERROR(VLOOKUP(BFM$1,Equilibrium[[Ticker]:[Weight]],2,FALSE),0%)</f>
        <v>0</v>
      </c>
      <c r="BFN3" s="179">
        <f>IFERROR(VLOOKUP(BFN$1,Equilibrium[[Ticker]:[Weight]],2,FALSE),0%)</f>
        <v>0</v>
      </c>
      <c r="BFO3" s="179">
        <f>IFERROR(VLOOKUP(BFO$1,Equilibrium[[Ticker]:[Weight]],2,FALSE),0%)</f>
        <v>0</v>
      </c>
      <c r="BFP3" s="179">
        <f>IFERROR(VLOOKUP(BFP$1,Equilibrium[[Ticker]:[Weight]],2,FALSE),0%)</f>
        <v>0</v>
      </c>
      <c r="BFQ3" s="179">
        <f>IFERROR(VLOOKUP(BFQ$1,Equilibrium[[Ticker]:[Weight]],2,FALSE),0%)</f>
        <v>0</v>
      </c>
      <c r="BFR3" s="179">
        <f>IFERROR(VLOOKUP(BFR$1,Equilibrium[[Ticker]:[Weight]],2,FALSE),0%)</f>
        <v>0</v>
      </c>
      <c r="BFS3" s="179">
        <f>IFERROR(VLOOKUP(BFS$1,Equilibrium[[Ticker]:[Weight]],2,FALSE),0%)</f>
        <v>0</v>
      </c>
      <c r="BFT3" s="179">
        <f>IFERROR(VLOOKUP(BFT$1,Equilibrium[[Ticker]:[Weight]],2,FALSE),0%)</f>
        <v>0</v>
      </c>
      <c r="BFU3" s="179">
        <f>IFERROR(VLOOKUP(BFU$1,Equilibrium[[Ticker]:[Weight]],2,FALSE),0%)</f>
        <v>0</v>
      </c>
      <c r="BFV3" s="179">
        <f>IFERROR(VLOOKUP(BFV$1,Equilibrium[[Ticker]:[Weight]],2,FALSE),0%)</f>
        <v>0</v>
      </c>
      <c r="BFW3" s="179">
        <f>IFERROR(VLOOKUP(BFW$1,Equilibrium[[Ticker]:[Weight]],2,FALSE),0%)</f>
        <v>0</v>
      </c>
      <c r="BFX3" s="179">
        <f>IFERROR(VLOOKUP(BFX$1,Equilibrium[[Ticker]:[Weight]],2,FALSE),0%)</f>
        <v>0</v>
      </c>
      <c r="BFY3" s="179">
        <f>IFERROR(VLOOKUP(BFY$1,Equilibrium[[Ticker]:[Weight]],2,FALSE),0%)</f>
        <v>0</v>
      </c>
      <c r="BFZ3" s="179">
        <f>IFERROR(VLOOKUP(BFZ$1,Equilibrium[[Ticker]:[Weight]],2,FALSE),0%)</f>
        <v>0</v>
      </c>
      <c r="BGA3" s="179">
        <f>IFERROR(VLOOKUP(BGA$1,Equilibrium[[Ticker]:[Weight]],2,FALSE),0%)</f>
        <v>0</v>
      </c>
      <c r="BGB3" s="179">
        <f>IFERROR(VLOOKUP(BGB$1,Equilibrium[[Ticker]:[Weight]],2,FALSE),0%)</f>
        <v>0</v>
      </c>
      <c r="BGC3" s="179">
        <f>IFERROR(VLOOKUP(BGC$1,Equilibrium[[Ticker]:[Weight]],2,FALSE),0%)</f>
        <v>0</v>
      </c>
      <c r="BGD3" s="179">
        <f>IFERROR(VLOOKUP(BGD$1,Equilibrium[[Ticker]:[Weight]],2,FALSE),0%)</f>
        <v>0</v>
      </c>
      <c r="BGE3" s="179">
        <f>IFERROR(VLOOKUP(BGE$1,Equilibrium[[Ticker]:[Weight]],2,FALSE),0%)</f>
        <v>0</v>
      </c>
      <c r="BGF3" s="179">
        <f>IFERROR(VLOOKUP(BGF$1,Equilibrium[[Ticker]:[Weight]],2,FALSE),0%)</f>
        <v>0</v>
      </c>
      <c r="BGG3" s="179">
        <f>IFERROR(VLOOKUP(BGG$1,Equilibrium[[Ticker]:[Weight]],2,FALSE),0%)</f>
        <v>0</v>
      </c>
      <c r="BGH3" s="179">
        <f>IFERROR(VLOOKUP(BGH$1,Equilibrium[[Ticker]:[Weight]],2,FALSE),0%)</f>
        <v>0</v>
      </c>
      <c r="BGI3" s="179">
        <f>IFERROR(VLOOKUP(BGI$1,Equilibrium[[Ticker]:[Weight]],2,FALSE),0%)</f>
        <v>0</v>
      </c>
      <c r="BGJ3" s="179">
        <f>IFERROR(VLOOKUP(BGJ$1,Equilibrium[[Ticker]:[Weight]],2,FALSE),0%)</f>
        <v>0</v>
      </c>
      <c r="BGK3" s="179">
        <f>IFERROR(VLOOKUP(BGK$1,Equilibrium[[Ticker]:[Weight]],2,FALSE),0%)</f>
        <v>0</v>
      </c>
      <c r="BGL3" s="179">
        <f>IFERROR(VLOOKUP(BGL$1,Equilibrium[[Ticker]:[Weight]],2,FALSE),0%)</f>
        <v>0</v>
      </c>
      <c r="BGM3" s="179">
        <f>IFERROR(VLOOKUP(BGM$1,Equilibrium[[Ticker]:[Weight]],2,FALSE),0%)</f>
        <v>0</v>
      </c>
      <c r="BGN3" s="179">
        <f>IFERROR(VLOOKUP(BGN$1,Equilibrium[[Ticker]:[Weight]],2,FALSE),0%)</f>
        <v>0</v>
      </c>
      <c r="BGO3" s="179">
        <f>IFERROR(VLOOKUP(BGO$1,Equilibrium[[Ticker]:[Weight]],2,FALSE),0%)</f>
        <v>0.1208</v>
      </c>
      <c r="BGP3" s="179">
        <f>IFERROR(VLOOKUP(BGP$1,Equilibrium[[Ticker]:[Weight]],2,FALSE),0%)</f>
        <v>0</v>
      </c>
      <c r="BGQ3" s="179">
        <f>IFERROR(VLOOKUP(BGQ$1,Equilibrium[[Ticker]:[Weight]],2,FALSE),0%)</f>
        <v>0</v>
      </c>
      <c r="BGR3" s="179">
        <f>IFERROR(VLOOKUP(BGR$1,Equilibrium[[Ticker]:[Weight]],2,FALSE),0%)</f>
        <v>0</v>
      </c>
      <c r="BGS3" s="179">
        <f>IFERROR(VLOOKUP(BGS$1,Equilibrium[[Ticker]:[Weight]],2,FALSE),0%)</f>
        <v>0</v>
      </c>
      <c r="BGT3" s="179">
        <f>IFERROR(VLOOKUP(BGT$1,Equilibrium[[Ticker]:[Weight]],2,FALSE),0%)</f>
        <v>0</v>
      </c>
      <c r="BGU3" s="179">
        <f>IFERROR(VLOOKUP(BGU$1,Equilibrium[[Ticker]:[Weight]],2,FALSE),0%)</f>
        <v>0</v>
      </c>
      <c r="BGV3" s="179">
        <f>IFERROR(VLOOKUP(BGV$1,Equilibrium[[Ticker]:[Weight]],2,FALSE),0%)</f>
        <v>0</v>
      </c>
      <c r="BGW3" s="179">
        <f>IFERROR(VLOOKUP(BGW$1,Equilibrium[[Ticker]:[Weight]],2,FALSE),0%)</f>
        <v>0</v>
      </c>
      <c r="BGX3" s="179">
        <f>IFERROR(VLOOKUP(BGX$1,Equilibrium[[Ticker]:[Weight]],2,FALSE),0%)</f>
        <v>0</v>
      </c>
      <c r="BGY3" s="179">
        <f>IFERROR(VLOOKUP(BGY$1,Equilibrium[[Ticker]:[Weight]],2,FALSE),0%)</f>
        <v>0</v>
      </c>
      <c r="BGZ3" s="179">
        <f>IFERROR(VLOOKUP(BGZ$1,Equilibrium[[Ticker]:[Weight]],2,FALSE),0%)</f>
        <v>0</v>
      </c>
      <c r="BHA3" s="179">
        <f>IFERROR(VLOOKUP(BHA$1,Equilibrium[[Ticker]:[Weight]],2,FALSE),0%)</f>
        <v>0</v>
      </c>
      <c r="BHB3" s="179">
        <f>IFERROR(VLOOKUP(BHB$1,Equilibrium[[Ticker]:[Weight]],2,FALSE),0%)</f>
        <v>0</v>
      </c>
      <c r="BHC3" s="179">
        <f>IFERROR(VLOOKUP(BHC$1,Equilibrium[[Ticker]:[Weight]],2,FALSE),0%)</f>
        <v>0</v>
      </c>
      <c r="BHD3" s="179">
        <f>IFERROR(VLOOKUP(BHD$1,Equilibrium[[Ticker]:[Weight]],2,FALSE),0%)</f>
        <v>0</v>
      </c>
      <c r="BHE3" s="179">
        <f>IFERROR(VLOOKUP(BHE$1,Equilibrium[[Ticker]:[Weight]],2,FALSE),0%)</f>
        <v>0</v>
      </c>
      <c r="BHF3" s="179">
        <f>IFERROR(VLOOKUP(BHF$1,Equilibrium[[Ticker]:[Weight]],2,FALSE),0%)</f>
        <v>0</v>
      </c>
      <c r="BHG3" s="179">
        <f>IFERROR(VLOOKUP(BHG$1,Equilibrium[[Ticker]:[Weight]],2,FALSE),0%)</f>
        <v>0</v>
      </c>
      <c r="BHH3" s="179">
        <f>IFERROR(VLOOKUP(BHH$1,Equilibrium[[Ticker]:[Weight]],2,FALSE),0%)</f>
        <v>0</v>
      </c>
      <c r="BHI3" s="179">
        <f>IFERROR(VLOOKUP(BHI$1,Equilibrium[[Ticker]:[Weight]],2,FALSE),0%)</f>
        <v>0</v>
      </c>
      <c r="BHJ3" s="179">
        <f>IFERROR(VLOOKUP(BHJ$1,Equilibrium[[Ticker]:[Weight]],2,FALSE),0%)</f>
        <v>0</v>
      </c>
      <c r="BHK3" s="179">
        <f>IFERROR(VLOOKUP(BHK$1,Equilibrium[[Ticker]:[Weight]],2,FALSE),0%)</f>
        <v>0</v>
      </c>
      <c r="BHL3" s="179">
        <f>IFERROR(VLOOKUP(BHL$1,Equilibrium[[Ticker]:[Weight]],2,FALSE),0%)</f>
        <v>0</v>
      </c>
      <c r="BHM3" s="179">
        <f>IFERROR(VLOOKUP(BHM$1,Equilibrium[[Ticker]:[Weight]],2,FALSE),0%)</f>
        <v>0</v>
      </c>
      <c r="BHN3" s="179">
        <f>IFERROR(VLOOKUP(BHN$1,Equilibrium[[Ticker]:[Weight]],2,FALSE),0%)</f>
        <v>0</v>
      </c>
      <c r="BHO3" s="179">
        <f>IFERROR(VLOOKUP(BHO$1,Equilibrium[[Ticker]:[Weight]],2,FALSE),0%)</f>
        <v>0</v>
      </c>
      <c r="BHP3" s="179">
        <f>IFERROR(VLOOKUP(BHP$1,Equilibrium[[Ticker]:[Weight]],2,FALSE),0%)</f>
        <v>0</v>
      </c>
      <c r="BHQ3" s="179">
        <f>IFERROR(VLOOKUP(BHQ$1,Equilibrium[[Ticker]:[Weight]],2,FALSE),0%)</f>
        <v>0</v>
      </c>
      <c r="BHR3" s="179">
        <f>IFERROR(VLOOKUP(BHR$1,Equilibrium[[Ticker]:[Weight]],2,FALSE),0%)</f>
        <v>0</v>
      </c>
      <c r="BHS3" s="179">
        <f>IFERROR(VLOOKUP(BHS$1,Equilibrium[[Ticker]:[Weight]],2,FALSE),0%)</f>
        <v>0</v>
      </c>
      <c r="BHT3" s="179">
        <f>IFERROR(VLOOKUP(BHT$1,Equilibrium[[Ticker]:[Weight]],2,FALSE),0%)</f>
        <v>0</v>
      </c>
      <c r="BHU3" s="179">
        <f>IFERROR(VLOOKUP(BHU$1,Equilibrium[[Ticker]:[Weight]],2,FALSE),0%)</f>
        <v>0</v>
      </c>
      <c r="BHV3" s="179">
        <f>IFERROR(VLOOKUP(BHV$1,Equilibrium[[Ticker]:[Weight]],2,FALSE),0%)</f>
        <v>0</v>
      </c>
      <c r="BHW3" s="179">
        <f>IFERROR(VLOOKUP(BHW$1,Equilibrium[[Ticker]:[Weight]],2,FALSE),0%)</f>
        <v>0</v>
      </c>
      <c r="BHX3" s="179">
        <f>IFERROR(VLOOKUP(BHX$1,Equilibrium[[Ticker]:[Weight]],2,FALSE),0%)</f>
        <v>0</v>
      </c>
      <c r="BHY3" s="179">
        <f>IFERROR(VLOOKUP(BHY$1,Equilibrium[[Ticker]:[Weight]],2,FALSE),0%)</f>
        <v>0</v>
      </c>
      <c r="BHZ3" s="179">
        <f>IFERROR(VLOOKUP(BHZ$1,Equilibrium[[Ticker]:[Weight]],2,FALSE),0%)</f>
        <v>0</v>
      </c>
      <c r="BIA3" s="179">
        <f>IFERROR(VLOOKUP(BIA$1,Equilibrium[[Ticker]:[Weight]],2,FALSE),0%)</f>
        <v>0</v>
      </c>
      <c r="BIB3" s="179">
        <f>IFERROR(VLOOKUP(BIB$1,Equilibrium[[Ticker]:[Weight]],2,FALSE),0%)</f>
        <v>0</v>
      </c>
      <c r="BIC3" s="179">
        <f>IFERROR(VLOOKUP(BIC$1,Equilibrium[[Ticker]:[Weight]],2,FALSE),0%)</f>
        <v>0</v>
      </c>
      <c r="BID3" s="179">
        <f>IFERROR(VLOOKUP(BID$1,Equilibrium[[Ticker]:[Weight]],2,FALSE),0%)</f>
        <v>0</v>
      </c>
      <c r="BIE3" s="179">
        <f>IFERROR(VLOOKUP(BIE$1,Equilibrium[[Ticker]:[Weight]],2,FALSE),0%)</f>
        <v>0</v>
      </c>
      <c r="BIF3" s="179">
        <f>IFERROR(VLOOKUP(BIF$1,Equilibrium[[Ticker]:[Weight]],2,FALSE),0%)</f>
        <v>0</v>
      </c>
      <c r="BIG3" s="179">
        <f>IFERROR(VLOOKUP(BIG$1,Equilibrium[[Ticker]:[Weight]],2,FALSE),0%)</f>
        <v>0</v>
      </c>
      <c r="BIH3" s="179">
        <f>IFERROR(VLOOKUP(BIH$1,Equilibrium[[Ticker]:[Weight]],2,FALSE),0%)</f>
        <v>0</v>
      </c>
      <c r="BII3" s="179">
        <f>IFERROR(VLOOKUP(BII$1,Equilibrium[[Ticker]:[Weight]],2,FALSE),0%)</f>
        <v>0</v>
      </c>
      <c r="BIJ3" s="179">
        <f>IFERROR(VLOOKUP(BIJ$1,Equilibrium[[Ticker]:[Weight]],2,FALSE),0%)</f>
        <v>0</v>
      </c>
      <c r="BIK3" s="179">
        <f>IFERROR(VLOOKUP(BIK$1,Equilibrium[[Ticker]:[Weight]],2,FALSE),0%)</f>
        <v>0</v>
      </c>
      <c r="BIL3" s="179">
        <f>IFERROR(VLOOKUP(BIL$1,Equilibrium[[Ticker]:[Weight]],2,FALSE),0%)</f>
        <v>0</v>
      </c>
      <c r="BIM3" s="179">
        <f>IFERROR(VLOOKUP(BIM$1,Equilibrium[[Ticker]:[Weight]],2,FALSE),0%)</f>
        <v>0</v>
      </c>
      <c r="BIN3" s="179">
        <f>IFERROR(VLOOKUP(BIN$1,Equilibrium[[Ticker]:[Weight]],2,FALSE),0%)</f>
        <v>0</v>
      </c>
      <c r="BIO3" s="179">
        <f>IFERROR(VLOOKUP(BIO$1,Equilibrium[[Ticker]:[Weight]],2,FALSE),0%)</f>
        <v>0</v>
      </c>
      <c r="BIP3" s="179">
        <f>IFERROR(VLOOKUP(BIP$1,Equilibrium[[Ticker]:[Weight]],2,FALSE),0%)</f>
        <v>0</v>
      </c>
      <c r="BIQ3" s="179">
        <f>IFERROR(VLOOKUP(BIQ$1,Equilibrium[[Ticker]:[Weight]],2,FALSE),0%)</f>
        <v>0</v>
      </c>
      <c r="BIR3" s="179">
        <f>IFERROR(VLOOKUP(BIR$1,Equilibrium[[Ticker]:[Weight]],2,FALSE),0%)</f>
        <v>0</v>
      </c>
      <c r="BIS3" s="179">
        <f>IFERROR(VLOOKUP(BIS$1,Equilibrium[[Ticker]:[Weight]],2,FALSE),0%)</f>
        <v>0</v>
      </c>
      <c r="BIT3" s="179">
        <f>IFERROR(VLOOKUP(BIT$1,Equilibrium[[Ticker]:[Weight]],2,FALSE),0%)</f>
        <v>0</v>
      </c>
      <c r="BIU3" s="179">
        <f>IFERROR(VLOOKUP(BIU$1,Equilibrium[[Ticker]:[Weight]],2,FALSE),0%)</f>
        <v>0</v>
      </c>
      <c r="BIV3" s="179">
        <f>IFERROR(VLOOKUP(BIV$1,Equilibrium[[Ticker]:[Weight]],2,FALSE),0%)</f>
        <v>0</v>
      </c>
      <c r="BIW3" s="179">
        <f>IFERROR(VLOOKUP(BIW$1,Equilibrium[[Ticker]:[Weight]],2,FALSE),0%)</f>
        <v>0</v>
      </c>
      <c r="BIX3" s="179">
        <f>IFERROR(VLOOKUP(BIX$1,Equilibrium[[Ticker]:[Weight]],2,FALSE),0%)</f>
        <v>0</v>
      </c>
      <c r="BIY3" s="179">
        <f>IFERROR(VLOOKUP(BIY$1,Equilibrium[[Ticker]:[Weight]],2,FALSE),0%)</f>
        <v>0</v>
      </c>
      <c r="BIZ3" s="179">
        <f>IFERROR(VLOOKUP(BIZ$1,Equilibrium[[Ticker]:[Weight]],2,FALSE),0%)</f>
        <v>0</v>
      </c>
      <c r="BJA3" s="179">
        <f>IFERROR(VLOOKUP(BJA$1,Equilibrium[[Ticker]:[Weight]],2,FALSE),0%)</f>
        <v>0</v>
      </c>
      <c r="BJB3" s="179">
        <f>IFERROR(VLOOKUP(BJB$1,Equilibrium[[Ticker]:[Weight]],2,FALSE),0%)</f>
        <v>0</v>
      </c>
      <c r="BJC3" s="179">
        <f>IFERROR(VLOOKUP(BJC$1,Equilibrium[[Ticker]:[Weight]],2,FALSE),0%)</f>
        <v>0</v>
      </c>
      <c r="BJD3" s="179">
        <f>IFERROR(VLOOKUP(BJD$1,Equilibrium[[Ticker]:[Weight]],2,FALSE),0%)</f>
        <v>0</v>
      </c>
      <c r="BJE3" s="179">
        <f>IFERROR(VLOOKUP(BJE$1,Equilibrium[[Ticker]:[Weight]],2,FALSE),0%)</f>
        <v>0</v>
      </c>
      <c r="BJF3" s="179">
        <f>IFERROR(VLOOKUP(BJF$1,Equilibrium[[Ticker]:[Weight]],2,FALSE),0%)</f>
        <v>0</v>
      </c>
      <c r="BJG3" s="179">
        <f>IFERROR(VLOOKUP(BJG$1,Equilibrium[[Ticker]:[Weight]],2,FALSE),0%)</f>
        <v>0</v>
      </c>
      <c r="BJH3" s="179">
        <f>IFERROR(VLOOKUP(BJH$1,Equilibrium[[Ticker]:[Weight]],2,FALSE),0%)</f>
        <v>0</v>
      </c>
      <c r="BJI3" s="179">
        <f>IFERROR(VLOOKUP(BJI$1,Equilibrium[[Ticker]:[Weight]],2,FALSE),0%)</f>
        <v>0</v>
      </c>
      <c r="BJJ3" s="179">
        <f>IFERROR(VLOOKUP(BJJ$1,Equilibrium[[Ticker]:[Weight]],2,FALSE),0%)</f>
        <v>0</v>
      </c>
      <c r="BJK3" s="179">
        <f>IFERROR(VLOOKUP(BJK$1,Equilibrium[[Ticker]:[Weight]],2,FALSE),0%)</f>
        <v>0</v>
      </c>
      <c r="BJL3" s="179">
        <f>IFERROR(VLOOKUP(BJL$1,Equilibrium[[Ticker]:[Weight]],2,FALSE),0%)</f>
        <v>0</v>
      </c>
      <c r="BJM3" s="179">
        <f>IFERROR(VLOOKUP(BJM$1,Equilibrium[[Ticker]:[Weight]],2,FALSE),0%)</f>
        <v>0</v>
      </c>
      <c r="BJN3" s="179">
        <f>IFERROR(VLOOKUP(BJN$1,Equilibrium[[Ticker]:[Weight]],2,FALSE),0%)</f>
        <v>0</v>
      </c>
      <c r="BJO3" s="179">
        <f>IFERROR(VLOOKUP(BJO$1,Equilibrium[[Ticker]:[Weight]],2,FALSE),0%)</f>
        <v>0</v>
      </c>
      <c r="BJP3" s="179">
        <f>IFERROR(VLOOKUP(BJP$1,Equilibrium[[Ticker]:[Weight]],2,FALSE),0%)</f>
        <v>0</v>
      </c>
      <c r="BJQ3" s="179">
        <f>IFERROR(VLOOKUP(BJQ$1,Equilibrium[[Ticker]:[Weight]],2,FALSE),0%)</f>
        <v>0</v>
      </c>
      <c r="BJR3" s="179">
        <f>IFERROR(VLOOKUP(BJR$1,Equilibrium[[Ticker]:[Weight]],2,FALSE),0%)</f>
        <v>0</v>
      </c>
      <c r="BJS3" s="179">
        <f>IFERROR(VLOOKUP(BJS$1,Equilibrium[[Ticker]:[Weight]],2,FALSE),0%)</f>
        <v>0</v>
      </c>
      <c r="BJT3" s="179">
        <f>IFERROR(VLOOKUP(BJT$1,Equilibrium[[Ticker]:[Weight]],2,FALSE),0%)</f>
        <v>0</v>
      </c>
      <c r="BJU3" s="179">
        <f>IFERROR(VLOOKUP(BJU$1,Equilibrium[[Ticker]:[Weight]],2,FALSE),0%)</f>
        <v>0</v>
      </c>
      <c r="BJV3" s="179">
        <f>IFERROR(VLOOKUP(BJV$1,Equilibrium[[Ticker]:[Weight]],2,FALSE),0%)</f>
        <v>0</v>
      </c>
      <c r="BJW3" s="179">
        <f>IFERROR(VLOOKUP(BJW$1,Equilibrium[[Ticker]:[Weight]],2,FALSE),0%)</f>
        <v>0</v>
      </c>
      <c r="BJX3" s="179">
        <f>IFERROR(VLOOKUP(BJX$1,Equilibrium[[Ticker]:[Weight]],2,FALSE),0%)</f>
        <v>0</v>
      </c>
      <c r="BJY3" s="179">
        <f>IFERROR(VLOOKUP(BJY$1,Equilibrium[[Ticker]:[Weight]],2,FALSE),0%)</f>
        <v>0</v>
      </c>
      <c r="BJZ3" s="179">
        <f>IFERROR(VLOOKUP(BJZ$1,Equilibrium[[Ticker]:[Weight]],2,FALSE),0%)</f>
        <v>0</v>
      </c>
      <c r="BKA3" s="179">
        <f>IFERROR(VLOOKUP(BKA$1,Equilibrium[[Ticker]:[Weight]],2,FALSE),0%)</f>
        <v>0</v>
      </c>
      <c r="BKB3" s="179">
        <f>IFERROR(VLOOKUP(BKB$1,Equilibrium[[Ticker]:[Weight]],2,FALSE),0%)</f>
        <v>0</v>
      </c>
      <c r="BKC3" s="179">
        <f>IFERROR(VLOOKUP(BKC$1,Equilibrium[[Ticker]:[Weight]],2,FALSE),0%)</f>
        <v>0</v>
      </c>
      <c r="BKD3" s="179">
        <f>IFERROR(VLOOKUP(BKD$1,Equilibrium[[Ticker]:[Weight]],2,FALSE),0%)</f>
        <v>0</v>
      </c>
      <c r="BKE3" s="179">
        <f>IFERROR(VLOOKUP(BKE$1,Equilibrium[[Ticker]:[Weight]],2,FALSE),0%)</f>
        <v>0</v>
      </c>
      <c r="BKF3" s="179">
        <f>IFERROR(VLOOKUP(BKF$1,Equilibrium[[Ticker]:[Weight]],2,FALSE),0%)</f>
        <v>0</v>
      </c>
      <c r="BKG3" s="179">
        <f>IFERROR(VLOOKUP(BKG$1,Equilibrium[[Ticker]:[Weight]],2,FALSE),0%)</f>
        <v>0</v>
      </c>
      <c r="BKH3" s="179">
        <f>IFERROR(VLOOKUP(BKH$1,Equilibrium[[Ticker]:[Weight]],2,FALSE),0%)</f>
        <v>0</v>
      </c>
      <c r="BKI3" s="179">
        <f>IFERROR(VLOOKUP(BKI$1,Equilibrium[[Ticker]:[Weight]],2,FALSE),0%)</f>
        <v>0</v>
      </c>
      <c r="BKJ3" s="179">
        <f>IFERROR(VLOOKUP(BKJ$1,Equilibrium[[Ticker]:[Weight]],2,FALSE),0%)</f>
        <v>0</v>
      </c>
      <c r="BKK3" s="179">
        <f>IFERROR(VLOOKUP(BKK$1,Equilibrium[[Ticker]:[Weight]],2,FALSE),0%)</f>
        <v>0</v>
      </c>
      <c r="BKL3" s="179">
        <f>IFERROR(VLOOKUP(BKL$1,Equilibrium[[Ticker]:[Weight]],2,FALSE),0%)</f>
        <v>0</v>
      </c>
      <c r="BKM3" s="179">
        <f>IFERROR(VLOOKUP(BKM$1,Equilibrium[[Ticker]:[Weight]],2,FALSE),0%)</f>
        <v>0</v>
      </c>
      <c r="BKN3" s="179">
        <f>IFERROR(VLOOKUP(BKN$1,Equilibrium[[Ticker]:[Weight]],2,FALSE),0%)</f>
        <v>0</v>
      </c>
      <c r="BKO3" s="179">
        <f>IFERROR(VLOOKUP(BKO$1,Equilibrium[[Ticker]:[Weight]],2,FALSE),0%)</f>
        <v>0</v>
      </c>
      <c r="BKP3" s="179">
        <f>IFERROR(VLOOKUP(BKP$1,Equilibrium[[Ticker]:[Weight]],2,FALSE),0%)</f>
        <v>0.04335245196</v>
      </c>
      <c r="BKQ3" s="179">
        <f>IFERROR(VLOOKUP(BKQ$1,Equilibrium[[Ticker]:[Weight]],2,FALSE),0%)</f>
        <v>0</v>
      </c>
      <c r="BKR3" s="179">
        <f>IFERROR(VLOOKUP(BKR$1,Equilibrium[[Ticker]:[Weight]],2,FALSE),0%)</f>
        <v>0</v>
      </c>
      <c r="BKS3" s="179">
        <f>IFERROR(VLOOKUP(BKS$1,Equilibrium[[Ticker]:[Weight]],2,FALSE),0%)</f>
        <v>0</v>
      </c>
      <c r="BKT3" s="179">
        <f>IFERROR(VLOOKUP(BKT$1,Equilibrium[[Ticker]:[Weight]],2,FALSE),0%)</f>
        <v>0</v>
      </c>
      <c r="BKU3" s="179">
        <f>IFERROR(VLOOKUP(BKU$1,Equilibrium[[Ticker]:[Weight]],2,FALSE),0%)</f>
        <v>0</v>
      </c>
      <c r="BKV3" s="179">
        <f>IFERROR(VLOOKUP(BKV$1,Equilibrium[[Ticker]:[Weight]],2,FALSE),0%)</f>
        <v>0</v>
      </c>
      <c r="BKW3" s="179">
        <f>IFERROR(VLOOKUP(BKW$1,Equilibrium[[Ticker]:[Weight]],2,FALSE),0%)</f>
        <v>0</v>
      </c>
      <c r="BKX3" s="179">
        <f>IFERROR(VLOOKUP(BKX$1,Equilibrium[[Ticker]:[Weight]],2,FALSE),0%)</f>
        <v>0</v>
      </c>
      <c r="BKY3" s="179">
        <f>IFERROR(VLOOKUP(BKY$1,Equilibrium[[Ticker]:[Weight]],2,FALSE),0%)</f>
        <v>0</v>
      </c>
      <c r="BKZ3" s="179">
        <f>IFERROR(VLOOKUP(BKZ$1,Equilibrium[[Ticker]:[Weight]],2,FALSE),0%)</f>
        <v>0.03241490246</v>
      </c>
      <c r="BLA3" s="179">
        <f>IFERROR(VLOOKUP(BLA$1,Equilibrium[[Ticker]:[Weight]],2,FALSE),0%)</f>
        <v>0</v>
      </c>
      <c r="BLB3" s="179">
        <f>IFERROR(VLOOKUP(BLB$1,Equilibrium[[Ticker]:[Weight]],2,FALSE),0%)</f>
        <v>0</v>
      </c>
      <c r="BLC3" s="179">
        <f>IFERROR(VLOOKUP(BLC$1,Equilibrium[[Ticker]:[Weight]],2,FALSE),0%)</f>
        <v>0</v>
      </c>
      <c r="BLD3" s="179">
        <f>IFERROR(VLOOKUP(BLD$1,Equilibrium[[Ticker]:[Weight]],2,FALSE),0%)</f>
        <v>0</v>
      </c>
      <c r="BLE3" s="179">
        <f>IFERROR(VLOOKUP(BLE$1,Equilibrium[[Ticker]:[Weight]],2,FALSE),0%)</f>
        <v>0</v>
      </c>
      <c r="BLF3" s="179">
        <f>IFERROR(VLOOKUP(BLF$1,Equilibrium[[Ticker]:[Weight]],2,FALSE),0%)</f>
        <v>0</v>
      </c>
      <c r="BLG3" s="179">
        <f>IFERROR(VLOOKUP(BLG$1,Equilibrium[[Ticker]:[Weight]],2,FALSE),0%)</f>
        <v>0</v>
      </c>
      <c r="BLH3" s="179">
        <f>IFERROR(VLOOKUP(BLH$1,Equilibrium[[Ticker]:[Weight]],2,FALSE),0%)</f>
        <v>0</v>
      </c>
      <c r="BLI3" s="179">
        <f>IFERROR(VLOOKUP(BLI$1,Equilibrium[[Ticker]:[Weight]],2,FALSE),0%)</f>
        <v>0</v>
      </c>
      <c r="BLJ3" s="179">
        <f>IFERROR(VLOOKUP(BLJ$1,Equilibrium[[Ticker]:[Weight]],2,FALSE),0%)</f>
        <v>0</v>
      </c>
      <c r="BLK3" s="179">
        <f>IFERROR(VLOOKUP(BLK$1,Equilibrium[[Ticker]:[Weight]],2,FALSE),0%)</f>
        <v>0</v>
      </c>
      <c r="BLL3" s="179">
        <f>IFERROR(VLOOKUP(BLL$1,Equilibrium[[Ticker]:[Weight]],2,FALSE),0%)</f>
        <v>0</v>
      </c>
      <c r="BLM3" s="179">
        <f>IFERROR(VLOOKUP(BLM$1,Equilibrium[[Ticker]:[Weight]],2,FALSE),0%)</f>
        <v>0</v>
      </c>
      <c r="BLN3" s="179">
        <f>IFERROR(VLOOKUP(BLN$1,Equilibrium[[Ticker]:[Weight]],2,FALSE),0%)</f>
        <v>0</v>
      </c>
      <c r="BLO3" s="179">
        <f>IFERROR(VLOOKUP(BLO$1,Equilibrium[[Ticker]:[Weight]],2,FALSE),0%)</f>
        <v>0</v>
      </c>
      <c r="BLP3" s="179">
        <f>IFERROR(VLOOKUP(BLP$1,Equilibrium[[Ticker]:[Weight]],2,FALSE),0%)</f>
        <v>0</v>
      </c>
      <c r="BLQ3" s="179">
        <f>IFERROR(VLOOKUP(BLQ$1,Equilibrium[[Ticker]:[Weight]],2,FALSE),0%)</f>
        <v>0</v>
      </c>
      <c r="BLR3" s="179">
        <f>IFERROR(VLOOKUP(BLR$1,Equilibrium[[Ticker]:[Weight]],2,FALSE),0%)</f>
        <v>0</v>
      </c>
      <c r="BLS3" s="179">
        <f>IFERROR(VLOOKUP(BLS$1,Equilibrium[[Ticker]:[Weight]],2,FALSE),0%)</f>
        <v>0</v>
      </c>
      <c r="BLT3" s="179">
        <f>IFERROR(VLOOKUP(BLT$1,Equilibrium[[Ticker]:[Weight]],2,FALSE),0%)</f>
        <v>0</v>
      </c>
      <c r="BLU3" s="179">
        <f>IFERROR(VLOOKUP(BLU$1,Equilibrium[[Ticker]:[Weight]],2,FALSE),0%)</f>
        <v>0</v>
      </c>
      <c r="BLV3" s="179">
        <f>IFERROR(VLOOKUP(BLV$1,Equilibrium[[Ticker]:[Weight]],2,FALSE),0%)</f>
        <v>0</v>
      </c>
      <c r="BLW3" s="179">
        <f>IFERROR(VLOOKUP(BLW$1,Equilibrium[[Ticker]:[Weight]],2,FALSE),0%)</f>
        <v>0</v>
      </c>
      <c r="BLX3" s="179">
        <f>IFERROR(VLOOKUP(BLX$1,Equilibrium[[Ticker]:[Weight]],2,FALSE),0%)</f>
        <v>0</v>
      </c>
      <c r="BLY3" s="179">
        <f>IFERROR(VLOOKUP(BLY$1,Equilibrium[[Ticker]:[Weight]],2,FALSE),0%)</f>
        <v>0</v>
      </c>
      <c r="BLZ3" s="179">
        <f>IFERROR(VLOOKUP(BLZ$1,Equilibrium[[Ticker]:[Weight]],2,FALSE),0%)</f>
        <v>0</v>
      </c>
      <c r="BMA3" s="179">
        <f>IFERROR(VLOOKUP(BMA$1,Equilibrium[[Ticker]:[Weight]],2,FALSE),0%)</f>
        <v>0</v>
      </c>
      <c r="BMB3" s="179">
        <f>IFERROR(VLOOKUP(BMB$1,Equilibrium[[Ticker]:[Weight]],2,FALSE),0%)</f>
        <v>0</v>
      </c>
      <c r="BMC3" s="179">
        <f>IFERROR(VLOOKUP(BMC$1,Equilibrium[[Ticker]:[Weight]],2,FALSE),0%)</f>
        <v>0</v>
      </c>
      <c r="BMD3" s="179">
        <f>IFERROR(VLOOKUP(BMD$1,Equilibrium[[Ticker]:[Weight]],2,FALSE),0%)</f>
        <v>0</v>
      </c>
      <c r="BME3" s="179">
        <f>IFERROR(VLOOKUP(BME$1,Equilibrium[[Ticker]:[Weight]],2,FALSE),0%)</f>
        <v>0</v>
      </c>
      <c r="BMF3" s="179">
        <f>IFERROR(VLOOKUP(BMF$1,Equilibrium[[Ticker]:[Weight]],2,FALSE),0%)</f>
        <v>0</v>
      </c>
      <c r="BMG3" s="179">
        <f>IFERROR(VLOOKUP(BMG$1,Equilibrium[[Ticker]:[Weight]],2,FALSE),0%)</f>
        <v>0</v>
      </c>
      <c r="BMH3" s="179">
        <f>IFERROR(VLOOKUP(BMH$1,Equilibrium[[Ticker]:[Weight]],2,FALSE),0%)</f>
        <v>0</v>
      </c>
      <c r="BMI3" s="179">
        <f>IFERROR(VLOOKUP(BMI$1,Equilibrium[[Ticker]:[Weight]],2,FALSE),0%)</f>
        <v>0</v>
      </c>
      <c r="BMJ3" s="179">
        <f>IFERROR(VLOOKUP(BMJ$1,Equilibrium[[Ticker]:[Weight]],2,FALSE),0%)</f>
        <v>0</v>
      </c>
      <c r="BMK3" s="179">
        <f>IFERROR(VLOOKUP(BMK$1,Equilibrium[[Ticker]:[Weight]],2,FALSE),0%)</f>
        <v>0</v>
      </c>
      <c r="BML3" s="179">
        <f>IFERROR(VLOOKUP(BML$1,Equilibrium[[Ticker]:[Weight]],2,FALSE),0%)</f>
        <v>0</v>
      </c>
      <c r="BMM3" s="179">
        <f>IFERROR(VLOOKUP(BMM$1,Equilibrium[[Ticker]:[Weight]],2,FALSE),0%)</f>
        <v>0</v>
      </c>
      <c r="BMN3" s="179">
        <f>IFERROR(VLOOKUP(BMN$1,Equilibrium[[Ticker]:[Weight]],2,FALSE),0%)</f>
        <v>0</v>
      </c>
      <c r="BMO3" s="179">
        <f>IFERROR(VLOOKUP(BMO$1,Equilibrium[[Ticker]:[Weight]],2,FALSE),0%)</f>
        <v>0</v>
      </c>
      <c r="BMP3" s="179">
        <f>IFERROR(VLOOKUP(BMP$1,Equilibrium[[Ticker]:[Weight]],2,FALSE),0%)</f>
        <v>0</v>
      </c>
      <c r="BMQ3" s="179">
        <f>IFERROR(VLOOKUP(BMQ$1,Equilibrium[[Ticker]:[Weight]],2,FALSE),0%)</f>
        <v>0</v>
      </c>
      <c r="BMR3" s="179">
        <f>IFERROR(VLOOKUP(BMR$1,Equilibrium[[Ticker]:[Weight]],2,FALSE),0%)</f>
        <v>0</v>
      </c>
      <c r="BMS3" s="179">
        <f>IFERROR(VLOOKUP(BMS$1,Equilibrium[[Ticker]:[Weight]],2,FALSE),0%)</f>
        <v>0</v>
      </c>
      <c r="BMT3" s="179">
        <f>IFERROR(VLOOKUP(BMT$1,Equilibrium[[Ticker]:[Weight]],2,FALSE),0%)</f>
        <v>0</v>
      </c>
      <c r="BMU3" s="179">
        <f>IFERROR(VLOOKUP(BMU$1,Equilibrium[[Ticker]:[Weight]],2,FALSE),0%)</f>
        <v>0</v>
      </c>
      <c r="BMV3" s="179">
        <f>IFERROR(VLOOKUP(BMV$1,Equilibrium[[Ticker]:[Weight]],2,FALSE),0%)</f>
        <v>0</v>
      </c>
      <c r="BMW3" s="179">
        <f>IFERROR(VLOOKUP(BMW$1,Equilibrium[[Ticker]:[Weight]],2,FALSE),0%)</f>
        <v>0</v>
      </c>
      <c r="BMX3" s="179">
        <f>IFERROR(VLOOKUP(BMX$1,Equilibrium[[Ticker]:[Weight]],2,FALSE),0%)</f>
        <v>0</v>
      </c>
      <c r="BMY3" s="179">
        <f>IFERROR(VLOOKUP(BMY$1,Equilibrium[[Ticker]:[Weight]],2,FALSE),0%)</f>
        <v>0</v>
      </c>
      <c r="BMZ3" s="179">
        <f>IFERROR(VLOOKUP(BMZ$1,Equilibrium[[Ticker]:[Weight]],2,FALSE),0%)</f>
        <v>0</v>
      </c>
      <c r="BNA3" s="179">
        <f>IFERROR(VLOOKUP(BNA$1,Equilibrium[[Ticker]:[Weight]],2,FALSE),0%)</f>
        <v>0</v>
      </c>
      <c r="BNB3" s="179">
        <f>IFERROR(VLOOKUP(BNB$1,Equilibrium[[Ticker]:[Weight]],2,FALSE),0%)</f>
        <v>0</v>
      </c>
      <c r="BNC3" s="179">
        <f>IFERROR(VLOOKUP(BNC$1,Equilibrium[[Ticker]:[Weight]],2,FALSE),0%)</f>
        <v>0</v>
      </c>
      <c r="BND3" s="179">
        <f>IFERROR(VLOOKUP(BND$1,Equilibrium[[Ticker]:[Weight]],2,FALSE),0%)</f>
        <v>0</v>
      </c>
      <c r="BNE3" s="179">
        <f>IFERROR(VLOOKUP(BNE$1,Equilibrium[[Ticker]:[Weight]],2,FALSE),0%)</f>
        <v>0</v>
      </c>
      <c r="BNF3" s="179">
        <f>IFERROR(VLOOKUP(BNF$1,Equilibrium[[Ticker]:[Weight]],2,FALSE),0%)</f>
        <v>0</v>
      </c>
      <c r="BNG3" s="179">
        <f>IFERROR(VLOOKUP(BNG$1,Equilibrium[[Ticker]:[Weight]],2,FALSE),0%)</f>
        <v>0</v>
      </c>
      <c r="BNH3" s="179">
        <f>IFERROR(VLOOKUP(BNH$1,Equilibrium[[Ticker]:[Weight]],2,FALSE),0%)</f>
        <v>0</v>
      </c>
      <c r="BNI3" s="179">
        <f>IFERROR(VLOOKUP(BNI$1,Equilibrium[[Ticker]:[Weight]],2,FALSE),0%)</f>
        <v>0</v>
      </c>
      <c r="BNJ3" s="179">
        <f>IFERROR(VLOOKUP(BNJ$1,Equilibrium[[Ticker]:[Weight]],2,FALSE),0%)</f>
        <v>0</v>
      </c>
      <c r="BNK3" s="179">
        <f>IFERROR(VLOOKUP(BNK$1,Equilibrium[[Ticker]:[Weight]],2,FALSE),0%)</f>
        <v>0</v>
      </c>
      <c r="BNL3" s="179">
        <f>IFERROR(VLOOKUP(BNL$1,Equilibrium[[Ticker]:[Weight]],2,FALSE),0%)</f>
        <v>0</v>
      </c>
      <c r="BNM3" s="179">
        <f>IFERROR(VLOOKUP(BNM$1,Equilibrium[[Ticker]:[Weight]],2,FALSE),0%)</f>
        <v>0</v>
      </c>
      <c r="BNN3" s="179">
        <f>IFERROR(VLOOKUP(BNN$1,Equilibrium[[Ticker]:[Weight]],2,FALSE),0%)</f>
        <v>0</v>
      </c>
      <c r="BNO3" s="179">
        <f>IFERROR(VLOOKUP(BNO$1,Equilibrium[[Ticker]:[Weight]],2,FALSE),0%)</f>
        <v>0</v>
      </c>
      <c r="BNP3" s="179">
        <f>IFERROR(VLOOKUP(BNP$1,Equilibrium[[Ticker]:[Weight]],2,FALSE),0%)</f>
        <v>0</v>
      </c>
      <c r="BNQ3" s="179">
        <f>IFERROR(VLOOKUP(BNQ$1,Equilibrium[[Ticker]:[Weight]],2,FALSE),0%)</f>
        <v>0</v>
      </c>
      <c r="BNR3" s="179">
        <f>IFERROR(VLOOKUP(BNR$1,Equilibrium[[Ticker]:[Weight]],2,FALSE),0%)</f>
        <v>0</v>
      </c>
      <c r="BNS3" s="179">
        <f>IFERROR(VLOOKUP(BNS$1,Equilibrium[[Ticker]:[Weight]],2,FALSE),0%)</f>
        <v>0</v>
      </c>
      <c r="BNT3" s="179">
        <f>IFERROR(VLOOKUP(BNT$1,Equilibrium[[Ticker]:[Weight]],2,FALSE),0%)</f>
        <v>0</v>
      </c>
      <c r="BNU3" s="179">
        <f>IFERROR(VLOOKUP(BNU$1,Equilibrium[[Ticker]:[Weight]],2,FALSE),0%)</f>
        <v>0</v>
      </c>
      <c r="BNV3" s="179">
        <f>IFERROR(VLOOKUP(BNV$1,Equilibrium[[Ticker]:[Weight]],2,FALSE),0%)</f>
        <v>0</v>
      </c>
      <c r="BNW3" s="179">
        <f>IFERROR(VLOOKUP(BNW$1,Equilibrium[[Ticker]:[Weight]],2,FALSE),0%)</f>
        <v>0</v>
      </c>
      <c r="BNX3" s="179">
        <f>IFERROR(VLOOKUP(BNX$1,Equilibrium[[Ticker]:[Weight]],2,FALSE),0%)</f>
        <v>0</v>
      </c>
      <c r="BNY3" s="179">
        <f>IFERROR(VLOOKUP(BNY$1,Equilibrium[[Ticker]:[Weight]],2,FALSE),0%)</f>
        <v>0</v>
      </c>
      <c r="BNZ3" s="179">
        <f>IFERROR(VLOOKUP(BNZ$1,Equilibrium[[Ticker]:[Weight]],2,FALSE),0%)</f>
        <v>0</v>
      </c>
      <c r="BOA3" s="179">
        <f>IFERROR(VLOOKUP(BOA$1,Equilibrium[[Ticker]:[Weight]],2,FALSE),0%)</f>
        <v>0</v>
      </c>
      <c r="BOB3" s="179">
        <f>IFERROR(VLOOKUP(BOB$1,Equilibrium[[Ticker]:[Weight]],2,FALSE),0%)</f>
        <v>0</v>
      </c>
      <c r="BOC3" s="179">
        <f>IFERROR(VLOOKUP(BOC$1,Equilibrium[[Ticker]:[Weight]],2,FALSE),0%)</f>
        <v>0</v>
      </c>
      <c r="BOD3" s="179">
        <f>IFERROR(VLOOKUP(BOD$1,Equilibrium[[Ticker]:[Weight]],2,FALSE),0%)</f>
        <v>0</v>
      </c>
      <c r="BOE3" s="179">
        <f>IFERROR(VLOOKUP(BOE$1,Equilibrium[[Ticker]:[Weight]],2,FALSE),0%)</f>
        <v>0</v>
      </c>
      <c r="BOF3" s="179">
        <f>IFERROR(VLOOKUP(BOF$1,Equilibrium[[Ticker]:[Weight]],2,FALSE),0%)</f>
        <v>0</v>
      </c>
      <c r="BOG3" s="179">
        <f>IFERROR(VLOOKUP(BOG$1,Equilibrium[[Ticker]:[Weight]],2,FALSE),0%)</f>
        <v>0</v>
      </c>
      <c r="BOH3" s="179">
        <f>IFERROR(VLOOKUP(BOH$1,Equilibrium[[Ticker]:[Weight]],2,FALSE),0%)</f>
        <v>0</v>
      </c>
      <c r="BOI3" s="179">
        <f>IFERROR(VLOOKUP(BOI$1,Equilibrium[[Ticker]:[Weight]],2,FALSE),0%)</f>
        <v>0</v>
      </c>
      <c r="BOJ3" s="179">
        <f>IFERROR(VLOOKUP(BOJ$1,Equilibrium[[Ticker]:[Weight]],2,FALSE),0%)</f>
        <v>0</v>
      </c>
      <c r="BOK3" s="179">
        <f>IFERROR(VLOOKUP(BOK$1,Equilibrium[[Ticker]:[Weight]],2,FALSE),0%)</f>
        <v>0</v>
      </c>
      <c r="BOL3" s="179">
        <f>IFERROR(VLOOKUP(BOL$1,Equilibrium[[Ticker]:[Weight]],2,FALSE),0%)</f>
        <v>0</v>
      </c>
      <c r="BOM3" s="179">
        <f>IFERROR(VLOOKUP(BOM$1,Equilibrium[[Ticker]:[Weight]],2,FALSE),0%)</f>
        <v>0</v>
      </c>
      <c r="BON3" s="179">
        <f>IFERROR(VLOOKUP(BON$1,Equilibrium[[Ticker]:[Weight]],2,FALSE),0%)</f>
        <v>0</v>
      </c>
      <c r="BOO3" s="179">
        <f>IFERROR(VLOOKUP(BOO$1,Equilibrium[[Ticker]:[Weight]],2,FALSE),0%)</f>
        <v>0</v>
      </c>
      <c r="BOP3" s="179">
        <f>IFERROR(VLOOKUP(BOP$1,Equilibrium[[Ticker]:[Weight]],2,FALSE),0%)</f>
        <v>0</v>
      </c>
      <c r="BOQ3" s="179">
        <f>IFERROR(VLOOKUP(BOQ$1,Equilibrium[[Ticker]:[Weight]],2,FALSE),0%)</f>
        <v>0</v>
      </c>
      <c r="BOR3" s="179">
        <f>IFERROR(VLOOKUP(BOR$1,Equilibrium[[Ticker]:[Weight]],2,FALSE),0%)</f>
        <v>0</v>
      </c>
      <c r="BOS3" s="179">
        <f>IFERROR(VLOOKUP(BOS$1,Equilibrium[[Ticker]:[Weight]],2,FALSE),0%)</f>
        <v>0</v>
      </c>
      <c r="BOT3" s="179">
        <f>IFERROR(VLOOKUP(BOT$1,Equilibrium[[Ticker]:[Weight]],2,FALSE),0%)</f>
        <v>0</v>
      </c>
      <c r="BOU3" s="179">
        <f>IFERROR(VLOOKUP(BOU$1,Equilibrium[[Ticker]:[Weight]],2,FALSE),0%)</f>
        <v>0</v>
      </c>
      <c r="BOV3" s="179">
        <f>IFERROR(VLOOKUP(BOV$1,Equilibrium[[Ticker]:[Weight]],2,FALSE),0%)</f>
        <v>0</v>
      </c>
      <c r="BOW3" s="179">
        <f>IFERROR(VLOOKUP(BOW$1,Equilibrium[[Ticker]:[Weight]],2,FALSE),0%)</f>
        <v>0</v>
      </c>
      <c r="BOX3" s="179">
        <f>IFERROR(VLOOKUP(BOX$1,Equilibrium[[Ticker]:[Weight]],2,FALSE),0%)</f>
        <v>0</v>
      </c>
      <c r="BOY3" s="179">
        <f>IFERROR(VLOOKUP(BOY$1,Equilibrium[[Ticker]:[Weight]],2,FALSE),0%)</f>
        <v>0</v>
      </c>
      <c r="BOZ3" s="179">
        <f>IFERROR(VLOOKUP(BOZ$1,Equilibrium[[Ticker]:[Weight]],2,FALSE),0%)</f>
        <v>0</v>
      </c>
      <c r="BPA3" s="179">
        <f>IFERROR(VLOOKUP(BPA$1,Equilibrium[[Ticker]:[Weight]],2,FALSE),0%)</f>
        <v>0</v>
      </c>
      <c r="BPB3" s="179">
        <f>IFERROR(VLOOKUP(BPB$1,Equilibrium[[Ticker]:[Weight]],2,FALSE),0%)</f>
        <v>0</v>
      </c>
      <c r="BPC3" s="179">
        <f>IFERROR(VLOOKUP(BPC$1,Equilibrium[[Ticker]:[Weight]],2,FALSE),0%)</f>
        <v>0</v>
      </c>
      <c r="BPD3" s="179">
        <f>IFERROR(VLOOKUP(BPD$1,Equilibrium[[Ticker]:[Weight]],2,FALSE),0%)</f>
        <v>0</v>
      </c>
      <c r="BPE3" s="179">
        <f>IFERROR(VLOOKUP(BPE$1,Equilibrium[[Ticker]:[Weight]],2,FALSE),0%)</f>
        <v>0</v>
      </c>
      <c r="BPF3" s="179">
        <f>IFERROR(VLOOKUP(BPF$1,Equilibrium[[Ticker]:[Weight]],2,FALSE),0%)</f>
        <v>0</v>
      </c>
      <c r="BPG3" s="179">
        <f>IFERROR(VLOOKUP(BPG$1,Equilibrium[[Ticker]:[Weight]],2,FALSE),0%)</f>
        <v>0</v>
      </c>
      <c r="BPH3" s="179">
        <f>IFERROR(VLOOKUP(BPH$1,Equilibrium[[Ticker]:[Weight]],2,FALSE),0%)</f>
        <v>0</v>
      </c>
      <c r="BPI3" s="179">
        <f>IFERROR(VLOOKUP(BPI$1,Equilibrium[[Ticker]:[Weight]],2,FALSE),0%)</f>
        <v>0</v>
      </c>
      <c r="BPJ3" s="179">
        <f>IFERROR(VLOOKUP(BPJ$1,Equilibrium[[Ticker]:[Weight]],2,FALSE),0%)</f>
        <v>0</v>
      </c>
      <c r="BPK3" s="179">
        <f>IFERROR(VLOOKUP(BPK$1,Equilibrium[[Ticker]:[Weight]],2,FALSE),0%)</f>
        <v>0</v>
      </c>
      <c r="BPL3" s="179">
        <f>IFERROR(VLOOKUP(BPL$1,Equilibrium[[Ticker]:[Weight]],2,FALSE),0%)</f>
        <v>0</v>
      </c>
      <c r="BPM3" s="179">
        <f>IFERROR(VLOOKUP(BPM$1,Equilibrium[[Ticker]:[Weight]],2,FALSE),0%)</f>
        <v>0</v>
      </c>
      <c r="BPN3" s="179">
        <f>IFERROR(VLOOKUP(BPN$1,Equilibrium[[Ticker]:[Weight]],2,FALSE),0%)</f>
        <v>0</v>
      </c>
      <c r="BPO3" s="179">
        <f>IFERROR(VLOOKUP(BPO$1,Equilibrium[[Ticker]:[Weight]],2,FALSE),0%)</f>
        <v>0</v>
      </c>
      <c r="BPP3" s="179">
        <f>IFERROR(VLOOKUP(BPP$1,Equilibrium[[Ticker]:[Weight]],2,FALSE),0%)</f>
        <v>0</v>
      </c>
      <c r="BPQ3" s="179">
        <f>IFERROR(VLOOKUP(BPQ$1,Equilibrium[[Ticker]:[Weight]],2,FALSE),0%)</f>
        <v>0</v>
      </c>
      <c r="BPR3" s="179">
        <f>IFERROR(VLOOKUP(BPR$1,Equilibrium[[Ticker]:[Weight]],2,FALSE),0%)</f>
        <v>0</v>
      </c>
      <c r="BPS3" s="179">
        <f>IFERROR(VLOOKUP(BPS$1,Equilibrium[[Ticker]:[Weight]],2,FALSE),0%)</f>
        <v>0</v>
      </c>
      <c r="BPT3" s="179">
        <f>IFERROR(VLOOKUP(BPT$1,Equilibrium[[Ticker]:[Weight]],2,FALSE),0%)</f>
        <v>0</v>
      </c>
      <c r="BPU3" s="179">
        <f>IFERROR(VLOOKUP(BPU$1,Equilibrium[[Ticker]:[Weight]],2,FALSE),0%)</f>
        <v>0</v>
      </c>
      <c r="BPV3" s="179">
        <f>IFERROR(VLOOKUP(BPV$1,Equilibrium[[Ticker]:[Weight]],2,FALSE),0%)</f>
        <v>0</v>
      </c>
      <c r="BPW3" s="179">
        <f>IFERROR(VLOOKUP(BPW$1,Equilibrium[[Ticker]:[Weight]],2,FALSE),0%)</f>
        <v>0</v>
      </c>
      <c r="BPX3" s="179">
        <f>IFERROR(VLOOKUP(BPX$1,Equilibrium[[Ticker]:[Weight]],2,FALSE),0%)</f>
        <v>0</v>
      </c>
      <c r="BPY3" s="179">
        <f>IFERROR(VLOOKUP(BPY$1,Equilibrium[[Ticker]:[Weight]],2,FALSE),0%)</f>
        <v>0</v>
      </c>
      <c r="BPZ3" s="179">
        <f>IFERROR(VLOOKUP(BPZ$1,Equilibrium[[Ticker]:[Weight]],2,FALSE),0%)</f>
        <v>0</v>
      </c>
      <c r="BQA3" s="179">
        <f>IFERROR(VLOOKUP(BQA$1,Equilibrium[[Ticker]:[Weight]],2,FALSE),0%)</f>
        <v>0</v>
      </c>
      <c r="BQB3" s="179">
        <f>IFERROR(VLOOKUP(BQB$1,Equilibrium[[Ticker]:[Weight]],2,FALSE),0%)</f>
        <v>0</v>
      </c>
      <c r="BQC3" s="179">
        <f>IFERROR(VLOOKUP(BQC$1,Equilibrium[[Ticker]:[Weight]],2,FALSE),0%)</f>
        <v>0</v>
      </c>
      <c r="BQD3" s="179">
        <f>IFERROR(VLOOKUP(BQD$1,Equilibrium[[Ticker]:[Weight]],2,FALSE),0%)</f>
        <v>0</v>
      </c>
      <c r="BQE3" s="179">
        <f>IFERROR(VLOOKUP(BQE$1,Equilibrium[[Ticker]:[Weight]],2,FALSE),0%)</f>
        <v>0</v>
      </c>
      <c r="BQF3" s="179">
        <f>IFERROR(VLOOKUP(BQF$1,Equilibrium[[Ticker]:[Weight]],2,FALSE),0%)</f>
        <v>0</v>
      </c>
      <c r="BQG3" s="179">
        <f>IFERROR(VLOOKUP(BQG$1,Equilibrium[[Ticker]:[Weight]],2,FALSE),0%)</f>
        <v>0</v>
      </c>
      <c r="BQH3" s="179">
        <f>IFERROR(VLOOKUP(BQH$1,Equilibrium[[Ticker]:[Weight]],2,FALSE),0%)</f>
        <v>0</v>
      </c>
      <c r="BQI3" s="179">
        <f>IFERROR(VLOOKUP(BQI$1,Equilibrium[[Ticker]:[Weight]],2,FALSE),0%)</f>
        <v>0</v>
      </c>
      <c r="BQJ3" s="179">
        <f>IFERROR(VLOOKUP(BQJ$1,Equilibrium[[Ticker]:[Weight]],2,FALSE),0%)</f>
        <v>0</v>
      </c>
      <c r="BQK3" s="179">
        <f>IFERROR(VLOOKUP(BQK$1,Equilibrium[[Ticker]:[Weight]],2,FALSE),0%)</f>
        <v>0</v>
      </c>
      <c r="BQL3" s="179">
        <f>IFERROR(VLOOKUP(BQL$1,Equilibrium[[Ticker]:[Weight]],2,FALSE),0%)</f>
        <v>0</v>
      </c>
      <c r="BQM3" s="179">
        <f>IFERROR(VLOOKUP(BQM$1,Equilibrium[[Ticker]:[Weight]],2,FALSE),0%)</f>
        <v>0</v>
      </c>
      <c r="BQN3" s="179">
        <f>IFERROR(VLOOKUP(BQN$1,Equilibrium[[Ticker]:[Weight]],2,FALSE),0%)</f>
        <v>0</v>
      </c>
      <c r="BQO3" s="179">
        <f>IFERROR(VLOOKUP(BQO$1,Equilibrium[[Ticker]:[Weight]],2,FALSE),0%)</f>
        <v>0</v>
      </c>
      <c r="BQP3" s="179">
        <f>IFERROR(VLOOKUP(BQP$1,Equilibrium[[Ticker]:[Weight]],2,FALSE),0%)</f>
        <v>0</v>
      </c>
      <c r="BQQ3" s="179">
        <f>IFERROR(VLOOKUP(BQQ$1,Equilibrium[[Ticker]:[Weight]],2,FALSE),0%)</f>
        <v>0</v>
      </c>
      <c r="BQR3" s="179">
        <f>IFERROR(VLOOKUP(BQR$1,Equilibrium[[Ticker]:[Weight]],2,FALSE),0%)</f>
        <v>0</v>
      </c>
      <c r="BQS3" s="179">
        <f>IFERROR(VLOOKUP(BQS$1,Equilibrium[[Ticker]:[Weight]],2,FALSE),0%)</f>
        <v>0</v>
      </c>
      <c r="BQT3" s="179">
        <f>IFERROR(VLOOKUP(BQT$1,Equilibrium[[Ticker]:[Weight]],2,FALSE),0%)</f>
        <v>0</v>
      </c>
      <c r="BQU3" s="179">
        <f>IFERROR(VLOOKUP(BQU$1,Equilibrium[[Ticker]:[Weight]],2,FALSE),0%)</f>
        <v>0</v>
      </c>
      <c r="BQV3" s="179">
        <f>IFERROR(VLOOKUP(BQV$1,Equilibrium[[Ticker]:[Weight]],2,FALSE),0%)</f>
        <v>0</v>
      </c>
      <c r="BQW3" s="179">
        <f>IFERROR(VLOOKUP(BQW$1,Equilibrium[[Ticker]:[Weight]],2,FALSE),0%)</f>
        <v>0</v>
      </c>
      <c r="BQX3" s="179">
        <f>IFERROR(VLOOKUP(BQX$1,Equilibrium[[Ticker]:[Weight]],2,FALSE),0%)</f>
        <v>0</v>
      </c>
      <c r="BQY3" s="179">
        <f>IFERROR(VLOOKUP(BQY$1,Equilibrium[[Ticker]:[Weight]],2,FALSE),0%)</f>
        <v>0</v>
      </c>
      <c r="BQZ3" s="179">
        <f>IFERROR(VLOOKUP(BQZ$1,Equilibrium[[Ticker]:[Weight]],2,FALSE),0%)</f>
        <v>0</v>
      </c>
      <c r="BRA3" s="179">
        <f>IFERROR(VLOOKUP(BRA$1,Equilibrium[[Ticker]:[Weight]],2,FALSE),0%)</f>
        <v>0</v>
      </c>
      <c r="BRB3" s="179">
        <f>IFERROR(VLOOKUP(BRB$1,Equilibrium[[Ticker]:[Weight]],2,FALSE),0%)</f>
        <v>0</v>
      </c>
      <c r="BRC3" s="179">
        <f>IFERROR(VLOOKUP(BRC$1,Equilibrium[[Ticker]:[Weight]],2,FALSE),0%)</f>
        <v>0</v>
      </c>
      <c r="BRD3" s="179">
        <f>IFERROR(VLOOKUP(BRD$1,Equilibrium[[Ticker]:[Weight]],2,FALSE),0%)</f>
        <v>0</v>
      </c>
      <c r="BRE3" s="179">
        <f>IFERROR(VLOOKUP(BRE$1,Equilibrium[[Ticker]:[Weight]],2,FALSE),0%)</f>
        <v>0</v>
      </c>
      <c r="BRF3" s="179">
        <f>IFERROR(VLOOKUP(BRF$1,Equilibrium[[Ticker]:[Weight]],2,FALSE),0%)</f>
        <v>0</v>
      </c>
      <c r="BRG3" s="179">
        <f>IFERROR(VLOOKUP(BRG$1,Equilibrium[[Ticker]:[Weight]],2,FALSE),0%)</f>
        <v>0</v>
      </c>
      <c r="BRH3" s="179">
        <f>IFERROR(VLOOKUP(BRH$1,Equilibrium[[Ticker]:[Weight]],2,FALSE),0%)</f>
        <v>0</v>
      </c>
      <c r="BRI3" s="179">
        <f>IFERROR(VLOOKUP(BRI$1,Equilibrium[[Ticker]:[Weight]],2,FALSE),0%)</f>
        <v>0</v>
      </c>
      <c r="BRJ3" s="179">
        <f>IFERROR(VLOOKUP(BRJ$1,Equilibrium[[Ticker]:[Weight]],2,FALSE),0%)</f>
        <v>0</v>
      </c>
      <c r="BRK3" s="179">
        <f>IFERROR(VLOOKUP(BRK$1,Equilibrium[[Ticker]:[Weight]],2,FALSE),0%)</f>
        <v>0</v>
      </c>
      <c r="BRL3" s="179">
        <f>IFERROR(VLOOKUP(BRL$1,Equilibrium[[Ticker]:[Weight]],2,FALSE),0%)</f>
        <v>0</v>
      </c>
      <c r="BRM3" s="179">
        <f>IFERROR(VLOOKUP(BRM$1,Equilibrium[[Ticker]:[Weight]],2,FALSE),0%)</f>
        <v>0</v>
      </c>
      <c r="BRN3" s="179">
        <f>IFERROR(VLOOKUP(BRN$1,Equilibrium[[Ticker]:[Weight]],2,FALSE),0%)</f>
        <v>0</v>
      </c>
      <c r="BRO3" s="179">
        <f>IFERROR(VLOOKUP(BRO$1,Equilibrium[[Ticker]:[Weight]],2,FALSE),0%)</f>
        <v>0</v>
      </c>
      <c r="BRP3" s="179">
        <f>IFERROR(VLOOKUP(BRP$1,Equilibrium[[Ticker]:[Weight]],2,FALSE),0%)</f>
        <v>0</v>
      </c>
      <c r="BRQ3" s="179">
        <f>IFERROR(VLOOKUP(BRQ$1,Equilibrium[[Ticker]:[Weight]],2,FALSE),0%)</f>
        <v>0</v>
      </c>
      <c r="BRR3" s="179">
        <f>IFERROR(VLOOKUP(BRR$1,Equilibrium[[Ticker]:[Weight]],2,FALSE),0%)</f>
        <v>0</v>
      </c>
      <c r="BRS3" s="179">
        <f>IFERROR(VLOOKUP(BRS$1,Equilibrium[[Ticker]:[Weight]],2,FALSE),0%)</f>
        <v>0</v>
      </c>
      <c r="BRT3" s="179">
        <f>IFERROR(VLOOKUP(BRT$1,Equilibrium[[Ticker]:[Weight]],2,FALSE),0%)</f>
        <v>0</v>
      </c>
      <c r="BRU3" s="179">
        <f>IFERROR(VLOOKUP(BRU$1,Equilibrium[[Ticker]:[Weight]],2,FALSE),0%)</f>
        <v>0</v>
      </c>
      <c r="BRV3" s="179">
        <f>IFERROR(VLOOKUP(BRV$1,Equilibrium[[Ticker]:[Weight]],2,FALSE),0%)</f>
        <v>0</v>
      </c>
      <c r="BRW3" s="179">
        <f>IFERROR(VLOOKUP(BRW$1,Equilibrium[[Ticker]:[Weight]],2,FALSE),0%)</f>
        <v>0</v>
      </c>
      <c r="BRX3" s="179">
        <f>IFERROR(VLOOKUP(BRX$1,Equilibrium[[Ticker]:[Weight]],2,FALSE),0%)</f>
        <v>0</v>
      </c>
      <c r="BRY3" s="179">
        <f>IFERROR(VLOOKUP(BRY$1,Equilibrium[[Ticker]:[Weight]],2,FALSE),0%)</f>
        <v>0</v>
      </c>
      <c r="BRZ3" s="179">
        <f>IFERROR(VLOOKUP(BRZ$1,Equilibrium[[Ticker]:[Weight]],2,FALSE),0%)</f>
        <v>0</v>
      </c>
      <c r="BSA3" s="179">
        <f>IFERROR(VLOOKUP(BSA$1,Equilibrium[[Ticker]:[Weight]],2,FALSE),0%)</f>
        <v>0</v>
      </c>
      <c r="BSB3" s="179">
        <f>IFERROR(VLOOKUP(BSB$1,Equilibrium[[Ticker]:[Weight]],2,FALSE),0%)</f>
        <v>0</v>
      </c>
      <c r="BSC3" s="179">
        <f>IFERROR(VLOOKUP(BSC$1,Equilibrium[[Ticker]:[Weight]],2,FALSE),0%)</f>
        <v>0</v>
      </c>
      <c r="BSD3" s="179">
        <f>IFERROR(VLOOKUP(BSD$1,Equilibrium[[Ticker]:[Weight]],2,FALSE),0%)</f>
        <v>0</v>
      </c>
      <c r="BSE3" s="179">
        <f>IFERROR(VLOOKUP(BSE$1,Equilibrium[[Ticker]:[Weight]],2,FALSE),0%)</f>
        <v>0</v>
      </c>
      <c r="BSF3" s="179">
        <f>IFERROR(VLOOKUP(BSF$1,Equilibrium[[Ticker]:[Weight]],2,FALSE),0%)</f>
        <v>0</v>
      </c>
      <c r="BSG3" s="179">
        <f>IFERROR(VLOOKUP(BSG$1,Equilibrium[[Ticker]:[Weight]],2,FALSE),0%)</f>
        <v>0</v>
      </c>
      <c r="BSH3" s="179">
        <f>IFERROR(VLOOKUP(BSH$1,Equilibrium[[Ticker]:[Weight]],2,FALSE),0%)</f>
        <v>0</v>
      </c>
      <c r="BSI3" s="179">
        <f>IFERROR(VLOOKUP(BSI$1,Equilibrium[[Ticker]:[Weight]],2,FALSE),0%)</f>
        <v>0</v>
      </c>
      <c r="BSJ3" s="179">
        <f>IFERROR(VLOOKUP(BSJ$1,Equilibrium[[Ticker]:[Weight]],2,FALSE),0%)</f>
        <v>0</v>
      </c>
      <c r="BSK3" s="179">
        <f>IFERROR(VLOOKUP(BSK$1,Equilibrium[[Ticker]:[Weight]],2,FALSE),0%)</f>
        <v>0</v>
      </c>
      <c r="BSL3" s="179">
        <f>IFERROR(VLOOKUP(BSL$1,Equilibrium[[Ticker]:[Weight]],2,FALSE),0%)</f>
        <v>0</v>
      </c>
      <c r="BSM3" s="179">
        <f>IFERROR(VLOOKUP(BSM$1,Equilibrium[[Ticker]:[Weight]],2,FALSE),0%)</f>
        <v>0</v>
      </c>
      <c r="BSN3" s="179">
        <f>IFERROR(VLOOKUP(BSN$1,Equilibrium[[Ticker]:[Weight]],2,FALSE),0%)</f>
        <v>0</v>
      </c>
      <c r="BSO3" s="179">
        <f>IFERROR(VLOOKUP(BSO$1,Equilibrium[[Ticker]:[Weight]],2,FALSE),0%)</f>
        <v>0</v>
      </c>
      <c r="BSP3" s="179">
        <f>IFERROR(VLOOKUP(BSP$1,Equilibrium[[Ticker]:[Weight]],2,FALSE),0%)</f>
        <v>0</v>
      </c>
      <c r="BSQ3" s="179">
        <f>IFERROR(VLOOKUP(BSQ$1,Equilibrium[[Ticker]:[Weight]],2,FALSE),0%)</f>
        <v>0</v>
      </c>
      <c r="BSR3" s="179">
        <f>IFERROR(VLOOKUP(BSR$1,Equilibrium[[Ticker]:[Weight]],2,FALSE),0%)</f>
        <v>0.0151</v>
      </c>
      <c r="BSS3" s="179">
        <f>IFERROR(VLOOKUP(BSS$1,Equilibrium[[Ticker]:[Weight]],2,FALSE),0%)</f>
        <v>0</v>
      </c>
      <c r="BST3" s="179">
        <f>IFERROR(VLOOKUP(BST$1,Equilibrium[[Ticker]:[Weight]],2,FALSE),0%)</f>
        <v>0</v>
      </c>
      <c r="BSU3" s="179">
        <f>IFERROR(VLOOKUP(BSU$1,Equilibrium[[Ticker]:[Weight]],2,FALSE),0%)</f>
        <v>0</v>
      </c>
      <c r="BSV3" s="179">
        <f>IFERROR(VLOOKUP(BSV$1,Equilibrium[[Ticker]:[Weight]],2,FALSE),0%)</f>
        <v>0</v>
      </c>
      <c r="BSW3" s="179">
        <f>IFERROR(VLOOKUP(BSW$1,Equilibrium[[Ticker]:[Weight]],2,FALSE),0%)</f>
        <v>0</v>
      </c>
      <c r="BSX3" s="179">
        <f>IFERROR(VLOOKUP(BSX$1,Equilibrium[[Ticker]:[Weight]],2,FALSE),0%)</f>
        <v>0</v>
      </c>
      <c r="BSY3" s="179">
        <f>IFERROR(VLOOKUP(BSY$1,Equilibrium[[Ticker]:[Weight]],2,FALSE),0%)</f>
        <v>0</v>
      </c>
      <c r="BSZ3" s="179">
        <f>IFERROR(VLOOKUP(BSZ$1,Equilibrium[[Ticker]:[Weight]],2,FALSE),0%)</f>
        <v>0</v>
      </c>
      <c r="BTA3" s="179">
        <f>IFERROR(VLOOKUP(BTA$1,Equilibrium[[Ticker]:[Weight]],2,FALSE),0%)</f>
        <v>0</v>
      </c>
      <c r="BTB3" s="179">
        <f>IFERROR(VLOOKUP(BTB$1,Equilibrium[[Ticker]:[Weight]],2,FALSE),0%)</f>
        <v>0</v>
      </c>
      <c r="BTC3" s="179">
        <f>IFERROR(VLOOKUP(BTC$1,Equilibrium[[Ticker]:[Weight]],2,FALSE),0%)</f>
        <v>0</v>
      </c>
      <c r="BTD3" s="179">
        <f>IFERROR(VLOOKUP(BTD$1,Equilibrium[[Ticker]:[Weight]],2,FALSE),0%)</f>
        <v>0</v>
      </c>
      <c r="BTE3" s="179">
        <f>IFERROR(VLOOKUP(BTE$1,Equilibrium[[Ticker]:[Weight]],2,FALSE),0%)</f>
        <v>0</v>
      </c>
      <c r="BTF3" s="179">
        <f>IFERROR(VLOOKUP(BTF$1,Equilibrium[[Ticker]:[Weight]],2,FALSE),0%)</f>
        <v>0</v>
      </c>
      <c r="BTG3" s="179">
        <f>IFERROR(VLOOKUP(BTG$1,Equilibrium[[Ticker]:[Weight]],2,FALSE),0%)</f>
        <v>0</v>
      </c>
      <c r="BTH3" s="179">
        <f>IFERROR(VLOOKUP(BTH$1,Equilibrium[[Ticker]:[Weight]],2,FALSE),0%)</f>
        <v>0</v>
      </c>
      <c r="BTI3" s="179">
        <f>IFERROR(VLOOKUP(BTI$1,Equilibrium[[Ticker]:[Weight]],2,FALSE),0%)</f>
        <v>0.1066</v>
      </c>
      <c r="BTJ3" s="179">
        <f>IFERROR(VLOOKUP(BTJ$1,Equilibrium[[Ticker]:[Weight]],2,FALSE),0%)</f>
        <v>0</v>
      </c>
      <c r="BTK3" s="179">
        <f>IFERROR(VLOOKUP(BTK$1,Equilibrium[[Ticker]:[Weight]],2,FALSE),0%)</f>
        <v>0</v>
      </c>
      <c r="BTL3" s="179">
        <f>IFERROR(VLOOKUP(BTL$1,Equilibrium[[Ticker]:[Weight]],2,FALSE),0%)</f>
        <v>0</v>
      </c>
      <c r="BTM3" s="179">
        <f>IFERROR(VLOOKUP(BTM$1,Equilibrium[[Ticker]:[Weight]],2,FALSE),0%)</f>
        <v>0</v>
      </c>
      <c r="BTN3" s="179">
        <f>IFERROR(VLOOKUP(BTN$1,Equilibrium[[Ticker]:[Weight]],2,FALSE),0%)</f>
        <v>0</v>
      </c>
      <c r="BTO3" s="179">
        <f>IFERROR(VLOOKUP(BTO$1,Equilibrium[[Ticker]:[Weight]],2,FALSE),0%)</f>
        <v>0</v>
      </c>
      <c r="BTP3" s="179">
        <f>IFERROR(VLOOKUP(BTP$1,Equilibrium[[Ticker]:[Weight]],2,FALSE),0%)</f>
        <v>0</v>
      </c>
      <c r="BTQ3" s="179">
        <f>IFERROR(VLOOKUP(BTQ$1,Equilibrium[[Ticker]:[Weight]],2,FALSE),0%)</f>
        <v>0</v>
      </c>
      <c r="BTR3" s="179">
        <f>IFERROR(VLOOKUP(BTR$1,Equilibrium[[Ticker]:[Weight]],2,FALSE),0%)</f>
        <v>0</v>
      </c>
      <c r="BTS3" s="179">
        <f>IFERROR(VLOOKUP(BTS$1,Equilibrium[[Ticker]:[Weight]],2,FALSE),0%)</f>
        <v>0</v>
      </c>
      <c r="BTT3" s="179">
        <f>IFERROR(VLOOKUP(BTT$1,Equilibrium[[Ticker]:[Weight]],2,FALSE),0%)</f>
        <v>0</v>
      </c>
      <c r="BTU3" s="179">
        <f>IFERROR(VLOOKUP(BTU$1,Equilibrium[[Ticker]:[Weight]],2,FALSE),0%)</f>
        <v>0</v>
      </c>
      <c r="BTV3" s="179">
        <f>IFERROR(VLOOKUP(BTV$1,Equilibrium[[Ticker]:[Weight]],2,FALSE),0%)</f>
        <v>0</v>
      </c>
      <c r="BTW3" s="179">
        <f>IFERROR(VLOOKUP(BTW$1,Equilibrium[[Ticker]:[Weight]],2,FALSE),0%)</f>
        <v>0</v>
      </c>
      <c r="BTX3" s="179">
        <f>IFERROR(VLOOKUP(BTX$1,Equilibrium[[Ticker]:[Weight]],2,FALSE),0%)</f>
        <v>0</v>
      </c>
      <c r="BTY3" s="179">
        <f>IFERROR(VLOOKUP(BTY$1,Equilibrium[[Ticker]:[Weight]],2,FALSE),0%)</f>
        <v>0</v>
      </c>
      <c r="BTZ3" s="179">
        <f>IFERROR(VLOOKUP(BTZ$1,Equilibrium[[Ticker]:[Weight]],2,FALSE),0%)</f>
        <v>0</v>
      </c>
      <c r="BUA3" s="179">
        <f>IFERROR(VLOOKUP(BUA$1,Equilibrium[[Ticker]:[Weight]],2,FALSE),0%)</f>
        <v>0</v>
      </c>
      <c r="BUB3" s="179">
        <f>IFERROR(VLOOKUP(BUB$1,Equilibrium[[Ticker]:[Weight]],2,FALSE),0%)</f>
        <v>0</v>
      </c>
      <c r="BUC3" s="179">
        <f>IFERROR(VLOOKUP(BUC$1,Equilibrium[[Ticker]:[Weight]],2,FALSE),0%)</f>
        <v>0</v>
      </c>
      <c r="BUD3" s="179">
        <f>IFERROR(VLOOKUP(BUD$1,Equilibrium[[Ticker]:[Weight]],2,FALSE),0%)</f>
        <v>0</v>
      </c>
      <c r="BUE3" s="179">
        <f>IFERROR(VLOOKUP(BUE$1,Equilibrium[[Ticker]:[Weight]],2,FALSE),0%)</f>
        <v>0</v>
      </c>
      <c r="BUF3" s="179">
        <f>IFERROR(VLOOKUP(BUF$1,Equilibrium[[Ticker]:[Weight]],2,FALSE),0%)</f>
        <v>0</v>
      </c>
      <c r="BUG3" s="179">
        <f>IFERROR(VLOOKUP(BUG$1,Equilibrium[[Ticker]:[Weight]],2,FALSE),0%)</f>
        <v>0</v>
      </c>
      <c r="BUH3" s="179">
        <f>IFERROR(VLOOKUP(BUH$1,Equilibrium[[Ticker]:[Weight]],2,FALSE),0%)</f>
        <v>0</v>
      </c>
      <c r="BUI3" s="179">
        <f>IFERROR(VLOOKUP(BUI$1,Equilibrium[[Ticker]:[Weight]],2,FALSE),0%)</f>
        <v>0</v>
      </c>
      <c r="BUJ3" s="179">
        <f>IFERROR(VLOOKUP(BUJ$1,Equilibrium[[Ticker]:[Weight]],2,FALSE),0%)</f>
        <v>0</v>
      </c>
      <c r="BUK3" s="179">
        <f>IFERROR(VLOOKUP(BUK$1,Equilibrium[[Ticker]:[Weight]],2,FALSE),0%)</f>
        <v>0</v>
      </c>
      <c r="BUL3" s="179">
        <f>IFERROR(VLOOKUP(BUL$1,Equilibrium[[Ticker]:[Weight]],2,FALSE),0%)</f>
        <v>0</v>
      </c>
      <c r="BUM3" s="179">
        <f>IFERROR(VLOOKUP(BUM$1,Equilibrium[[Ticker]:[Weight]],2,FALSE),0%)</f>
        <v>0</v>
      </c>
      <c r="BUN3" s="179">
        <f>IFERROR(VLOOKUP(BUN$1,Equilibrium[[Ticker]:[Weight]],2,FALSE),0%)</f>
        <v>0</v>
      </c>
      <c r="BUO3" s="179">
        <f>IFERROR(VLOOKUP(BUO$1,Equilibrium[[Ticker]:[Weight]],2,FALSE),0%)</f>
        <v>0</v>
      </c>
      <c r="BUP3" s="179">
        <f>IFERROR(VLOOKUP(BUP$1,Equilibrium[[Ticker]:[Weight]],2,FALSE),0%)</f>
        <v>0</v>
      </c>
      <c r="BUQ3" s="179">
        <f>IFERROR(VLOOKUP(BUQ$1,Equilibrium[[Ticker]:[Weight]],2,FALSE),0%)</f>
        <v>0</v>
      </c>
      <c r="BUR3" s="179">
        <f>IFERROR(VLOOKUP(BUR$1,Equilibrium[[Ticker]:[Weight]],2,FALSE),0%)</f>
        <v>0</v>
      </c>
      <c r="BUS3" s="179">
        <f>IFERROR(VLOOKUP(BUS$1,Equilibrium[[Ticker]:[Weight]],2,FALSE),0%)</f>
        <v>0</v>
      </c>
      <c r="BUT3" s="179">
        <f>IFERROR(VLOOKUP(BUT$1,Equilibrium[[Ticker]:[Weight]],2,FALSE),0%)</f>
        <v>0</v>
      </c>
      <c r="BUU3" s="179">
        <f>IFERROR(VLOOKUP(BUU$1,Equilibrium[[Ticker]:[Weight]],2,FALSE),0%)</f>
        <v>0</v>
      </c>
      <c r="BUV3" s="179">
        <f>IFERROR(VLOOKUP(BUV$1,Equilibrium[[Ticker]:[Weight]],2,FALSE),0%)</f>
        <v>0</v>
      </c>
      <c r="BUW3" s="179">
        <f>IFERROR(VLOOKUP(BUW$1,Equilibrium[[Ticker]:[Weight]],2,FALSE),0%)</f>
        <v>0</v>
      </c>
      <c r="BUX3" s="179">
        <f>IFERROR(VLOOKUP(BUX$1,Equilibrium[[Ticker]:[Weight]],2,FALSE),0%)</f>
        <v>0</v>
      </c>
      <c r="BUY3" s="179">
        <f>IFERROR(VLOOKUP(BUY$1,Equilibrium[[Ticker]:[Weight]],2,FALSE),0%)</f>
        <v>0</v>
      </c>
      <c r="BUZ3" s="179">
        <f>IFERROR(VLOOKUP(BUZ$1,Equilibrium[[Ticker]:[Weight]],2,FALSE),0%)</f>
        <v>0</v>
      </c>
      <c r="BVA3" s="179">
        <f>IFERROR(VLOOKUP(BVA$1,Equilibrium[[Ticker]:[Weight]],2,FALSE),0%)</f>
        <v>0</v>
      </c>
      <c r="BVB3" s="179">
        <f>IFERROR(VLOOKUP(BVB$1,Equilibrium[[Ticker]:[Weight]],2,FALSE),0%)</f>
        <v>0</v>
      </c>
      <c r="BVC3" s="179">
        <f>IFERROR(VLOOKUP(BVC$1,Equilibrium[[Ticker]:[Weight]],2,FALSE),0%)</f>
        <v>0</v>
      </c>
      <c r="BVD3" s="179">
        <f>IFERROR(VLOOKUP(BVD$1,Equilibrium[[Ticker]:[Weight]],2,FALSE),0%)</f>
        <v>0</v>
      </c>
      <c r="BVE3" s="179">
        <f>IFERROR(VLOOKUP(BVE$1,Equilibrium[[Ticker]:[Weight]],2,FALSE),0%)</f>
        <v>0</v>
      </c>
      <c r="BVF3" s="179">
        <f>IFERROR(VLOOKUP(BVF$1,Equilibrium[[Ticker]:[Weight]],2,FALSE),0%)</f>
        <v>0</v>
      </c>
      <c r="BVG3" s="179">
        <f>IFERROR(VLOOKUP(BVG$1,Equilibrium[[Ticker]:[Weight]],2,FALSE),0%)</f>
        <v>0</v>
      </c>
      <c r="BVH3" s="179">
        <f>IFERROR(VLOOKUP(BVH$1,Equilibrium[[Ticker]:[Weight]],2,FALSE),0%)</f>
        <v>0</v>
      </c>
      <c r="BVI3" s="179">
        <f>IFERROR(VLOOKUP(BVI$1,Equilibrium[[Ticker]:[Weight]],2,FALSE),0%)</f>
        <v>0</v>
      </c>
      <c r="BVJ3" s="179">
        <f>IFERROR(VLOOKUP(BVJ$1,Equilibrium[[Ticker]:[Weight]],2,FALSE),0%)</f>
        <v>0</v>
      </c>
      <c r="BVK3" s="179">
        <f>IFERROR(VLOOKUP(BVK$1,Equilibrium[[Ticker]:[Weight]],2,FALSE),0%)</f>
        <v>0</v>
      </c>
      <c r="BVL3" s="179">
        <f>IFERROR(VLOOKUP(BVL$1,Equilibrium[[Ticker]:[Weight]],2,FALSE),0%)</f>
        <v>0</v>
      </c>
      <c r="BVM3" s="179">
        <f>IFERROR(VLOOKUP(BVM$1,Equilibrium[[Ticker]:[Weight]],2,FALSE),0%)</f>
        <v>0</v>
      </c>
      <c r="BVN3" s="179">
        <f>IFERROR(VLOOKUP(BVN$1,Equilibrium[[Ticker]:[Weight]],2,FALSE),0%)</f>
        <v>0</v>
      </c>
      <c r="BVO3" s="179">
        <f>IFERROR(VLOOKUP(BVO$1,Equilibrium[[Ticker]:[Weight]],2,FALSE),0%)</f>
        <v>0</v>
      </c>
      <c r="BVP3" s="179">
        <f>IFERROR(VLOOKUP(BVP$1,Equilibrium[[Ticker]:[Weight]],2,FALSE),0%)</f>
        <v>0</v>
      </c>
      <c r="BVQ3" s="179">
        <f>IFERROR(VLOOKUP(BVQ$1,Equilibrium[[Ticker]:[Weight]],2,FALSE),0%)</f>
        <v>0</v>
      </c>
      <c r="BVR3" s="179">
        <f>IFERROR(VLOOKUP(BVR$1,Equilibrium[[Ticker]:[Weight]],2,FALSE),0%)</f>
        <v>0</v>
      </c>
      <c r="BVS3" s="179">
        <f>IFERROR(VLOOKUP(BVS$1,Equilibrium[[Ticker]:[Weight]],2,FALSE),0%)</f>
        <v>0</v>
      </c>
      <c r="BVT3" s="179">
        <f>IFERROR(VLOOKUP(BVT$1,Equilibrium[[Ticker]:[Weight]],2,FALSE),0%)</f>
        <v>0</v>
      </c>
      <c r="BVU3" s="179">
        <f>IFERROR(VLOOKUP(BVU$1,Equilibrium[[Ticker]:[Weight]],2,FALSE),0%)</f>
        <v>0</v>
      </c>
      <c r="BVV3" s="179">
        <f>IFERROR(VLOOKUP(BVV$1,Equilibrium[[Ticker]:[Weight]],2,FALSE),0%)</f>
        <v>0</v>
      </c>
      <c r="BVW3" s="179">
        <f>IFERROR(VLOOKUP(BVW$1,Equilibrium[[Ticker]:[Weight]],2,FALSE),0%)</f>
        <v>0</v>
      </c>
      <c r="BVX3" s="179">
        <f>IFERROR(VLOOKUP(BVX$1,Equilibrium[[Ticker]:[Weight]],2,FALSE),0%)</f>
        <v>0</v>
      </c>
      <c r="BVY3" s="179">
        <f>IFERROR(VLOOKUP(BVY$1,Equilibrium[[Ticker]:[Weight]],2,FALSE),0%)</f>
        <v>0</v>
      </c>
      <c r="BVZ3" s="179">
        <f>IFERROR(VLOOKUP(BVZ$1,Equilibrium[[Ticker]:[Weight]],2,FALSE),0%)</f>
        <v>0</v>
      </c>
      <c r="BWA3" s="179">
        <f>IFERROR(VLOOKUP(BWA$1,Equilibrium[[Ticker]:[Weight]],2,FALSE),0%)</f>
        <v>0</v>
      </c>
      <c r="BWB3" s="179">
        <f>IFERROR(VLOOKUP(BWB$1,Equilibrium[[Ticker]:[Weight]],2,FALSE),0%)</f>
        <v>0</v>
      </c>
      <c r="BWC3" s="179">
        <f>IFERROR(VLOOKUP(BWC$1,Equilibrium[[Ticker]:[Weight]],2,FALSE),0%)</f>
        <v>0</v>
      </c>
      <c r="BWD3" s="179">
        <f>IFERROR(VLOOKUP(BWD$1,Equilibrium[[Ticker]:[Weight]],2,FALSE),0%)</f>
        <v>0</v>
      </c>
      <c r="BWE3" s="179">
        <f>IFERROR(VLOOKUP(BWE$1,Equilibrium[[Ticker]:[Weight]],2,FALSE),0%)</f>
        <v>0</v>
      </c>
      <c r="BWF3" s="179">
        <f>IFERROR(VLOOKUP(BWF$1,Equilibrium[[Ticker]:[Weight]],2,FALSE),0%)</f>
        <v>0</v>
      </c>
      <c r="BWG3" s="179">
        <f>IFERROR(VLOOKUP(BWG$1,Equilibrium[[Ticker]:[Weight]],2,FALSE),0%)</f>
        <v>0</v>
      </c>
      <c r="BWH3" s="179">
        <f>IFERROR(VLOOKUP(BWH$1,Equilibrium[[Ticker]:[Weight]],2,FALSE),0%)</f>
        <v>0</v>
      </c>
      <c r="BWI3" s="179">
        <f>IFERROR(VLOOKUP(BWI$1,Equilibrium[[Ticker]:[Weight]],2,FALSE),0%)</f>
        <v>0</v>
      </c>
      <c r="BWJ3" s="179">
        <f>IFERROR(VLOOKUP(BWJ$1,Equilibrium[[Ticker]:[Weight]],2,FALSE),0%)</f>
        <v>0</v>
      </c>
      <c r="BWK3" s="179">
        <f>IFERROR(VLOOKUP(BWK$1,Equilibrium[[Ticker]:[Weight]],2,FALSE),0%)</f>
        <v>0</v>
      </c>
      <c r="BWL3" s="179">
        <f>IFERROR(VLOOKUP(BWL$1,Equilibrium[[Ticker]:[Weight]],2,FALSE),0%)</f>
        <v>0</v>
      </c>
      <c r="BWM3" s="179">
        <f>IFERROR(VLOOKUP(BWM$1,Equilibrium[[Ticker]:[Weight]],2,FALSE),0%)</f>
        <v>0</v>
      </c>
      <c r="BWN3" s="179">
        <f>IFERROR(VLOOKUP(BWN$1,Equilibrium[[Ticker]:[Weight]],2,FALSE),0%)</f>
        <v>0</v>
      </c>
      <c r="BWO3" s="179">
        <f>IFERROR(VLOOKUP(BWO$1,Equilibrium[[Ticker]:[Weight]],2,FALSE),0%)</f>
        <v>0</v>
      </c>
      <c r="BWP3" s="179">
        <f>IFERROR(VLOOKUP(BWP$1,Equilibrium[[Ticker]:[Weight]],2,FALSE),0%)</f>
        <v>0</v>
      </c>
      <c r="BWQ3" s="179">
        <f>IFERROR(VLOOKUP(BWQ$1,Equilibrium[[Ticker]:[Weight]],2,FALSE),0%)</f>
        <v>0</v>
      </c>
      <c r="BWR3" s="179">
        <f>IFERROR(VLOOKUP(BWR$1,Equilibrium[[Ticker]:[Weight]],2,FALSE),0%)</f>
        <v>0</v>
      </c>
      <c r="BWS3" s="179">
        <f>IFERROR(VLOOKUP(BWS$1,Equilibrium[[Ticker]:[Weight]],2,FALSE),0%)</f>
        <v>0</v>
      </c>
      <c r="BWT3" s="179">
        <f>IFERROR(VLOOKUP(BWT$1,Equilibrium[[Ticker]:[Weight]],2,FALSE),0%)</f>
        <v>0</v>
      </c>
      <c r="BWU3" s="179">
        <f>IFERROR(VLOOKUP(BWU$1,Equilibrium[[Ticker]:[Weight]],2,FALSE),0%)</f>
        <v>0</v>
      </c>
      <c r="BWV3" s="179">
        <f>IFERROR(VLOOKUP(BWV$1,Equilibrium[[Ticker]:[Weight]],2,FALSE),0%)</f>
        <v>0</v>
      </c>
      <c r="BWW3" s="179">
        <f>IFERROR(VLOOKUP(BWW$1,Equilibrium[[Ticker]:[Weight]],2,FALSE),0%)</f>
        <v>0</v>
      </c>
      <c r="BWX3" s="179">
        <f>IFERROR(VLOOKUP(BWX$1,Equilibrium[[Ticker]:[Weight]],2,FALSE),0%)</f>
        <v>0</v>
      </c>
      <c r="BWY3" s="179">
        <f>IFERROR(VLOOKUP(BWY$1,Equilibrium[[Ticker]:[Weight]],2,FALSE),0%)</f>
        <v>0</v>
      </c>
      <c r="BWZ3" s="179">
        <f>IFERROR(VLOOKUP(BWZ$1,Equilibrium[[Ticker]:[Weight]],2,FALSE),0%)</f>
        <v>0</v>
      </c>
      <c r="BXA3" s="179">
        <f>IFERROR(VLOOKUP(BXA$1,Equilibrium[[Ticker]:[Weight]],2,FALSE),0%)</f>
        <v>0</v>
      </c>
      <c r="BXB3" s="179">
        <f>IFERROR(VLOOKUP(BXB$1,Equilibrium[[Ticker]:[Weight]],2,FALSE),0%)</f>
        <v>0</v>
      </c>
      <c r="BXC3" s="179">
        <f>IFERROR(VLOOKUP(BXC$1,Equilibrium[[Ticker]:[Weight]],2,FALSE),0%)</f>
        <v>0</v>
      </c>
      <c r="BXD3" s="179">
        <f>IFERROR(VLOOKUP(BXD$1,Equilibrium[[Ticker]:[Weight]],2,FALSE),0%)</f>
        <v>0</v>
      </c>
      <c r="BXE3" s="179">
        <f>IFERROR(VLOOKUP(BXE$1,Equilibrium[[Ticker]:[Weight]],2,FALSE),0%)</f>
        <v>0</v>
      </c>
      <c r="BXF3" s="179">
        <f>IFERROR(VLOOKUP(BXF$1,Equilibrium[[Ticker]:[Weight]],2,FALSE),0%)</f>
        <v>0</v>
      </c>
      <c r="BXG3" s="179">
        <f>IFERROR(VLOOKUP(BXG$1,Equilibrium[[Ticker]:[Weight]],2,FALSE),0%)</f>
        <v>0</v>
      </c>
      <c r="BXH3" s="179">
        <f>IFERROR(VLOOKUP(BXH$1,Equilibrium[[Ticker]:[Weight]],2,FALSE),0%)</f>
        <v>0</v>
      </c>
      <c r="BXI3" s="179">
        <f>IFERROR(VLOOKUP(BXI$1,Equilibrium[[Ticker]:[Weight]],2,FALSE),0%)</f>
        <v>0</v>
      </c>
      <c r="BXJ3" s="179">
        <f>IFERROR(VLOOKUP(BXJ$1,Equilibrium[[Ticker]:[Weight]],2,FALSE),0%)</f>
        <v>0</v>
      </c>
      <c r="BXK3" s="179">
        <f>IFERROR(VLOOKUP(BXK$1,Equilibrium[[Ticker]:[Weight]],2,FALSE),0%)</f>
        <v>0</v>
      </c>
      <c r="BXL3" s="179">
        <f>IFERROR(VLOOKUP(BXL$1,Equilibrium[[Ticker]:[Weight]],2,FALSE),0%)</f>
        <v>0</v>
      </c>
      <c r="BXM3" s="179">
        <f>IFERROR(VLOOKUP(BXM$1,Equilibrium[[Ticker]:[Weight]],2,FALSE),0%)</f>
        <v>0</v>
      </c>
      <c r="BXN3" s="179">
        <f>IFERROR(VLOOKUP(BXN$1,Equilibrium[[Ticker]:[Weight]],2,FALSE),0%)</f>
        <v>0</v>
      </c>
      <c r="BXO3" s="179">
        <f>IFERROR(VLOOKUP(BXO$1,Equilibrium[[Ticker]:[Weight]],2,FALSE),0%)</f>
        <v>0</v>
      </c>
      <c r="BXP3" s="179">
        <f>IFERROR(VLOOKUP(BXP$1,Equilibrium[[Ticker]:[Weight]],2,FALSE),0%)</f>
        <v>0</v>
      </c>
      <c r="BXQ3" s="179">
        <f>IFERROR(VLOOKUP(BXQ$1,Equilibrium[[Ticker]:[Weight]],2,FALSE),0%)</f>
        <v>0</v>
      </c>
      <c r="BXR3" s="179">
        <f>IFERROR(VLOOKUP(BXR$1,Equilibrium[[Ticker]:[Weight]],2,FALSE),0%)</f>
        <v>0</v>
      </c>
      <c r="BXS3" s="179">
        <f>IFERROR(VLOOKUP(BXS$1,Equilibrium[[Ticker]:[Weight]],2,FALSE),0%)</f>
        <v>0</v>
      </c>
      <c r="BXT3" s="179">
        <f>IFERROR(VLOOKUP(BXT$1,Equilibrium[[Ticker]:[Weight]],2,FALSE),0%)</f>
        <v>0</v>
      </c>
      <c r="BXU3" s="179">
        <f>IFERROR(VLOOKUP(BXU$1,Equilibrium[[Ticker]:[Weight]],2,FALSE),0%)</f>
        <v>0</v>
      </c>
      <c r="BXV3" s="179">
        <f>IFERROR(VLOOKUP(BXV$1,Equilibrium[[Ticker]:[Weight]],2,FALSE),0%)</f>
        <v>0</v>
      </c>
      <c r="BXW3" s="179">
        <f>IFERROR(VLOOKUP(BXW$1,Equilibrium[[Ticker]:[Weight]],2,FALSE),0%)</f>
        <v>0</v>
      </c>
      <c r="BXX3" s="179">
        <f>IFERROR(VLOOKUP(BXX$1,Equilibrium[[Ticker]:[Weight]],2,FALSE),0%)</f>
        <v>0</v>
      </c>
      <c r="BXY3" s="179">
        <f>IFERROR(VLOOKUP(BXY$1,Equilibrium[[Ticker]:[Weight]],2,FALSE),0%)</f>
        <v>0</v>
      </c>
      <c r="BXZ3" s="179">
        <f>IFERROR(VLOOKUP(BXZ$1,Equilibrium[[Ticker]:[Weight]],2,FALSE),0%)</f>
        <v>0</v>
      </c>
      <c r="BYA3" s="179">
        <f>IFERROR(VLOOKUP(BYA$1,Equilibrium[[Ticker]:[Weight]],2,FALSE),0%)</f>
        <v>0</v>
      </c>
      <c r="BYB3" s="179">
        <f>IFERROR(VLOOKUP(BYB$1,Equilibrium[[Ticker]:[Weight]],2,FALSE),0%)</f>
        <v>0</v>
      </c>
      <c r="BYC3" s="179">
        <f>IFERROR(VLOOKUP(BYC$1,Equilibrium[[Ticker]:[Weight]],2,FALSE),0%)</f>
        <v>0</v>
      </c>
      <c r="BYD3" s="179">
        <f>IFERROR(VLOOKUP(BYD$1,Equilibrium[[Ticker]:[Weight]],2,FALSE),0%)</f>
        <v>0</v>
      </c>
      <c r="BYE3" s="179">
        <f>IFERROR(VLOOKUP(BYE$1,Equilibrium[[Ticker]:[Weight]],2,FALSE),0%)</f>
        <v>0</v>
      </c>
      <c r="BYF3" s="179">
        <f>IFERROR(VLOOKUP(BYF$1,Equilibrium[[Ticker]:[Weight]],2,FALSE),0%)</f>
        <v>0</v>
      </c>
      <c r="BYG3" s="179">
        <f>IFERROR(VLOOKUP(BYG$1,Equilibrium[[Ticker]:[Weight]],2,FALSE),0%)</f>
        <v>0</v>
      </c>
      <c r="BYH3" s="179">
        <f>IFERROR(VLOOKUP(BYH$1,Equilibrium[[Ticker]:[Weight]],2,FALSE),0%)</f>
        <v>0</v>
      </c>
      <c r="BYI3" s="179">
        <f>IFERROR(VLOOKUP(BYI$1,Equilibrium[[Ticker]:[Weight]],2,FALSE),0%)</f>
        <v>0</v>
      </c>
      <c r="BYJ3" s="179">
        <f>IFERROR(VLOOKUP(BYJ$1,Equilibrium[[Ticker]:[Weight]],2,FALSE),0%)</f>
        <v>0</v>
      </c>
      <c r="BYK3" s="179">
        <f>IFERROR(VLOOKUP(BYK$1,Equilibrium[[Ticker]:[Weight]],2,FALSE),0%)</f>
        <v>0</v>
      </c>
      <c r="BYL3" s="179">
        <f>IFERROR(VLOOKUP(BYL$1,Equilibrium[[Ticker]:[Weight]],2,FALSE),0%)</f>
        <v>0</v>
      </c>
      <c r="BYM3" s="179">
        <f>IFERROR(VLOOKUP(BYM$1,Equilibrium[[Ticker]:[Weight]],2,FALSE),0%)</f>
        <v>0</v>
      </c>
      <c r="BYN3" s="179">
        <f>IFERROR(VLOOKUP(BYN$1,Equilibrium[[Ticker]:[Weight]],2,FALSE),0%)</f>
        <v>0</v>
      </c>
      <c r="BYO3" s="179">
        <f>IFERROR(VLOOKUP(BYO$1,Equilibrium[[Ticker]:[Weight]],2,FALSE),0%)</f>
        <v>0</v>
      </c>
      <c r="BYP3" s="179">
        <f>IFERROR(VLOOKUP(BYP$1,Equilibrium[[Ticker]:[Weight]],2,FALSE),0%)</f>
        <v>0</v>
      </c>
      <c r="BYQ3" s="179">
        <f>IFERROR(VLOOKUP(BYQ$1,Equilibrium[[Ticker]:[Weight]],2,FALSE),0%)</f>
        <v>0</v>
      </c>
      <c r="BYR3" s="179">
        <f>IFERROR(VLOOKUP(BYR$1,Equilibrium[[Ticker]:[Weight]],2,FALSE),0%)</f>
        <v>0</v>
      </c>
      <c r="BYS3" s="179">
        <f>IFERROR(VLOOKUP(BYS$1,Equilibrium[[Ticker]:[Weight]],2,FALSE),0%)</f>
        <v>0</v>
      </c>
      <c r="BYT3" s="179">
        <f>IFERROR(VLOOKUP(BYT$1,Equilibrium[[Ticker]:[Weight]],2,FALSE),0%)</f>
        <v>0</v>
      </c>
      <c r="BYU3" s="179">
        <f>IFERROR(VLOOKUP(BYU$1,Equilibrium[[Ticker]:[Weight]],2,FALSE),0%)</f>
        <v>0.03031998393</v>
      </c>
      <c r="BYV3" s="179">
        <f>IFERROR(VLOOKUP(BYV$1,Equilibrium[[Ticker]:[Weight]],2,FALSE),0%)</f>
        <v>0</v>
      </c>
      <c r="BYW3" s="179">
        <f>IFERROR(VLOOKUP(BYW$1,Equilibrium[[Ticker]:[Weight]],2,FALSE),0%)</f>
        <v>0</v>
      </c>
      <c r="BYX3" s="179">
        <f>IFERROR(VLOOKUP(BYX$1,Equilibrium[[Ticker]:[Weight]],2,FALSE),0%)</f>
        <v>0</v>
      </c>
      <c r="BYY3" s="179">
        <f>IFERROR(VLOOKUP(BYY$1,Equilibrium[[Ticker]:[Weight]],2,FALSE),0%)</f>
        <v>0</v>
      </c>
      <c r="BYZ3" s="179">
        <f>IFERROR(VLOOKUP(BYZ$1,Equilibrium[[Ticker]:[Weight]],2,FALSE),0%)</f>
        <v>0</v>
      </c>
      <c r="BZA3" s="179">
        <f>IFERROR(VLOOKUP(BZA$1,Equilibrium[[Ticker]:[Weight]],2,FALSE),0%)</f>
        <v>0</v>
      </c>
      <c r="BZB3" s="179">
        <f>IFERROR(VLOOKUP(BZB$1,Equilibrium[[Ticker]:[Weight]],2,FALSE),0%)</f>
        <v>0</v>
      </c>
      <c r="BZC3" s="179">
        <f>IFERROR(VLOOKUP(BZC$1,Equilibrium[[Ticker]:[Weight]],2,FALSE),0%)</f>
        <v>0</v>
      </c>
      <c r="BZD3" s="179">
        <f>IFERROR(VLOOKUP(BZD$1,Equilibrium[[Ticker]:[Weight]],2,FALSE),0%)</f>
        <v>0</v>
      </c>
      <c r="BZE3" s="179">
        <f>IFERROR(VLOOKUP(BZE$1,Equilibrium[[Ticker]:[Weight]],2,FALSE),0%)</f>
        <v>0</v>
      </c>
      <c r="BZF3" s="179">
        <f>IFERROR(VLOOKUP(BZF$1,Equilibrium[[Ticker]:[Weight]],2,FALSE),0%)</f>
        <v>0</v>
      </c>
      <c r="BZG3" s="179">
        <f>IFERROR(VLOOKUP(BZG$1,Equilibrium[[Ticker]:[Weight]],2,FALSE),0%)</f>
        <v>0</v>
      </c>
      <c r="BZH3" s="179">
        <f>IFERROR(VLOOKUP(BZH$1,Equilibrium[[Ticker]:[Weight]],2,FALSE),0%)</f>
        <v>0</v>
      </c>
      <c r="BZI3" s="179">
        <f>IFERROR(VLOOKUP(BZI$1,Equilibrium[[Ticker]:[Weight]],2,FALSE),0%)</f>
        <v>0</v>
      </c>
      <c r="BZJ3" s="179">
        <f>IFERROR(VLOOKUP(BZJ$1,Equilibrium[[Ticker]:[Weight]],2,FALSE),0%)</f>
        <v>0</v>
      </c>
      <c r="BZK3" s="179">
        <f>IFERROR(VLOOKUP(BZK$1,Equilibrium[[Ticker]:[Weight]],2,FALSE),0%)</f>
        <v>0</v>
      </c>
      <c r="BZL3" s="179">
        <f>IFERROR(VLOOKUP(BZL$1,Equilibrium[[Ticker]:[Weight]],2,FALSE),0%)</f>
        <v>0</v>
      </c>
      <c r="BZM3" s="179">
        <f>IFERROR(VLOOKUP(BZM$1,Equilibrium[[Ticker]:[Weight]],2,FALSE),0%)</f>
        <v>0</v>
      </c>
      <c r="BZN3" s="179">
        <f>IFERROR(VLOOKUP(BZN$1,Equilibrium[[Ticker]:[Weight]],2,FALSE),0%)</f>
        <v>0</v>
      </c>
      <c r="BZO3" s="179">
        <f>IFERROR(VLOOKUP(BZO$1,Equilibrium[[Ticker]:[Weight]],2,FALSE),0%)</f>
        <v>0</v>
      </c>
      <c r="BZP3" s="179">
        <f>IFERROR(VLOOKUP(BZP$1,Equilibrium[[Ticker]:[Weight]],2,FALSE),0%)</f>
        <v>0</v>
      </c>
      <c r="BZQ3" s="179">
        <f>IFERROR(VLOOKUP(BZQ$1,Equilibrium[[Ticker]:[Weight]],2,FALSE),0%)</f>
        <v>0</v>
      </c>
      <c r="BZR3" s="179">
        <f>IFERROR(VLOOKUP(BZR$1,Equilibrium[[Ticker]:[Weight]],2,FALSE),0%)</f>
        <v>0</v>
      </c>
      <c r="BZS3" s="179">
        <f>IFERROR(VLOOKUP(BZS$1,Equilibrium[[Ticker]:[Weight]],2,FALSE),0%)</f>
        <v>0</v>
      </c>
      <c r="BZT3" s="179">
        <f>IFERROR(VLOOKUP(BZT$1,Equilibrium[[Ticker]:[Weight]],2,FALSE),0%)</f>
        <v>0</v>
      </c>
      <c r="BZU3" s="179">
        <f>IFERROR(VLOOKUP(BZU$1,Equilibrium[[Ticker]:[Weight]],2,FALSE),0%)</f>
        <v>0</v>
      </c>
      <c r="BZV3" s="179">
        <f>IFERROR(VLOOKUP(BZV$1,Equilibrium[[Ticker]:[Weight]],2,FALSE),0%)</f>
        <v>0</v>
      </c>
      <c r="BZW3" s="179">
        <f>IFERROR(VLOOKUP(BZW$1,Equilibrium[[Ticker]:[Weight]],2,FALSE),0%)</f>
        <v>0</v>
      </c>
      <c r="BZX3" s="179">
        <f>IFERROR(VLOOKUP(BZX$1,Equilibrium[[Ticker]:[Weight]],2,FALSE),0%)</f>
        <v>0</v>
      </c>
      <c r="BZY3" s="179">
        <f>IFERROR(VLOOKUP(BZY$1,Equilibrium[[Ticker]:[Weight]],2,FALSE),0%)</f>
        <v>0</v>
      </c>
      <c r="BZZ3" s="179">
        <f>IFERROR(VLOOKUP(BZZ$1,Equilibrium[[Ticker]:[Weight]],2,FALSE),0%)</f>
        <v>0</v>
      </c>
      <c r="CAA3" s="179">
        <f>IFERROR(VLOOKUP(CAA$1,Equilibrium[[Ticker]:[Weight]],2,FALSE),0%)</f>
        <v>0</v>
      </c>
      <c r="CAB3" s="179">
        <f>IFERROR(VLOOKUP(CAB$1,Equilibrium[[Ticker]:[Weight]],2,FALSE),0%)</f>
        <v>0</v>
      </c>
      <c r="CAC3" s="179">
        <f>IFERROR(VLOOKUP(CAC$1,Equilibrium[[Ticker]:[Weight]],2,FALSE),0%)</f>
        <v>0</v>
      </c>
      <c r="CAD3" s="179">
        <f>IFERROR(VLOOKUP(CAD$1,Equilibrium[[Ticker]:[Weight]],2,FALSE),0%)</f>
        <v>0</v>
      </c>
      <c r="CAE3" s="179">
        <f>IFERROR(VLOOKUP(CAE$1,Equilibrium[[Ticker]:[Weight]],2,FALSE),0%)</f>
        <v>0</v>
      </c>
      <c r="CAF3" s="179">
        <f>IFERROR(VLOOKUP(CAF$1,Equilibrium[[Ticker]:[Weight]],2,FALSE),0%)</f>
        <v>0</v>
      </c>
      <c r="CAG3" s="179">
        <f>IFERROR(VLOOKUP(CAG$1,Equilibrium[[Ticker]:[Weight]],2,FALSE),0%)</f>
        <v>0</v>
      </c>
      <c r="CAH3" s="179">
        <f>IFERROR(VLOOKUP(CAH$1,Equilibrium[[Ticker]:[Weight]],2,FALSE),0%)</f>
        <v>0</v>
      </c>
      <c r="CAI3" s="179">
        <f>IFERROR(VLOOKUP(CAI$1,Equilibrium[[Ticker]:[Weight]],2,FALSE),0%)</f>
        <v>0</v>
      </c>
      <c r="CAJ3" s="179">
        <f>IFERROR(VLOOKUP(CAJ$1,Equilibrium[[Ticker]:[Weight]],2,FALSE),0%)</f>
        <v>0</v>
      </c>
      <c r="CAK3" s="179">
        <f>IFERROR(VLOOKUP(CAK$1,Equilibrium[[Ticker]:[Weight]],2,FALSE),0%)</f>
        <v>0</v>
      </c>
      <c r="CAL3" s="179">
        <f>IFERROR(VLOOKUP(CAL$1,Equilibrium[[Ticker]:[Weight]],2,FALSE),0%)</f>
        <v>0</v>
      </c>
      <c r="CAM3" s="179">
        <f>IFERROR(VLOOKUP(CAM$1,Equilibrium[[Ticker]:[Weight]],2,FALSE),0%)</f>
        <v>0</v>
      </c>
      <c r="CAN3" s="179">
        <f>IFERROR(VLOOKUP(CAN$1,Equilibrium[[Ticker]:[Weight]],2,FALSE),0%)</f>
        <v>0</v>
      </c>
      <c r="CAO3" s="179">
        <f>IFERROR(VLOOKUP(CAO$1,Equilibrium[[Ticker]:[Weight]],2,FALSE),0%)</f>
        <v>0</v>
      </c>
      <c r="CAP3" s="179">
        <f>IFERROR(VLOOKUP(CAP$1,Equilibrium[[Ticker]:[Weight]],2,FALSE),0%)</f>
        <v>0</v>
      </c>
      <c r="CAQ3" s="179">
        <f>IFERROR(VLOOKUP(CAQ$1,Equilibrium[[Ticker]:[Weight]],2,FALSE),0%)</f>
        <v>0</v>
      </c>
      <c r="CAR3" s="179">
        <f>IFERROR(VLOOKUP(CAR$1,Equilibrium[[Ticker]:[Weight]],2,FALSE),0%)</f>
        <v>0</v>
      </c>
      <c r="CAS3" s="179">
        <f>IFERROR(VLOOKUP(CAS$1,Equilibrium[[Ticker]:[Weight]],2,FALSE),0%)</f>
        <v>0</v>
      </c>
      <c r="CAT3" s="179">
        <f>IFERROR(VLOOKUP(CAT$1,Equilibrium[[Ticker]:[Weight]],2,FALSE),0%)</f>
        <v>0</v>
      </c>
      <c r="CAU3" s="179">
        <f>IFERROR(VLOOKUP(CAU$1,Equilibrium[[Ticker]:[Weight]],2,FALSE),0%)</f>
        <v>0</v>
      </c>
      <c r="CAV3" s="179">
        <f>IFERROR(VLOOKUP(CAV$1,Equilibrium[[Ticker]:[Weight]],2,FALSE),0%)</f>
        <v>0</v>
      </c>
      <c r="CAW3" s="179">
        <f>IFERROR(VLOOKUP(CAW$1,Equilibrium[[Ticker]:[Weight]],2,FALSE),0%)</f>
        <v>0</v>
      </c>
      <c r="CAX3" s="179">
        <f>IFERROR(VLOOKUP(CAX$1,Equilibrium[[Ticker]:[Weight]],2,FALSE),0%)</f>
        <v>0</v>
      </c>
      <c r="CAY3" s="179">
        <f>IFERROR(VLOOKUP(CAY$1,Equilibrium[[Ticker]:[Weight]],2,FALSE),0%)</f>
        <v>0</v>
      </c>
      <c r="CAZ3" s="179">
        <f>IFERROR(VLOOKUP(CAZ$1,Equilibrium[[Ticker]:[Weight]],2,FALSE),0%)</f>
        <v>0</v>
      </c>
      <c r="CBA3" s="179">
        <f>IFERROR(VLOOKUP(CBA$1,Equilibrium[[Ticker]:[Weight]],2,FALSE),0%)</f>
        <v>0</v>
      </c>
      <c r="CBB3" s="179">
        <f>IFERROR(VLOOKUP(CBB$1,Equilibrium[[Ticker]:[Weight]],2,FALSE),0%)</f>
        <v>0</v>
      </c>
      <c r="CBC3" s="179">
        <f>IFERROR(VLOOKUP(CBC$1,Equilibrium[[Ticker]:[Weight]],2,FALSE),0%)</f>
        <v>0</v>
      </c>
      <c r="CBD3" s="179">
        <f>IFERROR(VLOOKUP(CBD$1,Equilibrium[[Ticker]:[Weight]],2,FALSE),0%)</f>
        <v>0</v>
      </c>
      <c r="CBE3" s="179">
        <f>IFERROR(VLOOKUP(CBE$1,Equilibrium[[Ticker]:[Weight]],2,FALSE),0%)</f>
        <v>0</v>
      </c>
      <c r="CBF3" s="179">
        <f>IFERROR(VLOOKUP(CBF$1,Equilibrium[[Ticker]:[Weight]],2,FALSE),0%)</f>
        <v>0</v>
      </c>
      <c r="CBG3" s="179">
        <f>IFERROR(VLOOKUP(CBG$1,Equilibrium[[Ticker]:[Weight]],2,FALSE),0%)</f>
        <v>0</v>
      </c>
      <c r="CBH3" s="179">
        <f>IFERROR(VLOOKUP(CBH$1,Equilibrium[[Ticker]:[Weight]],2,FALSE),0%)</f>
        <v>0</v>
      </c>
      <c r="CBI3" s="179">
        <f>IFERROR(VLOOKUP(CBI$1,Equilibrium[[Ticker]:[Weight]],2,FALSE),0%)</f>
        <v>0</v>
      </c>
      <c r="CBJ3" s="179">
        <f>IFERROR(VLOOKUP(CBJ$1,Equilibrium[[Ticker]:[Weight]],2,FALSE),0%)</f>
        <v>0</v>
      </c>
      <c r="CBK3" s="179">
        <f>IFERROR(VLOOKUP(CBK$1,Equilibrium[[Ticker]:[Weight]],2,FALSE),0%)</f>
        <v>0</v>
      </c>
      <c r="CBL3" s="179">
        <f>IFERROR(VLOOKUP(CBL$1,Equilibrium[[Ticker]:[Weight]],2,FALSE),0%)</f>
        <v>0</v>
      </c>
      <c r="CBM3" s="179">
        <f>IFERROR(VLOOKUP(CBM$1,Equilibrium[[Ticker]:[Weight]],2,FALSE),0%)</f>
        <v>0</v>
      </c>
      <c r="CBN3" s="179">
        <f>IFERROR(VLOOKUP(CBN$1,Equilibrium[[Ticker]:[Weight]],2,FALSE),0%)</f>
        <v>0</v>
      </c>
      <c r="CBO3" s="179">
        <f>IFERROR(VLOOKUP(CBO$1,Equilibrium[[Ticker]:[Weight]],2,FALSE),0%)</f>
        <v>0</v>
      </c>
      <c r="CBP3" s="179">
        <f>IFERROR(VLOOKUP(CBP$1,Equilibrium[[Ticker]:[Weight]],2,FALSE),0%)</f>
        <v>0</v>
      </c>
      <c r="CBQ3" s="179">
        <f>IFERROR(VLOOKUP(CBQ$1,Equilibrium[[Ticker]:[Weight]],2,FALSE),0%)</f>
        <v>0</v>
      </c>
      <c r="CBR3" s="179">
        <f>IFERROR(VLOOKUP(CBR$1,Equilibrium[[Ticker]:[Weight]],2,FALSE),0%)</f>
        <v>0</v>
      </c>
      <c r="CBS3" s="179">
        <f>IFERROR(VLOOKUP(CBS$1,Equilibrium[[Ticker]:[Weight]],2,FALSE),0%)</f>
        <v>0</v>
      </c>
      <c r="CBT3" s="179">
        <f>IFERROR(VLOOKUP(CBT$1,Equilibrium[[Ticker]:[Weight]],2,FALSE),0%)</f>
        <v>0</v>
      </c>
      <c r="CBU3" s="179">
        <f>IFERROR(VLOOKUP(CBU$1,Equilibrium[[Ticker]:[Weight]],2,FALSE),0%)</f>
        <v>0</v>
      </c>
      <c r="CBV3" s="179">
        <f>IFERROR(VLOOKUP(CBV$1,Equilibrium[[Ticker]:[Weight]],2,FALSE),0%)</f>
        <v>0</v>
      </c>
      <c r="CBW3" s="179">
        <f t="shared" si="1"/>
        <v>1</v>
      </c>
    </row>
    <row r="4">
      <c r="A4" s="410" t="s">
        <v>16</v>
      </c>
      <c r="B4" s="179">
        <f>IFERROR(VLOOKUP(B$1,Innova[[Ticker]:[Weight]],2,FALSE),0%)</f>
        <v>0</v>
      </c>
      <c r="C4" s="179">
        <f>IFERROR(VLOOKUP(C$1,Innova[[Ticker]:[Weight]],2,FALSE),0%)</f>
        <v>0</v>
      </c>
      <c r="D4" s="179">
        <f>IFERROR(VLOOKUP(D$1,Innova[[Ticker]:[Weight]],2,FALSE),0%)</f>
        <v>0</v>
      </c>
      <c r="E4" s="179">
        <f>IFERROR(VLOOKUP(E$1,Innova[[Ticker]:[Weight]],2,FALSE),0%)</f>
        <v>0</v>
      </c>
      <c r="F4" s="179">
        <f>IFERROR(VLOOKUP(F$1,Innova[[Ticker]:[Weight]],2,FALSE),0%)</f>
        <v>0</v>
      </c>
      <c r="G4" s="179">
        <f>IFERROR(VLOOKUP(G$1,Innova[[Ticker]:[Weight]],2,FALSE),0%)</f>
        <v>0</v>
      </c>
      <c r="H4" s="179">
        <f>IFERROR(VLOOKUP(H$1,Innova[[Ticker]:[Weight]],2,FALSE),0%)</f>
        <v>0</v>
      </c>
      <c r="I4" s="179">
        <f>IFERROR(VLOOKUP(I$1,Innova[[Ticker]:[Weight]],2,FALSE),0%)</f>
        <v>0</v>
      </c>
      <c r="J4" s="179">
        <f>IFERROR(VLOOKUP(J$1,Innova[[Ticker]:[Weight]],2,FALSE),0%)</f>
        <v>0</v>
      </c>
      <c r="K4" s="179">
        <f>IFERROR(VLOOKUP(K$1,Innova[[Ticker]:[Weight]],2,FALSE),0%)</f>
        <v>0</v>
      </c>
      <c r="L4" s="179">
        <f>IFERROR(VLOOKUP(L$1,Innova[[Ticker]:[Weight]],2,FALSE),0%)</f>
        <v>0</v>
      </c>
      <c r="M4" s="179">
        <f>IFERROR(VLOOKUP(M$1,Innova[[Ticker]:[Weight]],2,FALSE),0%)</f>
        <v>0</v>
      </c>
      <c r="N4" s="179">
        <f>IFERROR(VLOOKUP(N$1,Innova[[Ticker]:[Weight]],2,FALSE),0%)</f>
        <v>0</v>
      </c>
      <c r="O4" s="179">
        <f>IFERROR(VLOOKUP(O$1,Innova[[Ticker]:[Weight]],2,FALSE),0%)</f>
        <v>0</v>
      </c>
      <c r="P4" s="179">
        <f>IFERROR(VLOOKUP(P$1,Innova[[Ticker]:[Weight]],2,FALSE),0%)</f>
        <v>0</v>
      </c>
      <c r="Q4" s="179">
        <f>IFERROR(VLOOKUP(Q$1,Innova[[Ticker]:[Weight]],2,FALSE),0%)</f>
        <v>0</v>
      </c>
      <c r="R4" s="179">
        <f>IFERROR(VLOOKUP(R$1,Innova[[Ticker]:[Weight]],2,FALSE),0%)</f>
        <v>0</v>
      </c>
      <c r="S4" s="179">
        <f>IFERROR(VLOOKUP(S$1,Innova[[Ticker]:[Weight]],2,FALSE),0%)</f>
        <v>0</v>
      </c>
      <c r="T4" s="179">
        <f>IFERROR(VLOOKUP(T$1,Innova[[Ticker]:[Weight]],2,FALSE),0%)</f>
        <v>0</v>
      </c>
      <c r="U4" s="179">
        <f>IFERROR(VLOOKUP(U$1,Innova[[Ticker]:[Weight]],2,FALSE),0%)</f>
        <v>0</v>
      </c>
      <c r="V4" s="179">
        <f>IFERROR(VLOOKUP(V$1,Innova[[Ticker]:[Weight]],2,FALSE),0%)</f>
        <v>0</v>
      </c>
      <c r="W4" s="179">
        <f>IFERROR(VLOOKUP(W$1,Innova[[Ticker]:[Weight]],2,FALSE),0%)</f>
        <v>0</v>
      </c>
      <c r="X4" s="179">
        <f>IFERROR(VLOOKUP(X$1,Innova[[Ticker]:[Weight]],2,FALSE),0%)</f>
        <v>0</v>
      </c>
      <c r="Y4" s="179">
        <f>IFERROR(VLOOKUP(Y$1,Innova[[Ticker]:[Weight]],2,FALSE),0%)</f>
        <v>0</v>
      </c>
      <c r="Z4" s="179">
        <f>IFERROR(VLOOKUP(Z$1,Innova[[Ticker]:[Weight]],2,FALSE),0%)</f>
        <v>0</v>
      </c>
      <c r="AA4" s="179">
        <f>IFERROR(VLOOKUP(AA$1,Innova[[Ticker]:[Weight]],2,FALSE),0%)</f>
        <v>0</v>
      </c>
      <c r="AB4" s="179">
        <f>IFERROR(VLOOKUP(AB$1,Innova[[Ticker]:[Weight]],2,FALSE),0%)</f>
        <v>0</v>
      </c>
      <c r="AC4" s="179">
        <f>IFERROR(VLOOKUP(AC$1,Innova[[Ticker]:[Weight]],2,FALSE),0%)</f>
        <v>0</v>
      </c>
      <c r="AD4" s="179">
        <f>IFERROR(VLOOKUP(AD$1,Innova[[Ticker]:[Weight]],2,FALSE),0%)</f>
        <v>0</v>
      </c>
      <c r="AE4" s="179">
        <f>IFERROR(VLOOKUP(AE$1,Innova[[Ticker]:[Weight]],2,FALSE),0%)</f>
        <v>0</v>
      </c>
      <c r="AF4" s="179">
        <f>IFERROR(VLOOKUP(AF$1,Innova[[Ticker]:[Weight]],2,FALSE),0%)</f>
        <v>0</v>
      </c>
      <c r="AG4" s="179">
        <f>IFERROR(VLOOKUP(AG$1,Innova[[Ticker]:[Weight]],2,FALSE),0%)</f>
        <v>0</v>
      </c>
      <c r="AH4" s="179">
        <f>IFERROR(VLOOKUP(AH$1,Innova[[Ticker]:[Weight]],2,FALSE),0%)</f>
        <v>0</v>
      </c>
      <c r="AI4" s="179">
        <f>IFERROR(VLOOKUP(AI$1,Innova[[Ticker]:[Weight]],2,FALSE),0%)</f>
        <v>0</v>
      </c>
      <c r="AJ4" s="179">
        <f>IFERROR(VLOOKUP(AJ$1,Innova[[Ticker]:[Weight]],2,FALSE),0%)</f>
        <v>0</v>
      </c>
      <c r="AK4" s="179">
        <f>IFERROR(VLOOKUP(AK$1,Innova[[Ticker]:[Weight]],2,FALSE),0%)</f>
        <v>0</v>
      </c>
      <c r="AL4" s="179">
        <f>IFERROR(VLOOKUP(AL$1,Innova[[Ticker]:[Weight]],2,FALSE),0%)</f>
        <v>0</v>
      </c>
      <c r="AM4" s="179">
        <f>IFERROR(VLOOKUP(AM$1,Innova[[Ticker]:[Weight]],2,FALSE),0%)</f>
        <v>0</v>
      </c>
      <c r="AN4" s="179">
        <f>IFERROR(VLOOKUP(AN$1,Innova[[Ticker]:[Weight]],2,FALSE),0%)</f>
        <v>0</v>
      </c>
      <c r="AO4" s="179">
        <f>IFERROR(VLOOKUP(AO$1,Innova[[Ticker]:[Weight]],2,FALSE),0%)</f>
        <v>0</v>
      </c>
      <c r="AP4" s="179">
        <f>IFERROR(VLOOKUP(AP$1,Innova[[Ticker]:[Weight]],2,FALSE),0%)</f>
        <v>0</v>
      </c>
      <c r="AQ4" s="179">
        <f>IFERROR(VLOOKUP(AQ$1,Innova[[Ticker]:[Weight]],2,FALSE),0%)</f>
        <v>0</v>
      </c>
      <c r="AR4" s="179">
        <f>IFERROR(VLOOKUP(AR$1,Innova[[Ticker]:[Weight]],2,FALSE),0%)</f>
        <v>0</v>
      </c>
      <c r="AS4" s="179">
        <f>IFERROR(VLOOKUP(AS$1,Innova[[Ticker]:[Weight]],2,FALSE),0%)</f>
        <v>0</v>
      </c>
      <c r="AT4" s="179">
        <f>IFERROR(VLOOKUP(AT$1,Innova[[Ticker]:[Weight]],2,FALSE),0%)</f>
        <v>0</v>
      </c>
      <c r="AU4" s="179">
        <f>IFERROR(VLOOKUP(AU$1,Innova[[Ticker]:[Weight]],2,FALSE),0%)</f>
        <v>0</v>
      </c>
      <c r="AV4" s="179">
        <f>IFERROR(VLOOKUP(AV$1,Innova[[Ticker]:[Weight]],2,FALSE),0%)</f>
        <v>0</v>
      </c>
      <c r="AW4" s="179">
        <f>IFERROR(VLOOKUP(AW$1,Innova[[Ticker]:[Weight]],2,FALSE),0%)</f>
        <v>0</v>
      </c>
      <c r="AX4" s="179">
        <f>IFERROR(VLOOKUP(AX$1,Innova[[Ticker]:[Weight]],2,FALSE),0%)</f>
        <v>0</v>
      </c>
      <c r="AY4" s="179">
        <f>IFERROR(VLOOKUP(AY$1,Innova[[Ticker]:[Weight]],2,FALSE),0%)</f>
        <v>0</v>
      </c>
      <c r="AZ4" s="179">
        <f>IFERROR(VLOOKUP(AZ$1,Innova[[Ticker]:[Weight]],2,FALSE),0%)</f>
        <v>0</v>
      </c>
      <c r="BA4" s="179">
        <f>IFERROR(VLOOKUP(BA$1,Innova[[Ticker]:[Weight]],2,FALSE),0%)</f>
        <v>0</v>
      </c>
      <c r="BB4" s="179">
        <f>IFERROR(VLOOKUP(BB$1,Innova[[Ticker]:[Weight]],2,FALSE),0%)</f>
        <v>0</v>
      </c>
      <c r="BC4" s="179">
        <f>IFERROR(VLOOKUP(BC$1,Innova[[Ticker]:[Weight]],2,FALSE),0%)</f>
        <v>0</v>
      </c>
      <c r="BD4" s="179">
        <f>IFERROR(VLOOKUP(BD$1,Innova[[Ticker]:[Weight]],2,FALSE),0%)</f>
        <v>0</v>
      </c>
      <c r="BE4" s="179">
        <f>IFERROR(VLOOKUP(BE$1,Innova[[Ticker]:[Weight]],2,FALSE),0%)</f>
        <v>0</v>
      </c>
      <c r="BF4" s="179">
        <f>IFERROR(VLOOKUP(BF$1,Innova[[Ticker]:[Weight]],2,FALSE),0%)</f>
        <v>0</v>
      </c>
      <c r="BG4" s="179">
        <f>IFERROR(VLOOKUP(BG$1,Innova[[Ticker]:[Weight]],2,FALSE),0%)</f>
        <v>0</v>
      </c>
      <c r="BH4" s="179">
        <f>IFERROR(VLOOKUP(BH$1,Innova[[Ticker]:[Weight]],2,FALSE),0%)</f>
        <v>0</v>
      </c>
      <c r="BI4" s="179">
        <f>IFERROR(VLOOKUP(BI$1,Innova[[Ticker]:[Weight]],2,FALSE),0%)</f>
        <v>0</v>
      </c>
      <c r="BJ4" s="179">
        <f>IFERROR(VLOOKUP(BJ$1,Innova[[Ticker]:[Weight]],2,FALSE),0%)</f>
        <v>0</v>
      </c>
      <c r="BK4" s="179">
        <f>IFERROR(VLOOKUP(BK$1,Innova[[Ticker]:[Weight]],2,FALSE),0%)</f>
        <v>0</v>
      </c>
      <c r="BL4" s="179">
        <f>IFERROR(VLOOKUP(BL$1,Innova[[Ticker]:[Weight]],2,FALSE),0%)</f>
        <v>0</v>
      </c>
      <c r="BM4" s="179">
        <f>IFERROR(VLOOKUP(BM$1,Innova[[Ticker]:[Weight]],2,FALSE),0%)</f>
        <v>0</v>
      </c>
      <c r="BN4" s="179">
        <f>IFERROR(VLOOKUP(BN$1,Innova[[Ticker]:[Weight]],2,FALSE),0%)</f>
        <v>0</v>
      </c>
      <c r="BO4" s="179">
        <f>IFERROR(VLOOKUP(BO$1,Innova[[Ticker]:[Weight]],2,FALSE),0%)</f>
        <v>0</v>
      </c>
      <c r="BP4" s="179">
        <f>IFERROR(VLOOKUP(BP$1,Innova[[Ticker]:[Weight]],2,FALSE),0%)</f>
        <v>0</v>
      </c>
      <c r="BQ4" s="179">
        <f>IFERROR(VLOOKUP(BQ$1,Innova[[Ticker]:[Weight]],2,FALSE),0%)</f>
        <v>0</v>
      </c>
      <c r="BR4" s="179">
        <f>IFERROR(VLOOKUP(BR$1,Innova[[Ticker]:[Weight]],2,FALSE),0%)</f>
        <v>0</v>
      </c>
      <c r="BS4" s="179">
        <f>IFERROR(VLOOKUP(BS$1,Innova[[Ticker]:[Weight]],2,FALSE),0%)</f>
        <v>0</v>
      </c>
      <c r="BT4" s="179">
        <f>IFERROR(VLOOKUP(BT$1,Innova[[Ticker]:[Weight]],2,FALSE),0%)</f>
        <v>0</v>
      </c>
      <c r="BU4" s="179">
        <f>IFERROR(VLOOKUP(BU$1,Innova[[Ticker]:[Weight]],2,FALSE),0%)</f>
        <v>0</v>
      </c>
      <c r="BV4" s="179">
        <f>IFERROR(VLOOKUP(BV$1,Innova[[Ticker]:[Weight]],2,FALSE),0%)</f>
        <v>0</v>
      </c>
      <c r="BW4" s="179">
        <f>IFERROR(VLOOKUP(BW$1,Innova[[Ticker]:[Weight]],2,FALSE),0%)</f>
        <v>0</v>
      </c>
      <c r="BX4" s="179">
        <f>IFERROR(VLOOKUP(BX$1,Innova[[Ticker]:[Weight]],2,FALSE),0%)</f>
        <v>0</v>
      </c>
      <c r="BY4" s="179">
        <f>IFERROR(VLOOKUP(BY$1,Innova[[Ticker]:[Weight]],2,FALSE),0%)</f>
        <v>0</v>
      </c>
      <c r="BZ4" s="179">
        <f>IFERROR(VLOOKUP(BZ$1,Innova[[Ticker]:[Weight]],2,FALSE),0%)</f>
        <v>0</v>
      </c>
      <c r="CA4" s="179">
        <f>IFERROR(VLOOKUP(CA$1,Innova[[Ticker]:[Weight]],2,FALSE),0%)</f>
        <v>0</v>
      </c>
      <c r="CB4" s="179">
        <f>IFERROR(VLOOKUP(CB$1,Innova[[Ticker]:[Weight]],2,FALSE),0%)</f>
        <v>0</v>
      </c>
      <c r="CC4" s="179">
        <f>IFERROR(VLOOKUP(CC$1,Innova[[Ticker]:[Weight]],2,FALSE),0%)</f>
        <v>0</v>
      </c>
      <c r="CD4" s="179">
        <f>IFERROR(VLOOKUP(CD$1,Innova[[Ticker]:[Weight]],2,FALSE),0%)</f>
        <v>0</v>
      </c>
      <c r="CE4" s="179">
        <f>IFERROR(VLOOKUP(CE$1,Innova[[Ticker]:[Weight]],2,FALSE),0%)</f>
        <v>0</v>
      </c>
      <c r="CF4" s="179">
        <f>IFERROR(VLOOKUP(CF$1,Innova[[Ticker]:[Weight]],2,FALSE),0%)</f>
        <v>0</v>
      </c>
      <c r="CG4" s="179">
        <f>IFERROR(VLOOKUP(CG$1,Innova[[Ticker]:[Weight]],2,FALSE),0%)</f>
        <v>0</v>
      </c>
      <c r="CH4" s="179">
        <f>IFERROR(VLOOKUP(CH$1,Innova[[Ticker]:[Weight]],2,FALSE),0%)</f>
        <v>0</v>
      </c>
      <c r="CI4" s="179">
        <f>IFERROR(VLOOKUP(CI$1,Innova[[Ticker]:[Weight]],2,FALSE),0%)</f>
        <v>0</v>
      </c>
      <c r="CJ4" s="179">
        <f>IFERROR(VLOOKUP(CJ$1,Innova[[Ticker]:[Weight]],2,FALSE),0%)</f>
        <v>0</v>
      </c>
      <c r="CK4" s="179">
        <f>IFERROR(VLOOKUP(CK$1,Innova[[Ticker]:[Weight]],2,FALSE),0%)</f>
        <v>0</v>
      </c>
      <c r="CL4" s="179">
        <f>IFERROR(VLOOKUP(CL$1,Innova[[Ticker]:[Weight]],2,FALSE),0%)</f>
        <v>0</v>
      </c>
      <c r="CM4" s="179">
        <f>IFERROR(VLOOKUP(CM$1,Innova[[Ticker]:[Weight]],2,FALSE),0%)</f>
        <v>0</v>
      </c>
      <c r="CN4" s="179">
        <f>IFERROR(VLOOKUP(CN$1,Innova[[Ticker]:[Weight]],2,FALSE),0%)</f>
        <v>0</v>
      </c>
      <c r="CO4" s="179">
        <f>IFERROR(VLOOKUP(CO$1,Innova[[Ticker]:[Weight]],2,FALSE),0%)</f>
        <v>0</v>
      </c>
      <c r="CP4" s="179">
        <f>IFERROR(VLOOKUP(CP$1,Innova[[Ticker]:[Weight]],2,FALSE),0%)</f>
        <v>0</v>
      </c>
      <c r="CQ4" s="179">
        <f>IFERROR(VLOOKUP(CQ$1,Innova[[Ticker]:[Weight]],2,FALSE),0%)</f>
        <v>0</v>
      </c>
      <c r="CR4" s="179">
        <f>IFERROR(VLOOKUP(CR$1,Innova[[Ticker]:[Weight]],2,FALSE),0%)</f>
        <v>0</v>
      </c>
      <c r="CS4" s="179">
        <f>IFERROR(VLOOKUP(CS$1,Innova[[Ticker]:[Weight]],2,FALSE),0%)</f>
        <v>0</v>
      </c>
      <c r="CT4" s="179">
        <f>IFERROR(VLOOKUP(CT$1,Innova[[Ticker]:[Weight]],2,FALSE),0%)</f>
        <v>0</v>
      </c>
      <c r="CU4" s="179">
        <f>IFERROR(VLOOKUP(CU$1,Innova[[Ticker]:[Weight]],2,FALSE),0%)</f>
        <v>0</v>
      </c>
      <c r="CV4" s="179">
        <f>IFERROR(VLOOKUP(CV$1,Innova[[Ticker]:[Weight]],2,FALSE),0%)</f>
        <v>0</v>
      </c>
      <c r="CW4" s="179">
        <f>IFERROR(VLOOKUP(CW$1,Innova[[Ticker]:[Weight]],2,FALSE),0%)</f>
        <v>0</v>
      </c>
      <c r="CX4" s="179">
        <f>IFERROR(VLOOKUP(CX$1,Innova[[Ticker]:[Weight]],2,FALSE),0%)</f>
        <v>0</v>
      </c>
      <c r="CY4" s="179">
        <f>IFERROR(VLOOKUP(CY$1,Innova[[Ticker]:[Weight]],2,FALSE),0%)</f>
        <v>0</v>
      </c>
      <c r="CZ4" s="179">
        <f>IFERROR(VLOOKUP(CZ$1,Innova[[Ticker]:[Weight]],2,FALSE),0%)</f>
        <v>0</v>
      </c>
      <c r="DA4" s="179">
        <f>IFERROR(VLOOKUP(DA$1,Innova[[Ticker]:[Weight]],2,FALSE),0%)</f>
        <v>0</v>
      </c>
      <c r="DB4" s="179">
        <f>IFERROR(VLOOKUP(DB$1,Innova[[Ticker]:[Weight]],2,FALSE),0%)</f>
        <v>0</v>
      </c>
      <c r="DC4" s="179">
        <f>IFERROR(VLOOKUP(DC$1,Innova[[Ticker]:[Weight]],2,FALSE),0%)</f>
        <v>0</v>
      </c>
      <c r="DD4" s="179">
        <f>IFERROR(VLOOKUP(DD$1,Innova[[Ticker]:[Weight]],2,FALSE),0%)</f>
        <v>0</v>
      </c>
      <c r="DE4" s="179">
        <f>IFERROR(VLOOKUP(DE$1,Innova[[Ticker]:[Weight]],2,FALSE),0%)</f>
        <v>0</v>
      </c>
      <c r="DF4" s="179">
        <f>IFERROR(VLOOKUP(DF$1,Innova[[Ticker]:[Weight]],2,FALSE),0%)</f>
        <v>0</v>
      </c>
      <c r="DG4" s="179">
        <f>IFERROR(VLOOKUP(DG$1,Innova[[Ticker]:[Weight]],2,FALSE),0%)</f>
        <v>0</v>
      </c>
      <c r="DH4" s="179">
        <f>IFERROR(VLOOKUP(DH$1,Innova[[Ticker]:[Weight]],2,FALSE),0%)</f>
        <v>0</v>
      </c>
      <c r="DI4" s="179">
        <f>IFERROR(VLOOKUP(DI$1,Innova[[Ticker]:[Weight]],2,FALSE),0%)</f>
        <v>0</v>
      </c>
      <c r="DJ4" s="179">
        <f>IFERROR(VLOOKUP(DJ$1,Innova[[Ticker]:[Weight]],2,FALSE),0%)</f>
        <v>0</v>
      </c>
      <c r="DK4" s="179">
        <f>IFERROR(VLOOKUP(DK$1,Innova[[Ticker]:[Weight]],2,FALSE),0%)</f>
        <v>0</v>
      </c>
      <c r="DL4" s="179">
        <f>IFERROR(VLOOKUP(DL$1,Innova[[Ticker]:[Weight]],2,FALSE),0%)</f>
        <v>0</v>
      </c>
      <c r="DM4" s="179">
        <f>IFERROR(VLOOKUP(DM$1,Innova[[Ticker]:[Weight]],2,FALSE),0%)</f>
        <v>0</v>
      </c>
      <c r="DN4" s="179">
        <f>IFERROR(VLOOKUP(DN$1,Innova[[Ticker]:[Weight]],2,FALSE),0%)</f>
        <v>0</v>
      </c>
      <c r="DO4" s="179">
        <f>IFERROR(VLOOKUP(DO$1,Innova[[Ticker]:[Weight]],2,FALSE),0%)</f>
        <v>0</v>
      </c>
      <c r="DP4" s="179">
        <f>IFERROR(VLOOKUP(DP$1,Innova[[Ticker]:[Weight]],2,FALSE),0%)</f>
        <v>0</v>
      </c>
      <c r="DQ4" s="179">
        <f>IFERROR(VLOOKUP(DQ$1,Innova[[Ticker]:[Weight]],2,FALSE),0%)</f>
        <v>0</v>
      </c>
      <c r="DR4" s="179">
        <f>IFERROR(VLOOKUP(DR$1,Innova[[Ticker]:[Weight]],2,FALSE),0%)</f>
        <v>0</v>
      </c>
      <c r="DS4" s="179">
        <f>IFERROR(VLOOKUP(DS$1,Innova[[Ticker]:[Weight]],2,FALSE),0%)</f>
        <v>0</v>
      </c>
      <c r="DT4" s="179">
        <f>IFERROR(VLOOKUP(DT$1,Innova[[Ticker]:[Weight]],2,FALSE),0%)</f>
        <v>0</v>
      </c>
      <c r="DU4" s="179">
        <f>IFERROR(VLOOKUP(DU$1,Innova[[Ticker]:[Weight]],2,FALSE),0%)</f>
        <v>0</v>
      </c>
      <c r="DV4" s="179">
        <f>IFERROR(VLOOKUP(DV$1,Innova[[Ticker]:[Weight]],2,FALSE),0%)</f>
        <v>0</v>
      </c>
      <c r="DW4" s="179">
        <f>IFERROR(VLOOKUP(DW$1,Innova[[Ticker]:[Weight]],2,FALSE),0%)</f>
        <v>0</v>
      </c>
      <c r="DX4" s="179">
        <f>IFERROR(VLOOKUP(DX$1,Innova[[Ticker]:[Weight]],2,FALSE),0%)</f>
        <v>0</v>
      </c>
      <c r="DY4" s="179">
        <f>IFERROR(VLOOKUP(DY$1,Innova[[Ticker]:[Weight]],2,FALSE),0%)</f>
        <v>0</v>
      </c>
      <c r="DZ4" s="179">
        <f>IFERROR(VLOOKUP(DZ$1,Innova[[Ticker]:[Weight]],2,FALSE),0%)</f>
        <v>0</v>
      </c>
      <c r="EA4" s="179">
        <f>IFERROR(VLOOKUP(EA$1,Innova[[Ticker]:[Weight]],2,FALSE),0%)</f>
        <v>0</v>
      </c>
      <c r="EB4" s="179">
        <f>IFERROR(VLOOKUP(EB$1,Innova[[Ticker]:[Weight]],2,FALSE),0%)</f>
        <v>0</v>
      </c>
      <c r="EC4" s="179">
        <f>IFERROR(VLOOKUP(EC$1,Innova[[Ticker]:[Weight]],2,FALSE),0%)</f>
        <v>0</v>
      </c>
      <c r="ED4" s="179">
        <f>IFERROR(VLOOKUP(ED$1,Innova[[Ticker]:[Weight]],2,FALSE),0%)</f>
        <v>0</v>
      </c>
      <c r="EE4" s="179">
        <f>IFERROR(VLOOKUP(EE$1,Innova[[Ticker]:[Weight]],2,FALSE),0%)</f>
        <v>0</v>
      </c>
      <c r="EF4" s="179">
        <f>IFERROR(VLOOKUP(EF$1,Innova[[Ticker]:[Weight]],2,FALSE),0%)</f>
        <v>0</v>
      </c>
      <c r="EG4" s="179">
        <f>IFERROR(VLOOKUP(EG$1,Innova[[Ticker]:[Weight]],2,FALSE),0%)</f>
        <v>0</v>
      </c>
      <c r="EH4" s="179">
        <f>IFERROR(VLOOKUP(EH$1,Innova[[Ticker]:[Weight]],2,FALSE),0%)</f>
        <v>0</v>
      </c>
      <c r="EI4" s="179">
        <f>IFERROR(VLOOKUP(EI$1,Innova[[Ticker]:[Weight]],2,FALSE),0%)</f>
        <v>0</v>
      </c>
      <c r="EJ4" s="179">
        <f>IFERROR(VLOOKUP(EJ$1,Innova[[Ticker]:[Weight]],2,FALSE),0%)</f>
        <v>0</v>
      </c>
      <c r="EK4" s="179">
        <f>IFERROR(VLOOKUP(EK$1,Innova[[Ticker]:[Weight]],2,FALSE),0%)</f>
        <v>0</v>
      </c>
      <c r="EL4" s="179">
        <f>IFERROR(VLOOKUP(EL$1,Innova[[Ticker]:[Weight]],2,FALSE),0%)</f>
        <v>0</v>
      </c>
      <c r="EM4" s="179">
        <f>IFERROR(VLOOKUP(EM$1,Innova[[Ticker]:[Weight]],2,FALSE),0%)</f>
        <v>0</v>
      </c>
      <c r="EN4" s="179">
        <f>IFERROR(VLOOKUP(EN$1,Innova[[Ticker]:[Weight]],2,FALSE),0%)</f>
        <v>0</v>
      </c>
      <c r="EO4" s="179">
        <f>IFERROR(VLOOKUP(EO$1,Innova[[Ticker]:[Weight]],2,FALSE),0%)</f>
        <v>0</v>
      </c>
      <c r="EP4" s="179">
        <f>IFERROR(VLOOKUP(EP$1,Innova[[Ticker]:[Weight]],2,FALSE),0%)</f>
        <v>0</v>
      </c>
      <c r="EQ4" s="179">
        <f>IFERROR(VLOOKUP(EQ$1,Innova[[Ticker]:[Weight]],2,FALSE),0%)</f>
        <v>0</v>
      </c>
      <c r="ER4" s="179">
        <f>IFERROR(VLOOKUP(ER$1,Innova[[Ticker]:[Weight]],2,FALSE),0%)</f>
        <v>0</v>
      </c>
      <c r="ES4" s="179">
        <f>IFERROR(VLOOKUP(ES$1,Innova[[Ticker]:[Weight]],2,FALSE),0%)</f>
        <v>0</v>
      </c>
      <c r="ET4" s="179">
        <f>IFERROR(VLOOKUP(ET$1,Innova[[Ticker]:[Weight]],2,FALSE),0%)</f>
        <v>0</v>
      </c>
      <c r="EU4" s="179">
        <f>IFERROR(VLOOKUP(EU$1,Innova[[Ticker]:[Weight]],2,FALSE),0%)</f>
        <v>0</v>
      </c>
      <c r="EV4" s="179">
        <f>IFERROR(VLOOKUP(EV$1,Innova[[Ticker]:[Weight]],2,FALSE),0%)</f>
        <v>0</v>
      </c>
      <c r="EW4" s="179">
        <f>IFERROR(VLOOKUP(EW$1,Innova[[Ticker]:[Weight]],2,FALSE),0%)</f>
        <v>0</v>
      </c>
      <c r="EX4" s="179">
        <f>IFERROR(VLOOKUP(EX$1,Innova[[Ticker]:[Weight]],2,FALSE),0%)</f>
        <v>0</v>
      </c>
      <c r="EY4" s="179">
        <f>IFERROR(VLOOKUP(EY$1,Innova[[Ticker]:[Weight]],2,FALSE),0%)</f>
        <v>0</v>
      </c>
      <c r="EZ4" s="179">
        <f>IFERROR(VLOOKUP(EZ$1,Innova[[Ticker]:[Weight]],2,FALSE),0%)</f>
        <v>0</v>
      </c>
      <c r="FA4" s="179">
        <f>IFERROR(VLOOKUP(FA$1,Innova[[Ticker]:[Weight]],2,FALSE),0%)</f>
        <v>0</v>
      </c>
      <c r="FB4" s="179">
        <f>IFERROR(VLOOKUP(FB$1,Innova[[Ticker]:[Weight]],2,FALSE),0%)</f>
        <v>0</v>
      </c>
      <c r="FC4" s="179">
        <f>IFERROR(VLOOKUP(FC$1,Innova[[Ticker]:[Weight]],2,FALSE),0%)</f>
        <v>0</v>
      </c>
      <c r="FD4" s="179">
        <f>IFERROR(VLOOKUP(FD$1,Innova[[Ticker]:[Weight]],2,FALSE),0%)</f>
        <v>0</v>
      </c>
      <c r="FE4" s="179">
        <f>IFERROR(VLOOKUP(FE$1,Innova[[Ticker]:[Weight]],2,FALSE),0%)</f>
        <v>0</v>
      </c>
      <c r="FF4" s="179">
        <f>IFERROR(VLOOKUP(FF$1,Innova[[Ticker]:[Weight]],2,FALSE),0%)</f>
        <v>0</v>
      </c>
      <c r="FG4" s="179">
        <f>IFERROR(VLOOKUP(FG$1,Innova[[Ticker]:[Weight]],2,FALSE),0%)</f>
        <v>0</v>
      </c>
      <c r="FH4" s="179">
        <f>IFERROR(VLOOKUP(FH$1,Innova[[Ticker]:[Weight]],2,FALSE),0%)</f>
        <v>0</v>
      </c>
      <c r="FI4" s="179">
        <f>IFERROR(VLOOKUP(FI$1,Innova[[Ticker]:[Weight]],2,FALSE),0%)</f>
        <v>0</v>
      </c>
      <c r="FJ4" s="179">
        <f>IFERROR(VLOOKUP(FJ$1,Innova[[Ticker]:[Weight]],2,FALSE),0%)</f>
        <v>0</v>
      </c>
      <c r="FK4" s="179">
        <f>IFERROR(VLOOKUP(FK$1,Innova[[Ticker]:[Weight]],2,FALSE),0%)</f>
        <v>0</v>
      </c>
      <c r="FL4" s="179">
        <f>IFERROR(VLOOKUP(FL$1,Innova[[Ticker]:[Weight]],2,FALSE),0%)</f>
        <v>0</v>
      </c>
      <c r="FM4" s="179">
        <f>IFERROR(VLOOKUP(FM$1,Innova[[Ticker]:[Weight]],2,FALSE),0%)</f>
        <v>0</v>
      </c>
      <c r="FN4" s="179">
        <f>IFERROR(VLOOKUP(FN$1,Innova[[Ticker]:[Weight]],2,FALSE),0%)</f>
        <v>0</v>
      </c>
      <c r="FO4" s="179">
        <f>IFERROR(VLOOKUP(FO$1,Innova[[Ticker]:[Weight]],2,FALSE),0%)</f>
        <v>0</v>
      </c>
      <c r="FP4" s="179">
        <f>IFERROR(VLOOKUP(FP$1,Innova[[Ticker]:[Weight]],2,FALSE),0%)</f>
        <v>0</v>
      </c>
      <c r="FQ4" s="179">
        <f>IFERROR(VLOOKUP(FQ$1,Innova[[Ticker]:[Weight]],2,FALSE),0%)</f>
        <v>0</v>
      </c>
      <c r="FR4" s="179">
        <f>IFERROR(VLOOKUP(FR$1,Innova[[Ticker]:[Weight]],2,FALSE),0%)</f>
        <v>0</v>
      </c>
      <c r="FS4" s="179">
        <f>IFERROR(VLOOKUP(FS$1,Innova[[Ticker]:[Weight]],2,FALSE),0%)</f>
        <v>0</v>
      </c>
      <c r="FT4" s="179">
        <f>IFERROR(VLOOKUP(FT$1,Innova[[Ticker]:[Weight]],2,FALSE),0%)</f>
        <v>0</v>
      </c>
      <c r="FU4" s="179">
        <f>IFERROR(VLOOKUP(FU$1,Innova[[Ticker]:[Weight]],2,FALSE),0%)</f>
        <v>0</v>
      </c>
      <c r="FV4" s="179">
        <f>IFERROR(VLOOKUP(FV$1,Innova[[Ticker]:[Weight]],2,FALSE),0%)</f>
        <v>0</v>
      </c>
      <c r="FW4" s="179">
        <f>IFERROR(VLOOKUP(FW$1,Innova[[Ticker]:[Weight]],2,FALSE),0%)</f>
        <v>0</v>
      </c>
      <c r="FX4" s="179">
        <f>IFERROR(VLOOKUP(FX$1,Innova[[Ticker]:[Weight]],2,FALSE),0%)</f>
        <v>0</v>
      </c>
      <c r="FY4" s="179">
        <f>IFERROR(VLOOKUP(FY$1,Innova[[Ticker]:[Weight]],2,FALSE),0%)</f>
        <v>0</v>
      </c>
      <c r="FZ4" s="179">
        <f>IFERROR(VLOOKUP(FZ$1,Innova[[Ticker]:[Weight]],2,FALSE),0%)</f>
        <v>0</v>
      </c>
      <c r="GA4" s="179">
        <f>IFERROR(VLOOKUP(GA$1,Innova[[Ticker]:[Weight]],2,FALSE),0%)</f>
        <v>0</v>
      </c>
      <c r="GB4" s="179">
        <f>IFERROR(VLOOKUP(GB$1,Innova[[Ticker]:[Weight]],2,FALSE),0%)</f>
        <v>0</v>
      </c>
      <c r="GC4" s="179">
        <f>IFERROR(VLOOKUP(GC$1,Innova[[Ticker]:[Weight]],2,FALSE),0%)</f>
        <v>0</v>
      </c>
      <c r="GD4" s="179">
        <f>IFERROR(VLOOKUP(GD$1,Innova[[Ticker]:[Weight]],2,FALSE),0%)</f>
        <v>0</v>
      </c>
      <c r="GE4" s="179">
        <f>IFERROR(VLOOKUP(GE$1,Innova[[Ticker]:[Weight]],2,FALSE),0%)</f>
        <v>0</v>
      </c>
      <c r="GF4" s="179">
        <f>IFERROR(VLOOKUP(GF$1,Innova[[Ticker]:[Weight]],2,FALSE),0%)</f>
        <v>0</v>
      </c>
      <c r="GG4" s="179">
        <f>IFERROR(VLOOKUP(GG$1,Innova[[Ticker]:[Weight]],2,FALSE),0%)</f>
        <v>0</v>
      </c>
      <c r="GH4" s="179">
        <f>IFERROR(VLOOKUP(GH$1,Innova[[Ticker]:[Weight]],2,FALSE),0%)</f>
        <v>0</v>
      </c>
      <c r="GI4" s="179">
        <f>IFERROR(VLOOKUP(GI$1,Innova[[Ticker]:[Weight]],2,FALSE),0%)</f>
        <v>0</v>
      </c>
      <c r="GJ4" s="179">
        <f>IFERROR(VLOOKUP(GJ$1,Innova[[Ticker]:[Weight]],2,FALSE),0%)</f>
        <v>0</v>
      </c>
      <c r="GK4" s="179">
        <f>IFERROR(VLOOKUP(GK$1,Innova[[Ticker]:[Weight]],2,FALSE),0%)</f>
        <v>0</v>
      </c>
      <c r="GL4" s="179">
        <f>IFERROR(VLOOKUP(GL$1,Innova[[Ticker]:[Weight]],2,FALSE),0%)</f>
        <v>0</v>
      </c>
      <c r="GM4" s="179">
        <f>IFERROR(VLOOKUP(GM$1,Innova[[Ticker]:[Weight]],2,FALSE),0%)</f>
        <v>0</v>
      </c>
      <c r="GN4" s="179">
        <f>IFERROR(VLOOKUP(GN$1,Innova[[Ticker]:[Weight]],2,FALSE),0%)</f>
        <v>0</v>
      </c>
      <c r="GO4" s="179">
        <f>IFERROR(VLOOKUP(GO$1,Innova[[Ticker]:[Weight]],2,FALSE),0%)</f>
        <v>0</v>
      </c>
      <c r="GP4" s="179">
        <f>IFERROR(VLOOKUP(GP$1,Innova[[Ticker]:[Weight]],2,FALSE),0%)</f>
        <v>0</v>
      </c>
      <c r="GQ4" s="179">
        <f>IFERROR(VLOOKUP(GQ$1,Innova[[Ticker]:[Weight]],2,FALSE),0%)</f>
        <v>0</v>
      </c>
      <c r="GR4" s="179">
        <f>IFERROR(VLOOKUP(GR$1,Innova[[Ticker]:[Weight]],2,FALSE),0%)</f>
        <v>0</v>
      </c>
      <c r="GS4" s="179">
        <f>IFERROR(VLOOKUP(GS$1,Innova[[Ticker]:[Weight]],2,FALSE),0%)</f>
        <v>0</v>
      </c>
      <c r="GT4" s="179">
        <f>IFERROR(VLOOKUP(GT$1,Innova[[Ticker]:[Weight]],2,FALSE),0%)</f>
        <v>0</v>
      </c>
      <c r="GU4" s="179">
        <f>IFERROR(VLOOKUP(GU$1,Innova[[Ticker]:[Weight]],2,FALSE),0%)</f>
        <v>0</v>
      </c>
      <c r="GV4" s="179">
        <f>IFERROR(VLOOKUP(GV$1,Innova[[Ticker]:[Weight]],2,FALSE),0%)</f>
        <v>0</v>
      </c>
      <c r="GW4" s="179">
        <f>IFERROR(VLOOKUP(GW$1,Innova[[Ticker]:[Weight]],2,FALSE),0%)</f>
        <v>0</v>
      </c>
      <c r="GX4" s="179">
        <f>IFERROR(VLOOKUP(GX$1,Innova[[Ticker]:[Weight]],2,FALSE),0%)</f>
        <v>0</v>
      </c>
      <c r="GY4" s="179">
        <f>IFERROR(VLOOKUP(GY$1,Innova[[Ticker]:[Weight]],2,FALSE),0%)</f>
        <v>0</v>
      </c>
      <c r="GZ4" s="179">
        <f>IFERROR(VLOOKUP(GZ$1,Innova[[Ticker]:[Weight]],2,FALSE),0%)</f>
        <v>0</v>
      </c>
      <c r="HA4" s="179">
        <f>IFERROR(VLOOKUP(HA$1,Innova[[Ticker]:[Weight]],2,FALSE),0%)</f>
        <v>0</v>
      </c>
      <c r="HB4" s="179">
        <f>IFERROR(VLOOKUP(HB$1,Innova[[Ticker]:[Weight]],2,FALSE),0%)</f>
        <v>0</v>
      </c>
      <c r="HC4" s="179">
        <f>IFERROR(VLOOKUP(HC$1,Innova[[Ticker]:[Weight]],2,FALSE),0%)</f>
        <v>0</v>
      </c>
      <c r="HD4" s="179">
        <f>IFERROR(VLOOKUP(HD$1,Innova[[Ticker]:[Weight]],2,FALSE),0%)</f>
        <v>0</v>
      </c>
      <c r="HE4" s="179">
        <f>IFERROR(VLOOKUP(HE$1,Innova[[Ticker]:[Weight]],2,FALSE),0%)</f>
        <v>0</v>
      </c>
      <c r="HF4" s="179">
        <f>IFERROR(VLOOKUP(HF$1,Innova[[Ticker]:[Weight]],2,FALSE),0%)</f>
        <v>0</v>
      </c>
      <c r="HG4" s="179">
        <f>IFERROR(VLOOKUP(HG$1,Innova[[Ticker]:[Weight]],2,FALSE),0%)</f>
        <v>0</v>
      </c>
      <c r="HH4" s="179">
        <f>IFERROR(VLOOKUP(HH$1,Innova[[Ticker]:[Weight]],2,FALSE),0%)</f>
        <v>0</v>
      </c>
      <c r="HI4" s="179">
        <f>IFERROR(VLOOKUP(HI$1,Innova[[Ticker]:[Weight]],2,FALSE),0%)</f>
        <v>0</v>
      </c>
      <c r="HJ4" s="179">
        <f>IFERROR(VLOOKUP(HJ$1,Innova[[Ticker]:[Weight]],2,FALSE),0%)</f>
        <v>0</v>
      </c>
      <c r="HK4" s="179">
        <f>IFERROR(VLOOKUP(HK$1,Innova[[Ticker]:[Weight]],2,FALSE),0%)</f>
        <v>0</v>
      </c>
      <c r="HL4" s="179">
        <f>IFERROR(VLOOKUP(HL$1,Innova[[Ticker]:[Weight]],2,FALSE),0%)</f>
        <v>0</v>
      </c>
      <c r="HM4" s="179">
        <f>IFERROR(VLOOKUP(HM$1,Innova[[Ticker]:[Weight]],2,FALSE),0%)</f>
        <v>0</v>
      </c>
      <c r="HN4" s="179">
        <f>IFERROR(VLOOKUP(HN$1,Innova[[Ticker]:[Weight]],2,FALSE),0%)</f>
        <v>0</v>
      </c>
      <c r="HO4" s="179">
        <f>IFERROR(VLOOKUP(HO$1,Innova[[Ticker]:[Weight]],2,FALSE),0%)</f>
        <v>0</v>
      </c>
      <c r="HP4" s="179">
        <f>IFERROR(VLOOKUP(HP$1,Innova[[Ticker]:[Weight]],2,FALSE),0%)</f>
        <v>0</v>
      </c>
      <c r="HQ4" s="179">
        <f>IFERROR(VLOOKUP(HQ$1,Innova[[Ticker]:[Weight]],2,FALSE),0%)</f>
        <v>0</v>
      </c>
      <c r="HR4" s="179">
        <f>IFERROR(VLOOKUP(HR$1,Innova[[Ticker]:[Weight]],2,FALSE),0%)</f>
        <v>0</v>
      </c>
      <c r="HS4" s="179">
        <f>IFERROR(VLOOKUP(HS$1,Innova[[Ticker]:[Weight]],2,FALSE),0%)</f>
        <v>0</v>
      </c>
      <c r="HT4" s="179">
        <f>IFERROR(VLOOKUP(HT$1,Innova[[Ticker]:[Weight]],2,FALSE),0%)</f>
        <v>0</v>
      </c>
      <c r="HU4" s="179">
        <f>IFERROR(VLOOKUP(HU$1,Innova[[Ticker]:[Weight]],2,FALSE),0%)</f>
        <v>0</v>
      </c>
      <c r="HV4" s="179">
        <f>IFERROR(VLOOKUP(HV$1,Innova[[Ticker]:[Weight]],2,FALSE),0%)</f>
        <v>0</v>
      </c>
      <c r="HW4" s="179">
        <f>IFERROR(VLOOKUP(HW$1,Innova[[Ticker]:[Weight]],2,FALSE),0%)</f>
        <v>0</v>
      </c>
      <c r="HX4" s="179">
        <f>IFERROR(VLOOKUP(HX$1,Innova[[Ticker]:[Weight]],2,FALSE),0%)</f>
        <v>0</v>
      </c>
      <c r="HY4" s="179">
        <f>IFERROR(VLOOKUP(HY$1,Innova[[Ticker]:[Weight]],2,FALSE),0%)</f>
        <v>0</v>
      </c>
      <c r="HZ4" s="179">
        <f>IFERROR(VLOOKUP(HZ$1,Innova[[Ticker]:[Weight]],2,FALSE),0%)</f>
        <v>0</v>
      </c>
      <c r="IA4" s="179">
        <f>IFERROR(VLOOKUP(IA$1,Innova[[Ticker]:[Weight]],2,FALSE),0%)</f>
        <v>0</v>
      </c>
      <c r="IB4" s="179">
        <f>IFERROR(VLOOKUP(IB$1,Innova[[Ticker]:[Weight]],2,FALSE),0%)</f>
        <v>0</v>
      </c>
      <c r="IC4" s="179">
        <f>IFERROR(VLOOKUP(IC$1,Innova[[Ticker]:[Weight]],2,FALSE),0%)</f>
        <v>0</v>
      </c>
      <c r="ID4" s="179">
        <f>IFERROR(VLOOKUP(ID$1,Innova[[Ticker]:[Weight]],2,FALSE),0%)</f>
        <v>0</v>
      </c>
      <c r="IE4" s="179">
        <f>IFERROR(VLOOKUP(IE$1,Innova[[Ticker]:[Weight]],2,FALSE),0%)</f>
        <v>0</v>
      </c>
      <c r="IF4" s="179">
        <f>IFERROR(VLOOKUP(IF$1,Innova[[Ticker]:[Weight]],2,FALSE),0%)</f>
        <v>0</v>
      </c>
      <c r="IG4" s="179">
        <f>IFERROR(VLOOKUP(IG$1,Innova[[Ticker]:[Weight]],2,FALSE),0%)</f>
        <v>0</v>
      </c>
      <c r="IH4" s="179">
        <f>IFERROR(VLOOKUP(IH$1,Innova[[Ticker]:[Weight]],2,FALSE),0%)</f>
        <v>0</v>
      </c>
      <c r="II4" s="179">
        <f>IFERROR(VLOOKUP(II$1,Innova[[Ticker]:[Weight]],2,FALSE),0%)</f>
        <v>0</v>
      </c>
      <c r="IJ4" s="179">
        <f>IFERROR(VLOOKUP(IJ$1,Innova[[Ticker]:[Weight]],2,FALSE),0%)</f>
        <v>0</v>
      </c>
      <c r="IK4" s="179">
        <f>IFERROR(VLOOKUP(IK$1,Innova[[Ticker]:[Weight]],2,FALSE),0%)</f>
        <v>0</v>
      </c>
      <c r="IL4" s="179">
        <f>IFERROR(VLOOKUP(IL$1,Innova[[Ticker]:[Weight]],2,FALSE),0%)</f>
        <v>0</v>
      </c>
      <c r="IM4" s="179">
        <f>IFERROR(VLOOKUP(IM$1,Innova[[Ticker]:[Weight]],2,FALSE),0%)</f>
        <v>0</v>
      </c>
      <c r="IN4" s="179">
        <f>IFERROR(VLOOKUP(IN$1,Innova[[Ticker]:[Weight]],2,FALSE),0%)</f>
        <v>0</v>
      </c>
      <c r="IO4" s="179">
        <f>IFERROR(VLOOKUP(IO$1,Innova[[Ticker]:[Weight]],2,FALSE),0%)</f>
        <v>0</v>
      </c>
      <c r="IP4" s="179">
        <f>IFERROR(VLOOKUP(IP$1,Innova[[Ticker]:[Weight]],2,FALSE),0%)</f>
        <v>0</v>
      </c>
      <c r="IQ4" s="179">
        <f>IFERROR(VLOOKUP(IQ$1,Innova[[Ticker]:[Weight]],2,FALSE),0%)</f>
        <v>0</v>
      </c>
      <c r="IR4" s="179">
        <f>IFERROR(VLOOKUP(IR$1,Innova[[Ticker]:[Weight]],2,FALSE),0%)</f>
        <v>0</v>
      </c>
      <c r="IS4" s="179">
        <f>IFERROR(VLOOKUP(IS$1,Innova[[Ticker]:[Weight]],2,FALSE),0%)</f>
        <v>0</v>
      </c>
      <c r="IT4" s="179">
        <f>IFERROR(VLOOKUP(IT$1,Innova[[Ticker]:[Weight]],2,FALSE),0%)</f>
        <v>0</v>
      </c>
      <c r="IU4" s="179">
        <f>IFERROR(VLOOKUP(IU$1,Innova[[Ticker]:[Weight]],2,FALSE),0%)</f>
        <v>0</v>
      </c>
      <c r="IV4" s="179">
        <f>IFERROR(VLOOKUP(IV$1,Innova[[Ticker]:[Weight]],2,FALSE),0%)</f>
        <v>0</v>
      </c>
      <c r="IW4" s="179">
        <f>IFERROR(VLOOKUP(IW$1,Innova[[Ticker]:[Weight]],2,FALSE),0%)</f>
        <v>0</v>
      </c>
      <c r="IX4" s="179">
        <f>IFERROR(VLOOKUP(IX$1,Innova[[Ticker]:[Weight]],2,FALSE),0%)</f>
        <v>0</v>
      </c>
      <c r="IY4" s="179">
        <f>IFERROR(VLOOKUP(IY$1,Innova[[Ticker]:[Weight]],2,FALSE),0%)</f>
        <v>0</v>
      </c>
      <c r="IZ4" s="179">
        <f>IFERROR(VLOOKUP(IZ$1,Innova[[Ticker]:[Weight]],2,FALSE),0%)</f>
        <v>0</v>
      </c>
      <c r="JA4" s="179">
        <f>IFERROR(VLOOKUP(JA$1,Innova[[Ticker]:[Weight]],2,FALSE),0%)</f>
        <v>0</v>
      </c>
      <c r="JB4" s="179">
        <f>IFERROR(VLOOKUP(JB$1,Innova[[Ticker]:[Weight]],2,FALSE),0%)</f>
        <v>0</v>
      </c>
      <c r="JC4" s="179">
        <f>IFERROR(VLOOKUP(JC$1,Innova[[Ticker]:[Weight]],2,FALSE),0%)</f>
        <v>0</v>
      </c>
      <c r="JD4" s="179">
        <f>IFERROR(VLOOKUP(JD$1,Innova[[Ticker]:[Weight]],2,FALSE),0%)</f>
        <v>0</v>
      </c>
      <c r="JE4" s="179">
        <f>IFERROR(VLOOKUP(JE$1,Innova[[Ticker]:[Weight]],2,FALSE),0%)</f>
        <v>0</v>
      </c>
      <c r="JF4" s="179">
        <f>IFERROR(VLOOKUP(JF$1,Innova[[Ticker]:[Weight]],2,FALSE),0%)</f>
        <v>0</v>
      </c>
      <c r="JG4" s="179">
        <f>IFERROR(VLOOKUP(JG$1,Innova[[Ticker]:[Weight]],2,FALSE),0%)</f>
        <v>0</v>
      </c>
      <c r="JH4" s="179">
        <f>IFERROR(VLOOKUP(JH$1,Innova[[Ticker]:[Weight]],2,FALSE),0%)</f>
        <v>0</v>
      </c>
      <c r="JI4" s="179">
        <f>IFERROR(VLOOKUP(JI$1,Innova[[Ticker]:[Weight]],2,FALSE),0%)</f>
        <v>0</v>
      </c>
      <c r="JJ4" s="179">
        <f>IFERROR(VLOOKUP(JJ$1,Innova[[Ticker]:[Weight]],2,FALSE),0%)</f>
        <v>0</v>
      </c>
      <c r="JK4" s="179">
        <f>IFERROR(VLOOKUP(JK$1,Innova[[Ticker]:[Weight]],2,FALSE),0%)</f>
        <v>0</v>
      </c>
      <c r="JL4" s="179">
        <f>IFERROR(VLOOKUP(JL$1,Innova[[Ticker]:[Weight]],2,FALSE),0%)</f>
        <v>0</v>
      </c>
      <c r="JM4" s="179">
        <f>IFERROR(VLOOKUP(JM$1,Innova[[Ticker]:[Weight]],2,FALSE),0%)</f>
        <v>0</v>
      </c>
      <c r="JN4" s="179">
        <f>IFERROR(VLOOKUP(JN$1,Innova[[Ticker]:[Weight]],2,FALSE),0%)</f>
        <v>0</v>
      </c>
      <c r="JO4" s="179">
        <f>IFERROR(VLOOKUP(JO$1,Innova[[Ticker]:[Weight]],2,FALSE),0%)</f>
        <v>0</v>
      </c>
      <c r="JP4" s="179">
        <f>IFERROR(VLOOKUP(JP$1,Innova[[Ticker]:[Weight]],2,FALSE),0%)</f>
        <v>0</v>
      </c>
      <c r="JQ4" s="179">
        <f>IFERROR(VLOOKUP(JQ$1,Innova[[Ticker]:[Weight]],2,FALSE),0%)</f>
        <v>0</v>
      </c>
      <c r="JR4" s="179">
        <f>IFERROR(VLOOKUP(JR$1,Innova[[Ticker]:[Weight]],2,FALSE),0%)</f>
        <v>0</v>
      </c>
      <c r="JS4" s="179">
        <f>IFERROR(VLOOKUP(JS$1,Innova[[Ticker]:[Weight]],2,FALSE),0%)</f>
        <v>0</v>
      </c>
      <c r="JT4" s="179">
        <f>IFERROR(VLOOKUP(JT$1,Innova[[Ticker]:[Weight]],2,FALSE),0%)</f>
        <v>0</v>
      </c>
      <c r="JU4" s="179">
        <f>IFERROR(VLOOKUP(JU$1,Innova[[Ticker]:[Weight]],2,FALSE),0%)</f>
        <v>0</v>
      </c>
      <c r="JV4" s="179">
        <f>IFERROR(VLOOKUP(JV$1,Innova[[Ticker]:[Weight]],2,FALSE),0%)</f>
        <v>0</v>
      </c>
      <c r="JW4" s="179">
        <f>IFERROR(VLOOKUP(JW$1,Innova[[Ticker]:[Weight]],2,FALSE),0%)</f>
        <v>0</v>
      </c>
      <c r="JX4" s="179">
        <f>IFERROR(VLOOKUP(JX$1,Innova[[Ticker]:[Weight]],2,FALSE),0%)</f>
        <v>0</v>
      </c>
      <c r="JY4" s="179">
        <f>IFERROR(VLOOKUP(JY$1,Innova[[Ticker]:[Weight]],2,FALSE),0%)</f>
        <v>0</v>
      </c>
      <c r="JZ4" s="179">
        <f>IFERROR(VLOOKUP(JZ$1,Innova[[Ticker]:[Weight]],2,FALSE),0%)</f>
        <v>0</v>
      </c>
      <c r="KA4" s="179">
        <f>IFERROR(VLOOKUP(KA$1,Innova[[Ticker]:[Weight]],2,FALSE),0%)</f>
        <v>0</v>
      </c>
      <c r="KB4" s="179">
        <f>IFERROR(VLOOKUP(KB$1,Innova[[Ticker]:[Weight]],2,FALSE),0%)</f>
        <v>0</v>
      </c>
      <c r="KC4" s="179">
        <f>IFERROR(VLOOKUP(KC$1,Innova[[Ticker]:[Weight]],2,FALSE),0%)</f>
        <v>0</v>
      </c>
      <c r="KD4" s="179">
        <f>IFERROR(VLOOKUP(KD$1,Innova[[Ticker]:[Weight]],2,FALSE),0%)</f>
        <v>0</v>
      </c>
      <c r="KE4" s="179">
        <f>IFERROR(VLOOKUP(KE$1,Innova[[Ticker]:[Weight]],2,FALSE),0%)</f>
        <v>0</v>
      </c>
      <c r="KF4" s="179">
        <f>IFERROR(VLOOKUP(KF$1,Innova[[Ticker]:[Weight]],2,FALSE),0%)</f>
        <v>0</v>
      </c>
      <c r="KG4" s="179">
        <f>IFERROR(VLOOKUP(KG$1,Innova[[Ticker]:[Weight]],2,FALSE),0%)</f>
        <v>0</v>
      </c>
      <c r="KH4" s="179">
        <f>IFERROR(VLOOKUP(KH$1,Innova[[Ticker]:[Weight]],2,FALSE),0%)</f>
        <v>0</v>
      </c>
      <c r="KI4" s="179">
        <f>IFERROR(VLOOKUP(KI$1,Innova[[Ticker]:[Weight]],2,FALSE),0%)</f>
        <v>0</v>
      </c>
      <c r="KJ4" s="179">
        <f>IFERROR(VLOOKUP(KJ$1,Innova[[Ticker]:[Weight]],2,FALSE),0%)</f>
        <v>0</v>
      </c>
      <c r="KK4" s="179">
        <f>IFERROR(VLOOKUP(KK$1,Innova[[Ticker]:[Weight]],2,FALSE),0%)</f>
        <v>0</v>
      </c>
      <c r="KL4" s="179">
        <f>IFERROR(VLOOKUP(KL$1,Innova[[Ticker]:[Weight]],2,FALSE),0%)</f>
        <v>0</v>
      </c>
      <c r="KM4" s="179">
        <f>IFERROR(VLOOKUP(KM$1,Innova[[Ticker]:[Weight]],2,FALSE),0%)</f>
        <v>0</v>
      </c>
      <c r="KN4" s="179">
        <f>IFERROR(VLOOKUP(KN$1,Innova[[Ticker]:[Weight]],2,FALSE),0%)</f>
        <v>0</v>
      </c>
      <c r="KO4" s="179">
        <f>IFERROR(VLOOKUP(KO$1,Innova[[Ticker]:[Weight]],2,FALSE),0%)</f>
        <v>0</v>
      </c>
      <c r="KP4" s="179">
        <f>IFERROR(VLOOKUP(KP$1,Innova[[Ticker]:[Weight]],2,FALSE),0%)</f>
        <v>0</v>
      </c>
      <c r="KQ4" s="179">
        <f>IFERROR(VLOOKUP(KQ$1,Innova[[Ticker]:[Weight]],2,FALSE),0%)</f>
        <v>0</v>
      </c>
      <c r="KR4" s="179">
        <f>IFERROR(VLOOKUP(KR$1,Innova[[Ticker]:[Weight]],2,FALSE),0%)</f>
        <v>0</v>
      </c>
      <c r="KS4" s="179">
        <f>IFERROR(VLOOKUP(KS$1,Innova[[Ticker]:[Weight]],2,FALSE),0%)</f>
        <v>0</v>
      </c>
      <c r="KT4" s="179">
        <f>IFERROR(VLOOKUP(KT$1,Innova[[Ticker]:[Weight]],2,FALSE),0%)</f>
        <v>0</v>
      </c>
      <c r="KU4" s="179">
        <f>IFERROR(VLOOKUP(KU$1,Innova[[Ticker]:[Weight]],2,FALSE),0%)</f>
        <v>0</v>
      </c>
      <c r="KV4" s="179">
        <f>IFERROR(VLOOKUP(KV$1,Innova[[Ticker]:[Weight]],2,FALSE),0%)</f>
        <v>0</v>
      </c>
      <c r="KW4" s="179">
        <f>IFERROR(VLOOKUP(KW$1,Innova[[Ticker]:[Weight]],2,FALSE),0%)</f>
        <v>0</v>
      </c>
      <c r="KX4" s="179">
        <f>IFERROR(VLOOKUP(KX$1,Innova[[Ticker]:[Weight]],2,FALSE),0%)</f>
        <v>0</v>
      </c>
      <c r="KY4" s="179">
        <f>IFERROR(VLOOKUP(KY$1,Innova[[Ticker]:[Weight]],2,FALSE),0%)</f>
        <v>0</v>
      </c>
      <c r="KZ4" s="179">
        <f>IFERROR(VLOOKUP(KZ$1,Innova[[Ticker]:[Weight]],2,FALSE),0%)</f>
        <v>0</v>
      </c>
      <c r="LA4" s="179">
        <f>IFERROR(VLOOKUP(LA$1,Innova[[Ticker]:[Weight]],2,FALSE),0%)</f>
        <v>0</v>
      </c>
      <c r="LB4" s="179">
        <f>IFERROR(VLOOKUP(LB$1,Innova[[Ticker]:[Weight]],2,FALSE),0%)</f>
        <v>0</v>
      </c>
      <c r="LC4" s="179">
        <f>IFERROR(VLOOKUP(LC$1,Innova[[Ticker]:[Weight]],2,FALSE),0%)</f>
        <v>0</v>
      </c>
      <c r="LD4" s="179">
        <f>IFERROR(VLOOKUP(LD$1,Innova[[Ticker]:[Weight]],2,FALSE),0%)</f>
        <v>0</v>
      </c>
      <c r="LE4" s="179">
        <f>IFERROR(VLOOKUP(LE$1,Innova[[Ticker]:[Weight]],2,FALSE),0%)</f>
        <v>0</v>
      </c>
      <c r="LF4" s="179">
        <f>IFERROR(VLOOKUP(LF$1,Innova[[Ticker]:[Weight]],2,FALSE),0%)</f>
        <v>0</v>
      </c>
      <c r="LG4" s="179">
        <f>IFERROR(VLOOKUP(LG$1,Innova[[Ticker]:[Weight]],2,FALSE),0%)</f>
        <v>0</v>
      </c>
      <c r="LH4" s="179">
        <f>IFERROR(VLOOKUP(LH$1,Innova[[Ticker]:[Weight]],2,FALSE),0%)</f>
        <v>0</v>
      </c>
      <c r="LI4" s="179">
        <f>IFERROR(VLOOKUP(LI$1,Innova[[Ticker]:[Weight]],2,FALSE),0%)</f>
        <v>0</v>
      </c>
      <c r="LJ4" s="179">
        <f>IFERROR(VLOOKUP(LJ$1,Innova[[Ticker]:[Weight]],2,FALSE),0%)</f>
        <v>0</v>
      </c>
      <c r="LK4" s="179">
        <f>IFERROR(VLOOKUP(LK$1,Innova[[Ticker]:[Weight]],2,FALSE),0%)</f>
        <v>0</v>
      </c>
      <c r="LL4" s="179">
        <f>IFERROR(VLOOKUP(LL$1,Innova[[Ticker]:[Weight]],2,FALSE),0%)</f>
        <v>0</v>
      </c>
      <c r="LM4" s="179">
        <f>IFERROR(VLOOKUP(LM$1,Innova[[Ticker]:[Weight]],2,FALSE),0%)</f>
        <v>0</v>
      </c>
      <c r="LN4" s="179">
        <f>IFERROR(VLOOKUP(LN$1,Innova[[Ticker]:[Weight]],2,FALSE),0%)</f>
        <v>0</v>
      </c>
      <c r="LO4" s="179">
        <f>IFERROR(VLOOKUP(LO$1,Innova[[Ticker]:[Weight]],2,FALSE),0%)</f>
        <v>0</v>
      </c>
      <c r="LP4" s="179">
        <f>IFERROR(VLOOKUP(LP$1,Innova[[Ticker]:[Weight]],2,FALSE),0%)</f>
        <v>0</v>
      </c>
      <c r="LQ4" s="179">
        <f>IFERROR(VLOOKUP(LQ$1,Innova[[Ticker]:[Weight]],2,FALSE),0%)</f>
        <v>0</v>
      </c>
      <c r="LR4" s="179">
        <f>IFERROR(VLOOKUP(LR$1,Innova[[Ticker]:[Weight]],2,FALSE),0%)</f>
        <v>0</v>
      </c>
      <c r="LS4" s="179">
        <f>IFERROR(VLOOKUP(LS$1,Innova[[Ticker]:[Weight]],2,FALSE),0%)</f>
        <v>0</v>
      </c>
      <c r="LT4" s="179">
        <f>IFERROR(VLOOKUP(LT$1,Innova[[Ticker]:[Weight]],2,FALSE),0%)</f>
        <v>0</v>
      </c>
      <c r="LU4" s="179">
        <f>IFERROR(VLOOKUP(LU$1,Innova[[Ticker]:[Weight]],2,FALSE),0%)</f>
        <v>0</v>
      </c>
      <c r="LV4" s="179">
        <f>IFERROR(VLOOKUP(LV$1,Innova[[Ticker]:[Weight]],2,FALSE),0%)</f>
        <v>0</v>
      </c>
      <c r="LW4" s="179">
        <f>IFERROR(VLOOKUP(LW$1,Innova[[Ticker]:[Weight]],2,FALSE),0%)</f>
        <v>0</v>
      </c>
      <c r="LX4" s="179">
        <f>IFERROR(VLOOKUP(LX$1,Innova[[Ticker]:[Weight]],2,FALSE),0%)</f>
        <v>0</v>
      </c>
      <c r="LY4" s="179">
        <f>IFERROR(VLOOKUP(LY$1,Innova[[Ticker]:[Weight]],2,FALSE),0%)</f>
        <v>0</v>
      </c>
      <c r="LZ4" s="179">
        <f>IFERROR(VLOOKUP(LZ$1,Innova[[Ticker]:[Weight]],2,FALSE),0%)</f>
        <v>0</v>
      </c>
      <c r="MA4" s="179">
        <f>IFERROR(VLOOKUP(MA$1,Innova[[Ticker]:[Weight]],2,FALSE),0%)</f>
        <v>0</v>
      </c>
      <c r="MB4" s="179">
        <f>IFERROR(VLOOKUP(MB$1,Innova[[Ticker]:[Weight]],2,FALSE),0%)</f>
        <v>0</v>
      </c>
      <c r="MC4" s="179">
        <f>IFERROR(VLOOKUP(MC$1,Innova[[Ticker]:[Weight]],2,FALSE),0%)</f>
        <v>0</v>
      </c>
      <c r="MD4" s="179">
        <f>IFERROR(VLOOKUP(MD$1,Innova[[Ticker]:[Weight]],2,FALSE),0%)</f>
        <v>0</v>
      </c>
      <c r="ME4" s="179">
        <f>IFERROR(VLOOKUP(ME$1,Innova[[Ticker]:[Weight]],2,FALSE),0%)</f>
        <v>0</v>
      </c>
      <c r="MF4" s="179">
        <f>IFERROR(VLOOKUP(MF$1,Innova[[Ticker]:[Weight]],2,FALSE),0%)</f>
        <v>0</v>
      </c>
      <c r="MG4" s="179">
        <f>IFERROR(VLOOKUP(MG$1,Innova[[Ticker]:[Weight]],2,FALSE),0%)</f>
        <v>0</v>
      </c>
      <c r="MH4" s="179">
        <f>IFERROR(VLOOKUP(MH$1,Innova[[Ticker]:[Weight]],2,FALSE),0%)</f>
        <v>0</v>
      </c>
      <c r="MI4" s="179">
        <f>IFERROR(VLOOKUP(MI$1,Innova[[Ticker]:[Weight]],2,FALSE),0%)</f>
        <v>0</v>
      </c>
      <c r="MJ4" s="179">
        <f>IFERROR(VLOOKUP(MJ$1,Innova[[Ticker]:[Weight]],2,FALSE),0%)</f>
        <v>0</v>
      </c>
      <c r="MK4" s="179">
        <f>IFERROR(VLOOKUP(MK$1,Innova[[Ticker]:[Weight]],2,FALSE),0%)</f>
        <v>0</v>
      </c>
      <c r="ML4" s="179">
        <f>IFERROR(VLOOKUP(ML$1,Innova[[Ticker]:[Weight]],2,FALSE),0%)</f>
        <v>0</v>
      </c>
      <c r="MM4" s="179">
        <f>IFERROR(VLOOKUP(MM$1,Innova[[Ticker]:[Weight]],2,FALSE),0%)</f>
        <v>0</v>
      </c>
      <c r="MN4" s="179">
        <f>IFERROR(VLOOKUP(MN$1,Innova[[Ticker]:[Weight]],2,FALSE),0%)</f>
        <v>0</v>
      </c>
      <c r="MO4" s="179">
        <f>IFERROR(VLOOKUP(MO$1,Innova[[Ticker]:[Weight]],2,FALSE),0%)</f>
        <v>0</v>
      </c>
      <c r="MP4" s="179">
        <f>IFERROR(VLOOKUP(MP$1,Innova[[Ticker]:[Weight]],2,FALSE),0%)</f>
        <v>0</v>
      </c>
      <c r="MQ4" s="179">
        <f>IFERROR(VLOOKUP(MQ$1,Innova[[Ticker]:[Weight]],2,FALSE),0%)</f>
        <v>0</v>
      </c>
      <c r="MR4" s="179">
        <f>IFERROR(VLOOKUP(MR$1,Innova[[Ticker]:[Weight]],2,FALSE),0%)</f>
        <v>0</v>
      </c>
      <c r="MS4" s="179">
        <f>IFERROR(VLOOKUP(MS$1,Innova[[Ticker]:[Weight]],2,FALSE),0%)</f>
        <v>0</v>
      </c>
      <c r="MT4" s="179">
        <f>IFERROR(VLOOKUP(MT$1,Innova[[Ticker]:[Weight]],2,FALSE),0%)</f>
        <v>0</v>
      </c>
      <c r="MU4" s="179">
        <f>IFERROR(VLOOKUP(MU$1,Innova[[Ticker]:[Weight]],2,FALSE),0%)</f>
        <v>0</v>
      </c>
      <c r="MV4" s="179">
        <f>IFERROR(VLOOKUP(MV$1,Innova[[Ticker]:[Weight]],2,FALSE),0%)</f>
        <v>0</v>
      </c>
      <c r="MW4" s="179">
        <f>IFERROR(VLOOKUP(MW$1,Innova[[Ticker]:[Weight]],2,FALSE),0%)</f>
        <v>0</v>
      </c>
      <c r="MX4" s="179">
        <f>IFERROR(VLOOKUP(MX$1,Innova[[Ticker]:[Weight]],2,FALSE),0%)</f>
        <v>0</v>
      </c>
      <c r="MY4" s="179">
        <f>IFERROR(VLOOKUP(MY$1,Innova[[Ticker]:[Weight]],2,FALSE),0%)</f>
        <v>0</v>
      </c>
      <c r="MZ4" s="179">
        <f>IFERROR(VLOOKUP(MZ$1,Innova[[Ticker]:[Weight]],2,FALSE),0%)</f>
        <v>0</v>
      </c>
      <c r="NA4" s="179">
        <f>IFERROR(VLOOKUP(NA$1,Innova[[Ticker]:[Weight]],2,FALSE),0%)</f>
        <v>0</v>
      </c>
      <c r="NB4" s="179">
        <f>IFERROR(VLOOKUP(NB$1,Innova[[Ticker]:[Weight]],2,FALSE),0%)</f>
        <v>0.0741</v>
      </c>
      <c r="NC4" s="179">
        <f>IFERROR(VLOOKUP(NC$1,Innova[[Ticker]:[Weight]],2,FALSE),0%)</f>
        <v>0</v>
      </c>
      <c r="ND4" s="179">
        <f>IFERROR(VLOOKUP(ND$1,Innova[[Ticker]:[Weight]],2,FALSE),0%)</f>
        <v>0</v>
      </c>
      <c r="NE4" s="179">
        <f>IFERROR(VLOOKUP(NE$1,Innova[[Ticker]:[Weight]],2,FALSE),0%)</f>
        <v>0</v>
      </c>
      <c r="NF4" s="179">
        <f>IFERROR(VLOOKUP(NF$1,Innova[[Ticker]:[Weight]],2,FALSE),0%)</f>
        <v>0</v>
      </c>
      <c r="NG4" s="179">
        <f>IFERROR(VLOOKUP(NG$1,Innova[[Ticker]:[Weight]],2,FALSE),0%)</f>
        <v>0</v>
      </c>
      <c r="NH4" s="179">
        <f>IFERROR(VLOOKUP(NH$1,Innova[[Ticker]:[Weight]],2,FALSE),0%)</f>
        <v>0</v>
      </c>
      <c r="NI4" s="179">
        <f>IFERROR(VLOOKUP(NI$1,Innova[[Ticker]:[Weight]],2,FALSE),0%)</f>
        <v>0</v>
      </c>
      <c r="NJ4" s="179">
        <f>IFERROR(VLOOKUP(NJ$1,Innova[[Ticker]:[Weight]],2,FALSE),0%)</f>
        <v>0</v>
      </c>
      <c r="NK4" s="179">
        <f>IFERROR(VLOOKUP(NK$1,Innova[[Ticker]:[Weight]],2,FALSE),0%)</f>
        <v>0</v>
      </c>
      <c r="NL4" s="179">
        <f>IFERROR(VLOOKUP(NL$1,Innova[[Ticker]:[Weight]],2,FALSE),0%)</f>
        <v>0</v>
      </c>
      <c r="NM4" s="179">
        <f>IFERROR(VLOOKUP(NM$1,Innova[[Ticker]:[Weight]],2,FALSE),0%)</f>
        <v>0</v>
      </c>
      <c r="NN4" s="179">
        <f>IFERROR(VLOOKUP(NN$1,Innova[[Ticker]:[Weight]],2,FALSE),0%)</f>
        <v>0</v>
      </c>
      <c r="NO4" s="179">
        <f>IFERROR(VLOOKUP(NO$1,Innova[[Ticker]:[Weight]],2,FALSE),0%)</f>
        <v>0</v>
      </c>
      <c r="NP4" s="179">
        <f>IFERROR(VLOOKUP(NP$1,Innova[[Ticker]:[Weight]],2,FALSE),0%)</f>
        <v>0</v>
      </c>
      <c r="NQ4" s="179">
        <f>IFERROR(VLOOKUP(NQ$1,Innova[[Ticker]:[Weight]],2,FALSE),0%)</f>
        <v>0</v>
      </c>
      <c r="NR4" s="179">
        <f>IFERROR(VLOOKUP(NR$1,Innova[[Ticker]:[Weight]],2,FALSE),0%)</f>
        <v>0</v>
      </c>
      <c r="NS4" s="179">
        <f>IFERROR(VLOOKUP(NS$1,Innova[[Ticker]:[Weight]],2,FALSE),0%)</f>
        <v>0</v>
      </c>
      <c r="NT4" s="179">
        <f>IFERROR(VLOOKUP(NT$1,Innova[[Ticker]:[Weight]],2,FALSE),0%)</f>
        <v>0</v>
      </c>
      <c r="NU4" s="179">
        <f>IFERROR(VLOOKUP(NU$1,Innova[[Ticker]:[Weight]],2,FALSE),0%)</f>
        <v>0</v>
      </c>
      <c r="NV4" s="179">
        <f>IFERROR(VLOOKUP(NV$1,Innova[[Ticker]:[Weight]],2,FALSE),0%)</f>
        <v>0</v>
      </c>
      <c r="NW4" s="179">
        <f>IFERROR(VLOOKUP(NW$1,Innova[[Ticker]:[Weight]],2,FALSE),0%)</f>
        <v>0</v>
      </c>
      <c r="NX4" s="179">
        <f>IFERROR(VLOOKUP(NX$1,Innova[[Ticker]:[Weight]],2,FALSE),0%)</f>
        <v>0</v>
      </c>
      <c r="NY4" s="179">
        <f>IFERROR(VLOOKUP(NY$1,Innova[[Ticker]:[Weight]],2,FALSE),0%)</f>
        <v>0</v>
      </c>
      <c r="NZ4" s="179">
        <f>IFERROR(VLOOKUP(NZ$1,Innova[[Ticker]:[Weight]],2,FALSE),0%)</f>
        <v>0</v>
      </c>
      <c r="OA4" s="179">
        <f>IFERROR(VLOOKUP(OA$1,Innova[[Ticker]:[Weight]],2,FALSE),0%)</f>
        <v>0</v>
      </c>
      <c r="OB4" s="179">
        <f>IFERROR(VLOOKUP(OB$1,Innova[[Ticker]:[Weight]],2,FALSE),0%)</f>
        <v>0</v>
      </c>
      <c r="OC4" s="179">
        <f>IFERROR(VLOOKUP(OC$1,Innova[[Ticker]:[Weight]],2,FALSE),0%)</f>
        <v>0</v>
      </c>
      <c r="OD4" s="179">
        <f>IFERROR(VLOOKUP(OD$1,Innova[[Ticker]:[Weight]],2,FALSE),0%)</f>
        <v>0</v>
      </c>
      <c r="OE4" s="179">
        <f>IFERROR(VLOOKUP(OE$1,Innova[[Ticker]:[Weight]],2,FALSE),0%)</f>
        <v>0</v>
      </c>
      <c r="OF4" s="179">
        <f>IFERROR(VLOOKUP(OF$1,Innova[[Ticker]:[Weight]],2,FALSE),0%)</f>
        <v>0</v>
      </c>
      <c r="OG4" s="179">
        <f>IFERROR(VLOOKUP(OG$1,Innova[[Ticker]:[Weight]],2,FALSE),0%)</f>
        <v>0</v>
      </c>
      <c r="OH4" s="179">
        <f>IFERROR(VLOOKUP(OH$1,Innova[[Ticker]:[Weight]],2,FALSE),0%)</f>
        <v>0</v>
      </c>
      <c r="OI4" s="179">
        <f>IFERROR(VLOOKUP(OI$1,Innova[[Ticker]:[Weight]],2,FALSE),0%)</f>
        <v>0</v>
      </c>
      <c r="OJ4" s="179">
        <f>IFERROR(VLOOKUP(OJ$1,Innova[[Ticker]:[Weight]],2,FALSE),0%)</f>
        <v>0</v>
      </c>
      <c r="OK4" s="179">
        <f>IFERROR(VLOOKUP(OK$1,Innova[[Ticker]:[Weight]],2,FALSE),0%)</f>
        <v>0</v>
      </c>
      <c r="OL4" s="179">
        <f>IFERROR(VLOOKUP(OL$1,Innova[[Ticker]:[Weight]],2,FALSE),0%)</f>
        <v>0</v>
      </c>
      <c r="OM4" s="179">
        <f>IFERROR(VLOOKUP(OM$1,Innova[[Ticker]:[Weight]],2,FALSE),0%)</f>
        <v>0</v>
      </c>
      <c r="ON4" s="179">
        <f>IFERROR(VLOOKUP(ON$1,Innova[[Ticker]:[Weight]],2,FALSE),0%)</f>
        <v>0</v>
      </c>
      <c r="OO4" s="179">
        <f>IFERROR(VLOOKUP(OO$1,Innova[[Ticker]:[Weight]],2,FALSE),0%)</f>
        <v>0</v>
      </c>
      <c r="OP4" s="179">
        <f>IFERROR(VLOOKUP(OP$1,Innova[[Ticker]:[Weight]],2,FALSE),0%)</f>
        <v>0</v>
      </c>
      <c r="OQ4" s="179">
        <f>IFERROR(VLOOKUP(OQ$1,Innova[[Ticker]:[Weight]],2,FALSE),0%)</f>
        <v>0</v>
      </c>
      <c r="OR4" s="179">
        <f>IFERROR(VLOOKUP(OR$1,Innova[[Ticker]:[Weight]],2,FALSE),0%)</f>
        <v>0</v>
      </c>
      <c r="OS4" s="179">
        <f>IFERROR(VLOOKUP(OS$1,Innova[[Ticker]:[Weight]],2,FALSE),0%)</f>
        <v>0</v>
      </c>
      <c r="OT4" s="179">
        <f>IFERROR(VLOOKUP(OT$1,Innova[[Ticker]:[Weight]],2,FALSE),0%)</f>
        <v>0</v>
      </c>
      <c r="OU4" s="179">
        <f>IFERROR(VLOOKUP(OU$1,Innova[[Ticker]:[Weight]],2,FALSE),0%)</f>
        <v>0</v>
      </c>
      <c r="OV4" s="179">
        <f>IFERROR(VLOOKUP(OV$1,Innova[[Ticker]:[Weight]],2,FALSE),0%)</f>
        <v>0</v>
      </c>
      <c r="OW4" s="179">
        <f>IFERROR(VLOOKUP(OW$1,Innova[[Ticker]:[Weight]],2,FALSE),0%)</f>
        <v>0</v>
      </c>
      <c r="OX4" s="179">
        <f>IFERROR(VLOOKUP(OX$1,Innova[[Ticker]:[Weight]],2,FALSE),0%)</f>
        <v>0</v>
      </c>
      <c r="OY4" s="179">
        <f>IFERROR(VLOOKUP(OY$1,Innova[[Ticker]:[Weight]],2,FALSE),0%)</f>
        <v>0</v>
      </c>
      <c r="OZ4" s="179">
        <f>IFERROR(VLOOKUP(OZ$1,Innova[[Ticker]:[Weight]],2,FALSE),0%)</f>
        <v>0</v>
      </c>
      <c r="PA4" s="179">
        <f>IFERROR(VLOOKUP(PA$1,Innova[[Ticker]:[Weight]],2,FALSE),0%)</f>
        <v>0</v>
      </c>
      <c r="PB4" s="179">
        <f>IFERROR(VLOOKUP(PB$1,Innova[[Ticker]:[Weight]],2,FALSE),0%)</f>
        <v>0</v>
      </c>
      <c r="PC4" s="179">
        <f>IFERROR(VLOOKUP(PC$1,Innova[[Ticker]:[Weight]],2,FALSE),0%)</f>
        <v>0</v>
      </c>
      <c r="PD4" s="179">
        <f>IFERROR(VLOOKUP(PD$1,Innova[[Ticker]:[Weight]],2,FALSE),0%)</f>
        <v>0</v>
      </c>
      <c r="PE4" s="179">
        <f>IFERROR(VLOOKUP(PE$1,Innova[[Ticker]:[Weight]],2,FALSE),0%)</f>
        <v>0</v>
      </c>
      <c r="PF4" s="179">
        <f>IFERROR(VLOOKUP(PF$1,Innova[[Ticker]:[Weight]],2,FALSE),0%)</f>
        <v>0</v>
      </c>
      <c r="PG4" s="179">
        <f>IFERROR(VLOOKUP(PG$1,Innova[[Ticker]:[Weight]],2,FALSE),0%)</f>
        <v>0</v>
      </c>
      <c r="PH4" s="179">
        <f>IFERROR(VLOOKUP(PH$1,Innova[[Ticker]:[Weight]],2,FALSE),0%)</f>
        <v>0</v>
      </c>
      <c r="PI4" s="179">
        <f>IFERROR(VLOOKUP(PI$1,Innova[[Ticker]:[Weight]],2,FALSE),0%)</f>
        <v>0</v>
      </c>
      <c r="PJ4" s="179">
        <f>IFERROR(VLOOKUP(PJ$1,Innova[[Ticker]:[Weight]],2,FALSE),0%)</f>
        <v>0</v>
      </c>
      <c r="PK4" s="179">
        <f>IFERROR(VLOOKUP(PK$1,Innova[[Ticker]:[Weight]],2,FALSE),0%)</f>
        <v>0</v>
      </c>
      <c r="PL4" s="179">
        <f>IFERROR(VLOOKUP(PL$1,Innova[[Ticker]:[Weight]],2,FALSE),0%)</f>
        <v>0</v>
      </c>
      <c r="PM4" s="179">
        <f>IFERROR(VLOOKUP(PM$1,Innova[[Ticker]:[Weight]],2,FALSE),0%)</f>
        <v>0</v>
      </c>
      <c r="PN4" s="179">
        <f>IFERROR(VLOOKUP(PN$1,Innova[[Ticker]:[Weight]],2,FALSE),0%)</f>
        <v>0</v>
      </c>
      <c r="PO4" s="179">
        <f>IFERROR(VLOOKUP(PO$1,Innova[[Ticker]:[Weight]],2,FALSE),0%)</f>
        <v>0</v>
      </c>
      <c r="PP4" s="179">
        <f>IFERROR(VLOOKUP(PP$1,Innova[[Ticker]:[Weight]],2,FALSE),0%)</f>
        <v>0</v>
      </c>
      <c r="PQ4" s="179">
        <f>IFERROR(VLOOKUP(PQ$1,Innova[[Ticker]:[Weight]],2,FALSE),0%)</f>
        <v>0</v>
      </c>
      <c r="PR4" s="179">
        <f>IFERROR(VLOOKUP(PR$1,Innova[[Ticker]:[Weight]],2,FALSE),0%)</f>
        <v>0</v>
      </c>
      <c r="PS4" s="179">
        <f>IFERROR(VLOOKUP(PS$1,Innova[[Ticker]:[Weight]],2,FALSE),0%)</f>
        <v>0</v>
      </c>
      <c r="PT4" s="179">
        <f>IFERROR(VLOOKUP(PT$1,Innova[[Ticker]:[Weight]],2,FALSE),0%)</f>
        <v>0</v>
      </c>
      <c r="PU4" s="179">
        <f>IFERROR(VLOOKUP(PU$1,Innova[[Ticker]:[Weight]],2,FALSE),0%)</f>
        <v>0</v>
      </c>
      <c r="PV4" s="179">
        <f>IFERROR(VLOOKUP(PV$1,Innova[[Ticker]:[Weight]],2,FALSE),0%)</f>
        <v>0</v>
      </c>
      <c r="PW4" s="179">
        <f>IFERROR(VLOOKUP(PW$1,Innova[[Ticker]:[Weight]],2,FALSE),0%)</f>
        <v>0</v>
      </c>
      <c r="PX4" s="179">
        <f>IFERROR(VLOOKUP(PX$1,Innova[[Ticker]:[Weight]],2,FALSE),0%)</f>
        <v>0</v>
      </c>
      <c r="PY4" s="179">
        <f>IFERROR(VLOOKUP(PY$1,Innova[[Ticker]:[Weight]],2,FALSE),0%)</f>
        <v>0</v>
      </c>
      <c r="PZ4" s="179">
        <f>IFERROR(VLOOKUP(PZ$1,Innova[[Ticker]:[Weight]],2,FALSE),0%)</f>
        <v>0</v>
      </c>
      <c r="QA4" s="179">
        <f>IFERROR(VLOOKUP(QA$1,Innova[[Ticker]:[Weight]],2,FALSE),0%)</f>
        <v>0</v>
      </c>
      <c r="QB4" s="179">
        <f>IFERROR(VLOOKUP(QB$1,Innova[[Ticker]:[Weight]],2,FALSE),0%)</f>
        <v>0</v>
      </c>
      <c r="QC4" s="179">
        <f>IFERROR(VLOOKUP(QC$1,Innova[[Ticker]:[Weight]],2,FALSE),0%)</f>
        <v>0</v>
      </c>
      <c r="QD4" s="179">
        <f>IFERROR(VLOOKUP(QD$1,Innova[[Ticker]:[Weight]],2,FALSE),0%)</f>
        <v>0</v>
      </c>
      <c r="QE4" s="179">
        <f>IFERROR(VLOOKUP(QE$1,Innova[[Ticker]:[Weight]],2,FALSE),0%)</f>
        <v>0</v>
      </c>
      <c r="QF4" s="179">
        <f>IFERROR(VLOOKUP(QF$1,Innova[[Ticker]:[Weight]],2,FALSE),0%)</f>
        <v>0</v>
      </c>
      <c r="QG4" s="179">
        <f>IFERROR(VLOOKUP(QG$1,Innova[[Ticker]:[Weight]],2,FALSE),0%)</f>
        <v>0</v>
      </c>
      <c r="QH4" s="179">
        <f>IFERROR(VLOOKUP(QH$1,Innova[[Ticker]:[Weight]],2,FALSE),0%)</f>
        <v>0</v>
      </c>
      <c r="QI4" s="179">
        <f>IFERROR(VLOOKUP(QI$1,Innova[[Ticker]:[Weight]],2,FALSE),0%)</f>
        <v>0</v>
      </c>
      <c r="QJ4" s="179">
        <f>IFERROR(VLOOKUP(QJ$1,Innova[[Ticker]:[Weight]],2,FALSE),0%)</f>
        <v>0</v>
      </c>
      <c r="QK4" s="179">
        <f>IFERROR(VLOOKUP(QK$1,Innova[[Ticker]:[Weight]],2,FALSE),0%)</f>
        <v>0</v>
      </c>
      <c r="QL4" s="179">
        <f>IFERROR(VLOOKUP(QL$1,Innova[[Ticker]:[Weight]],2,FALSE),0%)</f>
        <v>0</v>
      </c>
      <c r="QM4" s="179">
        <f>IFERROR(VLOOKUP(QM$1,Innova[[Ticker]:[Weight]],2,FALSE),0%)</f>
        <v>0</v>
      </c>
      <c r="QN4" s="179">
        <f>IFERROR(VLOOKUP(QN$1,Innova[[Ticker]:[Weight]],2,FALSE),0%)</f>
        <v>0</v>
      </c>
      <c r="QO4" s="179">
        <f>IFERROR(VLOOKUP(QO$1,Innova[[Ticker]:[Weight]],2,FALSE),0%)</f>
        <v>0</v>
      </c>
      <c r="QP4" s="179">
        <f>IFERROR(VLOOKUP(QP$1,Innova[[Ticker]:[Weight]],2,FALSE),0%)</f>
        <v>0</v>
      </c>
      <c r="QQ4" s="179">
        <f>IFERROR(VLOOKUP(QQ$1,Innova[[Ticker]:[Weight]],2,FALSE),0%)</f>
        <v>0</v>
      </c>
      <c r="QR4" s="179">
        <f>IFERROR(VLOOKUP(QR$1,Innova[[Ticker]:[Weight]],2,FALSE),0%)</f>
        <v>0</v>
      </c>
      <c r="QS4" s="179">
        <f>IFERROR(VLOOKUP(QS$1,Innova[[Ticker]:[Weight]],2,FALSE),0%)</f>
        <v>0</v>
      </c>
      <c r="QT4" s="179">
        <f>IFERROR(VLOOKUP(QT$1,Innova[[Ticker]:[Weight]],2,FALSE),0%)</f>
        <v>0</v>
      </c>
      <c r="QU4" s="179">
        <f>IFERROR(VLOOKUP(QU$1,Innova[[Ticker]:[Weight]],2,FALSE),0%)</f>
        <v>0</v>
      </c>
      <c r="QV4" s="179">
        <f>IFERROR(VLOOKUP(QV$1,Innova[[Ticker]:[Weight]],2,FALSE),0%)</f>
        <v>0</v>
      </c>
      <c r="QW4" s="179">
        <f>IFERROR(VLOOKUP(QW$1,Innova[[Ticker]:[Weight]],2,FALSE),0%)</f>
        <v>0</v>
      </c>
      <c r="QX4" s="179">
        <f>IFERROR(VLOOKUP(QX$1,Innova[[Ticker]:[Weight]],2,FALSE),0%)</f>
        <v>0</v>
      </c>
      <c r="QY4" s="179">
        <f>IFERROR(VLOOKUP(QY$1,Innova[[Ticker]:[Weight]],2,FALSE),0%)</f>
        <v>0</v>
      </c>
      <c r="QZ4" s="179">
        <f>IFERROR(VLOOKUP(QZ$1,Innova[[Ticker]:[Weight]],2,FALSE),0%)</f>
        <v>0</v>
      </c>
      <c r="RA4" s="179">
        <f>IFERROR(VLOOKUP(RA$1,Innova[[Ticker]:[Weight]],2,FALSE),0%)</f>
        <v>0</v>
      </c>
      <c r="RB4" s="179">
        <f>IFERROR(VLOOKUP(RB$1,Innova[[Ticker]:[Weight]],2,FALSE),0%)</f>
        <v>0</v>
      </c>
      <c r="RC4" s="179">
        <f>IFERROR(VLOOKUP(RC$1,Innova[[Ticker]:[Weight]],2,FALSE),0%)</f>
        <v>0</v>
      </c>
      <c r="RD4" s="179">
        <f>IFERROR(VLOOKUP(RD$1,Innova[[Ticker]:[Weight]],2,FALSE),0%)</f>
        <v>0</v>
      </c>
      <c r="RE4" s="179">
        <f>IFERROR(VLOOKUP(RE$1,Innova[[Ticker]:[Weight]],2,FALSE),0%)</f>
        <v>0</v>
      </c>
      <c r="RF4" s="179">
        <f>IFERROR(VLOOKUP(RF$1,Innova[[Ticker]:[Weight]],2,FALSE),0%)</f>
        <v>0</v>
      </c>
      <c r="RG4" s="179">
        <f>IFERROR(VLOOKUP(RG$1,Innova[[Ticker]:[Weight]],2,FALSE),0%)</f>
        <v>0</v>
      </c>
      <c r="RH4" s="179">
        <f>IFERROR(VLOOKUP(RH$1,Innova[[Ticker]:[Weight]],2,FALSE),0%)</f>
        <v>0</v>
      </c>
      <c r="RI4" s="179">
        <f>IFERROR(VLOOKUP(RI$1,Innova[[Ticker]:[Weight]],2,FALSE),0%)</f>
        <v>0</v>
      </c>
      <c r="RJ4" s="179">
        <f>IFERROR(VLOOKUP(RJ$1,Innova[[Ticker]:[Weight]],2,FALSE),0%)</f>
        <v>0</v>
      </c>
      <c r="RK4" s="179">
        <f>IFERROR(VLOOKUP(RK$1,Innova[[Ticker]:[Weight]],2,FALSE),0%)</f>
        <v>0</v>
      </c>
      <c r="RL4" s="179">
        <f>IFERROR(VLOOKUP(RL$1,Innova[[Ticker]:[Weight]],2,FALSE),0%)</f>
        <v>0</v>
      </c>
      <c r="RM4" s="179">
        <f>IFERROR(VLOOKUP(RM$1,Innova[[Ticker]:[Weight]],2,FALSE),0%)</f>
        <v>0</v>
      </c>
      <c r="RN4" s="179">
        <f>IFERROR(VLOOKUP(RN$1,Innova[[Ticker]:[Weight]],2,FALSE),0%)</f>
        <v>0</v>
      </c>
      <c r="RO4" s="179">
        <f>IFERROR(VLOOKUP(RO$1,Innova[[Ticker]:[Weight]],2,FALSE),0%)</f>
        <v>0</v>
      </c>
      <c r="RP4" s="179">
        <f>IFERROR(VLOOKUP(RP$1,Innova[[Ticker]:[Weight]],2,FALSE),0%)</f>
        <v>0</v>
      </c>
      <c r="RQ4" s="179">
        <f>IFERROR(VLOOKUP(RQ$1,Innova[[Ticker]:[Weight]],2,FALSE),0%)</f>
        <v>0</v>
      </c>
      <c r="RR4" s="179">
        <f>IFERROR(VLOOKUP(RR$1,Innova[[Ticker]:[Weight]],2,FALSE),0%)</f>
        <v>0</v>
      </c>
      <c r="RS4" s="179">
        <f>IFERROR(VLOOKUP(RS$1,Innova[[Ticker]:[Weight]],2,FALSE),0%)</f>
        <v>0</v>
      </c>
      <c r="RT4" s="179">
        <f>IFERROR(VLOOKUP(RT$1,Innova[[Ticker]:[Weight]],2,FALSE),0%)</f>
        <v>0</v>
      </c>
      <c r="RU4" s="179">
        <f>IFERROR(VLOOKUP(RU$1,Innova[[Ticker]:[Weight]],2,FALSE),0%)</f>
        <v>0</v>
      </c>
      <c r="RV4" s="179">
        <f>IFERROR(VLOOKUP(RV$1,Innova[[Ticker]:[Weight]],2,FALSE),0%)</f>
        <v>0</v>
      </c>
      <c r="RW4" s="179">
        <f>IFERROR(VLOOKUP(RW$1,Innova[[Ticker]:[Weight]],2,FALSE),0%)</f>
        <v>0</v>
      </c>
      <c r="RX4" s="179">
        <f>IFERROR(VLOOKUP(RX$1,Innova[[Ticker]:[Weight]],2,FALSE),0%)</f>
        <v>0</v>
      </c>
      <c r="RY4" s="179">
        <f>IFERROR(VLOOKUP(RY$1,Innova[[Ticker]:[Weight]],2,FALSE),0%)</f>
        <v>0</v>
      </c>
      <c r="RZ4" s="179">
        <f>IFERROR(VLOOKUP(RZ$1,Innova[[Ticker]:[Weight]],2,FALSE),0%)</f>
        <v>0</v>
      </c>
      <c r="SA4" s="179">
        <f>IFERROR(VLOOKUP(SA$1,Innova[[Ticker]:[Weight]],2,FALSE),0%)</f>
        <v>0</v>
      </c>
      <c r="SB4" s="179">
        <f>IFERROR(VLOOKUP(SB$1,Innova[[Ticker]:[Weight]],2,FALSE),0%)</f>
        <v>0</v>
      </c>
      <c r="SC4" s="179">
        <f>IFERROR(VLOOKUP(SC$1,Innova[[Ticker]:[Weight]],2,FALSE),0%)</f>
        <v>0</v>
      </c>
      <c r="SD4" s="179">
        <f>IFERROR(VLOOKUP(SD$1,Innova[[Ticker]:[Weight]],2,FALSE),0%)</f>
        <v>0</v>
      </c>
      <c r="SE4" s="179">
        <f>IFERROR(VLOOKUP(SE$1,Innova[[Ticker]:[Weight]],2,FALSE),0%)</f>
        <v>0</v>
      </c>
      <c r="SF4" s="179">
        <f>IFERROR(VLOOKUP(SF$1,Innova[[Ticker]:[Weight]],2,FALSE),0%)</f>
        <v>0</v>
      </c>
      <c r="SG4" s="179">
        <f>IFERROR(VLOOKUP(SG$1,Innova[[Ticker]:[Weight]],2,FALSE),0%)</f>
        <v>0</v>
      </c>
      <c r="SH4" s="179">
        <f>IFERROR(VLOOKUP(SH$1,Innova[[Ticker]:[Weight]],2,FALSE),0%)</f>
        <v>0</v>
      </c>
      <c r="SI4" s="179">
        <f>IFERROR(VLOOKUP(SI$1,Innova[[Ticker]:[Weight]],2,FALSE),0%)</f>
        <v>0</v>
      </c>
      <c r="SJ4" s="179">
        <f>IFERROR(VLOOKUP(SJ$1,Innova[[Ticker]:[Weight]],2,FALSE),0%)</f>
        <v>0</v>
      </c>
      <c r="SK4" s="179">
        <f>IFERROR(VLOOKUP(SK$1,Innova[[Ticker]:[Weight]],2,FALSE),0%)</f>
        <v>0</v>
      </c>
      <c r="SL4" s="179">
        <f>IFERROR(VLOOKUP(SL$1,Innova[[Ticker]:[Weight]],2,FALSE),0%)</f>
        <v>0</v>
      </c>
      <c r="SM4" s="179">
        <f>IFERROR(VLOOKUP(SM$1,Innova[[Ticker]:[Weight]],2,FALSE),0%)</f>
        <v>0</v>
      </c>
      <c r="SN4" s="179">
        <f>IFERROR(VLOOKUP(SN$1,Innova[[Ticker]:[Weight]],2,FALSE),0%)</f>
        <v>0</v>
      </c>
      <c r="SO4" s="179">
        <f>IFERROR(VLOOKUP(SO$1,Innova[[Ticker]:[Weight]],2,FALSE),0%)</f>
        <v>0</v>
      </c>
      <c r="SP4" s="179">
        <f>IFERROR(VLOOKUP(SP$1,Innova[[Ticker]:[Weight]],2,FALSE),0%)</f>
        <v>0</v>
      </c>
      <c r="SQ4" s="179">
        <f>IFERROR(VLOOKUP(SQ$1,Innova[[Ticker]:[Weight]],2,FALSE),0%)</f>
        <v>0</v>
      </c>
      <c r="SR4" s="179">
        <f>IFERROR(VLOOKUP(SR$1,Innova[[Ticker]:[Weight]],2,FALSE),0%)</f>
        <v>0</v>
      </c>
      <c r="SS4" s="179">
        <f>IFERROR(VLOOKUP(SS$1,Innova[[Ticker]:[Weight]],2,FALSE),0%)</f>
        <v>0</v>
      </c>
      <c r="ST4" s="179">
        <f>IFERROR(VLOOKUP(ST$1,Innova[[Ticker]:[Weight]],2,FALSE),0%)</f>
        <v>0</v>
      </c>
      <c r="SU4" s="179">
        <f>IFERROR(VLOOKUP(SU$1,Innova[[Ticker]:[Weight]],2,FALSE),0%)</f>
        <v>0</v>
      </c>
      <c r="SV4" s="179">
        <f>IFERROR(VLOOKUP(SV$1,Innova[[Ticker]:[Weight]],2,FALSE),0%)</f>
        <v>0</v>
      </c>
      <c r="SW4" s="179">
        <f>IFERROR(VLOOKUP(SW$1,Innova[[Ticker]:[Weight]],2,FALSE),0%)</f>
        <v>0</v>
      </c>
      <c r="SX4" s="179">
        <f>IFERROR(VLOOKUP(SX$1,Innova[[Ticker]:[Weight]],2,FALSE),0%)</f>
        <v>0</v>
      </c>
      <c r="SY4" s="179">
        <f>IFERROR(VLOOKUP(SY$1,Innova[[Ticker]:[Weight]],2,FALSE),0%)</f>
        <v>0</v>
      </c>
      <c r="SZ4" s="179">
        <f>IFERROR(VLOOKUP(SZ$1,Innova[[Ticker]:[Weight]],2,FALSE),0%)</f>
        <v>0</v>
      </c>
      <c r="TA4" s="179">
        <f>IFERROR(VLOOKUP(TA$1,Innova[[Ticker]:[Weight]],2,FALSE),0%)</f>
        <v>0</v>
      </c>
      <c r="TB4" s="179">
        <f>IFERROR(VLOOKUP(TB$1,Innova[[Ticker]:[Weight]],2,FALSE),0%)</f>
        <v>0</v>
      </c>
      <c r="TC4" s="179">
        <f>IFERROR(VLOOKUP(TC$1,Innova[[Ticker]:[Weight]],2,FALSE),0%)</f>
        <v>0</v>
      </c>
      <c r="TD4" s="179">
        <f>IFERROR(VLOOKUP(TD$1,Innova[[Ticker]:[Weight]],2,FALSE),0%)</f>
        <v>0</v>
      </c>
      <c r="TE4" s="179">
        <f>IFERROR(VLOOKUP(TE$1,Innova[[Ticker]:[Weight]],2,FALSE),0%)</f>
        <v>0</v>
      </c>
      <c r="TF4" s="179">
        <f>IFERROR(VLOOKUP(TF$1,Innova[[Ticker]:[Weight]],2,FALSE),0%)</f>
        <v>0</v>
      </c>
      <c r="TG4" s="179">
        <f>IFERROR(VLOOKUP(TG$1,Innova[[Ticker]:[Weight]],2,FALSE),0%)</f>
        <v>0</v>
      </c>
      <c r="TH4" s="179">
        <f>IFERROR(VLOOKUP(TH$1,Innova[[Ticker]:[Weight]],2,FALSE),0%)</f>
        <v>0</v>
      </c>
      <c r="TI4" s="179">
        <f>IFERROR(VLOOKUP(TI$1,Innova[[Ticker]:[Weight]],2,FALSE),0%)</f>
        <v>0</v>
      </c>
      <c r="TJ4" s="179">
        <f>IFERROR(VLOOKUP(TJ$1,Innova[[Ticker]:[Weight]],2,FALSE),0%)</f>
        <v>0</v>
      </c>
      <c r="TK4" s="179">
        <f>IFERROR(VLOOKUP(TK$1,Innova[[Ticker]:[Weight]],2,FALSE),0%)</f>
        <v>0</v>
      </c>
      <c r="TL4" s="179">
        <f>IFERROR(VLOOKUP(TL$1,Innova[[Ticker]:[Weight]],2,FALSE),0%)</f>
        <v>0</v>
      </c>
      <c r="TM4" s="179">
        <f>IFERROR(VLOOKUP(TM$1,Innova[[Ticker]:[Weight]],2,FALSE),0%)</f>
        <v>0</v>
      </c>
      <c r="TN4" s="179">
        <f>IFERROR(VLOOKUP(TN$1,Innova[[Ticker]:[Weight]],2,FALSE),0%)</f>
        <v>0</v>
      </c>
      <c r="TO4" s="179">
        <f>IFERROR(VLOOKUP(TO$1,Innova[[Ticker]:[Weight]],2,FALSE),0%)</f>
        <v>0</v>
      </c>
      <c r="TP4" s="179">
        <f>IFERROR(VLOOKUP(TP$1,Innova[[Ticker]:[Weight]],2,FALSE),0%)</f>
        <v>0</v>
      </c>
      <c r="TQ4" s="179">
        <f>IFERROR(VLOOKUP(TQ$1,Innova[[Ticker]:[Weight]],2,FALSE),0%)</f>
        <v>0</v>
      </c>
      <c r="TR4" s="179">
        <f>IFERROR(VLOOKUP(TR$1,Innova[[Ticker]:[Weight]],2,FALSE),0%)</f>
        <v>0</v>
      </c>
      <c r="TS4" s="179">
        <f>IFERROR(VLOOKUP(TS$1,Innova[[Ticker]:[Weight]],2,FALSE),0%)</f>
        <v>0</v>
      </c>
      <c r="TT4" s="179">
        <f>IFERROR(VLOOKUP(TT$1,Innova[[Ticker]:[Weight]],2,FALSE),0%)</f>
        <v>0</v>
      </c>
      <c r="TU4" s="179">
        <f>IFERROR(VLOOKUP(TU$1,Innova[[Ticker]:[Weight]],2,FALSE),0%)</f>
        <v>0</v>
      </c>
      <c r="TV4" s="179">
        <f>IFERROR(VLOOKUP(TV$1,Innova[[Ticker]:[Weight]],2,FALSE),0%)</f>
        <v>0</v>
      </c>
      <c r="TW4" s="179">
        <f>IFERROR(VLOOKUP(TW$1,Innova[[Ticker]:[Weight]],2,FALSE),0%)</f>
        <v>0</v>
      </c>
      <c r="TX4" s="179">
        <f>IFERROR(VLOOKUP(TX$1,Innova[[Ticker]:[Weight]],2,FALSE),0%)</f>
        <v>0</v>
      </c>
      <c r="TY4" s="179">
        <f>IFERROR(VLOOKUP(TY$1,Innova[[Ticker]:[Weight]],2,FALSE),0%)</f>
        <v>0</v>
      </c>
      <c r="TZ4" s="179">
        <f>IFERROR(VLOOKUP(TZ$1,Innova[[Ticker]:[Weight]],2,FALSE),0%)</f>
        <v>0</v>
      </c>
      <c r="UA4" s="179">
        <f>IFERROR(VLOOKUP(UA$1,Innova[[Ticker]:[Weight]],2,FALSE),0%)</f>
        <v>0</v>
      </c>
      <c r="UB4" s="179">
        <f>IFERROR(VLOOKUP(UB$1,Innova[[Ticker]:[Weight]],2,FALSE),0%)</f>
        <v>0</v>
      </c>
      <c r="UC4" s="179">
        <f>IFERROR(VLOOKUP(UC$1,Innova[[Ticker]:[Weight]],2,FALSE),0%)</f>
        <v>0</v>
      </c>
      <c r="UD4" s="179">
        <f>IFERROR(VLOOKUP(UD$1,Innova[[Ticker]:[Weight]],2,FALSE),0%)</f>
        <v>0</v>
      </c>
      <c r="UE4" s="179">
        <f>IFERROR(VLOOKUP(UE$1,Innova[[Ticker]:[Weight]],2,FALSE),0%)</f>
        <v>0</v>
      </c>
      <c r="UF4" s="179">
        <f>IFERROR(VLOOKUP(UF$1,Innova[[Ticker]:[Weight]],2,FALSE),0%)</f>
        <v>0</v>
      </c>
      <c r="UG4" s="179">
        <f>IFERROR(VLOOKUP(UG$1,Innova[[Ticker]:[Weight]],2,FALSE),0%)</f>
        <v>0</v>
      </c>
      <c r="UH4" s="179">
        <f>IFERROR(VLOOKUP(UH$1,Innova[[Ticker]:[Weight]],2,FALSE),0%)</f>
        <v>0</v>
      </c>
      <c r="UI4" s="179">
        <f>IFERROR(VLOOKUP(UI$1,Innova[[Ticker]:[Weight]],2,FALSE),0%)</f>
        <v>0</v>
      </c>
      <c r="UJ4" s="179">
        <f>IFERROR(VLOOKUP(UJ$1,Innova[[Ticker]:[Weight]],2,FALSE),0%)</f>
        <v>0</v>
      </c>
      <c r="UK4" s="179">
        <f>IFERROR(VLOOKUP(UK$1,Innova[[Ticker]:[Weight]],2,FALSE),0%)</f>
        <v>0</v>
      </c>
      <c r="UL4" s="179">
        <f>IFERROR(VLOOKUP(UL$1,Innova[[Ticker]:[Weight]],2,FALSE),0%)</f>
        <v>0</v>
      </c>
      <c r="UM4" s="179">
        <f>IFERROR(VLOOKUP(UM$1,Innova[[Ticker]:[Weight]],2,FALSE),0%)</f>
        <v>0</v>
      </c>
      <c r="UN4" s="179">
        <f>IFERROR(VLOOKUP(UN$1,Innova[[Ticker]:[Weight]],2,FALSE),0%)</f>
        <v>0</v>
      </c>
      <c r="UO4" s="179">
        <f>IFERROR(VLOOKUP(UO$1,Innova[[Ticker]:[Weight]],2,FALSE),0%)</f>
        <v>0</v>
      </c>
      <c r="UP4" s="179">
        <f>IFERROR(VLOOKUP(UP$1,Innova[[Ticker]:[Weight]],2,FALSE),0%)</f>
        <v>0</v>
      </c>
      <c r="UQ4" s="179">
        <f>IFERROR(VLOOKUP(UQ$1,Innova[[Ticker]:[Weight]],2,FALSE),0%)</f>
        <v>0</v>
      </c>
      <c r="UR4" s="179">
        <f>IFERROR(VLOOKUP(UR$1,Innova[[Ticker]:[Weight]],2,FALSE),0%)</f>
        <v>0</v>
      </c>
      <c r="US4" s="179">
        <f>IFERROR(VLOOKUP(US$1,Innova[[Ticker]:[Weight]],2,FALSE),0%)</f>
        <v>0</v>
      </c>
      <c r="UT4" s="179">
        <f>IFERROR(VLOOKUP(UT$1,Innova[[Ticker]:[Weight]],2,FALSE),0%)</f>
        <v>0</v>
      </c>
      <c r="UU4" s="179">
        <f>IFERROR(VLOOKUP(UU$1,Innova[[Ticker]:[Weight]],2,FALSE),0%)</f>
        <v>0</v>
      </c>
      <c r="UV4" s="179">
        <f>IFERROR(VLOOKUP(UV$1,Innova[[Ticker]:[Weight]],2,FALSE),0%)</f>
        <v>0</v>
      </c>
      <c r="UW4" s="179">
        <f>IFERROR(VLOOKUP(UW$1,Innova[[Ticker]:[Weight]],2,FALSE),0%)</f>
        <v>0</v>
      </c>
      <c r="UX4" s="179">
        <f>IFERROR(VLOOKUP(UX$1,Innova[[Ticker]:[Weight]],2,FALSE),0%)</f>
        <v>0</v>
      </c>
      <c r="UY4" s="179">
        <f>IFERROR(VLOOKUP(UY$1,Innova[[Ticker]:[Weight]],2,FALSE),0%)</f>
        <v>0</v>
      </c>
      <c r="UZ4" s="179">
        <f>IFERROR(VLOOKUP(UZ$1,Innova[[Ticker]:[Weight]],2,FALSE),0%)</f>
        <v>0</v>
      </c>
      <c r="VA4" s="179">
        <f>IFERROR(VLOOKUP(VA$1,Innova[[Ticker]:[Weight]],2,FALSE),0%)</f>
        <v>0</v>
      </c>
      <c r="VB4" s="179">
        <f>IFERROR(VLOOKUP(VB$1,Innova[[Ticker]:[Weight]],2,FALSE),0%)</f>
        <v>0</v>
      </c>
      <c r="VC4" s="179">
        <f>IFERROR(VLOOKUP(VC$1,Innova[[Ticker]:[Weight]],2,FALSE),0%)</f>
        <v>0</v>
      </c>
      <c r="VD4" s="179">
        <f>IFERROR(VLOOKUP(VD$1,Innova[[Ticker]:[Weight]],2,FALSE),0%)</f>
        <v>0</v>
      </c>
      <c r="VE4" s="179">
        <f>IFERROR(VLOOKUP(VE$1,Innova[[Ticker]:[Weight]],2,FALSE),0%)</f>
        <v>0</v>
      </c>
      <c r="VF4" s="179">
        <f>IFERROR(VLOOKUP(VF$1,Innova[[Ticker]:[Weight]],2,FALSE),0%)</f>
        <v>0</v>
      </c>
      <c r="VG4" s="179">
        <f>IFERROR(VLOOKUP(VG$1,Innova[[Ticker]:[Weight]],2,FALSE),0%)</f>
        <v>0</v>
      </c>
      <c r="VH4" s="179">
        <f>IFERROR(VLOOKUP(VH$1,Innova[[Ticker]:[Weight]],2,FALSE),0%)</f>
        <v>0</v>
      </c>
      <c r="VI4" s="179">
        <f>IFERROR(VLOOKUP(VI$1,Innova[[Ticker]:[Weight]],2,FALSE),0%)</f>
        <v>0</v>
      </c>
      <c r="VJ4" s="179">
        <f>IFERROR(VLOOKUP(VJ$1,Innova[[Ticker]:[Weight]],2,FALSE),0%)</f>
        <v>0</v>
      </c>
      <c r="VK4" s="179">
        <f>IFERROR(VLOOKUP(VK$1,Innova[[Ticker]:[Weight]],2,FALSE),0%)</f>
        <v>0</v>
      </c>
      <c r="VL4" s="179">
        <f>IFERROR(VLOOKUP(VL$1,Innova[[Ticker]:[Weight]],2,FALSE),0%)</f>
        <v>0</v>
      </c>
      <c r="VM4" s="179">
        <f>IFERROR(VLOOKUP(VM$1,Innova[[Ticker]:[Weight]],2,FALSE),0%)</f>
        <v>0</v>
      </c>
      <c r="VN4" s="179">
        <f>IFERROR(VLOOKUP(VN$1,Innova[[Ticker]:[Weight]],2,FALSE),0%)</f>
        <v>0</v>
      </c>
      <c r="VO4" s="179">
        <f>IFERROR(VLOOKUP(VO$1,Innova[[Ticker]:[Weight]],2,FALSE),0%)</f>
        <v>0</v>
      </c>
      <c r="VP4" s="179">
        <f>IFERROR(VLOOKUP(VP$1,Innova[[Ticker]:[Weight]],2,FALSE),0%)</f>
        <v>0</v>
      </c>
      <c r="VQ4" s="179">
        <f>IFERROR(VLOOKUP(VQ$1,Innova[[Ticker]:[Weight]],2,FALSE),0%)</f>
        <v>0</v>
      </c>
      <c r="VR4" s="179">
        <f>IFERROR(VLOOKUP(VR$1,Innova[[Ticker]:[Weight]],2,FALSE),0%)</f>
        <v>0</v>
      </c>
      <c r="VS4" s="179">
        <f>IFERROR(VLOOKUP(VS$1,Innova[[Ticker]:[Weight]],2,FALSE),0%)</f>
        <v>0</v>
      </c>
      <c r="VT4" s="179">
        <f>IFERROR(VLOOKUP(VT$1,Innova[[Ticker]:[Weight]],2,FALSE),0%)</f>
        <v>0</v>
      </c>
      <c r="VU4" s="179">
        <f>IFERROR(VLOOKUP(VU$1,Innova[[Ticker]:[Weight]],2,FALSE),0%)</f>
        <v>0</v>
      </c>
      <c r="VV4" s="179">
        <f>IFERROR(VLOOKUP(VV$1,Innova[[Ticker]:[Weight]],2,FALSE),0%)</f>
        <v>0.0314</v>
      </c>
      <c r="VW4" s="179">
        <f>IFERROR(VLOOKUP(VW$1,Innova[[Ticker]:[Weight]],2,FALSE),0%)</f>
        <v>0</v>
      </c>
      <c r="VX4" s="179">
        <f>IFERROR(VLOOKUP(VX$1,Innova[[Ticker]:[Weight]],2,FALSE),0%)</f>
        <v>0</v>
      </c>
      <c r="VY4" s="179">
        <f>IFERROR(VLOOKUP(VY$1,Innova[[Ticker]:[Weight]],2,FALSE),0%)</f>
        <v>0</v>
      </c>
      <c r="VZ4" s="179">
        <f>IFERROR(VLOOKUP(VZ$1,Innova[[Ticker]:[Weight]],2,FALSE),0%)</f>
        <v>0</v>
      </c>
      <c r="WA4" s="179">
        <f>IFERROR(VLOOKUP(WA$1,Innova[[Ticker]:[Weight]],2,FALSE),0%)</f>
        <v>0</v>
      </c>
      <c r="WB4" s="179">
        <f>IFERROR(VLOOKUP(WB$1,Innova[[Ticker]:[Weight]],2,FALSE),0%)</f>
        <v>0</v>
      </c>
      <c r="WC4" s="179">
        <f>IFERROR(VLOOKUP(WC$1,Innova[[Ticker]:[Weight]],2,FALSE),0%)</f>
        <v>0</v>
      </c>
      <c r="WD4" s="179">
        <f>IFERROR(VLOOKUP(WD$1,Innova[[Ticker]:[Weight]],2,FALSE),0%)</f>
        <v>0</v>
      </c>
      <c r="WE4" s="179">
        <f>IFERROR(VLOOKUP(WE$1,Innova[[Ticker]:[Weight]],2,FALSE),0%)</f>
        <v>0</v>
      </c>
      <c r="WF4" s="179">
        <f>IFERROR(VLOOKUP(WF$1,Innova[[Ticker]:[Weight]],2,FALSE),0%)</f>
        <v>0</v>
      </c>
      <c r="WG4" s="179">
        <f>IFERROR(VLOOKUP(WG$1,Innova[[Ticker]:[Weight]],2,FALSE),0%)</f>
        <v>0</v>
      </c>
      <c r="WH4" s="179">
        <f>IFERROR(VLOOKUP(WH$1,Innova[[Ticker]:[Weight]],2,FALSE),0%)</f>
        <v>0</v>
      </c>
      <c r="WI4" s="179">
        <f>IFERROR(VLOOKUP(WI$1,Innova[[Ticker]:[Weight]],2,FALSE),0%)</f>
        <v>0</v>
      </c>
      <c r="WJ4" s="179">
        <f>IFERROR(VLOOKUP(WJ$1,Innova[[Ticker]:[Weight]],2,FALSE),0%)</f>
        <v>0</v>
      </c>
      <c r="WK4" s="179">
        <f>IFERROR(VLOOKUP(WK$1,Innova[[Ticker]:[Weight]],2,FALSE),0%)</f>
        <v>0</v>
      </c>
      <c r="WL4" s="179">
        <f>IFERROR(VLOOKUP(WL$1,Innova[[Ticker]:[Weight]],2,FALSE),0%)</f>
        <v>0</v>
      </c>
      <c r="WM4" s="179">
        <f>IFERROR(VLOOKUP(WM$1,Innova[[Ticker]:[Weight]],2,FALSE),0%)</f>
        <v>0</v>
      </c>
      <c r="WN4" s="179">
        <f>IFERROR(VLOOKUP(WN$1,Innova[[Ticker]:[Weight]],2,FALSE),0%)</f>
        <v>0</v>
      </c>
      <c r="WO4" s="179">
        <f>IFERROR(VLOOKUP(WO$1,Innova[[Ticker]:[Weight]],2,FALSE),0%)</f>
        <v>0</v>
      </c>
      <c r="WP4" s="179">
        <f>IFERROR(VLOOKUP(WP$1,Innova[[Ticker]:[Weight]],2,FALSE),0%)</f>
        <v>0</v>
      </c>
      <c r="WQ4" s="179">
        <f>IFERROR(VLOOKUP(WQ$1,Innova[[Ticker]:[Weight]],2,FALSE),0%)</f>
        <v>0</v>
      </c>
      <c r="WR4" s="179">
        <f>IFERROR(VLOOKUP(WR$1,Innova[[Ticker]:[Weight]],2,FALSE),0%)</f>
        <v>0</v>
      </c>
      <c r="WS4" s="179">
        <f>IFERROR(VLOOKUP(WS$1,Innova[[Ticker]:[Weight]],2,FALSE),0%)</f>
        <v>0</v>
      </c>
      <c r="WT4" s="179">
        <f>IFERROR(VLOOKUP(WT$1,Innova[[Ticker]:[Weight]],2,FALSE),0%)</f>
        <v>0</v>
      </c>
      <c r="WU4" s="179">
        <f>IFERROR(VLOOKUP(WU$1,Innova[[Ticker]:[Weight]],2,FALSE),0%)</f>
        <v>0</v>
      </c>
      <c r="WV4" s="179">
        <f>IFERROR(VLOOKUP(WV$1,Innova[[Ticker]:[Weight]],2,FALSE),0%)</f>
        <v>0</v>
      </c>
      <c r="WW4" s="179">
        <f>IFERROR(VLOOKUP(WW$1,Innova[[Ticker]:[Weight]],2,FALSE),0%)</f>
        <v>0</v>
      </c>
      <c r="WX4" s="179">
        <f>IFERROR(VLOOKUP(WX$1,Innova[[Ticker]:[Weight]],2,FALSE),0%)</f>
        <v>0</v>
      </c>
      <c r="WY4" s="179">
        <f>IFERROR(VLOOKUP(WY$1,Innova[[Ticker]:[Weight]],2,FALSE),0%)</f>
        <v>0</v>
      </c>
      <c r="WZ4" s="179">
        <f>IFERROR(VLOOKUP(WZ$1,Innova[[Ticker]:[Weight]],2,FALSE),0%)</f>
        <v>0</v>
      </c>
      <c r="XA4" s="179">
        <f>IFERROR(VLOOKUP(XA$1,Innova[[Ticker]:[Weight]],2,FALSE),0%)</f>
        <v>0</v>
      </c>
      <c r="XB4" s="179">
        <f>IFERROR(VLOOKUP(XB$1,Innova[[Ticker]:[Weight]],2,FALSE),0%)</f>
        <v>0</v>
      </c>
      <c r="XC4" s="179">
        <f>IFERROR(VLOOKUP(XC$1,Innova[[Ticker]:[Weight]],2,FALSE),0%)</f>
        <v>0</v>
      </c>
      <c r="XD4" s="179">
        <f>IFERROR(VLOOKUP(XD$1,Innova[[Ticker]:[Weight]],2,FALSE),0%)</f>
        <v>0</v>
      </c>
      <c r="XE4" s="179">
        <f>IFERROR(VLOOKUP(XE$1,Innova[[Ticker]:[Weight]],2,FALSE),0%)</f>
        <v>0</v>
      </c>
      <c r="XF4" s="179">
        <f>IFERROR(VLOOKUP(XF$1,Innova[[Ticker]:[Weight]],2,FALSE),0%)</f>
        <v>0</v>
      </c>
      <c r="XG4" s="179">
        <f>IFERROR(VLOOKUP(XG$1,Innova[[Ticker]:[Weight]],2,FALSE),0%)</f>
        <v>0</v>
      </c>
      <c r="XH4" s="179">
        <f>IFERROR(VLOOKUP(XH$1,Innova[[Ticker]:[Weight]],2,FALSE),0%)</f>
        <v>0</v>
      </c>
      <c r="XI4" s="179">
        <f>IFERROR(VLOOKUP(XI$1,Innova[[Ticker]:[Weight]],2,FALSE),0%)</f>
        <v>0</v>
      </c>
      <c r="XJ4" s="179">
        <f>IFERROR(VLOOKUP(XJ$1,Innova[[Ticker]:[Weight]],2,FALSE),0%)</f>
        <v>0</v>
      </c>
      <c r="XK4" s="179">
        <f>IFERROR(VLOOKUP(XK$1,Innova[[Ticker]:[Weight]],2,FALSE),0%)</f>
        <v>0</v>
      </c>
      <c r="XL4" s="179">
        <f>IFERROR(VLOOKUP(XL$1,Innova[[Ticker]:[Weight]],2,FALSE),0%)</f>
        <v>0</v>
      </c>
      <c r="XM4" s="179">
        <f>IFERROR(VLOOKUP(XM$1,Innova[[Ticker]:[Weight]],2,FALSE),0%)</f>
        <v>0</v>
      </c>
      <c r="XN4" s="179">
        <f>IFERROR(VLOOKUP(XN$1,Innova[[Ticker]:[Weight]],2,FALSE),0%)</f>
        <v>0</v>
      </c>
      <c r="XO4" s="179">
        <f>IFERROR(VLOOKUP(XO$1,Innova[[Ticker]:[Weight]],2,FALSE),0%)</f>
        <v>0</v>
      </c>
      <c r="XP4" s="179">
        <f>IFERROR(VLOOKUP(XP$1,Innova[[Ticker]:[Weight]],2,FALSE),0%)</f>
        <v>0</v>
      </c>
      <c r="XQ4" s="179">
        <f>IFERROR(VLOOKUP(XQ$1,Innova[[Ticker]:[Weight]],2,FALSE),0%)</f>
        <v>0</v>
      </c>
      <c r="XR4" s="179">
        <f>IFERROR(VLOOKUP(XR$1,Innova[[Ticker]:[Weight]],2,FALSE),0%)</f>
        <v>0</v>
      </c>
      <c r="XS4" s="179">
        <f>IFERROR(VLOOKUP(XS$1,Innova[[Ticker]:[Weight]],2,FALSE),0%)</f>
        <v>0</v>
      </c>
      <c r="XT4" s="179">
        <f>IFERROR(VLOOKUP(XT$1,Innova[[Ticker]:[Weight]],2,FALSE),0%)</f>
        <v>0</v>
      </c>
      <c r="XU4" s="179">
        <f>IFERROR(VLOOKUP(XU$1,Innova[[Ticker]:[Weight]],2,FALSE),0%)</f>
        <v>0</v>
      </c>
      <c r="XV4" s="179">
        <f>IFERROR(VLOOKUP(XV$1,Innova[[Ticker]:[Weight]],2,FALSE),0%)</f>
        <v>0</v>
      </c>
      <c r="XW4" s="179">
        <f>IFERROR(VLOOKUP(XW$1,Innova[[Ticker]:[Weight]],2,FALSE),0%)</f>
        <v>0</v>
      </c>
      <c r="XX4" s="179">
        <f>IFERROR(VLOOKUP(XX$1,Innova[[Ticker]:[Weight]],2,FALSE),0%)</f>
        <v>0</v>
      </c>
      <c r="XY4" s="179">
        <f>IFERROR(VLOOKUP(XY$1,Innova[[Ticker]:[Weight]],2,FALSE),0%)</f>
        <v>0</v>
      </c>
      <c r="XZ4" s="179">
        <f>IFERROR(VLOOKUP(XZ$1,Innova[[Ticker]:[Weight]],2,FALSE),0%)</f>
        <v>0</v>
      </c>
      <c r="YA4" s="179">
        <f>IFERROR(VLOOKUP(YA$1,Innova[[Ticker]:[Weight]],2,FALSE),0%)</f>
        <v>0</v>
      </c>
      <c r="YB4" s="179">
        <f>IFERROR(VLOOKUP(YB$1,Innova[[Ticker]:[Weight]],2,FALSE),0%)</f>
        <v>0</v>
      </c>
      <c r="YC4" s="179">
        <f>IFERROR(VLOOKUP(YC$1,Innova[[Ticker]:[Weight]],2,FALSE),0%)</f>
        <v>0</v>
      </c>
      <c r="YD4" s="179">
        <f>IFERROR(VLOOKUP(YD$1,Innova[[Ticker]:[Weight]],2,FALSE),0%)</f>
        <v>0</v>
      </c>
      <c r="YE4" s="179">
        <f>IFERROR(VLOOKUP(YE$1,Innova[[Ticker]:[Weight]],2,FALSE),0%)</f>
        <v>0</v>
      </c>
      <c r="YF4" s="179">
        <f>IFERROR(VLOOKUP(YF$1,Innova[[Ticker]:[Weight]],2,FALSE),0%)</f>
        <v>0</v>
      </c>
      <c r="YG4" s="179">
        <f>IFERROR(VLOOKUP(YG$1,Innova[[Ticker]:[Weight]],2,FALSE),0%)</f>
        <v>0</v>
      </c>
      <c r="YH4" s="179">
        <f>IFERROR(VLOOKUP(YH$1,Innova[[Ticker]:[Weight]],2,FALSE),0%)</f>
        <v>0</v>
      </c>
      <c r="YI4" s="179">
        <f>IFERROR(VLOOKUP(YI$1,Innova[[Ticker]:[Weight]],2,FALSE),0%)</f>
        <v>0</v>
      </c>
      <c r="YJ4" s="179">
        <f>IFERROR(VLOOKUP(YJ$1,Innova[[Ticker]:[Weight]],2,FALSE),0%)</f>
        <v>0</v>
      </c>
      <c r="YK4" s="179">
        <f>IFERROR(VLOOKUP(YK$1,Innova[[Ticker]:[Weight]],2,FALSE),0%)</f>
        <v>0</v>
      </c>
      <c r="YL4" s="179">
        <f>IFERROR(VLOOKUP(YL$1,Innova[[Ticker]:[Weight]],2,FALSE),0%)</f>
        <v>0</v>
      </c>
      <c r="YM4" s="179">
        <f>IFERROR(VLOOKUP(YM$1,Innova[[Ticker]:[Weight]],2,FALSE),0%)</f>
        <v>0</v>
      </c>
      <c r="YN4" s="179">
        <f>IFERROR(VLOOKUP(YN$1,Innova[[Ticker]:[Weight]],2,FALSE),0%)</f>
        <v>0</v>
      </c>
      <c r="YO4" s="179">
        <f>IFERROR(VLOOKUP(YO$1,Innova[[Ticker]:[Weight]],2,FALSE),0%)</f>
        <v>0</v>
      </c>
      <c r="YP4" s="179">
        <f>IFERROR(VLOOKUP(YP$1,Innova[[Ticker]:[Weight]],2,FALSE),0%)</f>
        <v>0</v>
      </c>
      <c r="YQ4" s="179">
        <f>IFERROR(VLOOKUP(YQ$1,Innova[[Ticker]:[Weight]],2,FALSE),0%)</f>
        <v>0</v>
      </c>
      <c r="YR4" s="179">
        <f>IFERROR(VLOOKUP(YR$1,Innova[[Ticker]:[Weight]],2,FALSE),0%)</f>
        <v>0.0739</v>
      </c>
      <c r="YS4" s="179">
        <f>IFERROR(VLOOKUP(YS$1,Innova[[Ticker]:[Weight]],2,FALSE),0%)</f>
        <v>0</v>
      </c>
      <c r="YT4" s="179">
        <f>IFERROR(VLOOKUP(YT$1,Innova[[Ticker]:[Weight]],2,FALSE),0%)</f>
        <v>0</v>
      </c>
      <c r="YU4" s="179">
        <f>IFERROR(VLOOKUP(YU$1,Innova[[Ticker]:[Weight]],2,FALSE),0%)</f>
        <v>0</v>
      </c>
      <c r="YV4" s="179">
        <f>IFERROR(VLOOKUP(YV$1,Innova[[Ticker]:[Weight]],2,FALSE),0%)</f>
        <v>0</v>
      </c>
      <c r="YW4" s="179">
        <f>IFERROR(VLOOKUP(YW$1,Innova[[Ticker]:[Weight]],2,FALSE),0%)</f>
        <v>0</v>
      </c>
      <c r="YX4" s="179">
        <f>IFERROR(VLOOKUP(YX$1,Innova[[Ticker]:[Weight]],2,FALSE),0%)</f>
        <v>0</v>
      </c>
      <c r="YY4" s="179">
        <f>IFERROR(VLOOKUP(YY$1,Innova[[Ticker]:[Weight]],2,FALSE),0%)</f>
        <v>0</v>
      </c>
      <c r="YZ4" s="179">
        <f>IFERROR(VLOOKUP(YZ$1,Innova[[Ticker]:[Weight]],2,FALSE),0%)</f>
        <v>0</v>
      </c>
      <c r="ZA4" s="179">
        <f>IFERROR(VLOOKUP(ZA$1,Innova[[Ticker]:[Weight]],2,FALSE),0%)</f>
        <v>0</v>
      </c>
      <c r="ZB4" s="179">
        <f>IFERROR(VLOOKUP(ZB$1,Innova[[Ticker]:[Weight]],2,FALSE),0%)</f>
        <v>0</v>
      </c>
      <c r="ZC4" s="179">
        <f>IFERROR(VLOOKUP(ZC$1,Innova[[Ticker]:[Weight]],2,FALSE),0%)</f>
        <v>0</v>
      </c>
      <c r="ZD4" s="179">
        <f>IFERROR(VLOOKUP(ZD$1,Innova[[Ticker]:[Weight]],2,FALSE),0%)</f>
        <v>0</v>
      </c>
      <c r="ZE4" s="179">
        <f>IFERROR(VLOOKUP(ZE$1,Innova[[Ticker]:[Weight]],2,FALSE),0%)</f>
        <v>0</v>
      </c>
      <c r="ZF4" s="179">
        <f>IFERROR(VLOOKUP(ZF$1,Innova[[Ticker]:[Weight]],2,FALSE),0%)</f>
        <v>0</v>
      </c>
      <c r="ZG4" s="179">
        <f>IFERROR(VLOOKUP(ZG$1,Innova[[Ticker]:[Weight]],2,FALSE),0%)</f>
        <v>0</v>
      </c>
      <c r="ZH4" s="179">
        <f>IFERROR(VLOOKUP(ZH$1,Innova[[Ticker]:[Weight]],2,FALSE),0%)</f>
        <v>0</v>
      </c>
      <c r="ZI4" s="179">
        <f>IFERROR(VLOOKUP(ZI$1,Innova[[Ticker]:[Weight]],2,FALSE),0%)</f>
        <v>0</v>
      </c>
      <c r="ZJ4" s="179">
        <f>IFERROR(VLOOKUP(ZJ$1,Innova[[Ticker]:[Weight]],2,FALSE),0%)</f>
        <v>0</v>
      </c>
      <c r="ZK4" s="179">
        <f>IFERROR(VLOOKUP(ZK$1,Innova[[Ticker]:[Weight]],2,FALSE),0%)</f>
        <v>0</v>
      </c>
      <c r="ZL4" s="179">
        <f>IFERROR(VLOOKUP(ZL$1,Innova[[Ticker]:[Weight]],2,FALSE),0%)</f>
        <v>0</v>
      </c>
      <c r="ZM4" s="179">
        <f>IFERROR(VLOOKUP(ZM$1,Innova[[Ticker]:[Weight]],2,FALSE),0%)</f>
        <v>0</v>
      </c>
      <c r="ZN4" s="179">
        <f>IFERROR(VLOOKUP(ZN$1,Innova[[Ticker]:[Weight]],2,FALSE),0%)</f>
        <v>0</v>
      </c>
      <c r="ZO4" s="179">
        <f>IFERROR(VLOOKUP(ZO$1,Innova[[Ticker]:[Weight]],2,FALSE),0%)</f>
        <v>0</v>
      </c>
      <c r="ZP4" s="179">
        <f>IFERROR(VLOOKUP(ZP$1,Innova[[Ticker]:[Weight]],2,FALSE),0%)</f>
        <v>0</v>
      </c>
      <c r="ZQ4" s="179">
        <f>IFERROR(VLOOKUP(ZQ$1,Innova[[Ticker]:[Weight]],2,FALSE),0%)</f>
        <v>0</v>
      </c>
      <c r="ZR4" s="179">
        <f>IFERROR(VLOOKUP(ZR$1,Innova[[Ticker]:[Weight]],2,FALSE),0%)</f>
        <v>0</v>
      </c>
      <c r="ZS4" s="179">
        <f>IFERROR(VLOOKUP(ZS$1,Innova[[Ticker]:[Weight]],2,FALSE),0%)</f>
        <v>0</v>
      </c>
      <c r="ZT4" s="179">
        <f>IFERROR(VLOOKUP(ZT$1,Innova[[Ticker]:[Weight]],2,FALSE),0%)</f>
        <v>0</v>
      </c>
      <c r="ZU4" s="179">
        <f>IFERROR(VLOOKUP(ZU$1,Innova[[Ticker]:[Weight]],2,FALSE),0%)</f>
        <v>0</v>
      </c>
      <c r="ZV4" s="179">
        <f>IFERROR(VLOOKUP(ZV$1,Innova[[Ticker]:[Weight]],2,FALSE),0%)</f>
        <v>0</v>
      </c>
      <c r="ZW4" s="179">
        <f>IFERROR(VLOOKUP(ZW$1,Innova[[Ticker]:[Weight]],2,FALSE),0%)</f>
        <v>0</v>
      </c>
      <c r="ZX4" s="179">
        <f>IFERROR(VLOOKUP(ZX$1,Innova[[Ticker]:[Weight]],2,FALSE),0%)</f>
        <v>0</v>
      </c>
      <c r="ZY4" s="179">
        <f>IFERROR(VLOOKUP(ZY$1,Innova[[Ticker]:[Weight]],2,FALSE),0%)</f>
        <v>0</v>
      </c>
      <c r="ZZ4" s="179">
        <f>IFERROR(VLOOKUP(ZZ$1,Innova[[Ticker]:[Weight]],2,FALSE),0%)</f>
        <v>0</v>
      </c>
      <c r="AAA4" s="179">
        <f>IFERROR(VLOOKUP(AAA$1,Innova[[Ticker]:[Weight]],2,FALSE),0%)</f>
        <v>0</v>
      </c>
      <c r="AAB4" s="179">
        <f>IFERROR(VLOOKUP(AAB$1,Innova[[Ticker]:[Weight]],2,FALSE),0%)</f>
        <v>0</v>
      </c>
      <c r="AAC4" s="179">
        <f>IFERROR(VLOOKUP(AAC$1,Innova[[Ticker]:[Weight]],2,FALSE),0%)</f>
        <v>0</v>
      </c>
      <c r="AAD4" s="179">
        <f>IFERROR(VLOOKUP(AAD$1,Innova[[Ticker]:[Weight]],2,FALSE),0%)</f>
        <v>0</v>
      </c>
      <c r="AAE4" s="179">
        <f>IFERROR(VLOOKUP(AAE$1,Innova[[Ticker]:[Weight]],2,FALSE),0%)</f>
        <v>0</v>
      </c>
      <c r="AAF4" s="179">
        <f>IFERROR(VLOOKUP(AAF$1,Innova[[Ticker]:[Weight]],2,FALSE),0%)</f>
        <v>0</v>
      </c>
      <c r="AAG4" s="179">
        <f>IFERROR(VLOOKUP(AAG$1,Innova[[Ticker]:[Weight]],2,FALSE),0%)</f>
        <v>0</v>
      </c>
      <c r="AAH4" s="179">
        <f>IFERROR(VLOOKUP(AAH$1,Innova[[Ticker]:[Weight]],2,FALSE),0%)</f>
        <v>0</v>
      </c>
      <c r="AAI4" s="179">
        <f>IFERROR(VLOOKUP(AAI$1,Innova[[Ticker]:[Weight]],2,FALSE),0%)</f>
        <v>0</v>
      </c>
      <c r="AAJ4" s="179">
        <f>IFERROR(VLOOKUP(AAJ$1,Innova[[Ticker]:[Weight]],2,FALSE),0%)</f>
        <v>0</v>
      </c>
      <c r="AAK4" s="179">
        <f>IFERROR(VLOOKUP(AAK$1,Innova[[Ticker]:[Weight]],2,FALSE),0%)</f>
        <v>0</v>
      </c>
      <c r="AAL4" s="179">
        <f>IFERROR(VLOOKUP(AAL$1,Innova[[Ticker]:[Weight]],2,FALSE),0%)</f>
        <v>0</v>
      </c>
      <c r="AAM4" s="179">
        <f>IFERROR(VLOOKUP(AAM$1,Innova[[Ticker]:[Weight]],2,FALSE),0%)</f>
        <v>0</v>
      </c>
      <c r="AAN4" s="179">
        <f>IFERROR(VLOOKUP(AAN$1,Innova[[Ticker]:[Weight]],2,FALSE),0%)</f>
        <v>0</v>
      </c>
      <c r="AAO4" s="179">
        <f>IFERROR(VLOOKUP(AAO$1,Innova[[Ticker]:[Weight]],2,FALSE),0%)</f>
        <v>0</v>
      </c>
      <c r="AAP4" s="179">
        <f>IFERROR(VLOOKUP(AAP$1,Innova[[Ticker]:[Weight]],2,FALSE),0%)</f>
        <v>0</v>
      </c>
      <c r="AAQ4" s="179">
        <f>IFERROR(VLOOKUP(AAQ$1,Innova[[Ticker]:[Weight]],2,FALSE),0%)</f>
        <v>0</v>
      </c>
      <c r="AAR4" s="179">
        <f>IFERROR(VLOOKUP(AAR$1,Innova[[Ticker]:[Weight]],2,FALSE),0%)</f>
        <v>0</v>
      </c>
      <c r="AAS4" s="179">
        <f>IFERROR(VLOOKUP(AAS$1,Innova[[Ticker]:[Weight]],2,FALSE),0%)</f>
        <v>0</v>
      </c>
      <c r="AAT4" s="179">
        <f>IFERROR(VLOOKUP(AAT$1,Innova[[Ticker]:[Weight]],2,FALSE),0%)</f>
        <v>0</v>
      </c>
      <c r="AAU4" s="179">
        <f>IFERROR(VLOOKUP(AAU$1,Innova[[Ticker]:[Weight]],2,FALSE),0%)</f>
        <v>0</v>
      </c>
      <c r="AAV4" s="179">
        <f>IFERROR(VLOOKUP(AAV$1,Innova[[Ticker]:[Weight]],2,FALSE),0%)</f>
        <v>0</v>
      </c>
      <c r="AAW4" s="179">
        <f>IFERROR(VLOOKUP(AAW$1,Innova[[Ticker]:[Weight]],2,FALSE),0%)</f>
        <v>0</v>
      </c>
      <c r="AAX4" s="179">
        <f>IFERROR(VLOOKUP(AAX$1,Innova[[Ticker]:[Weight]],2,FALSE),0%)</f>
        <v>0</v>
      </c>
      <c r="AAY4" s="179">
        <f>IFERROR(VLOOKUP(AAY$1,Innova[[Ticker]:[Weight]],2,FALSE),0%)</f>
        <v>0</v>
      </c>
      <c r="AAZ4" s="179">
        <f>IFERROR(VLOOKUP(AAZ$1,Innova[[Ticker]:[Weight]],2,FALSE),0%)</f>
        <v>0</v>
      </c>
      <c r="ABA4" s="179">
        <f>IFERROR(VLOOKUP(ABA$1,Innova[[Ticker]:[Weight]],2,FALSE),0%)</f>
        <v>0</v>
      </c>
      <c r="ABB4" s="179">
        <f>IFERROR(VLOOKUP(ABB$1,Innova[[Ticker]:[Weight]],2,FALSE),0%)</f>
        <v>0</v>
      </c>
      <c r="ABC4" s="179">
        <f>IFERROR(VLOOKUP(ABC$1,Innova[[Ticker]:[Weight]],2,FALSE),0%)</f>
        <v>0</v>
      </c>
      <c r="ABD4" s="179">
        <f>IFERROR(VLOOKUP(ABD$1,Innova[[Ticker]:[Weight]],2,FALSE),0%)</f>
        <v>0</v>
      </c>
      <c r="ABE4" s="179">
        <f>IFERROR(VLOOKUP(ABE$1,Innova[[Ticker]:[Weight]],2,FALSE),0%)</f>
        <v>0</v>
      </c>
      <c r="ABF4" s="179">
        <f>IFERROR(VLOOKUP(ABF$1,Innova[[Ticker]:[Weight]],2,FALSE),0%)</f>
        <v>0</v>
      </c>
      <c r="ABG4" s="179">
        <f>IFERROR(VLOOKUP(ABG$1,Innova[[Ticker]:[Weight]],2,FALSE),0%)</f>
        <v>0</v>
      </c>
      <c r="ABH4" s="179">
        <f>IFERROR(VLOOKUP(ABH$1,Innova[[Ticker]:[Weight]],2,FALSE),0%)</f>
        <v>0</v>
      </c>
      <c r="ABI4" s="179">
        <f>IFERROR(VLOOKUP(ABI$1,Innova[[Ticker]:[Weight]],2,FALSE),0%)</f>
        <v>0</v>
      </c>
      <c r="ABJ4" s="179">
        <f>IFERROR(VLOOKUP(ABJ$1,Innova[[Ticker]:[Weight]],2,FALSE),0%)</f>
        <v>0</v>
      </c>
      <c r="ABK4" s="179">
        <f>IFERROR(VLOOKUP(ABK$1,Innova[[Ticker]:[Weight]],2,FALSE),0%)</f>
        <v>0</v>
      </c>
      <c r="ABL4" s="179">
        <f>IFERROR(VLOOKUP(ABL$1,Innova[[Ticker]:[Weight]],2,FALSE),0%)</f>
        <v>0</v>
      </c>
      <c r="ABM4" s="179">
        <f>IFERROR(VLOOKUP(ABM$1,Innova[[Ticker]:[Weight]],2,FALSE),0%)</f>
        <v>0</v>
      </c>
      <c r="ABN4" s="179">
        <f>IFERROR(VLOOKUP(ABN$1,Innova[[Ticker]:[Weight]],2,FALSE),0%)</f>
        <v>0</v>
      </c>
      <c r="ABO4" s="179">
        <f>IFERROR(VLOOKUP(ABO$1,Innova[[Ticker]:[Weight]],2,FALSE),0%)</f>
        <v>0</v>
      </c>
      <c r="ABP4" s="179">
        <f>IFERROR(VLOOKUP(ABP$1,Innova[[Ticker]:[Weight]],2,FALSE),0%)</f>
        <v>0</v>
      </c>
      <c r="ABQ4" s="179">
        <f>IFERROR(VLOOKUP(ABQ$1,Innova[[Ticker]:[Weight]],2,FALSE),0%)</f>
        <v>0</v>
      </c>
      <c r="ABR4" s="179">
        <f>IFERROR(VLOOKUP(ABR$1,Innova[[Ticker]:[Weight]],2,FALSE),0%)</f>
        <v>0</v>
      </c>
      <c r="ABS4" s="179">
        <f>IFERROR(VLOOKUP(ABS$1,Innova[[Ticker]:[Weight]],2,FALSE),0%)</f>
        <v>0</v>
      </c>
      <c r="ABT4" s="179">
        <f>IFERROR(VLOOKUP(ABT$1,Innova[[Ticker]:[Weight]],2,FALSE),0%)</f>
        <v>0</v>
      </c>
      <c r="ABU4" s="179">
        <f>IFERROR(VLOOKUP(ABU$1,Innova[[Ticker]:[Weight]],2,FALSE),0%)</f>
        <v>0</v>
      </c>
      <c r="ABV4" s="179">
        <f>IFERROR(VLOOKUP(ABV$1,Innova[[Ticker]:[Weight]],2,FALSE),0%)</f>
        <v>0</v>
      </c>
      <c r="ABW4" s="179">
        <f>IFERROR(VLOOKUP(ABW$1,Innova[[Ticker]:[Weight]],2,FALSE),0%)</f>
        <v>0</v>
      </c>
      <c r="ABX4" s="179">
        <f>IFERROR(VLOOKUP(ABX$1,Innova[[Ticker]:[Weight]],2,FALSE),0%)</f>
        <v>0</v>
      </c>
      <c r="ABY4" s="179">
        <f>IFERROR(VLOOKUP(ABY$1,Innova[[Ticker]:[Weight]],2,FALSE),0%)</f>
        <v>0</v>
      </c>
      <c r="ABZ4" s="179">
        <f>IFERROR(VLOOKUP(ABZ$1,Innova[[Ticker]:[Weight]],2,FALSE),0%)</f>
        <v>0</v>
      </c>
      <c r="ACA4" s="179">
        <f>IFERROR(VLOOKUP(ACA$1,Innova[[Ticker]:[Weight]],2,FALSE),0%)</f>
        <v>0</v>
      </c>
      <c r="ACB4" s="179">
        <f>IFERROR(VLOOKUP(ACB$1,Innova[[Ticker]:[Weight]],2,FALSE),0%)</f>
        <v>0</v>
      </c>
      <c r="ACC4" s="179">
        <f>IFERROR(VLOOKUP(ACC$1,Innova[[Ticker]:[Weight]],2,FALSE),0%)</f>
        <v>0</v>
      </c>
      <c r="ACD4" s="179">
        <f>IFERROR(VLOOKUP(ACD$1,Innova[[Ticker]:[Weight]],2,FALSE),0%)</f>
        <v>0</v>
      </c>
      <c r="ACE4" s="179">
        <f>IFERROR(VLOOKUP(ACE$1,Innova[[Ticker]:[Weight]],2,FALSE),0%)</f>
        <v>0</v>
      </c>
      <c r="ACF4" s="179">
        <f>IFERROR(VLOOKUP(ACF$1,Innova[[Ticker]:[Weight]],2,FALSE),0%)</f>
        <v>0</v>
      </c>
      <c r="ACG4" s="179">
        <f>IFERROR(VLOOKUP(ACG$1,Innova[[Ticker]:[Weight]],2,FALSE),0%)</f>
        <v>0</v>
      </c>
      <c r="ACH4" s="179">
        <f>IFERROR(VLOOKUP(ACH$1,Innova[[Ticker]:[Weight]],2,FALSE),0%)</f>
        <v>0</v>
      </c>
      <c r="ACI4" s="179">
        <f>IFERROR(VLOOKUP(ACI$1,Innova[[Ticker]:[Weight]],2,FALSE),0%)</f>
        <v>0</v>
      </c>
      <c r="ACJ4" s="179">
        <f>IFERROR(VLOOKUP(ACJ$1,Innova[[Ticker]:[Weight]],2,FALSE),0%)</f>
        <v>0</v>
      </c>
      <c r="ACK4" s="179">
        <f>IFERROR(VLOOKUP(ACK$1,Innova[[Ticker]:[Weight]],2,FALSE),0%)</f>
        <v>0</v>
      </c>
      <c r="ACL4" s="179">
        <f>IFERROR(VLOOKUP(ACL$1,Innova[[Ticker]:[Weight]],2,FALSE),0%)</f>
        <v>0</v>
      </c>
      <c r="ACM4" s="179">
        <f>IFERROR(VLOOKUP(ACM$1,Innova[[Ticker]:[Weight]],2,FALSE),0%)</f>
        <v>0</v>
      </c>
      <c r="ACN4" s="179">
        <f>IFERROR(VLOOKUP(ACN$1,Innova[[Ticker]:[Weight]],2,FALSE),0%)</f>
        <v>0</v>
      </c>
      <c r="ACO4" s="179">
        <f>IFERROR(VLOOKUP(ACO$1,Innova[[Ticker]:[Weight]],2,FALSE),0%)</f>
        <v>0</v>
      </c>
      <c r="ACP4" s="179">
        <f>IFERROR(VLOOKUP(ACP$1,Innova[[Ticker]:[Weight]],2,FALSE),0%)</f>
        <v>0</v>
      </c>
      <c r="ACQ4" s="179">
        <f>IFERROR(VLOOKUP(ACQ$1,Innova[[Ticker]:[Weight]],2,FALSE),0%)</f>
        <v>0</v>
      </c>
      <c r="ACR4" s="179">
        <f>IFERROR(VLOOKUP(ACR$1,Innova[[Ticker]:[Weight]],2,FALSE),0%)</f>
        <v>0</v>
      </c>
      <c r="ACS4" s="179">
        <f>IFERROR(VLOOKUP(ACS$1,Innova[[Ticker]:[Weight]],2,FALSE),0%)</f>
        <v>0</v>
      </c>
      <c r="ACT4" s="179">
        <f>IFERROR(VLOOKUP(ACT$1,Innova[[Ticker]:[Weight]],2,FALSE),0%)</f>
        <v>0</v>
      </c>
      <c r="ACU4" s="179">
        <f>IFERROR(VLOOKUP(ACU$1,Innova[[Ticker]:[Weight]],2,FALSE),0%)</f>
        <v>0</v>
      </c>
      <c r="ACV4" s="179">
        <f>IFERROR(VLOOKUP(ACV$1,Innova[[Ticker]:[Weight]],2,FALSE),0%)</f>
        <v>0</v>
      </c>
      <c r="ACW4" s="179">
        <f>IFERROR(VLOOKUP(ACW$1,Innova[[Ticker]:[Weight]],2,FALSE),0%)</f>
        <v>0</v>
      </c>
      <c r="ACX4" s="179">
        <f>IFERROR(VLOOKUP(ACX$1,Innova[[Ticker]:[Weight]],2,FALSE),0%)</f>
        <v>0</v>
      </c>
      <c r="ACY4" s="179">
        <f>IFERROR(VLOOKUP(ACY$1,Innova[[Ticker]:[Weight]],2,FALSE),0%)</f>
        <v>0</v>
      </c>
      <c r="ACZ4" s="179">
        <f>IFERROR(VLOOKUP(ACZ$1,Innova[[Ticker]:[Weight]],2,FALSE),0%)</f>
        <v>0</v>
      </c>
      <c r="ADA4" s="179">
        <f>IFERROR(VLOOKUP(ADA$1,Innova[[Ticker]:[Weight]],2,FALSE),0%)</f>
        <v>0</v>
      </c>
      <c r="ADB4" s="179">
        <f>IFERROR(VLOOKUP(ADB$1,Innova[[Ticker]:[Weight]],2,FALSE),0%)</f>
        <v>0</v>
      </c>
      <c r="ADC4" s="179">
        <f>IFERROR(VLOOKUP(ADC$1,Innova[[Ticker]:[Weight]],2,FALSE),0%)</f>
        <v>0</v>
      </c>
      <c r="ADD4" s="179">
        <f>IFERROR(VLOOKUP(ADD$1,Innova[[Ticker]:[Weight]],2,FALSE),0%)</f>
        <v>0</v>
      </c>
      <c r="ADE4" s="179">
        <f>IFERROR(VLOOKUP(ADE$1,Innova[[Ticker]:[Weight]],2,FALSE),0%)</f>
        <v>0</v>
      </c>
      <c r="ADF4" s="179">
        <f>IFERROR(VLOOKUP(ADF$1,Innova[[Ticker]:[Weight]],2,FALSE),0%)</f>
        <v>0</v>
      </c>
      <c r="ADG4" s="179">
        <f>IFERROR(VLOOKUP(ADG$1,Innova[[Ticker]:[Weight]],2,FALSE),0%)</f>
        <v>0</v>
      </c>
      <c r="ADH4" s="179">
        <f>IFERROR(VLOOKUP(ADH$1,Innova[[Ticker]:[Weight]],2,FALSE),0%)</f>
        <v>0</v>
      </c>
      <c r="ADI4" s="179">
        <f>IFERROR(VLOOKUP(ADI$1,Innova[[Ticker]:[Weight]],2,FALSE),0%)</f>
        <v>0</v>
      </c>
      <c r="ADJ4" s="179">
        <f>IFERROR(VLOOKUP(ADJ$1,Innova[[Ticker]:[Weight]],2,FALSE),0%)</f>
        <v>0</v>
      </c>
      <c r="ADK4" s="179">
        <f>IFERROR(VLOOKUP(ADK$1,Innova[[Ticker]:[Weight]],2,FALSE),0%)</f>
        <v>0</v>
      </c>
      <c r="ADL4" s="179">
        <f>IFERROR(VLOOKUP(ADL$1,Innova[[Ticker]:[Weight]],2,FALSE),0%)</f>
        <v>0</v>
      </c>
      <c r="ADM4" s="179">
        <f>IFERROR(VLOOKUP(ADM$1,Innova[[Ticker]:[Weight]],2,FALSE),0%)</f>
        <v>0</v>
      </c>
      <c r="ADN4" s="179">
        <f>IFERROR(VLOOKUP(ADN$1,Innova[[Ticker]:[Weight]],2,FALSE),0%)</f>
        <v>0</v>
      </c>
      <c r="ADO4" s="179">
        <f>IFERROR(VLOOKUP(ADO$1,Innova[[Ticker]:[Weight]],2,FALSE),0%)</f>
        <v>0.0563</v>
      </c>
      <c r="ADP4" s="179">
        <f>IFERROR(VLOOKUP(ADP$1,Innova[[Ticker]:[Weight]],2,FALSE),0%)</f>
        <v>0</v>
      </c>
      <c r="ADQ4" s="179">
        <f>IFERROR(VLOOKUP(ADQ$1,Innova[[Ticker]:[Weight]],2,FALSE),0%)</f>
        <v>0</v>
      </c>
      <c r="ADR4" s="179">
        <f>IFERROR(VLOOKUP(ADR$1,Innova[[Ticker]:[Weight]],2,FALSE),0%)</f>
        <v>0</v>
      </c>
      <c r="ADS4" s="179">
        <f>IFERROR(VLOOKUP(ADS$1,Innova[[Ticker]:[Weight]],2,FALSE),0%)</f>
        <v>0</v>
      </c>
      <c r="ADT4" s="179">
        <f>IFERROR(VLOOKUP(ADT$1,Innova[[Ticker]:[Weight]],2,FALSE),0%)</f>
        <v>0</v>
      </c>
      <c r="ADU4" s="179">
        <f>IFERROR(VLOOKUP(ADU$1,Innova[[Ticker]:[Weight]],2,FALSE),0%)</f>
        <v>0</v>
      </c>
      <c r="ADV4" s="179">
        <f>IFERROR(VLOOKUP(ADV$1,Innova[[Ticker]:[Weight]],2,FALSE),0%)</f>
        <v>0</v>
      </c>
      <c r="ADW4" s="179">
        <f>IFERROR(VLOOKUP(ADW$1,Innova[[Ticker]:[Weight]],2,FALSE),0%)</f>
        <v>0</v>
      </c>
      <c r="ADX4" s="179">
        <f>IFERROR(VLOOKUP(ADX$1,Innova[[Ticker]:[Weight]],2,FALSE),0%)</f>
        <v>0.0876</v>
      </c>
      <c r="ADY4" s="179">
        <f>IFERROR(VLOOKUP(ADY$1,Innova[[Ticker]:[Weight]],2,FALSE),0%)</f>
        <v>0</v>
      </c>
      <c r="ADZ4" s="179">
        <f>IFERROR(VLOOKUP(ADZ$1,Innova[[Ticker]:[Weight]],2,FALSE),0%)</f>
        <v>0</v>
      </c>
      <c r="AEA4" s="179">
        <f>IFERROR(VLOOKUP(AEA$1,Innova[[Ticker]:[Weight]],2,FALSE),0%)</f>
        <v>0</v>
      </c>
      <c r="AEB4" s="179">
        <f>IFERROR(VLOOKUP(AEB$1,Innova[[Ticker]:[Weight]],2,FALSE),0%)</f>
        <v>0</v>
      </c>
      <c r="AEC4" s="179">
        <f>IFERROR(VLOOKUP(AEC$1,Innova[[Ticker]:[Weight]],2,FALSE),0%)</f>
        <v>0</v>
      </c>
      <c r="AED4" s="179">
        <f>IFERROR(VLOOKUP(AED$1,Innova[[Ticker]:[Weight]],2,FALSE),0%)</f>
        <v>0.1022</v>
      </c>
      <c r="AEE4" s="179">
        <f>IFERROR(VLOOKUP(AEE$1,Innova[[Ticker]:[Weight]],2,FALSE),0%)</f>
        <v>0</v>
      </c>
      <c r="AEF4" s="179">
        <f>IFERROR(VLOOKUP(AEF$1,Innova[[Ticker]:[Weight]],2,FALSE),0%)</f>
        <v>0</v>
      </c>
      <c r="AEG4" s="179">
        <f>IFERROR(VLOOKUP(AEG$1,Innova[[Ticker]:[Weight]],2,FALSE),0%)</f>
        <v>0</v>
      </c>
      <c r="AEH4" s="179">
        <f>IFERROR(VLOOKUP(AEH$1,Innova[[Ticker]:[Weight]],2,FALSE),0%)</f>
        <v>0</v>
      </c>
      <c r="AEI4" s="179">
        <f>IFERROR(VLOOKUP(AEI$1,Innova[[Ticker]:[Weight]],2,FALSE),0%)</f>
        <v>0</v>
      </c>
      <c r="AEJ4" s="179">
        <f>IFERROR(VLOOKUP(AEJ$1,Innova[[Ticker]:[Weight]],2,FALSE),0%)</f>
        <v>0</v>
      </c>
      <c r="AEK4" s="179">
        <f>IFERROR(VLOOKUP(AEK$1,Innova[[Ticker]:[Weight]],2,FALSE),0%)</f>
        <v>0</v>
      </c>
      <c r="AEL4" s="179">
        <f>IFERROR(VLOOKUP(AEL$1,Innova[[Ticker]:[Weight]],2,FALSE),0%)</f>
        <v>0</v>
      </c>
      <c r="AEM4" s="179">
        <f>IFERROR(VLOOKUP(AEM$1,Innova[[Ticker]:[Weight]],2,FALSE),0%)</f>
        <v>0</v>
      </c>
      <c r="AEN4" s="179">
        <f>IFERROR(VLOOKUP(AEN$1,Innova[[Ticker]:[Weight]],2,FALSE),0%)</f>
        <v>0</v>
      </c>
      <c r="AEO4" s="179">
        <f>IFERROR(VLOOKUP(AEO$1,Innova[[Ticker]:[Weight]],2,FALSE),0%)</f>
        <v>0</v>
      </c>
      <c r="AEP4" s="179">
        <f>IFERROR(VLOOKUP(AEP$1,Innova[[Ticker]:[Weight]],2,FALSE),0%)</f>
        <v>0</v>
      </c>
      <c r="AEQ4" s="179">
        <f>IFERROR(VLOOKUP(AEQ$1,Innova[[Ticker]:[Weight]],2,FALSE),0%)</f>
        <v>0</v>
      </c>
      <c r="AER4" s="179">
        <f>IFERROR(VLOOKUP(AER$1,Innova[[Ticker]:[Weight]],2,FALSE),0%)</f>
        <v>0</v>
      </c>
      <c r="AES4" s="179">
        <f>IFERROR(VLOOKUP(AES$1,Innova[[Ticker]:[Weight]],2,FALSE),0%)</f>
        <v>0</v>
      </c>
      <c r="AET4" s="179">
        <f>IFERROR(VLOOKUP(AET$1,Innova[[Ticker]:[Weight]],2,FALSE),0%)</f>
        <v>0</v>
      </c>
      <c r="AEU4" s="179">
        <f>IFERROR(VLOOKUP(AEU$1,Innova[[Ticker]:[Weight]],2,FALSE),0%)</f>
        <v>0</v>
      </c>
      <c r="AEV4" s="179">
        <f>IFERROR(VLOOKUP(AEV$1,Innova[[Ticker]:[Weight]],2,FALSE),0%)</f>
        <v>0</v>
      </c>
      <c r="AEW4" s="179">
        <f>IFERROR(VLOOKUP(AEW$1,Innova[[Ticker]:[Weight]],2,FALSE),0%)</f>
        <v>0</v>
      </c>
      <c r="AEX4" s="179">
        <f>IFERROR(VLOOKUP(AEX$1,Innova[[Ticker]:[Weight]],2,FALSE),0%)</f>
        <v>0</v>
      </c>
      <c r="AEY4" s="179">
        <f>IFERROR(VLOOKUP(AEY$1,Innova[[Ticker]:[Weight]],2,FALSE),0%)</f>
        <v>0</v>
      </c>
      <c r="AEZ4" s="179">
        <f>IFERROR(VLOOKUP(AEZ$1,Innova[[Ticker]:[Weight]],2,FALSE),0%)</f>
        <v>0</v>
      </c>
      <c r="AFA4" s="179">
        <f>IFERROR(VLOOKUP(AFA$1,Innova[[Ticker]:[Weight]],2,FALSE),0%)</f>
        <v>0</v>
      </c>
      <c r="AFB4" s="179">
        <f>IFERROR(VLOOKUP(AFB$1,Innova[[Ticker]:[Weight]],2,FALSE),0%)</f>
        <v>0</v>
      </c>
      <c r="AFC4" s="179">
        <f>IFERROR(VLOOKUP(AFC$1,Innova[[Ticker]:[Weight]],2,FALSE),0%)</f>
        <v>0</v>
      </c>
      <c r="AFD4" s="179">
        <f>IFERROR(VLOOKUP(AFD$1,Innova[[Ticker]:[Weight]],2,FALSE),0%)</f>
        <v>0</v>
      </c>
      <c r="AFE4" s="179">
        <f>IFERROR(VLOOKUP(AFE$1,Innova[[Ticker]:[Weight]],2,FALSE),0%)</f>
        <v>0</v>
      </c>
      <c r="AFF4" s="179">
        <f>IFERROR(VLOOKUP(AFF$1,Innova[[Ticker]:[Weight]],2,FALSE),0%)</f>
        <v>0</v>
      </c>
      <c r="AFG4" s="179">
        <f>IFERROR(VLOOKUP(AFG$1,Innova[[Ticker]:[Weight]],2,FALSE),0%)</f>
        <v>0</v>
      </c>
      <c r="AFH4" s="179">
        <f>IFERROR(VLOOKUP(AFH$1,Innova[[Ticker]:[Weight]],2,FALSE),0%)</f>
        <v>0</v>
      </c>
      <c r="AFI4" s="179">
        <f>IFERROR(VLOOKUP(AFI$1,Innova[[Ticker]:[Weight]],2,FALSE),0%)</f>
        <v>0</v>
      </c>
      <c r="AFJ4" s="179">
        <f>IFERROR(VLOOKUP(AFJ$1,Innova[[Ticker]:[Weight]],2,FALSE),0%)</f>
        <v>0</v>
      </c>
      <c r="AFK4" s="179">
        <f>IFERROR(VLOOKUP(AFK$1,Innova[[Ticker]:[Weight]],2,FALSE),0%)</f>
        <v>0</v>
      </c>
      <c r="AFL4" s="179">
        <f>IFERROR(VLOOKUP(AFL$1,Innova[[Ticker]:[Weight]],2,FALSE),0%)</f>
        <v>0</v>
      </c>
      <c r="AFM4" s="179">
        <f>IFERROR(VLOOKUP(AFM$1,Innova[[Ticker]:[Weight]],2,FALSE),0%)</f>
        <v>0</v>
      </c>
      <c r="AFN4" s="179">
        <f>IFERROR(VLOOKUP(AFN$1,Innova[[Ticker]:[Weight]],2,FALSE),0%)</f>
        <v>0</v>
      </c>
      <c r="AFO4" s="179">
        <f>IFERROR(VLOOKUP(AFO$1,Innova[[Ticker]:[Weight]],2,FALSE),0%)</f>
        <v>0</v>
      </c>
      <c r="AFP4" s="179">
        <f>IFERROR(VLOOKUP(AFP$1,Innova[[Ticker]:[Weight]],2,FALSE),0%)</f>
        <v>0</v>
      </c>
      <c r="AFQ4" s="179">
        <f>IFERROR(VLOOKUP(AFQ$1,Innova[[Ticker]:[Weight]],2,FALSE),0%)</f>
        <v>0</v>
      </c>
      <c r="AFR4" s="179">
        <f>IFERROR(VLOOKUP(AFR$1,Innova[[Ticker]:[Weight]],2,FALSE),0%)</f>
        <v>0</v>
      </c>
      <c r="AFS4" s="179">
        <f>IFERROR(VLOOKUP(AFS$1,Innova[[Ticker]:[Weight]],2,FALSE),0%)</f>
        <v>0</v>
      </c>
      <c r="AFT4" s="179">
        <f>IFERROR(VLOOKUP(AFT$1,Innova[[Ticker]:[Weight]],2,FALSE),0%)</f>
        <v>0</v>
      </c>
      <c r="AFU4" s="179">
        <f>IFERROR(VLOOKUP(AFU$1,Innova[[Ticker]:[Weight]],2,FALSE),0%)</f>
        <v>0</v>
      </c>
      <c r="AFV4" s="179">
        <f>IFERROR(VLOOKUP(AFV$1,Innova[[Ticker]:[Weight]],2,FALSE),0%)</f>
        <v>0.0765</v>
      </c>
      <c r="AFW4" s="179">
        <f>IFERROR(VLOOKUP(AFW$1,Innova[[Ticker]:[Weight]],2,FALSE),0%)</f>
        <v>0</v>
      </c>
      <c r="AFX4" s="179">
        <f>IFERROR(VLOOKUP(AFX$1,Innova[[Ticker]:[Weight]],2,FALSE),0%)</f>
        <v>0</v>
      </c>
      <c r="AFY4" s="179">
        <f>IFERROR(VLOOKUP(AFY$1,Innova[[Ticker]:[Weight]],2,FALSE),0%)</f>
        <v>0</v>
      </c>
      <c r="AFZ4" s="179">
        <f>IFERROR(VLOOKUP(AFZ$1,Innova[[Ticker]:[Weight]],2,FALSE),0%)</f>
        <v>0</v>
      </c>
      <c r="AGA4" s="179">
        <f>IFERROR(VLOOKUP(AGA$1,Innova[[Ticker]:[Weight]],2,FALSE),0%)</f>
        <v>0</v>
      </c>
      <c r="AGB4" s="179">
        <f>IFERROR(VLOOKUP(AGB$1,Innova[[Ticker]:[Weight]],2,FALSE),0%)</f>
        <v>0</v>
      </c>
      <c r="AGC4" s="179">
        <f>IFERROR(VLOOKUP(AGC$1,Innova[[Ticker]:[Weight]],2,FALSE),0%)</f>
        <v>0</v>
      </c>
      <c r="AGD4" s="179">
        <f>IFERROR(VLOOKUP(AGD$1,Innova[[Ticker]:[Weight]],2,FALSE),0%)</f>
        <v>0</v>
      </c>
      <c r="AGE4" s="179">
        <f>IFERROR(VLOOKUP(AGE$1,Innova[[Ticker]:[Weight]],2,FALSE),0%)</f>
        <v>0</v>
      </c>
      <c r="AGF4" s="179">
        <f>IFERROR(VLOOKUP(AGF$1,Innova[[Ticker]:[Weight]],2,FALSE),0%)</f>
        <v>0</v>
      </c>
      <c r="AGG4" s="179">
        <f>IFERROR(VLOOKUP(AGG$1,Innova[[Ticker]:[Weight]],2,FALSE),0%)</f>
        <v>0</v>
      </c>
      <c r="AGH4" s="179">
        <f>IFERROR(VLOOKUP(AGH$1,Innova[[Ticker]:[Weight]],2,FALSE),0%)</f>
        <v>0</v>
      </c>
      <c r="AGI4" s="179">
        <f>IFERROR(VLOOKUP(AGI$1,Innova[[Ticker]:[Weight]],2,FALSE),0%)</f>
        <v>0</v>
      </c>
      <c r="AGJ4" s="179">
        <f>IFERROR(VLOOKUP(AGJ$1,Innova[[Ticker]:[Weight]],2,FALSE),0%)</f>
        <v>0</v>
      </c>
      <c r="AGK4" s="179">
        <f>IFERROR(VLOOKUP(AGK$1,Innova[[Ticker]:[Weight]],2,FALSE),0%)</f>
        <v>0</v>
      </c>
      <c r="AGL4" s="179">
        <f>IFERROR(VLOOKUP(AGL$1,Innova[[Ticker]:[Weight]],2,FALSE),0%)</f>
        <v>0</v>
      </c>
      <c r="AGM4" s="179">
        <f>IFERROR(VLOOKUP(AGM$1,Innova[[Ticker]:[Weight]],2,FALSE),0%)</f>
        <v>0</v>
      </c>
      <c r="AGN4" s="179">
        <f>IFERROR(VLOOKUP(AGN$1,Innova[[Ticker]:[Weight]],2,FALSE),0%)</f>
        <v>0</v>
      </c>
      <c r="AGO4" s="179">
        <f>IFERROR(VLOOKUP(AGO$1,Innova[[Ticker]:[Weight]],2,FALSE),0%)</f>
        <v>0</v>
      </c>
      <c r="AGP4" s="179">
        <f>IFERROR(VLOOKUP(AGP$1,Innova[[Ticker]:[Weight]],2,FALSE),0%)</f>
        <v>0</v>
      </c>
      <c r="AGQ4" s="179">
        <f>IFERROR(VLOOKUP(AGQ$1,Innova[[Ticker]:[Weight]],2,FALSE),0%)</f>
        <v>0</v>
      </c>
      <c r="AGR4" s="179">
        <f>IFERROR(VLOOKUP(AGR$1,Innova[[Ticker]:[Weight]],2,FALSE),0%)</f>
        <v>0</v>
      </c>
      <c r="AGS4" s="179">
        <f>IFERROR(VLOOKUP(AGS$1,Innova[[Ticker]:[Weight]],2,FALSE),0%)</f>
        <v>0</v>
      </c>
      <c r="AGT4" s="179">
        <f>IFERROR(VLOOKUP(AGT$1,Innova[[Ticker]:[Weight]],2,FALSE),0%)</f>
        <v>0</v>
      </c>
      <c r="AGU4" s="179">
        <f>IFERROR(VLOOKUP(AGU$1,Innova[[Ticker]:[Weight]],2,FALSE),0%)</f>
        <v>0</v>
      </c>
      <c r="AGV4" s="179">
        <f>IFERROR(VLOOKUP(AGV$1,Innova[[Ticker]:[Weight]],2,FALSE),0%)</f>
        <v>0</v>
      </c>
      <c r="AGW4" s="179">
        <f>IFERROR(VLOOKUP(AGW$1,Innova[[Ticker]:[Weight]],2,FALSE),0%)</f>
        <v>0</v>
      </c>
      <c r="AGX4" s="179">
        <f>IFERROR(VLOOKUP(AGX$1,Innova[[Ticker]:[Weight]],2,FALSE),0%)</f>
        <v>0</v>
      </c>
      <c r="AGY4" s="179">
        <f>IFERROR(VLOOKUP(AGY$1,Innova[[Ticker]:[Weight]],2,FALSE),0%)</f>
        <v>0</v>
      </c>
      <c r="AGZ4" s="179">
        <f>IFERROR(VLOOKUP(AGZ$1,Innova[[Ticker]:[Weight]],2,FALSE),0%)</f>
        <v>0</v>
      </c>
      <c r="AHA4" s="179">
        <f>IFERROR(VLOOKUP(AHA$1,Innova[[Ticker]:[Weight]],2,FALSE),0%)</f>
        <v>0</v>
      </c>
      <c r="AHB4" s="179">
        <f>IFERROR(VLOOKUP(AHB$1,Innova[[Ticker]:[Weight]],2,FALSE),0%)</f>
        <v>0</v>
      </c>
      <c r="AHC4" s="179">
        <f>IFERROR(VLOOKUP(AHC$1,Innova[[Ticker]:[Weight]],2,FALSE),0%)</f>
        <v>0</v>
      </c>
      <c r="AHD4" s="179">
        <f>IFERROR(VLOOKUP(AHD$1,Innova[[Ticker]:[Weight]],2,FALSE),0%)</f>
        <v>0</v>
      </c>
      <c r="AHE4" s="179">
        <f>IFERROR(VLOOKUP(AHE$1,Innova[[Ticker]:[Weight]],2,FALSE),0%)</f>
        <v>0</v>
      </c>
      <c r="AHF4" s="179">
        <f>IFERROR(VLOOKUP(AHF$1,Innova[[Ticker]:[Weight]],2,FALSE),0%)</f>
        <v>0</v>
      </c>
      <c r="AHG4" s="179">
        <f>IFERROR(VLOOKUP(AHG$1,Innova[[Ticker]:[Weight]],2,FALSE),0%)</f>
        <v>0</v>
      </c>
      <c r="AHH4" s="179">
        <f>IFERROR(VLOOKUP(AHH$1,Innova[[Ticker]:[Weight]],2,FALSE),0%)</f>
        <v>0</v>
      </c>
      <c r="AHI4" s="179">
        <f>IFERROR(VLOOKUP(AHI$1,Innova[[Ticker]:[Weight]],2,FALSE),0%)</f>
        <v>0</v>
      </c>
      <c r="AHJ4" s="179">
        <f>IFERROR(VLOOKUP(AHJ$1,Innova[[Ticker]:[Weight]],2,FALSE),0%)</f>
        <v>0</v>
      </c>
      <c r="AHK4" s="179">
        <f>IFERROR(VLOOKUP(AHK$1,Innova[[Ticker]:[Weight]],2,FALSE),0%)</f>
        <v>0</v>
      </c>
      <c r="AHL4" s="179">
        <f>IFERROR(VLOOKUP(AHL$1,Innova[[Ticker]:[Weight]],2,FALSE),0%)</f>
        <v>0</v>
      </c>
      <c r="AHM4" s="179">
        <f>IFERROR(VLOOKUP(AHM$1,Innova[[Ticker]:[Weight]],2,FALSE),0%)</f>
        <v>0</v>
      </c>
      <c r="AHN4" s="179">
        <f>IFERROR(VLOOKUP(AHN$1,Innova[[Ticker]:[Weight]],2,FALSE),0%)</f>
        <v>0</v>
      </c>
      <c r="AHO4" s="179">
        <f>IFERROR(VLOOKUP(AHO$1,Innova[[Ticker]:[Weight]],2,FALSE),0%)</f>
        <v>0</v>
      </c>
      <c r="AHP4" s="179">
        <f>IFERROR(VLOOKUP(AHP$1,Innova[[Ticker]:[Weight]],2,FALSE),0%)</f>
        <v>0</v>
      </c>
      <c r="AHQ4" s="179">
        <f>IFERROR(VLOOKUP(AHQ$1,Innova[[Ticker]:[Weight]],2,FALSE),0%)</f>
        <v>0</v>
      </c>
      <c r="AHR4" s="179">
        <f>IFERROR(VLOOKUP(AHR$1,Innova[[Ticker]:[Weight]],2,FALSE),0%)</f>
        <v>0</v>
      </c>
      <c r="AHS4" s="179">
        <f>IFERROR(VLOOKUP(AHS$1,Innova[[Ticker]:[Weight]],2,FALSE),0%)</f>
        <v>0</v>
      </c>
      <c r="AHT4" s="179">
        <f>IFERROR(VLOOKUP(AHT$1,Innova[[Ticker]:[Weight]],2,FALSE),0%)</f>
        <v>0</v>
      </c>
      <c r="AHU4" s="179">
        <f>IFERROR(VLOOKUP(AHU$1,Innova[[Ticker]:[Weight]],2,FALSE),0%)</f>
        <v>0</v>
      </c>
      <c r="AHV4" s="179">
        <f>IFERROR(VLOOKUP(AHV$1,Innova[[Ticker]:[Weight]],2,FALSE),0%)</f>
        <v>0</v>
      </c>
      <c r="AHW4" s="179">
        <f>IFERROR(VLOOKUP(AHW$1,Innova[[Ticker]:[Weight]],2,FALSE),0%)</f>
        <v>0</v>
      </c>
      <c r="AHX4" s="179">
        <f>IFERROR(VLOOKUP(AHX$1,Innova[[Ticker]:[Weight]],2,FALSE),0%)</f>
        <v>0</v>
      </c>
      <c r="AHY4" s="179">
        <f>IFERROR(VLOOKUP(AHY$1,Innova[[Ticker]:[Weight]],2,FALSE),0%)</f>
        <v>0</v>
      </c>
      <c r="AHZ4" s="179">
        <f>IFERROR(VLOOKUP(AHZ$1,Innova[[Ticker]:[Weight]],2,FALSE),0%)</f>
        <v>0</v>
      </c>
      <c r="AIA4" s="179">
        <f>IFERROR(VLOOKUP(AIA$1,Innova[[Ticker]:[Weight]],2,FALSE),0%)</f>
        <v>0</v>
      </c>
      <c r="AIB4" s="179">
        <f>IFERROR(VLOOKUP(AIB$1,Innova[[Ticker]:[Weight]],2,FALSE),0%)</f>
        <v>0</v>
      </c>
      <c r="AIC4" s="179">
        <f>IFERROR(VLOOKUP(AIC$1,Innova[[Ticker]:[Weight]],2,FALSE),0%)</f>
        <v>0</v>
      </c>
      <c r="AID4" s="179">
        <f>IFERROR(VLOOKUP(AID$1,Innova[[Ticker]:[Weight]],2,FALSE),0%)</f>
        <v>0</v>
      </c>
      <c r="AIE4" s="179">
        <f>IFERROR(VLOOKUP(AIE$1,Innova[[Ticker]:[Weight]],2,FALSE),0%)</f>
        <v>0</v>
      </c>
      <c r="AIF4" s="179">
        <f>IFERROR(VLOOKUP(AIF$1,Innova[[Ticker]:[Weight]],2,FALSE),0%)</f>
        <v>0</v>
      </c>
      <c r="AIG4" s="179">
        <f>IFERROR(VLOOKUP(AIG$1,Innova[[Ticker]:[Weight]],2,FALSE),0%)</f>
        <v>0</v>
      </c>
      <c r="AIH4" s="179">
        <f>IFERROR(VLOOKUP(AIH$1,Innova[[Ticker]:[Weight]],2,FALSE),0%)</f>
        <v>0</v>
      </c>
      <c r="AII4" s="179">
        <f>IFERROR(VLOOKUP(AII$1,Innova[[Ticker]:[Weight]],2,FALSE),0%)</f>
        <v>0</v>
      </c>
      <c r="AIJ4" s="179">
        <f>IFERROR(VLOOKUP(AIJ$1,Innova[[Ticker]:[Weight]],2,FALSE),0%)</f>
        <v>0</v>
      </c>
      <c r="AIK4" s="179">
        <f>IFERROR(VLOOKUP(AIK$1,Innova[[Ticker]:[Weight]],2,FALSE),0%)</f>
        <v>0</v>
      </c>
      <c r="AIL4" s="179">
        <f>IFERROR(VLOOKUP(AIL$1,Innova[[Ticker]:[Weight]],2,FALSE),0%)</f>
        <v>0</v>
      </c>
      <c r="AIM4" s="179">
        <f>IFERROR(VLOOKUP(AIM$1,Innova[[Ticker]:[Weight]],2,FALSE),0%)</f>
        <v>0</v>
      </c>
      <c r="AIN4" s="179">
        <f>IFERROR(VLOOKUP(AIN$1,Innova[[Ticker]:[Weight]],2,FALSE),0%)</f>
        <v>0</v>
      </c>
      <c r="AIO4" s="179">
        <f>IFERROR(VLOOKUP(AIO$1,Innova[[Ticker]:[Weight]],2,FALSE),0%)</f>
        <v>0</v>
      </c>
      <c r="AIP4" s="179">
        <f>IFERROR(VLOOKUP(AIP$1,Innova[[Ticker]:[Weight]],2,FALSE),0%)</f>
        <v>0</v>
      </c>
      <c r="AIQ4" s="179">
        <f>IFERROR(VLOOKUP(AIQ$1,Innova[[Ticker]:[Weight]],2,FALSE),0%)</f>
        <v>0</v>
      </c>
      <c r="AIR4" s="179">
        <f>IFERROR(VLOOKUP(AIR$1,Innova[[Ticker]:[Weight]],2,FALSE),0%)</f>
        <v>0</v>
      </c>
      <c r="AIS4" s="179">
        <f>IFERROR(VLOOKUP(AIS$1,Innova[[Ticker]:[Weight]],2,FALSE),0%)</f>
        <v>0</v>
      </c>
      <c r="AIT4" s="179">
        <f>IFERROR(VLOOKUP(AIT$1,Innova[[Ticker]:[Weight]],2,FALSE),0%)</f>
        <v>0</v>
      </c>
      <c r="AIU4" s="179">
        <f>IFERROR(VLOOKUP(AIU$1,Innova[[Ticker]:[Weight]],2,FALSE),0%)</f>
        <v>0</v>
      </c>
      <c r="AIV4" s="179">
        <f>IFERROR(VLOOKUP(AIV$1,Innova[[Ticker]:[Weight]],2,FALSE),0%)</f>
        <v>0</v>
      </c>
      <c r="AIW4" s="179">
        <f>IFERROR(VLOOKUP(AIW$1,Innova[[Ticker]:[Weight]],2,FALSE),0%)</f>
        <v>0</v>
      </c>
      <c r="AIX4" s="179">
        <f>IFERROR(VLOOKUP(AIX$1,Innova[[Ticker]:[Weight]],2,FALSE),0%)</f>
        <v>0</v>
      </c>
      <c r="AIY4" s="179">
        <f>IFERROR(VLOOKUP(AIY$1,Innova[[Ticker]:[Weight]],2,FALSE),0%)</f>
        <v>0</v>
      </c>
      <c r="AIZ4" s="179">
        <f>IFERROR(VLOOKUP(AIZ$1,Innova[[Ticker]:[Weight]],2,FALSE),0%)</f>
        <v>0</v>
      </c>
      <c r="AJA4" s="179">
        <f>IFERROR(VLOOKUP(AJA$1,Innova[[Ticker]:[Weight]],2,FALSE),0%)</f>
        <v>0</v>
      </c>
      <c r="AJB4" s="179">
        <f>IFERROR(VLOOKUP(AJB$1,Innova[[Ticker]:[Weight]],2,FALSE),0%)</f>
        <v>0</v>
      </c>
      <c r="AJC4" s="179">
        <f>IFERROR(VLOOKUP(AJC$1,Innova[[Ticker]:[Weight]],2,FALSE),0%)</f>
        <v>0</v>
      </c>
      <c r="AJD4" s="179">
        <f>IFERROR(VLOOKUP(AJD$1,Innova[[Ticker]:[Weight]],2,FALSE),0%)</f>
        <v>0</v>
      </c>
      <c r="AJE4" s="179">
        <f>IFERROR(VLOOKUP(AJE$1,Innova[[Ticker]:[Weight]],2,FALSE),0%)</f>
        <v>0</v>
      </c>
      <c r="AJF4" s="179">
        <f>IFERROR(VLOOKUP(AJF$1,Innova[[Ticker]:[Weight]],2,FALSE),0%)</f>
        <v>0</v>
      </c>
      <c r="AJG4" s="179">
        <f>IFERROR(VLOOKUP(AJG$1,Innova[[Ticker]:[Weight]],2,FALSE),0%)</f>
        <v>0</v>
      </c>
      <c r="AJH4" s="179">
        <f>IFERROR(VLOOKUP(AJH$1,Innova[[Ticker]:[Weight]],2,FALSE),0%)</f>
        <v>0</v>
      </c>
      <c r="AJI4" s="179">
        <f>IFERROR(VLOOKUP(AJI$1,Innova[[Ticker]:[Weight]],2,FALSE),0%)</f>
        <v>0</v>
      </c>
      <c r="AJJ4" s="179">
        <f>IFERROR(VLOOKUP(AJJ$1,Innova[[Ticker]:[Weight]],2,FALSE),0%)</f>
        <v>0</v>
      </c>
      <c r="AJK4" s="179">
        <f>IFERROR(VLOOKUP(AJK$1,Innova[[Ticker]:[Weight]],2,FALSE),0%)</f>
        <v>0</v>
      </c>
      <c r="AJL4" s="179">
        <f>IFERROR(VLOOKUP(AJL$1,Innova[[Ticker]:[Weight]],2,FALSE),0%)</f>
        <v>0</v>
      </c>
      <c r="AJM4" s="179">
        <f>IFERROR(VLOOKUP(AJM$1,Innova[[Ticker]:[Weight]],2,FALSE),0%)</f>
        <v>0</v>
      </c>
      <c r="AJN4" s="179">
        <f>IFERROR(VLOOKUP(AJN$1,Innova[[Ticker]:[Weight]],2,FALSE),0%)</f>
        <v>0</v>
      </c>
      <c r="AJO4" s="179">
        <f>IFERROR(VLOOKUP(AJO$1,Innova[[Ticker]:[Weight]],2,FALSE),0%)</f>
        <v>0</v>
      </c>
      <c r="AJP4" s="179">
        <f>IFERROR(VLOOKUP(AJP$1,Innova[[Ticker]:[Weight]],2,FALSE),0%)</f>
        <v>0</v>
      </c>
      <c r="AJQ4" s="179">
        <f>IFERROR(VLOOKUP(AJQ$1,Innova[[Ticker]:[Weight]],2,FALSE),0%)</f>
        <v>0</v>
      </c>
      <c r="AJR4" s="179">
        <f>IFERROR(VLOOKUP(AJR$1,Innova[[Ticker]:[Weight]],2,FALSE),0%)</f>
        <v>0</v>
      </c>
      <c r="AJS4" s="179">
        <f>IFERROR(VLOOKUP(AJS$1,Innova[[Ticker]:[Weight]],2,FALSE),0%)</f>
        <v>0</v>
      </c>
      <c r="AJT4" s="179">
        <f>IFERROR(VLOOKUP(AJT$1,Innova[[Ticker]:[Weight]],2,FALSE),0%)</f>
        <v>0</v>
      </c>
      <c r="AJU4" s="179">
        <f>IFERROR(VLOOKUP(AJU$1,Innova[[Ticker]:[Weight]],2,FALSE),0%)</f>
        <v>0</v>
      </c>
      <c r="AJV4" s="179">
        <f>IFERROR(VLOOKUP(AJV$1,Innova[[Ticker]:[Weight]],2,FALSE),0%)</f>
        <v>0</v>
      </c>
      <c r="AJW4" s="179">
        <f>IFERROR(VLOOKUP(AJW$1,Innova[[Ticker]:[Weight]],2,FALSE),0%)</f>
        <v>0</v>
      </c>
      <c r="AJX4" s="179">
        <f>IFERROR(VLOOKUP(AJX$1,Innova[[Ticker]:[Weight]],2,FALSE),0%)</f>
        <v>0</v>
      </c>
      <c r="AJY4" s="179">
        <f>IFERROR(VLOOKUP(AJY$1,Innova[[Ticker]:[Weight]],2,FALSE),0%)</f>
        <v>0</v>
      </c>
      <c r="AJZ4" s="179">
        <f>IFERROR(VLOOKUP(AJZ$1,Innova[[Ticker]:[Weight]],2,FALSE),0%)</f>
        <v>0</v>
      </c>
      <c r="AKA4" s="179">
        <f>IFERROR(VLOOKUP(AKA$1,Innova[[Ticker]:[Weight]],2,FALSE),0%)</f>
        <v>0</v>
      </c>
      <c r="AKB4" s="179">
        <f>IFERROR(VLOOKUP(AKB$1,Innova[[Ticker]:[Weight]],2,FALSE),0%)</f>
        <v>0</v>
      </c>
      <c r="AKC4" s="179">
        <f>IFERROR(VLOOKUP(AKC$1,Innova[[Ticker]:[Weight]],2,FALSE),0%)</f>
        <v>0</v>
      </c>
      <c r="AKD4" s="179">
        <f>IFERROR(VLOOKUP(AKD$1,Innova[[Ticker]:[Weight]],2,FALSE),0%)</f>
        <v>0</v>
      </c>
      <c r="AKE4" s="179">
        <f>IFERROR(VLOOKUP(AKE$1,Innova[[Ticker]:[Weight]],2,FALSE),0%)</f>
        <v>0</v>
      </c>
      <c r="AKF4" s="179">
        <f>IFERROR(VLOOKUP(AKF$1,Innova[[Ticker]:[Weight]],2,FALSE),0%)</f>
        <v>0</v>
      </c>
      <c r="AKG4" s="179">
        <f>IFERROR(VLOOKUP(AKG$1,Innova[[Ticker]:[Weight]],2,FALSE),0%)</f>
        <v>0</v>
      </c>
      <c r="AKH4" s="179">
        <f>IFERROR(VLOOKUP(AKH$1,Innova[[Ticker]:[Weight]],2,FALSE),0%)</f>
        <v>0</v>
      </c>
      <c r="AKI4" s="179">
        <f>IFERROR(VLOOKUP(AKI$1,Innova[[Ticker]:[Weight]],2,FALSE),0%)</f>
        <v>0</v>
      </c>
      <c r="AKJ4" s="179">
        <f>IFERROR(VLOOKUP(AKJ$1,Innova[[Ticker]:[Weight]],2,FALSE),0%)</f>
        <v>0</v>
      </c>
      <c r="AKK4" s="179">
        <f>IFERROR(VLOOKUP(AKK$1,Innova[[Ticker]:[Weight]],2,FALSE),0%)</f>
        <v>0</v>
      </c>
      <c r="AKL4" s="179">
        <f>IFERROR(VLOOKUP(AKL$1,Innova[[Ticker]:[Weight]],2,FALSE),0%)</f>
        <v>0</v>
      </c>
      <c r="AKM4" s="179">
        <f>IFERROR(VLOOKUP(AKM$1,Innova[[Ticker]:[Weight]],2,FALSE),0%)</f>
        <v>0</v>
      </c>
      <c r="AKN4" s="179">
        <f>IFERROR(VLOOKUP(AKN$1,Innova[[Ticker]:[Weight]],2,FALSE),0%)</f>
        <v>0</v>
      </c>
      <c r="AKO4" s="179">
        <f>IFERROR(VLOOKUP(AKO$1,Innova[[Ticker]:[Weight]],2,FALSE),0%)</f>
        <v>0</v>
      </c>
      <c r="AKP4" s="179">
        <f>IFERROR(VLOOKUP(AKP$1,Innova[[Ticker]:[Weight]],2,FALSE),0%)</f>
        <v>0</v>
      </c>
      <c r="AKQ4" s="179">
        <f>IFERROR(VLOOKUP(AKQ$1,Innova[[Ticker]:[Weight]],2,FALSE),0%)</f>
        <v>0</v>
      </c>
      <c r="AKR4" s="179">
        <f>IFERROR(VLOOKUP(AKR$1,Innova[[Ticker]:[Weight]],2,FALSE),0%)</f>
        <v>0</v>
      </c>
      <c r="AKS4" s="179">
        <f>IFERROR(VLOOKUP(AKS$1,Innova[[Ticker]:[Weight]],2,FALSE),0%)</f>
        <v>0</v>
      </c>
      <c r="AKT4" s="179">
        <f>IFERROR(VLOOKUP(AKT$1,Innova[[Ticker]:[Weight]],2,FALSE),0%)</f>
        <v>0</v>
      </c>
      <c r="AKU4" s="179">
        <f>IFERROR(VLOOKUP(AKU$1,Innova[[Ticker]:[Weight]],2,FALSE),0%)</f>
        <v>0</v>
      </c>
      <c r="AKV4" s="179">
        <f>IFERROR(VLOOKUP(AKV$1,Innova[[Ticker]:[Weight]],2,FALSE),0%)</f>
        <v>0</v>
      </c>
      <c r="AKW4" s="179">
        <f>IFERROR(VLOOKUP(AKW$1,Innova[[Ticker]:[Weight]],2,FALSE),0%)</f>
        <v>0</v>
      </c>
      <c r="AKX4" s="179">
        <f>IFERROR(VLOOKUP(AKX$1,Innova[[Ticker]:[Weight]],2,FALSE),0%)</f>
        <v>0</v>
      </c>
      <c r="AKY4" s="179">
        <f>IFERROR(VLOOKUP(AKY$1,Innova[[Ticker]:[Weight]],2,FALSE),0%)</f>
        <v>0</v>
      </c>
      <c r="AKZ4" s="179">
        <f>IFERROR(VLOOKUP(AKZ$1,Innova[[Ticker]:[Weight]],2,FALSE),0%)</f>
        <v>0</v>
      </c>
      <c r="ALA4" s="179">
        <f>IFERROR(VLOOKUP(ALA$1,Innova[[Ticker]:[Weight]],2,FALSE),0%)</f>
        <v>0</v>
      </c>
      <c r="ALB4" s="179">
        <f>IFERROR(VLOOKUP(ALB$1,Innova[[Ticker]:[Weight]],2,FALSE),0%)</f>
        <v>0</v>
      </c>
      <c r="ALC4" s="179">
        <f>IFERROR(VLOOKUP(ALC$1,Innova[[Ticker]:[Weight]],2,FALSE),0%)</f>
        <v>0</v>
      </c>
      <c r="ALD4" s="179">
        <f>IFERROR(VLOOKUP(ALD$1,Innova[[Ticker]:[Weight]],2,FALSE),0%)</f>
        <v>0</v>
      </c>
      <c r="ALE4" s="179">
        <f>IFERROR(VLOOKUP(ALE$1,Innova[[Ticker]:[Weight]],2,FALSE),0%)</f>
        <v>0</v>
      </c>
      <c r="ALF4" s="179">
        <f>IFERROR(VLOOKUP(ALF$1,Innova[[Ticker]:[Weight]],2,FALSE),0%)</f>
        <v>0</v>
      </c>
      <c r="ALG4" s="179">
        <f>IFERROR(VLOOKUP(ALG$1,Innova[[Ticker]:[Weight]],2,FALSE),0%)</f>
        <v>0</v>
      </c>
      <c r="ALH4" s="179">
        <f>IFERROR(VLOOKUP(ALH$1,Innova[[Ticker]:[Weight]],2,FALSE),0%)</f>
        <v>0</v>
      </c>
      <c r="ALI4" s="179">
        <f>IFERROR(VLOOKUP(ALI$1,Innova[[Ticker]:[Weight]],2,FALSE),0%)</f>
        <v>0</v>
      </c>
      <c r="ALJ4" s="179">
        <f>IFERROR(VLOOKUP(ALJ$1,Innova[[Ticker]:[Weight]],2,FALSE),0%)</f>
        <v>0</v>
      </c>
      <c r="ALK4" s="179">
        <f>IFERROR(VLOOKUP(ALK$1,Innova[[Ticker]:[Weight]],2,FALSE),0%)</f>
        <v>0</v>
      </c>
      <c r="ALL4" s="179">
        <f>IFERROR(VLOOKUP(ALL$1,Innova[[Ticker]:[Weight]],2,FALSE),0%)</f>
        <v>0</v>
      </c>
      <c r="ALM4" s="179">
        <f>IFERROR(VLOOKUP(ALM$1,Innova[[Ticker]:[Weight]],2,FALSE),0%)</f>
        <v>0</v>
      </c>
      <c r="ALN4" s="179">
        <f>IFERROR(VLOOKUP(ALN$1,Innova[[Ticker]:[Weight]],2,FALSE),0%)</f>
        <v>0</v>
      </c>
      <c r="ALO4" s="179">
        <f>IFERROR(VLOOKUP(ALO$1,Innova[[Ticker]:[Weight]],2,FALSE),0%)</f>
        <v>0</v>
      </c>
      <c r="ALP4" s="179">
        <f>IFERROR(VLOOKUP(ALP$1,Innova[[Ticker]:[Weight]],2,FALSE),0%)</f>
        <v>0</v>
      </c>
      <c r="ALQ4" s="179">
        <f>IFERROR(VLOOKUP(ALQ$1,Innova[[Ticker]:[Weight]],2,FALSE),0%)</f>
        <v>0</v>
      </c>
      <c r="ALR4" s="179">
        <f>IFERROR(VLOOKUP(ALR$1,Innova[[Ticker]:[Weight]],2,FALSE),0%)</f>
        <v>0</v>
      </c>
      <c r="ALS4" s="179">
        <f>IFERROR(VLOOKUP(ALS$1,Innova[[Ticker]:[Weight]],2,FALSE),0%)</f>
        <v>0</v>
      </c>
      <c r="ALT4" s="179">
        <f>IFERROR(VLOOKUP(ALT$1,Innova[[Ticker]:[Weight]],2,FALSE),0%)</f>
        <v>0</v>
      </c>
      <c r="ALU4" s="179">
        <f>IFERROR(VLOOKUP(ALU$1,Innova[[Ticker]:[Weight]],2,FALSE),0%)</f>
        <v>0</v>
      </c>
      <c r="ALV4" s="179">
        <f>IFERROR(VLOOKUP(ALV$1,Innova[[Ticker]:[Weight]],2,FALSE),0%)</f>
        <v>0</v>
      </c>
      <c r="ALW4" s="179">
        <f>IFERROR(VLOOKUP(ALW$1,Innova[[Ticker]:[Weight]],2,FALSE),0%)</f>
        <v>0</v>
      </c>
      <c r="ALX4" s="179">
        <f>IFERROR(VLOOKUP(ALX$1,Innova[[Ticker]:[Weight]],2,FALSE),0%)</f>
        <v>0</v>
      </c>
      <c r="ALY4" s="179">
        <f>IFERROR(VLOOKUP(ALY$1,Innova[[Ticker]:[Weight]],2,FALSE),0%)</f>
        <v>0</v>
      </c>
      <c r="ALZ4" s="179">
        <f>IFERROR(VLOOKUP(ALZ$1,Innova[[Ticker]:[Weight]],2,FALSE),0%)</f>
        <v>0</v>
      </c>
      <c r="AMA4" s="179">
        <f>IFERROR(VLOOKUP(AMA$1,Innova[[Ticker]:[Weight]],2,FALSE),0%)</f>
        <v>0</v>
      </c>
      <c r="AMB4" s="179">
        <f>IFERROR(VLOOKUP(AMB$1,Innova[[Ticker]:[Weight]],2,FALSE),0%)</f>
        <v>0</v>
      </c>
      <c r="AMC4" s="179">
        <f>IFERROR(VLOOKUP(AMC$1,Innova[[Ticker]:[Weight]],2,FALSE),0%)</f>
        <v>0</v>
      </c>
      <c r="AMD4" s="179">
        <f>IFERROR(VLOOKUP(AMD$1,Innova[[Ticker]:[Weight]],2,FALSE),0%)</f>
        <v>0</v>
      </c>
      <c r="AME4" s="179">
        <f>IFERROR(VLOOKUP(AME$1,Innova[[Ticker]:[Weight]],2,FALSE),0%)</f>
        <v>0</v>
      </c>
      <c r="AMF4" s="179">
        <f>IFERROR(VLOOKUP(AMF$1,Innova[[Ticker]:[Weight]],2,FALSE),0%)</f>
        <v>0</v>
      </c>
      <c r="AMG4" s="179">
        <f>IFERROR(VLOOKUP(AMG$1,Innova[[Ticker]:[Weight]],2,FALSE),0%)</f>
        <v>0</v>
      </c>
      <c r="AMH4" s="179">
        <f>IFERROR(VLOOKUP(AMH$1,Innova[[Ticker]:[Weight]],2,FALSE),0%)</f>
        <v>0</v>
      </c>
      <c r="AMI4" s="179">
        <f>IFERROR(VLOOKUP(AMI$1,Innova[[Ticker]:[Weight]],2,FALSE),0%)</f>
        <v>0</v>
      </c>
      <c r="AMJ4" s="179">
        <f>IFERROR(VLOOKUP(AMJ$1,Innova[[Ticker]:[Weight]],2,FALSE),0%)</f>
        <v>0</v>
      </c>
      <c r="AMK4" s="179">
        <f>IFERROR(VLOOKUP(AMK$1,Innova[[Ticker]:[Weight]],2,FALSE),0%)</f>
        <v>0</v>
      </c>
      <c r="AML4" s="179">
        <f>IFERROR(VLOOKUP(AML$1,Innova[[Ticker]:[Weight]],2,FALSE),0%)</f>
        <v>0</v>
      </c>
      <c r="AMM4" s="179">
        <f>IFERROR(VLOOKUP(AMM$1,Innova[[Ticker]:[Weight]],2,FALSE),0%)</f>
        <v>0</v>
      </c>
      <c r="AMN4" s="179">
        <f>IFERROR(VLOOKUP(AMN$1,Innova[[Ticker]:[Weight]],2,FALSE),0%)</f>
        <v>0</v>
      </c>
      <c r="AMO4" s="179">
        <f>IFERROR(VLOOKUP(AMO$1,Innova[[Ticker]:[Weight]],2,FALSE),0%)</f>
        <v>0</v>
      </c>
      <c r="AMP4" s="179">
        <f>IFERROR(VLOOKUP(AMP$1,Innova[[Ticker]:[Weight]],2,FALSE),0%)</f>
        <v>0</v>
      </c>
      <c r="AMQ4" s="179">
        <f>IFERROR(VLOOKUP(AMQ$1,Innova[[Ticker]:[Weight]],2,FALSE),0%)</f>
        <v>0</v>
      </c>
      <c r="AMR4" s="179">
        <f>IFERROR(VLOOKUP(AMR$1,Innova[[Ticker]:[Weight]],2,FALSE),0%)</f>
        <v>0</v>
      </c>
      <c r="AMS4" s="179">
        <f>IFERROR(VLOOKUP(AMS$1,Innova[[Ticker]:[Weight]],2,FALSE),0%)</f>
        <v>0</v>
      </c>
      <c r="AMT4" s="179">
        <f>IFERROR(VLOOKUP(AMT$1,Innova[[Ticker]:[Weight]],2,FALSE),0%)</f>
        <v>0</v>
      </c>
      <c r="AMU4" s="179">
        <f>IFERROR(VLOOKUP(AMU$1,Innova[[Ticker]:[Weight]],2,FALSE),0%)</f>
        <v>0</v>
      </c>
      <c r="AMV4" s="179">
        <f>IFERROR(VLOOKUP(AMV$1,Innova[[Ticker]:[Weight]],2,FALSE),0%)</f>
        <v>0</v>
      </c>
      <c r="AMW4" s="179">
        <f>IFERROR(VLOOKUP(AMW$1,Innova[[Ticker]:[Weight]],2,FALSE),0%)</f>
        <v>0</v>
      </c>
      <c r="AMX4" s="179">
        <f>IFERROR(VLOOKUP(AMX$1,Innova[[Ticker]:[Weight]],2,FALSE),0%)</f>
        <v>0</v>
      </c>
      <c r="AMY4" s="179">
        <f>IFERROR(VLOOKUP(AMY$1,Innova[[Ticker]:[Weight]],2,FALSE),0%)</f>
        <v>0</v>
      </c>
      <c r="AMZ4" s="179">
        <f>IFERROR(VLOOKUP(AMZ$1,Innova[[Ticker]:[Weight]],2,FALSE),0%)</f>
        <v>0</v>
      </c>
      <c r="ANA4" s="179">
        <f>IFERROR(VLOOKUP(ANA$1,Innova[[Ticker]:[Weight]],2,FALSE),0%)</f>
        <v>0</v>
      </c>
      <c r="ANB4" s="179">
        <f>IFERROR(VLOOKUP(ANB$1,Innova[[Ticker]:[Weight]],2,FALSE),0%)</f>
        <v>0</v>
      </c>
      <c r="ANC4" s="179">
        <f>IFERROR(VLOOKUP(ANC$1,Innova[[Ticker]:[Weight]],2,FALSE),0%)</f>
        <v>0</v>
      </c>
      <c r="AND4" s="179">
        <f>IFERROR(VLOOKUP(AND$1,Innova[[Ticker]:[Weight]],2,FALSE),0%)</f>
        <v>0</v>
      </c>
      <c r="ANE4" s="179">
        <f>IFERROR(VLOOKUP(ANE$1,Innova[[Ticker]:[Weight]],2,FALSE),0%)</f>
        <v>0</v>
      </c>
      <c r="ANF4" s="179">
        <f>IFERROR(VLOOKUP(ANF$1,Innova[[Ticker]:[Weight]],2,FALSE),0%)</f>
        <v>0</v>
      </c>
      <c r="ANG4" s="179">
        <f>IFERROR(VLOOKUP(ANG$1,Innova[[Ticker]:[Weight]],2,FALSE),0%)</f>
        <v>0</v>
      </c>
      <c r="ANH4" s="179">
        <f>IFERROR(VLOOKUP(ANH$1,Innova[[Ticker]:[Weight]],2,FALSE),0%)</f>
        <v>0</v>
      </c>
      <c r="ANI4" s="179">
        <f>IFERROR(VLOOKUP(ANI$1,Innova[[Ticker]:[Weight]],2,FALSE),0%)</f>
        <v>0</v>
      </c>
      <c r="ANJ4" s="179">
        <f>IFERROR(VLOOKUP(ANJ$1,Innova[[Ticker]:[Weight]],2,FALSE),0%)</f>
        <v>0</v>
      </c>
      <c r="ANK4" s="179">
        <f>IFERROR(VLOOKUP(ANK$1,Innova[[Ticker]:[Weight]],2,FALSE),0%)</f>
        <v>0</v>
      </c>
      <c r="ANL4" s="179">
        <f>IFERROR(VLOOKUP(ANL$1,Innova[[Ticker]:[Weight]],2,FALSE),0%)</f>
        <v>0</v>
      </c>
      <c r="ANM4" s="179">
        <f>IFERROR(VLOOKUP(ANM$1,Innova[[Ticker]:[Weight]],2,FALSE),0%)</f>
        <v>0</v>
      </c>
      <c r="ANN4" s="179">
        <f>IFERROR(VLOOKUP(ANN$1,Innova[[Ticker]:[Weight]],2,FALSE),0%)</f>
        <v>0</v>
      </c>
      <c r="ANO4" s="179">
        <f>IFERROR(VLOOKUP(ANO$1,Innova[[Ticker]:[Weight]],2,FALSE),0%)</f>
        <v>0</v>
      </c>
      <c r="ANP4" s="179">
        <f>IFERROR(VLOOKUP(ANP$1,Innova[[Ticker]:[Weight]],2,FALSE),0%)</f>
        <v>0</v>
      </c>
      <c r="ANQ4" s="179">
        <f>IFERROR(VLOOKUP(ANQ$1,Innova[[Ticker]:[Weight]],2,FALSE),0%)</f>
        <v>0</v>
      </c>
      <c r="ANR4" s="179">
        <f>IFERROR(VLOOKUP(ANR$1,Innova[[Ticker]:[Weight]],2,FALSE),0%)</f>
        <v>0</v>
      </c>
      <c r="ANS4" s="179">
        <f>IFERROR(VLOOKUP(ANS$1,Innova[[Ticker]:[Weight]],2,FALSE),0%)</f>
        <v>0</v>
      </c>
      <c r="ANT4" s="179">
        <f>IFERROR(VLOOKUP(ANT$1,Innova[[Ticker]:[Weight]],2,FALSE),0%)</f>
        <v>0</v>
      </c>
      <c r="ANU4" s="179">
        <f>IFERROR(VLOOKUP(ANU$1,Innova[[Ticker]:[Weight]],2,FALSE),0%)</f>
        <v>0</v>
      </c>
      <c r="ANV4" s="179">
        <f>IFERROR(VLOOKUP(ANV$1,Innova[[Ticker]:[Weight]],2,FALSE),0%)</f>
        <v>0</v>
      </c>
      <c r="ANW4" s="179">
        <f>IFERROR(VLOOKUP(ANW$1,Innova[[Ticker]:[Weight]],2,FALSE),0%)</f>
        <v>0</v>
      </c>
      <c r="ANX4" s="179">
        <f>IFERROR(VLOOKUP(ANX$1,Innova[[Ticker]:[Weight]],2,FALSE),0%)</f>
        <v>0</v>
      </c>
      <c r="ANY4" s="179">
        <f>IFERROR(VLOOKUP(ANY$1,Innova[[Ticker]:[Weight]],2,FALSE),0%)</f>
        <v>0</v>
      </c>
      <c r="ANZ4" s="179">
        <f>IFERROR(VLOOKUP(ANZ$1,Innova[[Ticker]:[Weight]],2,FALSE),0%)</f>
        <v>0</v>
      </c>
      <c r="AOA4" s="179">
        <f>IFERROR(VLOOKUP(AOA$1,Innova[[Ticker]:[Weight]],2,FALSE),0%)</f>
        <v>0</v>
      </c>
      <c r="AOB4" s="179">
        <f>IFERROR(VLOOKUP(AOB$1,Innova[[Ticker]:[Weight]],2,FALSE),0%)</f>
        <v>0</v>
      </c>
      <c r="AOC4" s="179">
        <f>IFERROR(VLOOKUP(AOC$1,Innova[[Ticker]:[Weight]],2,FALSE),0%)</f>
        <v>0</v>
      </c>
      <c r="AOD4" s="179">
        <f>IFERROR(VLOOKUP(AOD$1,Innova[[Ticker]:[Weight]],2,FALSE),0%)</f>
        <v>0</v>
      </c>
      <c r="AOE4" s="179">
        <f>IFERROR(VLOOKUP(AOE$1,Innova[[Ticker]:[Weight]],2,FALSE),0%)</f>
        <v>0</v>
      </c>
      <c r="AOF4" s="179">
        <f>IFERROR(VLOOKUP(AOF$1,Innova[[Ticker]:[Weight]],2,FALSE),0%)</f>
        <v>0</v>
      </c>
      <c r="AOG4" s="179">
        <f>IFERROR(VLOOKUP(AOG$1,Innova[[Ticker]:[Weight]],2,FALSE),0%)</f>
        <v>0</v>
      </c>
      <c r="AOH4" s="179">
        <f>IFERROR(VLOOKUP(AOH$1,Innova[[Ticker]:[Weight]],2,FALSE),0%)</f>
        <v>0</v>
      </c>
      <c r="AOI4" s="179">
        <f>IFERROR(VLOOKUP(AOI$1,Innova[[Ticker]:[Weight]],2,FALSE),0%)</f>
        <v>0</v>
      </c>
      <c r="AOJ4" s="179">
        <f>IFERROR(VLOOKUP(AOJ$1,Innova[[Ticker]:[Weight]],2,FALSE),0%)</f>
        <v>0</v>
      </c>
      <c r="AOK4" s="179">
        <f>IFERROR(VLOOKUP(AOK$1,Innova[[Ticker]:[Weight]],2,FALSE),0%)</f>
        <v>0</v>
      </c>
      <c r="AOL4" s="179">
        <f>IFERROR(VLOOKUP(AOL$1,Innova[[Ticker]:[Weight]],2,FALSE),0%)</f>
        <v>0</v>
      </c>
      <c r="AOM4" s="179">
        <f>IFERROR(VLOOKUP(AOM$1,Innova[[Ticker]:[Weight]],2,FALSE),0%)</f>
        <v>0</v>
      </c>
      <c r="AON4" s="179">
        <f>IFERROR(VLOOKUP(AON$1,Innova[[Ticker]:[Weight]],2,FALSE),0%)</f>
        <v>0</v>
      </c>
      <c r="AOO4" s="179">
        <f>IFERROR(VLOOKUP(AOO$1,Innova[[Ticker]:[Weight]],2,FALSE),0%)</f>
        <v>0</v>
      </c>
      <c r="AOP4" s="179">
        <f>IFERROR(VLOOKUP(AOP$1,Innova[[Ticker]:[Weight]],2,FALSE),0%)</f>
        <v>0</v>
      </c>
      <c r="AOQ4" s="179">
        <f>IFERROR(VLOOKUP(AOQ$1,Innova[[Ticker]:[Weight]],2,FALSE),0%)</f>
        <v>0</v>
      </c>
      <c r="AOR4" s="179">
        <f>IFERROR(VLOOKUP(AOR$1,Innova[[Ticker]:[Weight]],2,FALSE),0%)</f>
        <v>0</v>
      </c>
      <c r="AOS4" s="179">
        <f>IFERROR(VLOOKUP(AOS$1,Innova[[Ticker]:[Weight]],2,FALSE),0%)</f>
        <v>0</v>
      </c>
      <c r="AOT4" s="179">
        <f>IFERROR(VLOOKUP(AOT$1,Innova[[Ticker]:[Weight]],2,FALSE),0%)</f>
        <v>0</v>
      </c>
      <c r="AOU4" s="179">
        <f>IFERROR(VLOOKUP(AOU$1,Innova[[Ticker]:[Weight]],2,FALSE),0%)</f>
        <v>0</v>
      </c>
      <c r="AOV4" s="179">
        <f>IFERROR(VLOOKUP(AOV$1,Innova[[Ticker]:[Weight]],2,FALSE),0%)</f>
        <v>0</v>
      </c>
      <c r="AOW4" s="179">
        <f>IFERROR(VLOOKUP(AOW$1,Innova[[Ticker]:[Weight]],2,FALSE),0%)</f>
        <v>0</v>
      </c>
      <c r="AOX4" s="179">
        <f>IFERROR(VLOOKUP(AOX$1,Innova[[Ticker]:[Weight]],2,FALSE),0%)</f>
        <v>0</v>
      </c>
      <c r="AOY4" s="179">
        <f>IFERROR(VLOOKUP(AOY$1,Innova[[Ticker]:[Weight]],2,FALSE),0%)</f>
        <v>0</v>
      </c>
      <c r="AOZ4" s="179">
        <f>IFERROR(VLOOKUP(AOZ$1,Innova[[Ticker]:[Weight]],2,FALSE),0%)</f>
        <v>0</v>
      </c>
      <c r="APA4" s="179">
        <f>IFERROR(VLOOKUP(APA$1,Innova[[Ticker]:[Weight]],2,FALSE),0%)</f>
        <v>0</v>
      </c>
      <c r="APB4" s="179">
        <f>IFERROR(VLOOKUP(APB$1,Innova[[Ticker]:[Weight]],2,FALSE),0%)</f>
        <v>0</v>
      </c>
      <c r="APC4" s="179">
        <f>IFERROR(VLOOKUP(APC$1,Innova[[Ticker]:[Weight]],2,FALSE),0%)</f>
        <v>0</v>
      </c>
      <c r="APD4" s="179">
        <f>IFERROR(VLOOKUP(APD$1,Innova[[Ticker]:[Weight]],2,FALSE),0%)</f>
        <v>0</v>
      </c>
      <c r="APE4" s="179">
        <f>IFERROR(VLOOKUP(APE$1,Innova[[Ticker]:[Weight]],2,FALSE),0%)</f>
        <v>0</v>
      </c>
      <c r="APF4" s="179">
        <f>IFERROR(VLOOKUP(APF$1,Innova[[Ticker]:[Weight]],2,FALSE),0%)</f>
        <v>0</v>
      </c>
      <c r="APG4" s="179">
        <f>IFERROR(VLOOKUP(APG$1,Innova[[Ticker]:[Weight]],2,FALSE),0%)</f>
        <v>0</v>
      </c>
      <c r="APH4" s="179">
        <f>IFERROR(VLOOKUP(APH$1,Innova[[Ticker]:[Weight]],2,FALSE),0%)</f>
        <v>0</v>
      </c>
      <c r="API4" s="179">
        <f>IFERROR(VLOOKUP(API$1,Innova[[Ticker]:[Weight]],2,FALSE),0%)</f>
        <v>0</v>
      </c>
      <c r="APJ4" s="179">
        <f>IFERROR(VLOOKUP(APJ$1,Innova[[Ticker]:[Weight]],2,FALSE),0%)</f>
        <v>0</v>
      </c>
      <c r="APK4" s="179">
        <f>IFERROR(VLOOKUP(APK$1,Innova[[Ticker]:[Weight]],2,FALSE),0%)</f>
        <v>0</v>
      </c>
      <c r="APL4" s="179">
        <f>IFERROR(VLOOKUP(APL$1,Innova[[Ticker]:[Weight]],2,FALSE),0%)</f>
        <v>0</v>
      </c>
      <c r="APM4" s="179">
        <f>IFERROR(VLOOKUP(APM$1,Innova[[Ticker]:[Weight]],2,FALSE),0%)</f>
        <v>0</v>
      </c>
      <c r="APN4" s="179">
        <f>IFERROR(VLOOKUP(APN$1,Innova[[Ticker]:[Weight]],2,FALSE),0%)</f>
        <v>0</v>
      </c>
      <c r="APO4" s="179">
        <f>IFERROR(VLOOKUP(APO$1,Innova[[Ticker]:[Weight]],2,FALSE),0%)</f>
        <v>0</v>
      </c>
      <c r="APP4" s="179">
        <f>IFERROR(VLOOKUP(APP$1,Innova[[Ticker]:[Weight]],2,FALSE),0%)</f>
        <v>0</v>
      </c>
      <c r="APQ4" s="179">
        <f>IFERROR(VLOOKUP(APQ$1,Innova[[Ticker]:[Weight]],2,FALSE),0%)</f>
        <v>0</v>
      </c>
      <c r="APR4" s="179">
        <f>IFERROR(VLOOKUP(APR$1,Innova[[Ticker]:[Weight]],2,FALSE),0%)</f>
        <v>0</v>
      </c>
      <c r="APS4" s="179">
        <f>IFERROR(VLOOKUP(APS$1,Innova[[Ticker]:[Weight]],2,FALSE),0%)</f>
        <v>0</v>
      </c>
      <c r="APT4" s="179">
        <f>IFERROR(VLOOKUP(APT$1,Innova[[Ticker]:[Weight]],2,FALSE),0%)</f>
        <v>0</v>
      </c>
      <c r="APU4" s="179">
        <f>IFERROR(VLOOKUP(APU$1,Innova[[Ticker]:[Weight]],2,FALSE),0%)</f>
        <v>0</v>
      </c>
      <c r="APV4" s="179">
        <f>IFERROR(VLOOKUP(APV$1,Innova[[Ticker]:[Weight]],2,FALSE),0%)</f>
        <v>0</v>
      </c>
      <c r="APW4" s="179">
        <f>IFERROR(VLOOKUP(APW$1,Innova[[Ticker]:[Weight]],2,FALSE),0%)</f>
        <v>0</v>
      </c>
      <c r="APX4" s="179">
        <f>IFERROR(VLOOKUP(APX$1,Innova[[Ticker]:[Weight]],2,FALSE),0%)</f>
        <v>0</v>
      </c>
      <c r="APY4" s="179">
        <f>IFERROR(VLOOKUP(APY$1,Innova[[Ticker]:[Weight]],2,FALSE),0%)</f>
        <v>0</v>
      </c>
      <c r="APZ4" s="179">
        <f>IFERROR(VLOOKUP(APZ$1,Innova[[Ticker]:[Weight]],2,FALSE),0%)</f>
        <v>0</v>
      </c>
      <c r="AQA4" s="179">
        <f>IFERROR(VLOOKUP(AQA$1,Innova[[Ticker]:[Weight]],2,FALSE),0%)</f>
        <v>0</v>
      </c>
      <c r="AQB4" s="179">
        <f>IFERROR(VLOOKUP(AQB$1,Innova[[Ticker]:[Weight]],2,FALSE),0%)</f>
        <v>0</v>
      </c>
      <c r="AQC4" s="179">
        <f>IFERROR(VLOOKUP(AQC$1,Innova[[Ticker]:[Weight]],2,FALSE),0%)</f>
        <v>0</v>
      </c>
      <c r="AQD4" s="179">
        <f>IFERROR(VLOOKUP(AQD$1,Innova[[Ticker]:[Weight]],2,FALSE),0%)</f>
        <v>0</v>
      </c>
      <c r="AQE4" s="179">
        <f>IFERROR(VLOOKUP(AQE$1,Innova[[Ticker]:[Weight]],2,FALSE),0%)</f>
        <v>0</v>
      </c>
      <c r="AQF4" s="179">
        <f>IFERROR(VLOOKUP(AQF$1,Innova[[Ticker]:[Weight]],2,FALSE),0%)</f>
        <v>0</v>
      </c>
      <c r="AQG4" s="179">
        <f>IFERROR(VLOOKUP(AQG$1,Innova[[Ticker]:[Weight]],2,FALSE),0%)</f>
        <v>0</v>
      </c>
      <c r="AQH4" s="179">
        <f>IFERROR(VLOOKUP(AQH$1,Innova[[Ticker]:[Weight]],2,FALSE),0%)</f>
        <v>0</v>
      </c>
      <c r="AQI4" s="179">
        <f>IFERROR(VLOOKUP(AQI$1,Innova[[Ticker]:[Weight]],2,FALSE),0%)</f>
        <v>0</v>
      </c>
      <c r="AQJ4" s="179">
        <f>IFERROR(VLOOKUP(AQJ$1,Innova[[Ticker]:[Weight]],2,FALSE),0%)</f>
        <v>0</v>
      </c>
      <c r="AQK4" s="179">
        <f>IFERROR(VLOOKUP(AQK$1,Innova[[Ticker]:[Weight]],2,FALSE),0%)</f>
        <v>0</v>
      </c>
      <c r="AQL4" s="179">
        <f>IFERROR(VLOOKUP(AQL$1,Innova[[Ticker]:[Weight]],2,FALSE),0%)</f>
        <v>0</v>
      </c>
      <c r="AQM4" s="179">
        <f>IFERROR(VLOOKUP(AQM$1,Innova[[Ticker]:[Weight]],2,FALSE),0%)</f>
        <v>0</v>
      </c>
      <c r="AQN4" s="179">
        <f>IFERROR(VLOOKUP(AQN$1,Innova[[Ticker]:[Weight]],2,FALSE),0%)</f>
        <v>0</v>
      </c>
      <c r="AQO4" s="179">
        <f>IFERROR(VLOOKUP(AQO$1,Innova[[Ticker]:[Weight]],2,FALSE),0%)</f>
        <v>0</v>
      </c>
      <c r="AQP4" s="179">
        <f>IFERROR(VLOOKUP(AQP$1,Innova[[Ticker]:[Weight]],2,FALSE),0%)</f>
        <v>0</v>
      </c>
      <c r="AQQ4" s="179">
        <f>IFERROR(VLOOKUP(AQQ$1,Innova[[Ticker]:[Weight]],2,FALSE),0%)</f>
        <v>0</v>
      </c>
      <c r="AQR4" s="179">
        <f>IFERROR(VLOOKUP(AQR$1,Innova[[Ticker]:[Weight]],2,FALSE),0%)</f>
        <v>0</v>
      </c>
      <c r="AQS4" s="179">
        <f>IFERROR(VLOOKUP(AQS$1,Innova[[Ticker]:[Weight]],2,FALSE),0%)</f>
        <v>0</v>
      </c>
      <c r="AQT4" s="179">
        <f>IFERROR(VLOOKUP(AQT$1,Innova[[Ticker]:[Weight]],2,FALSE),0%)</f>
        <v>0</v>
      </c>
      <c r="AQU4" s="179">
        <f>IFERROR(VLOOKUP(AQU$1,Innova[[Ticker]:[Weight]],2,FALSE),0%)</f>
        <v>0</v>
      </c>
      <c r="AQV4" s="179">
        <f>IFERROR(VLOOKUP(AQV$1,Innova[[Ticker]:[Weight]],2,FALSE),0%)</f>
        <v>0</v>
      </c>
      <c r="AQW4" s="179">
        <f>IFERROR(VLOOKUP(AQW$1,Innova[[Ticker]:[Weight]],2,FALSE),0%)</f>
        <v>0</v>
      </c>
      <c r="AQX4" s="179">
        <f>IFERROR(VLOOKUP(AQX$1,Innova[[Ticker]:[Weight]],2,FALSE),0%)</f>
        <v>0</v>
      </c>
      <c r="AQY4" s="179">
        <f>IFERROR(VLOOKUP(AQY$1,Innova[[Ticker]:[Weight]],2,FALSE),0%)</f>
        <v>0</v>
      </c>
      <c r="AQZ4" s="179">
        <f>IFERROR(VLOOKUP(AQZ$1,Innova[[Ticker]:[Weight]],2,FALSE),0%)</f>
        <v>0</v>
      </c>
      <c r="ARA4" s="179">
        <f>IFERROR(VLOOKUP(ARA$1,Innova[[Ticker]:[Weight]],2,FALSE),0%)</f>
        <v>0</v>
      </c>
      <c r="ARB4" s="179">
        <f>IFERROR(VLOOKUP(ARB$1,Innova[[Ticker]:[Weight]],2,FALSE),0%)</f>
        <v>0</v>
      </c>
      <c r="ARC4" s="179">
        <f>IFERROR(VLOOKUP(ARC$1,Innova[[Ticker]:[Weight]],2,FALSE),0%)</f>
        <v>0</v>
      </c>
      <c r="ARD4" s="179">
        <f>IFERROR(VLOOKUP(ARD$1,Innova[[Ticker]:[Weight]],2,FALSE),0%)</f>
        <v>0</v>
      </c>
      <c r="ARE4" s="179">
        <f>IFERROR(VLOOKUP(ARE$1,Innova[[Ticker]:[Weight]],2,FALSE),0%)</f>
        <v>0</v>
      </c>
      <c r="ARF4" s="179">
        <f>IFERROR(VLOOKUP(ARF$1,Innova[[Ticker]:[Weight]],2,FALSE),0%)</f>
        <v>0</v>
      </c>
      <c r="ARG4" s="179">
        <f>IFERROR(VLOOKUP(ARG$1,Innova[[Ticker]:[Weight]],2,FALSE),0%)</f>
        <v>0</v>
      </c>
      <c r="ARH4" s="179">
        <f>IFERROR(VLOOKUP(ARH$1,Innova[[Ticker]:[Weight]],2,FALSE),0%)</f>
        <v>0</v>
      </c>
      <c r="ARI4" s="179">
        <f>IFERROR(VLOOKUP(ARI$1,Innova[[Ticker]:[Weight]],2,FALSE),0%)</f>
        <v>0</v>
      </c>
      <c r="ARJ4" s="179">
        <f>IFERROR(VLOOKUP(ARJ$1,Innova[[Ticker]:[Weight]],2,FALSE),0%)</f>
        <v>0</v>
      </c>
      <c r="ARK4" s="179">
        <f>IFERROR(VLOOKUP(ARK$1,Innova[[Ticker]:[Weight]],2,FALSE),0%)</f>
        <v>0</v>
      </c>
      <c r="ARL4" s="179">
        <f>IFERROR(VLOOKUP(ARL$1,Innova[[Ticker]:[Weight]],2,FALSE),0%)</f>
        <v>0</v>
      </c>
      <c r="ARM4" s="179">
        <f>IFERROR(VLOOKUP(ARM$1,Innova[[Ticker]:[Weight]],2,FALSE),0%)</f>
        <v>0</v>
      </c>
      <c r="ARN4" s="179">
        <f>IFERROR(VLOOKUP(ARN$1,Innova[[Ticker]:[Weight]],2,FALSE),0%)</f>
        <v>0</v>
      </c>
      <c r="ARO4" s="179">
        <f>IFERROR(VLOOKUP(ARO$1,Innova[[Ticker]:[Weight]],2,FALSE),0%)</f>
        <v>0</v>
      </c>
      <c r="ARP4" s="179">
        <f>IFERROR(VLOOKUP(ARP$1,Innova[[Ticker]:[Weight]],2,FALSE),0%)</f>
        <v>0</v>
      </c>
      <c r="ARQ4" s="179">
        <f>IFERROR(VLOOKUP(ARQ$1,Innova[[Ticker]:[Weight]],2,FALSE),0%)</f>
        <v>0</v>
      </c>
      <c r="ARR4" s="179">
        <f>IFERROR(VLOOKUP(ARR$1,Innova[[Ticker]:[Weight]],2,FALSE),0%)</f>
        <v>0</v>
      </c>
      <c r="ARS4" s="179">
        <f>IFERROR(VLOOKUP(ARS$1,Innova[[Ticker]:[Weight]],2,FALSE),0%)</f>
        <v>0</v>
      </c>
      <c r="ART4" s="179">
        <f>IFERROR(VLOOKUP(ART$1,Innova[[Ticker]:[Weight]],2,FALSE),0%)</f>
        <v>0</v>
      </c>
      <c r="ARU4" s="179">
        <f>IFERROR(VLOOKUP(ARU$1,Innova[[Ticker]:[Weight]],2,FALSE),0%)</f>
        <v>0</v>
      </c>
      <c r="ARV4" s="179">
        <f>IFERROR(VLOOKUP(ARV$1,Innova[[Ticker]:[Weight]],2,FALSE),0%)</f>
        <v>0</v>
      </c>
      <c r="ARW4" s="179">
        <f>IFERROR(VLOOKUP(ARW$1,Innova[[Ticker]:[Weight]],2,FALSE),0%)</f>
        <v>0</v>
      </c>
      <c r="ARX4" s="179">
        <f>IFERROR(VLOOKUP(ARX$1,Innova[[Ticker]:[Weight]],2,FALSE),0%)</f>
        <v>0</v>
      </c>
      <c r="ARY4" s="179">
        <f>IFERROR(VLOOKUP(ARY$1,Innova[[Ticker]:[Weight]],2,FALSE),0%)</f>
        <v>0</v>
      </c>
      <c r="ARZ4" s="179">
        <f>IFERROR(VLOOKUP(ARZ$1,Innova[[Ticker]:[Weight]],2,FALSE),0%)</f>
        <v>0</v>
      </c>
      <c r="ASA4" s="179">
        <f>IFERROR(VLOOKUP(ASA$1,Innova[[Ticker]:[Weight]],2,FALSE),0%)</f>
        <v>0</v>
      </c>
      <c r="ASB4" s="179">
        <f>IFERROR(VLOOKUP(ASB$1,Innova[[Ticker]:[Weight]],2,FALSE),0%)</f>
        <v>0</v>
      </c>
      <c r="ASC4" s="179">
        <f>IFERROR(VLOOKUP(ASC$1,Innova[[Ticker]:[Weight]],2,FALSE),0%)</f>
        <v>0</v>
      </c>
      <c r="ASD4" s="179">
        <f>IFERROR(VLOOKUP(ASD$1,Innova[[Ticker]:[Weight]],2,FALSE),0%)</f>
        <v>0</v>
      </c>
      <c r="ASE4" s="179">
        <f>IFERROR(VLOOKUP(ASE$1,Innova[[Ticker]:[Weight]],2,FALSE),0%)</f>
        <v>0</v>
      </c>
      <c r="ASF4" s="179">
        <f>IFERROR(VLOOKUP(ASF$1,Innova[[Ticker]:[Weight]],2,FALSE),0%)</f>
        <v>0</v>
      </c>
      <c r="ASG4" s="179">
        <f>IFERROR(VLOOKUP(ASG$1,Innova[[Ticker]:[Weight]],2,FALSE),0%)</f>
        <v>0</v>
      </c>
      <c r="ASH4" s="179">
        <f>IFERROR(VLOOKUP(ASH$1,Innova[[Ticker]:[Weight]],2,FALSE),0%)</f>
        <v>0</v>
      </c>
      <c r="ASI4" s="179">
        <f>IFERROR(VLOOKUP(ASI$1,Innova[[Ticker]:[Weight]],2,FALSE),0%)</f>
        <v>0</v>
      </c>
      <c r="ASJ4" s="179">
        <f>IFERROR(VLOOKUP(ASJ$1,Innova[[Ticker]:[Weight]],2,FALSE),0%)</f>
        <v>0</v>
      </c>
      <c r="ASK4" s="179">
        <f>IFERROR(VLOOKUP(ASK$1,Innova[[Ticker]:[Weight]],2,FALSE),0%)</f>
        <v>0</v>
      </c>
      <c r="ASL4" s="179">
        <f>IFERROR(VLOOKUP(ASL$1,Innova[[Ticker]:[Weight]],2,FALSE),0%)</f>
        <v>0</v>
      </c>
      <c r="ASM4" s="179">
        <f>IFERROR(VLOOKUP(ASM$1,Innova[[Ticker]:[Weight]],2,FALSE),0%)</f>
        <v>0</v>
      </c>
      <c r="ASN4" s="179">
        <f>IFERROR(VLOOKUP(ASN$1,Innova[[Ticker]:[Weight]],2,FALSE),0%)</f>
        <v>0</v>
      </c>
      <c r="ASO4" s="179">
        <f>IFERROR(VLOOKUP(ASO$1,Innova[[Ticker]:[Weight]],2,FALSE),0%)</f>
        <v>0</v>
      </c>
      <c r="ASP4" s="179">
        <f>IFERROR(VLOOKUP(ASP$1,Innova[[Ticker]:[Weight]],2,FALSE),0%)</f>
        <v>0</v>
      </c>
      <c r="ASQ4" s="179">
        <f>IFERROR(VLOOKUP(ASQ$1,Innova[[Ticker]:[Weight]],2,FALSE),0%)</f>
        <v>0</v>
      </c>
      <c r="ASR4" s="179">
        <f>IFERROR(VLOOKUP(ASR$1,Innova[[Ticker]:[Weight]],2,FALSE),0%)</f>
        <v>0</v>
      </c>
      <c r="ASS4" s="179">
        <f>IFERROR(VLOOKUP(ASS$1,Innova[[Ticker]:[Weight]],2,FALSE),0%)</f>
        <v>0</v>
      </c>
      <c r="AST4" s="179">
        <f>IFERROR(VLOOKUP(AST$1,Innova[[Ticker]:[Weight]],2,FALSE),0%)</f>
        <v>0</v>
      </c>
      <c r="ASU4" s="179">
        <f>IFERROR(VLOOKUP(ASU$1,Innova[[Ticker]:[Weight]],2,FALSE),0%)</f>
        <v>0</v>
      </c>
      <c r="ASV4" s="179">
        <f>IFERROR(VLOOKUP(ASV$1,Innova[[Ticker]:[Weight]],2,FALSE),0%)</f>
        <v>0</v>
      </c>
      <c r="ASW4" s="179">
        <f>IFERROR(VLOOKUP(ASW$1,Innova[[Ticker]:[Weight]],2,FALSE),0%)</f>
        <v>0</v>
      </c>
      <c r="ASX4" s="179">
        <f>IFERROR(VLOOKUP(ASX$1,Innova[[Ticker]:[Weight]],2,FALSE),0%)</f>
        <v>0</v>
      </c>
      <c r="ASY4" s="179">
        <f>IFERROR(VLOOKUP(ASY$1,Innova[[Ticker]:[Weight]],2,FALSE),0%)</f>
        <v>0</v>
      </c>
      <c r="ASZ4" s="179">
        <f>IFERROR(VLOOKUP(ASZ$1,Innova[[Ticker]:[Weight]],2,FALSE),0%)</f>
        <v>0</v>
      </c>
      <c r="ATA4" s="179">
        <f>IFERROR(VLOOKUP(ATA$1,Innova[[Ticker]:[Weight]],2,FALSE),0%)</f>
        <v>0</v>
      </c>
      <c r="ATB4" s="179">
        <f>IFERROR(VLOOKUP(ATB$1,Innova[[Ticker]:[Weight]],2,FALSE),0%)</f>
        <v>0</v>
      </c>
      <c r="ATC4" s="179">
        <f>IFERROR(VLOOKUP(ATC$1,Innova[[Ticker]:[Weight]],2,FALSE),0%)</f>
        <v>0</v>
      </c>
      <c r="ATD4" s="179">
        <f>IFERROR(VLOOKUP(ATD$1,Innova[[Ticker]:[Weight]],2,FALSE),0%)</f>
        <v>0</v>
      </c>
      <c r="ATE4" s="179">
        <f>IFERROR(VLOOKUP(ATE$1,Innova[[Ticker]:[Weight]],2,FALSE),0%)</f>
        <v>0</v>
      </c>
      <c r="ATF4" s="179">
        <f>IFERROR(VLOOKUP(ATF$1,Innova[[Ticker]:[Weight]],2,FALSE),0%)</f>
        <v>0</v>
      </c>
      <c r="ATG4" s="179">
        <f>IFERROR(VLOOKUP(ATG$1,Innova[[Ticker]:[Weight]],2,FALSE),0%)</f>
        <v>0</v>
      </c>
      <c r="ATH4" s="179">
        <f>IFERROR(VLOOKUP(ATH$1,Innova[[Ticker]:[Weight]],2,FALSE),0%)</f>
        <v>0</v>
      </c>
      <c r="ATI4" s="179">
        <f>IFERROR(VLOOKUP(ATI$1,Innova[[Ticker]:[Weight]],2,FALSE),0%)</f>
        <v>0</v>
      </c>
      <c r="ATJ4" s="179">
        <f>IFERROR(VLOOKUP(ATJ$1,Innova[[Ticker]:[Weight]],2,FALSE),0%)</f>
        <v>0</v>
      </c>
      <c r="ATK4" s="179">
        <f>IFERROR(VLOOKUP(ATK$1,Innova[[Ticker]:[Weight]],2,FALSE),0%)</f>
        <v>0</v>
      </c>
      <c r="ATL4" s="179">
        <f>IFERROR(VLOOKUP(ATL$1,Innova[[Ticker]:[Weight]],2,FALSE),0%)</f>
        <v>0</v>
      </c>
      <c r="ATM4" s="179">
        <f>IFERROR(VLOOKUP(ATM$1,Innova[[Ticker]:[Weight]],2,FALSE),0%)</f>
        <v>0</v>
      </c>
      <c r="ATN4" s="179">
        <f>IFERROR(VLOOKUP(ATN$1,Innova[[Ticker]:[Weight]],2,FALSE),0%)</f>
        <v>0</v>
      </c>
      <c r="ATO4" s="179">
        <f>IFERROR(VLOOKUP(ATO$1,Innova[[Ticker]:[Weight]],2,FALSE),0%)</f>
        <v>0</v>
      </c>
      <c r="ATP4" s="179">
        <f>IFERROR(VLOOKUP(ATP$1,Innova[[Ticker]:[Weight]],2,FALSE),0%)</f>
        <v>0</v>
      </c>
      <c r="ATQ4" s="179">
        <f>IFERROR(VLOOKUP(ATQ$1,Innova[[Ticker]:[Weight]],2,FALSE),0%)</f>
        <v>0</v>
      </c>
      <c r="ATR4" s="179">
        <f>IFERROR(VLOOKUP(ATR$1,Innova[[Ticker]:[Weight]],2,FALSE),0%)</f>
        <v>0</v>
      </c>
      <c r="ATS4" s="179">
        <f>IFERROR(VLOOKUP(ATS$1,Innova[[Ticker]:[Weight]],2,FALSE),0%)</f>
        <v>0</v>
      </c>
      <c r="ATT4" s="179">
        <f>IFERROR(VLOOKUP(ATT$1,Innova[[Ticker]:[Weight]],2,FALSE),0%)</f>
        <v>0</v>
      </c>
      <c r="ATU4" s="179">
        <f>IFERROR(VLOOKUP(ATU$1,Innova[[Ticker]:[Weight]],2,FALSE),0%)</f>
        <v>0</v>
      </c>
      <c r="ATV4" s="179">
        <f>IFERROR(VLOOKUP(ATV$1,Innova[[Ticker]:[Weight]],2,FALSE),0%)</f>
        <v>0</v>
      </c>
      <c r="ATW4" s="179">
        <f>IFERROR(VLOOKUP(ATW$1,Innova[[Ticker]:[Weight]],2,FALSE),0%)</f>
        <v>0</v>
      </c>
      <c r="ATX4" s="179">
        <f>IFERROR(VLOOKUP(ATX$1,Innova[[Ticker]:[Weight]],2,FALSE),0%)</f>
        <v>0</v>
      </c>
      <c r="ATY4" s="179">
        <f>IFERROR(VLOOKUP(ATY$1,Innova[[Ticker]:[Weight]],2,FALSE),0%)</f>
        <v>0</v>
      </c>
      <c r="ATZ4" s="179">
        <f>IFERROR(VLOOKUP(ATZ$1,Innova[[Ticker]:[Weight]],2,FALSE),0%)</f>
        <v>0</v>
      </c>
      <c r="AUA4" s="179">
        <f>IFERROR(VLOOKUP(AUA$1,Innova[[Ticker]:[Weight]],2,FALSE),0%)</f>
        <v>0</v>
      </c>
      <c r="AUB4" s="179">
        <f>IFERROR(VLOOKUP(AUB$1,Innova[[Ticker]:[Weight]],2,FALSE),0%)</f>
        <v>0</v>
      </c>
      <c r="AUC4" s="179">
        <f>IFERROR(VLOOKUP(AUC$1,Innova[[Ticker]:[Weight]],2,FALSE),0%)</f>
        <v>0</v>
      </c>
      <c r="AUD4" s="179">
        <f>IFERROR(VLOOKUP(AUD$1,Innova[[Ticker]:[Weight]],2,FALSE),0%)</f>
        <v>0</v>
      </c>
      <c r="AUE4" s="179">
        <f>IFERROR(VLOOKUP(AUE$1,Innova[[Ticker]:[Weight]],2,FALSE),0%)</f>
        <v>0</v>
      </c>
      <c r="AUF4" s="179">
        <f>IFERROR(VLOOKUP(AUF$1,Innova[[Ticker]:[Weight]],2,FALSE),0%)</f>
        <v>0</v>
      </c>
      <c r="AUG4" s="179">
        <f>IFERROR(VLOOKUP(AUG$1,Innova[[Ticker]:[Weight]],2,FALSE),0%)</f>
        <v>0</v>
      </c>
      <c r="AUH4" s="179">
        <f>IFERROR(VLOOKUP(AUH$1,Innova[[Ticker]:[Weight]],2,FALSE),0%)</f>
        <v>0</v>
      </c>
      <c r="AUI4" s="179">
        <f>IFERROR(VLOOKUP(AUI$1,Innova[[Ticker]:[Weight]],2,FALSE),0%)</f>
        <v>0</v>
      </c>
      <c r="AUJ4" s="179">
        <f>IFERROR(VLOOKUP(AUJ$1,Innova[[Ticker]:[Weight]],2,FALSE),0%)</f>
        <v>0</v>
      </c>
      <c r="AUK4" s="179">
        <f>IFERROR(VLOOKUP(AUK$1,Innova[[Ticker]:[Weight]],2,FALSE),0%)</f>
        <v>0</v>
      </c>
      <c r="AUL4" s="179">
        <f>IFERROR(VLOOKUP(AUL$1,Innova[[Ticker]:[Weight]],2,FALSE),0%)</f>
        <v>0</v>
      </c>
      <c r="AUM4" s="179">
        <f>IFERROR(VLOOKUP(AUM$1,Innova[[Ticker]:[Weight]],2,FALSE),0%)</f>
        <v>0</v>
      </c>
      <c r="AUN4" s="179">
        <f>IFERROR(VLOOKUP(AUN$1,Innova[[Ticker]:[Weight]],2,FALSE),0%)</f>
        <v>0</v>
      </c>
      <c r="AUO4" s="179">
        <f>IFERROR(VLOOKUP(AUO$1,Innova[[Ticker]:[Weight]],2,FALSE),0%)</f>
        <v>0</v>
      </c>
      <c r="AUP4" s="179">
        <f>IFERROR(VLOOKUP(AUP$1,Innova[[Ticker]:[Weight]],2,FALSE),0%)</f>
        <v>0</v>
      </c>
      <c r="AUQ4" s="179">
        <f>IFERROR(VLOOKUP(AUQ$1,Innova[[Ticker]:[Weight]],2,FALSE),0%)</f>
        <v>0</v>
      </c>
      <c r="AUR4" s="179">
        <f>IFERROR(VLOOKUP(AUR$1,Innova[[Ticker]:[Weight]],2,FALSE),0%)</f>
        <v>0</v>
      </c>
      <c r="AUS4" s="179">
        <f>IFERROR(VLOOKUP(AUS$1,Innova[[Ticker]:[Weight]],2,FALSE),0%)</f>
        <v>0</v>
      </c>
      <c r="AUT4" s="179">
        <f>IFERROR(VLOOKUP(AUT$1,Innova[[Ticker]:[Weight]],2,FALSE),0%)</f>
        <v>0</v>
      </c>
      <c r="AUU4" s="179">
        <f>IFERROR(VLOOKUP(AUU$1,Innova[[Ticker]:[Weight]],2,FALSE),0%)</f>
        <v>0</v>
      </c>
      <c r="AUV4" s="179">
        <f>IFERROR(VLOOKUP(AUV$1,Innova[[Ticker]:[Weight]],2,FALSE),0%)</f>
        <v>0</v>
      </c>
      <c r="AUW4" s="179">
        <f>IFERROR(VLOOKUP(AUW$1,Innova[[Ticker]:[Weight]],2,FALSE),0%)</f>
        <v>0</v>
      </c>
      <c r="AUX4" s="179">
        <f>IFERROR(VLOOKUP(AUX$1,Innova[[Ticker]:[Weight]],2,FALSE),0%)</f>
        <v>0</v>
      </c>
      <c r="AUY4" s="179">
        <f>IFERROR(VLOOKUP(AUY$1,Innova[[Ticker]:[Weight]],2,FALSE),0%)</f>
        <v>0</v>
      </c>
      <c r="AUZ4" s="179">
        <f>IFERROR(VLOOKUP(AUZ$1,Innova[[Ticker]:[Weight]],2,FALSE),0%)</f>
        <v>0</v>
      </c>
      <c r="AVA4" s="179">
        <f>IFERROR(VLOOKUP(AVA$1,Innova[[Ticker]:[Weight]],2,FALSE),0%)</f>
        <v>0</v>
      </c>
      <c r="AVB4" s="179">
        <f>IFERROR(VLOOKUP(AVB$1,Innova[[Ticker]:[Weight]],2,FALSE),0%)</f>
        <v>0</v>
      </c>
      <c r="AVC4" s="179">
        <f>IFERROR(VLOOKUP(AVC$1,Innova[[Ticker]:[Weight]],2,FALSE),0%)</f>
        <v>0</v>
      </c>
      <c r="AVD4" s="179">
        <f>IFERROR(VLOOKUP(AVD$1,Innova[[Ticker]:[Weight]],2,FALSE),0%)</f>
        <v>0</v>
      </c>
      <c r="AVE4" s="179">
        <f>IFERROR(VLOOKUP(AVE$1,Innova[[Ticker]:[Weight]],2,FALSE),0%)</f>
        <v>0</v>
      </c>
      <c r="AVF4" s="179">
        <f>IFERROR(VLOOKUP(AVF$1,Innova[[Ticker]:[Weight]],2,FALSE),0%)</f>
        <v>0</v>
      </c>
      <c r="AVG4" s="179">
        <f>IFERROR(VLOOKUP(AVG$1,Innova[[Ticker]:[Weight]],2,FALSE),0%)</f>
        <v>0</v>
      </c>
      <c r="AVH4" s="179">
        <f>IFERROR(VLOOKUP(AVH$1,Innova[[Ticker]:[Weight]],2,FALSE),0%)</f>
        <v>0</v>
      </c>
      <c r="AVI4" s="179">
        <f>IFERROR(VLOOKUP(AVI$1,Innova[[Ticker]:[Weight]],2,FALSE),0%)</f>
        <v>0</v>
      </c>
      <c r="AVJ4" s="179">
        <f>IFERROR(VLOOKUP(AVJ$1,Innova[[Ticker]:[Weight]],2,FALSE),0%)</f>
        <v>0</v>
      </c>
      <c r="AVK4" s="179">
        <f>IFERROR(VLOOKUP(AVK$1,Innova[[Ticker]:[Weight]],2,FALSE),0%)</f>
        <v>0</v>
      </c>
      <c r="AVL4" s="179">
        <f>IFERROR(VLOOKUP(AVL$1,Innova[[Ticker]:[Weight]],2,FALSE),0%)</f>
        <v>0</v>
      </c>
      <c r="AVM4" s="179">
        <f>IFERROR(VLOOKUP(AVM$1,Innova[[Ticker]:[Weight]],2,FALSE),0%)</f>
        <v>0</v>
      </c>
      <c r="AVN4" s="179">
        <f>IFERROR(VLOOKUP(AVN$1,Innova[[Ticker]:[Weight]],2,FALSE),0%)</f>
        <v>0</v>
      </c>
      <c r="AVO4" s="179">
        <f>IFERROR(VLOOKUP(AVO$1,Innova[[Ticker]:[Weight]],2,FALSE),0%)</f>
        <v>0</v>
      </c>
      <c r="AVP4" s="179">
        <f>IFERROR(VLOOKUP(AVP$1,Innova[[Ticker]:[Weight]],2,FALSE),0%)</f>
        <v>0</v>
      </c>
      <c r="AVQ4" s="179">
        <f>IFERROR(VLOOKUP(AVQ$1,Innova[[Ticker]:[Weight]],2,FALSE),0%)</f>
        <v>0</v>
      </c>
      <c r="AVR4" s="179">
        <f>IFERROR(VLOOKUP(AVR$1,Innova[[Ticker]:[Weight]],2,FALSE),0%)</f>
        <v>0</v>
      </c>
      <c r="AVS4" s="179">
        <f>IFERROR(VLOOKUP(AVS$1,Innova[[Ticker]:[Weight]],2,FALSE),0%)</f>
        <v>0</v>
      </c>
      <c r="AVT4" s="179">
        <f>IFERROR(VLOOKUP(AVT$1,Innova[[Ticker]:[Weight]],2,FALSE),0%)</f>
        <v>0</v>
      </c>
      <c r="AVU4" s="179">
        <f>IFERROR(VLOOKUP(AVU$1,Innova[[Ticker]:[Weight]],2,FALSE),0%)</f>
        <v>0</v>
      </c>
      <c r="AVV4" s="179">
        <f>IFERROR(VLOOKUP(AVV$1,Innova[[Ticker]:[Weight]],2,FALSE),0%)</f>
        <v>0</v>
      </c>
      <c r="AVW4" s="179">
        <f>IFERROR(VLOOKUP(AVW$1,Innova[[Ticker]:[Weight]],2,FALSE),0%)</f>
        <v>0</v>
      </c>
      <c r="AVX4" s="179">
        <f>IFERROR(VLOOKUP(AVX$1,Innova[[Ticker]:[Weight]],2,FALSE),0%)</f>
        <v>0</v>
      </c>
      <c r="AVY4" s="179">
        <f>IFERROR(VLOOKUP(AVY$1,Innova[[Ticker]:[Weight]],2,FALSE),0%)</f>
        <v>0</v>
      </c>
      <c r="AVZ4" s="179">
        <f>IFERROR(VLOOKUP(AVZ$1,Innova[[Ticker]:[Weight]],2,FALSE),0%)</f>
        <v>0</v>
      </c>
      <c r="AWA4" s="179">
        <f>IFERROR(VLOOKUP(AWA$1,Innova[[Ticker]:[Weight]],2,FALSE),0%)</f>
        <v>0</v>
      </c>
      <c r="AWB4" s="179">
        <f>IFERROR(VLOOKUP(AWB$1,Innova[[Ticker]:[Weight]],2,FALSE),0%)</f>
        <v>0</v>
      </c>
      <c r="AWC4" s="179">
        <f>IFERROR(VLOOKUP(AWC$1,Innova[[Ticker]:[Weight]],2,FALSE),0%)</f>
        <v>0</v>
      </c>
      <c r="AWD4" s="179">
        <f>IFERROR(VLOOKUP(AWD$1,Innova[[Ticker]:[Weight]],2,FALSE),0%)</f>
        <v>0</v>
      </c>
      <c r="AWE4" s="179">
        <f>IFERROR(VLOOKUP(AWE$1,Innova[[Ticker]:[Weight]],2,FALSE),0%)</f>
        <v>0</v>
      </c>
      <c r="AWF4" s="179">
        <f>IFERROR(VLOOKUP(AWF$1,Innova[[Ticker]:[Weight]],2,FALSE),0%)</f>
        <v>0</v>
      </c>
      <c r="AWG4" s="179">
        <f>IFERROR(VLOOKUP(AWG$1,Innova[[Ticker]:[Weight]],2,FALSE),0%)</f>
        <v>0</v>
      </c>
      <c r="AWH4" s="179">
        <f>IFERROR(VLOOKUP(AWH$1,Innova[[Ticker]:[Weight]],2,FALSE),0%)</f>
        <v>0</v>
      </c>
      <c r="AWI4" s="179">
        <f>IFERROR(VLOOKUP(AWI$1,Innova[[Ticker]:[Weight]],2,FALSE),0%)</f>
        <v>0</v>
      </c>
      <c r="AWJ4" s="179">
        <f>IFERROR(VLOOKUP(AWJ$1,Innova[[Ticker]:[Weight]],2,FALSE),0%)</f>
        <v>0</v>
      </c>
      <c r="AWK4" s="179">
        <f>IFERROR(VLOOKUP(AWK$1,Innova[[Ticker]:[Weight]],2,FALSE),0%)</f>
        <v>0</v>
      </c>
      <c r="AWL4" s="179">
        <f>IFERROR(VLOOKUP(AWL$1,Innova[[Ticker]:[Weight]],2,FALSE),0%)</f>
        <v>0</v>
      </c>
      <c r="AWM4" s="179">
        <f>IFERROR(VLOOKUP(AWM$1,Innova[[Ticker]:[Weight]],2,FALSE),0%)</f>
        <v>0</v>
      </c>
      <c r="AWN4" s="179">
        <f>IFERROR(VLOOKUP(AWN$1,Innova[[Ticker]:[Weight]],2,FALSE),0%)</f>
        <v>0</v>
      </c>
      <c r="AWO4" s="179">
        <f>IFERROR(VLOOKUP(AWO$1,Innova[[Ticker]:[Weight]],2,FALSE),0%)</f>
        <v>0</v>
      </c>
      <c r="AWP4" s="179">
        <f>IFERROR(VLOOKUP(AWP$1,Innova[[Ticker]:[Weight]],2,FALSE),0%)</f>
        <v>0</v>
      </c>
      <c r="AWQ4" s="179">
        <f>IFERROR(VLOOKUP(AWQ$1,Innova[[Ticker]:[Weight]],2,FALSE),0%)</f>
        <v>0</v>
      </c>
      <c r="AWR4" s="179">
        <f>IFERROR(VLOOKUP(AWR$1,Innova[[Ticker]:[Weight]],2,FALSE),0%)</f>
        <v>0</v>
      </c>
      <c r="AWS4" s="179">
        <f>IFERROR(VLOOKUP(AWS$1,Innova[[Ticker]:[Weight]],2,FALSE),0%)</f>
        <v>0</v>
      </c>
      <c r="AWT4" s="179">
        <f>IFERROR(VLOOKUP(AWT$1,Innova[[Ticker]:[Weight]],2,FALSE),0%)</f>
        <v>0</v>
      </c>
      <c r="AWU4" s="179">
        <f>IFERROR(VLOOKUP(AWU$1,Innova[[Ticker]:[Weight]],2,FALSE),0%)</f>
        <v>0</v>
      </c>
      <c r="AWV4" s="179">
        <f>IFERROR(VLOOKUP(AWV$1,Innova[[Ticker]:[Weight]],2,FALSE),0%)</f>
        <v>0</v>
      </c>
      <c r="AWW4" s="179">
        <f>IFERROR(VLOOKUP(AWW$1,Innova[[Ticker]:[Weight]],2,FALSE),0%)</f>
        <v>0</v>
      </c>
      <c r="AWX4" s="179">
        <f>IFERROR(VLOOKUP(AWX$1,Innova[[Ticker]:[Weight]],2,FALSE),0%)</f>
        <v>0</v>
      </c>
      <c r="AWY4" s="179">
        <f>IFERROR(VLOOKUP(AWY$1,Innova[[Ticker]:[Weight]],2,FALSE),0%)</f>
        <v>0</v>
      </c>
      <c r="AWZ4" s="179">
        <f>IFERROR(VLOOKUP(AWZ$1,Innova[[Ticker]:[Weight]],2,FALSE),0%)</f>
        <v>0</v>
      </c>
      <c r="AXA4" s="179">
        <f>IFERROR(VLOOKUP(AXA$1,Innova[[Ticker]:[Weight]],2,FALSE),0%)</f>
        <v>0</v>
      </c>
      <c r="AXB4" s="179">
        <f>IFERROR(VLOOKUP(AXB$1,Innova[[Ticker]:[Weight]],2,FALSE),0%)</f>
        <v>0</v>
      </c>
      <c r="AXC4" s="179">
        <f>IFERROR(VLOOKUP(AXC$1,Innova[[Ticker]:[Weight]],2,FALSE),0%)</f>
        <v>0</v>
      </c>
      <c r="AXD4" s="179">
        <f>IFERROR(VLOOKUP(AXD$1,Innova[[Ticker]:[Weight]],2,FALSE),0%)</f>
        <v>0</v>
      </c>
      <c r="AXE4" s="179">
        <f>IFERROR(VLOOKUP(AXE$1,Innova[[Ticker]:[Weight]],2,FALSE),0%)</f>
        <v>0</v>
      </c>
      <c r="AXF4" s="179">
        <f>IFERROR(VLOOKUP(AXF$1,Innova[[Ticker]:[Weight]],2,FALSE),0%)</f>
        <v>0</v>
      </c>
      <c r="AXG4" s="179">
        <f>IFERROR(VLOOKUP(AXG$1,Innova[[Ticker]:[Weight]],2,FALSE),0%)</f>
        <v>0</v>
      </c>
      <c r="AXH4" s="179">
        <f>IFERROR(VLOOKUP(AXH$1,Innova[[Ticker]:[Weight]],2,FALSE),0%)</f>
        <v>0</v>
      </c>
      <c r="AXI4" s="179">
        <f>IFERROR(VLOOKUP(AXI$1,Innova[[Ticker]:[Weight]],2,FALSE),0%)</f>
        <v>0</v>
      </c>
      <c r="AXJ4" s="179">
        <f>IFERROR(VLOOKUP(AXJ$1,Innova[[Ticker]:[Weight]],2,FALSE),0%)</f>
        <v>0</v>
      </c>
      <c r="AXK4" s="179">
        <f>IFERROR(VLOOKUP(AXK$1,Innova[[Ticker]:[Weight]],2,FALSE),0%)</f>
        <v>0</v>
      </c>
      <c r="AXL4" s="179">
        <f>IFERROR(VLOOKUP(AXL$1,Innova[[Ticker]:[Weight]],2,FALSE),0%)</f>
        <v>0</v>
      </c>
      <c r="AXM4" s="179">
        <f>IFERROR(VLOOKUP(AXM$1,Innova[[Ticker]:[Weight]],2,FALSE),0%)</f>
        <v>0</v>
      </c>
      <c r="AXN4" s="179">
        <f>IFERROR(VLOOKUP(AXN$1,Innova[[Ticker]:[Weight]],2,FALSE),0%)</f>
        <v>0</v>
      </c>
      <c r="AXO4" s="179">
        <f>IFERROR(VLOOKUP(AXO$1,Innova[[Ticker]:[Weight]],2,FALSE),0%)</f>
        <v>0</v>
      </c>
      <c r="AXP4" s="179">
        <f>IFERROR(VLOOKUP(AXP$1,Innova[[Ticker]:[Weight]],2,FALSE),0%)</f>
        <v>0</v>
      </c>
      <c r="AXQ4" s="179">
        <f>IFERROR(VLOOKUP(AXQ$1,Innova[[Ticker]:[Weight]],2,FALSE),0%)</f>
        <v>0</v>
      </c>
      <c r="AXR4" s="179">
        <f>IFERROR(VLOOKUP(AXR$1,Innova[[Ticker]:[Weight]],2,FALSE),0%)</f>
        <v>0</v>
      </c>
      <c r="AXS4" s="179">
        <f>IFERROR(VLOOKUP(AXS$1,Innova[[Ticker]:[Weight]],2,FALSE),0%)</f>
        <v>0</v>
      </c>
      <c r="AXT4" s="179">
        <f>IFERROR(VLOOKUP(AXT$1,Innova[[Ticker]:[Weight]],2,FALSE),0%)</f>
        <v>0</v>
      </c>
      <c r="AXU4" s="179">
        <f>IFERROR(VLOOKUP(AXU$1,Innova[[Ticker]:[Weight]],2,FALSE),0%)</f>
        <v>0</v>
      </c>
      <c r="AXV4" s="179">
        <f>IFERROR(VLOOKUP(AXV$1,Innova[[Ticker]:[Weight]],2,FALSE),0%)</f>
        <v>0</v>
      </c>
      <c r="AXW4" s="179">
        <f>IFERROR(VLOOKUP(AXW$1,Innova[[Ticker]:[Weight]],2,FALSE),0%)</f>
        <v>0</v>
      </c>
      <c r="AXX4" s="179">
        <f>IFERROR(VLOOKUP(AXX$1,Innova[[Ticker]:[Weight]],2,FALSE),0%)</f>
        <v>0</v>
      </c>
      <c r="AXY4" s="179">
        <f>IFERROR(VLOOKUP(AXY$1,Innova[[Ticker]:[Weight]],2,FALSE),0%)</f>
        <v>0</v>
      </c>
      <c r="AXZ4" s="179">
        <f>IFERROR(VLOOKUP(AXZ$1,Innova[[Ticker]:[Weight]],2,FALSE),0%)</f>
        <v>0</v>
      </c>
      <c r="AYA4" s="179">
        <f>IFERROR(VLOOKUP(AYA$1,Innova[[Ticker]:[Weight]],2,FALSE),0%)</f>
        <v>0</v>
      </c>
      <c r="AYB4" s="179">
        <f>IFERROR(VLOOKUP(AYB$1,Innova[[Ticker]:[Weight]],2,FALSE),0%)</f>
        <v>0</v>
      </c>
      <c r="AYC4" s="179">
        <f>IFERROR(VLOOKUP(AYC$1,Innova[[Ticker]:[Weight]],2,FALSE),0%)</f>
        <v>0</v>
      </c>
      <c r="AYD4" s="179">
        <f>IFERROR(VLOOKUP(AYD$1,Innova[[Ticker]:[Weight]],2,FALSE),0%)</f>
        <v>0</v>
      </c>
      <c r="AYE4" s="179">
        <f>IFERROR(VLOOKUP(AYE$1,Innova[[Ticker]:[Weight]],2,FALSE),0%)</f>
        <v>0</v>
      </c>
      <c r="AYF4" s="179">
        <f>IFERROR(VLOOKUP(AYF$1,Innova[[Ticker]:[Weight]],2,FALSE),0%)</f>
        <v>0</v>
      </c>
      <c r="AYG4" s="179">
        <f>IFERROR(VLOOKUP(AYG$1,Innova[[Ticker]:[Weight]],2,FALSE),0%)</f>
        <v>0</v>
      </c>
      <c r="AYH4" s="179">
        <f>IFERROR(VLOOKUP(AYH$1,Innova[[Ticker]:[Weight]],2,FALSE),0%)</f>
        <v>0</v>
      </c>
      <c r="AYI4" s="179">
        <f>IFERROR(VLOOKUP(AYI$1,Innova[[Ticker]:[Weight]],2,FALSE),0%)</f>
        <v>0</v>
      </c>
      <c r="AYJ4" s="179">
        <f>IFERROR(VLOOKUP(AYJ$1,Innova[[Ticker]:[Weight]],2,FALSE),0%)</f>
        <v>0</v>
      </c>
      <c r="AYK4" s="179">
        <f>IFERROR(VLOOKUP(AYK$1,Innova[[Ticker]:[Weight]],2,FALSE),0%)</f>
        <v>0</v>
      </c>
      <c r="AYL4" s="179">
        <f>IFERROR(VLOOKUP(AYL$1,Innova[[Ticker]:[Weight]],2,FALSE),0%)</f>
        <v>0</v>
      </c>
      <c r="AYM4" s="179">
        <f>IFERROR(VLOOKUP(AYM$1,Innova[[Ticker]:[Weight]],2,FALSE),0%)</f>
        <v>0</v>
      </c>
      <c r="AYN4" s="179">
        <f>IFERROR(VLOOKUP(AYN$1,Innova[[Ticker]:[Weight]],2,FALSE),0%)</f>
        <v>0</v>
      </c>
      <c r="AYO4" s="179">
        <f>IFERROR(VLOOKUP(AYO$1,Innova[[Ticker]:[Weight]],2,FALSE),0%)</f>
        <v>0</v>
      </c>
      <c r="AYP4" s="179">
        <f>IFERROR(VLOOKUP(AYP$1,Innova[[Ticker]:[Weight]],2,FALSE),0%)</f>
        <v>0</v>
      </c>
      <c r="AYQ4" s="179">
        <f>IFERROR(VLOOKUP(AYQ$1,Innova[[Ticker]:[Weight]],2,FALSE),0%)</f>
        <v>0</v>
      </c>
      <c r="AYR4" s="179">
        <f>IFERROR(VLOOKUP(AYR$1,Innova[[Ticker]:[Weight]],2,FALSE),0%)</f>
        <v>0</v>
      </c>
      <c r="AYS4" s="179">
        <f>IFERROR(VLOOKUP(AYS$1,Innova[[Ticker]:[Weight]],2,FALSE),0%)</f>
        <v>0</v>
      </c>
      <c r="AYT4" s="179">
        <f>IFERROR(VLOOKUP(AYT$1,Innova[[Ticker]:[Weight]],2,FALSE),0%)</f>
        <v>0</v>
      </c>
      <c r="AYU4" s="179">
        <f>IFERROR(VLOOKUP(AYU$1,Innova[[Ticker]:[Weight]],2,FALSE),0%)</f>
        <v>0</v>
      </c>
      <c r="AYV4" s="179">
        <f>IFERROR(VLOOKUP(AYV$1,Innova[[Ticker]:[Weight]],2,FALSE),0%)</f>
        <v>0</v>
      </c>
      <c r="AYW4" s="179">
        <f>IFERROR(VLOOKUP(AYW$1,Innova[[Ticker]:[Weight]],2,FALSE),0%)</f>
        <v>0</v>
      </c>
      <c r="AYX4" s="179">
        <f>IFERROR(VLOOKUP(AYX$1,Innova[[Ticker]:[Weight]],2,FALSE),0%)</f>
        <v>0</v>
      </c>
      <c r="AYY4" s="179">
        <f>IFERROR(VLOOKUP(AYY$1,Innova[[Ticker]:[Weight]],2,FALSE),0%)</f>
        <v>0</v>
      </c>
      <c r="AYZ4" s="179">
        <f>IFERROR(VLOOKUP(AYZ$1,Innova[[Ticker]:[Weight]],2,FALSE),0%)</f>
        <v>0</v>
      </c>
      <c r="AZA4" s="179">
        <f>IFERROR(VLOOKUP(AZA$1,Innova[[Ticker]:[Weight]],2,FALSE),0%)</f>
        <v>0</v>
      </c>
      <c r="AZB4" s="179">
        <f>IFERROR(VLOOKUP(AZB$1,Innova[[Ticker]:[Weight]],2,FALSE),0%)</f>
        <v>0</v>
      </c>
      <c r="AZC4" s="179">
        <f>IFERROR(VLOOKUP(AZC$1,Innova[[Ticker]:[Weight]],2,FALSE),0%)</f>
        <v>0</v>
      </c>
      <c r="AZD4" s="179">
        <f>IFERROR(VLOOKUP(AZD$1,Innova[[Ticker]:[Weight]],2,FALSE),0%)</f>
        <v>0</v>
      </c>
      <c r="AZE4" s="179">
        <f>IFERROR(VLOOKUP(AZE$1,Innova[[Ticker]:[Weight]],2,FALSE),0%)</f>
        <v>0</v>
      </c>
      <c r="AZF4" s="179">
        <f>IFERROR(VLOOKUP(AZF$1,Innova[[Ticker]:[Weight]],2,FALSE),0%)</f>
        <v>0</v>
      </c>
      <c r="AZG4" s="179">
        <f>IFERROR(VLOOKUP(AZG$1,Innova[[Ticker]:[Weight]],2,FALSE),0%)</f>
        <v>0</v>
      </c>
      <c r="AZH4" s="179">
        <f>IFERROR(VLOOKUP(AZH$1,Innova[[Ticker]:[Weight]],2,FALSE),0%)</f>
        <v>0</v>
      </c>
      <c r="AZI4" s="179">
        <f>IFERROR(VLOOKUP(AZI$1,Innova[[Ticker]:[Weight]],2,FALSE),0%)</f>
        <v>0</v>
      </c>
      <c r="AZJ4" s="179">
        <f>IFERROR(VLOOKUP(AZJ$1,Innova[[Ticker]:[Weight]],2,FALSE),0%)</f>
        <v>0</v>
      </c>
      <c r="AZK4" s="179">
        <f>IFERROR(VLOOKUP(AZK$1,Innova[[Ticker]:[Weight]],2,FALSE),0%)</f>
        <v>0</v>
      </c>
      <c r="AZL4" s="179">
        <f>IFERROR(VLOOKUP(AZL$1,Innova[[Ticker]:[Weight]],2,FALSE),0%)</f>
        <v>0</v>
      </c>
      <c r="AZM4" s="179">
        <f>IFERROR(VLOOKUP(AZM$1,Innova[[Ticker]:[Weight]],2,FALSE),0%)</f>
        <v>0</v>
      </c>
      <c r="AZN4" s="179">
        <f>IFERROR(VLOOKUP(AZN$1,Innova[[Ticker]:[Weight]],2,FALSE),0%)</f>
        <v>0</v>
      </c>
      <c r="AZO4" s="179">
        <f>IFERROR(VLOOKUP(AZO$1,Innova[[Ticker]:[Weight]],2,FALSE),0%)</f>
        <v>0</v>
      </c>
      <c r="AZP4" s="179">
        <f>IFERROR(VLOOKUP(AZP$1,Innova[[Ticker]:[Weight]],2,FALSE),0%)</f>
        <v>0</v>
      </c>
      <c r="AZQ4" s="179">
        <f>IFERROR(VLOOKUP(AZQ$1,Innova[[Ticker]:[Weight]],2,FALSE),0%)</f>
        <v>0</v>
      </c>
      <c r="AZR4" s="179">
        <f>IFERROR(VLOOKUP(AZR$1,Innova[[Ticker]:[Weight]],2,FALSE),0%)</f>
        <v>0</v>
      </c>
      <c r="AZS4" s="179">
        <f>IFERROR(VLOOKUP(AZS$1,Innova[[Ticker]:[Weight]],2,FALSE),0%)</f>
        <v>0</v>
      </c>
      <c r="AZT4" s="179">
        <f>IFERROR(VLOOKUP(AZT$1,Innova[[Ticker]:[Weight]],2,FALSE),0%)</f>
        <v>0</v>
      </c>
      <c r="AZU4" s="179">
        <f>IFERROR(VLOOKUP(AZU$1,Innova[[Ticker]:[Weight]],2,FALSE),0%)</f>
        <v>0</v>
      </c>
      <c r="AZV4" s="179">
        <f>IFERROR(VLOOKUP(AZV$1,Innova[[Ticker]:[Weight]],2,FALSE),0%)</f>
        <v>0</v>
      </c>
      <c r="AZW4" s="179">
        <f>IFERROR(VLOOKUP(AZW$1,Innova[[Ticker]:[Weight]],2,FALSE),0%)</f>
        <v>0</v>
      </c>
      <c r="AZX4" s="179">
        <f>IFERROR(VLOOKUP(AZX$1,Innova[[Ticker]:[Weight]],2,FALSE),0%)</f>
        <v>0</v>
      </c>
      <c r="AZY4" s="179">
        <f>IFERROR(VLOOKUP(AZY$1,Innova[[Ticker]:[Weight]],2,FALSE),0%)</f>
        <v>0</v>
      </c>
      <c r="AZZ4" s="179">
        <f>IFERROR(VLOOKUP(AZZ$1,Innova[[Ticker]:[Weight]],2,FALSE),0%)</f>
        <v>0</v>
      </c>
      <c r="BAA4" s="179">
        <f>IFERROR(VLOOKUP(BAA$1,Innova[[Ticker]:[Weight]],2,FALSE),0%)</f>
        <v>0</v>
      </c>
      <c r="BAB4" s="179">
        <f>IFERROR(VLOOKUP(BAB$1,Innova[[Ticker]:[Weight]],2,FALSE),0%)</f>
        <v>0</v>
      </c>
      <c r="BAC4" s="179">
        <f>IFERROR(VLOOKUP(BAC$1,Innova[[Ticker]:[Weight]],2,FALSE),0%)</f>
        <v>0</v>
      </c>
      <c r="BAD4" s="179">
        <f>IFERROR(VLOOKUP(BAD$1,Innova[[Ticker]:[Weight]],2,FALSE),0%)</f>
        <v>0</v>
      </c>
      <c r="BAE4" s="179">
        <f>IFERROR(VLOOKUP(BAE$1,Innova[[Ticker]:[Weight]],2,FALSE),0%)</f>
        <v>0</v>
      </c>
      <c r="BAF4" s="179">
        <f>IFERROR(VLOOKUP(BAF$1,Innova[[Ticker]:[Weight]],2,FALSE),0%)</f>
        <v>0</v>
      </c>
      <c r="BAG4" s="179">
        <f>IFERROR(VLOOKUP(BAG$1,Innova[[Ticker]:[Weight]],2,FALSE),0%)</f>
        <v>0</v>
      </c>
      <c r="BAH4" s="179">
        <f>IFERROR(VLOOKUP(BAH$1,Innova[[Ticker]:[Weight]],2,FALSE),0%)</f>
        <v>0</v>
      </c>
      <c r="BAI4" s="179">
        <f>IFERROR(VLOOKUP(BAI$1,Innova[[Ticker]:[Weight]],2,FALSE),0%)</f>
        <v>0</v>
      </c>
      <c r="BAJ4" s="179">
        <f>IFERROR(VLOOKUP(BAJ$1,Innova[[Ticker]:[Weight]],2,FALSE),0%)</f>
        <v>0</v>
      </c>
      <c r="BAK4" s="179">
        <f>IFERROR(VLOOKUP(BAK$1,Innova[[Ticker]:[Weight]],2,FALSE),0%)</f>
        <v>0</v>
      </c>
      <c r="BAL4" s="179">
        <f>IFERROR(VLOOKUP(BAL$1,Innova[[Ticker]:[Weight]],2,FALSE),0%)</f>
        <v>0</v>
      </c>
      <c r="BAM4" s="179">
        <f>IFERROR(VLOOKUP(BAM$1,Innova[[Ticker]:[Weight]],2,FALSE),0%)</f>
        <v>0</v>
      </c>
      <c r="BAN4" s="179">
        <f>IFERROR(VLOOKUP(BAN$1,Innova[[Ticker]:[Weight]],2,FALSE),0%)</f>
        <v>0</v>
      </c>
      <c r="BAO4" s="179">
        <f>IFERROR(VLOOKUP(BAO$1,Innova[[Ticker]:[Weight]],2,FALSE),0%)</f>
        <v>0</v>
      </c>
      <c r="BAP4" s="179">
        <f>IFERROR(VLOOKUP(BAP$1,Innova[[Ticker]:[Weight]],2,FALSE),0%)</f>
        <v>0</v>
      </c>
      <c r="BAQ4" s="179">
        <f>IFERROR(VLOOKUP(BAQ$1,Innova[[Ticker]:[Weight]],2,FALSE),0%)</f>
        <v>0</v>
      </c>
      <c r="BAR4" s="179">
        <f>IFERROR(VLOOKUP(BAR$1,Innova[[Ticker]:[Weight]],2,FALSE),0%)</f>
        <v>0</v>
      </c>
      <c r="BAS4" s="179">
        <f>IFERROR(VLOOKUP(BAS$1,Innova[[Ticker]:[Weight]],2,FALSE),0%)</f>
        <v>0</v>
      </c>
      <c r="BAT4" s="179">
        <f>IFERROR(VLOOKUP(BAT$1,Innova[[Ticker]:[Weight]],2,FALSE),0%)</f>
        <v>0</v>
      </c>
      <c r="BAU4" s="179">
        <f>IFERROR(VLOOKUP(BAU$1,Innova[[Ticker]:[Weight]],2,FALSE),0%)</f>
        <v>0</v>
      </c>
      <c r="BAV4" s="179">
        <f>IFERROR(VLOOKUP(BAV$1,Innova[[Ticker]:[Weight]],2,FALSE),0%)</f>
        <v>0</v>
      </c>
      <c r="BAW4" s="179">
        <f>IFERROR(VLOOKUP(BAW$1,Innova[[Ticker]:[Weight]],2,FALSE),0%)</f>
        <v>0</v>
      </c>
      <c r="BAX4" s="179">
        <f>IFERROR(VLOOKUP(BAX$1,Innova[[Ticker]:[Weight]],2,FALSE),0%)</f>
        <v>0</v>
      </c>
      <c r="BAY4" s="179">
        <f>IFERROR(VLOOKUP(BAY$1,Innova[[Ticker]:[Weight]],2,FALSE),0%)</f>
        <v>0</v>
      </c>
      <c r="BAZ4" s="179">
        <f>IFERROR(VLOOKUP(BAZ$1,Innova[[Ticker]:[Weight]],2,FALSE),0%)</f>
        <v>0</v>
      </c>
      <c r="BBA4" s="179">
        <f>IFERROR(VLOOKUP(BBA$1,Innova[[Ticker]:[Weight]],2,FALSE),0%)</f>
        <v>0</v>
      </c>
      <c r="BBB4" s="179">
        <f>IFERROR(VLOOKUP(BBB$1,Innova[[Ticker]:[Weight]],2,FALSE),0%)</f>
        <v>0</v>
      </c>
      <c r="BBC4" s="179">
        <f>IFERROR(VLOOKUP(BBC$1,Innova[[Ticker]:[Weight]],2,FALSE),0%)</f>
        <v>0</v>
      </c>
      <c r="BBD4" s="179">
        <f>IFERROR(VLOOKUP(BBD$1,Innova[[Ticker]:[Weight]],2,FALSE),0%)</f>
        <v>0</v>
      </c>
      <c r="BBE4" s="179">
        <f>IFERROR(VLOOKUP(BBE$1,Innova[[Ticker]:[Weight]],2,FALSE),0%)</f>
        <v>0</v>
      </c>
      <c r="BBF4" s="179">
        <f>IFERROR(VLOOKUP(BBF$1,Innova[[Ticker]:[Weight]],2,FALSE),0%)</f>
        <v>0</v>
      </c>
      <c r="BBG4" s="179">
        <f>IFERROR(VLOOKUP(BBG$1,Innova[[Ticker]:[Weight]],2,FALSE),0%)</f>
        <v>0</v>
      </c>
      <c r="BBH4" s="179">
        <f>IFERROR(VLOOKUP(BBH$1,Innova[[Ticker]:[Weight]],2,FALSE),0%)</f>
        <v>0</v>
      </c>
      <c r="BBI4" s="179">
        <f>IFERROR(VLOOKUP(BBI$1,Innova[[Ticker]:[Weight]],2,FALSE),0%)</f>
        <v>0</v>
      </c>
      <c r="BBJ4" s="179">
        <f>IFERROR(VLOOKUP(BBJ$1,Innova[[Ticker]:[Weight]],2,FALSE),0%)</f>
        <v>0</v>
      </c>
      <c r="BBK4" s="179">
        <f>IFERROR(VLOOKUP(BBK$1,Innova[[Ticker]:[Weight]],2,FALSE),0%)</f>
        <v>0</v>
      </c>
      <c r="BBL4" s="179">
        <f>IFERROR(VLOOKUP(BBL$1,Innova[[Ticker]:[Weight]],2,FALSE),0%)</f>
        <v>0</v>
      </c>
      <c r="BBM4" s="179">
        <f>IFERROR(VLOOKUP(BBM$1,Innova[[Ticker]:[Weight]],2,FALSE),0%)</f>
        <v>0</v>
      </c>
      <c r="BBN4" s="179">
        <f>IFERROR(VLOOKUP(BBN$1,Innova[[Ticker]:[Weight]],2,FALSE),0%)</f>
        <v>0</v>
      </c>
      <c r="BBO4" s="179">
        <f>IFERROR(VLOOKUP(BBO$1,Innova[[Ticker]:[Weight]],2,FALSE),0%)</f>
        <v>0</v>
      </c>
      <c r="BBP4" s="179">
        <f>IFERROR(VLOOKUP(BBP$1,Innova[[Ticker]:[Weight]],2,FALSE),0%)</f>
        <v>0</v>
      </c>
      <c r="BBQ4" s="179">
        <f>IFERROR(VLOOKUP(BBQ$1,Innova[[Ticker]:[Weight]],2,FALSE),0%)</f>
        <v>0</v>
      </c>
      <c r="BBR4" s="179">
        <f>IFERROR(VLOOKUP(BBR$1,Innova[[Ticker]:[Weight]],2,FALSE),0%)</f>
        <v>0</v>
      </c>
      <c r="BBS4" s="179">
        <f>IFERROR(VLOOKUP(BBS$1,Innova[[Ticker]:[Weight]],2,FALSE),0%)</f>
        <v>0</v>
      </c>
      <c r="BBT4" s="179">
        <f>IFERROR(VLOOKUP(BBT$1,Innova[[Ticker]:[Weight]],2,FALSE),0%)</f>
        <v>0</v>
      </c>
      <c r="BBU4" s="179">
        <f>IFERROR(VLOOKUP(BBU$1,Innova[[Ticker]:[Weight]],2,FALSE),0%)</f>
        <v>0</v>
      </c>
      <c r="BBV4" s="179">
        <f>IFERROR(VLOOKUP(BBV$1,Innova[[Ticker]:[Weight]],2,FALSE),0%)</f>
        <v>0</v>
      </c>
      <c r="BBW4" s="179">
        <f>IFERROR(VLOOKUP(BBW$1,Innova[[Ticker]:[Weight]],2,FALSE),0%)</f>
        <v>0</v>
      </c>
      <c r="BBX4" s="179">
        <f>IFERROR(VLOOKUP(BBX$1,Innova[[Ticker]:[Weight]],2,FALSE),0%)</f>
        <v>0</v>
      </c>
      <c r="BBY4" s="179">
        <f>IFERROR(VLOOKUP(BBY$1,Innova[[Ticker]:[Weight]],2,FALSE),0%)</f>
        <v>0</v>
      </c>
      <c r="BBZ4" s="179">
        <f>IFERROR(VLOOKUP(BBZ$1,Innova[[Ticker]:[Weight]],2,FALSE),0%)</f>
        <v>0</v>
      </c>
      <c r="BCA4" s="179">
        <f>IFERROR(VLOOKUP(BCA$1,Innova[[Ticker]:[Weight]],2,FALSE),0%)</f>
        <v>0</v>
      </c>
      <c r="BCB4" s="179">
        <f>IFERROR(VLOOKUP(BCB$1,Innova[[Ticker]:[Weight]],2,FALSE),0%)</f>
        <v>0</v>
      </c>
      <c r="BCC4" s="179">
        <f>IFERROR(VLOOKUP(BCC$1,Innova[[Ticker]:[Weight]],2,FALSE),0%)</f>
        <v>0</v>
      </c>
      <c r="BCD4" s="179">
        <f>IFERROR(VLOOKUP(BCD$1,Innova[[Ticker]:[Weight]],2,FALSE),0%)</f>
        <v>0</v>
      </c>
      <c r="BCE4" s="179">
        <f>IFERROR(VLOOKUP(BCE$1,Innova[[Ticker]:[Weight]],2,FALSE),0%)</f>
        <v>0</v>
      </c>
      <c r="BCF4" s="179">
        <f>IFERROR(VLOOKUP(BCF$1,Innova[[Ticker]:[Weight]],2,FALSE),0%)</f>
        <v>0</v>
      </c>
      <c r="BCG4" s="179">
        <f>IFERROR(VLOOKUP(BCG$1,Innova[[Ticker]:[Weight]],2,FALSE),0%)</f>
        <v>0</v>
      </c>
      <c r="BCH4" s="179">
        <f>IFERROR(VLOOKUP(BCH$1,Innova[[Ticker]:[Weight]],2,FALSE),0%)</f>
        <v>0</v>
      </c>
      <c r="BCI4" s="179">
        <f>IFERROR(VLOOKUP(BCI$1,Innova[[Ticker]:[Weight]],2,FALSE),0%)</f>
        <v>0</v>
      </c>
      <c r="BCJ4" s="179">
        <f>IFERROR(VLOOKUP(BCJ$1,Innova[[Ticker]:[Weight]],2,FALSE),0%)</f>
        <v>0</v>
      </c>
      <c r="BCK4" s="179">
        <f>IFERROR(VLOOKUP(BCK$1,Innova[[Ticker]:[Weight]],2,FALSE),0%)</f>
        <v>0</v>
      </c>
      <c r="BCL4" s="179">
        <f>IFERROR(VLOOKUP(BCL$1,Innova[[Ticker]:[Weight]],2,FALSE),0%)</f>
        <v>0</v>
      </c>
      <c r="BCM4" s="179">
        <f>IFERROR(VLOOKUP(BCM$1,Innova[[Ticker]:[Weight]],2,FALSE),0%)</f>
        <v>0</v>
      </c>
      <c r="BCN4" s="179">
        <f>IFERROR(VLOOKUP(BCN$1,Innova[[Ticker]:[Weight]],2,FALSE),0%)</f>
        <v>0</v>
      </c>
      <c r="BCO4" s="179">
        <f>IFERROR(VLOOKUP(BCO$1,Innova[[Ticker]:[Weight]],2,FALSE),0%)</f>
        <v>0</v>
      </c>
      <c r="BCP4" s="179">
        <f>IFERROR(VLOOKUP(BCP$1,Innova[[Ticker]:[Weight]],2,FALSE),0%)</f>
        <v>0</v>
      </c>
      <c r="BCQ4" s="179">
        <f>IFERROR(VLOOKUP(BCQ$1,Innova[[Ticker]:[Weight]],2,FALSE),0%)</f>
        <v>0</v>
      </c>
      <c r="BCR4" s="179">
        <f>IFERROR(VLOOKUP(BCR$1,Innova[[Ticker]:[Weight]],2,FALSE),0%)</f>
        <v>0</v>
      </c>
      <c r="BCS4" s="179">
        <f>IFERROR(VLOOKUP(BCS$1,Innova[[Ticker]:[Weight]],2,FALSE),0%)</f>
        <v>0</v>
      </c>
      <c r="BCT4" s="179">
        <f>IFERROR(VLOOKUP(BCT$1,Innova[[Ticker]:[Weight]],2,FALSE),0%)</f>
        <v>0</v>
      </c>
      <c r="BCU4" s="179">
        <f>IFERROR(VLOOKUP(BCU$1,Innova[[Ticker]:[Weight]],2,FALSE),0%)</f>
        <v>0</v>
      </c>
      <c r="BCV4" s="179">
        <f>IFERROR(VLOOKUP(BCV$1,Innova[[Ticker]:[Weight]],2,FALSE),0%)</f>
        <v>0</v>
      </c>
      <c r="BCW4" s="179">
        <f>IFERROR(VLOOKUP(BCW$1,Innova[[Ticker]:[Weight]],2,FALSE),0%)</f>
        <v>0</v>
      </c>
      <c r="BCX4" s="179">
        <f>IFERROR(VLOOKUP(BCX$1,Innova[[Ticker]:[Weight]],2,FALSE),0%)</f>
        <v>0</v>
      </c>
      <c r="BCY4" s="179">
        <f>IFERROR(VLOOKUP(BCY$1,Innova[[Ticker]:[Weight]],2,FALSE),0%)</f>
        <v>0</v>
      </c>
      <c r="BCZ4" s="179">
        <f>IFERROR(VLOOKUP(BCZ$1,Innova[[Ticker]:[Weight]],2,FALSE),0%)</f>
        <v>0</v>
      </c>
      <c r="BDA4" s="179">
        <f>IFERROR(VLOOKUP(BDA$1,Innova[[Ticker]:[Weight]],2,FALSE),0%)</f>
        <v>0</v>
      </c>
      <c r="BDB4" s="179">
        <f>IFERROR(VLOOKUP(BDB$1,Innova[[Ticker]:[Weight]],2,FALSE),0%)</f>
        <v>0</v>
      </c>
      <c r="BDC4" s="179">
        <f>IFERROR(VLOOKUP(BDC$1,Innova[[Ticker]:[Weight]],2,FALSE),0%)</f>
        <v>0</v>
      </c>
      <c r="BDD4" s="179">
        <f>IFERROR(VLOOKUP(BDD$1,Innova[[Ticker]:[Weight]],2,FALSE),0%)</f>
        <v>0</v>
      </c>
      <c r="BDE4" s="179">
        <f>IFERROR(VLOOKUP(BDE$1,Innova[[Ticker]:[Weight]],2,FALSE),0%)</f>
        <v>0</v>
      </c>
      <c r="BDF4" s="179">
        <f>IFERROR(VLOOKUP(BDF$1,Innova[[Ticker]:[Weight]],2,FALSE),0%)</f>
        <v>0</v>
      </c>
      <c r="BDG4" s="179">
        <f>IFERROR(VLOOKUP(BDG$1,Innova[[Ticker]:[Weight]],2,FALSE),0%)</f>
        <v>0</v>
      </c>
      <c r="BDH4" s="179">
        <f>IFERROR(VLOOKUP(BDH$1,Innova[[Ticker]:[Weight]],2,FALSE),0%)</f>
        <v>0</v>
      </c>
      <c r="BDI4" s="179">
        <f>IFERROR(VLOOKUP(BDI$1,Innova[[Ticker]:[Weight]],2,FALSE),0%)</f>
        <v>0</v>
      </c>
      <c r="BDJ4" s="179">
        <f>IFERROR(VLOOKUP(BDJ$1,Innova[[Ticker]:[Weight]],2,FALSE),0%)</f>
        <v>0</v>
      </c>
      <c r="BDK4" s="179">
        <f>IFERROR(VLOOKUP(BDK$1,Innova[[Ticker]:[Weight]],2,FALSE),0%)</f>
        <v>0</v>
      </c>
      <c r="BDL4" s="179">
        <f>IFERROR(VLOOKUP(BDL$1,Innova[[Ticker]:[Weight]],2,FALSE),0%)</f>
        <v>0</v>
      </c>
      <c r="BDM4" s="179">
        <f>IFERROR(VLOOKUP(BDM$1,Innova[[Ticker]:[Weight]],2,FALSE),0%)</f>
        <v>0</v>
      </c>
      <c r="BDN4" s="179">
        <f>IFERROR(VLOOKUP(BDN$1,Innova[[Ticker]:[Weight]],2,FALSE),0%)</f>
        <v>0</v>
      </c>
      <c r="BDO4" s="179">
        <f>IFERROR(VLOOKUP(BDO$1,Innova[[Ticker]:[Weight]],2,FALSE),0%)</f>
        <v>0</v>
      </c>
      <c r="BDP4" s="179">
        <f>IFERROR(VLOOKUP(BDP$1,Innova[[Ticker]:[Weight]],2,FALSE),0%)</f>
        <v>0</v>
      </c>
      <c r="BDQ4" s="179">
        <f>IFERROR(VLOOKUP(BDQ$1,Innova[[Ticker]:[Weight]],2,FALSE),0%)</f>
        <v>0</v>
      </c>
      <c r="BDR4" s="179">
        <f>IFERROR(VLOOKUP(BDR$1,Innova[[Ticker]:[Weight]],2,FALSE),0%)</f>
        <v>0</v>
      </c>
      <c r="BDS4" s="179">
        <f>IFERROR(VLOOKUP(BDS$1,Innova[[Ticker]:[Weight]],2,FALSE),0%)</f>
        <v>0</v>
      </c>
      <c r="BDT4" s="179">
        <f>IFERROR(VLOOKUP(BDT$1,Innova[[Ticker]:[Weight]],2,FALSE),0%)</f>
        <v>0</v>
      </c>
      <c r="BDU4" s="179">
        <f>IFERROR(VLOOKUP(BDU$1,Innova[[Ticker]:[Weight]],2,FALSE),0%)</f>
        <v>0</v>
      </c>
      <c r="BDV4" s="179">
        <f>IFERROR(VLOOKUP(BDV$1,Innova[[Ticker]:[Weight]],2,FALSE),0%)</f>
        <v>0</v>
      </c>
      <c r="BDW4" s="179">
        <f>IFERROR(VLOOKUP(BDW$1,Innova[[Ticker]:[Weight]],2,FALSE),0%)</f>
        <v>0</v>
      </c>
      <c r="BDX4" s="179">
        <f>IFERROR(VLOOKUP(BDX$1,Innova[[Ticker]:[Weight]],2,FALSE),0%)</f>
        <v>0</v>
      </c>
      <c r="BDY4" s="179">
        <f>IFERROR(VLOOKUP(BDY$1,Innova[[Ticker]:[Weight]],2,FALSE),0%)</f>
        <v>0</v>
      </c>
      <c r="BDZ4" s="179">
        <f>IFERROR(VLOOKUP(BDZ$1,Innova[[Ticker]:[Weight]],2,FALSE),0%)</f>
        <v>0</v>
      </c>
      <c r="BEA4" s="179">
        <f>IFERROR(VLOOKUP(BEA$1,Innova[[Ticker]:[Weight]],2,FALSE),0%)</f>
        <v>0</v>
      </c>
      <c r="BEB4" s="179">
        <f>IFERROR(VLOOKUP(BEB$1,Innova[[Ticker]:[Weight]],2,FALSE),0%)</f>
        <v>0</v>
      </c>
      <c r="BEC4" s="179">
        <f>IFERROR(VLOOKUP(BEC$1,Innova[[Ticker]:[Weight]],2,FALSE),0%)</f>
        <v>0</v>
      </c>
      <c r="BED4" s="179">
        <f>IFERROR(VLOOKUP(BED$1,Innova[[Ticker]:[Weight]],2,FALSE),0%)</f>
        <v>0</v>
      </c>
      <c r="BEE4" s="179">
        <f>IFERROR(VLOOKUP(BEE$1,Innova[[Ticker]:[Weight]],2,FALSE),0%)</f>
        <v>0</v>
      </c>
      <c r="BEF4" s="179">
        <f>IFERROR(VLOOKUP(BEF$1,Innova[[Ticker]:[Weight]],2,FALSE),0%)</f>
        <v>0</v>
      </c>
      <c r="BEG4" s="179">
        <f>IFERROR(VLOOKUP(BEG$1,Innova[[Ticker]:[Weight]],2,FALSE),0%)</f>
        <v>0</v>
      </c>
      <c r="BEH4" s="179">
        <f>IFERROR(VLOOKUP(BEH$1,Innova[[Ticker]:[Weight]],2,FALSE),0%)</f>
        <v>0</v>
      </c>
      <c r="BEI4" s="179">
        <f>IFERROR(VLOOKUP(BEI$1,Innova[[Ticker]:[Weight]],2,FALSE),0%)</f>
        <v>0</v>
      </c>
      <c r="BEJ4" s="179">
        <f>IFERROR(VLOOKUP(BEJ$1,Innova[[Ticker]:[Weight]],2,FALSE),0%)</f>
        <v>0</v>
      </c>
      <c r="BEK4" s="179">
        <f>IFERROR(VLOOKUP(BEK$1,Innova[[Ticker]:[Weight]],2,FALSE),0%)</f>
        <v>0</v>
      </c>
      <c r="BEL4" s="179">
        <f>IFERROR(VLOOKUP(BEL$1,Innova[[Ticker]:[Weight]],2,FALSE),0%)</f>
        <v>0</v>
      </c>
      <c r="BEM4" s="179">
        <f>IFERROR(VLOOKUP(BEM$1,Innova[[Ticker]:[Weight]],2,FALSE),0%)</f>
        <v>0</v>
      </c>
      <c r="BEN4" s="179">
        <f>IFERROR(VLOOKUP(BEN$1,Innova[[Ticker]:[Weight]],2,FALSE),0%)</f>
        <v>0</v>
      </c>
      <c r="BEO4" s="179">
        <f>IFERROR(VLOOKUP(BEO$1,Innova[[Ticker]:[Weight]],2,FALSE),0%)</f>
        <v>0</v>
      </c>
      <c r="BEP4" s="179">
        <f>IFERROR(VLOOKUP(BEP$1,Innova[[Ticker]:[Weight]],2,FALSE),0%)</f>
        <v>0</v>
      </c>
      <c r="BEQ4" s="179">
        <f>IFERROR(VLOOKUP(BEQ$1,Innova[[Ticker]:[Weight]],2,FALSE),0%)</f>
        <v>0</v>
      </c>
      <c r="BER4" s="179">
        <f>IFERROR(VLOOKUP(BER$1,Innova[[Ticker]:[Weight]],2,FALSE),0%)</f>
        <v>0</v>
      </c>
      <c r="BES4" s="179">
        <f>IFERROR(VLOOKUP(BES$1,Innova[[Ticker]:[Weight]],2,FALSE),0%)</f>
        <v>0</v>
      </c>
      <c r="BET4" s="179">
        <f>IFERROR(VLOOKUP(BET$1,Innova[[Ticker]:[Weight]],2,FALSE),0%)</f>
        <v>0</v>
      </c>
      <c r="BEU4" s="179">
        <f>IFERROR(VLOOKUP(BEU$1,Innova[[Ticker]:[Weight]],2,FALSE),0%)</f>
        <v>0</v>
      </c>
      <c r="BEV4" s="179">
        <f>IFERROR(VLOOKUP(BEV$1,Innova[[Ticker]:[Weight]],2,FALSE),0%)</f>
        <v>0</v>
      </c>
      <c r="BEW4" s="179">
        <f>IFERROR(VLOOKUP(BEW$1,Innova[[Ticker]:[Weight]],2,FALSE),0%)</f>
        <v>0</v>
      </c>
      <c r="BEX4" s="179">
        <f>IFERROR(VLOOKUP(BEX$1,Innova[[Ticker]:[Weight]],2,FALSE),0%)</f>
        <v>0</v>
      </c>
      <c r="BEY4" s="179">
        <f>IFERROR(VLOOKUP(BEY$1,Innova[[Ticker]:[Weight]],2,FALSE),0%)</f>
        <v>0</v>
      </c>
      <c r="BEZ4" s="179">
        <f>IFERROR(VLOOKUP(BEZ$1,Innova[[Ticker]:[Weight]],2,FALSE),0%)</f>
        <v>0</v>
      </c>
      <c r="BFA4" s="179">
        <f>IFERROR(VLOOKUP(BFA$1,Innova[[Ticker]:[Weight]],2,FALSE),0%)</f>
        <v>0</v>
      </c>
      <c r="BFB4" s="179">
        <f>IFERROR(VLOOKUP(BFB$1,Innova[[Ticker]:[Weight]],2,FALSE),0%)</f>
        <v>0</v>
      </c>
      <c r="BFC4" s="179">
        <f>IFERROR(VLOOKUP(BFC$1,Innova[[Ticker]:[Weight]],2,FALSE),0%)</f>
        <v>0</v>
      </c>
      <c r="BFD4" s="179">
        <f>IFERROR(VLOOKUP(BFD$1,Innova[[Ticker]:[Weight]],2,FALSE),0%)</f>
        <v>0</v>
      </c>
      <c r="BFE4" s="179">
        <f>IFERROR(VLOOKUP(BFE$1,Innova[[Ticker]:[Weight]],2,FALSE),0%)</f>
        <v>0</v>
      </c>
      <c r="BFF4" s="179">
        <f>IFERROR(VLOOKUP(BFF$1,Innova[[Ticker]:[Weight]],2,FALSE),0%)</f>
        <v>0</v>
      </c>
      <c r="BFG4" s="179">
        <f>IFERROR(VLOOKUP(BFG$1,Innova[[Ticker]:[Weight]],2,FALSE),0%)</f>
        <v>0.0828</v>
      </c>
      <c r="BFH4" s="179">
        <f>IFERROR(VLOOKUP(BFH$1,Innova[[Ticker]:[Weight]],2,FALSE),0%)</f>
        <v>0</v>
      </c>
      <c r="BFI4" s="179">
        <f>IFERROR(VLOOKUP(BFI$1,Innova[[Ticker]:[Weight]],2,FALSE),0%)</f>
        <v>0</v>
      </c>
      <c r="BFJ4" s="179">
        <f>IFERROR(VLOOKUP(BFJ$1,Innova[[Ticker]:[Weight]],2,FALSE),0%)</f>
        <v>0</v>
      </c>
      <c r="BFK4" s="179">
        <f>IFERROR(VLOOKUP(BFK$1,Innova[[Ticker]:[Weight]],2,FALSE),0%)</f>
        <v>0</v>
      </c>
      <c r="BFL4" s="179">
        <f>IFERROR(VLOOKUP(BFL$1,Innova[[Ticker]:[Weight]],2,FALSE),0%)</f>
        <v>0</v>
      </c>
      <c r="BFM4" s="179">
        <f>IFERROR(VLOOKUP(BFM$1,Innova[[Ticker]:[Weight]],2,FALSE),0%)</f>
        <v>0</v>
      </c>
      <c r="BFN4" s="179">
        <f>IFERROR(VLOOKUP(BFN$1,Innova[[Ticker]:[Weight]],2,FALSE),0%)</f>
        <v>0</v>
      </c>
      <c r="BFO4" s="179">
        <f>IFERROR(VLOOKUP(BFO$1,Innova[[Ticker]:[Weight]],2,FALSE),0%)</f>
        <v>0</v>
      </c>
      <c r="BFP4" s="179">
        <f>IFERROR(VLOOKUP(BFP$1,Innova[[Ticker]:[Weight]],2,FALSE),0%)</f>
        <v>0</v>
      </c>
      <c r="BFQ4" s="179">
        <f>IFERROR(VLOOKUP(BFQ$1,Innova[[Ticker]:[Weight]],2,FALSE),0%)</f>
        <v>0</v>
      </c>
      <c r="BFR4" s="179">
        <f>IFERROR(VLOOKUP(BFR$1,Innova[[Ticker]:[Weight]],2,FALSE),0%)</f>
        <v>0</v>
      </c>
      <c r="BFS4" s="179">
        <f>IFERROR(VLOOKUP(BFS$1,Innova[[Ticker]:[Weight]],2,FALSE),0%)</f>
        <v>0</v>
      </c>
      <c r="BFT4" s="179">
        <f>IFERROR(VLOOKUP(BFT$1,Innova[[Ticker]:[Weight]],2,FALSE),0%)</f>
        <v>0</v>
      </c>
      <c r="BFU4" s="179">
        <f>IFERROR(VLOOKUP(BFU$1,Innova[[Ticker]:[Weight]],2,FALSE),0%)</f>
        <v>0</v>
      </c>
      <c r="BFV4" s="179">
        <f>IFERROR(VLOOKUP(BFV$1,Innova[[Ticker]:[Weight]],2,FALSE),0%)</f>
        <v>0</v>
      </c>
      <c r="BFW4" s="179">
        <f>IFERROR(VLOOKUP(BFW$1,Innova[[Ticker]:[Weight]],2,FALSE),0%)</f>
        <v>0</v>
      </c>
      <c r="BFX4" s="179">
        <f>IFERROR(VLOOKUP(BFX$1,Innova[[Ticker]:[Weight]],2,FALSE),0%)</f>
        <v>0</v>
      </c>
      <c r="BFY4" s="179">
        <f>IFERROR(VLOOKUP(BFY$1,Innova[[Ticker]:[Weight]],2,FALSE),0%)</f>
        <v>0</v>
      </c>
      <c r="BFZ4" s="179">
        <f>IFERROR(VLOOKUP(BFZ$1,Innova[[Ticker]:[Weight]],2,FALSE),0%)</f>
        <v>0</v>
      </c>
      <c r="BGA4" s="179">
        <f>IFERROR(VLOOKUP(BGA$1,Innova[[Ticker]:[Weight]],2,FALSE),0%)</f>
        <v>0</v>
      </c>
      <c r="BGB4" s="179">
        <f>IFERROR(VLOOKUP(BGB$1,Innova[[Ticker]:[Weight]],2,FALSE),0%)</f>
        <v>0</v>
      </c>
      <c r="BGC4" s="179">
        <f>IFERROR(VLOOKUP(BGC$1,Innova[[Ticker]:[Weight]],2,FALSE),0%)</f>
        <v>0</v>
      </c>
      <c r="BGD4" s="179">
        <f>IFERROR(VLOOKUP(BGD$1,Innova[[Ticker]:[Weight]],2,FALSE),0%)</f>
        <v>0</v>
      </c>
      <c r="BGE4" s="179">
        <f>IFERROR(VLOOKUP(BGE$1,Innova[[Ticker]:[Weight]],2,FALSE),0%)</f>
        <v>0</v>
      </c>
      <c r="BGF4" s="179">
        <f>IFERROR(VLOOKUP(BGF$1,Innova[[Ticker]:[Weight]],2,FALSE),0%)</f>
        <v>0</v>
      </c>
      <c r="BGG4" s="179">
        <f>IFERROR(VLOOKUP(BGG$1,Innova[[Ticker]:[Weight]],2,FALSE),0%)</f>
        <v>0</v>
      </c>
      <c r="BGH4" s="179">
        <f>IFERROR(VLOOKUP(BGH$1,Innova[[Ticker]:[Weight]],2,FALSE),0%)</f>
        <v>0</v>
      </c>
      <c r="BGI4" s="179">
        <f>IFERROR(VLOOKUP(BGI$1,Innova[[Ticker]:[Weight]],2,FALSE),0%)</f>
        <v>0</v>
      </c>
      <c r="BGJ4" s="179">
        <f>IFERROR(VLOOKUP(BGJ$1,Innova[[Ticker]:[Weight]],2,FALSE),0%)</f>
        <v>0</v>
      </c>
      <c r="BGK4" s="179">
        <f>IFERROR(VLOOKUP(BGK$1,Innova[[Ticker]:[Weight]],2,FALSE),0%)</f>
        <v>0</v>
      </c>
      <c r="BGL4" s="179">
        <f>IFERROR(VLOOKUP(BGL$1,Innova[[Ticker]:[Weight]],2,FALSE),0%)</f>
        <v>0</v>
      </c>
      <c r="BGM4" s="179">
        <f>IFERROR(VLOOKUP(BGM$1,Innova[[Ticker]:[Weight]],2,FALSE),0%)</f>
        <v>0</v>
      </c>
      <c r="BGN4" s="179">
        <f>IFERROR(VLOOKUP(BGN$1,Innova[[Ticker]:[Weight]],2,FALSE),0%)</f>
        <v>0</v>
      </c>
      <c r="BGO4" s="179">
        <f>IFERROR(VLOOKUP(BGO$1,Innova[[Ticker]:[Weight]],2,FALSE),0%)</f>
        <v>0</v>
      </c>
      <c r="BGP4" s="179">
        <f>IFERROR(VLOOKUP(BGP$1,Innova[[Ticker]:[Weight]],2,FALSE),0%)</f>
        <v>0</v>
      </c>
      <c r="BGQ4" s="179">
        <f>IFERROR(VLOOKUP(BGQ$1,Innova[[Ticker]:[Weight]],2,FALSE),0%)</f>
        <v>0</v>
      </c>
      <c r="BGR4" s="179">
        <f>IFERROR(VLOOKUP(BGR$1,Innova[[Ticker]:[Weight]],2,FALSE),0%)</f>
        <v>0</v>
      </c>
      <c r="BGS4" s="179">
        <f>IFERROR(VLOOKUP(BGS$1,Innova[[Ticker]:[Weight]],2,FALSE),0%)</f>
        <v>0</v>
      </c>
      <c r="BGT4" s="179">
        <f>IFERROR(VLOOKUP(BGT$1,Innova[[Ticker]:[Weight]],2,FALSE),0%)</f>
        <v>0</v>
      </c>
      <c r="BGU4" s="179">
        <f>IFERROR(VLOOKUP(BGU$1,Innova[[Ticker]:[Weight]],2,FALSE),0%)</f>
        <v>0</v>
      </c>
      <c r="BGV4" s="179">
        <f>IFERROR(VLOOKUP(BGV$1,Innova[[Ticker]:[Weight]],2,FALSE),0%)</f>
        <v>0</v>
      </c>
      <c r="BGW4" s="179">
        <f>IFERROR(VLOOKUP(BGW$1,Innova[[Ticker]:[Weight]],2,FALSE),0%)</f>
        <v>0</v>
      </c>
      <c r="BGX4" s="179">
        <f>IFERROR(VLOOKUP(BGX$1,Innova[[Ticker]:[Weight]],2,FALSE),0%)</f>
        <v>0</v>
      </c>
      <c r="BGY4" s="179">
        <f>IFERROR(VLOOKUP(BGY$1,Innova[[Ticker]:[Weight]],2,FALSE),0%)</f>
        <v>0</v>
      </c>
      <c r="BGZ4" s="179">
        <f>IFERROR(VLOOKUP(BGZ$1,Innova[[Ticker]:[Weight]],2,FALSE),0%)</f>
        <v>0</v>
      </c>
      <c r="BHA4" s="179">
        <f>IFERROR(VLOOKUP(BHA$1,Innova[[Ticker]:[Weight]],2,FALSE),0%)</f>
        <v>0</v>
      </c>
      <c r="BHB4" s="179">
        <f>IFERROR(VLOOKUP(BHB$1,Innova[[Ticker]:[Weight]],2,FALSE),0%)</f>
        <v>0</v>
      </c>
      <c r="BHC4" s="179">
        <f>IFERROR(VLOOKUP(BHC$1,Innova[[Ticker]:[Weight]],2,FALSE),0%)</f>
        <v>0</v>
      </c>
      <c r="BHD4" s="179">
        <f>IFERROR(VLOOKUP(BHD$1,Innova[[Ticker]:[Weight]],2,FALSE),0%)</f>
        <v>0</v>
      </c>
      <c r="BHE4" s="179">
        <f>IFERROR(VLOOKUP(BHE$1,Innova[[Ticker]:[Weight]],2,FALSE),0%)</f>
        <v>0</v>
      </c>
      <c r="BHF4" s="179">
        <f>IFERROR(VLOOKUP(BHF$1,Innova[[Ticker]:[Weight]],2,FALSE),0%)</f>
        <v>0</v>
      </c>
      <c r="BHG4" s="179">
        <f>IFERROR(VLOOKUP(BHG$1,Innova[[Ticker]:[Weight]],2,FALSE),0%)</f>
        <v>0</v>
      </c>
      <c r="BHH4" s="179">
        <f>IFERROR(VLOOKUP(BHH$1,Innova[[Ticker]:[Weight]],2,FALSE),0%)</f>
        <v>0</v>
      </c>
      <c r="BHI4" s="179">
        <f>IFERROR(VLOOKUP(BHI$1,Innova[[Ticker]:[Weight]],2,FALSE),0%)</f>
        <v>0</v>
      </c>
      <c r="BHJ4" s="179">
        <f>IFERROR(VLOOKUP(BHJ$1,Innova[[Ticker]:[Weight]],2,FALSE),0%)</f>
        <v>0</v>
      </c>
      <c r="BHK4" s="179">
        <f>IFERROR(VLOOKUP(BHK$1,Innova[[Ticker]:[Weight]],2,FALSE),0%)</f>
        <v>0</v>
      </c>
      <c r="BHL4" s="179">
        <f>IFERROR(VLOOKUP(BHL$1,Innova[[Ticker]:[Weight]],2,FALSE),0%)</f>
        <v>0</v>
      </c>
      <c r="BHM4" s="179">
        <f>IFERROR(VLOOKUP(BHM$1,Innova[[Ticker]:[Weight]],2,FALSE),0%)</f>
        <v>0</v>
      </c>
      <c r="BHN4" s="179">
        <f>IFERROR(VLOOKUP(BHN$1,Innova[[Ticker]:[Weight]],2,FALSE),0%)</f>
        <v>0</v>
      </c>
      <c r="BHO4" s="179">
        <f>IFERROR(VLOOKUP(BHO$1,Innova[[Ticker]:[Weight]],2,FALSE),0%)</f>
        <v>0</v>
      </c>
      <c r="BHP4" s="179">
        <f>IFERROR(VLOOKUP(BHP$1,Innova[[Ticker]:[Weight]],2,FALSE),0%)</f>
        <v>0</v>
      </c>
      <c r="BHQ4" s="179">
        <f>IFERROR(VLOOKUP(BHQ$1,Innova[[Ticker]:[Weight]],2,FALSE),0%)</f>
        <v>0</v>
      </c>
      <c r="BHR4" s="179">
        <f>IFERROR(VLOOKUP(BHR$1,Innova[[Ticker]:[Weight]],2,FALSE),0%)</f>
        <v>0</v>
      </c>
      <c r="BHS4" s="179">
        <f>IFERROR(VLOOKUP(BHS$1,Innova[[Ticker]:[Weight]],2,FALSE),0%)</f>
        <v>0</v>
      </c>
      <c r="BHT4" s="179">
        <f>IFERROR(VLOOKUP(BHT$1,Innova[[Ticker]:[Weight]],2,FALSE),0%)</f>
        <v>0</v>
      </c>
      <c r="BHU4" s="179">
        <f>IFERROR(VLOOKUP(BHU$1,Innova[[Ticker]:[Weight]],2,FALSE),0%)</f>
        <v>0</v>
      </c>
      <c r="BHV4" s="179">
        <f>IFERROR(VLOOKUP(BHV$1,Innova[[Ticker]:[Weight]],2,FALSE),0%)</f>
        <v>0</v>
      </c>
      <c r="BHW4" s="179">
        <f>IFERROR(VLOOKUP(BHW$1,Innova[[Ticker]:[Weight]],2,FALSE),0%)</f>
        <v>0</v>
      </c>
      <c r="BHX4" s="179">
        <f>IFERROR(VLOOKUP(BHX$1,Innova[[Ticker]:[Weight]],2,FALSE),0%)</f>
        <v>0</v>
      </c>
      <c r="BHY4" s="179">
        <f>IFERROR(VLOOKUP(BHY$1,Innova[[Ticker]:[Weight]],2,FALSE),0%)</f>
        <v>0</v>
      </c>
      <c r="BHZ4" s="179">
        <f>IFERROR(VLOOKUP(BHZ$1,Innova[[Ticker]:[Weight]],2,FALSE),0%)</f>
        <v>0</v>
      </c>
      <c r="BIA4" s="179">
        <f>IFERROR(VLOOKUP(BIA$1,Innova[[Ticker]:[Weight]],2,FALSE),0%)</f>
        <v>0</v>
      </c>
      <c r="BIB4" s="179">
        <f>IFERROR(VLOOKUP(BIB$1,Innova[[Ticker]:[Weight]],2,FALSE),0%)</f>
        <v>0</v>
      </c>
      <c r="BIC4" s="179">
        <f>IFERROR(VLOOKUP(BIC$1,Innova[[Ticker]:[Weight]],2,FALSE),0%)</f>
        <v>0</v>
      </c>
      <c r="BID4" s="179">
        <f>IFERROR(VLOOKUP(BID$1,Innova[[Ticker]:[Weight]],2,FALSE),0%)</f>
        <v>0</v>
      </c>
      <c r="BIE4" s="179">
        <f>IFERROR(VLOOKUP(BIE$1,Innova[[Ticker]:[Weight]],2,FALSE),0%)</f>
        <v>0</v>
      </c>
      <c r="BIF4" s="179">
        <f>IFERROR(VLOOKUP(BIF$1,Innova[[Ticker]:[Weight]],2,FALSE),0%)</f>
        <v>0</v>
      </c>
      <c r="BIG4" s="179">
        <f>IFERROR(VLOOKUP(BIG$1,Innova[[Ticker]:[Weight]],2,FALSE),0%)</f>
        <v>0</v>
      </c>
      <c r="BIH4" s="179">
        <f>IFERROR(VLOOKUP(BIH$1,Innova[[Ticker]:[Weight]],2,FALSE),0%)</f>
        <v>0</v>
      </c>
      <c r="BII4" s="179">
        <f>IFERROR(VLOOKUP(BII$1,Innova[[Ticker]:[Weight]],2,FALSE),0%)</f>
        <v>0</v>
      </c>
      <c r="BIJ4" s="179">
        <f>IFERROR(VLOOKUP(BIJ$1,Innova[[Ticker]:[Weight]],2,FALSE),0%)</f>
        <v>0</v>
      </c>
      <c r="BIK4" s="179">
        <f>IFERROR(VLOOKUP(BIK$1,Innova[[Ticker]:[Weight]],2,FALSE),0%)</f>
        <v>0</v>
      </c>
      <c r="BIL4" s="179">
        <f>IFERROR(VLOOKUP(BIL$1,Innova[[Ticker]:[Weight]],2,FALSE),0%)</f>
        <v>0</v>
      </c>
      <c r="BIM4" s="179">
        <f>IFERROR(VLOOKUP(BIM$1,Innova[[Ticker]:[Weight]],2,FALSE),0%)</f>
        <v>0</v>
      </c>
      <c r="BIN4" s="179">
        <f>IFERROR(VLOOKUP(BIN$1,Innova[[Ticker]:[Weight]],2,FALSE),0%)</f>
        <v>0</v>
      </c>
      <c r="BIO4" s="179">
        <f>IFERROR(VLOOKUP(BIO$1,Innova[[Ticker]:[Weight]],2,FALSE),0%)</f>
        <v>0</v>
      </c>
      <c r="BIP4" s="179">
        <f>IFERROR(VLOOKUP(BIP$1,Innova[[Ticker]:[Weight]],2,FALSE),0%)</f>
        <v>0</v>
      </c>
      <c r="BIQ4" s="179">
        <f>IFERROR(VLOOKUP(BIQ$1,Innova[[Ticker]:[Weight]],2,FALSE),0%)</f>
        <v>0</v>
      </c>
      <c r="BIR4" s="179">
        <f>IFERROR(VLOOKUP(BIR$1,Innova[[Ticker]:[Weight]],2,FALSE),0%)</f>
        <v>0</v>
      </c>
      <c r="BIS4" s="179">
        <f>IFERROR(VLOOKUP(BIS$1,Innova[[Ticker]:[Weight]],2,FALSE),0%)</f>
        <v>0</v>
      </c>
      <c r="BIT4" s="179">
        <f>IFERROR(VLOOKUP(BIT$1,Innova[[Ticker]:[Weight]],2,FALSE),0%)</f>
        <v>0</v>
      </c>
      <c r="BIU4" s="179">
        <f>IFERROR(VLOOKUP(BIU$1,Innova[[Ticker]:[Weight]],2,FALSE),0%)</f>
        <v>0</v>
      </c>
      <c r="BIV4" s="179">
        <f>IFERROR(VLOOKUP(BIV$1,Innova[[Ticker]:[Weight]],2,FALSE),0%)</f>
        <v>0</v>
      </c>
      <c r="BIW4" s="179">
        <f>IFERROR(VLOOKUP(BIW$1,Innova[[Ticker]:[Weight]],2,FALSE),0%)</f>
        <v>0</v>
      </c>
      <c r="BIX4" s="179">
        <f>IFERROR(VLOOKUP(BIX$1,Innova[[Ticker]:[Weight]],2,FALSE),0%)</f>
        <v>0</v>
      </c>
      <c r="BIY4" s="179">
        <f>IFERROR(VLOOKUP(BIY$1,Innova[[Ticker]:[Weight]],2,FALSE),0%)</f>
        <v>0</v>
      </c>
      <c r="BIZ4" s="179">
        <f>IFERROR(VLOOKUP(BIZ$1,Innova[[Ticker]:[Weight]],2,FALSE),0%)</f>
        <v>0</v>
      </c>
      <c r="BJA4" s="179">
        <f>IFERROR(VLOOKUP(BJA$1,Innova[[Ticker]:[Weight]],2,FALSE),0%)</f>
        <v>0</v>
      </c>
      <c r="BJB4" s="179">
        <f>IFERROR(VLOOKUP(BJB$1,Innova[[Ticker]:[Weight]],2,FALSE),0%)</f>
        <v>0</v>
      </c>
      <c r="BJC4" s="179">
        <f>IFERROR(VLOOKUP(BJC$1,Innova[[Ticker]:[Weight]],2,FALSE),0%)</f>
        <v>0</v>
      </c>
      <c r="BJD4" s="179">
        <f>IFERROR(VLOOKUP(BJD$1,Innova[[Ticker]:[Weight]],2,FALSE),0%)</f>
        <v>0</v>
      </c>
      <c r="BJE4" s="179">
        <f>IFERROR(VLOOKUP(BJE$1,Innova[[Ticker]:[Weight]],2,FALSE),0%)</f>
        <v>0</v>
      </c>
      <c r="BJF4" s="179">
        <f>IFERROR(VLOOKUP(BJF$1,Innova[[Ticker]:[Weight]],2,FALSE),0%)</f>
        <v>0</v>
      </c>
      <c r="BJG4" s="179">
        <f>IFERROR(VLOOKUP(BJG$1,Innova[[Ticker]:[Weight]],2,FALSE),0%)</f>
        <v>0</v>
      </c>
      <c r="BJH4" s="179">
        <f>IFERROR(VLOOKUP(BJH$1,Innova[[Ticker]:[Weight]],2,FALSE),0%)</f>
        <v>0</v>
      </c>
      <c r="BJI4" s="179">
        <f>IFERROR(VLOOKUP(BJI$1,Innova[[Ticker]:[Weight]],2,FALSE),0%)</f>
        <v>0</v>
      </c>
      <c r="BJJ4" s="179">
        <f>IFERROR(VLOOKUP(BJJ$1,Innova[[Ticker]:[Weight]],2,FALSE),0%)</f>
        <v>0</v>
      </c>
      <c r="BJK4" s="179">
        <f>IFERROR(VLOOKUP(BJK$1,Innova[[Ticker]:[Weight]],2,FALSE),0%)</f>
        <v>0</v>
      </c>
      <c r="BJL4" s="179">
        <f>IFERROR(VLOOKUP(BJL$1,Innova[[Ticker]:[Weight]],2,FALSE),0%)</f>
        <v>0</v>
      </c>
      <c r="BJM4" s="179">
        <f>IFERROR(VLOOKUP(BJM$1,Innova[[Ticker]:[Weight]],2,FALSE),0%)</f>
        <v>0</v>
      </c>
      <c r="BJN4" s="179">
        <f>IFERROR(VLOOKUP(BJN$1,Innova[[Ticker]:[Weight]],2,FALSE),0%)</f>
        <v>0</v>
      </c>
      <c r="BJO4" s="179">
        <f>IFERROR(VLOOKUP(BJO$1,Innova[[Ticker]:[Weight]],2,FALSE),0%)</f>
        <v>0</v>
      </c>
      <c r="BJP4" s="179">
        <f>IFERROR(VLOOKUP(BJP$1,Innova[[Ticker]:[Weight]],2,FALSE),0%)</f>
        <v>0</v>
      </c>
      <c r="BJQ4" s="179">
        <f>IFERROR(VLOOKUP(BJQ$1,Innova[[Ticker]:[Weight]],2,FALSE),0%)</f>
        <v>0</v>
      </c>
      <c r="BJR4" s="179">
        <f>IFERROR(VLOOKUP(BJR$1,Innova[[Ticker]:[Weight]],2,FALSE),0%)</f>
        <v>0</v>
      </c>
      <c r="BJS4" s="179">
        <f>IFERROR(VLOOKUP(BJS$1,Innova[[Ticker]:[Weight]],2,FALSE),0%)</f>
        <v>0</v>
      </c>
      <c r="BJT4" s="179">
        <f>IFERROR(VLOOKUP(BJT$1,Innova[[Ticker]:[Weight]],2,FALSE),0%)</f>
        <v>0</v>
      </c>
      <c r="BJU4" s="179">
        <f>IFERROR(VLOOKUP(BJU$1,Innova[[Ticker]:[Weight]],2,FALSE),0%)</f>
        <v>0</v>
      </c>
      <c r="BJV4" s="179">
        <f>IFERROR(VLOOKUP(BJV$1,Innova[[Ticker]:[Weight]],2,FALSE),0%)</f>
        <v>0</v>
      </c>
      <c r="BJW4" s="179">
        <f>IFERROR(VLOOKUP(BJW$1,Innova[[Ticker]:[Weight]],2,FALSE),0%)</f>
        <v>0</v>
      </c>
      <c r="BJX4" s="179">
        <f>IFERROR(VLOOKUP(BJX$1,Innova[[Ticker]:[Weight]],2,FALSE),0%)</f>
        <v>0</v>
      </c>
      <c r="BJY4" s="179">
        <f>IFERROR(VLOOKUP(BJY$1,Innova[[Ticker]:[Weight]],2,FALSE),0%)</f>
        <v>0</v>
      </c>
      <c r="BJZ4" s="179">
        <f>IFERROR(VLOOKUP(BJZ$1,Innova[[Ticker]:[Weight]],2,FALSE),0%)</f>
        <v>0</v>
      </c>
      <c r="BKA4" s="179">
        <f>IFERROR(VLOOKUP(BKA$1,Innova[[Ticker]:[Weight]],2,FALSE),0%)</f>
        <v>0</v>
      </c>
      <c r="BKB4" s="179">
        <f>IFERROR(VLOOKUP(BKB$1,Innova[[Ticker]:[Weight]],2,FALSE),0%)</f>
        <v>0</v>
      </c>
      <c r="BKC4" s="179">
        <f>IFERROR(VLOOKUP(BKC$1,Innova[[Ticker]:[Weight]],2,FALSE),0%)</f>
        <v>0</v>
      </c>
      <c r="BKD4" s="179">
        <f>IFERROR(VLOOKUP(BKD$1,Innova[[Ticker]:[Weight]],2,FALSE),0%)</f>
        <v>0</v>
      </c>
      <c r="BKE4" s="179">
        <f>IFERROR(VLOOKUP(BKE$1,Innova[[Ticker]:[Weight]],2,FALSE),0%)</f>
        <v>0</v>
      </c>
      <c r="BKF4" s="179">
        <f>IFERROR(VLOOKUP(BKF$1,Innova[[Ticker]:[Weight]],2,FALSE),0%)</f>
        <v>0</v>
      </c>
      <c r="BKG4" s="179">
        <f>IFERROR(VLOOKUP(BKG$1,Innova[[Ticker]:[Weight]],2,FALSE),0%)</f>
        <v>0</v>
      </c>
      <c r="BKH4" s="179">
        <f>IFERROR(VLOOKUP(BKH$1,Innova[[Ticker]:[Weight]],2,FALSE),0%)</f>
        <v>0</v>
      </c>
      <c r="BKI4" s="179">
        <f>IFERROR(VLOOKUP(BKI$1,Innova[[Ticker]:[Weight]],2,FALSE),0%)</f>
        <v>0</v>
      </c>
      <c r="BKJ4" s="179">
        <f>IFERROR(VLOOKUP(BKJ$1,Innova[[Ticker]:[Weight]],2,FALSE),0%)</f>
        <v>0</v>
      </c>
      <c r="BKK4" s="179">
        <f>IFERROR(VLOOKUP(BKK$1,Innova[[Ticker]:[Weight]],2,FALSE),0%)</f>
        <v>0</v>
      </c>
      <c r="BKL4" s="179">
        <f>IFERROR(VLOOKUP(BKL$1,Innova[[Ticker]:[Weight]],2,FALSE),0%)</f>
        <v>0</v>
      </c>
      <c r="BKM4" s="179">
        <f>IFERROR(VLOOKUP(BKM$1,Innova[[Ticker]:[Weight]],2,FALSE),0%)</f>
        <v>0</v>
      </c>
      <c r="BKN4" s="179">
        <f>IFERROR(VLOOKUP(BKN$1,Innova[[Ticker]:[Weight]],2,FALSE),0%)</f>
        <v>0</v>
      </c>
      <c r="BKO4" s="179">
        <f>IFERROR(VLOOKUP(BKO$1,Innova[[Ticker]:[Weight]],2,FALSE),0%)</f>
        <v>0</v>
      </c>
      <c r="BKP4" s="179">
        <f>IFERROR(VLOOKUP(BKP$1,Innova[[Ticker]:[Weight]],2,FALSE),0%)</f>
        <v>0</v>
      </c>
      <c r="BKQ4" s="179">
        <f>IFERROR(VLOOKUP(BKQ$1,Innova[[Ticker]:[Weight]],2,FALSE),0%)</f>
        <v>0</v>
      </c>
      <c r="BKR4" s="179">
        <f>IFERROR(VLOOKUP(BKR$1,Innova[[Ticker]:[Weight]],2,FALSE),0%)</f>
        <v>0</v>
      </c>
      <c r="BKS4" s="179">
        <f>IFERROR(VLOOKUP(BKS$1,Innova[[Ticker]:[Weight]],2,FALSE),0%)</f>
        <v>0</v>
      </c>
      <c r="BKT4" s="179">
        <f>IFERROR(VLOOKUP(BKT$1,Innova[[Ticker]:[Weight]],2,FALSE),0%)</f>
        <v>0</v>
      </c>
      <c r="BKU4" s="179">
        <f>IFERROR(VLOOKUP(BKU$1,Innova[[Ticker]:[Weight]],2,FALSE),0%)</f>
        <v>0</v>
      </c>
      <c r="BKV4" s="179">
        <f>IFERROR(VLOOKUP(BKV$1,Innova[[Ticker]:[Weight]],2,FALSE),0%)</f>
        <v>0</v>
      </c>
      <c r="BKW4" s="179">
        <f>IFERROR(VLOOKUP(BKW$1,Innova[[Ticker]:[Weight]],2,FALSE),0%)</f>
        <v>0</v>
      </c>
      <c r="BKX4" s="179">
        <f>IFERROR(VLOOKUP(BKX$1,Innova[[Ticker]:[Weight]],2,FALSE),0%)</f>
        <v>0</v>
      </c>
      <c r="BKY4" s="179">
        <f>IFERROR(VLOOKUP(BKY$1,Innova[[Ticker]:[Weight]],2,FALSE),0%)</f>
        <v>0</v>
      </c>
      <c r="BKZ4" s="179">
        <f>IFERROR(VLOOKUP(BKZ$1,Innova[[Ticker]:[Weight]],2,FALSE),0%)</f>
        <v>0</v>
      </c>
      <c r="BLA4" s="179">
        <f>IFERROR(VLOOKUP(BLA$1,Innova[[Ticker]:[Weight]],2,FALSE),0%)</f>
        <v>0</v>
      </c>
      <c r="BLB4" s="179">
        <f>IFERROR(VLOOKUP(BLB$1,Innova[[Ticker]:[Weight]],2,FALSE),0%)</f>
        <v>0</v>
      </c>
      <c r="BLC4" s="179">
        <f>IFERROR(VLOOKUP(BLC$1,Innova[[Ticker]:[Weight]],2,FALSE),0%)</f>
        <v>0</v>
      </c>
      <c r="BLD4" s="179">
        <f>IFERROR(VLOOKUP(BLD$1,Innova[[Ticker]:[Weight]],2,FALSE),0%)</f>
        <v>0</v>
      </c>
      <c r="BLE4" s="179">
        <f>IFERROR(VLOOKUP(BLE$1,Innova[[Ticker]:[Weight]],2,FALSE),0%)</f>
        <v>0</v>
      </c>
      <c r="BLF4" s="179">
        <f>IFERROR(VLOOKUP(BLF$1,Innova[[Ticker]:[Weight]],2,FALSE),0%)</f>
        <v>0</v>
      </c>
      <c r="BLG4" s="179">
        <f>IFERROR(VLOOKUP(BLG$1,Innova[[Ticker]:[Weight]],2,FALSE),0%)</f>
        <v>0</v>
      </c>
      <c r="BLH4" s="179">
        <f>IFERROR(VLOOKUP(BLH$1,Innova[[Ticker]:[Weight]],2,FALSE),0%)</f>
        <v>0</v>
      </c>
      <c r="BLI4" s="179">
        <f>IFERROR(VLOOKUP(BLI$1,Innova[[Ticker]:[Weight]],2,FALSE),0%)</f>
        <v>0</v>
      </c>
      <c r="BLJ4" s="179">
        <f>IFERROR(VLOOKUP(BLJ$1,Innova[[Ticker]:[Weight]],2,FALSE),0%)</f>
        <v>0</v>
      </c>
      <c r="BLK4" s="179">
        <f>IFERROR(VLOOKUP(BLK$1,Innova[[Ticker]:[Weight]],2,FALSE),0%)</f>
        <v>0</v>
      </c>
      <c r="BLL4" s="179">
        <f>IFERROR(VLOOKUP(BLL$1,Innova[[Ticker]:[Weight]],2,FALSE),0%)</f>
        <v>0</v>
      </c>
      <c r="BLM4" s="179">
        <f>IFERROR(VLOOKUP(BLM$1,Innova[[Ticker]:[Weight]],2,FALSE),0%)</f>
        <v>0</v>
      </c>
      <c r="BLN4" s="179">
        <f>IFERROR(VLOOKUP(BLN$1,Innova[[Ticker]:[Weight]],2,FALSE),0%)</f>
        <v>0</v>
      </c>
      <c r="BLO4" s="179">
        <f>IFERROR(VLOOKUP(BLO$1,Innova[[Ticker]:[Weight]],2,FALSE),0%)</f>
        <v>0</v>
      </c>
      <c r="BLP4" s="179">
        <f>IFERROR(VLOOKUP(BLP$1,Innova[[Ticker]:[Weight]],2,FALSE),0%)</f>
        <v>0</v>
      </c>
      <c r="BLQ4" s="179">
        <f>IFERROR(VLOOKUP(BLQ$1,Innova[[Ticker]:[Weight]],2,FALSE),0%)</f>
        <v>0</v>
      </c>
      <c r="BLR4" s="179">
        <f>IFERROR(VLOOKUP(BLR$1,Innova[[Ticker]:[Weight]],2,FALSE),0%)</f>
        <v>0</v>
      </c>
      <c r="BLS4" s="179">
        <f>IFERROR(VLOOKUP(BLS$1,Innova[[Ticker]:[Weight]],2,FALSE),0%)</f>
        <v>0</v>
      </c>
      <c r="BLT4" s="179">
        <f>IFERROR(VLOOKUP(BLT$1,Innova[[Ticker]:[Weight]],2,FALSE),0%)</f>
        <v>0</v>
      </c>
      <c r="BLU4" s="179">
        <f>IFERROR(VLOOKUP(BLU$1,Innova[[Ticker]:[Weight]],2,FALSE),0%)</f>
        <v>0</v>
      </c>
      <c r="BLV4" s="179">
        <f>IFERROR(VLOOKUP(BLV$1,Innova[[Ticker]:[Weight]],2,FALSE),0%)</f>
        <v>0</v>
      </c>
      <c r="BLW4" s="179">
        <f>IFERROR(VLOOKUP(BLW$1,Innova[[Ticker]:[Weight]],2,FALSE),0%)</f>
        <v>0</v>
      </c>
      <c r="BLX4" s="179">
        <f>IFERROR(VLOOKUP(BLX$1,Innova[[Ticker]:[Weight]],2,FALSE),0%)</f>
        <v>0</v>
      </c>
      <c r="BLY4" s="179">
        <f>IFERROR(VLOOKUP(BLY$1,Innova[[Ticker]:[Weight]],2,FALSE),0%)</f>
        <v>0</v>
      </c>
      <c r="BLZ4" s="179">
        <f>IFERROR(VLOOKUP(BLZ$1,Innova[[Ticker]:[Weight]],2,FALSE),0%)</f>
        <v>0</v>
      </c>
      <c r="BMA4" s="179">
        <f>IFERROR(VLOOKUP(BMA$1,Innova[[Ticker]:[Weight]],2,FALSE),0%)</f>
        <v>0</v>
      </c>
      <c r="BMB4" s="179">
        <f>IFERROR(VLOOKUP(BMB$1,Innova[[Ticker]:[Weight]],2,FALSE),0%)</f>
        <v>0</v>
      </c>
      <c r="BMC4" s="179">
        <f>IFERROR(VLOOKUP(BMC$1,Innova[[Ticker]:[Weight]],2,FALSE),0%)</f>
        <v>0</v>
      </c>
      <c r="BMD4" s="179">
        <f>IFERROR(VLOOKUP(BMD$1,Innova[[Ticker]:[Weight]],2,FALSE),0%)</f>
        <v>0</v>
      </c>
      <c r="BME4" s="179">
        <f>IFERROR(VLOOKUP(BME$1,Innova[[Ticker]:[Weight]],2,FALSE),0%)</f>
        <v>0</v>
      </c>
      <c r="BMF4" s="179">
        <f>IFERROR(VLOOKUP(BMF$1,Innova[[Ticker]:[Weight]],2,FALSE),0%)</f>
        <v>0</v>
      </c>
      <c r="BMG4" s="179">
        <f>IFERROR(VLOOKUP(BMG$1,Innova[[Ticker]:[Weight]],2,FALSE),0%)</f>
        <v>0</v>
      </c>
      <c r="BMH4" s="179">
        <f>IFERROR(VLOOKUP(BMH$1,Innova[[Ticker]:[Weight]],2,FALSE),0%)</f>
        <v>0</v>
      </c>
      <c r="BMI4" s="179">
        <f>IFERROR(VLOOKUP(BMI$1,Innova[[Ticker]:[Weight]],2,FALSE),0%)</f>
        <v>0</v>
      </c>
      <c r="BMJ4" s="179">
        <f>IFERROR(VLOOKUP(BMJ$1,Innova[[Ticker]:[Weight]],2,FALSE),0%)</f>
        <v>0</v>
      </c>
      <c r="BMK4" s="179">
        <f>IFERROR(VLOOKUP(BMK$1,Innova[[Ticker]:[Weight]],2,FALSE),0%)</f>
        <v>0</v>
      </c>
      <c r="BML4" s="179">
        <f>IFERROR(VLOOKUP(BML$1,Innova[[Ticker]:[Weight]],2,FALSE),0%)</f>
        <v>0</v>
      </c>
      <c r="BMM4" s="179">
        <f>IFERROR(VLOOKUP(BMM$1,Innova[[Ticker]:[Weight]],2,FALSE),0%)</f>
        <v>0</v>
      </c>
      <c r="BMN4" s="179">
        <f>IFERROR(VLOOKUP(BMN$1,Innova[[Ticker]:[Weight]],2,FALSE),0%)</f>
        <v>0</v>
      </c>
      <c r="BMO4" s="179">
        <f>IFERROR(VLOOKUP(BMO$1,Innova[[Ticker]:[Weight]],2,FALSE),0%)</f>
        <v>0</v>
      </c>
      <c r="BMP4" s="179">
        <f>IFERROR(VLOOKUP(BMP$1,Innova[[Ticker]:[Weight]],2,FALSE),0%)</f>
        <v>0</v>
      </c>
      <c r="BMQ4" s="179">
        <f>IFERROR(VLOOKUP(BMQ$1,Innova[[Ticker]:[Weight]],2,FALSE),0%)</f>
        <v>0</v>
      </c>
      <c r="BMR4" s="179">
        <f>IFERROR(VLOOKUP(BMR$1,Innova[[Ticker]:[Weight]],2,FALSE),0%)</f>
        <v>0</v>
      </c>
      <c r="BMS4" s="179">
        <f>IFERROR(VLOOKUP(BMS$1,Innova[[Ticker]:[Weight]],2,FALSE),0%)</f>
        <v>0</v>
      </c>
      <c r="BMT4" s="179">
        <f>IFERROR(VLOOKUP(BMT$1,Innova[[Ticker]:[Weight]],2,FALSE),0%)</f>
        <v>0</v>
      </c>
      <c r="BMU4" s="179">
        <f>IFERROR(VLOOKUP(BMU$1,Innova[[Ticker]:[Weight]],2,FALSE),0%)</f>
        <v>0</v>
      </c>
      <c r="BMV4" s="179">
        <f>IFERROR(VLOOKUP(BMV$1,Innova[[Ticker]:[Weight]],2,FALSE),0%)</f>
        <v>0</v>
      </c>
      <c r="BMW4" s="179">
        <f>IFERROR(VLOOKUP(BMW$1,Innova[[Ticker]:[Weight]],2,FALSE),0%)</f>
        <v>0</v>
      </c>
      <c r="BMX4" s="179">
        <f>IFERROR(VLOOKUP(BMX$1,Innova[[Ticker]:[Weight]],2,FALSE),0%)</f>
        <v>0</v>
      </c>
      <c r="BMY4" s="179">
        <f>IFERROR(VLOOKUP(BMY$1,Innova[[Ticker]:[Weight]],2,FALSE),0%)</f>
        <v>0</v>
      </c>
      <c r="BMZ4" s="179">
        <f>IFERROR(VLOOKUP(BMZ$1,Innova[[Ticker]:[Weight]],2,FALSE),0%)</f>
        <v>0</v>
      </c>
      <c r="BNA4" s="179">
        <f>IFERROR(VLOOKUP(BNA$1,Innova[[Ticker]:[Weight]],2,FALSE),0%)</f>
        <v>0</v>
      </c>
      <c r="BNB4" s="179">
        <f>IFERROR(VLOOKUP(BNB$1,Innova[[Ticker]:[Weight]],2,FALSE),0%)</f>
        <v>0</v>
      </c>
      <c r="BNC4" s="179">
        <f>IFERROR(VLOOKUP(BNC$1,Innova[[Ticker]:[Weight]],2,FALSE),0%)</f>
        <v>0</v>
      </c>
      <c r="BND4" s="179">
        <f>IFERROR(VLOOKUP(BND$1,Innova[[Ticker]:[Weight]],2,FALSE),0%)</f>
        <v>0</v>
      </c>
      <c r="BNE4" s="179">
        <f>IFERROR(VLOOKUP(BNE$1,Innova[[Ticker]:[Weight]],2,FALSE),0%)</f>
        <v>0</v>
      </c>
      <c r="BNF4" s="179">
        <f>IFERROR(VLOOKUP(BNF$1,Innova[[Ticker]:[Weight]],2,FALSE),0%)</f>
        <v>0</v>
      </c>
      <c r="BNG4" s="179">
        <f>IFERROR(VLOOKUP(BNG$1,Innova[[Ticker]:[Weight]],2,FALSE),0%)</f>
        <v>0</v>
      </c>
      <c r="BNH4" s="179">
        <f>IFERROR(VLOOKUP(BNH$1,Innova[[Ticker]:[Weight]],2,FALSE),0%)</f>
        <v>0</v>
      </c>
      <c r="BNI4" s="179">
        <f>IFERROR(VLOOKUP(BNI$1,Innova[[Ticker]:[Weight]],2,FALSE),0%)</f>
        <v>0</v>
      </c>
      <c r="BNJ4" s="179">
        <f>IFERROR(VLOOKUP(BNJ$1,Innova[[Ticker]:[Weight]],2,FALSE),0%)</f>
        <v>0</v>
      </c>
      <c r="BNK4" s="179">
        <f>IFERROR(VLOOKUP(BNK$1,Innova[[Ticker]:[Weight]],2,FALSE),0%)</f>
        <v>0</v>
      </c>
      <c r="BNL4" s="179">
        <f>IFERROR(VLOOKUP(BNL$1,Innova[[Ticker]:[Weight]],2,FALSE),0%)</f>
        <v>0</v>
      </c>
      <c r="BNM4" s="179">
        <f>IFERROR(VLOOKUP(BNM$1,Innova[[Ticker]:[Weight]],2,FALSE),0%)</f>
        <v>0</v>
      </c>
      <c r="BNN4" s="179">
        <f>IFERROR(VLOOKUP(BNN$1,Innova[[Ticker]:[Weight]],2,FALSE),0%)</f>
        <v>0</v>
      </c>
      <c r="BNO4" s="179">
        <f>IFERROR(VLOOKUP(BNO$1,Innova[[Ticker]:[Weight]],2,FALSE),0%)</f>
        <v>0</v>
      </c>
      <c r="BNP4" s="179">
        <f>IFERROR(VLOOKUP(BNP$1,Innova[[Ticker]:[Weight]],2,FALSE),0%)</f>
        <v>0</v>
      </c>
      <c r="BNQ4" s="179">
        <f>IFERROR(VLOOKUP(BNQ$1,Innova[[Ticker]:[Weight]],2,FALSE),0%)</f>
        <v>0</v>
      </c>
      <c r="BNR4" s="179">
        <f>IFERROR(VLOOKUP(BNR$1,Innova[[Ticker]:[Weight]],2,FALSE),0%)</f>
        <v>0</v>
      </c>
      <c r="BNS4" s="179">
        <f>IFERROR(VLOOKUP(BNS$1,Innova[[Ticker]:[Weight]],2,FALSE),0%)</f>
        <v>0</v>
      </c>
      <c r="BNT4" s="179">
        <f>IFERROR(VLOOKUP(BNT$1,Innova[[Ticker]:[Weight]],2,FALSE),0%)</f>
        <v>0</v>
      </c>
      <c r="BNU4" s="179">
        <f>IFERROR(VLOOKUP(BNU$1,Innova[[Ticker]:[Weight]],2,FALSE),0%)</f>
        <v>0</v>
      </c>
      <c r="BNV4" s="179">
        <f>IFERROR(VLOOKUP(BNV$1,Innova[[Ticker]:[Weight]],2,FALSE),0%)</f>
        <v>0</v>
      </c>
      <c r="BNW4" s="179">
        <f>IFERROR(VLOOKUP(BNW$1,Innova[[Ticker]:[Weight]],2,FALSE),0%)</f>
        <v>0</v>
      </c>
      <c r="BNX4" s="179">
        <f>IFERROR(VLOOKUP(BNX$1,Innova[[Ticker]:[Weight]],2,FALSE),0%)</f>
        <v>0</v>
      </c>
      <c r="BNY4" s="179">
        <f>IFERROR(VLOOKUP(BNY$1,Innova[[Ticker]:[Weight]],2,FALSE),0%)</f>
        <v>0</v>
      </c>
      <c r="BNZ4" s="179">
        <f>IFERROR(VLOOKUP(BNZ$1,Innova[[Ticker]:[Weight]],2,FALSE),0%)</f>
        <v>0</v>
      </c>
      <c r="BOA4" s="179">
        <f>IFERROR(VLOOKUP(BOA$1,Innova[[Ticker]:[Weight]],2,FALSE),0%)</f>
        <v>0</v>
      </c>
      <c r="BOB4" s="179">
        <f>IFERROR(VLOOKUP(BOB$1,Innova[[Ticker]:[Weight]],2,FALSE),0%)</f>
        <v>0</v>
      </c>
      <c r="BOC4" s="179">
        <f>IFERROR(VLOOKUP(BOC$1,Innova[[Ticker]:[Weight]],2,FALSE),0%)</f>
        <v>0</v>
      </c>
      <c r="BOD4" s="179">
        <f>IFERROR(VLOOKUP(BOD$1,Innova[[Ticker]:[Weight]],2,FALSE),0%)</f>
        <v>0</v>
      </c>
      <c r="BOE4" s="179">
        <f>IFERROR(VLOOKUP(BOE$1,Innova[[Ticker]:[Weight]],2,FALSE),0%)</f>
        <v>0</v>
      </c>
      <c r="BOF4" s="179">
        <f>IFERROR(VLOOKUP(BOF$1,Innova[[Ticker]:[Weight]],2,FALSE),0%)</f>
        <v>0</v>
      </c>
      <c r="BOG4" s="179">
        <f>IFERROR(VLOOKUP(BOG$1,Innova[[Ticker]:[Weight]],2,FALSE),0%)</f>
        <v>0</v>
      </c>
      <c r="BOH4" s="179">
        <f>IFERROR(VLOOKUP(BOH$1,Innova[[Ticker]:[Weight]],2,FALSE),0%)</f>
        <v>0</v>
      </c>
      <c r="BOI4" s="179">
        <f>IFERROR(VLOOKUP(BOI$1,Innova[[Ticker]:[Weight]],2,FALSE),0%)</f>
        <v>0</v>
      </c>
      <c r="BOJ4" s="179">
        <f>IFERROR(VLOOKUP(BOJ$1,Innova[[Ticker]:[Weight]],2,FALSE),0%)</f>
        <v>0</v>
      </c>
      <c r="BOK4" s="179">
        <f>IFERROR(VLOOKUP(BOK$1,Innova[[Ticker]:[Weight]],2,FALSE),0%)</f>
        <v>0</v>
      </c>
      <c r="BOL4" s="179">
        <f>IFERROR(VLOOKUP(BOL$1,Innova[[Ticker]:[Weight]],2,FALSE),0%)</f>
        <v>0</v>
      </c>
      <c r="BOM4" s="179">
        <f>IFERROR(VLOOKUP(BOM$1,Innova[[Ticker]:[Weight]],2,FALSE),0%)</f>
        <v>0</v>
      </c>
      <c r="BON4" s="179">
        <f>IFERROR(VLOOKUP(BON$1,Innova[[Ticker]:[Weight]],2,FALSE),0%)</f>
        <v>0</v>
      </c>
      <c r="BOO4" s="179">
        <f>IFERROR(VLOOKUP(BOO$1,Innova[[Ticker]:[Weight]],2,FALSE),0%)</f>
        <v>0</v>
      </c>
      <c r="BOP4" s="179">
        <f>IFERROR(VLOOKUP(BOP$1,Innova[[Ticker]:[Weight]],2,FALSE),0%)</f>
        <v>0</v>
      </c>
      <c r="BOQ4" s="179">
        <f>IFERROR(VLOOKUP(BOQ$1,Innova[[Ticker]:[Weight]],2,FALSE),0%)</f>
        <v>0</v>
      </c>
      <c r="BOR4" s="179">
        <f>IFERROR(VLOOKUP(BOR$1,Innova[[Ticker]:[Weight]],2,FALSE),0%)</f>
        <v>0</v>
      </c>
      <c r="BOS4" s="179">
        <f>IFERROR(VLOOKUP(BOS$1,Innova[[Ticker]:[Weight]],2,FALSE),0%)</f>
        <v>0</v>
      </c>
      <c r="BOT4" s="179">
        <f>IFERROR(VLOOKUP(BOT$1,Innova[[Ticker]:[Weight]],2,FALSE),0%)</f>
        <v>0</v>
      </c>
      <c r="BOU4" s="179">
        <f>IFERROR(VLOOKUP(BOU$1,Innova[[Ticker]:[Weight]],2,FALSE),0%)</f>
        <v>0</v>
      </c>
      <c r="BOV4" s="179">
        <f>IFERROR(VLOOKUP(BOV$1,Innova[[Ticker]:[Weight]],2,FALSE),0%)</f>
        <v>0</v>
      </c>
      <c r="BOW4" s="179">
        <f>IFERROR(VLOOKUP(BOW$1,Innova[[Ticker]:[Weight]],2,FALSE),0%)</f>
        <v>0</v>
      </c>
      <c r="BOX4" s="179">
        <f>IFERROR(VLOOKUP(BOX$1,Innova[[Ticker]:[Weight]],2,FALSE),0%)</f>
        <v>0</v>
      </c>
      <c r="BOY4" s="179">
        <f>IFERROR(VLOOKUP(BOY$1,Innova[[Ticker]:[Weight]],2,FALSE),0%)</f>
        <v>0</v>
      </c>
      <c r="BOZ4" s="179">
        <f>IFERROR(VLOOKUP(BOZ$1,Innova[[Ticker]:[Weight]],2,FALSE),0%)</f>
        <v>0</v>
      </c>
      <c r="BPA4" s="179">
        <f>IFERROR(VLOOKUP(BPA$1,Innova[[Ticker]:[Weight]],2,FALSE),0%)</f>
        <v>0</v>
      </c>
      <c r="BPB4" s="179">
        <f>IFERROR(VLOOKUP(BPB$1,Innova[[Ticker]:[Weight]],2,FALSE),0%)</f>
        <v>0</v>
      </c>
      <c r="BPC4" s="179">
        <f>IFERROR(VLOOKUP(BPC$1,Innova[[Ticker]:[Weight]],2,FALSE),0%)</f>
        <v>0</v>
      </c>
      <c r="BPD4" s="179">
        <f>IFERROR(VLOOKUP(BPD$1,Innova[[Ticker]:[Weight]],2,FALSE),0%)</f>
        <v>0</v>
      </c>
      <c r="BPE4" s="179">
        <f>IFERROR(VLOOKUP(BPE$1,Innova[[Ticker]:[Weight]],2,FALSE),0%)</f>
        <v>0</v>
      </c>
      <c r="BPF4" s="179">
        <f>IFERROR(VLOOKUP(BPF$1,Innova[[Ticker]:[Weight]],2,FALSE),0%)</f>
        <v>0</v>
      </c>
      <c r="BPG4" s="179">
        <f>IFERROR(VLOOKUP(BPG$1,Innova[[Ticker]:[Weight]],2,FALSE),0%)</f>
        <v>0</v>
      </c>
      <c r="BPH4" s="179">
        <f>IFERROR(VLOOKUP(BPH$1,Innova[[Ticker]:[Weight]],2,FALSE),0%)</f>
        <v>0</v>
      </c>
      <c r="BPI4" s="179">
        <f>IFERROR(VLOOKUP(BPI$1,Innova[[Ticker]:[Weight]],2,FALSE),0%)</f>
        <v>0</v>
      </c>
      <c r="BPJ4" s="179">
        <f>IFERROR(VLOOKUP(BPJ$1,Innova[[Ticker]:[Weight]],2,FALSE),0%)</f>
        <v>0</v>
      </c>
      <c r="BPK4" s="179">
        <f>IFERROR(VLOOKUP(BPK$1,Innova[[Ticker]:[Weight]],2,FALSE),0%)</f>
        <v>0</v>
      </c>
      <c r="BPL4" s="179">
        <f>IFERROR(VLOOKUP(BPL$1,Innova[[Ticker]:[Weight]],2,FALSE),0%)</f>
        <v>0</v>
      </c>
      <c r="BPM4" s="179">
        <f>IFERROR(VLOOKUP(BPM$1,Innova[[Ticker]:[Weight]],2,FALSE),0%)</f>
        <v>0</v>
      </c>
      <c r="BPN4" s="179">
        <f>IFERROR(VLOOKUP(BPN$1,Innova[[Ticker]:[Weight]],2,FALSE),0%)</f>
        <v>0</v>
      </c>
      <c r="BPO4" s="179">
        <f>IFERROR(VLOOKUP(BPO$1,Innova[[Ticker]:[Weight]],2,FALSE),0%)</f>
        <v>0</v>
      </c>
      <c r="BPP4" s="179">
        <f>IFERROR(VLOOKUP(BPP$1,Innova[[Ticker]:[Weight]],2,FALSE),0%)</f>
        <v>0</v>
      </c>
      <c r="BPQ4" s="179">
        <f>IFERROR(VLOOKUP(BPQ$1,Innova[[Ticker]:[Weight]],2,FALSE),0%)</f>
        <v>0</v>
      </c>
      <c r="BPR4" s="179">
        <f>IFERROR(VLOOKUP(BPR$1,Innova[[Ticker]:[Weight]],2,FALSE),0%)</f>
        <v>0</v>
      </c>
      <c r="BPS4" s="179">
        <f>IFERROR(VLOOKUP(BPS$1,Innova[[Ticker]:[Weight]],2,FALSE),0%)</f>
        <v>0</v>
      </c>
      <c r="BPT4" s="179">
        <f>IFERROR(VLOOKUP(BPT$1,Innova[[Ticker]:[Weight]],2,FALSE),0%)</f>
        <v>0</v>
      </c>
      <c r="BPU4" s="179">
        <f>IFERROR(VLOOKUP(BPU$1,Innova[[Ticker]:[Weight]],2,FALSE),0%)</f>
        <v>0</v>
      </c>
      <c r="BPV4" s="179">
        <f>IFERROR(VLOOKUP(BPV$1,Innova[[Ticker]:[Weight]],2,FALSE),0%)</f>
        <v>0</v>
      </c>
      <c r="BPW4" s="179">
        <f>IFERROR(VLOOKUP(BPW$1,Innova[[Ticker]:[Weight]],2,FALSE),0%)</f>
        <v>0</v>
      </c>
      <c r="BPX4" s="179">
        <f>IFERROR(VLOOKUP(BPX$1,Innova[[Ticker]:[Weight]],2,FALSE),0%)</f>
        <v>0</v>
      </c>
      <c r="BPY4" s="179">
        <f>IFERROR(VLOOKUP(BPY$1,Innova[[Ticker]:[Weight]],2,FALSE),0%)</f>
        <v>0</v>
      </c>
      <c r="BPZ4" s="179">
        <f>IFERROR(VLOOKUP(BPZ$1,Innova[[Ticker]:[Weight]],2,FALSE),0%)</f>
        <v>0</v>
      </c>
      <c r="BQA4" s="179">
        <f>IFERROR(VLOOKUP(BQA$1,Innova[[Ticker]:[Weight]],2,FALSE),0%)</f>
        <v>0</v>
      </c>
      <c r="BQB4" s="179">
        <f>IFERROR(VLOOKUP(BQB$1,Innova[[Ticker]:[Weight]],2,FALSE),0%)</f>
        <v>0</v>
      </c>
      <c r="BQC4" s="179">
        <f>IFERROR(VLOOKUP(BQC$1,Innova[[Ticker]:[Weight]],2,FALSE),0%)</f>
        <v>0</v>
      </c>
      <c r="BQD4" s="179">
        <f>IFERROR(VLOOKUP(BQD$1,Innova[[Ticker]:[Weight]],2,FALSE),0%)</f>
        <v>0</v>
      </c>
      <c r="BQE4" s="179">
        <f>IFERROR(VLOOKUP(BQE$1,Innova[[Ticker]:[Weight]],2,FALSE),0%)</f>
        <v>0</v>
      </c>
      <c r="BQF4" s="179">
        <f>IFERROR(VLOOKUP(BQF$1,Innova[[Ticker]:[Weight]],2,FALSE),0%)</f>
        <v>0</v>
      </c>
      <c r="BQG4" s="179">
        <f>IFERROR(VLOOKUP(BQG$1,Innova[[Ticker]:[Weight]],2,FALSE),0%)</f>
        <v>0</v>
      </c>
      <c r="BQH4" s="179">
        <f>IFERROR(VLOOKUP(BQH$1,Innova[[Ticker]:[Weight]],2,FALSE),0%)</f>
        <v>0</v>
      </c>
      <c r="BQI4" s="179">
        <f>IFERROR(VLOOKUP(BQI$1,Innova[[Ticker]:[Weight]],2,FALSE),0%)</f>
        <v>0</v>
      </c>
      <c r="BQJ4" s="179">
        <f>IFERROR(VLOOKUP(BQJ$1,Innova[[Ticker]:[Weight]],2,FALSE),0%)</f>
        <v>0</v>
      </c>
      <c r="BQK4" s="179">
        <f>IFERROR(VLOOKUP(BQK$1,Innova[[Ticker]:[Weight]],2,FALSE),0%)</f>
        <v>0</v>
      </c>
      <c r="BQL4" s="179">
        <f>IFERROR(VLOOKUP(BQL$1,Innova[[Ticker]:[Weight]],2,FALSE),0%)</f>
        <v>0</v>
      </c>
      <c r="BQM4" s="179">
        <f>IFERROR(VLOOKUP(BQM$1,Innova[[Ticker]:[Weight]],2,FALSE),0%)</f>
        <v>0</v>
      </c>
      <c r="BQN4" s="179">
        <f>IFERROR(VLOOKUP(BQN$1,Innova[[Ticker]:[Weight]],2,FALSE),0%)</f>
        <v>0</v>
      </c>
      <c r="BQO4" s="179">
        <f>IFERROR(VLOOKUP(BQO$1,Innova[[Ticker]:[Weight]],2,FALSE),0%)</f>
        <v>0</v>
      </c>
      <c r="BQP4" s="179">
        <f>IFERROR(VLOOKUP(BQP$1,Innova[[Ticker]:[Weight]],2,FALSE),0%)</f>
        <v>0</v>
      </c>
      <c r="BQQ4" s="179">
        <f>IFERROR(VLOOKUP(BQQ$1,Innova[[Ticker]:[Weight]],2,FALSE),0%)</f>
        <v>0</v>
      </c>
      <c r="BQR4" s="179">
        <f>IFERROR(VLOOKUP(BQR$1,Innova[[Ticker]:[Weight]],2,FALSE),0%)</f>
        <v>0</v>
      </c>
      <c r="BQS4" s="179">
        <f>IFERROR(VLOOKUP(BQS$1,Innova[[Ticker]:[Weight]],2,FALSE),0%)</f>
        <v>0</v>
      </c>
      <c r="BQT4" s="179">
        <f>IFERROR(VLOOKUP(BQT$1,Innova[[Ticker]:[Weight]],2,FALSE),0%)</f>
        <v>0</v>
      </c>
      <c r="BQU4" s="179">
        <f>IFERROR(VLOOKUP(BQU$1,Innova[[Ticker]:[Weight]],2,FALSE),0%)</f>
        <v>0</v>
      </c>
      <c r="BQV4" s="179">
        <f>IFERROR(VLOOKUP(BQV$1,Innova[[Ticker]:[Weight]],2,FALSE),0%)</f>
        <v>0</v>
      </c>
      <c r="BQW4" s="179">
        <f>IFERROR(VLOOKUP(BQW$1,Innova[[Ticker]:[Weight]],2,FALSE),0%)</f>
        <v>0</v>
      </c>
      <c r="BQX4" s="179">
        <f>IFERROR(VLOOKUP(BQX$1,Innova[[Ticker]:[Weight]],2,FALSE),0%)</f>
        <v>0</v>
      </c>
      <c r="BQY4" s="179">
        <f>IFERROR(VLOOKUP(BQY$1,Innova[[Ticker]:[Weight]],2,FALSE),0%)</f>
        <v>0</v>
      </c>
      <c r="BQZ4" s="179">
        <f>IFERROR(VLOOKUP(BQZ$1,Innova[[Ticker]:[Weight]],2,FALSE),0%)</f>
        <v>0</v>
      </c>
      <c r="BRA4" s="179">
        <f>IFERROR(VLOOKUP(BRA$1,Innova[[Ticker]:[Weight]],2,FALSE),0%)</f>
        <v>0</v>
      </c>
      <c r="BRB4" s="179">
        <f>IFERROR(VLOOKUP(BRB$1,Innova[[Ticker]:[Weight]],2,FALSE),0%)</f>
        <v>0</v>
      </c>
      <c r="BRC4" s="179">
        <f>IFERROR(VLOOKUP(BRC$1,Innova[[Ticker]:[Weight]],2,FALSE),0%)</f>
        <v>0</v>
      </c>
      <c r="BRD4" s="179">
        <f>IFERROR(VLOOKUP(BRD$1,Innova[[Ticker]:[Weight]],2,FALSE),0%)</f>
        <v>0</v>
      </c>
      <c r="BRE4" s="179">
        <f>IFERROR(VLOOKUP(BRE$1,Innova[[Ticker]:[Weight]],2,FALSE),0%)</f>
        <v>0</v>
      </c>
      <c r="BRF4" s="179">
        <f>IFERROR(VLOOKUP(BRF$1,Innova[[Ticker]:[Weight]],2,FALSE),0%)</f>
        <v>0</v>
      </c>
      <c r="BRG4" s="179">
        <f>IFERROR(VLOOKUP(BRG$1,Innova[[Ticker]:[Weight]],2,FALSE),0%)</f>
        <v>0</v>
      </c>
      <c r="BRH4" s="179">
        <f>IFERROR(VLOOKUP(BRH$1,Innova[[Ticker]:[Weight]],2,FALSE),0%)</f>
        <v>0</v>
      </c>
      <c r="BRI4" s="179">
        <f>IFERROR(VLOOKUP(BRI$1,Innova[[Ticker]:[Weight]],2,FALSE),0%)</f>
        <v>0</v>
      </c>
      <c r="BRJ4" s="179">
        <f>IFERROR(VLOOKUP(BRJ$1,Innova[[Ticker]:[Weight]],2,FALSE),0%)</f>
        <v>0</v>
      </c>
      <c r="BRK4" s="179">
        <f>IFERROR(VLOOKUP(BRK$1,Innova[[Ticker]:[Weight]],2,FALSE),0%)</f>
        <v>0</v>
      </c>
      <c r="BRL4" s="179">
        <f>IFERROR(VLOOKUP(BRL$1,Innova[[Ticker]:[Weight]],2,FALSE),0%)</f>
        <v>0</v>
      </c>
      <c r="BRM4" s="179">
        <f>IFERROR(VLOOKUP(BRM$1,Innova[[Ticker]:[Weight]],2,FALSE),0%)</f>
        <v>0</v>
      </c>
      <c r="BRN4" s="179">
        <f>IFERROR(VLOOKUP(BRN$1,Innova[[Ticker]:[Weight]],2,FALSE),0%)</f>
        <v>0</v>
      </c>
      <c r="BRO4" s="179">
        <f>IFERROR(VLOOKUP(BRO$1,Innova[[Ticker]:[Weight]],2,FALSE),0%)</f>
        <v>0</v>
      </c>
      <c r="BRP4" s="179">
        <f>IFERROR(VLOOKUP(BRP$1,Innova[[Ticker]:[Weight]],2,FALSE),0%)</f>
        <v>0</v>
      </c>
      <c r="BRQ4" s="179">
        <f>IFERROR(VLOOKUP(BRQ$1,Innova[[Ticker]:[Weight]],2,FALSE),0%)</f>
        <v>0</v>
      </c>
      <c r="BRR4" s="179">
        <f>IFERROR(VLOOKUP(BRR$1,Innova[[Ticker]:[Weight]],2,FALSE),0%)</f>
        <v>0</v>
      </c>
      <c r="BRS4" s="179">
        <f>IFERROR(VLOOKUP(BRS$1,Innova[[Ticker]:[Weight]],2,FALSE),0%)</f>
        <v>0</v>
      </c>
      <c r="BRT4" s="179">
        <f>IFERROR(VLOOKUP(BRT$1,Innova[[Ticker]:[Weight]],2,FALSE),0%)</f>
        <v>0</v>
      </c>
      <c r="BRU4" s="179">
        <f>IFERROR(VLOOKUP(BRU$1,Innova[[Ticker]:[Weight]],2,FALSE),0%)</f>
        <v>0</v>
      </c>
      <c r="BRV4" s="179">
        <f>IFERROR(VLOOKUP(BRV$1,Innova[[Ticker]:[Weight]],2,FALSE),0%)</f>
        <v>0</v>
      </c>
      <c r="BRW4" s="179">
        <f>IFERROR(VLOOKUP(BRW$1,Innova[[Ticker]:[Weight]],2,FALSE),0%)</f>
        <v>0</v>
      </c>
      <c r="BRX4" s="179">
        <f>IFERROR(VLOOKUP(BRX$1,Innova[[Ticker]:[Weight]],2,FALSE),0%)</f>
        <v>0</v>
      </c>
      <c r="BRY4" s="179">
        <f>IFERROR(VLOOKUP(BRY$1,Innova[[Ticker]:[Weight]],2,FALSE),0%)</f>
        <v>0</v>
      </c>
      <c r="BRZ4" s="179">
        <f>IFERROR(VLOOKUP(BRZ$1,Innova[[Ticker]:[Weight]],2,FALSE),0%)</f>
        <v>0</v>
      </c>
      <c r="BSA4" s="179">
        <f>IFERROR(VLOOKUP(BSA$1,Innova[[Ticker]:[Weight]],2,FALSE),0%)</f>
        <v>0</v>
      </c>
      <c r="BSB4" s="179">
        <f>IFERROR(VLOOKUP(BSB$1,Innova[[Ticker]:[Weight]],2,FALSE),0%)</f>
        <v>0</v>
      </c>
      <c r="BSC4" s="179">
        <f>IFERROR(VLOOKUP(BSC$1,Innova[[Ticker]:[Weight]],2,FALSE),0%)</f>
        <v>0</v>
      </c>
      <c r="BSD4" s="179">
        <f>IFERROR(VLOOKUP(BSD$1,Innova[[Ticker]:[Weight]],2,FALSE),0%)</f>
        <v>0</v>
      </c>
      <c r="BSE4" s="179">
        <f>IFERROR(VLOOKUP(BSE$1,Innova[[Ticker]:[Weight]],2,FALSE),0%)</f>
        <v>0</v>
      </c>
      <c r="BSF4" s="179">
        <f>IFERROR(VLOOKUP(BSF$1,Innova[[Ticker]:[Weight]],2,FALSE),0%)</f>
        <v>0</v>
      </c>
      <c r="BSG4" s="179">
        <f>IFERROR(VLOOKUP(BSG$1,Innova[[Ticker]:[Weight]],2,FALSE),0%)</f>
        <v>0</v>
      </c>
      <c r="BSH4" s="179">
        <f>IFERROR(VLOOKUP(BSH$1,Innova[[Ticker]:[Weight]],2,FALSE),0%)</f>
        <v>0</v>
      </c>
      <c r="BSI4" s="179">
        <f>IFERROR(VLOOKUP(BSI$1,Innova[[Ticker]:[Weight]],2,FALSE),0%)</f>
        <v>0</v>
      </c>
      <c r="BSJ4" s="179">
        <f>IFERROR(VLOOKUP(BSJ$1,Innova[[Ticker]:[Weight]],2,FALSE),0%)</f>
        <v>0</v>
      </c>
      <c r="BSK4" s="179">
        <f>IFERROR(VLOOKUP(BSK$1,Innova[[Ticker]:[Weight]],2,FALSE),0%)</f>
        <v>0</v>
      </c>
      <c r="BSL4" s="179">
        <f>IFERROR(VLOOKUP(BSL$1,Innova[[Ticker]:[Weight]],2,FALSE),0%)</f>
        <v>0.0634</v>
      </c>
      <c r="BSM4" s="179">
        <f>IFERROR(VLOOKUP(BSM$1,Innova[[Ticker]:[Weight]],2,FALSE),0%)</f>
        <v>0</v>
      </c>
      <c r="BSN4" s="179">
        <f>IFERROR(VLOOKUP(BSN$1,Innova[[Ticker]:[Weight]],2,FALSE),0%)</f>
        <v>0</v>
      </c>
      <c r="BSO4" s="179">
        <f>IFERROR(VLOOKUP(BSO$1,Innova[[Ticker]:[Weight]],2,FALSE),0%)</f>
        <v>0</v>
      </c>
      <c r="BSP4" s="179">
        <f>IFERROR(VLOOKUP(BSP$1,Innova[[Ticker]:[Weight]],2,FALSE),0%)</f>
        <v>0</v>
      </c>
      <c r="BSQ4" s="179">
        <f>IFERROR(VLOOKUP(BSQ$1,Innova[[Ticker]:[Weight]],2,FALSE),0%)</f>
        <v>0</v>
      </c>
      <c r="BSR4" s="179">
        <f>IFERROR(VLOOKUP(BSR$1,Innova[[Ticker]:[Weight]],2,FALSE),0%)</f>
        <v>0</v>
      </c>
      <c r="BSS4" s="179">
        <f>IFERROR(VLOOKUP(BSS$1,Innova[[Ticker]:[Weight]],2,FALSE),0%)</f>
        <v>0</v>
      </c>
      <c r="BST4" s="179">
        <f>IFERROR(VLOOKUP(BST$1,Innova[[Ticker]:[Weight]],2,FALSE),0%)</f>
        <v>0</v>
      </c>
      <c r="BSU4" s="179">
        <f>IFERROR(VLOOKUP(BSU$1,Innova[[Ticker]:[Weight]],2,FALSE),0%)</f>
        <v>0</v>
      </c>
      <c r="BSV4" s="179">
        <f>IFERROR(VLOOKUP(BSV$1,Innova[[Ticker]:[Weight]],2,FALSE),0%)</f>
        <v>0</v>
      </c>
      <c r="BSW4" s="179">
        <f>IFERROR(VLOOKUP(BSW$1,Innova[[Ticker]:[Weight]],2,FALSE),0%)</f>
        <v>0</v>
      </c>
      <c r="BSX4" s="179">
        <f>IFERROR(VLOOKUP(BSX$1,Innova[[Ticker]:[Weight]],2,FALSE),0%)</f>
        <v>0</v>
      </c>
      <c r="BSY4" s="179">
        <f>IFERROR(VLOOKUP(BSY$1,Innova[[Ticker]:[Weight]],2,FALSE),0%)</f>
        <v>0</v>
      </c>
      <c r="BSZ4" s="179">
        <f>IFERROR(VLOOKUP(BSZ$1,Innova[[Ticker]:[Weight]],2,FALSE),0%)</f>
        <v>0</v>
      </c>
      <c r="BTA4" s="179">
        <f>IFERROR(VLOOKUP(BTA$1,Innova[[Ticker]:[Weight]],2,FALSE),0%)</f>
        <v>0</v>
      </c>
      <c r="BTB4" s="179">
        <f>IFERROR(VLOOKUP(BTB$1,Innova[[Ticker]:[Weight]],2,FALSE),0%)</f>
        <v>0</v>
      </c>
      <c r="BTC4" s="179">
        <f>IFERROR(VLOOKUP(BTC$1,Innova[[Ticker]:[Weight]],2,FALSE),0%)</f>
        <v>0</v>
      </c>
      <c r="BTD4" s="179">
        <f>IFERROR(VLOOKUP(BTD$1,Innova[[Ticker]:[Weight]],2,FALSE),0%)</f>
        <v>0</v>
      </c>
      <c r="BTE4" s="179">
        <f>IFERROR(VLOOKUP(BTE$1,Innova[[Ticker]:[Weight]],2,FALSE),0%)</f>
        <v>0</v>
      </c>
      <c r="BTF4" s="179">
        <f>IFERROR(VLOOKUP(BTF$1,Innova[[Ticker]:[Weight]],2,FALSE),0%)</f>
        <v>0</v>
      </c>
      <c r="BTG4" s="179">
        <f>IFERROR(VLOOKUP(BTG$1,Innova[[Ticker]:[Weight]],2,FALSE),0%)</f>
        <v>0</v>
      </c>
      <c r="BTH4" s="179">
        <f>IFERROR(VLOOKUP(BTH$1,Innova[[Ticker]:[Weight]],2,FALSE),0%)</f>
        <v>0</v>
      </c>
      <c r="BTI4" s="179">
        <f>IFERROR(VLOOKUP(BTI$1,Innova[[Ticker]:[Weight]],2,FALSE),0%)</f>
        <v>0.0861</v>
      </c>
      <c r="BTJ4" s="179">
        <f>IFERROR(VLOOKUP(BTJ$1,Innova[[Ticker]:[Weight]],2,FALSE),0%)</f>
        <v>0</v>
      </c>
      <c r="BTK4" s="179">
        <f>IFERROR(VLOOKUP(BTK$1,Innova[[Ticker]:[Weight]],2,FALSE),0%)</f>
        <v>0</v>
      </c>
      <c r="BTL4" s="179">
        <f>IFERROR(VLOOKUP(BTL$1,Innova[[Ticker]:[Weight]],2,FALSE),0%)</f>
        <v>0</v>
      </c>
      <c r="BTM4" s="179">
        <f>IFERROR(VLOOKUP(BTM$1,Innova[[Ticker]:[Weight]],2,FALSE),0%)</f>
        <v>0</v>
      </c>
      <c r="BTN4" s="179">
        <f>IFERROR(VLOOKUP(BTN$1,Innova[[Ticker]:[Weight]],2,FALSE),0%)</f>
        <v>0</v>
      </c>
      <c r="BTO4" s="179">
        <f>IFERROR(VLOOKUP(BTO$1,Innova[[Ticker]:[Weight]],2,FALSE),0%)</f>
        <v>0</v>
      </c>
      <c r="BTP4" s="179">
        <f>IFERROR(VLOOKUP(BTP$1,Innova[[Ticker]:[Weight]],2,FALSE),0%)</f>
        <v>0</v>
      </c>
      <c r="BTQ4" s="179">
        <f>IFERROR(VLOOKUP(BTQ$1,Innova[[Ticker]:[Weight]],2,FALSE),0%)</f>
        <v>0</v>
      </c>
      <c r="BTR4" s="179">
        <f>IFERROR(VLOOKUP(BTR$1,Innova[[Ticker]:[Weight]],2,FALSE),0%)</f>
        <v>0</v>
      </c>
      <c r="BTS4" s="179">
        <f>IFERROR(VLOOKUP(BTS$1,Innova[[Ticker]:[Weight]],2,FALSE),0%)</f>
        <v>0</v>
      </c>
      <c r="BTT4" s="179">
        <f>IFERROR(VLOOKUP(BTT$1,Innova[[Ticker]:[Weight]],2,FALSE),0%)</f>
        <v>0</v>
      </c>
      <c r="BTU4" s="179">
        <f>IFERROR(VLOOKUP(BTU$1,Innova[[Ticker]:[Weight]],2,FALSE),0%)</f>
        <v>0</v>
      </c>
      <c r="BTV4" s="179">
        <f>IFERROR(VLOOKUP(BTV$1,Innova[[Ticker]:[Weight]],2,FALSE),0%)</f>
        <v>0</v>
      </c>
      <c r="BTW4" s="179">
        <f>IFERROR(VLOOKUP(BTW$1,Innova[[Ticker]:[Weight]],2,FALSE),0%)</f>
        <v>0</v>
      </c>
      <c r="BTX4" s="179">
        <f>IFERROR(VLOOKUP(BTX$1,Innova[[Ticker]:[Weight]],2,FALSE),0%)</f>
        <v>0</v>
      </c>
      <c r="BTY4" s="179">
        <f>IFERROR(VLOOKUP(BTY$1,Innova[[Ticker]:[Weight]],2,FALSE),0%)</f>
        <v>0</v>
      </c>
      <c r="BTZ4" s="179">
        <f>IFERROR(VLOOKUP(BTZ$1,Innova[[Ticker]:[Weight]],2,FALSE),0%)</f>
        <v>0</v>
      </c>
      <c r="BUA4" s="179">
        <f>IFERROR(VLOOKUP(BUA$1,Innova[[Ticker]:[Weight]],2,FALSE),0%)</f>
        <v>0</v>
      </c>
      <c r="BUB4" s="179">
        <f>IFERROR(VLOOKUP(BUB$1,Innova[[Ticker]:[Weight]],2,FALSE),0%)</f>
        <v>0</v>
      </c>
      <c r="BUC4" s="179">
        <f>IFERROR(VLOOKUP(BUC$1,Innova[[Ticker]:[Weight]],2,FALSE),0%)</f>
        <v>0</v>
      </c>
      <c r="BUD4" s="179">
        <f>IFERROR(VLOOKUP(BUD$1,Innova[[Ticker]:[Weight]],2,FALSE),0%)</f>
        <v>0</v>
      </c>
      <c r="BUE4" s="179">
        <f>IFERROR(VLOOKUP(BUE$1,Innova[[Ticker]:[Weight]],2,FALSE),0%)</f>
        <v>0</v>
      </c>
      <c r="BUF4" s="179">
        <f>IFERROR(VLOOKUP(BUF$1,Innova[[Ticker]:[Weight]],2,FALSE),0%)</f>
        <v>0</v>
      </c>
      <c r="BUG4" s="179">
        <f>IFERROR(VLOOKUP(BUG$1,Innova[[Ticker]:[Weight]],2,FALSE),0%)</f>
        <v>0</v>
      </c>
      <c r="BUH4" s="179">
        <f>IFERROR(VLOOKUP(BUH$1,Innova[[Ticker]:[Weight]],2,FALSE),0%)</f>
        <v>0</v>
      </c>
      <c r="BUI4" s="179">
        <f>IFERROR(VLOOKUP(BUI$1,Innova[[Ticker]:[Weight]],2,FALSE),0%)</f>
        <v>0</v>
      </c>
      <c r="BUJ4" s="179">
        <f>IFERROR(VLOOKUP(BUJ$1,Innova[[Ticker]:[Weight]],2,FALSE),0%)</f>
        <v>0</v>
      </c>
      <c r="BUK4" s="179">
        <f>IFERROR(VLOOKUP(BUK$1,Innova[[Ticker]:[Weight]],2,FALSE),0%)</f>
        <v>0</v>
      </c>
      <c r="BUL4" s="179">
        <f>IFERROR(VLOOKUP(BUL$1,Innova[[Ticker]:[Weight]],2,FALSE),0%)</f>
        <v>0</v>
      </c>
      <c r="BUM4" s="179">
        <f>IFERROR(VLOOKUP(BUM$1,Innova[[Ticker]:[Weight]],2,FALSE),0%)</f>
        <v>0</v>
      </c>
      <c r="BUN4" s="179">
        <f>IFERROR(VLOOKUP(BUN$1,Innova[[Ticker]:[Weight]],2,FALSE),0%)</f>
        <v>0</v>
      </c>
      <c r="BUO4" s="179">
        <f>IFERROR(VLOOKUP(BUO$1,Innova[[Ticker]:[Weight]],2,FALSE),0%)</f>
        <v>0</v>
      </c>
      <c r="BUP4" s="179">
        <f>IFERROR(VLOOKUP(BUP$1,Innova[[Ticker]:[Weight]],2,FALSE),0%)</f>
        <v>0</v>
      </c>
      <c r="BUQ4" s="179">
        <f>IFERROR(VLOOKUP(BUQ$1,Innova[[Ticker]:[Weight]],2,FALSE),0%)</f>
        <v>0</v>
      </c>
      <c r="BUR4" s="179">
        <f>IFERROR(VLOOKUP(BUR$1,Innova[[Ticker]:[Weight]],2,FALSE),0%)</f>
        <v>0</v>
      </c>
      <c r="BUS4" s="179">
        <f>IFERROR(VLOOKUP(BUS$1,Innova[[Ticker]:[Weight]],2,FALSE),0%)</f>
        <v>0</v>
      </c>
      <c r="BUT4" s="179">
        <f>IFERROR(VLOOKUP(BUT$1,Innova[[Ticker]:[Weight]],2,FALSE),0%)</f>
        <v>0</v>
      </c>
      <c r="BUU4" s="179">
        <f>IFERROR(VLOOKUP(BUU$1,Innova[[Ticker]:[Weight]],2,FALSE),0%)</f>
        <v>0</v>
      </c>
      <c r="BUV4" s="179">
        <f>IFERROR(VLOOKUP(BUV$1,Innova[[Ticker]:[Weight]],2,FALSE),0%)</f>
        <v>0</v>
      </c>
      <c r="BUW4" s="179">
        <f>IFERROR(VLOOKUP(BUW$1,Innova[[Ticker]:[Weight]],2,FALSE),0%)</f>
        <v>0</v>
      </c>
      <c r="BUX4" s="179">
        <f>IFERROR(VLOOKUP(BUX$1,Innova[[Ticker]:[Weight]],2,FALSE),0%)</f>
        <v>0</v>
      </c>
      <c r="BUY4" s="179">
        <f>IFERROR(VLOOKUP(BUY$1,Innova[[Ticker]:[Weight]],2,FALSE),0%)</f>
        <v>0</v>
      </c>
      <c r="BUZ4" s="179">
        <f>IFERROR(VLOOKUP(BUZ$1,Innova[[Ticker]:[Weight]],2,FALSE),0%)</f>
        <v>0</v>
      </c>
      <c r="BVA4" s="179">
        <f>IFERROR(VLOOKUP(BVA$1,Innova[[Ticker]:[Weight]],2,FALSE),0%)</f>
        <v>0</v>
      </c>
      <c r="BVB4" s="179">
        <f>IFERROR(VLOOKUP(BVB$1,Innova[[Ticker]:[Weight]],2,FALSE),0%)</f>
        <v>0</v>
      </c>
      <c r="BVC4" s="179">
        <f>IFERROR(VLOOKUP(BVC$1,Innova[[Ticker]:[Weight]],2,FALSE),0%)</f>
        <v>0</v>
      </c>
      <c r="BVD4" s="179">
        <f>IFERROR(VLOOKUP(BVD$1,Innova[[Ticker]:[Weight]],2,FALSE),0%)</f>
        <v>0</v>
      </c>
      <c r="BVE4" s="179">
        <f>IFERROR(VLOOKUP(BVE$1,Innova[[Ticker]:[Weight]],2,FALSE),0%)</f>
        <v>0</v>
      </c>
      <c r="BVF4" s="179">
        <f>IFERROR(VLOOKUP(BVF$1,Innova[[Ticker]:[Weight]],2,FALSE),0%)</f>
        <v>0</v>
      </c>
      <c r="BVG4" s="179">
        <f>IFERROR(VLOOKUP(BVG$1,Innova[[Ticker]:[Weight]],2,FALSE),0%)</f>
        <v>0</v>
      </c>
      <c r="BVH4" s="179">
        <f>IFERROR(VLOOKUP(BVH$1,Innova[[Ticker]:[Weight]],2,FALSE),0%)</f>
        <v>0</v>
      </c>
      <c r="BVI4" s="179">
        <f>IFERROR(VLOOKUP(BVI$1,Innova[[Ticker]:[Weight]],2,FALSE),0%)</f>
        <v>0</v>
      </c>
      <c r="BVJ4" s="179">
        <f>IFERROR(VLOOKUP(BVJ$1,Innova[[Ticker]:[Weight]],2,FALSE),0%)</f>
        <v>0</v>
      </c>
      <c r="BVK4" s="179">
        <f>IFERROR(VLOOKUP(BVK$1,Innova[[Ticker]:[Weight]],2,FALSE),0%)</f>
        <v>0</v>
      </c>
      <c r="BVL4" s="179">
        <f>IFERROR(VLOOKUP(BVL$1,Innova[[Ticker]:[Weight]],2,FALSE),0%)</f>
        <v>0</v>
      </c>
      <c r="BVM4" s="179">
        <f>IFERROR(VLOOKUP(BVM$1,Innova[[Ticker]:[Weight]],2,FALSE),0%)</f>
        <v>0</v>
      </c>
      <c r="BVN4" s="179">
        <f>IFERROR(VLOOKUP(BVN$1,Innova[[Ticker]:[Weight]],2,FALSE),0%)</f>
        <v>0</v>
      </c>
      <c r="BVO4" s="179">
        <f>IFERROR(VLOOKUP(BVO$1,Innova[[Ticker]:[Weight]],2,FALSE),0%)</f>
        <v>0</v>
      </c>
      <c r="BVP4" s="179">
        <f>IFERROR(VLOOKUP(BVP$1,Innova[[Ticker]:[Weight]],2,FALSE),0%)</f>
        <v>0</v>
      </c>
      <c r="BVQ4" s="179">
        <f>IFERROR(VLOOKUP(BVQ$1,Innova[[Ticker]:[Weight]],2,FALSE),0%)</f>
        <v>0</v>
      </c>
      <c r="BVR4" s="179">
        <f>IFERROR(VLOOKUP(BVR$1,Innova[[Ticker]:[Weight]],2,FALSE),0%)</f>
        <v>0</v>
      </c>
      <c r="BVS4" s="179">
        <f>IFERROR(VLOOKUP(BVS$1,Innova[[Ticker]:[Weight]],2,FALSE),0%)</f>
        <v>0</v>
      </c>
      <c r="BVT4" s="179">
        <f>IFERROR(VLOOKUP(BVT$1,Innova[[Ticker]:[Weight]],2,FALSE),0%)</f>
        <v>0</v>
      </c>
      <c r="BVU4" s="179">
        <f>IFERROR(VLOOKUP(BVU$1,Innova[[Ticker]:[Weight]],2,FALSE),0%)</f>
        <v>0</v>
      </c>
      <c r="BVV4" s="179">
        <f>IFERROR(VLOOKUP(BVV$1,Innova[[Ticker]:[Weight]],2,FALSE),0%)</f>
        <v>0</v>
      </c>
      <c r="BVW4" s="179">
        <f>IFERROR(VLOOKUP(BVW$1,Innova[[Ticker]:[Weight]],2,FALSE),0%)</f>
        <v>0</v>
      </c>
      <c r="BVX4" s="179">
        <f>IFERROR(VLOOKUP(BVX$1,Innova[[Ticker]:[Weight]],2,FALSE),0%)</f>
        <v>0</v>
      </c>
      <c r="BVY4" s="179">
        <f>IFERROR(VLOOKUP(BVY$1,Innova[[Ticker]:[Weight]],2,FALSE),0%)</f>
        <v>0</v>
      </c>
      <c r="BVZ4" s="179">
        <f>IFERROR(VLOOKUP(BVZ$1,Innova[[Ticker]:[Weight]],2,FALSE),0%)</f>
        <v>0</v>
      </c>
      <c r="BWA4" s="179">
        <f>IFERROR(VLOOKUP(BWA$1,Innova[[Ticker]:[Weight]],2,FALSE),0%)</f>
        <v>0</v>
      </c>
      <c r="BWB4" s="179">
        <f>IFERROR(VLOOKUP(BWB$1,Innova[[Ticker]:[Weight]],2,FALSE),0%)</f>
        <v>0</v>
      </c>
      <c r="BWC4" s="179">
        <f>IFERROR(VLOOKUP(BWC$1,Innova[[Ticker]:[Weight]],2,FALSE),0%)</f>
        <v>0</v>
      </c>
      <c r="BWD4" s="179">
        <f>IFERROR(VLOOKUP(BWD$1,Innova[[Ticker]:[Weight]],2,FALSE),0%)</f>
        <v>0</v>
      </c>
      <c r="BWE4" s="179">
        <f>IFERROR(VLOOKUP(BWE$1,Innova[[Ticker]:[Weight]],2,FALSE),0%)</f>
        <v>0</v>
      </c>
      <c r="BWF4" s="179">
        <f>IFERROR(VLOOKUP(BWF$1,Innova[[Ticker]:[Weight]],2,FALSE),0%)</f>
        <v>0</v>
      </c>
      <c r="BWG4" s="179">
        <f>IFERROR(VLOOKUP(BWG$1,Innova[[Ticker]:[Weight]],2,FALSE),0%)</f>
        <v>0</v>
      </c>
      <c r="BWH4" s="179">
        <f>IFERROR(VLOOKUP(BWH$1,Innova[[Ticker]:[Weight]],2,FALSE),0%)</f>
        <v>0</v>
      </c>
      <c r="BWI4" s="179">
        <f>IFERROR(VLOOKUP(BWI$1,Innova[[Ticker]:[Weight]],2,FALSE),0%)</f>
        <v>0</v>
      </c>
      <c r="BWJ4" s="179">
        <f>IFERROR(VLOOKUP(BWJ$1,Innova[[Ticker]:[Weight]],2,FALSE),0%)</f>
        <v>0</v>
      </c>
      <c r="BWK4" s="179">
        <f>IFERROR(VLOOKUP(BWK$1,Innova[[Ticker]:[Weight]],2,FALSE),0%)</f>
        <v>0</v>
      </c>
      <c r="BWL4" s="179">
        <f>IFERROR(VLOOKUP(BWL$1,Innova[[Ticker]:[Weight]],2,FALSE),0%)</f>
        <v>0.068</v>
      </c>
      <c r="BWM4" s="179">
        <f>IFERROR(VLOOKUP(BWM$1,Innova[[Ticker]:[Weight]],2,FALSE),0%)</f>
        <v>0</v>
      </c>
      <c r="BWN4" s="179">
        <f>IFERROR(VLOOKUP(BWN$1,Innova[[Ticker]:[Weight]],2,FALSE),0%)</f>
        <v>0</v>
      </c>
      <c r="BWO4" s="179">
        <f>IFERROR(VLOOKUP(BWO$1,Innova[[Ticker]:[Weight]],2,FALSE),0%)</f>
        <v>0</v>
      </c>
      <c r="BWP4" s="179">
        <f>IFERROR(VLOOKUP(BWP$1,Innova[[Ticker]:[Weight]],2,FALSE),0%)</f>
        <v>0</v>
      </c>
      <c r="BWQ4" s="179">
        <f>IFERROR(VLOOKUP(BWQ$1,Innova[[Ticker]:[Weight]],2,FALSE),0%)</f>
        <v>0</v>
      </c>
      <c r="BWR4" s="179">
        <f>IFERROR(VLOOKUP(BWR$1,Innova[[Ticker]:[Weight]],2,FALSE),0%)</f>
        <v>0</v>
      </c>
      <c r="BWS4" s="179">
        <f>IFERROR(VLOOKUP(BWS$1,Innova[[Ticker]:[Weight]],2,FALSE),0%)</f>
        <v>0</v>
      </c>
      <c r="BWT4" s="179">
        <f>IFERROR(VLOOKUP(BWT$1,Innova[[Ticker]:[Weight]],2,FALSE),0%)</f>
        <v>0</v>
      </c>
      <c r="BWU4" s="179">
        <f>IFERROR(VLOOKUP(BWU$1,Innova[[Ticker]:[Weight]],2,FALSE),0%)</f>
        <v>0</v>
      </c>
      <c r="BWV4" s="179">
        <f>IFERROR(VLOOKUP(BWV$1,Innova[[Ticker]:[Weight]],2,FALSE),0%)</f>
        <v>0</v>
      </c>
      <c r="BWW4" s="179">
        <f>IFERROR(VLOOKUP(BWW$1,Innova[[Ticker]:[Weight]],2,FALSE),0%)</f>
        <v>0</v>
      </c>
      <c r="BWX4" s="179">
        <f>IFERROR(VLOOKUP(BWX$1,Innova[[Ticker]:[Weight]],2,FALSE),0%)</f>
        <v>0.0845</v>
      </c>
      <c r="BWY4" s="179">
        <f>IFERROR(VLOOKUP(BWY$1,Innova[[Ticker]:[Weight]],2,FALSE),0%)</f>
        <v>0</v>
      </c>
      <c r="BWZ4" s="179">
        <f>IFERROR(VLOOKUP(BWZ$1,Innova[[Ticker]:[Weight]],2,FALSE),0%)</f>
        <v>0</v>
      </c>
      <c r="BXA4" s="179">
        <f>IFERROR(VLOOKUP(BXA$1,Innova[[Ticker]:[Weight]],2,FALSE),0%)</f>
        <v>0</v>
      </c>
      <c r="BXB4" s="179">
        <f>IFERROR(VLOOKUP(BXB$1,Innova[[Ticker]:[Weight]],2,FALSE),0%)</f>
        <v>0</v>
      </c>
      <c r="BXC4" s="179">
        <f>IFERROR(VLOOKUP(BXC$1,Innova[[Ticker]:[Weight]],2,FALSE),0%)</f>
        <v>0</v>
      </c>
      <c r="BXD4" s="179">
        <f>IFERROR(VLOOKUP(BXD$1,Innova[[Ticker]:[Weight]],2,FALSE),0%)</f>
        <v>0</v>
      </c>
      <c r="BXE4" s="179">
        <f>IFERROR(VLOOKUP(BXE$1,Innova[[Ticker]:[Weight]],2,FALSE),0%)</f>
        <v>0.1132</v>
      </c>
      <c r="BXF4" s="179">
        <f>IFERROR(VLOOKUP(BXF$1,Innova[[Ticker]:[Weight]],2,FALSE),0%)</f>
        <v>0</v>
      </c>
      <c r="BXG4" s="179">
        <f>IFERROR(VLOOKUP(BXG$1,Innova[[Ticker]:[Weight]],2,FALSE),0%)</f>
        <v>0</v>
      </c>
      <c r="BXH4" s="179">
        <f>IFERROR(VLOOKUP(BXH$1,Innova[[Ticker]:[Weight]],2,FALSE),0%)</f>
        <v>0</v>
      </c>
      <c r="BXI4" s="179">
        <f>IFERROR(VLOOKUP(BXI$1,Innova[[Ticker]:[Weight]],2,FALSE),0%)</f>
        <v>0</v>
      </c>
      <c r="BXJ4" s="179">
        <f>IFERROR(VLOOKUP(BXJ$1,Innova[[Ticker]:[Weight]],2,FALSE),0%)</f>
        <v>0</v>
      </c>
      <c r="BXK4" s="179">
        <f>IFERROR(VLOOKUP(BXK$1,Innova[[Ticker]:[Weight]],2,FALSE),0%)</f>
        <v>0</v>
      </c>
      <c r="BXL4" s="179">
        <f>IFERROR(VLOOKUP(BXL$1,Innova[[Ticker]:[Weight]],2,FALSE),0%)</f>
        <v>0</v>
      </c>
      <c r="BXM4" s="179">
        <f>IFERROR(VLOOKUP(BXM$1,Innova[[Ticker]:[Weight]],2,FALSE),0%)</f>
        <v>0</v>
      </c>
      <c r="BXN4" s="179">
        <f>IFERROR(VLOOKUP(BXN$1,Innova[[Ticker]:[Weight]],2,FALSE),0%)</f>
        <v>0</v>
      </c>
      <c r="BXO4" s="179">
        <f>IFERROR(VLOOKUP(BXO$1,Innova[[Ticker]:[Weight]],2,FALSE),0%)</f>
        <v>0</v>
      </c>
      <c r="BXP4" s="179">
        <f>IFERROR(VLOOKUP(BXP$1,Innova[[Ticker]:[Weight]],2,FALSE),0%)</f>
        <v>0</v>
      </c>
      <c r="BXQ4" s="179">
        <f>IFERROR(VLOOKUP(BXQ$1,Innova[[Ticker]:[Weight]],2,FALSE),0%)</f>
        <v>0</v>
      </c>
      <c r="BXR4" s="179">
        <f>IFERROR(VLOOKUP(BXR$1,Innova[[Ticker]:[Weight]],2,FALSE),0%)</f>
        <v>0</v>
      </c>
      <c r="BXS4" s="179">
        <f>IFERROR(VLOOKUP(BXS$1,Innova[[Ticker]:[Weight]],2,FALSE),0%)</f>
        <v>0</v>
      </c>
      <c r="BXT4" s="179">
        <f>IFERROR(VLOOKUP(BXT$1,Innova[[Ticker]:[Weight]],2,FALSE),0%)</f>
        <v>0</v>
      </c>
      <c r="BXU4" s="179">
        <f>IFERROR(VLOOKUP(BXU$1,Innova[[Ticker]:[Weight]],2,FALSE),0%)</f>
        <v>0</v>
      </c>
      <c r="BXV4" s="179">
        <f>IFERROR(VLOOKUP(BXV$1,Innova[[Ticker]:[Weight]],2,FALSE),0%)</f>
        <v>0</v>
      </c>
      <c r="BXW4" s="179">
        <f>IFERROR(VLOOKUP(BXW$1,Innova[[Ticker]:[Weight]],2,FALSE),0%)</f>
        <v>0</v>
      </c>
      <c r="BXX4" s="179">
        <f>IFERROR(VLOOKUP(BXX$1,Innova[[Ticker]:[Weight]],2,FALSE),0%)</f>
        <v>0</v>
      </c>
      <c r="BXY4" s="179">
        <f>IFERROR(VLOOKUP(BXY$1,Innova[[Ticker]:[Weight]],2,FALSE),0%)</f>
        <v>0</v>
      </c>
      <c r="BXZ4" s="179">
        <f>IFERROR(VLOOKUP(BXZ$1,Innova[[Ticker]:[Weight]],2,FALSE),0%)</f>
        <v>0</v>
      </c>
      <c r="BYA4" s="179">
        <f>IFERROR(VLOOKUP(BYA$1,Innova[[Ticker]:[Weight]],2,FALSE),0%)</f>
        <v>0</v>
      </c>
      <c r="BYB4" s="179">
        <f>IFERROR(VLOOKUP(BYB$1,Innova[[Ticker]:[Weight]],2,FALSE),0%)</f>
        <v>0</v>
      </c>
      <c r="BYC4" s="179">
        <f>IFERROR(VLOOKUP(BYC$1,Innova[[Ticker]:[Weight]],2,FALSE),0%)</f>
        <v>0</v>
      </c>
      <c r="BYD4" s="179">
        <f>IFERROR(VLOOKUP(BYD$1,Innova[[Ticker]:[Weight]],2,FALSE),0%)</f>
        <v>0</v>
      </c>
      <c r="BYE4" s="179">
        <f>IFERROR(VLOOKUP(BYE$1,Innova[[Ticker]:[Weight]],2,FALSE),0%)</f>
        <v>0</v>
      </c>
      <c r="BYF4" s="179">
        <f>IFERROR(VLOOKUP(BYF$1,Innova[[Ticker]:[Weight]],2,FALSE),0%)</f>
        <v>0</v>
      </c>
      <c r="BYG4" s="179">
        <f>IFERROR(VLOOKUP(BYG$1,Innova[[Ticker]:[Weight]],2,FALSE),0%)</f>
        <v>0</v>
      </c>
      <c r="BYH4" s="179">
        <f>IFERROR(VLOOKUP(BYH$1,Innova[[Ticker]:[Weight]],2,FALSE),0%)</f>
        <v>0</v>
      </c>
      <c r="BYI4" s="179">
        <f>IFERROR(VLOOKUP(BYI$1,Innova[[Ticker]:[Weight]],2,FALSE),0%)</f>
        <v>0</v>
      </c>
      <c r="BYJ4" s="179">
        <f>IFERROR(VLOOKUP(BYJ$1,Innova[[Ticker]:[Weight]],2,FALSE),0%)</f>
        <v>0</v>
      </c>
      <c r="BYK4" s="179">
        <f>IFERROR(VLOOKUP(BYK$1,Innova[[Ticker]:[Weight]],2,FALSE),0%)</f>
        <v>0</v>
      </c>
      <c r="BYL4" s="179">
        <f>IFERROR(VLOOKUP(BYL$1,Innova[[Ticker]:[Weight]],2,FALSE),0%)</f>
        <v>0</v>
      </c>
      <c r="BYM4" s="179">
        <f>IFERROR(VLOOKUP(BYM$1,Innova[[Ticker]:[Weight]],2,FALSE),0%)</f>
        <v>0</v>
      </c>
      <c r="BYN4" s="179">
        <f>IFERROR(VLOOKUP(BYN$1,Innova[[Ticker]:[Weight]],2,FALSE),0%)</f>
        <v>0</v>
      </c>
      <c r="BYO4" s="179">
        <f>IFERROR(VLOOKUP(BYO$1,Innova[[Ticker]:[Weight]],2,FALSE),0%)</f>
        <v>0</v>
      </c>
      <c r="BYP4" s="179">
        <f>IFERROR(VLOOKUP(BYP$1,Innova[[Ticker]:[Weight]],2,FALSE),0%)</f>
        <v>0</v>
      </c>
      <c r="BYQ4" s="179">
        <f>IFERROR(VLOOKUP(BYQ$1,Innova[[Ticker]:[Weight]],2,FALSE),0%)</f>
        <v>0</v>
      </c>
      <c r="BYR4" s="179">
        <f>IFERROR(VLOOKUP(BYR$1,Innova[[Ticker]:[Weight]],2,FALSE),0%)</f>
        <v>0</v>
      </c>
      <c r="BYS4" s="179">
        <f>IFERROR(VLOOKUP(BYS$1,Innova[[Ticker]:[Weight]],2,FALSE),0%)</f>
        <v>0</v>
      </c>
      <c r="BYT4" s="179">
        <f>IFERROR(VLOOKUP(BYT$1,Innova[[Ticker]:[Weight]],2,FALSE),0%)</f>
        <v>0</v>
      </c>
      <c r="BYU4" s="179">
        <f>IFERROR(VLOOKUP(BYU$1,Innova[[Ticker]:[Weight]],2,FALSE),0%)</f>
        <v>0</v>
      </c>
      <c r="BYV4" s="179">
        <f>IFERROR(VLOOKUP(BYV$1,Innova[[Ticker]:[Weight]],2,FALSE),0%)</f>
        <v>0</v>
      </c>
      <c r="BYW4" s="179">
        <f>IFERROR(VLOOKUP(BYW$1,Innova[[Ticker]:[Weight]],2,FALSE),0%)</f>
        <v>0</v>
      </c>
      <c r="BYX4" s="179">
        <f>IFERROR(VLOOKUP(BYX$1,Innova[[Ticker]:[Weight]],2,FALSE),0%)</f>
        <v>0</v>
      </c>
      <c r="BYY4" s="179">
        <f>IFERROR(VLOOKUP(BYY$1,Innova[[Ticker]:[Weight]],2,FALSE),0%)</f>
        <v>0</v>
      </c>
      <c r="BYZ4" s="179">
        <f>IFERROR(VLOOKUP(BYZ$1,Innova[[Ticker]:[Weight]],2,FALSE),0%)</f>
        <v>0</v>
      </c>
      <c r="BZA4" s="179">
        <f>IFERROR(VLOOKUP(BZA$1,Innova[[Ticker]:[Weight]],2,FALSE),0%)</f>
        <v>0</v>
      </c>
      <c r="BZB4" s="179">
        <f>IFERROR(VLOOKUP(BZB$1,Innova[[Ticker]:[Weight]],2,FALSE),0%)</f>
        <v>0</v>
      </c>
      <c r="BZC4" s="179">
        <f>IFERROR(VLOOKUP(BZC$1,Innova[[Ticker]:[Weight]],2,FALSE),0%)</f>
        <v>0</v>
      </c>
      <c r="BZD4" s="179">
        <f>IFERROR(VLOOKUP(BZD$1,Innova[[Ticker]:[Weight]],2,FALSE),0%)</f>
        <v>0</v>
      </c>
      <c r="BZE4" s="179">
        <f>IFERROR(VLOOKUP(BZE$1,Innova[[Ticker]:[Weight]],2,FALSE),0%)</f>
        <v>0</v>
      </c>
      <c r="BZF4" s="179">
        <f>IFERROR(VLOOKUP(BZF$1,Innova[[Ticker]:[Weight]],2,FALSE),0%)</f>
        <v>0</v>
      </c>
      <c r="BZG4" s="179">
        <f>IFERROR(VLOOKUP(BZG$1,Innova[[Ticker]:[Weight]],2,FALSE),0%)</f>
        <v>0</v>
      </c>
      <c r="BZH4" s="179">
        <f>IFERROR(VLOOKUP(BZH$1,Innova[[Ticker]:[Weight]],2,FALSE),0%)</f>
        <v>0</v>
      </c>
      <c r="BZI4" s="179">
        <f>IFERROR(VLOOKUP(BZI$1,Innova[[Ticker]:[Weight]],2,FALSE),0%)</f>
        <v>0</v>
      </c>
      <c r="BZJ4" s="179">
        <f>IFERROR(VLOOKUP(BZJ$1,Innova[[Ticker]:[Weight]],2,FALSE),0%)</f>
        <v>0</v>
      </c>
      <c r="BZK4" s="179">
        <f>IFERROR(VLOOKUP(BZK$1,Innova[[Ticker]:[Weight]],2,FALSE),0%)</f>
        <v>0</v>
      </c>
      <c r="BZL4" s="179">
        <f>IFERROR(VLOOKUP(BZL$1,Innova[[Ticker]:[Weight]],2,FALSE),0%)</f>
        <v>0</v>
      </c>
      <c r="BZM4" s="179">
        <f>IFERROR(VLOOKUP(BZM$1,Innova[[Ticker]:[Weight]],2,FALSE),0%)</f>
        <v>0</v>
      </c>
      <c r="BZN4" s="179">
        <f>IFERROR(VLOOKUP(BZN$1,Innova[[Ticker]:[Weight]],2,FALSE),0%)</f>
        <v>0</v>
      </c>
      <c r="BZO4" s="179">
        <f>IFERROR(VLOOKUP(BZO$1,Innova[[Ticker]:[Weight]],2,FALSE),0%)</f>
        <v>0</v>
      </c>
      <c r="BZP4" s="179">
        <f>IFERROR(VLOOKUP(BZP$1,Innova[[Ticker]:[Weight]],2,FALSE),0%)</f>
        <v>0</v>
      </c>
      <c r="BZQ4" s="179">
        <f>IFERROR(VLOOKUP(BZQ$1,Innova[[Ticker]:[Weight]],2,FALSE),0%)</f>
        <v>0</v>
      </c>
      <c r="BZR4" s="179">
        <f>IFERROR(VLOOKUP(BZR$1,Innova[[Ticker]:[Weight]],2,FALSE),0%)</f>
        <v>0</v>
      </c>
      <c r="BZS4" s="179">
        <f>IFERROR(VLOOKUP(BZS$1,Innova[[Ticker]:[Weight]],2,FALSE),0%)</f>
        <v>0</v>
      </c>
      <c r="BZT4" s="179">
        <f>IFERROR(VLOOKUP(BZT$1,Innova[[Ticker]:[Weight]],2,FALSE),0%)</f>
        <v>0</v>
      </c>
      <c r="BZU4" s="179">
        <f>IFERROR(VLOOKUP(BZU$1,Innova[[Ticker]:[Weight]],2,FALSE),0%)</f>
        <v>0</v>
      </c>
      <c r="BZV4" s="179">
        <f>IFERROR(VLOOKUP(BZV$1,Innova[[Ticker]:[Weight]],2,FALSE),0%)</f>
        <v>0</v>
      </c>
      <c r="BZW4" s="179">
        <f>IFERROR(VLOOKUP(BZW$1,Innova[[Ticker]:[Weight]],2,FALSE),0%)</f>
        <v>0</v>
      </c>
      <c r="BZX4" s="179">
        <f>IFERROR(VLOOKUP(BZX$1,Innova[[Ticker]:[Weight]],2,FALSE),0%)</f>
        <v>0</v>
      </c>
      <c r="BZY4" s="179">
        <f>IFERROR(VLOOKUP(BZY$1,Innova[[Ticker]:[Weight]],2,FALSE),0%)</f>
        <v>0</v>
      </c>
      <c r="BZZ4" s="179">
        <f>IFERROR(VLOOKUP(BZZ$1,Innova[[Ticker]:[Weight]],2,FALSE),0%)</f>
        <v>0</v>
      </c>
      <c r="CAA4" s="179">
        <f>IFERROR(VLOOKUP(CAA$1,Innova[[Ticker]:[Weight]],2,FALSE),0%)</f>
        <v>0</v>
      </c>
      <c r="CAB4" s="179">
        <f>IFERROR(VLOOKUP(CAB$1,Innova[[Ticker]:[Weight]],2,FALSE),0%)</f>
        <v>0</v>
      </c>
      <c r="CAC4" s="179">
        <f>IFERROR(VLOOKUP(CAC$1,Innova[[Ticker]:[Weight]],2,FALSE),0%)</f>
        <v>0</v>
      </c>
      <c r="CAD4" s="179">
        <f>IFERROR(VLOOKUP(CAD$1,Innova[[Ticker]:[Weight]],2,FALSE),0%)</f>
        <v>0</v>
      </c>
      <c r="CAE4" s="179">
        <f>IFERROR(VLOOKUP(CAE$1,Innova[[Ticker]:[Weight]],2,FALSE),0%)</f>
        <v>0</v>
      </c>
      <c r="CAF4" s="179">
        <f>IFERROR(VLOOKUP(CAF$1,Innova[[Ticker]:[Weight]],2,FALSE),0%)</f>
        <v>0</v>
      </c>
      <c r="CAG4" s="179">
        <f>IFERROR(VLOOKUP(CAG$1,Innova[[Ticker]:[Weight]],2,FALSE),0%)</f>
        <v>0</v>
      </c>
      <c r="CAH4" s="179">
        <f>IFERROR(VLOOKUP(CAH$1,Innova[[Ticker]:[Weight]],2,FALSE),0%)</f>
        <v>0</v>
      </c>
      <c r="CAI4" s="179">
        <f>IFERROR(VLOOKUP(CAI$1,Innova[[Ticker]:[Weight]],2,FALSE),0%)</f>
        <v>0</v>
      </c>
      <c r="CAJ4" s="179">
        <f>IFERROR(VLOOKUP(CAJ$1,Innova[[Ticker]:[Weight]],2,FALSE),0%)</f>
        <v>0</v>
      </c>
      <c r="CAK4" s="179">
        <f>IFERROR(VLOOKUP(CAK$1,Innova[[Ticker]:[Weight]],2,FALSE),0%)</f>
        <v>0</v>
      </c>
      <c r="CAL4" s="179">
        <f>IFERROR(VLOOKUP(CAL$1,Innova[[Ticker]:[Weight]],2,FALSE),0%)</f>
        <v>0</v>
      </c>
      <c r="CAM4" s="179">
        <f>IFERROR(VLOOKUP(CAM$1,Innova[[Ticker]:[Weight]],2,FALSE),0%)</f>
        <v>0</v>
      </c>
      <c r="CAN4" s="179">
        <f>IFERROR(VLOOKUP(CAN$1,Innova[[Ticker]:[Weight]],2,FALSE),0%)</f>
        <v>0</v>
      </c>
      <c r="CAO4" s="179">
        <f>IFERROR(VLOOKUP(CAO$1,Innova[[Ticker]:[Weight]],2,FALSE),0%)</f>
        <v>0</v>
      </c>
      <c r="CAP4" s="179">
        <f>IFERROR(VLOOKUP(CAP$1,Innova[[Ticker]:[Weight]],2,FALSE),0%)</f>
        <v>0</v>
      </c>
      <c r="CAQ4" s="179">
        <f>IFERROR(VLOOKUP(CAQ$1,Innova[[Ticker]:[Weight]],2,FALSE),0%)</f>
        <v>0</v>
      </c>
      <c r="CAR4" s="179">
        <f>IFERROR(VLOOKUP(CAR$1,Innova[[Ticker]:[Weight]],2,FALSE),0%)</f>
        <v>0</v>
      </c>
      <c r="CAS4" s="179">
        <f>IFERROR(VLOOKUP(CAS$1,Innova[[Ticker]:[Weight]],2,FALSE),0%)</f>
        <v>0</v>
      </c>
      <c r="CAT4" s="179">
        <f>IFERROR(VLOOKUP(CAT$1,Innova[[Ticker]:[Weight]],2,FALSE),0%)</f>
        <v>0</v>
      </c>
      <c r="CAU4" s="179">
        <f>IFERROR(VLOOKUP(CAU$1,Innova[[Ticker]:[Weight]],2,FALSE),0%)</f>
        <v>0</v>
      </c>
      <c r="CAV4" s="179">
        <f>IFERROR(VLOOKUP(CAV$1,Innova[[Ticker]:[Weight]],2,FALSE),0%)</f>
        <v>0</v>
      </c>
      <c r="CAW4" s="179">
        <f>IFERROR(VLOOKUP(CAW$1,Innova[[Ticker]:[Weight]],2,FALSE),0%)</f>
        <v>0</v>
      </c>
      <c r="CAX4" s="179">
        <f>IFERROR(VLOOKUP(CAX$1,Innova[[Ticker]:[Weight]],2,FALSE),0%)</f>
        <v>0</v>
      </c>
      <c r="CAY4" s="179">
        <f>IFERROR(VLOOKUP(CAY$1,Innova[[Ticker]:[Weight]],2,FALSE),0%)</f>
        <v>0</v>
      </c>
      <c r="CAZ4" s="179">
        <f>IFERROR(VLOOKUP(CAZ$1,Innova[[Ticker]:[Weight]],2,FALSE),0%)</f>
        <v>0</v>
      </c>
      <c r="CBA4" s="179">
        <f>IFERROR(VLOOKUP(CBA$1,Innova[[Ticker]:[Weight]],2,FALSE),0%)</f>
        <v>0</v>
      </c>
      <c r="CBB4" s="179">
        <f>IFERROR(VLOOKUP(CBB$1,Innova[[Ticker]:[Weight]],2,FALSE),0%)</f>
        <v>0</v>
      </c>
      <c r="CBC4" s="179">
        <f>IFERROR(VLOOKUP(CBC$1,Innova[[Ticker]:[Weight]],2,FALSE),0%)</f>
        <v>0</v>
      </c>
      <c r="CBD4" s="179">
        <f>IFERROR(VLOOKUP(CBD$1,Innova[[Ticker]:[Weight]],2,FALSE),0%)</f>
        <v>0</v>
      </c>
      <c r="CBE4" s="179">
        <f>IFERROR(VLOOKUP(CBE$1,Innova[[Ticker]:[Weight]],2,FALSE),0%)</f>
        <v>0</v>
      </c>
      <c r="CBF4" s="179">
        <f>IFERROR(VLOOKUP(CBF$1,Innova[[Ticker]:[Weight]],2,FALSE),0%)</f>
        <v>0</v>
      </c>
      <c r="CBG4" s="179">
        <f>IFERROR(VLOOKUP(CBG$1,Innova[[Ticker]:[Weight]],2,FALSE),0%)</f>
        <v>0</v>
      </c>
      <c r="CBH4" s="179">
        <f>IFERROR(VLOOKUP(CBH$1,Innova[[Ticker]:[Weight]],2,FALSE),0%)</f>
        <v>0</v>
      </c>
      <c r="CBI4" s="179">
        <f>IFERROR(VLOOKUP(CBI$1,Innova[[Ticker]:[Weight]],2,FALSE),0%)</f>
        <v>0</v>
      </c>
      <c r="CBJ4" s="179">
        <f>IFERROR(VLOOKUP(CBJ$1,Innova[[Ticker]:[Weight]],2,FALSE),0%)</f>
        <v>0</v>
      </c>
      <c r="CBK4" s="179">
        <f>IFERROR(VLOOKUP(CBK$1,Innova[[Ticker]:[Weight]],2,FALSE),0%)</f>
        <v>0</v>
      </c>
      <c r="CBL4" s="179">
        <f>IFERROR(VLOOKUP(CBL$1,Innova[[Ticker]:[Weight]],2,FALSE),0%)</f>
        <v>0</v>
      </c>
      <c r="CBM4" s="179">
        <f>IFERROR(VLOOKUP(CBM$1,Innova[[Ticker]:[Weight]],2,FALSE),0%)</f>
        <v>0</v>
      </c>
      <c r="CBN4" s="179">
        <f>IFERROR(VLOOKUP(CBN$1,Innova[[Ticker]:[Weight]],2,FALSE),0%)</f>
        <v>0</v>
      </c>
      <c r="CBO4" s="179">
        <f>IFERROR(VLOOKUP(CBO$1,Innova[[Ticker]:[Weight]],2,FALSE),0%)</f>
        <v>0</v>
      </c>
      <c r="CBP4" s="179">
        <f>IFERROR(VLOOKUP(CBP$1,Innova[[Ticker]:[Weight]],2,FALSE),0%)</f>
        <v>0</v>
      </c>
      <c r="CBQ4" s="179">
        <f>IFERROR(VLOOKUP(CBQ$1,Innova[[Ticker]:[Weight]],2,FALSE),0%)</f>
        <v>0</v>
      </c>
      <c r="CBR4" s="179">
        <f>IFERROR(VLOOKUP(CBR$1,Innova[[Ticker]:[Weight]],2,FALSE),0%)</f>
        <v>0</v>
      </c>
      <c r="CBS4" s="179">
        <f>IFERROR(VLOOKUP(CBS$1,Innova[[Ticker]:[Weight]],2,FALSE),0%)</f>
        <v>0</v>
      </c>
      <c r="CBT4" s="179">
        <f>IFERROR(VLOOKUP(CBT$1,Innova[[Ticker]:[Weight]],2,FALSE),0%)</f>
        <v>0</v>
      </c>
      <c r="CBU4" s="179">
        <f>IFERROR(VLOOKUP(CBU$1,Innova[[Ticker]:[Weight]],2,FALSE),0%)</f>
        <v>0</v>
      </c>
      <c r="CBV4" s="179">
        <f>IFERROR(VLOOKUP(CBV$1,Innova[[Ticker]:[Weight]],2,FALSE),0%)</f>
        <v>0</v>
      </c>
      <c r="CBW4" s="179">
        <f t="shared" si="1"/>
        <v>1</v>
      </c>
    </row>
    <row r="5">
      <c r="A5" s="410" t="s">
        <v>20</v>
      </c>
      <c r="B5" s="179">
        <f>IFERROR(VLOOKUP(B$1,Future[[Ticker]:[Weight]],2,FALSE),0%)</f>
        <v>0</v>
      </c>
      <c r="C5" s="179">
        <f>IFERROR(VLOOKUP(C$1,Future[[Ticker]:[Weight]],2,FALSE),0%)</f>
        <v>0</v>
      </c>
      <c r="D5" s="179">
        <f>IFERROR(VLOOKUP(D$1,Future[[Ticker]:[Weight]],2,FALSE),0%)</f>
        <v>0</v>
      </c>
      <c r="E5" s="179">
        <f>IFERROR(VLOOKUP(E$1,Future[[Ticker]:[Weight]],2,FALSE),0%)</f>
        <v>0</v>
      </c>
      <c r="F5" s="179">
        <f>IFERROR(VLOOKUP(F$1,Future[[Ticker]:[Weight]],2,FALSE),0%)</f>
        <v>0</v>
      </c>
      <c r="G5" s="179">
        <f>IFERROR(VLOOKUP(G$1,Future[[Ticker]:[Weight]],2,FALSE),0%)</f>
        <v>0</v>
      </c>
      <c r="H5" s="179">
        <f>IFERROR(VLOOKUP(H$1,Future[[Ticker]:[Weight]],2,FALSE),0%)</f>
        <v>0</v>
      </c>
      <c r="I5" s="179">
        <f>IFERROR(VLOOKUP(I$1,Future[[Ticker]:[Weight]],2,FALSE),0%)</f>
        <v>0</v>
      </c>
      <c r="J5" s="179">
        <f>IFERROR(VLOOKUP(J$1,Future[[Ticker]:[Weight]],2,FALSE),0%)</f>
        <v>0</v>
      </c>
      <c r="K5" s="179">
        <f>IFERROR(VLOOKUP(K$1,Future[[Ticker]:[Weight]],2,FALSE),0%)</f>
        <v>0</v>
      </c>
      <c r="L5" s="179">
        <f>IFERROR(VLOOKUP(L$1,Future[[Ticker]:[Weight]],2,FALSE),0%)</f>
        <v>0</v>
      </c>
      <c r="M5" s="179">
        <f>IFERROR(VLOOKUP(M$1,Future[[Ticker]:[Weight]],2,FALSE),0%)</f>
        <v>0</v>
      </c>
      <c r="N5" s="179">
        <f>IFERROR(VLOOKUP(N$1,Future[[Ticker]:[Weight]],2,FALSE),0%)</f>
        <v>0</v>
      </c>
      <c r="O5" s="179">
        <f>IFERROR(VLOOKUP(O$1,Future[[Ticker]:[Weight]],2,FALSE),0%)</f>
        <v>0</v>
      </c>
      <c r="P5" s="179">
        <f>IFERROR(VLOOKUP(P$1,Future[[Ticker]:[Weight]],2,FALSE),0%)</f>
        <v>0</v>
      </c>
      <c r="Q5" s="179">
        <f>IFERROR(VLOOKUP(Q$1,Future[[Ticker]:[Weight]],2,FALSE),0%)</f>
        <v>0</v>
      </c>
      <c r="R5" s="179">
        <f>IFERROR(VLOOKUP(R$1,Future[[Ticker]:[Weight]],2,FALSE),0%)</f>
        <v>0</v>
      </c>
      <c r="S5" s="179">
        <f>IFERROR(VLOOKUP(S$1,Future[[Ticker]:[Weight]],2,FALSE),0%)</f>
        <v>0</v>
      </c>
      <c r="T5" s="179">
        <f>IFERROR(VLOOKUP(T$1,Future[[Ticker]:[Weight]],2,FALSE),0%)</f>
        <v>0</v>
      </c>
      <c r="U5" s="179">
        <f>IFERROR(VLOOKUP(U$1,Future[[Ticker]:[Weight]],2,FALSE),0%)</f>
        <v>0</v>
      </c>
      <c r="V5" s="179">
        <f>IFERROR(VLOOKUP(V$1,Future[[Ticker]:[Weight]],2,FALSE),0%)</f>
        <v>0</v>
      </c>
      <c r="W5" s="179">
        <f>IFERROR(VLOOKUP(W$1,Future[[Ticker]:[Weight]],2,FALSE),0%)</f>
        <v>0</v>
      </c>
      <c r="X5" s="179">
        <f>IFERROR(VLOOKUP(X$1,Future[[Ticker]:[Weight]],2,FALSE),0%)</f>
        <v>0</v>
      </c>
      <c r="Y5" s="179">
        <f>IFERROR(VLOOKUP(Y$1,Future[[Ticker]:[Weight]],2,FALSE),0%)</f>
        <v>0</v>
      </c>
      <c r="Z5" s="179">
        <f>IFERROR(VLOOKUP(Z$1,Future[[Ticker]:[Weight]],2,FALSE),0%)</f>
        <v>0</v>
      </c>
      <c r="AA5" s="179">
        <f>IFERROR(VLOOKUP(AA$1,Future[[Ticker]:[Weight]],2,FALSE),0%)</f>
        <v>0</v>
      </c>
      <c r="AB5" s="179">
        <f>IFERROR(VLOOKUP(AB$1,Future[[Ticker]:[Weight]],2,FALSE),0%)</f>
        <v>0</v>
      </c>
      <c r="AC5" s="179">
        <f>IFERROR(VLOOKUP(AC$1,Future[[Ticker]:[Weight]],2,FALSE),0%)</f>
        <v>0</v>
      </c>
      <c r="AD5" s="179">
        <f>IFERROR(VLOOKUP(AD$1,Future[[Ticker]:[Weight]],2,FALSE),0%)</f>
        <v>0</v>
      </c>
      <c r="AE5" s="179">
        <f>IFERROR(VLOOKUP(AE$1,Future[[Ticker]:[Weight]],2,FALSE),0%)</f>
        <v>0</v>
      </c>
      <c r="AF5" s="179">
        <f>IFERROR(VLOOKUP(AF$1,Future[[Ticker]:[Weight]],2,FALSE),0%)</f>
        <v>0</v>
      </c>
      <c r="AG5" s="179">
        <f>IFERROR(VLOOKUP(AG$1,Future[[Ticker]:[Weight]],2,FALSE),0%)</f>
        <v>0</v>
      </c>
      <c r="AH5" s="179">
        <f>IFERROR(VLOOKUP(AH$1,Future[[Ticker]:[Weight]],2,FALSE),0%)</f>
        <v>0</v>
      </c>
      <c r="AI5" s="179">
        <f>IFERROR(VLOOKUP(AI$1,Future[[Ticker]:[Weight]],2,FALSE),0%)</f>
        <v>0</v>
      </c>
      <c r="AJ5" s="179">
        <f>IFERROR(VLOOKUP(AJ$1,Future[[Ticker]:[Weight]],2,FALSE),0%)</f>
        <v>0</v>
      </c>
      <c r="AK5" s="179">
        <f>IFERROR(VLOOKUP(AK$1,Future[[Ticker]:[Weight]],2,FALSE),0%)</f>
        <v>0</v>
      </c>
      <c r="AL5" s="179">
        <f>IFERROR(VLOOKUP(AL$1,Future[[Ticker]:[Weight]],2,FALSE),0%)</f>
        <v>0</v>
      </c>
      <c r="AM5" s="179">
        <f>IFERROR(VLOOKUP(AM$1,Future[[Ticker]:[Weight]],2,FALSE),0%)</f>
        <v>0</v>
      </c>
      <c r="AN5" s="179">
        <f>IFERROR(VLOOKUP(AN$1,Future[[Ticker]:[Weight]],2,FALSE),0%)</f>
        <v>0</v>
      </c>
      <c r="AO5" s="179">
        <f>IFERROR(VLOOKUP(AO$1,Future[[Ticker]:[Weight]],2,FALSE),0%)</f>
        <v>0</v>
      </c>
      <c r="AP5" s="179">
        <f>IFERROR(VLOOKUP(AP$1,Future[[Ticker]:[Weight]],2,FALSE),0%)</f>
        <v>0</v>
      </c>
      <c r="AQ5" s="179">
        <f>IFERROR(VLOOKUP(AQ$1,Future[[Ticker]:[Weight]],2,FALSE),0%)</f>
        <v>0</v>
      </c>
      <c r="AR5" s="179">
        <f>IFERROR(VLOOKUP(AR$1,Future[[Ticker]:[Weight]],2,FALSE),0%)</f>
        <v>0</v>
      </c>
      <c r="AS5" s="179">
        <f>IFERROR(VLOOKUP(AS$1,Future[[Ticker]:[Weight]],2,FALSE),0%)</f>
        <v>0</v>
      </c>
      <c r="AT5" s="179">
        <f>IFERROR(VLOOKUP(AT$1,Future[[Ticker]:[Weight]],2,FALSE),0%)</f>
        <v>0</v>
      </c>
      <c r="AU5" s="179">
        <f>IFERROR(VLOOKUP(AU$1,Future[[Ticker]:[Weight]],2,FALSE),0%)</f>
        <v>0</v>
      </c>
      <c r="AV5" s="179">
        <f>IFERROR(VLOOKUP(AV$1,Future[[Ticker]:[Weight]],2,FALSE),0%)</f>
        <v>0</v>
      </c>
      <c r="AW5" s="179">
        <f>IFERROR(VLOOKUP(AW$1,Future[[Ticker]:[Weight]],2,FALSE),0%)</f>
        <v>0</v>
      </c>
      <c r="AX5" s="179">
        <f>IFERROR(VLOOKUP(AX$1,Future[[Ticker]:[Weight]],2,FALSE),0%)</f>
        <v>0</v>
      </c>
      <c r="AY5" s="179">
        <f>IFERROR(VLOOKUP(AY$1,Future[[Ticker]:[Weight]],2,FALSE),0%)</f>
        <v>0</v>
      </c>
      <c r="AZ5" s="179">
        <f>IFERROR(VLOOKUP(AZ$1,Future[[Ticker]:[Weight]],2,FALSE),0%)</f>
        <v>0</v>
      </c>
      <c r="BA5" s="179">
        <f>IFERROR(VLOOKUP(BA$1,Future[[Ticker]:[Weight]],2,FALSE),0%)</f>
        <v>0</v>
      </c>
      <c r="BB5" s="179">
        <f>IFERROR(VLOOKUP(BB$1,Future[[Ticker]:[Weight]],2,FALSE),0%)</f>
        <v>0</v>
      </c>
      <c r="BC5" s="179">
        <f>IFERROR(VLOOKUP(BC$1,Future[[Ticker]:[Weight]],2,FALSE),0%)</f>
        <v>0</v>
      </c>
      <c r="BD5" s="179">
        <f>IFERROR(VLOOKUP(BD$1,Future[[Ticker]:[Weight]],2,FALSE),0%)</f>
        <v>0</v>
      </c>
      <c r="BE5" s="179">
        <f>IFERROR(VLOOKUP(BE$1,Future[[Ticker]:[Weight]],2,FALSE),0%)</f>
        <v>0</v>
      </c>
      <c r="BF5" s="179">
        <f>IFERROR(VLOOKUP(BF$1,Future[[Ticker]:[Weight]],2,FALSE),0%)</f>
        <v>0</v>
      </c>
      <c r="BG5" s="179">
        <f>IFERROR(VLOOKUP(BG$1,Future[[Ticker]:[Weight]],2,FALSE),0%)</f>
        <v>0</v>
      </c>
      <c r="BH5" s="179">
        <f>IFERROR(VLOOKUP(BH$1,Future[[Ticker]:[Weight]],2,FALSE),0%)</f>
        <v>0</v>
      </c>
      <c r="BI5" s="179">
        <f>IFERROR(VLOOKUP(BI$1,Future[[Ticker]:[Weight]],2,FALSE),0%)</f>
        <v>0</v>
      </c>
      <c r="BJ5" s="179">
        <f>IFERROR(VLOOKUP(BJ$1,Future[[Ticker]:[Weight]],2,FALSE),0%)</f>
        <v>0</v>
      </c>
      <c r="BK5" s="179">
        <f>IFERROR(VLOOKUP(BK$1,Future[[Ticker]:[Weight]],2,FALSE),0%)</f>
        <v>0</v>
      </c>
      <c r="BL5" s="179">
        <f>IFERROR(VLOOKUP(BL$1,Future[[Ticker]:[Weight]],2,FALSE),0%)</f>
        <v>0</v>
      </c>
      <c r="BM5" s="179">
        <f>IFERROR(VLOOKUP(BM$1,Future[[Ticker]:[Weight]],2,FALSE),0%)</f>
        <v>0</v>
      </c>
      <c r="BN5" s="179">
        <f>IFERROR(VLOOKUP(BN$1,Future[[Ticker]:[Weight]],2,FALSE),0%)</f>
        <v>0</v>
      </c>
      <c r="BO5" s="179">
        <f>IFERROR(VLOOKUP(BO$1,Future[[Ticker]:[Weight]],2,FALSE),0%)</f>
        <v>0</v>
      </c>
      <c r="BP5" s="179">
        <f>IFERROR(VLOOKUP(BP$1,Future[[Ticker]:[Weight]],2,FALSE),0%)</f>
        <v>0</v>
      </c>
      <c r="BQ5" s="179">
        <f>IFERROR(VLOOKUP(BQ$1,Future[[Ticker]:[Weight]],2,FALSE),0%)</f>
        <v>0</v>
      </c>
      <c r="BR5" s="179">
        <f>IFERROR(VLOOKUP(BR$1,Future[[Ticker]:[Weight]],2,FALSE),0%)</f>
        <v>0</v>
      </c>
      <c r="BS5" s="179">
        <f>IFERROR(VLOOKUP(BS$1,Future[[Ticker]:[Weight]],2,FALSE),0%)</f>
        <v>0</v>
      </c>
      <c r="BT5" s="179">
        <f>IFERROR(VLOOKUP(BT$1,Future[[Ticker]:[Weight]],2,FALSE),0%)</f>
        <v>0</v>
      </c>
      <c r="BU5" s="179">
        <f>IFERROR(VLOOKUP(BU$1,Future[[Ticker]:[Weight]],2,FALSE),0%)</f>
        <v>0</v>
      </c>
      <c r="BV5" s="179">
        <f>IFERROR(VLOOKUP(BV$1,Future[[Ticker]:[Weight]],2,FALSE),0%)</f>
        <v>0</v>
      </c>
      <c r="BW5" s="179">
        <f>IFERROR(VLOOKUP(BW$1,Future[[Ticker]:[Weight]],2,FALSE),0%)</f>
        <v>0</v>
      </c>
      <c r="BX5" s="179">
        <f>IFERROR(VLOOKUP(BX$1,Future[[Ticker]:[Weight]],2,FALSE),0%)</f>
        <v>0</v>
      </c>
      <c r="BY5" s="179">
        <f>IFERROR(VLOOKUP(BY$1,Future[[Ticker]:[Weight]],2,FALSE),0%)</f>
        <v>0</v>
      </c>
      <c r="BZ5" s="179">
        <f>IFERROR(VLOOKUP(BZ$1,Future[[Ticker]:[Weight]],2,FALSE),0%)</f>
        <v>0</v>
      </c>
      <c r="CA5" s="179">
        <f>IFERROR(VLOOKUP(CA$1,Future[[Ticker]:[Weight]],2,FALSE),0%)</f>
        <v>0</v>
      </c>
      <c r="CB5" s="179">
        <f>IFERROR(VLOOKUP(CB$1,Future[[Ticker]:[Weight]],2,FALSE),0%)</f>
        <v>0</v>
      </c>
      <c r="CC5" s="179">
        <f>IFERROR(VLOOKUP(CC$1,Future[[Ticker]:[Weight]],2,FALSE),0%)</f>
        <v>0</v>
      </c>
      <c r="CD5" s="179">
        <f>IFERROR(VLOOKUP(CD$1,Future[[Ticker]:[Weight]],2,FALSE),0%)</f>
        <v>0</v>
      </c>
      <c r="CE5" s="179">
        <f>IFERROR(VLOOKUP(CE$1,Future[[Ticker]:[Weight]],2,FALSE),0%)</f>
        <v>0</v>
      </c>
      <c r="CF5" s="179">
        <f>IFERROR(VLOOKUP(CF$1,Future[[Ticker]:[Weight]],2,FALSE),0%)</f>
        <v>0</v>
      </c>
      <c r="CG5" s="179">
        <f>IFERROR(VLOOKUP(CG$1,Future[[Ticker]:[Weight]],2,FALSE),0%)</f>
        <v>0</v>
      </c>
      <c r="CH5" s="179">
        <f>IFERROR(VLOOKUP(CH$1,Future[[Ticker]:[Weight]],2,FALSE),0%)</f>
        <v>0</v>
      </c>
      <c r="CI5" s="179">
        <f>IFERROR(VLOOKUP(CI$1,Future[[Ticker]:[Weight]],2,FALSE),0%)</f>
        <v>0</v>
      </c>
      <c r="CJ5" s="179">
        <f>IFERROR(VLOOKUP(CJ$1,Future[[Ticker]:[Weight]],2,FALSE),0%)</f>
        <v>0</v>
      </c>
      <c r="CK5" s="179">
        <f>IFERROR(VLOOKUP(CK$1,Future[[Ticker]:[Weight]],2,FALSE),0%)</f>
        <v>0</v>
      </c>
      <c r="CL5" s="179">
        <f>IFERROR(VLOOKUP(CL$1,Future[[Ticker]:[Weight]],2,FALSE),0%)</f>
        <v>0</v>
      </c>
      <c r="CM5" s="179">
        <f>IFERROR(VLOOKUP(CM$1,Future[[Ticker]:[Weight]],2,FALSE),0%)</f>
        <v>0</v>
      </c>
      <c r="CN5" s="179">
        <f>IFERROR(VLOOKUP(CN$1,Future[[Ticker]:[Weight]],2,FALSE),0%)</f>
        <v>0</v>
      </c>
      <c r="CO5" s="179">
        <f>IFERROR(VLOOKUP(CO$1,Future[[Ticker]:[Weight]],2,FALSE),0%)</f>
        <v>0</v>
      </c>
      <c r="CP5" s="179">
        <f>IFERROR(VLOOKUP(CP$1,Future[[Ticker]:[Weight]],2,FALSE),0%)</f>
        <v>0</v>
      </c>
      <c r="CQ5" s="179">
        <f>IFERROR(VLOOKUP(CQ$1,Future[[Ticker]:[Weight]],2,FALSE),0%)</f>
        <v>0</v>
      </c>
      <c r="CR5" s="179">
        <f>IFERROR(VLOOKUP(CR$1,Future[[Ticker]:[Weight]],2,FALSE),0%)</f>
        <v>0</v>
      </c>
      <c r="CS5" s="179">
        <f>IFERROR(VLOOKUP(CS$1,Future[[Ticker]:[Weight]],2,FALSE),0%)</f>
        <v>0</v>
      </c>
      <c r="CT5" s="179">
        <f>IFERROR(VLOOKUP(CT$1,Future[[Ticker]:[Weight]],2,FALSE),0%)</f>
        <v>0</v>
      </c>
      <c r="CU5" s="179">
        <f>IFERROR(VLOOKUP(CU$1,Future[[Ticker]:[Weight]],2,FALSE),0%)</f>
        <v>0</v>
      </c>
      <c r="CV5" s="179">
        <f>IFERROR(VLOOKUP(CV$1,Future[[Ticker]:[Weight]],2,FALSE),0%)</f>
        <v>0</v>
      </c>
      <c r="CW5" s="179">
        <f>IFERROR(VLOOKUP(CW$1,Future[[Ticker]:[Weight]],2,FALSE),0%)</f>
        <v>0</v>
      </c>
      <c r="CX5" s="179">
        <f>IFERROR(VLOOKUP(CX$1,Future[[Ticker]:[Weight]],2,FALSE),0%)</f>
        <v>0</v>
      </c>
      <c r="CY5" s="179">
        <f>IFERROR(VLOOKUP(CY$1,Future[[Ticker]:[Weight]],2,FALSE),0%)</f>
        <v>0</v>
      </c>
      <c r="CZ5" s="179">
        <f>IFERROR(VLOOKUP(CZ$1,Future[[Ticker]:[Weight]],2,FALSE),0%)</f>
        <v>0</v>
      </c>
      <c r="DA5" s="179">
        <f>IFERROR(VLOOKUP(DA$1,Future[[Ticker]:[Weight]],2,FALSE),0%)</f>
        <v>0</v>
      </c>
      <c r="DB5" s="179">
        <f>IFERROR(VLOOKUP(DB$1,Future[[Ticker]:[Weight]],2,FALSE),0%)</f>
        <v>0</v>
      </c>
      <c r="DC5" s="179">
        <f>IFERROR(VLOOKUP(DC$1,Future[[Ticker]:[Weight]],2,FALSE),0%)</f>
        <v>0</v>
      </c>
      <c r="DD5" s="179">
        <f>IFERROR(VLOOKUP(DD$1,Future[[Ticker]:[Weight]],2,FALSE),0%)</f>
        <v>0</v>
      </c>
      <c r="DE5" s="179">
        <f>IFERROR(VLOOKUP(DE$1,Future[[Ticker]:[Weight]],2,FALSE),0%)</f>
        <v>0</v>
      </c>
      <c r="DF5" s="179">
        <f>IFERROR(VLOOKUP(DF$1,Future[[Ticker]:[Weight]],2,FALSE),0%)</f>
        <v>0</v>
      </c>
      <c r="DG5" s="179">
        <f>IFERROR(VLOOKUP(DG$1,Future[[Ticker]:[Weight]],2,FALSE),0%)</f>
        <v>0</v>
      </c>
      <c r="DH5" s="179">
        <f>IFERROR(VLOOKUP(DH$1,Future[[Ticker]:[Weight]],2,FALSE),0%)</f>
        <v>0</v>
      </c>
      <c r="DI5" s="179">
        <f>IFERROR(VLOOKUP(DI$1,Future[[Ticker]:[Weight]],2,FALSE),0%)</f>
        <v>0</v>
      </c>
      <c r="DJ5" s="179">
        <f>IFERROR(VLOOKUP(DJ$1,Future[[Ticker]:[Weight]],2,FALSE),0%)</f>
        <v>0</v>
      </c>
      <c r="DK5" s="179">
        <f>IFERROR(VLOOKUP(DK$1,Future[[Ticker]:[Weight]],2,FALSE),0%)</f>
        <v>0</v>
      </c>
      <c r="DL5" s="179">
        <f>IFERROR(VLOOKUP(DL$1,Future[[Ticker]:[Weight]],2,FALSE),0%)</f>
        <v>0</v>
      </c>
      <c r="DM5" s="179">
        <f>IFERROR(VLOOKUP(DM$1,Future[[Ticker]:[Weight]],2,FALSE),0%)</f>
        <v>0</v>
      </c>
      <c r="DN5" s="179">
        <f>IFERROR(VLOOKUP(DN$1,Future[[Ticker]:[Weight]],2,FALSE),0%)</f>
        <v>0</v>
      </c>
      <c r="DO5" s="179">
        <f>IFERROR(VLOOKUP(DO$1,Future[[Ticker]:[Weight]],2,FALSE),0%)</f>
        <v>0</v>
      </c>
      <c r="DP5" s="179">
        <f>IFERROR(VLOOKUP(DP$1,Future[[Ticker]:[Weight]],2,FALSE),0%)</f>
        <v>0</v>
      </c>
      <c r="DQ5" s="179">
        <f>IFERROR(VLOOKUP(DQ$1,Future[[Ticker]:[Weight]],2,FALSE),0%)</f>
        <v>0</v>
      </c>
      <c r="DR5" s="179">
        <f>IFERROR(VLOOKUP(DR$1,Future[[Ticker]:[Weight]],2,FALSE),0%)</f>
        <v>0</v>
      </c>
      <c r="DS5" s="179">
        <f>IFERROR(VLOOKUP(DS$1,Future[[Ticker]:[Weight]],2,FALSE),0%)</f>
        <v>0</v>
      </c>
      <c r="DT5" s="179">
        <f>IFERROR(VLOOKUP(DT$1,Future[[Ticker]:[Weight]],2,FALSE),0%)</f>
        <v>0</v>
      </c>
      <c r="DU5" s="179">
        <f>IFERROR(VLOOKUP(DU$1,Future[[Ticker]:[Weight]],2,FALSE),0%)</f>
        <v>0</v>
      </c>
      <c r="DV5" s="179">
        <f>IFERROR(VLOOKUP(DV$1,Future[[Ticker]:[Weight]],2,FALSE),0%)</f>
        <v>0</v>
      </c>
      <c r="DW5" s="179">
        <f>IFERROR(VLOOKUP(DW$1,Future[[Ticker]:[Weight]],2,FALSE),0%)</f>
        <v>0</v>
      </c>
      <c r="DX5" s="179">
        <f>IFERROR(VLOOKUP(DX$1,Future[[Ticker]:[Weight]],2,FALSE),0%)</f>
        <v>0</v>
      </c>
      <c r="DY5" s="179">
        <f>IFERROR(VLOOKUP(DY$1,Future[[Ticker]:[Weight]],2,FALSE),0%)</f>
        <v>0</v>
      </c>
      <c r="DZ5" s="179">
        <f>IFERROR(VLOOKUP(DZ$1,Future[[Ticker]:[Weight]],2,FALSE),0%)</f>
        <v>0</v>
      </c>
      <c r="EA5" s="179">
        <f>IFERROR(VLOOKUP(EA$1,Future[[Ticker]:[Weight]],2,FALSE),0%)</f>
        <v>0</v>
      </c>
      <c r="EB5" s="179">
        <f>IFERROR(VLOOKUP(EB$1,Future[[Ticker]:[Weight]],2,FALSE),0%)</f>
        <v>0</v>
      </c>
      <c r="EC5" s="179">
        <f>IFERROR(VLOOKUP(EC$1,Future[[Ticker]:[Weight]],2,FALSE),0%)</f>
        <v>0</v>
      </c>
      <c r="ED5" s="179">
        <f>IFERROR(VLOOKUP(ED$1,Future[[Ticker]:[Weight]],2,FALSE),0%)</f>
        <v>0</v>
      </c>
      <c r="EE5" s="179">
        <f>IFERROR(VLOOKUP(EE$1,Future[[Ticker]:[Weight]],2,FALSE),0%)</f>
        <v>0</v>
      </c>
      <c r="EF5" s="179">
        <f>IFERROR(VLOOKUP(EF$1,Future[[Ticker]:[Weight]],2,FALSE),0%)</f>
        <v>0</v>
      </c>
      <c r="EG5" s="179">
        <f>IFERROR(VLOOKUP(EG$1,Future[[Ticker]:[Weight]],2,FALSE),0%)</f>
        <v>0</v>
      </c>
      <c r="EH5" s="179">
        <f>IFERROR(VLOOKUP(EH$1,Future[[Ticker]:[Weight]],2,FALSE),0%)</f>
        <v>0</v>
      </c>
      <c r="EI5" s="179">
        <f>IFERROR(VLOOKUP(EI$1,Future[[Ticker]:[Weight]],2,FALSE),0%)</f>
        <v>0</v>
      </c>
      <c r="EJ5" s="179">
        <f>IFERROR(VLOOKUP(EJ$1,Future[[Ticker]:[Weight]],2,FALSE),0%)</f>
        <v>0</v>
      </c>
      <c r="EK5" s="179">
        <f>IFERROR(VLOOKUP(EK$1,Future[[Ticker]:[Weight]],2,FALSE),0%)</f>
        <v>0</v>
      </c>
      <c r="EL5" s="179">
        <f>IFERROR(VLOOKUP(EL$1,Future[[Ticker]:[Weight]],2,FALSE),0%)</f>
        <v>0</v>
      </c>
      <c r="EM5" s="179">
        <f>IFERROR(VLOOKUP(EM$1,Future[[Ticker]:[Weight]],2,FALSE),0%)</f>
        <v>0</v>
      </c>
      <c r="EN5" s="179">
        <f>IFERROR(VLOOKUP(EN$1,Future[[Ticker]:[Weight]],2,FALSE),0%)</f>
        <v>0</v>
      </c>
      <c r="EO5" s="179">
        <f>IFERROR(VLOOKUP(EO$1,Future[[Ticker]:[Weight]],2,FALSE),0%)</f>
        <v>0</v>
      </c>
      <c r="EP5" s="179">
        <f>IFERROR(VLOOKUP(EP$1,Future[[Ticker]:[Weight]],2,FALSE),0%)</f>
        <v>0</v>
      </c>
      <c r="EQ5" s="179">
        <f>IFERROR(VLOOKUP(EQ$1,Future[[Ticker]:[Weight]],2,FALSE),0%)</f>
        <v>0</v>
      </c>
      <c r="ER5" s="179">
        <f>IFERROR(VLOOKUP(ER$1,Future[[Ticker]:[Weight]],2,FALSE),0%)</f>
        <v>0</v>
      </c>
      <c r="ES5" s="179">
        <f>IFERROR(VLOOKUP(ES$1,Future[[Ticker]:[Weight]],2,FALSE),0%)</f>
        <v>0</v>
      </c>
      <c r="ET5" s="179">
        <f>IFERROR(VLOOKUP(ET$1,Future[[Ticker]:[Weight]],2,FALSE),0%)</f>
        <v>0</v>
      </c>
      <c r="EU5" s="179">
        <f>IFERROR(VLOOKUP(EU$1,Future[[Ticker]:[Weight]],2,FALSE),0%)</f>
        <v>0</v>
      </c>
      <c r="EV5" s="179">
        <f>IFERROR(VLOOKUP(EV$1,Future[[Ticker]:[Weight]],2,FALSE),0%)</f>
        <v>0</v>
      </c>
      <c r="EW5" s="179">
        <f>IFERROR(VLOOKUP(EW$1,Future[[Ticker]:[Weight]],2,FALSE),0%)</f>
        <v>0</v>
      </c>
      <c r="EX5" s="179">
        <f>IFERROR(VLOOKUP(EX$1,Future[[Ticker]:[Weight]],2,FALSE),0%)</f>
        <v>0</v>
      </c>
      <c r="EY5" s="179">
        <f>IFERROR(VLOOKUP(EY$1,Future[[Ticker]:[Weight]],2,FALSE),0%)</f>
        <v>0</v>
      </c>
      <c r="EZ5" s="179">
        <f>IFERROR(VLOOKUP(EZ$1,Future[[Ticker]:[Weight]],2,FALSE),0%)</f>
        <v>0</v>
      </c>
      <c r="FA5" s="179">
        <f>IFERROR(VLOOKUP(FA$1,Future[[Ticker]:[Weight]],2,FALSE),0%)</f>
        <v>0</v>
      </c>
      <c r="FB5" s="179">
        <f>IFERROR(VLOOKUP(FB$1,Future[[Ticker]:[Weight]],2,FALSE),0%)</f>
        <v>0</v>
      </c>
      <c r="FC5" s="179">
        <f>IFERROR(VLOOKUP(FC$1,Future[[Ticker]:[Weight]],2,FALSE),0%)</f>
        <v>0</v>
      </c>
      <c r="FD5" s="179">
        <f>IFERROR(VLOOKUP(FD$1,Future[[Ticker]:[Weight]],2,FALSE),0%)</f>
        <v>0</v>
      </c>
      <c r="FE5" s="179">
        <f>IFERROR(VLOOKUP(FE$1,Future[[Ticker]:[Weight]],2,FALSE),0%)</f>
        <v>0</v>
      </c>
      <c r="FF5" s="179">
        <f>IFERROR(VLOOKUP(FF$1,Future[[Ticker]:[Weight]],2,FALSE),0%)</f>
        <v>0</v>
      </c>
      <c r="FG5" s="179">
        <f>IFERROR(VLOOKUP(FG$1,Future[[Ticker]:[Weight]],2,FALSE),0%)</f>
        <v>0</v>
      </c>
      <c r="FH5" s="179">
        <f>IFERROR(VLOOKUP(FH$1,Future[[Ticker]:[Weight]],2,FALSE),0%)</f>
        <v>0</v>
      </c>
      <c r="FI5" s="179">
        <f>IFERROR(VLOOKUP(FI$1,Future[[Ticker]:[Weight]],2,FALSE),0%)</f>
        <v>0</v>
      </c>
      <c r="FJ5" s="179">
        <f>IFERROR(VLOOKUP(FJ$1,Future[[Ticker]:[Weight]],2,FALSE),0%)</f>
        <v>0</v>
      </c>
      <c r="FK5" s="179">
        <f>IFERROR(VLOOKUP(FK$1,Future[[Ticker]:[Weight]],2,FALSE),0%)</f>
        <v>0</v>
      </c>
      <c r="FL5" s="179">
        <f>IFERROR(VLOOKUP(FL$1,Future[[Ticker]:[Weight]],2,FALSE),0%)</f>
        <v>0</v>
      </c>
      <c r="FM5" s="179">
        <f>IFERROR(VLOOKUP(FM$1,Future[[Ticker]:[Weight]],2,FALSE),0%)</f>
        <v>0</v>
      </c>
      <c r="FN5" s="179">
        <f>IFERROR(VLOOKUP(FN$1,Future[[Ticker]:[Weight]],2,FALSE),0%)</f>
        <v>0</v>
      </c>
      <c r="FO5" s="179">
        <f>IFERROR(VLOOKUP(FO$1,Future[[Ticker]:[Weight]],2,FALSE),0%)</f>
        <v>0</v>
      </c>
      <c r="FP5" s="179">
        <f>IFERROR(VLOOKUP(FP$1,Future[[Ticker]:[Weight]],2,FALSE),0%)</f>
        <v>0</v>
      </c>
      <c r="FQ5" s="179">
        <f>IFERROR(VLOOKUP(FQ$1,Future[[Ticker]:[Weight]],2,FALSE),0%)</f>
        <v>0</v>
      </c>
      <c r="FR5" s="179">
        <f>IFERROR(VLOOKUP(FR$1,Future[[Ticker]:[Weight]],2,FALSE),0%)</f>
        <v>0</v>
      </c>
      <c r="FS5" s="179">
        <f>IFERROR(VLOOKUP(FS$1,Future[[Ticker]:[Weight]],2,FALSE),0%)</f>
        <v>0</v>
      </c>
      <c r="FT5" s="179">
        <f>IFERROR(VLOOKUP(FT$1,Future[[Ticker]:[Weight]],2,FALSE),0%)</f>
        <v>0</v>
      </c>
      <c r="FU5" s="179">
        <f>IFERROR(VLOOKUP(FU$1,Future[[Ticker]:[Weight]],2,FALSE),0%)</f>
        <v>0</v>
      </c>
      <c r="FV5" s="179">
        <f>IFERROR(VLOOKUP(FV$1,Future[[Ticker]:[Weight]],2,FALSE),0%)</f>
        <v>0</v>
      </c>
      <c r="FW5" s="179">
        <f>IFERROR(VLOOKUP(FW$1,Future[[Ticker]:[Weight]],2,FALSE),0%)</f>
        <v>0</v>
      </c>
      <c r="FX5" s="179">
        <f>IFERROR(VLOOKUP(FX$1,Future[[Ticker]:[Weight]],2,FALSE),0%)</f>
        <v>0</v>
      </c>
      <c r="FY5" s="179">
        <f>IFERROR(VLOOKUP(FY$1,Future[[Ticker]:[Weight]],2,FALSE),0%)</f>
        <v>0</v>
      </c>
      <c r="FZ5" s="179">
        <f>IFERROR(VLOOKUP(FZ$1,Future[[Ticker]:[Weight]],2,FALSE),0%)</f>
        <v>0</v>
      </c>
      <c r="GA5" s="179">
        <f>IFERROR(VLOOKUP(GA$1,Future[[Ticker]:[Weight]],2,FALSE),0%)</f>
        <v>0</v>
      </c>
      <c r="GB5" s="179">
        <f>IFERROR(VLOOKUP(GB$1,Future[[Ticker]:[Weight]],2,FALSE),0%)</f>
        <v>0</v>
      </c>
      <c r="GC5" s="179">
        <f>IFERROR(VLOOKUP(GC$1,Future[[Ticker]:[Weight]],2,FALSE),0%)</f>
        <v>0</v>
      </c>
      <c r="GD5" s="179">
        <f>IFERROR(VLOOKUP(GD$1,Future[[Ticker]:[Weight]],2,FALSE),0%)</f>
        <v>0</v>
      </c>
      <c r="GE5" s="179">
        <f>IFERROR(VLOOKUP(GE$1,Future[[Ticker]:[Weight]],2,FALSE),0%)</f>
        <v>0</v>
      </c>
      <c r="GF5" s="179">
        <f>IFERROR(VLOOKUP(GF$1,Future[[Ticker]:[Weight]],2,FALSE),0%)</f>
        <v>0</v>
      </c>
      <c r="GG5" s="179">
        <f>IFERROR(VLOOKUP(GG$1,Future[[Ticker]:[Weight]],2,FALSE),0%)</f>
        <v>0</v>
      </c>
      <c r="GH5" s="179">
        <f>IFERROR(VLOOKUP(GH$1,Future[[Ticker]:[Weight]],2,FALSE),0%)</f>
        <v>0</v>
      </c>
      <c r="GI5" s="179">
        <f>IFERROR(VLOOKUP(GI$1,Future[[Ticker]:[Weight]],2,FALSE),0%)</f>
        <v>0</v>
      </c>
      <c r="GJ5" s="179">
        <f>IFERROR(VLOOKUP(GJ$1,Future[[Ticker]:[Weight]],2,FALSE),0%)</f>
        <v>0</v>
      </c>
      <c r="GK5" s="179">
        <f>IFERROR(VLOOKUP(GK$1,Future[[Ticker]:[Weight]],2,FALSE),0%)</f>
        <v>0</v>
      </c>
      <c r="GL5" s="179">
        <f>IFERROR(VLOOKUP(GL$1,Future[[Ticker]:[Weight]],2,FALSE),0%)</f>
        <v>0</v>
      </c>
      <c r="GM5" s="179">
        <f>IFERROR(VLOOKUP(GM$1,Future[[Ticker]:[Weight]],2,FALSE),0%)</f>
        <v>0</v>
      </c>
      <c r="GN5" s="179">
        <f>IFERROR(VLOOKUP(GN$1,Future[[Ticker]:[Weight]],2,FALSE),0%)</f>
        <v>0</v>
      </c>
      <c r="GO5" s="179">
        <f>IFERROR(VLOOKUP(GO$1,Future[[Ticker]:[Weight]],2,FALSE),0%)</f>
        <v>0</v>
      </c>
      <c r="GP5" s="179">
        <f>IFERROR(VLOOKUP(GP$1,Future[[Ticker]:[Weight]],2,FALSE),0%)</f>
        <v>0</v>
      </c>
      <c r="GQ5" s="179">
        <f>IFERROR(VLOOKUP(GQ$1,Future[[Ticker]:[Weight]],2,FALSE),0%)</f>
        <v>0</v>
      </c>
      <c r="GR5" s="179">
        <f>IFERROR(VLOOKUP(GR$1,Future[[Ticker]:[Weight]],2,FALSE),0%)</f>
        <v>0</v>
      </c>
      <c r="GS5" s="179">
        <f>IFERROR(VLOOKUP(GS$1,Future[[Ticker]:[Weight]],2,FALSE),0%)</f>
        <v>0</v>
      </c>
      <c r="GT5" s="179">
        <f>IFERROR(VLOOKUP(GT$1,Future[[Ticker]:[Weight]],2,FALSE),0%)</f>
        <v>0</v>
      </c>
      <c r="GU5" s="179">
        <f>IFERROR(VLOOKUP(GU$1,Future[[Ticker]:[Weight]],2,FALSE),0%)</f>
        <v>0</v>
      </c>
      <c r="GV5" s="179">
        <f>IFERROR(VLOOKUP(GV$1,Future[[Ticker]:[Weight]],2,FALSE),0%)</f>
        <v>0</v>
      </c>
      <c r="GW5" s="179">
        <f>IFERROR(VLOOKUP(GW$1,Future[[Ticker]:[Weight]],2,FALSE),0%)</f>
        <v>0</v>
      </c>
      <c r="GX5" s="179">
        <f>IFERROR(VLOOKUP(GX$1,Future[[Ticker]:[Weight]],2,FALSE),0%)</f>
        <v>0</v>
      </c>
      <c r="GY5" s="179">
        <f>IFERROR(VLOOKUP(GY$1,Future[[Ticker]:[Weight]],2,FALSE),0%)</f>
        <v>0</v>
      </c>
      <c r="GZ5" s="179">
        <f>IFERROR(VLOOKUP(GZ$1,Future[[Ticker]:[Weight]],2,FALSE),0%)</f>
        <v>0</v>
      </c>
      <c r="HA5" s="179">
        <f>IFERROR(VLOOKUP(HA$1,Future[[Ticker]:[Weight]],2,FALSE),0%)</f>
        <v>0</v>
      </c>
      <c r="HB5" s="179">
        <f>IFERROR(VLOOKUP(HB$1,Future[[Ticker]:[Weight]],2,FALSE),0%)</f>
        <v>0</v>
      </c>
      <c r="HC5" s="179">
        <f>IFERROR(VLOOKUP(HC$1,Future[[Ticker]:[Weight]],2,FALSE),0%)</f>
        <v>0</v>
      </c>
      <c r="HD5" s="179">
        <f>IFERROR(VLOOKUP(HD$1,Future[[Ticker]:[Weight]],2,FALSE),0%)</f>
        <v>0</v>
      </c>
      <c r="HE5" s="179">
        <f>IFERROR(VLOOKUP(HE$1,Future[[Ticker]:[Weight]],2,FALSE),0%)</f>
        <v>0</v>
      </c>
      <c r="HF5" s="179">
        <f>IFERROR(VLOOKUP(HF$1,Future[[Ticker]:[Weight]],2,FALSE),0%)</f>
        <v>0</v>
      </c>
      <c r="HG5" s="179">
        <f>IFERROR(VLOOKUP(HG$1,Future[[Ticker]:[Weight]],2,FALSE),0%)</f>
        <v>0</v>
      </c>
      <c r="HH5" s="179">
        <f>IFERROR(VLOOKUP(HH$1,Future[[Ticker]:[Weight]],2,FALSE),0%)</f>
        <v>0</v>
      </c>
      <c r="HI5" s="179">
        <f>IFERROR(VLOOKUP(HI$1,Future[[Ticker]:[Weight]],2,FALSE),0%)</f>
        <v>0</v>
      </c>
      <c r="HJ5" s="179">
        <f>IFERROR(VLOOKUP(HJ$1,Future[[Ticker]:[Weight]],2,FALSE),0%)</f>
        <v>0</v>
      </c>
      <c r="HK5" s="179">
        <f>IFERROR(VLOOKUP(HK$1,Future[[Ticker]:[Weight]],2,FALSE),0%)</f>
        <v>0</v>
      </c>
      <c r="HL5" s="179">
        <f>IFERROR(VLOOKUP(HL$1,Future[[Ticker]:[Weight]],2,FALSE),0%)</f>
        <v>0</v>
      </c>
      <c r="HM5" s="179">
        <f>IFERROR(VLOOKUP(HM$1,Future[[Ticker]:[Weight]],2,FALSE),0%)</f>
        <v>0</v>
      </c>
      <c r="HN5" s="179">
        <f>IFERROR(VLOOKUP(HN$1,Future[[Ticker]:[Weight]],2,FALSE),0%)</f>
        <v>0</v>
      </c>
      <c r="HO5" s="179">
        <f>IFERROR(VLOOKUP(HO$1,Future[[Ticker]:[Weight]],2,FALSE),0%)</f>
        <v>0</v>
      </c>
      <c r="HP5" s="179">
        <f>IFERROR(VLOOKUP(HP$1,Future[[Ticker]:[Weight]],2,FALSE),0%)</f>
        <v>0</v>
      </c>
      <c r="HQ5" s="179">
        <f>IFERROR(VLOOKUP(HQ$1,Future[[Ticker]:[Weight]],2,FALSE),0%)</f>
        <v>0</v>
      </c>
      <c r="HR5" s="179">
        <f>IFERROR(VLOOKUP(HR$1,Future[[Ticker]:[Weight]],2,FALSE),0%)</f>
        <v>0</v>
      </c>
      <c r="HS5" s="179">
        <f>IFERROR(VLOOKUP(HS$1,Future[[Ticker]:[Weight]],2,FALSE),0%)</f>
        <v>0</v>
      </c>
      <c r="HT5" s="179">
        <f>IFERROR(VLOOKUP(HT$1,Future[[Ticker]:[Weight]],2,FALSE),0%)</f>
        <v>0</v>
      </c>
      <c r="HU5" s="179">
        <f>IFERROR(VLOOKUP(HU$1,Future[[Ticker]:[Weight]],2,FALSE),0%)</f>
        <v>0</v>
      </c>
      <c r="HV5" s="179">
        <f>IFERROR(VLOOKUP(HV$1,Future[[Ticker]:[Weight]],2,FALSE),0%)</f>
        <v>0</v>
      </c>
      <c r="HW5" s="179">
        <f>IFERROR(VLOOKUP(HW$1,Future[[Ticker]:[Weight]],2,FALSE),0%)</f>
        <v>0</v>
      </c>
      <c r="HX5" s="179">
        <f>IFERROR(VLOOKUP(HX$1,Future[[Ticker]:[Weight]],2,FALSE),0%)</f>
        <v>0</v>
      </c>
      <c r="HY5" s="179">
        <f>IFERROR(VLOOKUP(HY$1,Future[[Ticker]:[Weight]],2,FALSE),0%)</f>
        <v>0</v>
      </c>
      <c r="HZ5" s="179">
        <f>IFERROR(VLOOKUP(HZ$1,Future[[Ticker]:[Weight]],2,FALSE),0%)</f>
        <v>0</v>
      </c>
      <c r="IA5" s="179">
        <f>IFERROR(VLOOKUP(IA$1,Future[[Ticker]:[Weight]],2,FALSE),0%)</f>
        <v>0</v>
      </c>
      <c r="IB5" s="179">
        <f>IFERROR(VLOOKUP(IB$1,Future[[Ticker]:[Weight]],2,FALSE),0%)</f>
        <v>0</v>
      </c>
      <c r="IC5" s="179">
        <f>IFERROR(VLOOKUP(IC$1,Future[[Ticker]:[Weight]],2,FALSE),0%)</f>
        <v>0</v>
      </c>
      <c r="ID5" s="179">
        <f>IFERROR(VLOOKUP(ID$1,Future[[Ticker]:[Weight]],2,FALSE),0%)</f>
        <v>0</v>
      </c>
      <c r="IE5" s="179">
        <f>IFERROR(VLOOKUP(IE$1,Future[[Ticker]:[Weight]],2,FALSE),0%)</f>
        <v>0</v>
      </c>
      <c r="IF5" s="179">
        <f>IFERROR(VLOOKUP(IF$1,Future[[Ticker]:[Weight]],2,FALSE),0%)</f>
        <v>0</v>
      </c>
      <c r="IG5" s="179">
        <f>IFERROR(VLOOKUP(IG$1,Future[[Ticker]:[Weight]],2,FALSE),0%)</f>
        <v>0</v>
      </c>
      <c r="IH5" s="179">
        <f>IFERROR(VLOOKUP(IH$1,Future[[Ticker]:[Weight]],2,FALSE),0%)</f>
        <v>0</v>
      </c>
      <c r="II5" s="179">
        <f>IFERROR(VLOOKUP(II$1,Future[[Ticker]:[Weight]],2,FALSE),0%)</f>
        <v>0</v>
      </c>
      <c r="IJ5" s="179">
        <f>IFERROR(VLOOKUP(IJ$1,Future[[Ticker]:[Weight]],2,FALSE),0%)</f>
        <v>0</v>
      </c>
      <c r="IK5" s="179">
        <f>IFERROR(VLOOKUP(IK$1,Future[[Ticker]:[Weight]],2,FALSE),0%)</f>
        <v>0</v>
      </c>
      <c r="IL5" s="179">
        <f>IFERROR(VLOOKUP(IL$1,Future[[Ticker]:[Weight]],2,FALSE),0%)</f>
        <v>0</v>
      </c>
      <c r="IM5" s="179">
        <f>IFERROR(VLOOKUP(IM$1,Future[[Ticker]:[Weight]],2,FALSE),0%)</f>
        <v>0</v>
      </c>
      <c r="IN5" s="179">
        <f>IFERROR(VLOOKUP(IN$1,Future[[Ticker]:[Weight]],2,FALSE),0%)</f>
        <v>0</v>
      </c>
      <c r="IO5" s="179">
        <f>IFERROR(VLOOKUP(IO$1,Future[[Ticker]:[Weight]],2,FALSE),0%)</f>
        <v>0</v>
      </c>
      <c r="IP5" s="179">
        <f>IFERROR(VLOOKUP(IP$1,Future[[Ticker]:[Weight]],2,FALSE),0%)</f>
        <v>0</v>
      </c>
      <c r="IQ5" s="179">
        <f>IFERROR(VLOOKUP(IQ$1,Future[[Ticker]:[Weight]],2,FALSE),0%)</f>
        <v>0</v>
      </c>
      <c r="IR5" s="179">
        <f>IFERROR(VLOOKUP(IR$1,Future[[Ticker]:[Weight]],2,FALSE),0%)</f>
        <v>0</v>
      </c>
      <c r="IS5" s="179">
        <f>IFERROR(VLOOKUP(IS$1,Future[[Ticker]:[Weight]],2,FALSE),0%)</f>
        <v>0</v>
      </c>
      <c r="IT5" s="179">
        <f>IFERROR(VLOOKUP(IT$1,Future[[Ticker]:[Weight]],2,FALSE),0%)</f>
        <v>0</v>
      </c>
      <c r="IU5" s="179">
        <f>IFERROR(VLOOKUP(IU$1,Future[[Ticker]:[Weight]],2,FALSE),0%)</f>
        <v>0</v>
      </c>
      <c r="IV5" s="179">
        <f>IFERROR(VLOOKUP(IV$1,Future[[Ticker]:[Weight]],2,FALSE),0%)</f>
        <v>0</v>
      </c>
      <c r="IW5" s="179">
        <f>IFERROR(VLOOKUP(IW$1,Future[[Ticker]:[Weight]],2,FALSE),0%)</f>
        <v>0</v>
      </c>
      <c r="IX5" s="179">
        <f>IFERROR(VLOOKUP(IX$1,Future[[Ticker]:[Weight]],2,FALSE),0%)</f>
        <v>0</v>
      </c>
      <c r="IY5" s="179">
        <f>IFERROR(VLOOKUP(IY$1,Future[[Ticker]:[Weight]],2,FALSE),0%)</f>
        <v>0</v>
      </c>
      <c r="IZ5" s="179">
        <f>IFERROR(VLOOKUP(IZ$1,Future[[Ticker]:[Weight]],2,FALSE),0%)</f>
        <v>0</v>
      </c>
      <c r="JA5" s="179">
        <f>IFERROR(VLOOKUP(JA$1,Future[[Ticker]:[Weight]],2,FALSE),0%)</f>
        <v>0</v>
      </c>
      <c r="JB5" s="179">
        <f>IFERROR(VLOOKUP(JB$1,Future[[Ticker]:[Weight]],2,FALSE),0%)</f>
        <v>0</v>
      </c>
      <c r="JC5" s="179">
        <f>IFERROR(VLOOKUP(JC$1,Future[[Ticker]:[Weight]],2,FALSE),0%)</f>
        <v>0</v>
      </c>
      <c r="JD5" s="179">
        <f>IFERROR(VLOOKUP(JD$1,Future[[Ticker]:[Weight]],2,FALSE),0%)</f>
        <v>0</v>
      </c>
      <c r="JE5" s="179">
        <f>IFERROR(VLOOKUP(JE$1,Future[[Ticker]:[Weight]],2,FALSE),0%)</f>
        <v>0</v>
      </c>
      <c r="JF5" s="179">
        <f>IFERROR(VLOOKUP(JF$1,Future[[Ticker]:[Weight]],2,FALSE),0%)</f>
        <v>0</v>
      </c>
      <c r="JG5" s="179">
        <f>IFERROR(VLOOKUP(JG$1,Future[[Ticker]:[Weight]],2,FALSE),0%)</f>
        <v>0</v>
      </c>
      <c r="JH5" s="179">
        <f>IFERROR(VLOOKUP(JH$1,Future[[Ticker]:[Weight]],2,FALSE),0%)</f>
        <v>0</v>
      </c>
      <c r="JI5" s="179">
        <f>IFERROR(VLOOKUP(JI$1,Future[[Ticker]:[Weight]],2,FALSE),0%)</f>
        <v>0</v>
      </c>
      <c r="JJ5" s="179">
        <f>IFERROR(VLOOKUP(JJ$1,Future[[Ticker]:[Weight]],2,FALSE),0%)</f>
        <v>0</v>
      </c>
      <c r="JK5" s="179">
        <f>IFERROR(VLOOKUP(JK$1,Future[[Ticker]:[Weight]],2,FALSE),0%)</f>
        <v>0</v>
      </c>
      <c r="JL5" s="179">
        <f>IFERROR(VLOOKUP(JL$1,Future[[Ticker]:[Weight]],2,FALSE),0%)</f>
        <v>0</v>
      </c>
      <c r="JM5" s="179">
        <f>IFERROR(VLOOKUP(JM$1,Future[[Ticker]:[Weight]],2,FALSE),0%)</f>
        <v>0</v>
      </c>
      <c r="JN5" s="179">
        <f>IFERROR(VLOOKUP(JN$1,Future[[Ticker]:[Weight]],2,FALSE),0%)</f>
        <v>0</v>
      </c>
      <c r="JO5" s="179">
        <f>IFERROR(VLOOKUP(JO$1,Future[[Ticker]:[Weight]],2,FALSE),0%)</f>
        <v>0</v>
      </c>
      <c r="JP5" s="179">
        <f>IFERROR(VLOOKUP(JP$1,Future[[Ticker]:[Weight]],2,FALSE),0%)</f>
        <v>0</v>
      </c>
      <c r="JQ5" s="179">
        <f>IFERROR(VLOOKUP(JQ$1,Future[[Ticker]:[Weight]],2,FALSE),0%)</f>
        <v>0</v>
      </c>
      <c r="JR5" s="179">
        <f>IFERROR(VLOOKUP(JR$1,Future[[Ticker]:[Weight]],2,FALSE),0%)</f>
        <v>0</v>
      </c>
      <c r="JS5" s="179">
        <f>IFERROR(VLOOKUP(JS$1,Future[[Ticker]:[Weight]],2,FALSE),0%)</f>
        <v>0</v>
      </c>
      <c r="JT5" s="179">
        <f>IFERROR(VLOOKUP(JT$1,Future[[Ticker]:[Weight]],2,FALSE),0%)</f>
        <v>0</v>
      </c>
      <c r="JU5" s="179">
        <f>IFERROR(VLOOKUP(JU$1,Future[[Ticker]:[Weight]],2,FALSE),0%)</f>
        <v>0</v>
      </c>
      <c r="JV5" s="179">
        <f>IFERROR(VLOOKUP(JV$1,Future[[Ticker]:[Weight]],2,FALSE),0%)</f>
        <v>0</v>
      </c>
      <c r="JW5" s="179">
        <f>IFERROR(VLOOKUP(JW$1,Future[[Ticker]:[Weight]],2,FALSE),0%)</f>
        <v>0</v>
      </c>
      <c r="JX5" s="179">
        <f>IFERROR(VLOOKUP(JX$1,Future[[Ticker]:[Weight]],2,FALSE),0%)</f>
        <v>0</v>
      </c>
      <c r="JY5" s="179">
        <f>IFERROR(VLOOKUP(JY$1,Future[[Ticker]:[Weight]],2,FALSE),0%)</f>
        <v>0</v>
      </c>
      <c r="JZ5" s="179">
        <f>IFERROR(VLOOKUP(JZ$1,Future[[Ticker]:[Weight]],2,FALSE),0%)</f>
        <v>0</v>
      </c>
      <c r="KA5" s="179">
        <f>IFERROR(VLOOKUP(KA$1,Future[[Ticker]:[Weight]],2,FALSE),0%)</f>
        <v>0</v>
      </c>
      <c r="KB5" s="179">
        <f>IFERROR(VLOOKUP(KB$1,Future[[Ticker]:[Weight]],2,FALSE),0%)</f>
        <v>0</v>
      </c>
      <c r="KC5" s="179">
        <f>IFERROR(VLOOKUP(KC$1,Future[[Ticker]:[Weight]],2,FALSE),0%)</f>
        <v>0</v>
      </c>
      <c r="KD5" s="179">
        <f>IFERROR(VLOOKUP(KD$1,Future[[Ticker]:[Weight]],2,FALSE),0%)</f>
        <v>0</v>
      </c>
      <c r="KE5" s="179">
        <f>IFERROR(VLOOKUP(KE$1,Future[[Ticker]:[Weight]],2,FALSE),0%)</f>
        <v>0</v>
      </c>
      <c r="KF5" s="179">
        <f>IFERROR(VLOOKUP(KF$1,Future[[Ticker]:[Weight]],2,FALSE),0%)</f>
        <v>0</v>
      </c>
      <c r="KG5" s="179">
        <f>IFERROR(VLOOKUP(KG$1,Future[[Ticker]:[Weight]],2,FALSE),0%)</f>
        <v>0</v>
      </c>
      <c r="KH5" s="179">
        <f>IFERROR(VLOOKUP(KH$1,Future[[Ticker]:[Weight]],2,FALSE),0%)</f>
        <v>0</v>
      </c>
      <c r="KI5" s="179">
        <f>IFERROR(VLOOKUP(KI$1,Future[[Ticker]:[Weight]],2,FALSE),0%)</f>
        <v>0</v>
      </c>
      <c r="KJ5" s="179">
        <f>IFERROR(VLOOKUP(KJ$1,Future[[Ticker]:[Weight]],2,FALSE),0%)</f>
        <v>0</v>
      </c>
      <c r="KK5" s="179">
        <f>IFERROR(VLOOKUP(KK$1,Future[[Ticker]:[Weight]],2,FALSE),0%)</f>
        <v>0</v>
      </c>
      <c r="KL5" s="179">
        <f>IFERROR(VLOOKUP(KL$1,Future[[Ticker]:[Weight]],2,FALSE),0%)</f>
        <v>0</v>
      </c>
      <c r="KM5" s="179">
        <f>IFERROR(VLOOKUP(KM$1,Future[[Ticker]:[Weight]],2,FALSE),0%)</f>
        <v>0</v>
      </c>
      <c r="KN5" s="179">
        <f>IFERROR(VLOOKUP(KN$1,Future[[Ticker]:[Weight]],2,FALSE),0%)</f>
        <v>0</v>
      </c>
      <c r="KO5" s="179">
        <f>IFERROR(VLOOKUP(KO$1,Future[[Ticker]:[Weight]],2,FALSE),0%)</f>
        <v>0</v>
      </c>
      <c r="KP5" s="179">
        <f>IFERROR(VLOOKUP(KP$1,Future[[Ticker]:[Weight]],2,FALSE),0%)</f>
        <v>0</v>
      </c>
      <c r="KQ5" s="179">
        <f>IFERROR(VLOOKUP(KQ$1,Future[[Ticker]:[Weight]],2,FALSE),0%)</f>
        <v>0</v>
      </c>
      <c r="KR5" s="179">
        <f>IFERROR(VLOOKUP(KR$1,Future[[Ticker]:[Weight]],2,FALSE),0%)</f>
        <v>0</v>
      </c>
      <c r="KS5" s="179">
        <f>IFERROR(VLOOKUP(KS$1,Future[[Ticker]:[Weight]],2,FALSE),0%)</f>
        <v>0</v>
      </c>
      <c r="KT5" s="179">
        <f>IFERROR(VLOOKUP(KT$1,Future[[Ticker]:[Weight]],2,FALSE),0%)</f>
        <v>0</v>
      </c>
      <c r="KU5" s="179">
        <f>IFERROR(VLOOKUP(KU$1,Future[[Ticker]:[Weight]],2,FALSE),0%)</f>
        <v>0</v>
      </c>
      <c r="KV5" s="179">
        <f>IFERROR(VLOOKUP(KV$1,Future[[Ticker]:[Weight]],2,FALSE),0%)</f>
        <v>0</v>
      </c>
      <c r="KW5" s="179">
        <f>IFERROR(VLOOKUP(KW$1,Future[[Ticker]:[Weight]],2,FALSE),0%)</f>
        <v>0</v>
      </c>
      <c r="KX5" s="179">
        <f>IFERROR(VLOOKUP(KX$1,Future[[Ticker]:[Weight]],2,FALSE),0%)</f>
        <v>0</v>
      </c>
      <c r="KY5" s="179">
        <f>IFERROR(VLOOKUP(KY$1,Future[[Ticker]:[Weight]],2,FALSE),0%)</f>
        <v>0</v>
      </c>
      <c r="KZ5" s="179">
        <f>IFERROR(VLOOKUP(KZ$1,Future[[Ticker]:[Weight]],2,FALSE),0%)</f>
        <v>0</v>
      </c>
      <c r="LA5" s="179">
        <f>IFERROR(VLOOKUP(LA$1,Future[[Ticker]:[Weight]],2,FALSE),0%)</f>
        <v>0</v>
      </c>
      <c r="LB5" s="179">
        <f>IFERROR(VLOOKUP(LB$1,Future[[Ticker]:[Weight]],2,FALSE),0%)</f>
        <v>0</v>
      </c>
      <c r="LC5" s="179">
        <f>IFERROR(VLOOKUP(LC$1,Future[[Ticker]:[Weight]],2,FALSE),0%)</f>
        <v>0</v>
      </c>
      <c r="LD5" s="179">
        <f>IFERROR(VLOOKUP(LD$1,Future[[Ticker]:[Weight]],2,FALSE),0%)</f>
        <v>0</v>
      </c>
      <c r="LE5" s="179">
        <f>IFERROR(VLOOKUP(LE$1,Future[[Ticker]:[Weight]],2,FALSE),0%)</f>
        <v>0</v>
      </c>
      <c r="LF5" s="179">
        <f>IFERROR(VLOOKUP(LF$1,Future[[Ticker]:[Weight]],2,FALSE),0%)</f>
        <v>0</v>
      </c>
      <c r="LG5" s="179">
        <f>IFERROR(VLOOKUP(LG$1,Future[[Ticker]:[Weight]],2,FALSE),0%)</f>
        <v>0</v>
      </c>
      <c r="LH5" s="179">
        <f>IFERROR(VLOOKUP(LH$1,Future[[Ticker]:[Weight]],2,FALSE),0%)</f>
        <v>0</v>
      </c>
      <c r="LI5" s="179">
        <f>IFERROR(VLOOKUP(LI$1,Future[[Ticker]:[Weight]],2,FALSE),0%)</f>
        <v>0</v>
      </c>
      <c r="LJ5" s="179">
        <f>IFERROR(VLOOKUP(LJ$1,Future[[Ticker]:[Weight]],2,FALSE),0%)</f>
        <v>0</v>
      </c>
      <c r="LK5" s="179">
        <f>IFERROR(VLOOKUP(LK$1,Future[[Ticker]:[Weight]],2,FALSE),0%)</f>
        <v>0</v>
      </c>
      <c r="LL5" s="179">
        <f>IFERROR(VLOOKUP(LL$1,Future[[Ticker]:[Weight]],2,FALSE),0%)</f>
        <v>0</v>
      </c>
      <c r="LM5" s="179">
        <f>IFERROR(VLOOKUP(LM$1,Future[[Ticker]:[Weight]],2,FALSE),0%)</f>
        <v>0</v>
      </c>
      <c r="LN5" s="179">
        <f>IFERROR(VLOOKUP(LN$1,Future[[Ticker]:[Weight]],2,FALSE),0%)</f>
        <v>0</v>
      </c>
      <c r="LO5" s="179">
        <f>IFERROR(VLOOKUP(LO$1,Future[[Ticker]:[Weight]],2,FALSE),0%)</f>
        <v>0</v>
      </c>
      <c r="LP5" s="179">
        <f>IFERROR(VLOOKUP(LP$1,Future[[Ticker]:[Weight]],2,FALSE),0%)</f>
        <v>0</v>
      </c>
      <c r="LQ5" s="179">
        <f>IFERROR(VLOOKUP(LQ$1,Future[[Ticker]:[Weight]],2,FALSE),0%)</f>
        <v>0</v>
      </c>
      <c r="LR5" s="179">
        <f>IFERROR(VLOOKUP(LR$1,Future[[Ticker]:[Weight]],2,FALSE),0%)</f>
        <v>0</v>
      </c>
      <c r="LS5" s="179">
        <f>IFERROR(VLOOKUP(LS$1,Future[[Ticker]:[Weight]],2,FALSE),0%)</f>
        <v>0</v>
      </c>
      <c r="LT5" s="179">
        <f>IFERROR(VLOOKUP(LT$1,Future[[Ticker]:[Weight]],2,FALSE),0%)</f>
        <v>0</v>
      </c>
      <c r="LU5" s="179">
        <f>IFERROR(VLOOKUP(LU$1,Future[[Ticker]:[Weight]],2,FALSE),0%)</f>
        <v>0</v>
      </c>
      <c r="LV5" s="179">
        <f>IFERROR(VLOOKUP(LV$1,Future[[Ticker]:[Weight]],2,FALSE),0%)</f>
        <v>0</v>
      </c>
      <c r="LW5" s="179">
        <f>IFERROR(VLOOKUP(LW$1,Future[[Ticker]:[Weight]],2,FALSE),0%)</f>
        <v>0</v>
      </c>
      <c r="LX5" s="179">
        <f>IFERROR(VLOOKUP(LX$1,Future[[Ticker]:[Weight]],2,FALSE),0%)</f>
        <v>0</v>
      </c>
      <c r="LY5" s="179">
        <f>IFERROR(VLOOKUP(LY$1,Future[[Ticker]:[Weight]],2,FALSE),0%)</f>
        <v>0</v>
      </c>
      <c r="LZ5" s="179">
        <f>IFERROR(VLOOKUP(LZ$1,Future[[Ticker]:[Weight]],2,FALSE),0%)</f>
        <v>0</v>
      </c>
      <c r="MA5" s="179">
        <f>IFERROR(VLOOKUP(MA$1,Future[[Ticker]:[Weight]],2,FALSE),0%)</f>
        <v>0</v>
      </c>
      <c r="MB5" s="179">
        <f>IFERROR(VLOOKUP(MB$1,Future[[Ticker]:[Weight]],2,FALSE),0%)</f>
        <v>0</v>
      </c>
      <c r="MC5" s="179">
        <f>IFERROR(VLOOKUP(MC$1,Future[[Ticker]:[Weight]],2,FALSE),0%)</f>
        <v>0</v>
      </c>
      <c r="MD5" s="179">
        <f>IFERROR(VLOOKUP(MD$1,Future[[Ticker]:[Weight]],2,FALSE),0%)</f>
        <v>0</v>
      </c>
      <c r="ME5" s="179">
        <f>IFERROR(VLOOKUP(ME$1,Future[[Ticker]:[Weight]],2,FALSE),0%)</f>
        <v>0</v>
      </c>
      <c r="MF5" s="179">
        <f>IFERROR(VLOOKUP(MF$1,Future[[Ticker]:[Weight]],2,FALSE),0%)</f>
        <v>0</v>
      </c>
      <c r="MG5" s="179">
        <f>IFERROR(VLOOKUP(MG$1,Future[[Ticker]:[Weight]],2,FALSE),0%)</f>
        <v>0</v>
      </c>
      <c r="MH5" s="179">
        <f>IFERROR(VLOOKUP(MH$1,Future[[Ticker]:[Weight]],2,FALSE),0%)</f>
        <v>0</v>
      </c>
      <c r="MI5" s="179">
        <f>IFERROR(VLOOKUP(MI$1,Future[[Ticker]:[Weight]],2,FALSE),0%)</f>
        <v>0</v>
      </c>
      <c r="MJ5" s="179">
        <f>IFERROR(VLOOKUP(MJ$1,Future[[Ticker]:[Weight]],2,FALSE),0%)</f>
        <v>0</v>
      </c>
      <c r="MK5" s="179">
        <f>IFERROR(VLOOKUP(MK$1,Future[[Ticker]:[Weight]],2,FALSE),0%)</f>
        <v>0</v>
      </c>
      <c r="ML5" s="179">
        <f>IFERROR(VLOOKUP(ML$1,Future[[Ticker]:[Weight]],2,FALSE),0%)</f>
        <v>0</v>
      </c>
      <c r="MM5" s="179">
        <f>IFERROR(VLOOKUP(MM$1,Future[[Ticker]:[Weight]],2,FALSE),0%)</f>
        <v>0</v>
      </c>
      <c r="MN5" s="179">
        <f>IFERROR(VLOOKUP(MN$1,Future[[Ticker]:[Weight]],2,FALSE),0%)</f>
        <v>0</v>
      </c>
      <c r="MO5" s="179">
        <f>IFERROR(VLOOKUP(MO$1,Future[[Ticker]:[Weight]],2,FALSE),0%)</f>
        <v>0</v>
      </c>
      <c r="MP5" s="179">
        <f>IFERROR(VLOOKUP(MP$1,Future[[Ticker]:[Weight]],2,FALSE),0%)</f>
        <v>0</v>
      </c>
      <c r="MQ5" s="179">
        <f>IFERROR(VLOOKUP(MQ$1,Future[[Ticker]:[Weight]],2,FALSE),0%)</f>
        <v>0</v>
      </c>
      <c r="MR5" s="179">
        <f>IFERROR(VLOOKUP(MR$1,Future[[Ticker]:[Weight]],2,FALSE),0%)</f>
        <v>0</v>
      </c>
      <c r="MS5" s="179">
        <f>IFERROR(VLOOKUP(MS$1,Future[[Ticker]:[Weight]],2,FALSE),0%)</f>
        <v>0</v>
      </c>
      <c r="MT5" s="179">
        <f>IFERROR(VLOOKUP(MT$1,Future[[Ticker]:[Weight]],2,FALSE),0%)</f>
        <v>0</v>
      </c>
      <c r="MU5" s="179">
        <f>IFERROR(VLOOKUP(MU$1,Future[[Ticker]:[Weight]],2,FALSE),0%)</f>
        <v>0</v>
      </c>
      <c r="MV5" s="179">
        <f>IFERROR(VLOOKUP(MV$1,Future[[Ticker]:[Weight]],2,FALSE),0%)</f>
        <v>0</v>
      </c>
      <c r="MW5" s="179">
        <f>IFERROR(VLOOKUP(MW$1,Future[[Ticker]:[Weight]],2,FALSE),0%)</f>
        <v>0</v>
      </c>
      <c r="MX5" s="179">
        <f>IFERROR(VLOOKUP(MX$1,Future[[Ticker]:[Weight]],2,FALSE),0%)</f>
        <v>0</v>
      </c>
      <c r="MY5" s="179">
        <f>IFERROR(VLOOKUP(MY$1,Future[[Ticker]:[Weight]],2,FALSE),0%)</f>
        <v>0</v>
      </c>
      <c r="MZ5" s="179">
        <f>IFERROR(VLOOKUP(MZ$1,Future[[Ticker]:[Weight]],2,FALSE),0%)</f>
        <v>0</v>
      </c>
      <c r="NA5" s="179">
        <f>IFERROR(VLOOKUP(NA$1,Future[[Ticker]:[Weight]],2,FALSE),0%)</f>
        <v>0</v>
      </c>
      <c r="NB5" s="179">
        <f>IFERROR(VLOOKUP(NB$1,Future[[Ticker]:[Weight]],2,FALSE),0%)</f>
        <v>0</v>
      </c>
      <c r="NC5" s="179">
        <f>IFERROR(VLOOKUP(NC$1,Future[[Ticker]:[Weight]],2,FALSE),0%)</f>
        <v>0</v>
      </c>
      <c r="ND5" s="179">
        <f>IFERROR(VLOOKUP(ND$1,Future[[Ticker]:[Weight]],2,FALSE),0%)</f>
        <v>0</v>
      </c>
      <c r="NE5" s="179">
        <f>IFERROR(VLOOKUP(NE$1,Future[[Ticker]:[Weight]],2,FALSE),0%)</f>
        <v>0</v>
      </c>
      <c r="NF5" s="179">
        <f>IFERROR(VLOOKUP(NF$1,Future[[Ticker]:[Weight]],2,FALSE),0%)</f>
        <v>0</v>
      </c>
      <c r="NG5" s="179">
        <f>IFERROR(VLOOKUP(NG$1,Future[[Ticker]:[Weight]],2,FALSE),0%)</f>
        <v>0</v>
      </c>
      <c r="NH5" s="179">
        <f>IFERROR(VLOOKUP(NH$1,Future[[Ticker]:[Weight]],2,FALSE),0%)</f>
        <v>0</v>
      </c>
      <c r="NI5" s="179">
        <f>IFERROR(VLOOKUP(NI$1,Future[[Ticker]:[Weight]],2,FALSE),0%)</f>
        <v>0</v>
      </c>
      <c r="NJ5" s="179">
        <f>IFERROR(VLOOKUP(NJ$1,Future[[Ticker]:[Weight]],2,FALSE),0%)</f>
        <v>0</v>
      </c>
      <c r="NK5" s="179">
        <f>IFERROR(VLOOKUP(NK$1,Future[[Ticker]:[Weight]],2,FALSE),0%)</f>
        <v>0</v>
      </c>
      <c r="NL5" s="179">
        <f>IFERROR(VLOOKUP(NL$1,Future[[Ticker]:[Weight]],2,FALSE),0%)</f>
        <v>0</v>
      </c>
      <c r="NM5" s="179">
        <f>IFERROR(VLOOKUP(NM$1,Future[[Ticker]:[Weight]],2,FALSE),0%)</f>
        <v>0</v>
      </c>
      <c r="NN5" s="179">
        <f>IFERROR(VLOOKUP(NN$1,Future[[Ticker]:[Weight]],2,FALSE),0%)</f>
        <v>0</v>
      </c>
      <c r="NO5" s="179">
        <f>IFERROR(VLOOKUP(NO$1,Future[[Ticker]:[Weight]],2,FALSE),0%)</f>
        <v>0</v>
      </c>
      <c r="NP5" s="179">
        <f>IFERROR(VLOOKUP(NP$1,Future[[Ticker]:[Weight]],2,FALSE),0%)</f>
        <v>0</v>
      </c>
      <c r="NQ5" s="179">
        <f>IFERROR(VLOOKUP(NQ$1,Future[[Ticker]:[Weight]],2,FALSE),0%)</f>
        <v>0</v>
      </c>
      <c r="NR5" s="179">
        <f>IFERROR(VLOOKUP(NR$1,Future[[Ticker]:[Weight]],2,FALSE),0%)</f>
        <v>0</v>
      </c>
      <c r="NS5" s="179">
        <f>IFERROR(VLOOKUP(NS$1,Future[[Ticker]:[Weight]],2,FALSE),0%)</f>
        <v>0</v>
      </c>
      <c r="NT5" s="179">
        <f>IFERROR(VLOOKUP(NT$1,Future[[Ticker]:[Weight]],2,FALSE),0%)</f>
        <v>0</v>
      </c>
      <c r="NU5" s="179">
        <f>IFERROR(VLOOKUP(NU$1,Future[[Ticker]:[Weight]],2,FALSE),0%)</f>
        <v>0</v>
      </c>
      <c r="NV5" s="179">
        <f>IFERROR(VLOOKUP(NV$1,Future[[Ticker]:[Weight]],2,FALSE),0%)</f>
        <v>0</v>
      </c>
      <c r="NW5" s="179">
        <f>IFERROR(VLOOKUP(NW$1,Future[[Ticker]:[Weight]],2,FALSE),0%)</f>
        <v>0</v>
      </c>
      <c r="NX5" s="179">
        <f>IFERROR(VLOOKUP(NX$1,Future[[Ticker]:[Weight]],2,FALSE),0%)</f>
        <v>0</v>
      </c>
      <c r="NY5" s="179">
        <f>IFERROR(VLOOKUP(NY$1,Future[[Ticker]:[Weight]],2,FALSE),0%)</f>
        <v>0</v>
      </c>
      <c r="NZ5" s="179">
        <f>IFERROR(VLOOKUP(NZ$1,Future[[Ticker]:[Weight]],2,FALSE),0%)</f>
        <v>0</v>
      </c>
      <c r="OA5" s="179">
        <f>IFERROR(VLOOKUP(OA$1,Future[[Ticker]:[Weight]],2,FALSE),0%)</f>
        <v>0</v>
      </c>
      <c r="OB5" s="179">
        <f>IFERROR(VLOOKUP(OB$1,Future[[Ticker]:[Weight]],2,FALSE),0%)</f>
        <v>0</v>
      </c>
      <c r="OC5" s="179">
        <f>IFERROR(VLOOKUP(OC$1,Future[[Ticker]:[Weight]],2,FALSE),0%)</f>
        <v>0</v>
      </c>
      <c r="OD5" s="179">
        <f>IFERROR(VLOOKUP(OD$1,Future[[Ticker]:[Weight]],2,FALSE),0%)</f>
        <v>0</v>
      </c>
      <c r="OE5" s="179">
        <f>IFERROR(VLOOKUP(OE$1,Future[[Ticker]:[Weight]],2,FALSE),0%)</f>
        <v>0</v>
      </c>
      <c r="OF5" s="179">
        <f>IFERROR(VLOOKUP(OF$1,Future[[Ticker]:[Weight]],2,FALSE),0%)</f>
        <v>0</v>
      </c>
      <c r="OG5" s="179">
        <f>IFERROR(VLOOKUP(OG$1,Future[[Ticker]:[Weight]],2,FALSE),0%)</f>
        <v>0</v>
      </c>
      <c r="OH5" s="179">
        <f>IFERROR(VLOOKUP(OH$1,Future[[Ticker]:[Weight]],2,FALSE),0%)</f>
        <v>0</v>
      </c>
      <c r="OI5" s="179">
        <f>IFERROR(VLOOKUP(OI$1,Future[[Ticker]:[Weight]],2,FALSE),0%)</f>
        <v>0</v>
      </c>
      <c r="OJ5" s="179">
        <f>IFERROR(VLOOKUP(OJ$1,Future[[Ticker]:[Weight]],2,FALSE),0%)</f>
        <v>0</v>
      </c>
      <c r="OK5" s="179">
        <f>IFERROR(VLOOKUP(OK$1,Future[[Ticker]:[Weight]],2,FALSE),0%)</f>
        <v>0</v>
      </c>
      <c r="OL5" s="179">
        <f>IFERROR(VLOOKUP(OL$1,Future[[Ticker]:[Weight]],2,FALSE),0%)</f>
        <v>0</v>
      </c>
      <c r="OM5" s="179">
        <f>IFERROR(VLOOKUP(OM$1,Future[[Ticker]:[Weight]],2,FALSE),0%)</f>
        <v>0</v>
      </c>
      <c r="ON5" s="179">
        <f>IFERROR(VLOOKUP(ON$1,Future[[Ticker]:[Weight]],2,FALSE),0%)</f>
        <v>0</v>
      </c>
      <c r="OO5" s="179">
        <f>IFERROR(VLOOKUP(OO$1,Future[[Ticker]:[Weight]],2,FALSE),0%)</f>
        <v>0</v>
      </c>
      <c r="OP5" s="179">
        <f>IFERROR(VLOOKUP(OP$1,Future[[Ticker]:[Weight]],2,FALSE),0%)</f>
        <v>0</v>
      </c>
      <c r="OQ5" s="179">
        <f>IFERROR(VLOOKUP(OQ$1,Future[[Ticker]:[Weight]],2,FALSE),0%)</f>
        <v>0</v>
      </c>
      <c r="OR5" s="179">
        <f>IFERROR(VLOOKUP(OR$1,Future[[Ticker]:[Weight]],2,FALSE),0%)</f>
        <v>0</v>
      </c>
      <c r="OS5" s="179">
        <f>IFERROR(VLOOKUP(OS$1,Future[[Ticker]:[Weight]],2,FALSE),0%)</f>
        <v>0</v>
      </c>
      <c r="OT5" s="179">
        <f>IFERROR(VLOOKUP(OT$1,Future[[Ticker]:[Weight]],2,FALSE),0%)</f>
        <v>0</v>
      </c>
      <c r="OU5" s="179">
        <f>IFERROR(VLOOKUP(OU$1,Future[[Ticker]:[Weight]],2,FALSE),0%)</f>
        <v>0</v>
      </c>
      <c r="OV5" s="179">
        <f>IFERROR(VLOOKUP(OV$1,Future[[Ticker]:[Weight]],2,FALSE),0%)</f>
        <v>0</v>
      </c>
      <c r="OW5" s="179">
        <f>IFERROR(VLOOKUP(OW$1,Future[[Ticker]:[Weight]],2,FALSE),0%)</f>
        <v>0</v>
      </c>
      <c r="OX5" s="179">
        <f>IFERROR(VLOOKUP(OX$1,Future[[Ticker]:[Weight]],2,FALSE),0%)</f>
        <v>0</v>
      </c>
      <c r="OY5" s="179">
        <f>IFERROR(VLOOKUP(OY$1,Future[[Ticker]:[Weight]],2,FALSE),0%)</f>
        <v>0</v>
      </c>
      <c r="OZ5" s="179">
        <f>IFERROR(VLOOKUP(OZ$1,Future[[Ticker]:[Weight]],2,FALSE),0%)</f>
        <v>0</v>
      </c>
      <c r="PA5" s="179">
        <f>IFERROR(VLOOKUP(PA$1,Future[[Ticker]:[Weight]],2,FALSE),0%)</f>
        <v>0</v>
      </c>
      <c r="PB5" s="179">
        <f>IFERROR(VLOOKUP(PB$1,Future[[Ticker]:[Weight]],2,FALSE),0%)</f>
        <v>0</v>
      </c>
      <c r="PC5" s="179">
        <f>IFERROR(VLOOKUP(PC$1,Future[[Ticker]:[Weight]],2,FALSE),0%)</f>
        <v>0</v>
      </c>
      <c r="PD5" s="179">
        <f>IFERROR(VLOOKUP(PD$1,Future[[Ticker]:[Weight]],2,FALSE),0%)</f>
        <v>0</v>
      </c>
      <c r="PE5" s="179">
        <f>IFERROR(VLOOKUP(PE$1,Future[[Ticker]:[Weight]],2,FALSE),0%)</f>
        <v>0</v>
      </c>
      <c r="PF5" s="179">
        <f>IFERROR(VLOOKUP(PF$1,Future[[Ticker]:[Weight]],2,FALSE),0%)</f>
        <v>0</v>
      </c>
      <c r="PG5" s="179">
        <f>IFERROR(VLOOKUP(PG$1,Future[[Ticker]:[Weight]],2,FALSE),0%)</f>
        <v>0</v>
      </c>
      <c r="PH5" s="179">
        <f>IFERROR(VLOOKUP(PH$1,Future[[Ticker]:[Weight]],2,FALSE),0%)</f>
        <v>0</v>
      </c>
      <c r="PI5" s="179">
        <f>IFERROR(VLOOKUP(PI$1,Future[[Ticker]:[Weight]],2,FALSE),0%)</f>
        <v>0</v>
      </c>
      <c r="PJ5" s="179">
        <f>IFERROR(VLOOKUP(PJ$1,Future[[Ticker]:[Weight]],2,FALSE),0%)</f>
        <v>0</v>
      </c>
      <c r="PK5" s="179">
        <f>IFERROR(VLOOKUP(PK$1,Future[[Ticker]:[Weight]],2,FALSE),0%)</f>
        <v>0</v>
      </c>
      <c r="PL5" s="179">
        <f>IFERROR(VLOOKUP(PL$1,Future[[Ticker]:[Weight]],2,FALSE),0%)</f>
        <v>0</v>
      </c>
      <c r="PM5" s="179">
        <f>IFERROR(VLOOKUP(PM$1,Future[[Ticker]:[Weight]],2,FALSE),0%)</f>
        <v>0</v>
      </c>
      <c r="PN5" s="179">
        <f>IFERROR(VLOOKUP(PN$1,Future[[Ticker]:[Weight]],2,FALSE),0%)</f>
        <v>0</v>
      </c>
      <c r="PO5" s="179">
        <f>IFERROR(VLOOKUP(PO$1,Future[[Ticker]:[Weight]],2,FALSE),0%)</f>
        <v>0</v>
      </c>
      <c r="PP5" s="179">
        <f>IFERROR(VLOOKUP(PP$1,Future[[Ticker]:[Weight]],2,FALSE),0%)</f>
        <v>0</v>
      </c>
      <c r="PQ5" s="179">
        <f>IFERROR(VLOOKUP(PQ$1,Future[[Ticker]:[Weight]],2,FALSE),0%)</f>
        <v>0</v>
      </c>
      <c r="PR5" s="179">
        <f>IFERROR(VLOOKUP(PR$1,Future[[Ticker]:[Weight]],2,FALSE),0%)</f>
        <v>0</v>
      </c>
      <c r="PS5" s="179">
        <f>IFERROR(VLOOKUP(PS$1,Future[[Ticker]:[Weight]],2,FALSE),0%)</f>
        <v>0</v>
      </c>
      <c r="PT5" s="179">
        <f>IFERROR(VLOOKUP(PT$1,Future[[Ticker]:[Weight]],2,FALSE),0%)</f>
        <v>0</v>
      </c>
      <c r="PU5" s="179">
        <f>IFERROR(VLOOKUP(PU$1,Future[[Ticker]:[Weight]],2,FALSE),0%)</f>
        <v>0</v>
      </c>
      <c r="PV5" s="179">
        <f>IFERROR(VLOOKUP(PV$1,Future[[Ticker]:[Weight]],2,FALSE),0%)</f>
        <v>0</v>
      </c>
      <c r="PW5" s="179">
        <f>IFERROR(VLOOKUP(PW$1,Future[[Ticker]:[Weight]],2,FALSE),0%)</f>
        <v>0</v>
      </c>
      <c r="PX5" s="179">
        <f>IFERROR(VLOOKUP(PX$1,Future[[Ticker]:[Weight]],2,FALSE),0%)</f>
        <v>0</v>
      </c>
      <c r="PY5" s="179">
        <f>IFERROR(VLOOKUP(PY$1,Future[[Ticker]:[Weight]],2,FALSE),0%)</f>
        <v>0</v>
      </c>
      <c r="PZ5" s="179">
        <f>IFERROR(VLOOKUP(PZ$1,Future[[Ticker]:[Weight]],2,FALSE),0%)</f>
        <v>0</v>
      </c>
      <c r="QA5" s="179">
        <f>IFERROR(VLOOKUP(QA$1,Future[[Ticker]:[Weight]],2,FALSE),0%)</f>
        <v>0</v>
      </c>
      <c r="QB5" s="179">
        <f>IFERROR(VLOOKUP(QB$1,Future[[Ticker]:[Weight]],2,FALSE),0%)</f>
        <v>0</v>
      </c>
      <c r="QC5" s="179">
        <f>IFERROR(VLOOKUP(QC$1,Future[[Ticker]:[Weight]],2,FALSE),0%)</f>
        <v>0</v>
      </c>
      <c r="QD5" s="179">
        <f>IFERROR(VLOOKUP(QD$1,Future[[Ticker]:[Weight]],2,FALSE),0%)</f>
        <v>0</v>
      </c>
      <c r="QE5" s="179">
        <f>IFERROR(VLOOKUP(QE$1,Future[[Ticker]:[Weight]],2,FALSE),0%)</f>
        <v>0</v>
      </c>
      <c r="QF5" s="179">
        <f>IFERROR(VLOOKUP(QF$1,Future[[Ticker]:[Weight]],2,FALSE),0%)</f>
        <v>0</v>
      </c>
      <c r="QG5" s="179">
        <f>IFERROR(VLOOKUP(QG$1,Future[[Ticker]:[Weight]],2,FALSE),0%)</f>
        <v>0</v>
      </c>
      <c r="QH5" s="179">
        <f>IFERROR(VLOOKUP(QH$1,Future[[Ticker]:[Weight]],2,FALSE),0%)</f>
        <v>0</v>
      </c>
      <c r="QI5" s="179">
        <f>IFERROR(VLOOKUP(QI$1,Future[[Ticker]:[Weight]],2,FALSE),0%)</f>
        <v>0</v>
      </c>
      <c r="QJ5" s="179">
        <f>IFERROR(VLOOKUP(QJ$1,Future[[Ticker]:[Weight]],2,FALSE),0%)</f>
        <v>0</v>
      </c>
      <c r="QK5" s="179">
        <f>IFERROR(VLOOKUP(QK$1,Future[[Ticker]:[Weight]],2,FALSE),0%)</f>
        <v>0</v>
      </c>
      <c r="QL5" s="179">
        <f>IFERROR(VLOOKUP(QL$1,Future[[Ticker]:[Weight]],2,FALSE),0%)</f>
        <v>0</v>
      </c>
      <c r="QM5" s="179">
        <f>IFERROR(VLOOKUP(QM$1,Future[[Ticker]:[Weight]],2,FALSE),0%)</f>
        <v>0</v>
      </c>
      <c r="QN5" s="179">
        <f>IFERROR(VLOOKUP(QN$1,Future[[Ticker]:[Weight]],2,FALSE),0%)</f>
        <v>0</v>
      </c>
      <c r="QO5" s="179">
        <f>IFERROR(VLOOKUP(QO$1,Future[[Ticker]:[Weight]],2,FALSE),0%)</f>
        <v>0</v>
      </c>
      <c r="QP5" s="179">
        <f>IFERROR(VLOOKUP(QP$1,Future[[Ticker]:[Weight]],2,FALSE),0%)</f>
        <v>0</v>
      </c>
      <c r="QQ5" s="179">
        <f>IFERROR(VLOOKUP(QQ$1,Future[[Ticker]:[Weight]],2,FALSE),0%)</f>
        <v>0</v>
      </c>
      <c r="QR5" s="179">
        <f>IFERROR(VLOOKUP(QR$1,Future[[Ticker]:[Weight]],2,FALSE),0%)</f>
        <v>0</v>
      </c>
      <c r="QS5" s="179">
        <f>IFERROR(VLOOKUP(QS$1,Future[[Ticker]:[Weight]],2,FALSE),0%)</f>
        <v>0</v>
      </c>
      <c r="QT5" s="179">
        <f>IFERROR(VLOOKUP(QT$1,Future[[Ticker]:[Weight]],2,FALSE),0%)</f>
        <v>0</v>
      </c>
      <c r="QU5" s="179">
        <f>IFERROR(VLOOKUP(QU$1,Future[[Ticker]:[Weight]],2,FALSE),0%)</f>
        <v>0</v>
      </c>
      <c r="QV5" s="179">
        <f>IFERROR(VLOOKUP(QV$1,Future[[Ticker]:[Weight]],2,FALSE),0%)</f>
        <v>0</v>
      </c>
      <c r="QW5" s="179">
        <f>IFERROR(VLOOKUP(QW$1,Future[[Ticker]:[Weight]],2,FALSE),0%)</f>
        <v>0</v>
      </c>
      <c r="QX5" s="179">
        <f>IFERROR(VLOOKUP(QX$1,Future[[Ticker]:[Weight]],2,FALSE),0%)</f>
        <v>0</v>
      </c>
      <c r="QY5" s="179">
        <f>IFERROR(VLOOKUP(QY$1,Future[[Ticker]:[Weight]],2,FALSE),0%)</f>
        <v>0</v>
      </c>
      <c r="QZ5" s="179">
        <f>IFERROR(VLOOKUP(QZ$1,Future[[Ticker]:[Weight]],2,FALSE),0%)</f>
        <v>0</v>
      </c>
      <c r="RA5" s="179">
        <f>IFERROR(VLOOKUP(RA$1,Future[[Ticker]:[Weight]],2,FALSE),0%)</f>
        <v>0</v>
      </c>
      <c r="RB5" s="179">
        <f>IFERROR(VLOOKUP(RB$1,Future[[Ticker]:[Weight]],2,FALSE),0%)</f>
        <v>0</v>
      </c>
      <c r="RC5" s="179">
        <f>IFERROR(VLOOKUP(RC$1,Future[[Ticker]:[Weight]],2,FALSE),0%)</f>
        <v>0</v>
      </c>
      <c r="RD5" s="179">
        <f>IFERROR(VLOOKUP(RD$1,Future[[Ticker]:[Weight]],2,FALSE),0%)</f>
        <v>0</v>
      </c>
      <c r="RE5" s="179">
        <f>IFERROR(VLOOKUP(RE$1,Future[[Ticker]:[Weight]],2,FALSE),0%)</f>
        <v>0</v>
      </c>
      <c r="RF5" s="179">
        <f>IFERROR(VLOOKUP(RF$1,Future[[Ticker]:[Weight]],2,FALSE),0%)</f>
        <v>0</v>
      </c>
      <c r="RG5" s="179">
        <f>IFERROR(VLOOKUP(RG$1,Future[[Ticker]:[Weight]],2,FALSE),0%)</f>
        <v>0</v>
      </c>
      <c r="RH5" s="179">
        <f>IFERROR(VLOOKUP(RH$1,Future[[Ticker]:[Weight]],2,FALSE),0%)</f>
        <v>0</v>
      </c>
      <c r="RI5" s="179">
        <f>IFERROR(VLOOKUP(RI$1,Future[[Ticker]:[Weight]],2,FALSE),0%)</f>
        <v>0</v>
      </c>
      <c r="RJ5" s="179">
        <f>IFERROR(VLOOKUP(RJ$1,Future[[Ticker]:[Weight]],2,FALSE),0%)</f>
        <v>0</v>
      </c>
      <c r="RK5" s="179">
        <f>IFERROR(VLOOKUP(RK$1,Future[[Ticker]:[Weight]],2,FALSE),0%)</f>
        <v>0</v>
      </c>
      <c r="RL5" s="179">
        <f>IFERROR(VLOOKUP(RL$1,Future[[Ticker]:[Weight]],2,FALSE),0%)</f>
        <v>0</v>
      </c>
      <c r="RM5" s="179">
        <f>IFERROR(VLOOKUP(RM$1,Future[[Ticker]:[Weight]],2,FALSE),0%)</f>
        <v>0</v>
      </c>
      <c r="RN5" s="179">
        <f>IFERROR(VLOOKUP(RN$1,Future[[Ticker]:[Weight]],2,FALSE),0%)</f>
        <v>0</v>
      </c>
      <c r="RO5" s="179">
        <f>IFERROR(VLOOKUP(RO$1,Future[[Ticker]:[Weight]],2,FALSE),0%)</f>
        <v>0</v>
      </c>
      <c r="RP5" s="179">
        <f>IFERROR(VLOOKUP(RP$1,Future[[Ticker]:[Weight]],2,FALSE),0%)</f>
        <v>0</v>
      </c>
      <c r="RQ5" s="179">
        <f>IFERROR(VLOOKUP(RQ$1,Future[[Ticker]:[Weight]],2,FALSE),0%)</f>
        <v>0</v>
      </c>
      <c r="RR5" s="179">
        <f>IFERROR(VLOOKUP(RR$1,Future[[Ticker]:[Weight]],2,FALSE),0%)</f>
        <v>0</v>
      </c>
      <c r="RS5" s="179">
        <f>IFERROR(VLOOKUP(RS$1,Future[[Ticker]:[Weight]],2,FALSE),0%)</f>
        <v>0</v>
      </c>
      <c r="RT5" s="179">
        <f>IFERROR(VLOOKUP(RT$1,Future[[Ticker]:[Weight]],2,FALSE),0%)</f>
        <v>0</v>
      </c>
      <c r="RU5" s="179">
        <f>IFERROR(VLOOKUP(RU$1,Future[[Ticker]:[Weight]],2,FALSE),0%)</f>
        <v>0</v>
      </c>
      <c r="RV5" s="179">
        <f>IFERROR(VLOOKUP(RV$1,Future[[Ticker]:[Weight]],2,FALSE),0%)</f>
        <v>0</v>
      </c>
      <c r="RW5" s="179">
        <f>IFERROR(VLOOKUP(RW$1,Future[[Ticker]:[Weight]],2,FALSE),0%)</f>
        <v>0</v>
      </c>
      <c r="RX5" s="179">
        <f>IFERROR(VLOOKUP(RX$1,Future[[Ticker]:[Weight]],2,FALSE),0%)</f>
        <v>0</v>
      </c>
      <c r="RY5" s="179">
        <f>IFERROR(VLOOKUP(RY$1,Future[[Ticker]:[Weight]],2,FALSE),0%)</f>
        <v>0</v>
      </c>
      <c r="RZ5" s="179">
        <f>IFERROR(VLOOKUP(RZ$1,Future[[Ticker]:[Weight]],2,FALSE),0%)</f>
        <v>0</v>
      </c>
      <c r="SA5" s="179">
        <f>IFERROR(VLOOKUP(SA$1,Future[[Ticker]:[Weight]],2,FALSE),0%)</f>
        <v>0</v>
      </c>
      <c r="SB5" s="179">
        <f>IFERROR(VLOOKUP(SB$1,Future[[Ticker]:[Weight]],2,FALSE),0%)</f>
        <v>0</v>
      </c>
      <c r="SC5" s="179">
        <f>IFERROR(VLOOKUP(SC$1,Future[[Ticker]:[Weight]],2,FALSE),0%)</f>
        <v>0</v>
      </c>
      <c r="SD5" s="179">
        <f>IFERROR(VLOOKUP(SD$1,Future[[Ticker]:[Weight]],2,FALSE),0%)</f>
        <v>0</v>
      </c>
      <c r="SE5" s="179">
        <f>IFERROR(VLOOKUP(SE$1,Future[[Ticker]:[Weight]],2,FALSE),0%)</f>
        <v>0</v>
      </c>
      <c r="SF5" s="179">
        <f>IFERROR(VLOOKUP(SF$1,Future[[Ticker]:[Weight]],2,FALSE),0%)</f>
        <v>0</v>
      </c>
      <c r="SG5" s="179">
        <f>IFERROR(VLOOKUP(SG$1,Future[[Ticker]:[Weight]],2,FALSE),0%)</f>
        <v>0</v>
      </c>
      <c r="SH5" s="179">
        <f>IFERROR(VLOOKUP(SH$1,Future[[Ticker]:[Weight]],2,FALSE),0%)</f>
        <v>0</v>
      </c>
      <c r="SI5" s="179">
        <f>IFERROR(VLOOKUP(SI$1,Future[[Ticker]:[Weight]],2,FALSE),0%)</f>
        <v>0</v>
      </c>
      <c r="SJ5" s="179">
        <f>IFERROR(VLOOKUP(SJ$1,Future[[Ticker]:[Weight]],2,FALSE),0%)</f>
        <v>0</v>
      </c>
      <c r="SK5" s="179">
        <f>IFERROR(VLOOKUP(SK$1,Future[[Ticker]:[Weight]],2,FALSE),0%)</f>
        <v>0</v>
      </c>
      <c r="SL5" s="179">
        <f>IFERROR(VLOOKUP(SL$1,Future[[Ticker]:[Weight]],2,FALSE),0%)</f>
        <v>0</v>
      </c>
      <c r="SM5" s="179">
        <f>IFERROR(VLOOKUP(SM$1,Future[[Ticker]:[Weight]],2,FALSE),0%)</f>
        <v>0</v>
      </c>
      <c r="SN5" s="179">
        <f>IFERROR(VLOOKUP(SN$1,Future[[Ticker]:[Weight]],2,FALSE),0%)</f>
        <v>0</v>
      </c>
      <c r="SO5" s="179">
        <f>IFERROR(VLOOKUP(SO$1,Future[[Ticker]:[Weight]],2,FALSE),0%)</f>
        <v>0</v>
      </c>
      <c r="SP5" s="179">
        <f>IFERROR(VLOOKUP(SP$1,Future[[Ticker]:[Weight]],2,FALSE),0%)</f>
        <v>0</v>
      </c>
      <c r="SQ5" s="179">
        <f>IFERROR(VLOOKUP(SQ$1,Future[[Ticker]:[Weight]],2,FALSE),0%)</f>
        <v>0</v>
      </c>
      <c r="SR5" s="179">
        <f>IFERROR(VLOOKUP(SR$1,Future[[Ticker]:[Weight]],2,FALSE),0%)</f>
        <v>0</v>
      </c>
      <c r="SS5" s="179">
        <f>IFERROR(VLOOKUP(SS$1,Future[[Ticker]:[Weight]],2,FALSE),0%)</f>
        <v>0</v>
      </c>
      <c r="ST5" s="179">
        <f>IFERROR(VLOOKUP(ST$1,Future[[Ticker]:[Weight]],2,FALSE),0%)</f>
        <v>0</v>
      </c>
      <c r="SU5" s="179">
        <f>IFERROR(VLOOKUP(SU$1,Future[[Ticker]:[Weight]],2,FALSE),0%)</f>
        <v>0</v>
      </c>
      <c r="SV5" s="179">
        <f>IFERROR(VLOOKUP(SV$1,Future[[Ticker]:[Weight]],2,FALSE),0%)</f>
        <v>0</v>
      </c>
      <c r="SW5" s="179">
        <f>IFERROR(VLOOKUP(SW$1,Future[[Ticker]:[Weight]],2,FALSE),0%)</f>
        <v>0</v>
      </c>
      <c r="SX5" s="179">
        <f>IFERROR(VLOOKUP(SX$1,Future[[Ticker]:[Weight]],2,FALSE),0%)</f>
        <v>0</v>
      </c>
      <c r="SY5" s="179">
        <f>IFERROR(VLOOKUP(SY$1,Future[[Ticker]:[Weight]],2,FALSE),0%)</f>
        <v>0</v>
      </c>
      <c r="SZ5" s="179">
        <f>IFERROR(VLOOKUP(SZ$1,Future[[Ticker]:[Weight]],2,FALSE),0%)</f>
        <v>0</v>
      </c>
      <c r="TA5" s="179">
        <f>IFERROR(VLOOKUP(TA$1,Future[[Ticker]:[Weight]],2,FALSE),0%)</f>
        <v>0</v>
      </c>
      <c r="TB5" s="179">
        <f>IFERROR(VLOOKUP(TB$1,Future[[Ticker]:[Weight]],2,FALSE),0%)</f>
        <v>0</v>
      </c>
      <c r="TC5" s="179">
        <f>IFERROR(VLOOKUP(TC$1,Future[[Ticker]:[Weight]],2,FALSE),0%)</f>
        <v>0</v>
      </c>
      <c r="TD5" s="179">
        <f>IFERROR(VLOOKUP(TD$1,Future[[Ticker]:[Weight]],2,FALSE),0%)</f>
        <v>0</v>
      </c>
      <c r="TE5" s="179">
        <f>IFERROR(VLOOKUP(TE$1,Future[[Ticker]:[Weight]],2,FALSE),0%)</f>
        <v>0</v>
      </c>
      <c r="TF5" s="179">
        <f>IFERROR(VLOOKUP(TF$1,Future[[Ticker]:[Weight]],2,FALSE),0%)</f>
        <v>0</v>
      </c>
      <c r="TG5" s="179">
        <f>IFERROR(VLOOKUP(TG$1,Future[[Ticker]:[Weight]],2,FALSE),0%)</f>
        <v>0</v>
      </c>
      <c r="TH5" s="179">
        <f>IFERROR(VLOOKUP(TH$1,Future[[Ticker]:[Weight]],2,FALSE),0%)</f>
        <v>0</v>
      </c>
      <c r="TI5" s="179">
        <f>IFERROR(VLOOKUP(TI$1,Future[[Ticker]:[Weight]],2,FALSE),0%)</f>
        <v>0</v>
      </c>
      <c r="TJ5" s="179">
        <f>IFERROR(VLOOKUP(TJ$1,Future[[Ticker]:[Weight]],2,FALSE),0%)</f>
        <v>0</v>
      </c>
      <c r="TK5" s="179">
        <f>IFERROR(VLOOKUP(TK$1,Future[[Ticker]:[Weight]],2,FALSE),0%)</f>
        <v>0</v>
      </c>
      <c r="TL5" s="179">
        <f>IFERROR(VLOOKUP(TL$1,Future[[Ticker]:[Weight]],2,FALSE),0%)</f>
        <v>0</v>
      </c>
      <c r="TM5" s="179">
        <f>IFERROR(VLOOKUP(TM$1,Future[[Ticker]:[Weight]],2,FALSE),0%)</f>
        <v>0</v>
      </c>
      <c r="TN5" s="179">
        <f>IFERROR(VLOOKUP(TN$1,Future[[Ticker]:[Weight]],2,FALSE),0%)</f>
        <v>0</v>
      </c>
      <c r="TO5" s="179">
        <f>IFERROR(VLOOKUP(TO$1,Future[[Ticker]:[Weight]],2,FALSE),0%)</f>
        <v>0</v>
      </c>
      <c r="TP5" s="179">
        <f>IFERROR(VLOOKUP(TP$1,Future[[Ticker]:[Weight]],2,FALSE),0%)</f>
        <v>0</v>
      </c>
      <c r="TQ5" s="179">
        <f>IFERROR(VLOOKUP(TQ$1,Future[[Ticker]:[Weight]],2,FALSE),0%)</f>
        <v>0</v>
      </c>
      <c r="TR5" s="179">
        <f>IFERROR(VLOOKUP(TR$1,Future[[Ticker]:[Weight]],2,FALSE),0%)</f>
        <v>0</v>
      </c>
      <c r="TS5" s="179">
        <f>IFERROR(VLOOKUP(TS$1,Future[[Ticker]:[Weight]],2,FALSE),0%)</f>
        <v>0</v>
      </c>
      <c r="TT5" s="179">
        <f>IFERROR(VLOOKUP(TT$1,Future[[Ticker]:[Weight]],2,FALSE),0%)</f>
        <v>0</v>
      </c>
      <c r="TU5" s="179">
        <f>IFERROR(VLOOKUP(TU$1,Future[[Ticker]:[Weight]],2,FALSE),0%)</f>
        <v>0</v>
      </c>
      <c r="TV5" s="179">
        <f>IFERROR(VLOOKUP(TV$1,Future[[Ticker]:[Weight]],2,FALSE),0%)</f>
        <v>0</v>
      </c>
      <c r="TW5" s="179">
        <f>IFERROR(VLOOKUP(TW$1,Future[[Ticker]:[Weight]],2,FALSE),0%)</f>
        <v>0</v>
      </c>
      <c r="TX5" s="179">
        <f>IFERROR(VLOOKUP(TX$1,Future[[Ticker]:[Weight]],2,FALSE),0%)</f>
        <v>0</v>
      </c>
      <c r="TY5" s="179">
        <f>IFERROR(VLOOKUP(TY$1,Future[[Ticker]:[Weight]],2,FALSE),0%)</f>
        <v>0</v>
      </c>
      <c r="TZ5" s="179">
        <f>IFERROR(VLOOKUP(TZ$1,Future[[Ticker]:[Weight]],2,FALSE),0%)</f>
        <v>0</v>
      </c>
      <c r="UA5" s="179">
        <f>IFERROR(VLOOKUP(UA$1,Future[[Ticker]:[Weight]],2,FALSE),0%)</f>
        <v>0</v>
      </c>
      <c r="UB5" s="179">
        <f>IFERROR(VLOOKUP(UB$1,Future[[Ticker]:[Weight]],2,FALSE),0%)</f>
        <v>0</v>
      </c>
      <c r="UC5" s="179">
        <f>IFERROR(VLOOKUP(UC$1,Future[[Ticker]:[Weight]],2,FALSE),0%)</f>
        <v>0</v>
      </c>
      <c r="UD5" s="179">
        <f>IFERROR(VLOOKUP(UD$1,Future[[Ticker]:[Weight]],2,FALSE),0%)</f>
        <v>0</v>
      </c>
      <c r="UE5" s="179">
        <f>IFERROR(VLOOKUP(UE$1,Future[[Ticker]:[Weight]],2,FALSE),0%)</f>
        <v>0</v>
      </c>
      <c r="UF5" s="179">
        <f>IFERROR(VLOOKUP(UF$1,Future[[Ticker]:[Weight]],2,FALSE),0%)</f>
        <v>0</v>
      </c>
      <c r="UG5" s="179">
        <f>IFERROR(VLOOKUP(UG$1,Future[[Ticker]:[Weight]],2,FALSE),0%)</f>
        <v>0</v>
      </c>
      <c r="UH5" s="179">
        <f>IFERROR(VLOOKUP(UH$1,Future[[Ticker]:[Weight]],2,FALSE),0%)</f>
        <v>0</v>
      </c>
      <c r="UI5" s="179">
        <f>IFERROR(VLOOKUP(UI$1,Future[[Ticker]:[Weight]],2,FALSE),0%)</f>
        <v>0</v>
      </c>
      <c r="UJ5" s="179">
        <f>IFERROR(VLOOKUP(UJ$1,Future[[Ticker]:[Weight]],2,FALSE),0%)</f>
        <v>0</v>
      </c>
      <c r="UK5" s="179">
        <f>IFERROR(VLOOKUP(UK$1,Future[[Ticker]:[Weight]],2,FALSE),0%)</f>
        <v>0</v>
      </c>
      <c r="UL5" s="179">
        <f>IFERROR(VLOOKUP(UL$1,Future[[Ticker]:[Weight]],2,FALSE),0%)</f>
        <v>0</v>
      </c>
      <c r="UM5" s="179">
        <f>IFERROR(VLOOKUP(UM$1,Future[[Ticker]:[Weight]],2,FALSE),0%)</f>
        <v>0</v>
      </c>
      <c r="UN5" s="179">
        <f>IFERROR(VLOOKUP(UN$1,Future[[Ticker]:[Weight]],2,FALSE),0%)</f>
        <v>0</v>
      </c>
      <c r="UO5" s="179">
        <f>IFERROR(VLOOKUP(UO$1,Future[[Ticker]:[Weight]],2,FALSE),0%)</f>
        <v>0</v>
      </c>
      <c r="UP5" s="179">
        <f>IFERROR(VLOOKUP(UP$1,Future[[Ticker]:[Weight]],2,FALSE),0%)</f>
        <v>0</v>
      </c>
      <c r="UQ5" s="179">
        <f>IFERROR(VLOOKUP(UQ$1,Future[[Ticker]:[Weight]],2,FALSE),0%)</f>
        <v>0</v>
      </c>
      <c r="UR5" s="179">
        <f>IFERROR(VLOOKUP(UR$1,Future[[Ticker]:[Weight]],2,FALSE),0%)</f>
        <v>0</v>
      </c>
      <c r="US5" s="179">
        <f>IFERROR(VLOOKUP(US$1,Future[[Ticker]:[Weight]],2,FALSE),0%)</f>
        <v>0</v>
      </c>
      <c r="UT5" s="179">
        <f>IFERROR(VLOOKUP(UT$1,Future[[Ticker]:[Weight]],2,FALSE),0%)</f>
        <v>0</v>
      </c>
      <c r="UU5" s="179">
        <f>IFERROR(VLOOKUP(UU$1,Future[[Ticker]:[Weight]],2,FALSE),0%)</f>
        <v>0</v>
      </c>
      <c r="UV5" s="179">
        <f>IFERROR(VLOOKUP(UV$1,Future[[Ticker]:[Weight]],2,FALSE),0%)</f>
        <v>0</v>
      </c>
      <c r="UW5" s="179">
        <f>IFERROR(VLOOKUP(UW$1,Future[[Ticker]:[Weight]],2,FALSE),0%)</f>
        <v>0</v>
      </c>
      <c r="UX5" s="179">
        <f>IFERROR(VLOOKUP(UX$1,Future[[Ticker]:[Weight]],2,FALSE),0%)</f>
        <v>0</v>
      </c>
      <c r="UY5" s="179">
        <f>IFERROR(VLOOKUP(UY$1,Future[[Ticker]:[Weight]],2,FALSE),0%)</f>
        <v>0</v>
      </c>
      <c r="UZ5" s="179">
        <f>IFERROR(VLOOKUP(UZ$1,Future[[Ticker]:[Weight]],2,FALSE),0%)</f>
        <v>0</v>
      </c>
      <c r="VA5" s="179">
        <f>IFERROR(VLOOKUP(VA$1,Future[[Ticker]:[Weight]],2,FALSE),0%)</f>
        <v>0</v>
      </c>
      <c r="VB5" s="179">
        <f>IFERROR(VLOOKUP(VB$1,Future[[Ticker]:[Weight]],2,FALSE),0%)</f>
        <v>0</v>
      </c>
      <c r="VC5" s="179">
        <f>IFERROR(VLOOKUP(VC$1,Future[[Ticker]:[Weight]],2,FALSE),0%)</f>
        <v>0</v>
      </c>
      <c r="VD5" s="179">
        <f>IFERROR(VLOOKUP(VD$1,Future[[Ticker]:[Weight]],2,FALSE),0%)</f>
        <v>0</v>
      </c>
      <c r="VE5" s="179">
        <f>IFERROR(VLOOKUP(VE$1,Future[[Ticker]:[Weight]],2,FALSE),0%)</f>
        <v>0</v>
      </c>
      <c r="VF5" s="179">
        <f>IFERROR(VLOOKUP(VF$1,Future[[Ticker]:[Weight]],2,FALSE),0%)</f>
        <v>0</v>
      </c>
      <c r="VG5" s="179">
        <f>IFERROR(VLOOKUP(VG$1,Future[[Ticker]:[Weight]],2,FALSE),0%)</f>
        <v>0</v>
      </c>
      <c r="VH5" s="179">
        <f>IFERROR(VLOOKUP(VH$1,Future[[Ticker]:[Weight]],2,FALSE),0%)</f>
        <v>0</v>
      </c>
      <c r="VI5" s="179">
        <f>IFERROR(VLOOKUP(VI$1,Future[[Ticker]:[Weight]],2,FALSE),0%)</f>
        <v>0</v>
      </c>
      <c r="VJ5" s="179">
        <f>IFERROR(VLOOKUP(VJ$1,Future[[Ticker]:[Weight]],2,FALSE),0%)</f>
        <v>0</v>
      </c>
      <c r="VK5" s="179">
        <f>IFERROR(VLOOKUP(VK$1,Future[[Ticker]:[Weight]],2,FALSE),0%)</f>
        <v>0</v>
      </c>
      <c r="VL5" s="179">
        <f>IFERROR(VLOOKUP(VL$1,Future[[Ticker]:[Weight]],2,FALSE),0%)</f>
        <v>0</v>
      </c>
      <c r="VM5" s="179">
        <f>IFERROR(VLOOKUP(VM$1,Future[[Ticker]:[Weight]],2,FALSE),0%)</f>
        <v>0</v>
      </c>
      <c r="VN5" s="179">
        <f>IFERROR(VLOOKUP(VN$1,Future[[Ticker]:[Weight]],2,FALSE),0%)</f>
        <v>0</v>
      </c>
      <c r="VO5" s="179">
        <f>IFERROR(VLOOKUP(VO$1,Future[[Ticker]:[Weight]],2,FALSE),0%)</f>
        <v>0</v>
      </c>
      <c r="VP5" s="179">
        <f>IFERROR(VLOOKUP(VP$1,Future[[Ticker]:[Weight]],2,FALSE),0%)</f>
        <v>0</v>
      </c>
      <c r="VQ5" s="179">
        <f>IFERROR(VLOOKUP(VQ$1,Future[[Ticker]:[Weight]],2,FALSE),0%)</f>
        <v>0</v>
      </c>
      <c r="VR5" s="179">
        <f>IFERROR(VLOOKUP(VR$1,Future[[Ticker]:[Weight]],2,FALSE),0%)</f>
        <v>0</v>
      </c>
      <c r="VS5" s="179">
        <f>IFERROR(VLOOKUP(VS$1,Future[[Ticker]:[Weight]],2,FALSE),0%)</f>
        <v>0</v>
      </c>
      <c r="VT5" s="179">
        <f>IFERROR(VLOOKUP(VT$1,Future[[Ticker]:[Weight]],2,FALSE),0%)</f>
        <v>0</v>
      </c>
      <c r="VU5" s="179">
        <f>IFERROR(VLOOKUP(VU$1,Future[[Ticker]:[Weight]],2,FALSE),0%)</f>
        <v>0</v>
      </c>
      <c r="VV5" s="179">
        <f>IFERROR(VLOOKUP(VV$1,Future[[Ticker]:[Weight]],2,FALSE),0%)</f>
        <v>0</v>
      </c>
      <c r="VW5" s="179">
        <f>IFERROR(VLOOKUP(VW$1,Future[[Ticker]:[Weight]],2,FALSE),0%)</f>
        <v>0</v>
      </c>
      <c r="VX5" s="179">
        <f>IFERROR(VLOOKUP(VX$1,Future[[Ticker]:[Weight]],2,FALSE),0%)</f>
        <v>0</v>
      </c>
      <c r="VY5" s="179">
        <f>IFERROR(VLOOKUP(VY$1,Future[[Ticker]:[Weight]],2,FALSE),0%)</f>
        <v>0</v>
      </c>
      <c r="VZ5" s="179">
        <f>IFERROR(VLOOKUP(VZ$1,Future[[Ticker]:[Weight]],2,FALSE),0%)</f>
        <v>0</v>
      </c>
      <c r="WA5" s="179">
        <f>IFERROR(VLOOKUP(WA$1,Future[[Ticker]:[Weight]],2,FALSE),0%)</f>
        <v>0</v>
      </c>
      <c r="WB5" s="179">
        <f>IFERROR(VLOOKUP(WB$1,Future[[Ticker]:[Weight]],2,FALSE),0%)</f>
        <v>0</v>
      </c>
      <c r="WC5" s="179">
        <f>IFERROR(VLOOKUP(WC$1,Future[[Ticker]:[Weight]],2,FALSE),0%)</f>
        <v>0</v>
      </c>
      <c r="WD5" s="179">
        <f>IFERROR(VLOOKUP(WD$1,Future[[Ticker]:[Weight]],2,FALSE),0%)</f>
        <v>0</v>
      </c>
      <c r="WE5" s="179">
        <f>IFERROR(VLOOKUP(WE$1,Future[[Ticker]:[Weight]],2,FALSE),0%)</f>
        <v>0</v>
      </c>
      <c r="WF5" s="179">
        <f>IFERROR(VLOOKUP(WF$1,Future[[Ticker]:[Weight]],2,FALSE),0%)</f>
        <v>0</v>
      </c>
      <c r="WG5" s="179">
        <f>IFERROR(VLOOKUP(WG$1,Future[[Ticker]:[Weight]],2,FALSE),0%)</f>
        <v>0</v>
      </c>
      <c r="WH5" s="179">
        <f>IFERROR(VLOOKUP(WH$1,Future[[Ticker]:[Weight]],2,FALSE),0%)</f>
        <v>0</v>
      </c>
      <c r="WI5" s="179">
        <f>IFERROR(VLOOKUP(WI$1,Future[[Ticker]:[Weight]],2,FALSE),0%)</f>
        <v>0</v>
      </c>
      <c r="WJ5" s="179">
        <f>IFERROR(VLOOKUP(WJ$1,Future[[Ticker]:[Weight]],2,FALSE),0%)</f>
        <v>0</v>
      </c>
      <c r="WK5" s="179">
        <f>IFERROR(VLOOKUP(WK$1,Future[[Ticker]:[Weight]],2,FALSE),0%)</f>
        <v>0</v>
      </c>
      <c r="WL5" s="179">
        <f>IFERROR(VLOOKUP(WL$1,Future[[Ticker]:[Weight]],2,FALSE),0%)</f>
        <v>0</v>
      </c>
      <c r="WM5" s="179">
        <f>IFERROR(VLOOKUP(WM$1,Future[[Ticker]:[Weight]],2,FALSE),0%)</f>
        <v>0</v>
      </c>
      <c r="WN5" s="179">
        <f>IFERROR(VLOOKUP(WN$1,Future[[Ticker]:[Weight]],2,FALSE),0%)</f>
        <v>0</v>
      </c>
      <c r="WO5" s="179">
        <f>IFERROR(VLOOKUP(WO$1,Future[[Ticker]:[Weight]],2,FALSE),0%)</f>
        <v>0</v>
      </c>
      <c r="WP5" s="179">
        <f>IFERROR(VLOOKUP(WP$1,Future[[Ticker]:[Weight]],2,FALSE),0%)</f>
        <v>0</v>
      </c>
      <c r="WQ5" s="179">
        <f>IFERROR(VLOOKUP(WQ$1,Future[[Ticker]:[Weight]],2,FALSE),0%)</f>
        <v>0</v>
      </c>
      <c r="WR5" s="179">
        <f>IFERROR(VLOOKUP(WR$1,Future[[Ticker]:[Weight]],2,FALSE),0%)</f>
        <v>0</v>
      </c>
      <c r="WS5" s="179">
        <f>IFERROR(VLOOKUP(WS$1,Future[[Ticker]:[Weight]],2,FALSE),0%)</f>
        <v>0</v>
      </c>
      <c r="WT5" s="179">
        <f>IFERROR(VLOOKUP(WT$1,Future[[Ticker]:[Weight]],2,FALSE),0%)</f>
        <v>0</v>
      </c>
      <c r="WU5" s="179">
        <f>IFERROR(VLOOKUP(WU$1,Future[[Ticker]:[Weight]],2,FALSE),0%)</f>
        <v>0</v>
      </c>
      <c r="WV5" s="179">
        <f>IFERROR(VLOOKUP(WV$1,Future[[Ticker]:[Weight]],2,FALSE),0%)</f>
        <v>0</v>
      </c>
      <c r="WW5" s="179">
        <f>IFERROR(VLOOKUP(WW$1,Future[[Ticker]:[Weight]],2,FALSE),0%)</f>
        <v>0</v>
      </c>
      <c r="WX5" s="179">
        <f>IFERROR(VLOOKUP(WX$1,Future[[Ticker]:[Weight]],2,FALSE),0%)</f>
        <v>0</v>
      </c>
      <c r="WY5" s="179">
        <f>IFERROR(VLOOKUP(WY$1,Future[[Ticker]:[Weight]],2,FALSE),0%)</f>
        <v>0</v>
      </c>
      <c r="WZ5" s="179">
        <f>IFERROR(VLOOKUP(WZ$1,Future[[Ticker]:[Weight]],2,FALSE),0%)</f>
        <v>0</v>
      </c>
      <c r="XA5" s="179">
        <f>IFERROR(VLOOKUP(XA$1,Future[[Ticker]:[Weight]],2,FALSE),0%)</f>
        <v>0</v>
      </c>
      <c r="XB5" s="179">
        <f>IFERROR(VLOOKUP(XB$1,Future[[Ticker]:[Weight]],2,FALSE),0%)</f>
        <v>0</v>
      </c>
      <c r="XC5" s="179">
        <f>IFERROR(VLOOKUP(XC$1,Future[[Ticker]:[Weight]],2,FALSE),0%)</f>
        <v>0</v>
      </c>
      <c r="XD5" s="179">
        <f>IFERROR(VLOOKUP(XD$1,Future[[Ticker]:[Weight]],2,FALSE),0%)</f>
        <v>0</v>
      </c>
      <c r="XE5" s="179">
        <f>IFERROR(VLOOKUP(XE$1,Future[[Ticker]:[Weight]],2,FALSE),0%)</f>
        <v>0</v>
      </c>
      <c r="XF5" s="179">
        <f>IFERROR(VLOOKUP(XF$1,Future[[Ticker]:[Weight]],2,FALSE),0%)</f>
        <v>0</v>
      </c>
      <c r="XG5" s="179">
        <f>IFERROR(VLOOKUP(XG$1,Future[[Ticker]:[Weight]],2,FALSE),0%)</f>
        <v>0</v>
      </c>
      <c r="XH5" s="179">
        <f>IFERROR(VLOOKUP(XH$1,Future[[Ticker]:[Weight]],2,FALSE),0%)</f>
        <v>0</v>
      </c>
      <c r="XI5" s="179">
        <f>IFERROR(VLOOKUP(XI$1,Future[[Ticker]:[Weight]],2,FALSE),0%)</f>
        <v>0</v>
      </c>
      <c r="XJ5" s="179">
        <f>IFERROR(VLOOKUP(XJ$1,Future[[Ticker]:[Weight]],2,FALSE),0%)</f>
        <v>0</v>
      </c>
      <c r="XK5" s="179">
        <f>IFERROR(VLOOKUP(XK$1,Future[[Ticker]:[Weight]],2,FALSE),0%)</f>
        <v>0</v>
      </c>
      <c r="XL5" s="179">
        <f>IFERROR(VLOOKUP(XL$1,Future[[Ticker]:[Weight]],2,FALSE),0%)</f>
        <v>0</v>
      </c>
      <c r="XM5" s="179">
        <f>IFERROR(VLOOKUP(XM$1,Future[[Ticker]:[Weight]],2,FALSE),0%)</f>
        <v>0</v>
      </c>
      <c r="XN5" s="179">
        <f>IFERROR(VLOOKUP(XN$1,Future[[Ticker]:[Weight]],2,FALSE),0%)</f>
        <v>0</v>
      </c>
      <c r="XO5" s="179">
        <f>IFERROR(VLOOKUP(XO$1,Future[[Ticker]:[Weight]],2,FALSE),0%)</f>
        <v>0</v>
      </c>
      <c r="XP5" s="179">
        <f>IFERROR(VLOOKUP(XP$1,Future[[Ticker]:[Weight]],2,FALSE),0%)</f>
        <v>0</v>
      </c>
      <c r="XQ5" s="179">
        <f>IFERROR(VLOOKUP(XQ$1,Future[[Ticker]:[Weight]],2,FALSE),0%)</f>
        <v>0</v>
      </c>
      <c r="XR5" s="179">
        <f>IFERROR(VLOOKUP(XR$1,Future[[Ticker]:[Weight]],2,FALSE),0%)</f>
        <v>0</v>
      </c>
      <c r="XS5" s="179">
        <f>IFERROR(VLOOKUP(XS$1,Future[[Ticker]:[Weight]],2,FALSE),0%)</f>
        <v>0</v>
      </c>
      <c r="XT5" s="179">
        <f>IFERROR(VLOOKUP(XT$1,Future[[Ticker]:[Weight]],2,FALSE),0%)</f>
        <v>0</v>
      </c>
      <c r="XU5" s="179">
        <f>IFERROR(VLOOKUP(XU$1,Future[[Ticker]:[Weight]],2,FALSE),0%)</f>
        <v>0</v>
      </c>
      <c r="XV5" s="179">
        <f>IFERROR(VLOOKUP(XV$1,Future[[Ticker]:[Weight]],2,FALSE),0%)</f>
        <v>0</v>
      </c>
      <c r="XW5" s="179">
        <f>IFERROR(VLOOKUP(XW$1,Future[[Ticker]:[Weight]],2,FALSE),0%)</f>
        <v>0</v>
      </c>
      <c r="XX5" s="179">
        <f>IFERROR(VLOOKUP(XX$1,Future[[Ticker]:[Weight]],2,FALSE),0%)</f>
        <v>0</v>
      </c>
      <c r="XY5" s="179">
        <f>IFERROR(VLOOKUP(XY$1,Future[[Ticker]:[Weight]],2,FALSE),0%)</f>
        <v>0</v>
      </c>
      <c r="XZ5" s="179">
        <f>IFERROR(VLOOKUP(XZ$1,Future[[Ticker]:[Weight]],2,FALSE),0%)</f>
        <v>0</v>
      </c>
      <c r="YA5" s="179">
        <f>IFERROR(VLOOKUP(YA$1,Future[[Ticker]:[Weight]],2,FALSE),0%)</f>
        <v>0</v>
      </c>
      <c r="YB5" s="179">
        <f>IFERROR(VLOOKUP(YB$1,Future[[Ticker]:[Weight]],2,FALSE),0%)</f>
        <v>0</v>
      </c>
      <c r="YC5" s="179">
        <f>IFERROR(VLOOKUP(YC$1,Future[[Ticker]:[Weight]],2,FALSE),0%)</f>
        <v>0</v>
      </c>
      <c r="YD5" s="179">
        <f>IFERROR(VLOOKUP(YD$1,Future[[Ticker]:[Weight]],2,FALSE),0%)</f>
        <v>0</v>
      </c>
      <c r="YE5" s="179">
        <f>IFERROR(VLOOKUP(YE$1,Future[[Ticker]:[Weight]],2,FALSE),0%)</f>
        <v>0</v>
      </c>
      <c r="YF5" s="179">
        <f>IFERROR(VLOOKUP(YF$1,Future[[Ticker]:[Weight]],2,FALSE),0%)</f>
        <v>0</v>
      </c>
      <c r="YG5" s="179">
        <f>IFERROR(VLOOKUP(YG$1,Future[[Ticker]:[Weight]],2,FALSE),0%)</f>
        <v>0</v>
      </c>
      <c r="YH5" s="179">
        <f>IFERROR(VLOOKUP(YH$1,Future[[Ticker]:[Weight]],2,FALSE),0%)</f>
        <v>0</v>
      </c>
      <c r="YI5" s="179">
        <f>IFERROR(VLOOKUP(YI$1,Future[[Ticker]:[Weight]],2,FALSE),0%)</f>
        <v>0</v>
      </c>
      <c r="YJ5" s="179">
        <f>IFERROR(VLOOKUP(YJ$1,Future[[Ticker]:[Weight]],2,FALSE),0%)</f>
        <v>0</v>
      </c>
      <c r="YK5" s="179">
        <f>IFERROR(VLOOKUP(YK$1,Future[[Ticker]:[Weight]],2,FALSE),0%)</f>
        <v>0</v>
      </c>
      <c r="YL5" s="179">
        <f>IFERROR(VLOOKUP(YL$1,Future[[Ticker]:[Weight]],2,FALSE),0%)</f>
        <v>0</v>
      </c>
      <c r="YM5" s="179">
        <f>IFERROR(VLOOKUP(YM$1,Future[[Ticker]:[Weight]],2,FALSE),0%)</f>
        <v>0</v>
      </c>
      <c r="YN5" s="179">
        <f>IFERROR(VLOOKUP(YN$1,Future[[Ticker]:[Weight]],2,FALSE),0%)</f>
        <v>0</v>
      </c>
      <c r="YO5" s="179">
        <f>IFERROR(VLOOKUP(YO$1,Future[[Ticker]:[Weight]],2,FALSE),0%)</f>
        <v>0</v>
      </c>
      <c r="YP5" s="179">
        <f>IFERROR(VLOOKUP(YP$1,Future[[Ticker]:[Weight]],2,FALSE),0%)</f>
        <v>0</v>
      </c>
      <c r="YQ5" s="179">
        <f>IFERROR(VLOOKUP(YQ$1,Future[[Ticker]:[Weight]],2,FALSE),0%)</f>
        <v>0</v>
      </c>
      <c r="YR5" s="179">
        <f>IFERROR(VLOOKUP(YR$1,Future[[Ticker]:[Weight]],2,FALSE),0%)</f>
        <v>0</v>
      </c>
      <c r="YS5" s="179">
        <f>IFERROR(VLOOKUP(YS$1,Future[[Ticker]:[Weight]],2,FALSE),0%)</f>
        <v>0</v>
      </c>
      <c r="YT5" s="179">
        <f>IFERROR(VLOOKUP(YT$1,Future[[Ticker]:[Weight]],2,FALSE),0%)</f>
        <v>0</v>
      </c>
      <c r="YU5" s="179">
        <f>IFERROR(VLOOKUP(YU$1,Future[[Ticker]:[Weight]],2,FALSE),0%)</f>
        <v>0</v>
      </c>
      <c r="YV5" s="179">
        <f>IFERROR(VLOOKUP(YV$1,Future[[Ticker]:[Weight]],2,FALSE),0%)</f>
        <v>0</v>
      </c>
      <c r="YW5" s="179">
        <f>IFERROR(VLOOKUP(YW$1,Future[[Ticker]:[Weight]],2,FALSE),0%)</f>
        <v>0</v>
      </c>
      <c r="YX5" s="179">
        <f>IFERROR(VLOOKUP(YX$1,Future[[Ticker]:[Weight]],2,FALSE),0%)</f>
        <v>0</v>
      </c>
      <c r="YY5" s="179">
        <f>IFERROR(VLOOKUP(YY$1,Future[[Ticker]:[Weight]],2,FALSE),0%)</f>
        <v>0</v>
      </c>
      <c r="YZ5" s="179">
        <f>IFERROR(VLOOKUP(YZ$1,Future[[Ticker]:[Weight]],2,FALSE),0%)</f>
        <v>0</v>
      </c>
      <c r="ZA5" s="179">
        <f>IFERROR(VLOOKUP(ZA$1,Future[[Ticker]:[Weight]],2,FALSE),0%)</f>
        <v>0</v>
      </c>
      <c r="ZB5" s="179">
        <f>IFERROR(VLOOKUP(ZB$1,Future[[Ticker]:[Weight]],2,FALSE),0%)</f>
        <v>0</v>
      </c>
      <c r="ZC5" s="179">
        <f>IFERROR(VLOOKUP(ZC$1,Future[[Ticker]:[Weight]],2,FALSE),0%)</f>
        <v>0</v>
      </c>
      <c r="ZD5" s="179">
        <f>IFERROR(VLOOKUP(ZD$1,Future[[Ticker]:[Weight]],2,FALSE),0%)</f>
        <v>0</v>
      </c>
      <c r="ZE5" s="179">
        <f>IFERROR(VLOOKUP(ZE$1,Future[[Ticker]:[Weight]],2,FALSE),0%)</f>
        <v>0</v>
      </c>
      <c r="ZF5" s="179">
        <f>IFERROR(VLOOKUP(ZF$1,Future[[Ticker]:[Weight]],2,FALSE),0%)</f>
        <v>0</v>
      </c>
      <c r="ZG5" s="179">
        <f>IFERROR(VLOOKUP(ZG$1,Future[[Ticker]:[Weight]],2,FALSE),0%)</f>
        <v>0</v>
      </c>
      <c r="ZH5" s="179">
        <f>IFERROR(VLOOKUP(ZH$1,Future[[Ticker]:[Weight]],2,FALSE),0%)</f>
        <v>0</v>
      </c>
      <c r="ZI5" s="179">
        <f>IFERROR(VLOOKUP(ZI$1,Future[[Ticker]:[Weight]],2,FALSE),0%)</f>
        <v>0</v>
      </c>
      <c r="ZJ5" s="179">
        <f>IFERROR(VLOOKUP(ZJ$1,Future[[Ticker]:[Weight]],2,FALSE),0%)</f>
        <v>0</v>
      </c>
      <c r="ZK5" s="179">
        <f>IFERROR(VLOOKUP(ZK$1,Future[[Ticker]:[Weight]],2,FALSE),0%)</f>
        <v>0.142</v>
      </c>
      <c r="ZL5" s="179">
        <f>IFERROR(VLOOKUP(ZL$1,Future[[Ticker]:[Weight]],2,FALSE),0%)</f>
        <v>0</v>
      </c>
      <c r="ZM5" s="179">
        <f>IFERROR(VLOOKUP(ZM$1,Future[[Ticker]:[Weight]],2,FALSE),0%)</f>
        <v>0</v>
      </c>
      <c r="ZN5" s="179">
        <f>IFERROR(VLOOKUP(ZN$1,Future[[Ticker]:[Weight]],2,FALSE),0%)</f>
        <v>0</v>
      </c>
      <c r="ZO5" s="179">
        <f>IFERROR(VLOOKUP(ZO$1,Future[[Ticker]:[Weight]],2,FALSE),0%)</f>
        <v>0</v>
      </c>
      <c r="ZP5" s="179">
        <f>IFERROR(VLOOKUP(ZP$1,Future[[Ticker]:[Weight]],2,FALSE),0%)</f>
        <v>0</v>
      </c>
      <c r="ZQ5" s="179">
        <f>IFERROR(VLOOKUP(ZQ$1,Future[[Ticker]:[Weight]],2,FALSE),0%)</f>
        <v>0</v>
      </c>
      <c r="ZR5" s="179">
        <f>IFERROR(VLOOKUP(ZR$1,Future[[Ticker]:[Weight]],2,FALSE),0%)</f>
        <v>0</v>
      </c>
      <c r="ZS5" s="179">
        <f>IFERROR(VLOOKUP(ZS$1,Future[[Ticker]:[Weight]],2,FALSE),0%)</f>
        <v>0</v>
      </c>
      <c r="ZT5" s="179">
        <f>IFERROR(VLOOKUP(ZT$1,Future[[Ticker]:[Weight]],2,FALSE),0%)</f>
        <v>0</v>
      </c>
      <c r="ZU5" s="179">
        <f>IFERROR(VLOOKUP(ZU$1,Future[[Ticker]:[Weight]],2,FALSE),0%)</f>
        <v>0</v>
      </c>
      <c r="ZV5" s="179">
        <f>IFERROR(VLOOKUP(ZV$1,Future[[Ticker]:[Weight]],2,FALSE),0%)</f>
        <v>0</v>
      </c>
      <c r="ZW5" s="179">
        <f>IFERROR(VLOOKUP(ZW$1,Future[[Ticker]:[Weight]],2,FALSE),0%)</f>
        <v>0</v>
      </c>
      <c r="ZX5" s="179">
        <f>IFERROR(VLOOKUP(ZX$1,Future[[Ticker]:[Weight]],2,FALSE),0%)</f>
        <v>0</v>
      </c>
      <c r="ZY5" s="179">
        <f>IFERROR(VLOOKUP(ZY$1,Future[[Ticker]:[Weight]],2,FALSE),0%)</f>
        <v>0</v>
      </c>
      <c r="ZZ5" s="179">
        <f>IFERROR(VLOOKUP(ZZ$1,Future[[Ticker]:[Weight]],2,FALSE),0%)</f>
        <v>0</v>
      </c>
      <c r="AAA5" s="179">
        <f>IFERROR(VLOOKUP(AAA$1,Future[[Ticker]:[Weight]],2,FALSE),0%)</f>
        <v>0</v>
      </c>
      <c r="AAB5" s="179">
        <f>IFERROR(VLOOKUP(AAB$1,Future[[Ticker]:[Weight]],2,FALSE),0%)</f>
        <v>0</v>
      </c>
      <c r="AAC5" s="179">
        <f>IFERROR(VLOOKUP(AAC$1,Future[[Ticker]:[Weight]],2,FALSE),0%)</f>
        <v>0</v>
      </c>
      <c r="AAD5" s="179">
        <f>IFERROR(VLOOKUP(AAD$1,Future[[Ticker]:[Weight]],2,FALSE),0%)</f>
        <v>0</v>
      </c>
      <c r="AAE5" s="179">
        <f>IFERROR(VLOOKUP(AAE$1,Future[[Ticker]:[Weight]],2,FALSE),0%)</f>
        <v>0</v>
      </c>
      <c r="AAF5" s="179">
        <f>IFERROR(VLOOKUP(AAF$1,Future[[Ticker]:[Weight]],2,FALSE),0%)</f>
        <v>0</v>
      </c>
      <c r="AAG5" s="179">
        <f>IFERROR(VLOOKUP(AAG$1,Future[[Ticker]:[Weight]],2,FALSE),0%)</f>
        <v>0</v>
      </c>
      <c r="AAH5" s="179">
        <f>IFERROR(VLOOKUP(AAH$1,Future[[Ticker]:[Weight]],2,FALSE),0%)</f>
        <v>0</v>
      </c>
      <c r="AAI5" s="179">
        <f>IFERROR(VLOOKUP(AAI$1,Future[[Ticker]:[Weight]],2,FALSE),0%)</f>
        <v>0</v>
      </c>
      <c r="AAJ5" s="179">
        <f>IFERROR(VLOOKUP(AAJ$1,Future[[Ticker]:[Weight]],2,FALSE),0%)</f>
        <v>0</v>
      </c>
      <c r="AAK5" s="179">
        <f>IFERROR(VLOOKUP(AAK$1,Future[[Ticker]:[Weight]],2,FALSE),0%)</f>
        <v>0</v>
      </c>
      <c r="AAL5" s="179">
        <f>IFERROR(VLOOKUP(AAL$1,Future[[Ticker]:[Weight]],2,FALSE),0%)</f>
        <v>0</v>
      </c>
      <c r="AAM5" s="179">
        <f>IFERROR(VLOOKUP(AAM$1,Future[[Ticker]:[Weight]],2,FALSE),0%)</f>
        <v>0</v>
      </c>
      <c r="AAN5" s="179">
        <f>IFERROR(VLOOKUP(AAN$1,Future[[Ticker]:[Weight]],2,FALSE),0%)</f>
        <v>0</v>
      </c>
      <c r="AAO5" s="179">
        <f>IFERROR(VLOOKUP(AAO$1,Future[[Ticker]:[Weight]],2,FALSE),0%)</f>
        <v>0</v>
      </c>
      <c r="AAP5" s="179">
        <f>IFERROR(VLOOKUP(AAP$1,Future[[Ticker]:[Weight]],2,FALSE),0%)</f>
        <v>0</v>
      </c>
      <c r="AAQ5" s="179">
        <f>IFERROR(VLOOKUP(AAQ$1,Future[[Ticker]:[Weight]],2,FALSE),0%)</f>
        <v>0</v>
      </c>
      <c r="AAR5" s="179">
        <f>IFERROR(VLOOKUP(AAR$1,Future[[Ticker]:[Weight]],2,FALSE),0%)</f>
        <v>0</v>
      </c>
      <c r="AAS5" s="179">
        <f>IFERROR(VLOOKUP(AAS$1,Future[[Ticker]:[Weight]],2,FALSE),0%)</f>
        <v>0</v>
      </c>
      <c r="AAT5" s="179">
        <f>IFERROR(VLOOKUP(AAT$1,Future[[Ticker]:[Weight]],2,FALSE),0%)</f>
        <v>0</v>
      </c>
      <c r="AAU5" s="179">
        <f>IFERROR(VLOOKUP(AAU$1,Future[[Ticker]:[Weight]],2,FALSE),0%)</f>
        <v>0</v>
      </c>
      <c r="AAV5" s="179">
        <f>IFERROR(VLOOKUP(AAV$1,Future[[Ticker]:[Weight]],2,FALSE),0%)</f>
        <v>0</v>
      </c>
      <c r="AAW5" s="179">
        <f>IFERROR(VLOOKUP(AAW$1,Future[[Ticker]:[Weight]],2,FALSE),0%)</f>
        <v>0</v>
      </c>
      <c r="AAX5" s="179">
        <f>IFERROR(VLOOKUP(AAX$1,Future[[Ticker]:[Weight]],2,FALSE),0%)</f>
        <v>0</v>
      </c>
      <c r="AAY5" s="179">
        <f>IFERROR(VLOOKUP(AAY$1,Future[[Ticker]:[Weight]],2,FALSE),0%)</f>
        <v>0</v>
      </c>
      <c r="AAZ5" s="179">
        <f>IFERROR(VLOOKUP(AAZ$1,Future[[Ticker]:[Weight]],2,FALSE),0%)</f>
        <v>0</v>
      </c>
      <c r="ABA5" s="179">
        <f>IFERROR(VLOOKUP(ABA$1,Future[[Ticker]:[Weight]],2,FALSE),0%)</f>
        <v>0</v>
      </c>
      <c r="ABB5" s="179">
        <f>IFERROR(VLOOKUP(ABB$1,Future[[Ticker]:[Weight]],2,FALSE),0%)</f>
        <v>0</v>
      </c>
      <c r="ABC5" s="179">
        <f>IFERROR(VLOOKUP(ABC$1,Future[[Ticker]:[Weight]],2,FALSE),0%)</f>
        <v>0</v>
      </c>
      <c r="ABD5" s="179">
        <f>IFERROR(VLOOKUP(ABD$1,Future[[Ticker]:[Weight]],2,FALSE),0%)</f>
        <v>0</v>
      </c>
      <c r="ABE5" s="179">
        <f>IFERROR(VLOOKUP(ABE$1,Future[[Ticker]:[Weight]],2,FALSE),0%)</f>
        <v>0</v>
      </c>
      <c r="ABF5" s="179">
        <f>IFERROR(VLOOKUP(ABF$1,Future[[Ticker]:[Weight]],2,FALSE),0%)</f>
        <v>0</v>
      </c>
      <c r="ABG5" s="179">
        <f>IFERROR(VLOOKUP(ABG$1,Future[[Ticker]:[Weight]],2,FALSE),0%)</f>
        <v>0</v>
      </c>
      <c r="ABH5" s="179">
        <f>IFERROR(VLOOKUP(ABH$1,Future[[Ticker]:[Weight]],2,FALSE),0%)</f>
        <v>0</v>
      </c>
      <c r="ABI5" s="179">
        <f>IFERROR(VLOOKUP(ABI$1,Future[[Ticker]:[Weight]],2,FALSE),0%)</f>
        <v>0</v>
      </c>
      <c r="ABJ5" s="179">
        <f>IFERROR(VLOOKUP(ABJ$1,Future[[Ticker]:[Weight]],2,FALSE),0%)</f>
        <v>0</v>
      </c>
      <c r="ABK5" s="179">
        <f>IFERROR(VLOOKUP(ABK$1,Future[[Ticker]:[Weight]],2,FALSE),0%)</f>
        <v>0</v>
      </c>
      <c r="ABL5" s="179">
        <f>IFERROR(VLOOKUP(ABL$1,Future[[Ticker]:[Weight]],2,FALSE),0%)</f>
        <v>0</v>
      </c>
      <c r="ABM5" s="179">
        <f>IFERROR(VLOOKUP(ABM$1,Future[[Ticker]:[Weight]],2,FALSE),0%)</f>
        <v>0</v>
      </c>
      <c r="ABN5" s="179">
        <f>IFERROR(VLOOKUP(ABN$1,Future[[Ticker]:[Weight]],2,FALSE),0%)</f>
        <v>0</v>
      </c>
      <c r="ABO5" s="179">
        <f>IFERROR(VLOOKUP(ABO$1,Future[[Ticker]:[Weight]],2,FALSE),0%)</f>
        <v>0</v>
      </c>
      <c r="ABP5" s="179">
        <f>IFERROR(VLOOKUP(ABP$1,Future[[Ticker]:[Weight]],2,FALSE),0%)</f>
        <v>0</v>
      </c>
      <c r="ABQ5" s="179">
        <f>IFERROR(VLOOKUP(ABQ$1,Future[[Ticker]:[Weight]],2,FALSE),0%)</f>
        <v>0</v>
      </c>
      <c r="ABR5" s="179">
        <f>IFERROR(VLOOKUP(ABR$1,Future[[Ticker]:[Weight]],2,FALSE),0%)</f>
        <v>0</v>
      </c>
      <c r="ABS5" s="179">
        <f>IFERROR(VLOOKUP(ABS$1,Future[[Ticker]:[Weight]],2,FALSE),0%)</f>
        <v>0</v>
      </c>
      <c r="ABT5" s="179">
        <f>IFERROR(VLOOKUP(ABT$1,Future[[Ticker]:[Weight]],2,FALSE),0%)</f>
        <v>0</v>
      </c>
      <c r="ABU5" s="179">
        <f>IFERROR(VLOOKUP(ABU$1,Future[[Ticker]:[Weight]],2,FALSE),0%)</f>
        <v>0</v>
      </c>
      <c r="ABV5" s="179">
        <f>IFERROR(VLOOKUP(ABV$1,Future[[Ticker]:[Weight]],2,FALSE),0%)</f>
        <v>0</v>
      </c>
      <c r="ABW5" s="179">
        <f>IFERROR(VLOOKUP(ABW$1,Future[[Ticker]:[Weight]],2,FALSE),0%)</f>
        <v>0</v>
      </c>
      <c r="ABX5" s="179">
        <f>IFERROR(VLOOKUP(ABX$1,Future[[Ticker]:[Weight]],2,FALSE),0%)</f>
        <v>0</v>
      </c>
      <c r="ABY5" s="179">
        <f>IFERROR(VLOOKUP(ABY$1,Future[[Ticker]:[Weight]],2,FALSE),0%)</f>
        <v>0</v>
      </c>
      <c r="ABZ5" s="179">
        <f>IFERROR(VLOOKUP(ABZ$1,Future[[Ticker]:[Weight]],2,FALSE),0%)</f>
        <v>0</v>
      </c>
      <c r="ACA5" s="179">
        <f>IFERROR(VLOOKUP(ACA$1,Future[[Ticker]:[Weight]],2,FALSE),0%)</f>
        <v>0</v>
      </c>
      <c r="ACB5" s="179">
        <f>IFERROR(VLOOKUP(ACB$1,Future[[Ticker]:[Weight]],2,FALSE),0%)</f>
        <v>0</v>
      </c>
      <c r="ACC5" s="179">
        <f>IFERROR(VLOOKUP(ACC$1,Future[[Ticker]:[Weight]],2,FALSE),0%)</f>
        <v>0</v>
      </c>
      <c r="ACD5" s="179">
        <f>IFERROR(VLOOKUP(ACD$1,Future[[Ticker]:[Weight]],2,FALSE),0%)</f>
        <v>0</v>
      </c>
      <c r="ACE5" s="179">
        <f>IFERROR(VLOOKUP(ACE$1,Future[[Ticker]:[Weight]],2,FALSE),0%)</f>
        <v>0</v>
      </c>
      <c r="ACF5" s="179">
        <f>IFERROR(VLOOKUP(ACF$1,Future[[Ticker]:[Weight]],2,FALSE),0%)</f>
        <v>0</v>
      </c>
      <c r="ACG5" s="179">
        <f>IFERROR(VLOOKUP(ACG$1,Future[[Ticker]:[Weight]],2,FALSE),0%)</f>
        <v>0</v>
      </c>
      <c r="ACH5" s="179">
        <f>IFERROR(VLOOKUP(ACH$1,Future[[Ticker]:[Weight]],2,FALSE),0%)</f>
        <v>0</v>
      </c>
      <c r="ACI5" s="179">
        <f>IFERROR(VLOOKUP(ACI$1,Future[[Ticker]:[Weight]],2,FALSE),0%)</f>
        <v>0</v>
      </c>
      <c r="ACJ5" s="179">
        <f>IFERROR(VLOOKUP(ACJ$1,Future[[Ticker]:[Weight]],2,FALSE),0%)</f>
        <v>0</v>
      </c>
      <c r="ACK5" s="179">
        <f>IFERROR(VLOOKUP(ACK$1,Future[[Ticker]:[Weight]],2,FALSE),0%)</f>
        <v>0</v>
      </c>
      <c r="ACL5" s="179">
        <f>IFERROR(VLOOKUP(ACL$1,Future[[Ticker]:[Weight]],2,FALSE),0%)</f>
        <v>0</v>
      </c>
      <c r="ACM5" s="179">
        <f>IFERROR(VLOOKUP(ACM$1,Future[[Ticker]:[Weight]],2,FALSE),0%)</f>
        <v>0</v>
      </c>
      <c r="ACN5" s="179">
        <f>IFERROR(VLOOKUP(ACN$1,Future[[Ticker]:[Weight]],2,FALSE),0%)</f>
        <v>0</v>
      </c>
      <c r="ACO5" s="179">
        <f>IFERROR(VLOOKUP(ACO$1,Future[[Ticker]:[Weight]],2,FALSE),0%)</f>
        <v>0</v>
      </c>
      <c r="ACP5" s="179">
        <f>IFERROR(VLOOKUP(ACP$1,Future[[Ticker]:[Weight]],2,FALSE),0%)</f>
        <v>0</v>
      </c>
      <c r="ACQ5" s="179">
        <f>IFERROR(VLOOKUP(ACQ$1,Future[[Ticker]:[Weight]],2,FALSE),0%)</f>
        <v>0</v>
      </c>
      <c r="ACR5" s="179">
        <f>IFERROR(VLOOKUP(ACR$1,Future[[Ticker]:[Weight]],2,FALSE),0%)</f>
        <v>0</v>
      </c>
      <c r="ACS5" s="179">
        <f>IFERROR(VLOOKUP(ACS$1,Future[[Ticker]:[Weight]],2,FALSE),0%)</f>
        <v>0</v>
      </c>
      <c r="ACT5" s="179">
        <f>IFERROR(VLOOKUP(ACT$1,Future[[Ticker]:[Weight]],2,FALSE),0%)</f>
        <v>0</v>
      </c>
      <c r="ACU5" s="179">
        <f>IFERROR(VLOOKUP(ACU$1,Future[[Ticker]:[Weight]],2,FALSE),0%)</f>
        <v>0</v>
      </c>
      <c r="ACV5" s="179">
        <f>IFERROR(VLOOKUP(ACV$1,Future[[Ticker]:[Weight]],2,FALSE),0%)</f>
        <v>0</v>
      </c>
      <c r="ACW5" s="179">
        <f>IFERROR(VLOOKUP(ACW$1,Future[[Ticker]:[Weight]],2,FALSE),0%)</f>
        <v>0</v>
      </c>
      <c r="ACX5" s="179">
        <f>IFERROR(VLOOKUP(ACX$1,Future[[Ticker]:[Weight]],2,FALSE),0%)</f>
        <v>0</v>
      </c>
      <c r="ACY5" s="179">
        <f>IFERROR(VLOOKUP(ACY$1,Future[[Ticker]:[Weight]],2,FALSE),0%)</f>
        <v>0</v>
      </c>
      <c r="ACZ5" s="179">
        <f>IFERROR(VLOOKUP(ACZ$1,Future[[Ticker]:[Weight]],2,FALSE),0%)</f>
        <v>0</v>
      </c>
      <c r="ADA5" s="179">
        <f>IFERROR(VLOOKUP(ADA$1,Future[[Ticker]:[Weight]],2,FALSE),0%)</f>
        <v>0</v>
      </c>
      <c r="ADB5" s="179">
        <f>IFERROR(VLOOKUP(ADB$1,Future[[Ticker]:[Weight]],2,FALSE),0%)</f>
        <v>0</v>
      </c>
      <c r="ADC5" s="179">
        <f>IFERROR(VLOOKUP(ADC$1,Future[[Ticker]:[Weight]],2,FALSE),0%)</f>
        <v>0</v>
      </c>
      <c r="ADD5" s="179">
        <f>IFERROR(VLOOKUP(ADD$1,Future[[Ticker]:[Weight]],2,FALSE),0%)</f>
        <v>0</v>
      </c>
      <c r="ADE5" s="179">
        <f>IFERROR(VLOOKUP(ADE$1,Future[[Ticker]:[Weight]],2,FALSE),0%)</f>
        <v>0</v>
      </c>
      <c r="ADF5" s="179">
        <f>IFERROR(VLOOKUP(ADF$1,Future[[Ticker]:[Weight]],2,FALSE),0%)</f>
        <v>0</v>
      </c>
      <c r="ADG5" s="179">
        <f>IFERROR(VLOOKUP(ADG$1,Future[[Ticker]:[Weight]],2,FALSE),0%)</f>
        <v>0</v>
      </c>
      <c r="ADH5" s="179">
        <f>IFERROR(VLOOKUP(ADH$1,Future[[Ticker]:[Weight]],2,FALSE),0%)</f>
        <v>0</v>
      </c>
      <c r="ADI5" s="179">
        <f>IFERROR(VLOOKUP(ADI$1,Future[[Ticker]:[Weight]],2,FALSE),0%)</f>
        <v>0</v>
      </c>
      <c r="ADJ5" s="179">
        <f>IFERROR(VLOOKUP(ADJ$1,Future[[Ticker]:[Weight]],2,FALSE),0%)</f>
        <v>0</v>
      </c>
      <c r="ADK5" s="179">
        <f>IFERROR(VLOOKUP(ADK$1,Future[[Ticker]:[Weight]],2,FALSE),0%)</f>
        <v>0</v>
      </c>
      <c r="ADL5" s="179">
        <f>IFERROR(VLOOKUP(ADL$1,Future[[Ticker]:[Weight]],2,FALSE),0%)</f>
        <v>0</v>
      </c>
      <c r="ADM5" s="179">
        <f>IFERROR(VLOOKUP(ADM$1,Future[[Ticker]:[Weight]],2,FALSE),0%)</f>
        <v>0</v>
      </c>
      <c r="ADN5" s="179">
        <f>IFERROR(VLOOKUP(ADN$1,Future[[Ticker]:[Weight]],2,FALSE),0%)</f>
        <v>0</v>
      </c>
      <c r="ADO5" s="179">
        <f>IFERROR(VLOOKUP(ADO$1,Future[[Ticker]:[Weight]],2,FALSE),0%)</f>
        <v>0.005</v>
      </c>
      <c r="ADP5" s="179">
        <f>IFERROR(VLOOKUP(ADP$1,Future[[Ticker]:[Weight]],2,FALSE),0%)</f>
        <v>0</v>
      </c>
      <c r="ADQ5" s="179">
        <f>IFERROR(VLOOKUP(ADQ$1,Future[[Ticker]:[Weight]],2,FALSE),0%)</f>
        <v>0</v>
      </c>
      <c r="ADR5" s="179">
        <f>IFERROR(VLOOKUP(ADR$1,Future[[Ticker]:[Weight]],2,FALSE),0%)</f>
        <v>0</v>
      </c>
      <c r="ADS5" s="179">
        <f>IFERROR(VLOOKUP(ADS$1,Future[[Ticker]:[Weight]],2,FALSE),0%)</f>
        <v>0</v>
      </c>
      <c r="ADT5" s="179">
        <f>IFERROR(VLOOKUP(ADT$1,Future[[Ticker]:[Weight]],2,FALSE),0%)</f>
        <v>0</v>
      </c>
      <c r="ADU5" s="179">
        <f>IFERROR(VLOOKUP(ADU$1,Future[[Ticker]:[Weight]],2,FALSE),0%)</f>
        <v>0</v>
      </c>
      <c r="ADV5" s="179">
        <f>IFERROR(VLOOKUP(ADV$1,Future[[Ticker]:[Weight]],2,FALSE),0%)</f>
        <v>0</v>
      </c>
      <c r="ADW5" s="179">
        <f>IFERROR(VLOOKUP(ADW$1,Future[[Ticker]:[Weight]],2,FALSE),0%)</f>
        <v>0</v>
      </c>
      <c r="ADX5" s="179">
        <f>IFERROR(VLOOKUP(ADX$1,Future[[Ticker]:[Weight]],2,FALSE),0%)</f>
        <v>0.143</v>
      </c>
      <c r="ADY5" s="179">
        <f>IFERROR(VLOOKUP(ADY$1,Future[[Ticker]:[Weight]],2,FALSE),0%)</f>
        <v>0</v>
      </c>
      <c r="ADZ5" s="179">
        <f>IFERROR(VLOOKUP(ADZ$1,Future[[Ticker]:[Weight]],2,FALSE),0%)</f>
        <v>0</v>
      </c>
      <c r="AEA5" s="179">
        <f>IFERROR(VLOOKUP(AEA$1,Future[[Ticker]:[Weight]],2,FALSE),0%)</f>
        <v>0</v>
      </c>
      <c r="AEB5" s="179">
        <f>IFERROR(VLOOKUP(AEB$1,Future[[Ticker]:[Weight]],2,FALSE),0%)</f>
        <v>0</v>
      </c>
      <c r="AEC5" s="179">
        <f>IFERROR(VLOOKUP(AEC$1,Future[[Ticker]:[Weight]],2,FALSE),0%)</f>
        <v>0</v>
      </c>
      <c r="AED5" s="179">
        <f>IFERROR(VLOOKUP(AED$1,Future[[Ticker]:[Weight]],2,FALSE),0%)</f>
        <v>0.178</v>
      </c>
      <c r="AEE5" s="179">
        <f>IFERROR(VLOOKUP(AEE$1,Future[[Ticker]:[Weight]],2,FALSE),0%)</f>
        <v>0</v>
      </c>
      <c r="AEF5" s="179">
        <f>IFERROR(VLOOKUP(AEF$1,Future[[Ticker]:[Weight]],2,FALSE),0%)</f>
        <v>0</v>
      </c>
      <c r="AEG5" s="179">
        <f>IFERROR(VLOOKUP(AEG$1,Future[[Ticker]:[Weight]],2,FALSE),0%)</f>
        <v>0</v>
      </c>
      <c r="AEH5" s="179">
        <f>IFERROR(VLOOKUP(AEH$1,Future[[Ticker]:[Weight]],2,FALSE),0%)</f>
        <v>0</v>
      </c>
      <c r="AEI5" s="179">
        <f>IFERROR(VLOOKUP(AEI$1,Future[[Ticker]:[Weight]],2,FALSE),0%)</f>
        <v>0</v>
      </c>
      <c r="AEJ5" s="179">
        <f>IFERROR(VLOOKUP(AEJ$1,Future[[Ticker]:[Weight]],2,FALSE),0%)</f>
        <v>0</v>
      </c>
      <c r="AEK5" s="179">
        <f>IFERROR(VLOOKUP(AEK$1,Future[[Ticker]:[Weight]],2,FALSE),0%)</f>
        <v>0</v>
      </c>
      <c r="AEL5" s="179">
        <f>IFERROR(VLOOKUP(AEL$1,Future[[Ticker]:[Weight]],2,FALSE),0%)</f>
        <v>0</v>
      </c>
      <c r="AEM5" s="179">
        <f>IFERROR(VLOOKUP(AEM$1,Future[[Ticker]:[Weight]],2,FALSE),0%)</f>
        <v>0</v>
      </c>
      <c r="AEN5" s="179">
        <f>IFERROR(VLOOKUP(AEN$1,Future[[Ticker]:[Weight]],2,FALSE),0%)</f>
        <v>0</v>
      </c>
      <c r="AEO5" s="179">
        <f>IFERROR(VLOOKUP(AEO$1,Future[[Ticker]:[Weight]],2,FALSE),0%)</f>
        <v>0</v>
      </c>
      <c r="AEP5" s="179">
        <f>IFERROR(VLOOKUP(AEP$1,Future[[Ticker]:[Weight]],2,FALSE),0%)</f>
        <v>0</v>
      </c>
      <c r="AEQ5" s="179">
        <f>IFERROR(VLOOKUP(AEQ$1,Future[[Ticker]:[Weight]],2,FALSE),0%)</f>
        <v>0</v>
      </c>
      <c r="AER5" s="179">
        <f>IFERROR(VLOOKUP(AER$1,Future[[Ticker]:[Weight]],2,FALSE),0%)</f>
        <v>0</v>
      </c>
      <c r="AES5" s="179">
        <f>IFERROR(VLOOKUP(AES$1,Future[[Ticker]:[Weight]],2,FALSE),0%)</f>
        <v>0</v>
      </c>
      <c r="AET5" s="179">
        <f>IFERROR(VLOOKUP(AET$1,Future[[Ticker]:[Weight]],2,FALSE),0%)</f>
        <v>0</v>
      </c>
      <c r="AEU5" s="179">
        <f>IFERROR(VLOOKUP(AEU$1,Future[[Ticker]:[Weight]],2,FALSE),0%)</f>
        <v>0</v>
      </c>
      <c r="AEV5" s="179">
        <f>IFERROR(VLOOKUP(AEV$1,Future[[Ticker]:[Weight]],2,FALSE),0%)</f>
        <v>0</v>
      </c>
      <c r="AEW5" s="179">
        <f>IFERROR(VLOOKUP(AEW$1,Future[[Ticker]:[Weight]],2,FALSE),0%)</f>
        <v>0</v>
      </c>
      <c r="AEX5" s="179">
        <f>IFERROR(VLOOKUP(AEX$1,Future[[Ticker]:[Weight]],2,FALSE),0%)</f>
        <v>0</v>
      </c>
      <c r="AEY5" s="179">
        <f>IFERROR(VLOOKUP(AEY$1,Future[[Ticker]:[Weight]],2,FALSE),0%)</f>
        <v>0</v>
      </c>
      <c r="AEZ5" s="179">
        <f>IFERROR(VLOOKUP(AEZ$1,Future[[Ticker]:[Weight]],2,FALSE),0%)</f>
        <v>0</v>
      </c>
      <c r="AFA5" s="179">
        <f>IFERROR(VLOOKUP(AFA$1,Future[[Ticker]:[Weight]],2,FALSE),0%)</f>
        <v>0</v>
      </c>
      <c r="AFB5" s="179">
        <f>IFERROR(VLOOKUP(AFB$1,Future[[Ticker]:[Weight]],2,FALSE),0%)</f>
        <v>0</v>
      </c>
      <c r="AFC5" s="179">
        <f>IFERROR(VLOOKUP(AFC$1,Future[[Ticker]:[Weight]],2,FALSE),0%)</f>
        <v>0</v>
      </c>
      <c r="AFD5" s="179">
        <f>IFERROR(VLOOKUP(AFD$1,Future[[Ticker]:[Weight]],2,FALSE),0%)</f>
        <v>0</v>
      </c>
      <c r="AFE5" s="179">
        <f>IFERROR(VLOOKUP(AFE$1,Future[[Ticker]:[Weight]],2,FALSE),0%)</f>
        <v>0</v>
      </c>
      <c r="AFF5" s="179">
        <f>IFERROR(VLOOKUP(AFF$1,Future[[Ticker]:[Weight]],2,FALSE),0%)</f>
        <v>0</v>
      </c>
      <c r="AFG5" s="179">
        <f>IFERROR(VLOOKUP(AFG$1,Future[[Ticker]:[Weight]],2,FALSE),0%)</f>
        <v>0</v>
      </c>
      <c r="AFH5" s="179">
        <f>IFERROR(VLOOKUP(AFH$1,Future[[Ticker]:[Weight]],2,FALSE),0%)</f>
        <v>0</v>
      </c>
      <c r="AFI5" s="179">
        <f>IFERROR(VLOOKUP(AFI$1,Future[[Ticker]:[Weight]],2,FALSE),0%)</f>
        <v>0</v>
      </c>
      <c r="AFJ5" s="179">
        <f>IFERROR(VLOOKUP(AFJ$1,Future[[Ticker]:[Weight]],2,FALSE),0%)</f>
        <v>0</v>
      </c>
      <c r="AFK5" s="179">
        <f>IFERROR(VLOOKUP(AFK$1,Future[[Ticker]:[Weight]],2,FALSE),0%)</f>
        <v>0</v>
      </c>
      <c r="AFL5" s="179">
        <f>IFERROR(VLOOKUP(AFL$1,Future[[Ticker]:[Weight]],2,FALSE),0%)</f>
        <v>0</v>
      </c>
      <c r="AFM5" s="179">
        <f>IFERROR(VLOOKUP(AFM$1,Future[[Ticker]:[Weight]],2,FALSE),0%)</f>
        <v>0</v>
      </c>
      <c r="AFN5" s="179">
        <f>IFERROR(VLOOKUP(AFN$1,Future[[Ticker]:[Weight]],2,FALSE),0%)</f>
        <v>0</v>
      </c>
      <c r="AFO5" s="179">
        <f>IFERROR(VLOOKUP(AFO$1,Future[[Ticker]:[Weight]],2,FALSE),0%)</f>
        <v>0</v>
      </c>
      <c r="AFP5" s="179">
        <f>IFERROR(VLOOKUP(AFP$1,Future[[Ticker]:[Weight]],2,FALSE),0%)</f>
        <v>0</v>
      </c>
      <c r="AFQ5" s="179">
        <f>IFERROR(VLOOKUP(AFQ$1,Future[[Ticker]:[Weight]],2,FALSE),0%)</f>
        <v>0</v>
      </c>
      <c r="AFR5" s="179">
        <f>IFERROR(VLOOKUP(AFR$1,Future[[Ticker]:[Weight]],2,FALSE),0%)</f>
        <v>0</v>
      </c>
      <c r="AFS5" s="179">
        <f>IFERROR(VLOOKUP(AFS$1,Future[[Ticker]:[Weight]],2,FALSE),0%)</f>
        <v>0</v>
      </c>
      <c r="AFT5" s="179">
        <f>IFERROR(VLOOKUP(AFT$1,Future[[Ticker]:[Weight]],2,FALSE),0%)</f>
        <v>0</v>
      </c>
      <c r="AFU5" s="179">
        <f>IFERROR(VLOOKUP(AFU$1,Future[[Ticker]:[Weight]],2,FALSE),0%)</f>
        <v>0</v>
      </c>
      <c r="AFV5" s="179">
        <f>IFERROR(VLOOKUP(AFV$1,Future[[Ticker]:[Weight]],2,FALSE),0%)</f>
        <v>0.1363</v>
      </c>
      <c r="AFW5" s="179">
        <f>IFERROR(VLOOKUP(AFW$1,Future[[Ticker]:[Weight]],2,FALSE),0%)</f>
        <v>0</v>
      </c>
      <c r="AFX5" s="179">
        <f>IFERROR(VLOOKUP(AFX$1,Future[[Ticker]:[Weight]],2,FALSE),0%)</f>
        <v>0</v>
      </c>
      <c r="AFY5" s="179">
        <f>IFERROR(VLOOKUP(AFY$1,Future[[Ticker]:[Weight]],2,FALSE),0%)</f>
        <v>0</v>
      </c>
      <c r="AFZ5" s="179">
        <f>IFERROR(VLOOKUP(AFZ$1,Future[[Ticker]:[Weight]],2,FALSE),0%)</f>
        <v>0</v>
      </c>
      <c r="AGA5" s="179">
        <f>IFERROR(VLOOKUP(AGA$1,Future[[Ticker]:[Weight]],2,FALSE),0%)</f>
        <v>0</v>
      </c>
      <c r="AGB5" s="179">
        <f>IFERROR(VLOOKUP(AGB$1,Future[[Ticker]:[Weight]],2,FALSE),0%)</f>
        <v>0</v>
      </c>
      <c r="AGC5" s="179">
        <f>IFERROR(VLOOKUP(AGC$1,Future[[Ticker]:[Weight]],2,FALSE),0%)</f>
        <v>0</v>
      </c>
      <c r="AGD5" s="179">
        <f>IFERROR(VLOOKUP(AGD$1,Future[[Ticker]:[Weight]],2,FALSE),0%)</f>
        <v>0</v>
      </c>
      <c r="AGE5" s="179">
        <f>IFERROR(VLOOKUP(AGE$1,Future[[Ticker]:[Weight]],2,FALSE),0%)</f>
        <v>0</v>
      </c>
      <c r="AGF5" s="179">
        <f>IFERROR(VLOOKUP(AGF$1,Future[[Ticker]:[Weight]],2,FALSE),0%)</f>
        <v>0</v>
      </c>
      <c r="AGG5" s="179">
        <f>IFERROR(VLOOKUP(AGG$1,Future[[Ticker]:[Weight]],2,FALSE),0%)</f>
        <v>0</v>
      </c>
      <c r="AGH5" s="179">
        <f>IFERROR(VLOOKUP(AGH$1,Future[[Ticker]:[Weight]],2,FALSE),0%)</f>
        <v>0</v>
      </c>
      <c r="AGI5" s="179">
        <f>IFERROR(VLOOKUP(AGI$1,Future[[Ticker]:[Weight]],2,FALSE),0%)</f>
        <v>0</v>
      </c>
      <c r="AGJ5" s="179">
        <f>IFERROR(VLOOKUP(AGJ$1,Future[[Ticker]:[Weight]],2,FALSE),0%)</f>
        <v>0</v>
      </c>
      <c r="AGK5" s="179">
        <f>IFERROR(VLOOKUP(AGK$1,Future[[Ticker]:[Weight]],2,FALSE),0%)</f>
        <v>0</v>
      </c>
      <c r="AGL5" s="179">
        <f>IFERROR(VLOOKUP(AGL$1,Future[[Ticker]:[Weight]],2,FALSE),0%)</f>
        <v>0</v>
      </c>
      <c r="AGM5" s="179">
        <f>IFERROR(VLOOKUP(AGM$1,Future[[Ticker]:[Weight]],2,FALSE),0%)</f>
        <v>0</v>
      </c>
      <c r="AGN5" s="179">
        <f>IFERROR(VLOOKUP(AGN$1,Future[[Ticker]:[Weight]],2,FALSE),0%)</f>
        <v>0</v>
      </c>
      <c r="AGO5" s="179">
        <f>IFERROR(VLOOKUP(AGO$1,Future[[Ticker]:[Weight]],2,FALSE),0%)</f>
        <v>0</v>
      </c>
      <c r="AGP5" s="179">
        <f>IFERROR(VLOOKUP(AGP$1,Future[[Ticker]:[Weight]],2,FALSE),0%)</f>
        <v>0</v>
      </c>
      <c r="AGQ5" s="179">
        <f>IFERROR(VLOOKUP(AGQ$1,Future[[Ticker]:[Weight]],2,FALSE),0%)</f>
        <v>0</v>
      </c>
      <c r="AGR5" s="179">
        <f>IFERROR(VLOOKUP(AGR$1,Future[[Ticker]:[Weight]],2,FALSE),0%)</f>
        <v>0</v>
      </c>
      <c r="AGS5" s="179">
        <f>IFERROR(VLOOKUP(AGS$1,Future[[Ticker]:[Weight]],2,FALSE),0%)</f>
        <v>0</v>
      </c>
      <c r="AGT5" s="179">
        <f>IFERROR(VLOOKUP(AGT$1,Future[[Ticker]:[Weight]],2,FALSE),0%)</f>
        <v>0</v>
      </c>
      <c r="AGU5" s="179">
        <f>IFERROR(VLOOKUP(AGU$1,Future[[Ticker]:[Weight]],2,FALSE),0%)</f>
        <v>0</v>
      </c>
      <c r="AGV5" s="179">
        <f>IFERROR(VLOOKUP(AGV$1,Future[[Ticker]:[Weight]],2,FALSE),0%)</f>
        <v>0</v>
      </c>
      <c r="AGW5" s="179">
        <f>IFERROR(VLOOKUP(AGW$1,Future[[Ticker]:[Weight]],2,FALSE),0%)</f>
        <v>0</v>
      </c>
      <c r="AGX5" s="179">
        <f>IFERROR(VLOOKUP(AGX$1,Future[[Ticker]:[Weight]],2,FALSE),0%)</f>
        <v>0</v>
      </c>
      <c r="AGY5" s="179">
        <f>IFERROR(VLOOKUP(AGY$1,Future[[Ticker]:[Weight]],2,FALSE),0%)</f>
        <v>0</v>
      </c>
      <c r="AGZ5" s="179">
        <f>IFERROR(VLOOKUP(AGZ$1,Future[[Ticker]:[Weight]],2,FALSE),0%)</f>
        <v>0</v>
      </c>
      <c r="AHA5" s="179">
        <f>IFERROR(VLOOKUP(AHA$1,Future[[Ticker]:[Weight]],2,FALSE),0%)</f>
        <v>0</v>
      </c>
      <c r="AHB5" s="179">
        <f>IFERROR(VLOOKUP(AHB$1,Future[[Ticker]:[Weight]],2,FALSE),0%)</f>
        <v>0</v>
      </c>
      <c r="AHC5" s="179">
        <f>IFERROR(VLOOKUP(AHC$1,Future[[Ticker]:[Weight]],2,FALSE),0%)</f>
        <v>0</v>
      </c>
      <c r="AHD5" s="179">
        <f>IFERROR(VLOOKUP(AHD$1,Future[[Ticker]:[Weight]],2,FALSE),0%)</f>
        <v>0</v>
      </c>
      <c r="AHE5" s="179">
        <f>IFERROR(VLOOKUP(AHE$1,Future[[Ticker]:[Weight]],2,FALSE),0%)</f>
        <v>0</v>
      </c>
      <c r="AHF5" s="179">
        <f>IFERROR(VLOOKUP(AHF$1,Future[[Ticker]:[Weight]],2,FALSE),0%)</f>
        <v>0</v>
      </c>
      <c r="AHG5" s="179">
        <f>IFERROR(VLOOKUP(AHG$1,Future[[Ticker]:[Weight]],2,FALSE),0%)</f>
        <v>0</v>
      </c>
      <c r="AHH5" s="179">
        <f>IFERROR(VLOOKUP(AHH$1,Future[[Ticker]:[Weight]],2,FALSE),0%)</f>
        <v>0</v>
      </c>
      <c r="AHI5" s="179">
        <f>IFERROR(VLOOKUP(AHI$1,Future[[Ticker]:[Weight]],2,FALSE),0%)</f>
        <v>0</v>
      </c>
      <c r="AHJ5" s="179">
        <f>IFERROR(VLOOKUP(AHJ$1,Future[[Ticker]:[Weight]],2,FALSE),0%)</f>
        <v>0</v>
      </c>
      <c r="AHK5" s="179">
        <f>IFERROR(VLOOKUP(AHK$1,Future[[Ticker]:[Weight]],2,FALSE),0%)</f>
        <v>0</v>
      </c>
      <c r="AHL5" s="179">
        <f>IFERROR(VLOOKUP(AHL$1,Future[[Ticker]:[Weight]],2,FALSE),0%)</f>
        <v>0</v>
      </c>
      <c r="AHM5" s="179">
        <f>IFERROR(VLOOKUP(AHM$1,Future[[Ticker]:[Weight]],2,FALSE),0%)</f>
        <v>0</v>
      </c>
      <c r="AHN5" s="179">
        <f>IFERROR(VLOOKUP(AHN$1,Future[[Ticker]:[Weight]],2,FALSE),0%)</f>
        <v>0</v>
      </c>
      <c r="AHO5" s="179">
        <f>IFERROR(VLOOKUP(AHO$1,Future[[Ticker]:[Weight]],2,FALSE),0%)</f>
        <v>0</v>
      </c>
      <c r="AHP5" s="179">
        <f>IFERROR(VLOOKUP(AHP$1,Future[[Ticker]:[Weight]],2,FALSE),0%)</f>
        <v>0</v>
      </c>
      <c r="AHQ5" s="179">
        <f>IFERROR(VLOOKUP(AHQ$1,Future[[Ticker]:[Weight]],2,FALSE),0%)</f>
        <v>0</v>
      </c>
      <c r="AHR5" s="179">
        <f>IFERROR(VLOOKUP(AHR$1,Future[[Ticker]:[Weight]],2,FALSE),0%)</f>
        <v>0</v>
      </c>
      <c r="AHS5" s="179">
        <f>IFERROR(VLOOKUP(AHS$1,Future[[Ticker]:[Weight]],2,FALSE),0%)</f>
        <v>0</v>
      </c>
      <c r="AHT5" s="179">
        <f>IFERROR(VLOOKUP(AHT$1,Future[[Ticker]:[Weight]],2,FALSE),0%)</f>
        <v>0</v>
      </c>
      <c r="AHU5" s="179">
        <f>IFERROR(VLOOKUP(AHU$1,Future[[Ticker]:[Weight]],2,FALSE),0%)</f>
        <v>0</v>
      </c>
      <c r="AHV5" s="179">
        <f>IFERROR(VLOOKUP(AHV$1,Future[[Ticker]:[Weight]],2,FALSE),0%)</f>
        <v>0</v>
      </c>
      <c r="AHW5" s="179">
        <f>IFERROR(VLOOKUP(AHW$1,Future[[Ticker]:[Weight]],2,FALSE),0%)</f>
        <v>0</v>
      </c>
      <c r="AHX5" s="179">
        <f>IFERROR(VLOOKUP(AHX$1,Future[[Ticker]:[Weight]],2,FALSE),0%)</f>
        <v>0</v>
      </c>
      <c r="AHY5" s="179">
        <f>IFERROR(VLOOKUP(AHY$1,Future[[Ticker]:[Weight]],2,FALSE),0%)</f>
        <v>0</v>
      </c>
      <c r="AHZ5" s="179">
        <f>IFERROR(VLOOKUP(AHZ$1,Future[[Ticker]:[Weight]],2,FALSE),0%)</f>
        <v>0</v>
      </c>
      <c r="AIA5" s="179">
        <f>IFERROR(VLOOKUP(AIA$1,Future[[Ticker]:[Weight]],2,FALSE),0%)</f>
        <v>0</v>
      </c>
      <c r="AIB5" s="179">
        <f>IFERROR(VLOOKUP(AIB$1,Future[[Ticker]:[Weight]],2,FALSE),0%)</f>
        <v>0</v>
      </c>
      <c r="AIC5" s="179">
        <f>IFERROR(VLOOKUP(AIC$1,Future[[Ticker]:[Weight]],2,FALSE),0%)</f>
        <v>0</v>
      </c>
      <c r="AID5" s="179">
        <f>IFERROR(VLOOKUP(AID$1,Future[[Ticker]:[Weight]],2,FALSE),0%)</f>
        <v>0</v>
      </c>
      <c r="AIE5" s="179">
        <f>IFERROR(VLOOKUP(AIE$1,Future[[Ticker]:[Weight]],2,FALSE),0%)</f>
        <v>0</v>
      </c>
      <c r="AIF5" s="179">
        <f>IFERROR(VLOOKUP(AIF$1,Future[[Ticker]:[Weight]],2,FALSE),0%)</f>
        <v>0</v>
      </c>
      <c r="AIG5" s="179">
        <f>IFERROR(VLOOKUP(AIG$1,Future[[Ticker]:[Weight]],2,FALSE),0%)</f>
        <v>0</v>
      </c>
      <c r="AIH5" s="179">
        <f>IFERROR(VLOOKUP(AIH$1,Future[[Ticker]:[Weight]],2,FALSE),0%)</f>
        <v>0</v>
      </c>
      <c r="AII5" s="179">
        <f>IFERROR(VLOOKUP(AII$1,Future[[Ticker]:[Weight]],2,FALSE),0%)</f>
        <v>0</v>
      </c>
      <c r="AIJ5" s="179">
        <f>IFERROR(VLOOKUP(AIJ$1,Future[[Ticker]:[Weight]],2,FALSE),0%)</f>
        <v>0</v>
      </c>
      <c r="AIK5" s="179">
        <f>IFERROR(VLOOKUP(AIK$1,Future[[Ticker]:[Weight]],2,FALSE),0%)</f>
        <v>0</v>
      </c>
      <c r="AIL5" s="179">
        <f>IFERROR(VLOOKUP(AIL$1,Future[[Ticker]:[Weight]],2,FALSE),0%)</f>
        <v>0</v>
      </c>
      <c r="AIM5" s="179">
        <f>IFERROR(VLOOKUP(AIM$1,Future[[Ticker]:[Weight]],2,FALSE),0%)</f>
        <v>0</v>
      </c>
      <c r="AIN5" s="179">
        <f>IFERROR(VLOOKUP(AIN$1,Future[[Ticker]:[Weight]],2,FALSE),0%)</f>
        <v>0</v>
      </c>
      <c r="AIO5" s="179">
        <f>IFERROR(VLOOKUP(AIO$1,Future[[Ticker]:[Weight]],2,FALSE),0%)</f>
        <v>0</v>
      </c>
      <c r="AIP5" s="179">
        <f>IFERROR(VLOOKUP(AIP$1,Future[[Ticker]:[Weight]],2,FALSE),0%)</f>
        <v>0</v>
      </c>
      <c r="AIQ5" s="179">
        <f>IFERROR(VLOOKUP(AIQ$1,Future[[Ticker]:[Weight]],2,FALSE),0%)</f>
        <v>0</v>
      </c>
      <c r="AIR5" s="179">
        <f>IFERROR(VLOOKUP(AIR$1,Future[[Ticker]:[Weight]],2,FALSE),0%)</f>
        <v>0</v>
      </c>
      <c r="AIS5" s="179">
        <f>IFERROR(VLOOKUP(AIS$1,Future[[Ticker]:[Weight]],2,FALSE),0%)</f>
        <v>0</v>
      </c>
      <c r="AIT5" s="179">
        <f>IFERROR(VLOOKUP(AIT$1,Future[[Ticker]:[Weight]],2,FALSE),0%)</f>
        <v>0</v>
      </c>
      <c r="AIU5" s="179">
        <f>IFERROR(VLOOKUP(AIU$1,Future[[Ticker]:[Weight]],2,FALSE),0%)</f>
        <v>0</v>
      </c>
      <c r="AIV5" s="179">
        <f>IFERROR(VLOOKUP(AIV$1,Future[[Ticker]:[Weight]],2,FALSE),0%)</f>
        <v>0</v>
      </c>
      <c r="AIW5" s="179">
        <f>IFERROR(VLOOKUP(AIW$1,Future[[Ticker]:[Weight]],2,FALSE),0%)</f>
        <v>0</v>
      </c>
      <c r="AIX5" s="179">
        <f>IFERROR(VLOOKUP(AIX$1,Future[[Ticker]:[Weight]],2,FALSE),0%)</f>
        <v>0</v>
      </c>
      <c r="AIY5" s="179">
        <f>IFERROR(VLOOKUP(AIY$1,Future[[Ticker]:[Weight]],2,FALSE),0%)</f>
        <v>0</v>
      </c>
      <c r="AIZ5" s="179">
        <f>IFERROR(VLOOKUP(AIZ$1,Future[[Ticker]:[Weight]],2,FALSE),0%)</f>
        <v>0</v>
      </c>
      <c r="AJA5" s="179">
        <f>IFERROR(VLOOKUP(AJA$1,Future[[Ticker]:[Weight]],2,FALSE),0%)</f>
        <v>0</v>
      </c>
      <c r="AJB5" s="179">
        <f>IFERROR(VLOOKUP(AJB$1,Future[[Ticker]:[Weight]],2,FALSE),0%)</f>
        <v>0</v>
      </c>
      <c r="AJC5" s="179">
        <f>IFERROR(VLOOKUP(AJC$1,Future[[Ticker]:[Weight]],2,FALSE),0%)</f>
        <v>0</v>
      </c>
      <c r="AJD5" s="179">
        <f>IFERROR(VLOOKUP(AJD$1,Future[[Ticker]:[Weight]],2,FALSE),0%)</f>
        <v>0</v>
      </c>
      <c r="AJE5" s="179">
        <f>IFERROR(VLOOKUP(AJE$1,Future[[Ticker]:[Weight]],2,FALSE),0%)</f>
        <v>0</v>
      </c>
      <c r="AJF5" s="179">
        <f>IFERROR(VLOOKUP(AJF$1,Future[[Ticker]:[Weight]],2,FALSE),0%)</f>
        <v>0</v>
      </c>
      <c r="AJG5" s="179">
        <f>IFERROR(VLOOKUP(AJG$1,Future[[Ticker]:[Weight]],2,FALSE),0%)</f>
        <v>0</v>
      </c>
      <c r="AJH5" s="179">
        <f>IFERROR(VLOOKUP(AJH$1,Future[[Ticker]:[Weight]],2,FALSE),0%)</f>
        <v>0</v>
      </c>
      <c r="AJI5" s="179">
        <f>IFERROR(VLOOKUP(AJI$1,Future[[Ticker]:[Weight]],2,FALSE),0%)</f>
        <v>0</v>
      </c>
      <c r="AJJ5" s="179">
        <f>IFERROR(VLOOKUP(AJJ$1,Future[[Ticker]:[Weight]],2,FALSE),0%)</f>
        <v>0</v>
      </c>
      <c r="AJK5" s="179">
        <f>IFERROR(VLOOKUP(AJK$1,Future[[Ticker]:[Weight]],2,FALSE),0%)</f>
        <v>0</v>
      </c>
      <c r="AJL5" s="179">
        <f>IFERROR(VLOOKUP(AJL$1,Future[[Ticker]:[Weight]],2,FALSE),0%)</f>
        <v>0</v>
      </c>
      <c r="AJM5" s="179">
        <f>IFERROR(VLOOKUP(AJM$1,Future[[Ticker]:[Weight]],2,FALSE),0%)</f>
        <v>0</v>
      </c>
      <c r="AJN5" s="179">
        <f>IFERROR(VLOOKUP(AJN$1,Future[[Ticker]:[Weight]],2,FALSE),0%)</f>
        <v>0</v>
      </c>
      <c r="AJO5" s="179">
        <f>IFERROR(VLOOKUP(AJO$1,Future[[Ticker]:[Weight]],2,FALSE),0%)</f>
        <v>0</v>
      </c>
      <c r="AJP5" s="179">
        <f>IFERROR(VLOOKUP(AJP$1,Future[[Ticker]:[Weight]],2,FALSE),0%)</f>
        <v>0</v>
      </c>
      <c r="AJQ5" s="179">
        <f>IFERROR(VLOOKUP(AJQ$1,Future[[Ticker]:[Weight]],2,FALSE),0%)</f>
        <v>0</v>
      </c>
      <c r="AJR5" s="179">
        <f>IFERROR(VLOOKUP(AJR$1,Future[[Ticker]:[Weight]],2,FALSE),0%)</f>
        <v>0</v>
      </c>
      <c r="AJS5" s="179">
        <f>IFERROR(VLOOKUP(AJS$1,Future[[Ticker]:[Weight]],2,FALSE),0%)</f>
        <v>0</v>
      </c>
      <c r="AJT5" s="179">
        <f>IFERROR(VLOOKUP(AJT$1,Future[[Ticker]:[Weight]],2,FALSE),0%)</f>
        <v>0</v>
      </c>
      <c r="AJU5" s="179">
        <f>IFERROR(VLOOKUP(AJU$1,Future[[Ticker]:[Weight]],2,FALSE),0%)</f>
        <v>0</v>
      </c>
      <c r="AJV5" s="179">
        <f>IFERROR(VLOOKUP(AJV$1,Future[[Ticker]:[Weight]],2,FALSE),0%)</f>
        <v>0</v>
      </c>
      <c r="AJW5" s="179">
        <f>IFERROR(VLOOKUP(AJW$1,Future[[Ticker]:[Weight]],2,FALSE),0%)</f>
        <v>0</v>
      </c>
      <c r="AJX5" s="179">
        <f>IFERROR(VLOOKUP(AJX$1,Future[[Ticker]:[Weight]],2,FALSE),0%)</f>
        <v>0</v>
      </c>
      <c r="AJY5" s="179">
        <f>IFERROR(VLOOKUP(AJY$1,Future[[Ticker]:[Weight]],2,FALSE),0%)</f>
        <v>0</v>
      </c>
      <c r="AJZ5" s="179">
        <f>IFERROR(VLOOKUP(AJZ$1,Future[[Ticker]:[Weight]],2,FALSE),0%)</f>
        <v>0</v>
      </c>
      <c r="AKA5" s="179">
        <f>IFERROR(VLOOKUP(AKA$1,Future[[Ticker]:[Weight]],2,FALSE),0%)</f>
        <v>0</v>
      </c>
      <c r="AKB5" s="179">
        <f>IFERROR(VLOOKUP(AKB$1,Future[[Ticker]:[Weight]],2,FALSE),0%)</f>
        <v>0</v>
      </c>
      <c r="AKC5" s="179">
        <f>IFERROR(VLOOKUP(AKC$1,Future[[Ticker]:[Weight]],2,FALSE),0%)</f>
        <v>0</v>
      </c>
      <c r="AKD5" s="179">
        <f>IFERROR(VLOOKUP(AKD$1,Future[[Ticker]:[Weight]],2,FALSE),0%)</f>
        <v>0</v>
      </c>
      <c r="AKE5" s="179">
        <f>IFERROR(VLOOKUP(AKE$1,Future[[Ticker]:[Weight]],2,FALSE),0%)</f>
        <v>0</v>
      </c>
      <c r="AKF5" s="179">
        <f>IFERROR(VLOOKUP(AKF$1,Future[[Ticker]:[Weight]],2,FALSE),0%)</f>
        <v>0</v>
      </c>
      <c r="AKG5" s="179">
        <f>IFERROR(VLOOKUP(AKG$1,Future[[Ticker]:[Weight]],2,FALSE),0%)</f>
        <v>0</v>
      </c>
      <c r="AKH5" s="179">
        <f>IFERROR(VLOOKUP(AKH$1,Future[[Ticker]:[Weight]],2,FALSE),0%)</f>
        <v>0</v>
      </c>
      <c r="AKI5" s="179">
        <f>IFERROR(VLOOKUP(AKI$1,Future[[Ticker]:[Weight]],2,FALSE),0%)</f>
        <v>0</v>
      </c>
      <c r="AKJ5" s="179">
        <f>IFERROR(VLOOKUP(AKJ$1,Future[[Ticker]:[Weight]],2,FALSE),0%)</f>
        <v>0</v>
      </c>
      <c r="AKK5" s="179">
        <f>IFERROR(VLOOKUP(AKK$1,Future[[Ticker]:[Weight]],2,FALSE),0%)</f>
        <v>0</v>
      </c>
      <c r="AKL5" s="179">
        <f>IFERROR(VLOOKUP(AKL$1,Future[[Ticker]:[Weight]],2,FALSE),0%)</f>
        <v>0</v>
      </c>
      <c r="AKM5" s="179">
        <f>IFERROR(VLOOKUP(AKM$1,Future[[Ticker]:[Weight]],2,FALSE),0%)</f>
        <v>0</v>
      </c>
      <c r="AKN5" s="179">
        <f>IFERROR(VLOOKUP(AKN$1,Future[[Ticker]:[Weight]],2,FALSE),0%)</f>
        <v>0</v>
      </c>
      <c r="AKO5" s="179">
        <f>IFERROR(VLOOKUP(AKO$1,Future[[Ticker]:[Weight]],2,FALSE),0%)</f>
        <v>0</v>
      </c>
      <c r="AKP5" s="179">
        <f>IFERROR(VLOOKUP(AKP$1,Future[[Ticker]:[Weight]],2,FALSE),0%)</f>
        <v>0</v>
      </c>
      <c r="AKQ5" s="179">
        <f>IFERROR(VLOOKUP(AKQ$1,Future[[Ticker]:[Weight]],2,FALSE),0%)</f>
        <v>0</v>
      </c>
      <c r="AKR5" s="179">
        <f>IFERROR(VLOOKUP(AKR$1,Future[[Ticker]:[Weight]],2,FALSE),0%)</f>
        <v>0</v>
      </c>
      <c r="AKS5" s="179">
        <f>IFERROR(VLOOKUP(AKS$1,Future[[Ticker]:[Weight]],2,FALSE),0%)</f>
        <v>0</v>
      </c>
      <c r="AKT5" s="179">
        <f>IFERROR(VLOOKUP(AKT$1,Future[[Ticker]:[Weight]],2,FALSE),0%)</f>
        <v>0</v>
      </c>
      <c r="AKU5" s="179">
        <f>IFERROR(VLOOKUP(AKU$1,Future[[Ticker]:[Weight]],2,FALSE),0%)</f>
        <v>0</v>
      </c>
      <c r="AKV5" s="179">
        <f>IFERROR(VLOOKUP(AKV$1,Future[[Ticker]:[Weight]],2,FALSE),0%)</f>
        <v>0</v>
      </c>
      <c r="AKW5" s="179">
        <f>IFERROR(VLOOKUP(AKW$1,Future[[Ticker]:[Weight]],2,FALSE),0%)</f>
        <v>0</v>
      </c>
      <c r="AKX5" s="179">
        <f>IFERROR(VLOOKUP(AKX$1,Future[[Ticker]:[Weight]],2,FALSE),0%)</f>
        <v>0</v>
      </c>
      <c r="AKY5" s="179">
        <f>IFERROR(VLOOKUP(AKY$1,Future[[Ticker]:[Weight]],2,FALSE),0%)</f>
        <v>0</v>
      </c>
      <c r="AKZ5" s="179">
        <f>IFERROR(VLOOKUP(AKZ$1,Future[[Ticker]:[Weight]],2,FALSE),0%)</f>
        <v>0</v>
      </c>
      <c r="ALA5" s="179">
        <f>IFERROR(VLOOKUP(ALA$1,Future[[Ticker]:[Weight]],2,FALSE),0%)</f>
        <v>0</v>
      </c>
      <c r="ALB5" s="179">
        <f>IFERROR(VLOOKUP(ALB$1,Future[[Ticker]:[Weight]],2,FALSE),0%)</f>
        <v>0</v>
      </c>
      <c r="ALC5" s="179">
        <f>IFERROR(VLOOKUP(ALC$1,Future[[Ticker]:[Weight]],2,FALSE),0%)</f>
        <v>0</v>
      </c>
      <c r="ALD5" s="179">
        <f>IFERROR(VLOOKUP(ALD$1,Future[[Ticker]:[Weight]],2,FALSE),0%)</f>
        <v>0</v>
      </c>
      <c r="ALE5" s="179">
        <f>IFERROR(VLOOKUP(ALE$1,Future[[Ticker]:[Weight]],2,FALSE),0%)</f>
        <v>0</v>
      </c>
      <c r="ALF5" s="179">
        <f>IFERROR(VLOOKUP(ALF$1,Future[[Ticker]:[Weight]],2,FALSE),0%)</f>
        <v>0</v>
      </c>
      <c r="ALG5" s="179">
        <f>IFERROR(VLOOKUP(ALG$1,Future[[Ticker]:[Weight]],2,FALSE),0%)</f>
        <v>0</v>
      </c>
      <c r="ALH5" s="179">
        <f>IFERROR(VLOOKUP(ALH$1,Future[[Ticker]:[Weight]],2,FALSE),0%)</f>
        <v>0</v>
      </c>
      <c r="ALI5" s="179">
        <f>IFERROR(VLOOKUP(ALI$1,Future[[Ticker]:[Weight]],2,FALSE),0%)</f>
        <v>0</v>
      </c>
      <c r="ALJ5" s="179">
        <f>IFERROR(VLOOKUP(ALJ$1,Future[[Ticker]:[Weight]],2,FALSE),0%)</f>
        <v>0</v>
      </c>
      <c r="ALK5" s="179">
        <f>IFERROR(VLOOKUP(ALK$1,Future[[Ticker]:[Weight]],2,FALSE),0%)</f>
        <v>0</v>
      </c>
      <c r="ALL5" s="179">
        <f>IFERROR(VLOOKUP(ALL$1,Future[[Ticker]:[Weight]],2,FALSE),0%)</f>
        <v>0</v>
      </c>
      <c r="ALM5" s="179">
        <f>IFERROR(VLOOKUP(ALM$1,Future[[Ticker]:[Weight]],2,FALSE),0%)</f>
        <v>0</v>
      </c>
      <c r="ALN5" s="179">
        <f>IFERROR(VLOOKUP(ALN$1,Future[[Ticker]:[Weight]],2,FALSE),0%)</f>
        <v>0</v>
      </c>
      <c r="ALO5" s="179">
        <f>IFERROR(VLOOKUP(ALO$1,Future[[Ticker]:[Weight]],2,FALSE),0%)</f>
        <v>0</v>
      </c>
      <c r="ALP5" s="179">
        <f>IFERROR(VLOOKUP(ALP$1,Future[[Ticker]:[Weight]],2,FALSE),0%)</f>
        <v>0</v>
      </c>
      <c r="ALQ5" s="179">
        <f>IFERROR(VLOOKUP(ALQ$1,Future[[Ticker]:[Weight]],2,FALSE),0%)</f>
        <v>0</v>
      </c>
      <c r="ALR5" s="179">
        <f>IFERROR(VLOOKUP(ALR$1,Future[[Ticker]:[Weight]],2,FALSE),0%)</f>
        <v>0</v>
      </c>
      <c r="ALS5" s="179">
        <f>IFERROR(VLOOKUP(ALS$1,Future[[Ticker]:[Weight]],2,FALSE),0%)</f>
        <v>0</v>
      </c>
      <c r="ALT5" s="179">
        <f>IFERROR(VLOOKUP(ALT$1,Future[[Ticker]:[Weight]],2,FALSE),0%)</f>
        <v>0</v>
      </c>
      <c r="ALU5" s="179">
        <f>IFERROR(VLOOKUP(ALU$1,Future[[Ticker]:[Weight]],2,FALSE),0%)</f>
        <v>0</v>
      </c>
      <c r="ALV5" s="179">
        <f>IFERROR(VLOOKUP(ALV$1,Future[[Ticker]:[Weight]],2,FALSE),0%)</f>
        <v>0</v>
      </c>
      <c r="ALW5" s="179">
        <f>IFERROR(VLOOKUP(ALW$1,Future[[Ticker]:[Weight]],2,FALSE),0%)</f>
        <v>0</v>
      </c>
      <c r="ALX5" s="179">
        <f>IFERROR(VLOOKUP(ALX$1,Future[[Ticker]:[Weight]],2,FALSE),0%)</f>
        <v>0</v>
      </c>
      <c r="ALY5" s="179">
        <f>IFERROR(VLOOKUP(ALY$1,Future[[Ticker]:[Weight]],2,FALSE),0%)</f>
        <v>0</v>
      </c>
      <c r="ALZ5" s="179">
        <f>IFERROR(VLOOKUP(ALZ$1,Future[[Ticker]:[Weight]],2,FALSE),0%)</f>
        <v>0</v>
      </c>
      <c r="AMA5" s="179">
        <f>IFERROR(VLOOKUP(AMA$1,Future[[Ticker]:[Weight]],2,FALSE),0%)</f>
        <v>0</v>
      </c>
      <c r="AMB5" s="179">
        <f>IFERROR(VLOOKUP(AMB$1,Future[[Ticker]:[Weight]],2,FALSE),0%)</f>
        <v>0</v>
      </c>
      <c r="AMC5" s="179">
        <f>IFERROR(VLOOKUP(AMC$1,Future[[Ticker]:[Weight]],2,FALSE),0%)</f>
        <v>0</v>
      </c>
      <c r="AMD5" s="179">
        <f>IFERROR(VLOOKUP(AMD$1,Future[[Ticker]:[Weight]],2,FALSE),0%)</f>
        <v>0</v>
      </c>
      <c r="AME5" s="179">
        <f>IFERROR(VLOOKUP(AME$1,Future[[Ticker]:[Weight]],2,FALSE),0%)</f>
        <v>0</v>
      </c>
      <c r="AMF5" s="179">
        <f>IFERROR(VLOOKUP(AMF$1,Future[[Ticker]:[Weight]],2,FALSE),0%)</f>
        <v>0</v>
      </c>
      <c r="AMG5" s="179">
        <f>IFERROR(VLOOKUP(AMG$1,Future[[Ticker]:[Weight]],2,FALSE),0%)</f>
        <v>0</v>
      </c>
      <c r="AMH5" s="179">
        <f>IFERROR(VLOOKUP(AMH$1,Future[[Ticker]:[Weight]],2,FALSE),0%)</f>
        <v>0</v>
      </c>
      <c r="AMI5" s="179">
        <f>IFERROR(VLOOKUP(AMI$1,Future[[Ticker]:[Weight]],2,FALSE),0%)</f>
        <v>0</v>
      </c>
      <c r="AMJ5" s="179">
        <f>IFERROR(VLOOKUP(AMJ$1,Future[[Ticker]:[Weight]],2,FALSE),0%)</f>
        <v>0</v>
      </c>
      <c r="AMK5" s="179">
        <f>IFERROR(VLOOKUP(AMK$1,Future[[Ticker]:[Weight]],2,FALSE),0%)</f>
        <v>0</v>
      </c>
      <c r="AML5" s="179">
        <f>IFERROR(VLOOKUP(AML$1,Future[[Ticker]:[Weight]],2,FALSE),0%)</f>
        <v>0</v>
      </c>
      <c r="AMM5" s="179">
        <f>IFERROR(VLOOKUP(AMM$1,Future[[Ticker]:[Weight]],2,FALSE),0%)</f>
        <v>0</v>
      </c>
      <c r="AMN5" s="179">
        <f>IFERROR(VLOOKUP(AMN$1,Future[[Ticker]:[Weight]],2,FALSE),0%)</f>
        <v>0</v>
      </c>
      <c r="AMO5" s="179">
        <f>IFERROR(VLOOKUP(AMO$1,Future[[Ticker]:[Weight]],2,FALSE),0%)</f>
        <v>0</v>
      </c>
      <c r="AMP5" s="179">
        <f>IFERROR(VLOOKUP(AMP$1,Future[[Ticker]:[Weight]],2,FALSE),0%)</f>
        <v>0</v>
      </c>
      <c r="AMQ5" s="179">
        <f>IFERROR(VLOOKUP(AMQ$1,Future[[Ticker]:[Weight]],2,FALSE),0%)</f>
        <v>0</v>
      </c>
      <c r="AMR5" s="179">
        <f>IFERROR(VLOOKUP(AMR$1,Future[[Ticker]:[Weight]],2,FALSE),0%)</f>
        <v>0</v>
      </c>
      <c r="AMS5" s="179">
        <f>IFERROR(VLOOKUP(AMS$1,Future[[Ticker]:[Weight]],2,FALSE),0%)</f>
        <v>0</v>
      </c>
      <c r="AMT5" s="179">
        <f>IFERROR(VLOOKUP(AMT$1,Future[[Ticker]:[Weight]],2,FALSE),0%)</f>
        <v>0</v>
      </c>
      <c r="AMU5" s="179">
        <f>IFERROR(VLOOKUP(AMU$1,Future[[Ticker]:[Weight]],2,FALSE),0%)</f>
        <v>0</v>
      </c>
      <c r="AMV5" s="179">
        <f>IFERROR(VLOOKUP(AMV$1,Future[[Ticker]:[Weight]],2,FALSE),0%)</f>
        <v>0</v>
      </c>
      <c r="AMW5" s="179">
        <f>IFERROR(VLOOKUP(AMW$1,Future[[Ticker]:[Weight]],2,FALSE),0%)</f>
        <v>0</v>
      </c>
      <c r="AMX5" s="179">
        <f>IFERROR(VLOOKUP(AMX$1,Future[[Ticker]:[Weight]],2,FALSE),0%)</f>
        <v>0</v>
      </c>
      <c r="AMY5" s="179">
        <f>IFERROR(VLOOKUP(AMY$1,Future[[Ticker]:[Weight]],2,FALSE),0%)</f>
        <v>0</v>
      </c>
      <c r="AMZ5" s="179">
        <f>IFERROR(VLOOKUP(AMZ$1,Future[[Ticker]:[Weight]],2,FALSE),0%)</f>
        <v>0</v>
      </c>
      <c r="ANA5" s="179">
        <f>IFERROR(VLOOKUP(ANA$1,Future[[Ticker]:[Weight]],2,FALSE),0%)</f>
        <v>0</v>
      </c>
      <c r="ANB5" s="179">
        <f>IFERROR(VLOOKUP(ANB$1,Future[[Ticker]:[Weight]],2,FALSE),0%)</f>
        <v>0</v>
      </c>
      <c r="ANC5" s="179">
        <f>IFERROR(VLOOKUP(ANC$1,Future[[Ticker]:[Weight]],2,FALSE),0%)</f>
        <v>0</v>
      </c>
      <c r="AND5" s="179">
        <f>IFERROR(VLOOKUP(AND$1,Future[[Ticker]:[Weight]],2,FALSE),0%)</f>
        <v>0</v>
      </c>
      <c r="ANE5" s="179">
        <f>IFERROR(VLOOKUP(ANE$1,Future[[Ticker]:[Weight]],2,FALSE),0%)</f>
        <v>0</v>
      </c>
      <c r="ANF5" s="179">
        <f>IFERROR(VLOOKUP(ANF$1,Future[[Ticker]:[Weight]],2,FALSE),0%)</f>
        <v>0</v>
      </c>
      <c r="ANG5" s="179">
        <f>IFERROR(VLOOKUP(ANG$1,Future[[Ticker]:[Weight]],2,FALSE),0%)</f>
        <v>0</v>
      </c>
      <c r="ANH5" s="179">
        <f>IFERROR(VLOOKUP(ANH$1,Future[[Ticker]:[Weight]],2,FALSE),0%)</f>
        <v>0</v>
      </c>
      <c r="ANI5" s="179">
        <f>IFERROR(VLOOKUP(ANI$1,Future[[Ticker]:[Weight]],2,FALSE),0%)</f>
        <v>0</v>
      </c>
      <c r="ANJ5" s="179">
        <f>IFERROR(VLOOKUP(ANJ$1,Future[[Ticker]:[Weight]],2,FALSE),0%)</f>
        <v>0</v>
      </c>
      <c r="ANK5" s="179">
        <f>IFERROR(VLOOKUP(ANK$1,Future[[Ticker]:[Weight]],2,FALSE),0%)</f>
        <v>0</v>
      </c>
      <c r="ANL5" s="179">
        <f>IFERROR(VLOOKUP(ANL$1,Future[[Ticker]:[Weight]],2,FALSE),0%)</f>
        <v>0</v>
      </c>
      <c r="ANM5" s="179">
        <f>IFERROR(VLOOKUP(ANM$1,Future[[Ticker]:[Weight]],2,FALSE),0%)</f>
        <v>0</v>
      </c>
      <c r="ANN5" s="179">
        <f>IFERROR(VLOOKUP(ANN$1,Future[[Ticker]:[Weight]],2,FALSE),0%)</f>
        <v>0</v>
      </c>
      <c r="ANO5" s="179">
        <f>IFERROR(VLOOKUP(ANO$1,Future[[Ticker]:[Weight]],2,FALSE),0%)</f>
        <v>0</v>
      </c>
      <c r="ANP5" s="179">
        <f>IFERROR(VLOOKUP(ANP$1,Future[[Ticker]:[Weight]],2,FALSE),0%)</f>
        <v>0</v>
      </c>
      <c r="ANQ5" s="179">
        <f>IFERROR(VLOOKUP(ANQ$1,Future[[Ticker]:[Weight]],2,FALSE),0%)</f>
        <v>0</v>
      </c>
      <c r="ANR5" s="179">
        <f>IFERROR(VLOOKUP(ANR$1,Future[[Ticker]:[Weight]],2,FALSE),0%)</f>
        <v>0</v>
      </c>
      <c r="ANS5" s="179">
        <f>IFERROR(VLOOKUP(ANS$1,Future[[Ticker]:[Weight]],2,FALSE),0%)</f>
        <v>0</v>
      </c>
      <c r="ANT5" s="179">
        <f>IFERROR(VLOOKUP(ANT$1,Future[[Ticker]:[Weight]],2,FALSE),0%)</f>
        <v>0</v>
      </c>
      <c r="ANU5" s="179">
        <f>IFERROR(VLOOKUP(ANU$1,Future[[Ticker]:[Weight]],2,FALSE),0%)</f>
        <v>0</v>
      </c>
      <c r="ANV5" s="179">
        <f>IFERROR(VLOOKUP(ANV$1,Future[[Ticker]:[Weight]],2,FALSE),0%)</f>
        <v>0</v>
      </c>
      <c r="ANW5" s="179">
        <f>IFERROR(VLOOKUP(ANW$1,Future[[Ticker]:[Weight]],2,FALSE),0%)</f>
        <v>0</v>
      </c>
      <c r="ANX5" s="179">
        <f>IFERROR(VLOOKUP(ANX$1,Future[[Ticker]:[Weight]],2,FALSE),0%)</f>
        <v>0</v>
      </c>
      <c r="ANY5" s="179">
        <f>IFERROR(VLOOKUP(ANY$1,Future[[Ticker]:[Weight]],2,FALSE),0%)</f>
        <v>0</v>
      </c>
      <c r="ANZ5" s="179">
        <f>IFERROR(VLOOKUP(ANZ$1,Future[[Ticker]:[Weight]],2,FALSE),0%)</f>
        <v>0</v>
      </c>
      <c r="AOA5" s="179">
        <f>IFERROR(VLOOKUP(AOA$1,Future[[Ticker]:[Weight]],2,FALSE),0%)</f>
        <v>0</v>
      </c>
      <c r="AOB5" s="179">
        <f>IFERROR(VLOOKUP(AOB$1,Future[[Ticker]:[Weight]],2,FALSE),0%)</f>
        <v>0</v>
      </c>
      <c r="AOC5" s="179">
        <f>IFERROR(VLOOKUP(AOC$1,Future[[Ticker]:[Weight]],2,FALSE),0%)</f>
        <v>0</v>
      </c>
      <c r="AOD5" s="179">
        <f>IFERROR(VLOOKUP(AOD$1,Future[[Ticker]:[Weight]],2,FALSE),0%)</f>
        <v>0</v>
      </c>
      <c r="AOE5" s="179">
        <f>IFERROR(VLOOKUP(AOE$1,Future[[Ticker]:[Weight]],2,FALSE),0%)</f>
        <v>0</v>
      </c>
      <c r="AOF5" s="179">
        <f>IFERROR(VLOOKUP(AOF$1,Future[[Ticker]:[Weight]],2,FALSE),0%)</f>
        <v>0</v>
      </c>
      <c r="AOG5" s="179">
        <f>IFERROR(VLOOKUP(AOG$1,Future[[Ticker]:[Weight]],2,FALSE),0%)</f>
        <v>0</v>
      </c>
      <c r="AOH5" s="179">
        <f>IFERROR(VLOOKUP(AOH$1,Future[[Ticker]:[Weight]],2,FALSE),0%)</f>
        <v>0</v>
      </c>
      <c r="AOI5" s="179">
        <f>IFERROR(VLOOKUP(AOI$1,Future[[Ticker]:[Weight]],2,FALSE),0%)</f>
        <v>0</v>
      </c>
      <c r="AOJ5" s="179">
        <f>IFERROR(VLOOKUP(AOJ$1,Future[[Ticker]:[Weight]],2,FALSE),0%)</f>
        <v>0</v>
      </c>
      <c r="AOK5" s="179">
        <f>IFERROR(VLOOKUP(AOK$1,Future[[Ticker]:[Weight]],2,FALSE),0%)</f>
        <v>0</v>
      </c>
      <c r="AOL5" s="179">
        <f>IFERROR(VLOOKUP(AOL$1,Future[[Ticker]:[Weight]],2,FALSE),0%)</f>
        <v>0</v>
      </c>
      <c r="AOM5" s="179">
        <f>IFERROR(VLOOKUP(AOM$1,Future[[Ticker]:[Weight]],2,FALSE),0%)</f>
        <v>0</v>
      </c>
      <c r="AON5" s="179">
        <f>IFERROR(VLOOKUP(AON$1,Future[[Ticker]:[Weight]],2,FALSE),0%)</f>
        <v>0</v>
      </c>
      <c r="AOO5" s="179">
        <f>IFERROR(VLOOKUP(AOO$1,Future[[Ticker]:[Weight]],2,FALSE),0%)</f>
        <v>0</v>
      </c>
      <c r="AOP5" s="179">
        <f>IFERROR(VLOOKUP(AOP$1,Future[[Ticker]:[Weight]],2,FALSE),0%)</f>
        <v>0</v>
      </c>
      <c r="AOQ5" s="179">
        <f>IFERROR(VLOOKUP(AOQ$1,Future[[Ticker]:[Weight]],2,FALSE),0%)</f>
        <v>0</v>
      </c>
      <c r="AOR5" s="179">
        <f>IFERROR(VLOOKUP(AOR$1,Future[[Ticker]:[Weight]],2,FALSE),0%)</f>
        <v>0</v>
      </c>
      <c r="AOS5" s="179">
        <f>IFERROR(VLOOKUP(AOS$1,Future[[Ticker]:[Weight]],2,FALSE),0%)</f>
        <v>0</v>
      </c>
      <c r="AOT5" s="179">
        <f>IFERROR(VLOOKUP(AOT$1,Future[[Ticker]:[Weight]],2,FALSE),0%)</f>
        <v>0</v>
      </c>
      <c r="AOU5" s="179">
        <f>IFERROR(VLOOKUP(AOU$1,Future[[Ticker]:[Weight]],2,FALSE),0%)</f>
        <v>0</v>
      </c>
      <c r="AOV5" s="179">
        <f>IFERROR(VLOOKUP(AOV$1,Future[[Ticker]:[Weight]],2,FALSE),0%)</f>
        <v>0</v>
      </c>
      <c r="AOW5" s="179">
        <f>IFERROR(VLOOKUP(AOW$1,Future[[Ticker]:[Weight]],2,FALSE),0%)</f>
        <v>0</v>
      </c>
      <c r="AOX5" s="179">
        <f>IFERROR(VLOOKUP(AOX$1,Future[[Ticker]:[Weight]],2,FALSE),0%)</f>
        <v>0</v>
      </c>
      <c r="AOY5" s="179">
        <f>IFERROR(VLOOKUP(AOY$1,Future[[Ticker]:[Weight]],2,FALSE),0%)</f>
        <v>0</v>
      </c>
      <c r="AOZ5" s="179">
        <f>IFERROR(VLOOKUP(AOZ$1,Future[[Ticker]:[Weight]],2,FALSE),0%)</f>
        <v>0</v>
      </c>
      <c r="APA5" s="179">
        <f>IFERROR(VLOOKUP(APA$1,Future[[Ticker]:[Weight]],2,FALSE),0%)</f>
        <v>0</v>
      </c>
      <c r="APB5" s="179">
        <f>IFERROR(VLOOKUP(APB$1,Future[[Ticker]:[Weight]],2,FALSE),0%)</f>
        <v>0</v>
      </c>
      <c r="APC5" s="179">
        <f>IFERROR(VLOOKUP(APC$1,Future[[Ticker]:[Weight]],2,FALSE),0%)</f>
        <v>0</v>
      </c>
      <c r="APD5" s="179">
        <f>IFERROR(VLOOKUP(APD$1,Future[[Ticker]:[Weight]],2,FALSE),0%)</f>
        <v>0</v>
      </c>
      <c r="APE5" s="179">
        <f>IFERROR(VLOOKUP(APE$1,Future[[Ticker]:[Weight]],2,FALSE),0%)</f>
        <v>0</v>
      </c>
      <c r="APF5" s="179">
        <f>IFERROR(VLOOKUP(APF$1,Future[[Ticker]:[Weight]],2,FALSE),0%)</f>
        <v>0</v>
      </c>
      <c r="APG5" s="179">
        <f>IFERROR(VLOOKUP(APG$1,Future[[Ticker]:[Weight]],2,FALSE),0%)</f>
        <v>0</v>
      </c>
      <c r="APH5" s="179">
        <f>IFERROR(VLOOKUP(APH$1,Future[[Ticker]:[Weight]],2,FALSE),0%)</f>
        <v>0</v>
      </c>
      <c r="API5" s="179">
        <f>IFERROR(VLOOKUP(API$1,Future[[Ticker]:[Weight]],2,FALSE),0%)</f>
        <v>0</v>
      </c>
      <c r="APJ5" s="179">
        <f>IFERROR(VLOOKUP(APJ$1,Future[[Ticker]:[Weight]],2,FALSE),0%)</f>
        <v>0</v>
      </c>
      <c r="APK5" s="179">
        <f>IFERROR(VLOOKUP(APK$1,Future[[Ticker]:[Weight]],2,FALSE),0%)</f>
        <v>0</v>
      </c>
      <c r="APL5" s="179">
        <f>IFERROR(VLOOKUP(APL$1,Future[[Ticker]:[Weight]],2,FALSE),0%)</f>
        <v>0</v>
      </c>
      <c r="APM5" s="179">
        <f>IFERROR(VLOOKUP(APM$1,Future[[Ticker]:[Weight]],2,FALSE),0%)</f>
        <v>0</v>
      </c>
      <c r="APN5" s="179">
        <f>IFERROR(VLOOKUP(APN$1,Future[[Ticker]:[Weight]],2,FALSE),0%)</f>
        <v>0</v>
      </c>
      <c r="APO5" s="179">
        <f>IFERROR(VLOOKUP(APO$1,Future[[Ticker]:[Weight]],2,FALSE),0%)</f>
        <v>0</v>
      </c>
      <c r="APP5" s="179">
        <f>IFERROR(VLOOKUP(APP$1,Future[[Ticker]:[Weight]],2,FALSE),0%)</f>
        <v>0</v>
      </c>
      <c r="APQ5" s="179">
        <f>IFERROR(VLOOKUP(APQ$1,Future[[Ticker]:[Weight]],2,FALSE),0%)</f>
        <v>0</v>
      </c>
      <c r="APR5" s="179">
        <f>IFERROR(VLOOKUP(APR$1,Future[[Ticker]:[Weight]],2,FALSE),0%)</f>
        <v>0</v>
      </c>
      <c r="APS5" s="179">
        <f>IFERROR(VLOOKUP(APS$1,Future[[Ticker]:[Weight]],2,FALSE),0%)</f>
        <v>0</v>
      </c>
      <c r="APT5" s="179">
        <f>IFERROR(VLOOKUP(APT$1,Future[[Ticker]:[Weight]],2,FALSE),0%)</f>
        <v>0</v>
      </c>
      <c r="APU5" s="179">
        <f>IFERROR(VLOOKUP(APU$1,Future[[Ticker]:[Weight]],2,FALSE),0%)</f>
        <v>0</v>
      </c>
      <c r="APV5" s="179">
        <f>IFERROR(VLOOKUP(APV$1,Future[[Ticker]:[Weight]],2,FALSE),0%)</f>
        <v>0</v>
      </c>
      <c r="APW5" s="179">
        <f>IFERROR(VLOOKUP(APW$1,Future[[Ticker]:[Weight]],2,FALSE),0%)</f>
        <v>0</v>
      </c>
      <c r="APX5" s="179">
        <f>IFERROR(VLOOKUP(APX$1,Future[[Ticker]:[Weight]],2,FALSE),0%)</f>
        <v>0</v>
      </c>
      <c r="APY5" s="179">
        <f>IFERROR(VLOOKUP(APY$1,Future[[Ticker]:[Weight]],2,FALSE),0%)</f>
        <v>0</v>
      </c>
      <c r="APZ5" s="179">
        <f>IFERROR(VLOOKUP(APZ$1,Future[[Ticker]:[Weight]],2,FALSE),0%)</f>
        <v>0</v>
      </c>
      <c r="AQA5" s="179">
        <f>IFERROR(VLOOKUP(AQA$1,Future[[Ticker]:[Weight]],2,FALSE),0%)</f>
        <v>0</v>
      </c>
      <c r="AQB5" s="179">
        <f>IFERROR(VLOOKUP(AQB$1,Future[[Ticker]:[Weight]],2,FALSE),0%)</f>
        <v>0</v>
      </c>
      <c r="AQC5" s="179">
        <f>IFERROR(VLOOKUP(AQC$1,Future[[Ticker]:[Weight]],2,FALSE),0%)</f>
        <v>0</v>
      </c>
      <c r="AQD5" s="179">
        <f>IFERROR(VLOOKUP(AQD$1,Future[[Ticker]:[Weight]],2,FALSE),0%)</f>
        <v>0</v>
      </c>
      <c r="AQE5" s="179">
        <f>IFERROR(VLOOKUP(AQE$1,Future[[Ticker]:[Weight]],2,FALSE),0%)</f>
        <v>0</v>
      </c>
      <c r="AQF5" s="179">
        <f>IFERROR(VLOOKUP(AQF$1,Future[[Ticker]:[Weight]],2,FALSE),0%)</f>
        <v>0</v>
      </c>
      <c r="AQG5" s="179">
        <f>IFERROR(VLOOKUP(AQG$1,Future[[Ticker]:[Weight]],2,FALSE),0%)</f>
        <v>0</v>
      </c>
      <c r="AQH5" s="179">
        <f>IFERROR(VLOOKUP(AQH$1,Future[[Ticker]:[Weight]],2,FALSE),0%)</f>
        <v>0</v>
      </c>
      <c r="AQI5" s="179">
        <f>IFERROR(VLOOKUP(AQI$1,Future[[Ticker]:[Weight]],2,FALSE),0%)</f>
        <v>0</v>
      </c>
      <c r="AQJ5" s="179">
        <f>IFERROR(VLOOKUP(AQJ$1,Future[[Ticker]:[Weight]],2,FALSE),0%)</f>
        <v>0</v>
      </c>
      <c r="AQK5" s="179">
        <f>IFERROR(VLOOKUP(AQK$1,Future[[Ticker]:[Weight]],2,FALSE),0%)</f>
        <v>0</v>
      </c>
      <c r="AQL5" s="179">
        <f>IFERROR(VLOOKUP(AQL$1,Future[[Ticker]:[Weight]],2,FALSE),0%)</f>
        <v>0</v>
      </c>
      <c r="AQM5" s="179">
        <f>IFERROR(VLOOKUP(AQM$1,Future[[Ticker]:[Weight]],2,FALSE),0%)</f>
        <v>0</v>
      </c>
      <c r="AQN5" s="179">
        <f>IFERROR(VLOOKUP(AQN$1,Future[[Ticker]:[Weight]],2,FALSE),0%)</f>
        <v>0</v>
      </c>
      <c r="AQO5" s="179">
        <f>IFERROR(VLOOKUP(AQO$1,Future[[Ticker]:[Weight]],2,FALSE),0%)</f>
        <v>0</v>
      </c>
      <c r="AQP5" s="179">
        <f>IFERROR(VLOOKUP(AQP$1,Future[[Ticker]:[Weight]],2,FALSE),0%)</f>
        <v>0</v>
      </c>
      <c r="AQQ5" s="179">
        <f>IFERROR(VLOOKUP(AQQ$1,Future[[Ticker]:[Weight]],2,FALSE),0%)</f>
        <v>0</v>
      </c>
      <c r="AQR5" s="179">
        <f>IFERROR(VLOOKUP(AQR$1,Future[[Ticker]:[Weight]],2,FALSE),0%)</f>
        <v>0</v>
      </c>
      <c r="AQS5" s="179">
        <f>IFERROR(VLOOKUP(AQS$1,Future[[Ticker]:[Weight]],2,FALSE),0%)</f>
        <v>0</v>
      </c>
      <c r="AQT5" s="179">
        <f>IFERROR(VLOOKUP(AQT$1,Future[[Ticker]:[Weight]],2,FALSE),0%)</f>
        <v>0</v>
      </c>
      <c r="AQU5" s="179">
        <f>IFERROR(VLOOKUP(AQU$1,Future[[Ticker]:[Weight]],2,FALSE),0%)</f>
        <v>0</v>
      </c>
      <c r="AQV5" s="179">
        <f>IFERROR(VLOOKUP(AQV$1,Future[[Ticker]:[Weight]],2,FALSE),0%)</f>
        <v>0</v>
      </c>
      <c r="AQW5" s="179">
        <f>IFERROR(VLOOKUP(AQW$1,Future[[Ticker]:[Weight]],2,FALSE),0%)</f>
        <v>0</v>
      </c>
      <c r="AQX5" s="179">
        <f>IFERROR(VLOOKUP(AQX$1,Future[[Ticker]:[Weight]],2,FALSE),0%)</f>
        <v>0</v>
      </c>
      <c r="AQY5" s="179">
        <f>IFERROR(VLOOKUP(AQY$1,Future[[Ticker]:[Weight]],2,FALSE),0%)</f>
        <v>0</v>
      </c>
      <c r="AQZ5" s="179">
        <f>IFERROR(VLOOKUP(AQZ$1,Future[[Ticker]:[Weight]],2,FALSE),0%)</f>
        <v>0</v>
      </c>
      <c r="ARA5" s="179">
        <f>IFERROR(VLOOKUP(ARA$1,Future[[Ticker]:[Weight]],2,FALSE),0%)</f>
        <v>0</v>
      </c>
      <c r="ARB5" s="179">
        <f>IFERROR(VLOOKUP(ARB$1,Future[[Ticker]:[Weight]],2,FALSE),0%)</f>
        <v>0</v>
      </c>
      <c r="ARC5" s="179">
        <f>IFERROR(VLOOKUP(ARC$1,Future[[Ticker]:[Weight]],2,FALSE),0%)</f>
        <v>0</v>
      </c>
      <c r="ARD5" s="179">
        <f>IFERROR(VLOOKUP(ARD$1,Future[[Ticker]:[Weight]],2,FALSE),0%)</f>
        <v>0</v>
      </c>
      <c r="ARE5" s="179">
        <f>IFERROR(VLOOKUP(ARE$1,Future[[Ticker]:[Weight]],2,FALSE),0%)</f>
        <v>0</v>
      </c>
      <c r="ARF5" s="179">
        <f>IFERROR(VLOOKUP(ARF$1,Future[[Ticker]:[Weight]],2,FALSE),0%)</f>
        <v>0</v>
      </c>
      <c r="ARG5" s="179">
        <f>IFERROR(VLOOKUP(ARG$1,Future[[Ticker]:[Weight]],2,FALSE),0%)</f>
        <v>0</v>
      </c>
      <c r="ARH5" s="179">
        <f>IFERROR(VLOOKUP(ARH$1,Future[[Ticker]:[Weight]],2,FALSE),0%)</f>
        <v>0</v>
      </c>
      <c r="ARI5" s="179">
        <f>IFERROR(VLOOKUP(ARI$1,Future[[Ticker]:[Weight]],2,FALSE),0%)</f>
        <v>0</v>
      </c>
      <c r="ARJ5" s="179">
        <f>IFERROR(VLOOKUP(ARJ$1,Future[[Ticker]:[Weight]],2,FALSE),0%)</f>
        <v>0</v>
      </c>
      <c r="ARK5" s="179">
        <f>IFERROR(VLOOKUP(ARK$1,Future[[Ticker]:[Weight]],2,FALSE),0%)</f>
        <v>0</v>
      </c>
      <c r="ARL5" s="179">
        <f>IFERROR(VLOOKUP(ARL$1,Future[[Ticker]:[Weight]],2,FALSE),0%)</f>
        <v>0</v>
      </c>
      <c r="ARM5" s="179">
        <f>IFERROR(VLOOKUP(ARM$1,Future[[Ticker]:[Weight]],2,FALSE),0%)</f>
        <v>0</v>
      </c>
      <c r="ARN5" s="179">
        <f>IFERROR(VLOOKUP(ARN$1,Future[[Ticker]:[Weight]],2,FALSE),0%)</f>
        <v>0</v>
      </c>
      <c r="ARO5" s="179">
        <f>IFERROR(VLOOKUP(ARO$1,Future[[Ticker]:[Weight]],2,FALSE),0%)</f>
        <v>0</v>
      </c>
      <c r="ARP5" s="179">
        <f>IFERROR(VLOOKUP(ARP$1,Future[[Ticker]:[Weight]],2,FALSE),0%)</f>
        <v>0</v>
      </c>
      <c r="ARQ5" s="179">
        <f>IFERROR(VLOOKUP(ARQ$1,Future[[Ticker]:[Weight]],2,FALSE),0%)</f>
        <v>0</v>
      </c>
      <c r="ARR5" s="179">
        <f>IFERROR(VLOOKUP(ARR$1,Future[[Ticker]:[Weight]],2,FALSE),0%)</f>
        <v>0</v>
      </c>
      <c r="ARS5" s="179">
        <f>IFERROR(VLOOKUP(ARS$1,Future[[Ticker]:[Weight]],2,FALSE),0%)</f>
        <v>0</v>
      </c>
      <c r="ART5" s="179">
        <f>IFERROR(VLOOKUP(ART$1,Future[[Ticker]:[Weight]],2,FALSE),0%)</f>
        <v>0</v>
      </c>
      <c r="ARU5" s="179">
        <f>IFERROR(VLOOKUP(ARU$1,Future[[Ticker]:[Weight]],2,FALSE),0%)</f>
        <v>0</v>
      </c>
      <c r="ARV5" s="179">
        <f>IFERROR(VLOOKUP(ARV$1,Future[[Ticker]:[Weight]],2,FALSE),0%)</f>
        <v>0</v>
      </c>
      <c r="ARW5" s="179">
        <f>IFERROR(VLOOKUP(ARW$1,Future[[Ticker]:[Weight]],2,FALSE),0%)</f>
        <v>0</v>
      </c>
      <c r="ARX5" s="179">
        <f>IFERROR(VLOOKUP(ARX$1,Future[[Ticker]:[Weight]],2,FALSE),0%)</f>
        <v>0</v>
      </c>
      <c r="ARY5" s="179">
        <f>IFERROR(VLOOKUP(ARY$1,Future[[Ticker]:[Weight]],2,FALSE),0%)</f>
        <v>0</v>
      </c>
      <c r="ARZ5" s="179">
        <f>IFERROR(VLOOKUP(ARZ$1,Future[[Ticker]:[Weight]],2,FALSE),0%)</f>
        <v>0</v>
      </c>
      <c r="ASA5" s="179">
        <f>IFERROR(VLOOKUP(ASA$1,Future[[Ticker]:[Weight]],2,FALSE),0%)</f>
        <v>0</v>
      </c>
      <c r="ASB5" s="179">
        <f>IFERROR(VLOOKUP(ASB$1,Future[[Ticker]:[Weight]],2,FALSE),0%)</f>
        <v>0</v>
      </c>
      <c r="ASC5" s="179">
        <f>IFERROR(VLOOKUP(ASC$1,Future[[Ticker]:[Weight]],2,FALSE),0%)</f>
        <v>0</v>
      </c>
      <c r="ASD5" s="179">
        <f>IFERROR(VLOOKUP(ASD$1,Future[[Ticker]:[Weight]],2,FALSE),0%)</f>
        <v>0</v>
      </c>
      <c r="ASE5" s="179">
        <f>IFERROR(VLOOKUP(ASE$1,Future[[Ticker]:[Weight]],2,FALSE),0%)</f>
        <v>0</v>
      </c>
      <c r="ASF5" s="179">
        <f>IFERROR(VLOOKUP(ASF$1,Future[[Ticker]:[Weight]],2,FALSE),0%)</f>
        <v>0</v>
      </c>
      <c r="ASG5" s="179">
        <f>IFERROR(VLOOKUP(ASG$1,Future[[Ticker]:[Weight]],2,FALSE),0%)</f>
        <v>0</v>
      </c>
      <c r="ASH5" s="179">
        <f>IFERROR(VLOOKUP(ASH$1,Future[[Ticker]:[Weight]],2,FALSE),0%)</f>
        <v>0</v>
      </c>
      <c r="ASI5" s="179">
        <f>IFERROR(VLOOKUP(ASI$1,Future[[Ticker]:[Weight]],2,FALSE),0%)</f>
        <v>0</v>
      </c>
      <c r="ASJ5" s="179">
        <f>IFERROR(VLOOKUP(ASJ$1,Future[[Ticker]:[Weight]],2,FALSE),0%)</f>
        <v>0</v>
      </c>
      <c r="ASK5" s="179">
        <f>IFERROR(VLOOKUP(ASK$1,Future[[Ticker]:[Weight]],2,FALSE),0%)</f>
        <v>0</v>
      </c>
      <c r="ASL5" s="179">
        <f>IFERROR(VLOOKUP(ASL$1,Future[[Ticker]:[Weight]],2,FALSE),0%)</f>
        <v>0</v>
      </c>
      <c r="ASM5" s="179">
        <f>IFERROR(VLOOKUP(ASM$1,Future[[Ticker]:[Weight]],2,FALSE),0%)</f>
        <v>0</v>
      </c>
      <c r="ASN5" s="179">
        <f>IFERROR(VLOOKUP(ASN$1,Future[[Ticker]:[Weight]],2,FALSE),0%)</f>
        <v>0</v>
      </c>
      <c r="ASO5" s="179">
        <f>IFERROR(VLOOKUP(ASO$1,Future[[Ticker]:[Weight]],2,FALSE),0%)</f>
        <v>0</v>
      </c>
      <c r="ASP5" s="179">
        <f>IFERROR(VLOOKUP(ASP$1,Future[[Ticker]:[Weight]],2,FALSE),0%)</f>
        <v>0</v>
      </c>
      <c r="ASQ5" s="179">
        <f>IFERROR(VLOOKUP(ASQ$1,Future[[Ticker]:[Weight]],2,FALSE),0%)</f>
        <v>0</v>
      </c>
      <c r="ASR5" s="179">
        <f>IFERROR(VLOOKUP(ASR$1,Future[[Ticker]:[Weight]],2,FALSE),0%)</f>
        <v>0</v>
      </c>
      <c r="ASS5" s="179">
        <f>IFERROR(VLOOKUP(ASS$1,Future[[Ticker]:[Weight]],2,FALSE),0%)</f>
        <v>0</v>
      </c>
      <c r="AST5" s="179">
        <f>IFERROR(VLOOKUP(AST$1,Future[[Ticker]:[Weight]],2,FALSE),0%)</f>
        <v>0</v>
      </c>
      <c r="ASU5" s="179">
        <f>IFERROR(VLOOKUP(ASU$1,Future[[Ticker]:[Weight]],2,FALSE),0%)</f>
        <v>0</v>
      </c>
      <c r="ASV5" s="179">
        <f>IFERROR(VLOOKUP(ASV$1,Future[[Ticker]:[Weight]],2,FALSE),0%)</f>
        <v>0</v>
      </c>
      <c r="ASW5" s="179">
        <f>IFERROR(VLOOKUP(ASW$1,Future[[Ticker]:[Weight]],2,FALSE),0%)</f>
        <v>0</v>
      </c>
      <c r="ASX5" s="179">
        <f>IFERROR(VLOOKUP(ASX$1,Future[[Ticker]:[Weight]],2,FALSE),0%)</f>
        <v>0</v>
      </c>
      <c r="ASY5" s="179">
        <f>IFERROR(VLOOKUP(ASY$1,Future[[Ticker]:[Weight]],2,FALSE),0%)</f>
        <v>0</v>
      </c>
      <c r="ASZ5" s="179">
        <f>IFERROR(VLOOKUP(ASZ$1,Future[[Ticker]:[Weight]],2,FALSE),0%)</f>
        <v>0</v>
      </c>
      <c r="ATA5" s="179">
        <f>IFERROR(VLOOKUP(ATA$1,Future[[Ticker]:[Weight]],2,FALSE),0%)</f>
        <v>0</v>
      </c>
      <c r="ATB5" s="179">
        <f>IFERROR(VLOOKUP(ATB$1,Future[[Ticker]:[Weight]],2,FALSE),0%)</f>
        <v>0</v>
      </c>
      <c r="ATC5" s="179">
        <f>IFERROR(VLOOKUP(ATC$1,Future[[Ticker]:[Weight]],2,FALSE),0%)</f>
        <v>0</v>
      </c>
      <c r="ATD5" s="179">
        <f>IFERROR(VLOOKUP(ATD$1,Future[[Ticker]:[Weight]],2,FALSE),0%)</f>
        <v>0</v>
      </c>
      <c r="ATE5" s="179">
        <f>IFERROR(VLOOKUP(ATE$1,Future[[Ticker]:[Weight]],2,FALSE),0%)</f>
        <v>0</v>
      </c>
      <c r="ATF5" s="179">
        <f>IFERROR(VLOOKUP(ATF$1,Future[[Ticker]:[Weight]],2,FALSE),0%)</f>
        <v>0</v>
      </c>
      <c r="ATG5" s="179">
        <f>IFERROR(VLOOKUP(ATG$1,Future[[Ticker]:[Weight]],2,FALSE),0%)</f>
        <v>0</v>
      </c>
      <c r="ATH5" s="179">
        <f>IFERROR(VLOOKUP(ATH$1,Future[[Ticker]:[Weight]],2,FALSE),0%)</f>
        <v>0</v>
      </c>
      <c r="ATI5" s="179">
        <f>IFERROR(VLOOKUP(ATI$1,Future[[Ticker]:[Weight]],2,FALSE),0%)</f>
        <v>0</v>
      </c>
      <c r="ATJ5" s="179">
        <f>IFERROR(VLOOKUP(ATJ$1,Future[[Ticker]:[Weight]],2,FALSE),0%)</f>
        <v>0</v>
      </c>
      <c r="ATK5" s="179">
        <f>IFERROR(VLOOKUP(ATK$1,Future[[Ticker]:[Weight]],2,FALSE),0%)</f>
        <v>0</v>
      </c>
      <c r="ATL5" s="179">
        <f>IFERROR(VLOOKUP(ATL$1,Future[[Ticker]:[Weight]],2,FALSE),0%)</f>
        <v>0</v>
      </c>
      <c r="ATM5" s="179">
        <f>IFERROR(VLOOKUP(ATM$1,Future[[Ticker]:[Weight]],2,FALSE),0%)</f>
        <v>0</v>
      </c>
      <c r="ATN5" s="179">
        <f>IFERROR(VLOOKUP(ATN$1,Future[[Ticker]:[Weight]],2,FALSE),0%)</f>
        <v>0</v>
      </c>
      <c r="ATO5" s="179">
        <f>IFERROR(VLOOKUP(ATO$1,Future[[Ticker]:[Weight]],2,FALSE),0%)</f>
        <v>0</v>
      </c>
      <c r="ATP5" s="179">
        <f>IFERROR(VLOOKUP(ATP$1,Future[[Ticker]:[Weight]],2,FALSE),0%)</f>
        <v>0</v>
      </c>
      <c r="ATQ5" s="179">
        <f>IFERROR(VLOOKUP(ATQ$1,Future[[Ticker]:[Weight]],2,FALSE),0%)</f>
        <v>0</v>
      </c>
      <c r="ATR5" s="179">
        <f>IFERROR(VLOOKUP(ATR$1,Future[[Ticker]:[Weight]],2,FALSE),0%)</f>
        <v>0</v>
      </c>
      <c r="ATS5" s="179">
        <f>IFERROR(VLOOKUP(ATS$1,Future[[Ticker]:[Weight]],2,FALSE),0%)</f>
        <v>0</v>
      </c>
      <c r="ATT5" s="179">
        <f>IFERROR(VLOOKUP(ATT$1,Future[[Ticker]:[Weight]],2,FALSE),0%)</f>
        <v>0</v>
      </c>
      <c r="ATU5" s="179">
        <f>IFERROR(VLOOKUP(ATU$1,Future[[Ticker]:[Weight]],2,FALSE),0%)</f>
        <v>0</v>
      </c>
      <c r="ATV5" s="179">
        <f>IFERROR(VLOOKUP(ATV$1,Future[[Ticker]:[Weight]],2,FALSE),0%)</f>
        <v>0</v>
      </c>
      <c r="ATW5" s="179">
        <f>IFERROR(VLOOKUP(ATW$1,Future[[Ticker]:[Weight]],2,FALSE),0%)</f>
        <v>0</v>
      </c>
      <c r="ATX5" s="179">
        <f>IFERROR(VLOOKUP(ATX$1,Future[[Ticker]:[Weight]],2,FALSE),0%)</f>
        <v>0</v>
      </c>
      <c r="ATY5" s="179">
        <f>IFERROR(VLOOKUP(ATY$1,Future[[Ticker]:[Weight]],2,FALSE),0%)</f>
        <v>0</v>
      </c>
      <c r="ATZ5" s="179">
        <f>IFERROR(VLOOKUP(ATZ$1,Future[[Ticker]:[Weight]],2,FALSE),0%)</f>
        <v>0</v>
      </c>
      <c r="AUA5" s="179">
        <f>IFERROR(VLOOKUP(AUA$1,Future[[Ticker]:[Weight]],2,FALSE),0%)</f>
        <v>0</v>
      </c>
      <c r="AUB5" s="179">
        <f>IFERROR(VLOOKUP(AUB$1,Future[[Ticker]:[Weight]],2,FALSE),0%)</f>
        <v>0</v>
      </c>
      <c r="AUC5" s="179">
        <f>IFERROR(VLOOKUP(AUC$1,Future[[Ticker]:[Weight]],2,FALSE),0%)</f>
        <v>0</v>
      </c>
      <c r="AUD5" s="179">
        <f>IFERROR(VLOOKUP(AUD$1,Future[[Ticker]:[Weight]],2,FALSE),0%)</f>
        <v>0</v>
      </c>
      <c r="AUE5" s="179">
        <f>IFERROR(VLOOKUP(AUE$1,Future[[Ticker]:[Weight]],2,FALSE),0%)</f>
        <v>0</v>
      </c>
      <c r="AUF5" s="179">
        <f>IFERROR(VLOOKUP(AUF$1,Future[[Ticker]:[Weight]],2,FALSE),0%)</f>
        <v>0</v>
      </c>
      <c r="AUG5" s="179">
        <f>IFERROR(VLOOKUP(AUG$1,Future[[Ticker]:[Weight]],2,FALSE),0%)</f>
        <v>0</v>
      </c>
      <c r="AUH5" s="179">
        <f>IFERROR(VLOOKUP(AUH$1,Future[[Ticker]:[Weight]],2,FALSE),0%)</f>
        <v>0</v>
      </c>
      <c r="AUI5" s="179">
        <f>IFERROR(VLOOKUP(AUI$1,Future[[Ticker]:[Weight]],2,FALSE),0%)</f>
        <v>0</v>
      </c>
      <c r="AUJ5" s="179">
        <f>IFERROR(VLOOKUP(AUJ$1,Future[[Ticker]:[Weight]],2,FALSE),0%)</f>
        <v>0</v>
      </c>
      <c r="AUK5" s="179">
        <f>IFERROR(VLOOKUP(AUK$1,Future[[Ticker]:[Weight]],2,FALSE),0%)</f>
        <v>0</v>
      </c>
      <c r="AUL5" s="179">
        <f>IFERROR(VLOOKUP(AUL$1,Future[[Ticker]:[Weight]],2,FALSE),0%)</f>
        <v>0</v>
      </c>
      <c r="AUM5" s="179">
        <f>IFERROR(VLOOKUP(AUM$1,Future[[Ticker]:[Weight]],2,FALSE),0%)</f>
        <v>0</v>
      </c>
      <c r="AUN5" s="179">
        <f>IFERROR(VLOOKUP(AUN$1,Future[[Ticker]:[Weight]],2,FALSE),0%)</f>
        <v>0</v>
      </c>
      <c r="AUO5" s="179">
        <f>IFERROR(VLOOKUP(AUO$1,Future[[Ticker]:[Weight]],2,FALSE),0%)</f>
        <v>0</v>
      </c>
      <c r="AUP5" s="179">
        <f>IFERROR(VLOOKUP(AUP$1,Future[[Ticker]:[Weight]],2,FALSE),0%)</f>
        <v>0</v>
      </c>
      <c r="AUQ5" s="179">
        <f>IFERROR(VLOOKUP(AUQ$1,Future[[Ticker]:[Weight]],2,FALSE),0%)</f>
        <v>0</v>
      </c>
      <c r="AUR5" s="179">
        <f>IFERROR(VLOOKUP(AUR$1,Future[[Ticker]:[Weight]],2,FALSE),0%)</f>
        <v>0</v>
      </c>
      <c r="AUS5" s="179">
        <f>IFERROR(VLOOKUP(AUS$1,Future[[Ticker]:[Weight]],2,FALSE),0%)</f>
        <v>0</v>
      </c>
      <c r="AUT5" s="179">
        <f>IFERROR(VLOOKUP(AUT$1,Future[[Ticker]:[Weight]],2,FALSE),0%)</f>
        <v>0</v>
      </c>
      <c r="AUU5" s="179">
        <f>IFERROR(VLOOKUP(AUU$1,Future[[Ticker]:[Weight]],2,FALSE),0%)</f>
        <v>0</v>
      </c>
      <c r="AUV5" s="179">
        <f>IFERROR(VLOOKUP(AUV$1,Future[[Ticker]:[Weight]],2,FALSE),0%)</f>
        <v>0</v>
      </c>
      <c r="AUW5" s="179">
        <f>IFERROR(VLOOKUP(AUW$1,Future[[Ticker]:[Weight]],2,FALSE),0%)</f>
        <v>0</v>
      </c>
      <c r="AUX5" s="179">
        <f>IFERROR(VLOOKUP(AUX$1,Future[[Ticker]:[Weight]],2,FALSE),0%)</f>
        <v>0</v>
      </c>
      <c r="AUY5" s="179">
        <f>IFERROR(VLOOKUP(AUY$1,Future[[Ticker]:[Weight]],2,FALSE),0%)</f>
        <v>0</v>
      </c>
      <c r="AUZ5" s="179">
        <f>IFERROR(VLOOKUP(AUZ$1,Future[[Ticker]:[Weight]],2,FALSE),0%)</f>
        <v>0</v>
      </c>
      <c r="AVA5" s="179">
        <f>IFERROR(VLOOKUP(AVA$1,Future[[Ticker]:[Weight]],2,FALSE),0%)</f>
        <v>0</v>
      </c>
      <c r="AVB5" s="179">
        <f>IFERROR(VLOOKUP(AVB$1,Future[[Ticker]:[Weight]],2,FALSE),0%)</f>
        <v>0</v>
      </c>
      <c r="AVC5" s="179">
        <f>IFERROR(VLOOKUP(AVC$1,Future[[Ticker]:[Weight]],2,FALSE),0%)</f>
        <v>0</v>
      </c>
      <c r="AVD5" s="179">
        <f>IFERROR(VLOOKUP(AVD$1,Future[[Ticker]:[Weight]],2,FALSE),0%)</f>
        <v>0</v>
      </c>
      <c r="AVE5" s="179">
        <f>IFERROR(VLOOKUP(AVE$1,Future[[Ticker]:[Weight]],2,FALSE),0%)</f>
        <v>0</v>
      </c>
      <c r="AVF5" s="179">
        <f>IFERROR(VLOOKUP(AVF$1,Future[[Ticker]:[Weight]],2,FALSE),0%)</f>
        <v>0</v>
      </c>
      <c r="AVG5" s="179">
        <f>IFERROR(VLOOKUP(AVG$1,Future[[Ticker]:[Weight]],2,FALSE),0%)</f>
        <v>0</v>
      </c>
      <c r="AVH5" s="179">
        <f>IFERROR(VLOOKUP(AVH$1,Future[[Ticker]:[Weight]],2,FALSE),0%)</f>
        <v>0</v>
      </c>
      <c r="AVI5" s="179">
        <f>IFERROR(VLOOKUP(AVI$1,Future[[Ticker]:[Weight]],2,FALSE),0%)</f>
        <v>0</v>
      </c>
      <c r="AVJ5" s="179">
        <f>IFERROR(VLOOKUP(AVJ$1,Future[[Ticker]:[Weight]],2,FALSE),0%)</f>
        <v>0</v>
      </c>
      <c r="AVK5" s="179">
        <f>IFERROR(VLOOKUP(AVK$1,Future[[Ticker]:[Weight]],2,FALSE),0%)</f>
        <v>0</v>
      </c>
      <c r="AVL5" s="179">
        <f>IFERROR(VLOOKUP(AVL$1,Future[[Ticker]:[Weight]],2,FALSE),0%)</f>
        <v>0</v>
      </c>
      <c r="AVM5" s="179">
        <f>IFERROR(VLOOKUP(AVM$1,Future[[Ticker]:[Weight]],2,FALSE),0%)</f>
        <v>0</v>
      </c>
      <c r="AVN5" s="179">
        <f>IFERROR(VLOOKUP(AVN$1,Future[[Ticker]:[Weight]],2,FALSE),0%)</f>
        <v>0</v>
      </c>
      <c r="AVO5" s="179">
        <f>IFERROR(VLOOKUP(AVO$1,Future[[Ticker]:[Weight]],2,FALSE),0%)</f>
        <v>0</v>
      </c>
      <c r="AVP5" s="179">
        <f>IFERROR(VLOOKUP(AVP$1,Future[[Ticker]:[Weight]],2,FALSE),0%)</f>
        <v>0</v>
      </c>
      <c r="AVQ5" s="179">
        <f>IFERROR(VLOOKUP(AVQ$1,Future[[Ticker]:[Weight]],2,FALSE),0%)</f>
        <v>0</v>
      </c>
      <c r="AVR5" s="179">
        <f>IFERROR(VLOOKUP(AVR$1,Future[[Ticker]:[Weight]],2,FALSE),0%)</f>
        <v>0</v>
      </c>
      <c r="AVS5" s="179">
        <f>IFERROR(VLOOKUP(AVS$1,Future[[Ticker]:[Weight]],2,FALSE),0%)</f>
        <v>0</v>
      </c>
      <c r="AVT5" s="179">
        <f>IFERROR(VLOOKUP(AVT$1,Future[[Ticker]:[Weight]],2,FALSE),0%)</f>
        <v>0</v>
      </c>
      <c r="AVU5" s="179">
        <f>IFERROR(VLOOKUP(AVU$1,Future[[Ticker]:[Weight]],2,FALSE),0%)</f>
        <v>0</v>
      </c>
      <c r="AVV5" s="179">
        <f>IFERROR(VLOOKUP(AVV$1,Future[[Ticker]:[Weight]],2,FALSE),0%)</f>
        <v>0</v>
      </c>
      <c r="AVW5" s="179">
        <f>IFERROR(VLOOKUP(AVW$1,Future[[Ticker]:[Weight]],2,FALSE),0%)</f>
        <v>0</v>
      </c>
      <c r="AVX5" s="179">
        <f>IFERROR(VLOOKUP(AVX$1,Future[[Ticker]:[Weight]],2,FALSE),0%)</f>
        <v>0</v>
      </c>
      <c r="AVY5" s="179">
        <f>IFERROR(VLOOKUP(AVY$1,Future[[Ticker]:[Weight]],2,FALSE),0%)</f>
        <v>0</v>
      </c>
      <c r="AVZ5" s="179">
        <f>IFERROR(VLOOKUP(AVZ$1,Future[[Ticker]:[Weight]],2,FALSE),0%)</f>
        <v>0</v>
      </c>
      <c r="AWA5" s="179">
        <f>IFERROR(VLOOKUP(AWA$1,Future[[Ticker]:[Weight]],2,FALSE),0%)</f>
        <v>0</v>
      </c>
      <c r="AWB5" s="179">
        <f>IFERROR(VLOOKUP(AWB$1,Future[[Ticker]:[Weight]],2,FALSE),0%)</f>
        <v>0</v>
      </c>
      <c r="AWC5" s="179">
        <f>IFERROR(VLOOKUP(AWC$1,Future[[Ticker]:[Weight]],2,FALSE),0%)</f>
        <v>0</v>
      </c>
      <c r="AWD5" s="179">
        <f>IFERROR(VLOOKUP(AWD$1,Future[[Ticker]:[Weight]],2,FALSE),0%)</f>
        <v>0</v>
      </c>
      <c r="AWE5" s="179">
        <f>IFERROR(VLOOKUP(AWE$1,Future[[Ticker]:[Weight]],2,FALSE),0%)</f>
        <v>0</v>
      </c>
      <c r="AWF5" s="179">
        <f>IFERROR(VLOOKUP(AWF$1,Future[[Ticker]:[Weight]],2,FALSE),0%)</f>
        <v>0</v>
      </c>
      <c r="AWG5" s="179">
        <f>IFERROR(VLOOKUP(AWG$1,Future[[Ticker]:[Weight]],2,FALSE),0%)</f>
        <v>0</v>
      </c>
      <c r="AWH5" s="179">
        <f>IFERROR(VLOOKUP(AWH$1,Future[[Ticker]:[Weight]],2,FALSE),0%)</f>
        <v>0</v>
      </c>
      <c r="AWI5" s="179">
        <f>IFERROR(VLOOKUP(AWI$1,Future[[Ticker]:[Weight]],2,FALSE),0%)</f>
        <v>0</v>
      </c>
      <c r="AWJ5" s="179">
        <f>IFERROR(VLOOKUP(AWJ$1,Future[[Ticker]:[Weight]],2,FALSE),0%)</f>
        <v>0</v>
      </c>
      <c r="AWK5" s="179">
        <f>IFERROR(VLOOKUP(AWK$1,Future[[Ticker]:[Weight]],2,FALSE),0%)</f>
        <v>0</v>
      </c>
      <c r="AWL5" s="179">
        <f>IFERROR(VLOOKUP(AWL$1,Future[[Ticker]:[Weight]],2,FALSE),0%)</f>
        <v>0</v>
      </c>
      <c r="AWM5" s="179">
        <f>IFERROR(VLOOKUP(AWM$1,Future[[Ticker]:[Weight]],2,FALSE),0%)</f>
        <v>0</v>
      </c>
      <c r="AWN5" s="179">
        <f>IFERROR(VLOOKUP(AWN$1,Future[[Ticker]:[Weight]],2,FALSE),0%)</f>
        <v>0</v>
      </c>
      <c r="AWO5" s="179">
        <f>IFERROR(VLOOKUP(AWO$1,Future[[Ticker]:[Weight]],2,FALSE),0%)</f>
        <v>0</v>
      </c>
      <c r="AWP5" s="179">
        <f>IFERROR(VLOOKUP(AWP$1,Future[[Ticker]:[Weight]],2,FALSE),0%)</f>
        <v>0</v>
      </c>
      <c r="AWQ5" s="179">
        <f>IFERROR(VLOOKUP(AWQ$1,Future[[Ticker]:[Weight]],2,FALSE),0%)</f>
        <v>0</v>
      </c>
      <c r="AWR5" s="179">
        <f>IFERROR(VLOOKUP(AWR$1,Future[[Ticker]:[Weight]],2,FALSE),0%)</f>
        <v>0</v>
      </c>
      <c r="AWS5" s="179">
        <f>IFERROR(VLOOKUP(AWS$1,Future[[Ticker]:[Weight]],2,FALSE),0%)</f>
        <v>0</v>
      </c>
      <c r="AWT5" s="179">
        <f>IFERROR(VLOOKUP(AWT$1,Future[[Ticker]:[Weight]],2,FALSE),0%)</f>
        <v>0</v>
      </c>
      <c r="AWU5" s="179">
        <f>IFERROR(VLOOKUP(AWU$1,Future[[Ticker]:[Weight]],2,FALSE),0%)</f>
        <v>0</v>
      </c>
      <c r="AWV5" s="179">
        <f>IFERROR(VLOOKUP(AWV$1,Future[[Ticker]:[Weight]],2,FALSE),0%)</f>
        <v>0</v>
      </c>
      <c r="AWW5" s="179">
        <f>IFERROR(VLOOKUP(AWW$1,Future[[Ticker]:[Weight]],2,FALSE),0%)</f>
        <v>0</v>
      </c>
      <c r="AWX5" s="179">
        <f>IFERROR(VLOOKUP(AWX$1,Future[[Ticker]:[Weight]],2,FALSE),0%)</f>
        <v>0</v>
      </c>
      <c r="AWY5" s="179">
        <f>IFERROR(VLOOKUP(AWY$1,Future[[Ticker]:[Weight]],2,FALSE),0%)</f>
        <v>0</v>
      </c>
      <c r="AWZ5" s="179">
        <f>IFERROR(VLOOKUP(AWZ$1,Future[[Ticker]:[Weight]],2,FALSE),0%)</f>
        <v>0</v>
      </c>
      <c r="AXA5" s="179">
        <f>IFERROR(VLOOKUP(AXA$1,Future[[Ticker]:[Weight]],2,FALSE),0%)</f>
        <v>0</v>
      </c>
      <c r="AXB5" s="179">
        <f>IFERROR(VLOOKUP(AXB$1,Future[[Ticker]:[Weight]],2,FALSE),0%)</f>
        <v>0</v>
      </c>
      <c r="AXC5" s="179">
        <f>IFERROR(VLOOKUP(AXC$1,Future[[Ticker]:[Weight]],2,FALSE),0%)</f>
        <v>0</v>
      </c>
      <c r="AXD5" s="179">
        <f>IFERROR(VLOOKUP(AXD$1,Future[[Ticker]:[Weight]],2,FALSE),0%)</f>
        <v>0</v>
      </c>
      <c r="AXE5" s="179">
        <f>IFERROR(VLOOKUP(AXE$1,Future[[Ticker]:[Weight]],2,FALSE),0%)</f>
        <v>0</v>
      </c>
      <c r="AXF5" s="179">
        <f>IFERROR(VLOOKUP(AXF$1,Future[[Ticker]:[Weight]],2,FALSE),0%)</f>
        <v>0</v>
      </c>
      <c r="AXG5" s="179">
        <f>IFERROR(VLOOKUP(AXG$1,Future[[Ticker]:[Weight]],2,FALSE),0%)</f>
        <v>0</v>
      </c>
      <c r="AXH5" s="179">
        <f>IFERROR(VLOOKUP(AXH$1,Future[[Ticker]:[Weight]],2,FALSE),0%)</f>
        <v>0</v>
      </c>
      <c r="AXI5" s="179">
        <f>IFERROR(VLOOKUP(AXI$1,Future[[Ticker]:[Weight]],2,FALSE),0%)</f>
        <v>0</v>
      </c>
      <c r="AXJ5" s="179">
        <f>IFERROR(VLOOKUP(AXJ$1,Future[[Ticker]:[Weight]],2,FALSE),0%)</f>
        <v>0</v>
      </c>
      <c r="AXK5" s="179">
        <f>IFERROR(VLOOKUP(AXK$1,Future[[Ticker]:[Weight]],2,FALSE),0%)</f>
        <v>0</v>
      </c>
      <c r="AXL5" s="179">
        <f>IFERROR(VLOOKUP(AXL$1,Future[[Ticker]:[Weight]],2,FALSE),0%)</f>
        <v>0</v>
      </c>
      <c r="AXM5" s="179">
        <f>IFERROR(VLOOKUP(AXM$1,Future[[Ticker]:[Weight]],2,FALSE),0%)</f>
        <v>0</v>
      </c>
      <c r="AXN5" s="179">
        <f>IFERROR(VLOOKUP(AXN$1,Future[[Ticker]:[Weight]],2,FALSE),0%)</f>
        <v>0</v>
      </c>
      <c r="AXO5" s="179">
        <f>IFERROR(VLOOKUP(AXO$1,Future[[Ticker]:[Weight]],2,FALSE),0%)</f>
        <v>0</v>
      </c>
      <c r="AXP5" s="179">
        <f>IFERROR(VLOOKUP(AXP$1,Future[[Ticker]:[Weight]],2,FALSE),0%)</f>
        <v>0</v>
      </c>
      <c r="AXQ5" s="179">
        <f>IFERROR(VLOOKUP(AXQ$1,Future[[Ticker]:[Weight]],2,FALSE),0%)</f>
        <v>0</v>
      </c>
      <c r="AXR5" s="179">
        <f>IFERROR(VLOOKUP(AXR$1,Future[[Ticker]:[Weight]],2,FALSE),0%)</f>
        <v>0</v>
      </c>
      <c r="AXS5" s="179">
        <f>IFERROR(VLOOKUP(AXS$1,Future[[Ticker]:[Weight]],2,FALSE),0%)</f>
        <v>0</v>
      </c>
      <c r="AXT5" s="179">
        <f>IFERROR(VLOOKUP(AXT$1,Future[[Ticker]:[Weight]],2,FALSE),0%)</f>
        <v>0</v>
      </c>
      <c r="AXU5" s="179">
        <f>IFERROR(VLOOKUP(AXU$1,Future[[Ticker]:[Weight]],2,FALSE),0%)</f>
        <v>0</v>
      </c>
      <c r="AXV5" s="179">
        <f>IFERROR(VLOOKUP(AXV$1,Future[[Ticker]:[Weight]],2,FALSE),0%)</f>
        <v>0</v>
      </c>
      <c r="AXW5" s="179">
        <f>IFERROR(VLOOKUP(AXW$1,Future[[Ticker]:[Weight]],2,FALSE),0%)</f>
        <v>0</v>
      </c>
      <c r="AXX5" s="179">
        <f>IFERROR(VLOOKUP(AXX$1,Future[[Ticker]:[Weight]],2,FALSE),0%)</f>
        <v>0</v>
      </c>
      <c r="AXY5" s="179">
        <f>IFERROR(VLOOKUP(AXY$1,Future[[Ticker]:[Weight]],2,FALSE),0%)</f>
        <v>0</v>
      </c>
      <c r="AXZ5" s="179">
        <f>IFERROR(VLOOKUP(AXZ$1,Future[[Ticker]:[Weight]],2,FALSE),0%)</f>
        <v>0</v>
      </c>
      <c r="AYA5" s="179">
        <f>IFERROR(VLOOKUP(AYA$1,Future[[Ticker]:[Weight]],2,FALSE),0%)</f>
        <v>0</v>
      </c>
      <c r="AYB5" s="179">
        <f>IFERROR(VLOOKUP(AYB$1,Future[[Ticker]:[Weight]],2,FALSE),0%)</f>
        <v>0</v>
      </c>
      <c r="AYC5" s="179">
        <f>IFERROR(VLOOKUP(AYC$1,Future[[Ticker]:[Weight]],2,FALSE),0%)</f>
        <v>0</v>
      </c>
      <c r="AYD5" s="179">
        <f>IFERROR(VLOOKUP(AYD$1,Future[[Ticker]:[Weight]],2,FALSE),0%)</f>
        <v>0</v>
      </c>
      <c r="AYE5" s="179">
        <f>IFERROR(VLOOKUP(AYE$1,Future[[Ticker]:[Weight]],2,FALSE),0%)</f>
        <v>0</v>
      </c>
      <c r="AYF5" s="179">
        <f>IFERROR(VLOOKUP(AYF$1,Future[[Ticker]:[Weight]],2,FALSE),0%)</f>
        <v>0</v>
      </c>
      <c r="AYG5" s="179">
        <f>IFERROR(VLOOKUP(AYG$1,Future[[Ticker]:[Weight]],2,FALSE),0%)</f>
        <v>0</v>
      </c>
      <c r="AYH5" s="179">
        <f>IFERROR(VLOOKUP(AYH$1,Future[[Ticker]:[Weight]],2,FALSE),0%)</f>
        <v>0</v>
      </c>
      <c r="AYI5" s="179">
        <f>IFERROR(VLOOKUP(AYI$1,Future[[Ticker]:[Weight]],2,FALSE),0%)</f>
        <v>0</v>
      </c>
      <c r="AYJ5" s="179">
        <f>IFERROR(VLOOKUP(AYJ$1,Future[[Ticker]:[Weight]],2,FALSE),0%)</f>
        <v>0</v>
      </c>
      <c r="AYK5" s="179">
        <f>IFERROR(VLOOKUP(AYK$1,Future[[Ticker]:[Weight]],2,FALSE),0%)</f>
        <v>0</v>
      </c>
      <c r="AYL5" s="179">
        <f>IFERROR(VLOOKUP(AYL$1,Future[[Ticker]:[Weight]],2,FALSE),0%)</f>
        <v>0</v>
      </c>
      <c r="AYM5" s="179">
        <f>IFERROR(VLOOKUP(AYM$1,Future[[Ticker]:[Weight]],2,FALSE),0%)</f>
        <v>0</v>
      </c>
      <c r="AYN5" s="179">
        <f>IFERROR(VLOOKUP(AYN$1,Future[[Ticker]:[Weight]],2,FALSE),0%)</f>
        <v>0</v>
      </c>
      <c r="AYO5" s="179">
        <f>IFERROR(VLOOKUP(AYO$1,Future[[Ticker]:[Weight]],2,FALSE),0%)</f>
        <v>0</v>
      </c>
      <c r="AYP5" s="179">
        <f>IFERROR(VLOOKUP(AYP$1,Future[[Ticker]:[Weight]],2,FALSE),0%)</f>
        <v>0</v>
      </c>
      <c r="AYQ5" s="179">
        <f>IFERROR(VLOOKUP(AYQ$1,Future[[Ticker]:[Weight]],2,FALSE),0%)</f>
        <v>0</v>
      </c>
      <c r="AYR5" s="179">
        <f>IFERROR(VLOOKUP(AYR$1,Future[[Ticker]:[Weight]],2,FALSE),0%)</f>
        <v>0</v>
      </c>
      <c r="AYS5" s="179">
        <f>IFERROR(VLOOKUP(AYS$1,Future[[Ticker]:[Weight]],2,FALSE),0%)</f>
        <v>0</v>
      </c>
      <c r="AYT5" s="179">
        <f>IFERROR(VLOOKUP(AYT$1,Future[[Ticker]:[Weight]],2,FALSE),0%)</f>
        <v>0</v>
      </c>
      <c r="AYU5" s="179">
        <f>IFERROR(VLOOKUP(AYU$1,Future[[Ticker]:[Weight]],2,FALSE),0%)</f>
        <v>0</v>
      </c>
      <c r="AYV5" s="179">
        <f>IFERROR(VLOOKUP(AYV$1,Future[[Ticker]:[Weight]],2,FALSE),0%)</f>
        <v>0</v>
      </c>
      <c r="AYW5" s="179">
        <f>IFERROR(VLOOKUP(AYW$1,Future[[Ticker]:[Weight]],2,FALSE),0%)</f>
        <v>0</v>
      </c>
      <c r="AYX5" s="179">
        <f>IFERROR(VLOOKUP(AYX$1,Future[[Ticker]:[Weight]],2,FALSE),0%)</f>
        <v>0</v>
      </c>
      <c r="AYY5" s="179">
        <f>IFERROR(VLOOKUP(AYY$1,Future[[Ticker]:[Weight]],2,FALSE),0%)</f>
        <v>0</v>
      </c>
      <c r="AYZ5" s="179">
        <f>IFERROR(VLOOKUP(AYZ$1,Future[[Ticker]:[Weight]],2,FALSE),0%)</f>
        <v>0</v>
      </c>
      <c r="AZA5" s="179">
        <f>IFERROR(VLOOKUP(AZA$1,Future[[Ticker]:[Weight]],2,FALSE),0%)</f>
        <v>0</v>
      </c>
      <c r="AZB5" s="179">
        <f>IFERROR(VLOOKUP(AZB$1,Future[[Ticker]:[Weight]],2,FALSE),0%)</f>
        <v>0</v>
      </c>
      <c r="AZC5" s="179">
        <f>IFERROR(VLOOKUP(AZC$1,Future[[Ticker]:[Weight]],2,FALSE),0%)</f>
        <v>0</v>
      </c>
      <c r="AZD5" s="179">
        <f>IFERROR(VLOOKUP(AZD$1,Future[[Ticker]:[Weight]],2,FALSE),0%)</f>
        <v>0</v>
      </c>
      <c r="AZE5" s="179">
        <f>IFERROR(VLOOKUP(AZE$1,Future[[Ticker]:[Weight]],2,FALSE),0%)</f>
        <v>0</v>
      </c>
      <c r="AZF5" s="179">
        <f>IFERROR(VLOOKUP(AZF$1,Future[[Ticker]:[Weight]],2,FALSE),0%)</f>
        <v>0</v>
      </c>
      <c r="AZG5" s="179">
        <f>IFERROR(VLOOKUP(AZG$1,Future[[Ticker]:[Weight]],2,FALSE),0%)</f>
        <v>0</v>
      </c>
      <c r="AZH5" s="179">
        <f>IFERROR(VLOOKUP(AZH$1,Future[[Ticker]:[Weight]],2,FALSE),0%)</f>
        <v>0</v>
      </c>
      <c r="AZI5" s="179">
        <f>IFERROR(VLOOKUP(AZI$1,Future[[Ticker]:[Weight]],2,FALSE),0%)</f>
        <v>0</v>
      </c>
      <c r="AZJ5" s="179">
        <f>IFERROR(VLOOKUP(AZJ$1,Future[[Ticker]:[Weight]],2,FALSE),0%)</f>
        <v>0</v>
      </c>
      <c r="AZK5" s="179">
        <f>IFERROR(VLOOKUP(AZK$1,Future[[Ticker]:[Weight]],2,FALSE),0%)</f>
        <v>0</v>
      </c>
      <c r="AZL5" s="179">
        <f>IFERROR(VLOOKUP(AZL$1,Future[[Ticker]:[Weight]],2,FALSE),0%)</f>
        <v>0</v>
      </c>
      <c r="AZM5" s="179">
        <f>IFERROR(VLOOKUP(AZM$1,Future[[Ticker]:[Weight]],2,FALSE),0%)</f>
        <v>0</v>
      </c>
      <c r="AZN5" s="179">
        <f>IFERROR(VLOOKUP(AZN$1,Future[[Ticker]:[Weight]],2,FALSE),0%)</f>
        <v>0</v>
      </c>
      <c r="AZO5" s="179">
        <f>IFERROR(VLOOKUP(AZO$1,Future[[Ticker]:[Weight]],2,FALSE),0%)</f>
        <v>0</v>
      </c>
      <c r="AZP5" s="179">
        <f>IFERROR(VLOOKUP(AZP$1,Future[[Ticker]:[Weight]],2,FALSE),0%)</f>
        <v>0</v>
      </c>
      <c r="AZQ5" s="179">
        <f>IFERROR(VLOOKUP(AZQ$1,Future[[Ticker]:[Weight]],2,FALSE),0%)</f>
        <v>0</v>
      </c>
      <c r="AZR5" s="179">
        <f>IFERROR(VLOOKUP(AZR$1,Future[[Ticker]:[Weight]],2,FALSE),0%)</f>
        <v>0</v>
      </c>
      <c r="AZS5" s="179">
        <f>IFERROR(VLOOKUP(AZS$1,Future[[Ticker]:[Weight]],2,FALSE),0%)</f>
        <v>0</v>
      </c>
      <c r="AZT5" s="179">
        <f>IFERROR(VLOOKUP(AZT$1,Future[[Ticker]:[Weight]],2,FALSE),0%)</f>
        <v>0</v>
      </c>
      <c r="AZU5" s="179">
        <f>IFERROR(VLOOKUP(AZU$1,Future[[Ticker]:[Weight]],2,FALSE),0%)</f>
        <v>0</v>
      </c>
      <c r="AZV5" s="179">
        <f>IFERROR(VLOOKUP(AZV$1,Future[[Ticker]:[Weight]],2,FALSE),0%)</f>
        <v>0</v>
      </c>
      <c r="AZW5" s="179">
        <f>IFERROR(VLOOKUP(AZW$1,Future[[Ticker]:[Weight]],2,FALSE),0%)</f>
        <v>0</v>
      </c>
      <c r="AZX5" s="179">
        <f>IFERROR(VLOOKUP(AZX$1,Future[[Ticker]:[Weight]],2,FALSE),0%)</f>
        <v>0</v>
      </c>
      <c r="AZY5" s="179">
        <f>IFERROR(VLOOKUP(AZY$1,Future[[Ticker]:[Weight]],2,FALSE),0%)</f>
        <v>0</v>
      </c>
      <c r="AZZ5" s="179">
        <f>IFERROR(VLOOKUP(AZZ$1,Future[[Ticker]:[Weight]],2,FALSE),0%)</f>
        <v>0</v>
      </c>
      <c r="BAA5" s="179">
        <f>IFERROR(VLOOKUP(BAA$1,Future[[Ticker]:[Weight]],2,FALSE),0%)</f>
        <v>0</v>
      </c>
      <c r="BAB5" s="179">
        <f>IFERROR(VLOOKUP(BAB$1,Future[[Ticker]:[Weight]],2,FALSE),0%)</f>
        <v>0</v>
      </c>
      <c r="BAC5" s="179">
        <f>IFERROR(VLOOKUP(BAC$1,Future[[Ticker]:[Weight]],2,FALSE),0%)</f>
        <v>0</v>
      </c>
      <c r="BAD5" s="179">
        <f>IFERROR(VLOOKUP(BAD$1,Future[[Ticker]:[Weight]],2,FALSE),0%)</f>
        <v>0</v>
      </c>
      <c r="BAE5" s="179">
        <f>IFERROR(VLOOKUP(BAE$1,Future[[Ticker]:[Weight]],2,FALSE),0%)</f>
        <v>0</v>
      </c>
      <c r="BAF5" s="179">
        <f>IFERROR(VLOOKUP(BAF$1,Future[[Ticker]:[Weight]],2,FALSE),0%)</f>
        <v>0</v>
      </c>
      <c r="BAG5" s="179">
        <f>IFERROR(VLOOKUP(BAG$1,Future[[Ticker]:[Weight]],2,FALSE),0%)</f>
        <v>0</v>
      </c>
      <c r="BAH5" s="179">
        <f>IFERROR(VLOOKUP(BAH$1,Future[[Ticker]:[Weight]],2,FALSE),0%)</f>
        <v>0</v>
      </c>
      <c r="BAI5" s="179">
        <f>IFERROR(VLOOKUP(BAI$1,Future[[Ticker]:[Weight]],2,FALSE),0%)</f>
        <v>0</v>
      </c>
      <c r="BAJ5" s="179">
        <f>IFERROR(VLOOKUP(BAJ$1,Future[[Ticker]:[Weight]],2,FALSE),0%)</f>
        <v>0</v>
      </c>
      <c r="BAK5" s="179">
        <f>IFERROR(VLOOKUP(BAK$1,Future[[Ticker]:[Weight]],2,FALSE),0%)</f>
        <v>0</v>
      </c>
      <c r="BAL5" s="179">
        <f>IFERROR(VLOOKUP(BAL$1,Future[[Ticker]:[Weight]],2,FALSE),0%)</f>
        <v>0</v>
      </c>
      <c r="BAM5" s="179">
        <f>IFERROR(VLOOKUP(BAM$1,Future[[Ticker]:[Weight]],2,FALSE),0%)</f>
        <v>0</v>
      </c>
      <c r="BAN5" s="179">
        <f>IFERROR(VLOOKUP(BAN$1,Future[[Ticker]:[Weight]],2,FALSE),0%)</f>
        <v>0</v>
      </c>
      <c r="BAO5" s="179">
        <f>IFERROR(VLOOKUP(BAO$1,Future[[Ticker]:[Weight]],2,FALSE),0%)</f>
        <v>0</v>
      </c>
      <c r="BAP5" s="179">
        <f>IFERROR(VLOOKUP(BAP$1,Future[[Ticker]:[Weight]],2,FALSE),0%)</f>
        <v>0</v>
      </c>
      <c r="BAQ5" s="179">
        <f>IFERROR(VLOOKUP(BAQ$1,Future[[Ticker]:[Weight]],2,FALSE),0%)</f>
        <v>0</v>
      </c>
      <c r="BAR5" s="179">
        <f>IFERROR(VLOOKUP(BAR$1,Future[[Ticker]:[Weight]],2,FALSE),0%)</f>
        <v>0</v>
      </c>
      <c r="BAS5" s="179">
        <f>IFERROR(VLOOKUP(BAS$1,Future[[Ticker]:[Weight]],2,FALSE),0%)</f>
        <v>0</v>
      </c>
      <c r="BAT5" s="179">
        <f>IFERROR(VLOOKUP(BAT$1,Future[[Ticker]:[Weight]],2,FALSE),0%)</f>
        <v>0</v>
      </c>
      <c r="BAU5" s="179">
        <f>IFERROR(VLOOKUP(BAU$1,Future[[Ticker]:[Weight]],2,FALSE),0%)</f>
        <v>0</v>
      </c>
      <c r="BAV5" s="179">
        <f>IFERROR(VLOOKUP(BAV$1,Future[[Ticker]:[Weight]],2,FALSE),0%)</f>
        <v>0</v>
      </c>
      <c r="BAW5" s="179">
        <f>IFERROR(VLOOKUP(BAW$1,Future[[Ticker]:[Weight]],2,FALSE),0%)</f>
        <v>0</v>
      </c>
      <c r="BAX5" s="179">
        <f>IFERROR(VLOOKUP(BAX$1,Future[[Ticker]:[Weight]],2,FALSE),0%)</f>
        <v>0</v>
      </c>
      <c r="BAY5" s="179">
        <f>IFERROR(VLOOKUP(BAY$1,Future[[Ticker]:[Weight]],2,FALSE),0%)</f>
        <v>0</v>
      </c>
      <c r="BAZ5" s="179">
        <f>IFERROR(VLOOKUP(BAZ$1,Future[[Ticker]:[Weight]],2,FALSE),0%)</f>
        <v>0</v>
      </c>
      <c r="BBA5" s="179">
        <f>IFERROR(VLOOKUP(BBA$1,Future[[Ticker]:[Weight]],2,FALSE),0%)</f>
        <v>0</v>
      </c>
      <c r="BBB5" s="179">
        <f>IFERROR(VLOOKUP(BBB$1,Future[[Ticker]:[Weight]],2,FALSE),0%)</f>
        <v>0</v>
      </c>
      <c r="BBC5" s="179">
        <f>IFERROR(VLOOKUP(BBC$1,Future[[Ticker]:[Weight]],2,FALSE),0%)</f>
        <v>0</v>
      </c>
      <c r="BBD5" s="179">
        <f>IFERROR(VLOOKUP(BBD$1,Future[[Ticker]:[Weight]],2,FALSE),0%)</f>
        <v>0</v>
      </c>
      <c r="BBE5" s="179">
        <f>IFERROR(VLOOKUP(BBE$1,Future[[Ticker]:[Weight]],2,FALSE),0%)</f>
        <v>0</v>
      </c>
      <c r="BBF5" s="179">
        <f>IFERROR(VLOOKUP(BBF$1,Future[[Ticker]:[Weight]],2,FALSE),0%)</f>
        <v>0</v>
      </c>
      <c r="BBG5" s="179">
        <f>IFERROR(VLOOKUP(BBG$1,Future[[Ticker]:[Weight]],2,FALSE),0%)</f>
        <v>0</v>
      </c>
      <c r="BBH5" s="179">
        <f>IFERROR(VLOOKUP(BBH$1,Future[[Ticker]:[Weight]],2,FALSE),0%)</f>
        <v>0</v>
      </c>
      <c r="BBI5" s="179">
        <f>IFERROR(VLOOKUP(BBI$1,Future[[Ticker]:[Weight]],2,FALSE),0%)</f>
        <v>0</v>
      </c>
      <c r="BBJ5" s="179">
        <f>IFERROR(VLOOKUP(BBJ$1,Future[[Ticker]:[Weight]],2,FALSE),0%)</f>
        <v>0</v>
      </c>
      <c r="BBK5" s="179">
        <f>IFERROR(VLOOKUP(BBK$1,Future[[Ticker]:[Weight]],2,FALSE),0%)</f>
        <v>0</v>
      </c>
      <c r="BBL5" s="179">
        <f>IFERROR(VLOOKUP(BBL$1,Future[[Ticker]:[Weight]],2,FALSE),0%)</f>
        <v>0</v>
      </c>
      <c r="BBM5" s="179">
        <f>IFERROR(VLOOKUP(BBM$1,Future[[Ticker]:[Weight]],2,FALSE),0%)</f>
        <v>0</v>
      </c>
      <c r="BBN5" s="179">
        <f>IFERROR(VLOOKUP(BBN$1,Future[[Ticker]:[Weight]],2,FALSE),0%)</f>
        <v>0</v>
      </c>
      <c r="BBO5" s="179">
        <f>IFERROR(VLOOKUP(BBO$1,Future[[Ticker]:[Weight]],2,FALSE),0%)</f>
        <v>0</v>
      </c>
      <c r="BBP5" s="179">
        <f>IFERROR(VLOOKUP(BBP$1,Future[[Ticker]:[Weight]],2,FALSE),0%)</f>
        <v>0</v>
      </c>
      <c r="BBQ5" s="179">
        <f>IFERROR(VLOOKUP(BBQ$1,Future[[Ticker]:[Weight]],2,FALSE),0%)</f>
        <v>0</v>
      </c>
      <c r="BBR5" s="179">
        <f>IFERROR(VLOOKUP(BBR$1,Future[[Ticker]:[Weight]],2,FALSE),0%)</f>
        <v>0</v>
      </c>
      <c r="BBS5" s="179">
        <f>IFERROR(VLOOKUP(BBS$1,Future[[Ticker]:[Weight]],2,FALSE),0%)</f>
        <v>0</v>
      </c>
      <c r="BBT5" s="179">
        <f>IFERROR(VLOOKUP(BBT$1,Future[[Ticker]:[Weight]],2,FALSE),0%)</f>
        <v>0</v>
      </c>
      <c r="BBU5" s="179">
        <f>IFERROR(VLOOKUP(BBU$1,Future[[Ticker]:[Weight]],2,FALSE),0%)</f>
        <v>0</v>
      </c>
      <c r="BBV5" s="179">
        <f>IFERROR(VLOOKUP(BBV$1,Future[[Ticker]:[Weight]],2,FALSE),0%)</f>
        <v>0</v>
      </c>
      <c r="BBW5" s="179">
        <f>IFERROR(VLOOKUP(BBW$1,Future[[Ticker]:[Weight]],2,FALSE),0%)</f>
        <v>0</v>
      </c>
      <c r="BBX5" s="179">
        <f>IFERROR(VLOOKUP(BBX$1,Future[[Ticker]:[Weight]],2,FALSE),0%)</f>
        <v>0</v>
      </c>
      <c r="BBY5" s="179">
        <f>IFERROR(VLOOKUP(BBY$1,Future[[Ticker]:[Weight]],2,FALSE),0%)</f>
        <v>0</v>
      </c>
      <c r="BBZ5" s="179">
        <f>IFERROR(VLOOKUP(BBZ$1,Future[[Ticker]:[Weight]],2,FALSE),0%)</f>
        <v>0</v>
      </c>
      <c r="BCA5" s="179">
        <f>IFERROR(VLOOKUP(BCA$1,Future[[Ticker]:[Weight]],2,FALSE),0%)</f>
        <v>0</v>
      </c>
      <c r="BCB5" s="179">
        <f>IFERROR(VLOOKUP(BCB$1,Future[[Ticker]:[Weight]],2,FALSE),0%)</f>
        <v>0</v>
      </c>
      <c r="BCC5" s="179">
        <f>IFERROR(VLOOKUP(BCC$1,Future[[Ticker]:[Weight]],2,FALSE),0%)</f>
        <v>0</v>
      </c>
      <c r="BCD5" s="179">
        <f>IFERROR(VLOOKUP(BCD$1,Future[[Ticker]:[Weight]],2,FALSE),0%)</f>
        <v>0</v>
      </c>
      <c r="BCE5" s="179">
        <f>IFERROR(VLOOKUP(BCE$1,Future[[Ticker]:[Weight]],2,FALSE),0%)</f>
        <v>0</v>
      </c>
      <c r="BCF5" s="179">
        <f>IFERROR(VLOOKUP(BCF$1,Future[[Ticker]:[Weight]],2,FALSE),0%)</f>
        <v>0</v>
      </c>
      <c r="BCG5" s="179">
        <f>IFERROR(VLOOKUP(BCG$1,Future[[Ticker]:[Weight]],2,FALSE),0%)</f>
        <v>0</v>
      </c>
      <c r="BCH5" s="179">
        <f>IFERROR(VLOOKUP(BCH$1,Future[[Ticker]:[Weight]],2,FALSE),0%)</f>
        <v>0</v>
      </c>
      <c r="BCI5" s="179">
        <f>IFERROR(VLOOKUP(BCI$1,Future[[Ticker]:[Weight]],2,FALSE),0%)</f>
        <v>0</v>
      </c>
      <c r="BCJ5" s="179">
        <f>IFERROR(VLOOKUP(BCJ$1,Future[[Ticker]:[Weight]],2,FALSE),0%)</f>
        <v>0</v>
      </c>
      <c r="BCK5" s="179">
        <f>IFERROR(VLOOKUP(BCK$1,Future[[Ticker]:[Weight]],2,FALSE),0%)</f>
        <v>0</v>
      </c>
      <c r="BCL5" s="179">
        <f>IFERROR(VLOOKUP(BCL$1,Future[[Ticker]:[Weight]],2,FALSE),0%)</f>
        <v>0</v>
      </c>
      <c r="BCM5" s="179">
        <f>IFERROR(VLOOKUP(BCM$1,Future[[Ticker]:[Weight]],2,FALSE),0%)</f>
        <v>0</v>
      </c>
      <c r="BCN5" s="179">
        <f>IFERROR(VLOOKUP(BCN$1,Future[[Ticker]:[Weight]],2,FALSE),0%)</f>
        <v>0</v>
      </c>
      <c r="BCO5" s="179">
        <f>IFERROR(VLOOKUP(BCO$1,Future[[Ticker]:[Weight]],2,FALSE),0%)</f>
        <v>0</v>
      </c>
      <c r="BCP5" s="179">
        <f>IFERROR(VLOOKUP(BCP$1,Future[[Ticker]:[Weight]],2,FALSE),0%)</f>
        <v>0</v>
      </c>
      <c r="BCQ5" s="179">
        <f>IFERROR(VLOOKUP(BCQ$1,Future[[Ticker]:[Weight]],2,FALSE),0%)</f>
        <v>0</v>
      </c>
      <c r="BCR5" s="179">
        <f>IFERROR(VLOOKUP(BCR$1,Future[[Ticker]:[Weight]],2,FALSE),0%)</f>
        <v>0</v>
      </c>
      <c r="BCS5" s="179">
        <f>IFERROR(VLOOKUP(BCS$1,Future[[Ticker]:[Weight]],2,FALSE),0%)</f>
        <v>0</v>
      </c>
      <c r="BCT5" s="179">
        <f>IFERROR(VLOOKUP(BCT$1,Future[[Ticker]:[Weight]],2,FALSE),0%)</f>
        <v>0</v>
      </c>
      <c r="BCU5" s="179">
        <f>IFERROR(VLOOKUP(BCU$1,Future[[Ticker]:[Weight]],2,FALSE),0%)</f>
        <v>0</v>
      </c>
      <c r="BCV5" s="179">
        <f>IFERROR(VLOOKUP(BCV$1,Future[[Ticker]:[Weight]],2,FALSE),0%)</f>
        <v>0</v>
      </c>
      <c r="BCW5" s="179">
        <f>IFERROR(VLOOKUP(BCW$1,Future[[Ticker]:[Weight]],2,FALSE),0%)</f>
        <v>0</v>
      </c>
      <c r="BCX5" s="179">
        <f>IFERROR(VLOOKUP(BCX$1,Future[[Ticker]:[Weight]],2,FALSE),0%)</f>
        <v>0</v>
      </c>
      <c r="BCY5" s="179">
        <f>IFERROR(VLOOKUP(BCY$1,Future[[Ticker]:[Weight]],2,FALSE),0%)</f>
        <v>0</v>
      </c>
      <c r="BCZ5" s="179">
        <f>IFERROR(VLOOKUP(BCZ$1,Future[[Ticker]:[Weight]],2,FALSE),0%)</f>
        <v>0</v>
      </c>
      <c r="BDA5" s="179">
        <f>IFERROR(VLOOKUP(BDA$1,Future[[Ticker]:[Weight]],2,FALSE),0%)</f>
        <v>0</v>
      </c>
      <c r="BDB5" s="179">
        <f>IFERROR(VLOOKUP(BDB$1,Future[[Ticker]:[Weight]],2,FALSE),0%)</f>
        <v>0</v>
      </c>
      <c r="BDC5" s="179">
        <f>IFERROR(VLOOKUP(BDC$1,Future[[Ticker]:[Weight]],2,FALSE),0%)</f>
        <v>0</v>
      </c>
      <c r="BDD5" s="179">
        <f>IFERROR(VLOOKUP(BDD$1,Future[[Ticker]:[Weight]],2,FALSE),0%)</f>
        <v>0</v>
      </c>
      <c r="BDE5" s="179">
        <f>IFERROR(VLOOKUP(BDE$1,Future[[Ticker]:[Weight]],2,FALSE),0%)</f>
        <v>0</v>
      </c>
      <c r="BDF5" s="179">
        <f>IFERROR(VLOOKUP(BDF$1,Future[[Ticker]:[Weight]],2,FALSE),0%)</f>
        <v>0</v>
      </c>
      <c r="BDG5" s="179">
        <f>IFERROR(VLOOKUP(BDG$1,Future[[Ticker]:[Weight]],2,FALSE),0%)</f>
        <v>0</v>
      </c>
      <c r="BDH5" s="179">
        <f>IFERROR(VLOOKUP(BDH$1,Future[[Ticker]:[Weight]],2,FALSE),0%)</f>
        <v>0</v>
      </c>
      <c r="BDI5" s="179">
        <f>IFERROR(VLOOKUP(BDI$1,Future[[Ticker]:[Weight]],2,FALSE),0%)</f>
        <v>0</v>
      </c>
      <c r="BDJ5" s="179">
        <f>IFERROR(VLOOKUP(BDJ$1,Future[[Ticker]:[Weight]],2,FALSE),0%)</f>
        <v>0</v>
      </c>
      <c r="BDK5" s="179">
        <f>IFERROR(VLOOKUP(BDK$1,Future[[Ticker]:[Weight]],2,FALSE),0%)</f>
        <v>0</v>
      </c>
      <c r="BDL5" s="179">
        <f>IFERROR(VLOOKUP(BDL$1,Future[[Ticker]:[Weight]],2,FALSE),0%)</f>
        <v>0</v>
      </c>
      <c r="BDM5" s="179">
        <f>IFERROR(VLOOKUP(BDM$1,Future[[Ticker]:[Weight]],2,FALSE),0%)</f>
        <v>0</v>
      </c>
      <c r="BDN5" s="179">
        <f>IFERROR(VLOOKUP(BDN$1,Future[[Ticker]:[Weight]],2,FALSE),0%)</f>
        <v>0</v>
      </c>
      <c r="BDO5" s="179">
        <f>IFERROR(VLOOKUP(BDO$1,Future[[Ticker]:[Weight]],2,FALSE),0%)</f>
        <v>0</v>
      </c>
      <c r="BDP5" s="179">
        <f>IFERROR(VLOOKUP(BDP$1,Future[[Ticker]:[Weight]],2,FALSE),0%)</f>
        <v>0</v>
      </c>
      <c r="BDQ5" s="179">
        <f>IFERROR(VLOOKUP(BDQ$1,Future[[Ticker]:[Weight]],2,FALSE),0%)</f>
        <v>0</v>
      </c>
      <c r="BDR5" s="179">
        <f>IFERROR(VLOOKUP(BDR$1,Future[[Ticker]:[Weight]],2,FALSE),0%)</f>
        <v>0</v>
      </c>
      <c r="BDS5" s="179">
        <f>IFERROR(VLOOKUP(BDS$1,Future[[Ticker]:[Weight]],2,FALSE),0%)</f>
        <v>0</v>
      </c>
      <c r="BDT5" s="179">
        <f>IFERROR(VLOOKUP(BDT$1,Future[[Ticker]:[Weight]],2,FALSE),0%)</f>
        <v>0</v>
      </c>
      <c r="BDU5" s="179">
        <f>IFERROR(VLOOKUP(BDU$1,Future[[Ticker]:[Weight]],2,FALSE),0%)</f>
        <v>0</v>
      </c>
      <c r="BDV5" s="179">
        <f>IFERROR(VLOOKUP(BDV$1,Future[[Ticker]:[Weight]],2,FALSE),0%)</f>
        <v>0</v>
      </c>
      <c r="BDW5" s="179">
        <f>IFERROR(VLOOKUP(BDW$1,Future[[Ticker]:[Weight]],2,FALSE),0%)</f>
        <v>0</v>
      </c>
      <c r="BDX5" s="179">
        <f>IFERROR(VLOOKUP(BDX$1,Future[[Ticker]:[Weight]],2,FALSE),0%)</f>
        <v>0</v>
      </c>
      <c r="BDY5" s="179">
        <f>IFERROR(VLOOKUP(BDY$1,Future[[Ticker]:[Weight]],2,FALSE),0%)</f>
        <v>0</v>
      </c>
      <c r="BDZ5" s="179">
        <f>IFERROR(VLOOKUP(BDZ$1,Future[[Ticker]:[Weight]],2,FALSE),0%)</f>
        <v>0</v>
      </c>
      <c r="BEA5" s="179">
        <f>IFERROR(VLOOKUP(BEA$1,Future[[Ticker]:[Weight]],2,FALSE),0%)</f>
        <v>0</v>
      </c>
      <c r="BEB5" s="179">
        <f>IFERROR(VLOOKUP(BEB$1,Future[[Ticker]:[Weight]],2,FALSE),0%)</f>
        <v>0</v>
      </c>
      <c r="BEC5" s="179">
        <f>IFERROR(VLOOKUP(BEC$1,Future[[Ticker]:[Weight]],2,FALSE),0%)</f>
        <v>0</v>
      </c>
      <c r="BED5" s="179">
        <f>IFERROR(VLOOKUP(BED$1,Future[[Ticker]:[Weight]],2,FALSE),0%)</f>
        <v>0</v>
      </c>
      <c r="BEE5" s="179">
        <f>IFERROR(VLOOKUP(BEE$1,Future[[Ticker]:[Weight]],2,FALSE),0%)</f>
        <v>0</v>
      </c>
      <c r="BEF5" s="179">
        <f>IFERROR(VLOOKUP(BEF$1,Future[[Ticker]:[Weight]],2,FALSE),0%)</f>
        <v>0</v>
      </c>
      <c r="BEG5" s="179">
        <f>IFERROR(VLOOKUP(BEG$1,Future[[Ticker]:[Weight]],2,FALSE),0%)</f>
        <v>0</v>
      </c>
      <c r="BEH5" s="179">
        <f>IFERROR(VLOOKUP(BEH$1,Future[[Ticker]:[Weight]],2,FALSE),0%)</f>
        <v>0</v>
      </c>
      <c r="BEI5" s="179">
        <f>IFERROR(VLOOKUP(BEI$1,Future[[Ticker]:[Weight]],2,FALSE),0%)</f>
        <v>0</v>
      </c>
      <c r="BEJ5" s="179">
        <f>IFERROR(VLOOKUP(BEJ$1,Future[[Ticker]:[Weight]],2,FALSE),0%)</f>
        <v>0</v>
      </c>
      <c r="BEK5" s="179">
        <f>IFERROR(VLOOKUP(BEK$1,Future[[Ticker]:[Weight]],2,FALSE),0%)</f>
        <v>0</v>
      </c>
      <c r="BEL5" s="179">
        <f>IFERROR(VLOOKUP(BEL$1,Future[[Ticker]:[Weight]],2,FALSE),0%)</f>
        <v>0</v>
      </c>
      <c r="BEM5" s="179">
        <f>IFERROR(VLOOKUP(BEM$1,Future[[Ticker]:[Weight]],2,FALSE),0%)</f>
        <v>0</v>
      </c>
      <c r="BEN5" s="179">
        <f>IFERROR(VLOOKUP(BEN$1,Future[[Ticker]:[Weight]],2,FALSE),0%)</f>
        <v>0</v>
      </c>
      <c r="BEO5" s="179">
        <f>IFERROR(VLOOKUP(BEO$1,Future[[Ticker]:[Weight]],2,FALSE),0%)</f>
        <v>0</v>
      </c>
      <c r="BEP5" s="179">
        <f>IFERROR(VLOOKUP(BEP$1,Future[[Ticker]:[Weight]],2,FALSE),0%)</f>
        <v>0</v>
      </c>
      <c r="BEQ5" s="179">
        <f>IFERROR(VLOOKUP(BEQ$1,Future[[Ticker]:[Weight]],2,FALSE),0%)</f>
        <v>0</v>
      </c>
      <c r="BER5" s="179">
        <f>IFERROR(VLOOKUP(BER$1,Future[[Ticker]:[Weight]],2,FALSE),0%)</f>
        <v>0</v>
      </c>
      <c r="BES5" s="179">
        <f>IFERROR(VLOOKUP(BES$1,Future[[Ticker]:[Weight]],2,FALSE),0%)</f>
        <v>0</v>
      </c>
      <c r="BET5" s="179">
        <f>IFERROR(VLOOKUP(BET$1,Future[[Ticker]:[Weight]],2,FALSE),0%)</f>
        <v>0</v>
      </c>
      <c r="BEU5" s="179">
        <f>IFERROR(VLOOKUP(BEU$1,Future[[Ticker]:[Weight]],2,FALSE),0%)</f>
        <v>0</v>
      </c>
      <c r="BEV5" s="179">
        <f>IFERROR(VLOOKUP(BEV$1,Future[[Ticker]:[Weight]],2,FALSE),0%)</f>
        <v>0</v>
      </c>
      <c r="BEW5" s="179">
        <f>IFERROR(VLOOKUP(BEW$1,Future[[Ticker]:[Weight]],2,FALSE),0%)</f>
        <v>0</v>
      </c>
      <c r="BEX5" s="179">
        <f>IFERROR(VLOOKUP(BEX$1,Future[[Ticker]:[Weight]],2,FALSE),0%)</f>
        <v>0</v>
      </c>
      <c r="BEY5" s="179">
        <f>IFERROR(VLOOKUP(BEY$1,Future[[Ticker]:[Weight]],2,FALSE),0%)</f>
        <v>0</v>
      </c>
      <c r="BEZ5" s="179">
        <f>IFERROR(VLOOKUP(BEZ$1,Future[[Ticker]:[Weight]],2,FALSE),0%)</f>
        <v>0</v>
      </c>
      <c r="BFA5" s="179">
        <f>IFERROR(VLOOKUP(BFA$1,Future[[Ticker]:[Weight]],2,FALSE),0%)</f>
        <v>0</v>
      </c>
      <c r="BFB5" s="179">
        <f>IFERROR(VLOOKUP(BFB$1,Future[[Ticker]:[Weight]],2,FALSE),0%)</f>
        <v>0</v>
      </c>
      <c r="BFC5" s="179">
        <f>IFERROR(VLOOKUP(BFC$1,Future[[Ticker]:[Weight]],2,FALSE),0%)</f>
        <v>0</v>
      </c>
      <c r="BFD5" s="179">
        <f>IFERROR(VLOOKUP(BFD$1,Future[[Ticker]:[Weight]],2,FALSE),0%)</f>
        <v>0.0656</v>
      </c>
      <c r="BFE5" s="179">
        <f>IFERROR(VLOOKUP(BFE$1,Future[[Ticker]:[Weight]],2,FALSE),0%)</f>
        <v>0</v>
      </c>
      <c r="BFF5" s="179">
        <f>IFERROR(VLOOKUP(BFF$1,Future[[Ticker]:[Weight]],2,FALSE),0%)</f>
        <v>0</v>
      </c>
      <c r="BFG5" s="179">
        <f>IFERROR(VLOOKUP(BFG$1,Future[[Ticker]:[Weight]],2,FALSE),0%)</f>
        <v>0</v>
      </c>
      <c r="BFH5" s="179">
        <f>IFERROR(VLOOKUP(BFH$1,Future[[Ticker]:[Weight]],2,FALSE),0%)</f>
        <v>0</v>
      </c>
      <c r="BFI5" s="179">
        <f>IFERROR(VLOOKUP(BFI$1,Future[[Ticker]:[Weight]],2,FALSE),0%)</f>
        <v>0</v>
      </c>
      <c r="BFJ5" s="179">
        <f>IFERROR(VLOOKUP(BFJ$1,Future[[Ticker]:[Weight]],2,FALSE),0%)</f>
        <v>0</v>
      </c>
      <c r="BFK5" s="179">
        <f>IFERROR(VLOOKUP(BFK$1,Future[[Ticker]:[Weight]],2,FALSE),0%)</f>
        <v>0</v>
      </c>
      <c r="BFL5" s="179">
        <f>IFERROR(VLOOKUP(BFL$1,Future[[Ticker]:[Weight]],2,FALSE),0%)</f>
        <v>0</v>
      </c>
      <c r="BFM5" s="179">
        <f>IFERROR(VLOOKUP(BFM$1,Future[[Ticker]:[Weight]],2,FALSE),0%)</f>
        <v>0</v>
      </c>
      <c r="BFN5" s="179">
        <f>IFERROR(VLOOKUP(BFN$1,Future[[Ticker]:[Weight]],2,FALSE),0%)</f>
        <v>0</v>
      </c>
      <c r="BFO5" s="179">
        <f>IFERROR(VLOOKUP(BFO$1,Future[[Ticker]:[Weight]],2,FALSE),0%)</f>
        <v>0</v>
      </c>
      <c r="BFP5" s="179">
        <f>IFERROR(VLOOKUP(BFP$1,Future[[Ticker]:[Weight]],2,FALSE),0%)</f>
        <v>0</v>
      </c>
      <c r="BFQ5" s="179">
        <f>IFERROR(VLOOKUP(BFQ$1,Future[[Ticker]:[Weight]],2,FALSE),0%)</f>
        <v>0</v>
      </c>
      <c r="BFR5" s="179">
        <f>IFERROR(VLOOKUP(BFR$1,Future[[Ticker]:[Weight]],2,FALSE),0%)</f>
        <v>0</v>
      </c>
      <c r="BFS5" s="179">
        <f>IFERROR(VLOOKUP(BFS$1,Future[[Ticker]:[Weight]],2,FALSE),0%)</f>
        <v>0</v>
      </c>
      <c r="BFT5" s="179">
        <f>IFERROR(VLOOKUP(BFT$1,Future[[Ticker]:[Weight]],2,FALSE),0%)</f>
        <v>0</v>
      </c>
      <c r="BFU5" s="179">
        <f>IFERROR(VLOOKUP(BFU$1,Future[[Ticker]:[Weight]],2,FALSE),0%)</f>
        <v>0</v>
      </c>
      <c r="BFV5" s="179">
        <f>IFERROR(VLOOKUP(BFV$1,Future[[Ticker]:[Weight]],2,FALSE),0%)</f>
        <v>0</v>
      </c>
      <c r="BFW5" s="179">
        <f>IFERROR(VLOOKUP(BFW$1,Future[[Ticker]:[Weight]],2,FALSE),0%)</f>
        <v>0</v>
      </c>
      <c r="BFX5" s="179">
        <f>IFERROR(VLOOKUP(BFX$1,Future[[Ticker]:[Weight]],2,FALSE),0%)</f>
        <v>0</v>
      </c>
      <c r="BFY5" s="179">
        <f>IFERROR(VLOOKUP(BFY$1,Future[[Ticker]:[Weight]],2,FALSE),0%)</f>
        <v>0</v>
      </c>
      <c r="BFZ5" s="179">
        <f>IFERROR(VLOOKUP(BFZ$1,Future[[Ticker]:[Weight]],2,FALSE),0%)</f>
        <v>0</v>
      </c>
      <c r="BGA5" s="179">
        <f>IFERROR(VLOOKUP(BGA$1,Future[[Ticker]:[Weight]],2,FALSE),0%)</f>
        <v>0</v>
      </c>
      <c r="BGB5" s="179">
        <f>IFERROR(VLOOKUP(BGB$1,Future[[Ticker]:[Weight]],2,FALSE),0%)</f>
        <v>0</v>
      </c>
      <c r="BGC5" s="179">
        <f>IFERROR(VLOOKUP(BGC$1,Future[[Ticker]:[Weight]],2,FALSE),0%)</f>
        <v>0</v>
      </c>
      <c r="BGD5" s="179">
        <f>IFERROR(VLOOKUP(BGD$1,Future[[Ticker]:[Weight]],2,FALSE),0%)</f>
        <v>0</v>
      </c>
      <c r="BGE5" s="179">
        <f>IFERROR(VLOOKUP(BGE$1,Future[[Ticker]:[Weight]],2,FALSE),0%)</f>
        <v>0</v>
      </c>
      <c r="BGF5" s="179">
        <f>IFERROR(VLOOKUP(BGF$1,Future[[Ticker]:[Weight]],2,FALSE),0%)</f>
        <v>0</v>
      </c>
      <c r="BGG5" s="179">
        <f>IFERROR(VLOOKUP(BGG$1,Future[[Ticker]:[Weight]],2,FALSE),0%)</f>
        <v>0</v>
      </c>
      <c r="BGH5" s="179">
        <f>IFERROR(VLOOKUP(BGH$1,Future[[Ticker]:[Weight]],2,FALSE),0%)</f>
        <v>0</v>
      </c>
      <c r="BGI5" s="179">
        <f>IFERROR(VLOOKUP(BGI$1,Future[[Ticker]:[Weight]],2,FALSE),0%)</f>
        <v>0</v>
      </c>
      <c r="BGJ5" s="179">
        <f>IFERROR(VLOOKUP(BGJ$1,Future[[Ticker]:[Weight]],2,FALSE),0%)</f>
        <v>0</v>
      </c>
      <c r="BGK5" s="179">
        <f>IFERROR(VLOOKUP(BGK$1,Future[[Ticker]:[Weight]],2,FALSE),0%)</f>
        <v>0</v>
      </c>
      <c r="BGL5" s="179">
        <f>IFERROR(VLOOKUP(BGL$1,Future[[Ticker]:[Weight]],2,FALSE),0%)</f>
        <v>0</v>
      </c>
      <c r="BGM5" s="179">
        <f>IFERROR(VLOOKUP(BGM$1,Future[[Ticker]:[Weight]],2,FALSE),0%)</f>
        <v>0</v>
      </c>
      <c r="BGN5" s="179">
        <f>IFERROR(VLOOKUP(BGN$1,Future[[Ticker]:[Weight]],2,FALSE),0%)</f>
        <v>0</v>
      </c>
      <c r="BGO5" s="179">
        <f>IFERROR(VLOOKUP(BGO$1,Future[[Ticker]:[Weight]],2,FALSE),0%)</f>
        <v>0.1615</v>
      </c>
      <c r="BGP5" s="179">
        <f>IFERROR(VLOOKUP(BGP$1,Future[[Ticker]:[Weight]],2,FALSE),0%)</f>
        <v>0</v>
      </c>
      <c r="BGQ5" s="179">
        <f>IFERROR(VLOOKUP(BGQ$1,Future[[Ticker]:[Weight]],2,FALSE),0%)</f>
        <v>0</v>
      </c>
      <c r="BGR5" s="179">
        <f>IFERROR(VLOOKUP(BGR$1,Future[[Ticker]:[Weight]],2,FALSE),0%)</f>
        <v>0</v>
      </c>
      <c r="BGS5" s="179">
        <f>IFERROR(VLOOKUP(BGS$1,Future[[Ticker]:[Weight]],2,FALSE),0%)</f>
        <v>0</v>
      </c>
      <c r="BGT5" s="179">
        <f>IFERROR(VLOOKUP(BGT$1,Future[[Ticker]:[Weight]],2,FALSE),0%)</f>
        <v>0</v>
      </c>
      <c r="BGU5" s="179">
        <f>IFERROR(VLOOKUP(BGU$1,Future[[Ticker]:[Weight]],2,FALSE),0%)</f>
        <v>0</v>
      </c>
      <c r="BGV5" s="179">
        <f>IFERROR(VLOOKUP(BGV$1,Future[[Ticker]:[Weight]],2,FALSE),0%)</f>
        <v>0</v>
      </c>
      <c r="BGW5" s="179">
        <f>IFERROR(VLOOKUP(BGW$1,Future[[Ticker]:[Weight]],2,FALSE),0%)</f>
        <v>0</v>
      </c>
      <c r="BGX5" s="179">
        <f>IFERROR(VLOOKUP(BGX$1,Future[[Ticker]:[Weight]],2,FALSE),0%)</f>
        <v>0</v>
      </c>
      <c r="BGY5" s="179">
        <f>IFERROR(VLOOKUP(BGY$1,Future[[Ticker]:[Weight]],2,FALSE),0%)</f>
        <v>0</v>
      </c>
      <c r="BGZ5" s="179">
        <f>IFERROR(VLOOKUP(BGZ$1,Future[[Ticker]:[Weight]],2,FALSE),0%)</f>
        <v>0</v>
      </c>
      <c r="BHA5" s="179">
        <f>IFERROR(VLOOKUP(BHA$1,Future[[Ticker]:[Weight]],2,FALSE),0%)</f>
        <v>0</v>
      </c>
      <c r="BHB5" s="179">
        <f>IFERROR(VLOOKUP(BHB$1,Future[[Ticker]:[Weight]],2,FALSE),0%)</f>
        <v>0</v>
      </c>
      <c r="BHC5" s="179">
        <f>IFERROR(VLOOKUP(BHC$1,Future[[Ticker]:[Weight]],2,FALSE),0%)</f>
        <v>0</v>
      </c>
      <c r="BHD5" s="179">
        <f>IFERROR(VLOOKUP(BHD$1,Future[[Ticker]:[Weight]],2,FALSE),0%)</f>
        <v>0</v>
      </c>
      <c r="BHE5" s="179">
        <f>IFERROR(VLOOKUP(BHE$1,Future[[Ticker]:[Weight]],2,FALSE),0%)</f>
        <v>0</v>
      </c>
      <c r="BHF5" s="179">
        <f>IFERROR(VLOOKUP(BHF$1,Future[[Ticker]:[Weight]],2,FALSE),0%)</f>
        <v>0</v>
      </c>
      <c r="BHG5" s="179">
        <f>IFERROR(VLOOKUP(BHG$1,Future[[Ticker]:[Weight]],2,FALSE),0%)</f>
        <v>0</v>
      </c>
      <c r="BHH5" s="179">
        <f>IFERROR(VLOOKUP(BHH$1,Future[[Ticker]:[Weight]],2,FALSE),0%)</f>
        <v>0</v>
      </c>
      <c r="BHI5" s="179">
        <f>IFERROR(VLOOKUP(BHI$1,Future[[Ticker]:[Weight]],2,FALSE),0%)</f>
        <v>0</v>
      </c>
      <c r="BHJ5" s="179">
        <f>IFERROR(VLOOKUP(BHJ$1,Future[[Ticker]:[Weight]],2,FALSE),0%)</f>
        <v>0</v>
      </c>
      <c r="BHK5" s="179">
        <f>IFERROR(VLOOKUP(BHK$1,Future[[Ticker]:[Weight]],2,FALSE),0%)</f>
        <v>0</v>
      </c>
      <c r="BHL5" s="179">
        <f>IFERROR(VLOOKUP(BHL$1,Future[[Ticker]:[Weight]],2,FALSE),0%)</f>
        <v>0</v>
      </c>
      <c r="BHM5" s="179">
        <f>IFERROR(VLOOKUP(BHM$1,Future[[Ticker]:[Weight]],2,FALSE),0%)</f>
        <v>0</v>
      </c>
      <c r="BHN5" s="179">
        <f>IFERROR(VLOOKUP(BHN$1,Future[[Ticker]:[Weight]],2,FALSE),0%)</f>
        <v>0</v>
      </c>
      <c r="BHO5" s="179">
        <f>IFERROR(VLOOKUP(BHO$1,Future[[Ticker]:[Weight]],2,FALSE),0%)</f>
        <v>0</v>
      </c>
      <c r="BHP5" s="179">
        <f>IFERROR(VLOOKUP(BHP$1,Future[[Ticker]:[Weight]],2,FALSE),0%)</f>
        <v>0</v>
      </c>
      <c r="BHQ5" s="179">
        <f>IFERROR(VLOOKUP(BHQ$1,Future[[Ticker]:[Weight]],2,FALSE),0%)</f>
        <v>0</v>
      </c>
      <c r="BHR5" s="179">
        <f>IFERROR(VLOOKUP(BHR$1,Future[[Ticker]:[Weight]],2,FALSE),0%)</f>
        <v>0</v>
      </c>
      <c r="BHS5" s="179">
        <f>IFERROR(VLOOKUP(BHS$1,Future[[Ticker]:[Weight]],2,FALSE),0%)</f>
        <v>0</v>
      </c>
      <c r="BHT5" s="179">
        <f>IFERROR(VLOOKUP(BHT$1,Future[[Ticker]:[Weight]],2,FALSE),0%)</f>
        <v>0</v>
      </c>
      <c r="BHU5" s="179">
        <f>IFERROR(VLOOKUP(BHU$1,Future[[Ticker]:[Weight]],2,FALSE),0%)</f>
        <v>0</v>
      </c>
      <c r="BHV5" s="179">
        <f>IFERROR(VLOOKUP(BHV$1,Future[[Ticker]:[Weight]],2,FALSE),0%)</f>
        <v>0</v>
      </c>
      <c r="BHW5" s="179">
        <f>IFERROR(VLOOKUP(BHW$1,Future[[Ticker]:[Weight]],2,FALSE),0%)</f>
        <v>0</v>
      </c>
      <c r="BHX5" s="179">
        <f>IFERROR(VLOOKUP(BHX$1,Future[[Ticker]:[Weight]],2,FALSE),0%)</f>
        <v>0</v>
      </c>
      <c r="BHY5" s="179">
        <f>IFERROR(VLOOKUP(BHY$1,Future[[Ticker]:[Weight]],2,FALSE),0%)</f>
        <v>0</v>
      </c>
      <c r="BHZ5" s="179">
        <f>IFERROR(VLOOKUP(BHZ$1,Future[[Ticker]:[Weight]],2,FALSE),0%)</f>
        <v>0</v>
      </c>
      <c r="BIA5" s="179">
        <f>IFERROR(VLOOKUP(BIA$1,Future[[Ticker]:[Weight]],2,FALSE),0%)</f>
        <v>0</v>
      </c>
      <c r="BIB5" s="179">
        <f>IFERROR(VLOOKUP(BIB$1,Future[[Ticker]:[Weight]],2,FALSE),0%)</f>
        <v>0</v>
      </c>
      <c r="BIC5" s="179">
        <f>IFERROR(VLOOKUP(BIC$1,Future[[Ticker]:[Weight]],2,FALSE),0%)</f>
        <v>0</v>
      </c>
      <c r="BID5" s="179">
        <f>IFERROR(VLOOKUP(BID$1,Future[[Ticker]:[Weight]],2,FALSE),0%)</f>
        <v>0</v>
      </c>
      <c r="BIE5" s="179">
        <f>IFERROR(VLOOKUP(BIE$1,Future[[Ticker]:[Weight]],2,FALSE),0%)</f>
        <v>0</v>
      </c>
      <c r="BIF5" s="179">
        <f>IFERROR(VLOOKUP(BIF$1,Future[[Ticker]:[Weight]],2,FALSE),0%)</f>
        <v>0</v>
      </c>
      <c r="BIG5" s="179">
        <f>IFERROR(VLOOKUP(BIG$1,Future[[Ticker]:[Weight]],2,FALSE),0%)</f>
        <v>0</v>
      </c>
      <c r="BIH5" s="179">
        <f>IFERROR(VLOOKUP(BIH$1,Future[[Ticker]:[Weight]],2,FALSE),0%)</f>
        <v>0</v>
      </c>
      <c r="BII5" s="179">
        <f>IFERROR(VLOOKUP(BII$1,Future[[Ticker]:[Weight]],2,FALSE),0%)</f>
        <v>0</v>
      </c>
      <c r="BIJ5" s="179">
        <f>IFERROR(VLOOKUP(BIJ$1,Future[[Ticker]:[Weight]],2,FALSE),0%)</f>
        <v>0</v>
      </c>
      <c r="BIK5" s="179">
        <f>IFERROR(VLOOKUP(BIK$1,Future[[Ticker]:[Weight]],2,FALSE),0%)</f>
        <v>0</v>
      </c>
      <c r="BIL5" s="179">
        <f>IFERROR(VLOOKUP(BIL$1,Future[[Ticker]:[Weight]],2,FALSE),0%)</f>
        <v>0</v>
      </c>
      <c r="BIM5" s="179">
        <f>IFERROR(VLOOKUP(BIM$1,Future[[Ticker]:[Weight]],2,FALSE),0%)</f>
        <v>0</v>
      </c>
      <c r="BIN5" s="179">
        <f>IFERROR(VLOOKUP(BIN$1,Future[[Ticker]:[Weight]],2,FALSE),0%)</f>
        <v>0</v>
      </c>
      <c r="BIO5" s="179">
        <f>IFERROR(VLOOKUP(BIO$1,Future[[Ticker]:[Weight]],2,FALSE),0%)</f>
        <v>0</v>
      </c>
      <c r="BIP5" s="179">
        <f>IFERROR(VLOOKUP(BIP$1,Future[[Ticker]:[Weight]],2,FALSE),0%)</f>
        <v>0</v>
      </c>
      <c r="BIQ5" s="179">
        <f>IFERROR(VLOOKUP(BIQ$1,Future[[Ticker]:[Weight]],2,FALSE),0%)</f>
        <v>0</v>
      </c>
      <c r="BIR5" s="179">
        <f>IFERROR(VLOOKUP(BIR$1,Future[[Ticker]:[Weight]],2,FALSE),0%)</f>
        <v>0</v>
      </c>
      <c r="BIS5" s="179">
        <f>IFERROR(VLOOKUP(BIS$1,Future[[Ticker]:[Weight]],2,FALSE),0%)</f>
        <v>0</v>
      </c>
      <c r="BIT5" s="179">
        <f>IFERROR(VLOOKUP(BIT$1,Future[[Ticker]:[Weight]],2,FALSE),0%)</f>
        <v>0</v>
      </c>
      <c r="BIU5" s="179">
        <f>IFERROR(VLOOKUP(BIU$1,Future[[Ticker]:[Weight]],2,FALSE),0%)</f>
        <v>0</v>
      </c>
      <c r="BIV5" s="179">
        <f>IFERROR(VLOOKUP(BIV$1,Future[[Ticker]:[Weight]],2,FALSE),0%)</f>
        <v>0</v>
      </c>
      <c r="BIW5" s="179">
        <f>IFERROR(VLOOKUP(BIW$1,Future[[Ticker]:[Weight]],2,FALSE),0%)</f>
        <v>0</v>
      </c>
      <c r="BIX5" s="179">
        <f>IFERROR(VLOOKUP(BIX$1,Future[[Ticker]:[Weight]],2,FALSE),0%)</f>
        <v>0</v>
      </c>
      <c r="BIY5" s="179">
        <f>IFERROR(VLOOKUP(BIY$1,Future[[Ticker]:[Weight]],2,FALSE),0%)</f>
        <v>0</v>
      </c>
      <c r="BIZ5" s="179">
        <f>IFERROR(VLOOKUP(BIZ$1,Future[[Ticker]:[Weight]],2,FALSE),0%)</f>
        <v>0</v>
      </c>
      <c r="BJA5" s="179">
        <f>IFERROR(VLOOKUP(BJA$1,Future[[Ticker]:[Weight]],2,FALSE),0%)</f>
        <v>0</v>
      </c>
      <c r="BJB5" s="179">
        <f>IFERROR(VLOOKUP(BJB$1,Future[[Ticker]:[Weight]],2,FALSE),0%)</f>
        <v>0</v>
      </c>
      <c r="BJC5" s="179">
        <f>IFERROR(VLOOKUP(BJC$1,Future[[Ticker]:[Weight]],2,FALSE),0%)</f>
        <v>0</v>
      </c>
      <c r="BJD5" s="179">
        <f>IFERROR(VLOOKUP(BJD$1,Future[[Ticker]:[Weight]],2,FALSE),0%)</f>
        <v>0</v>
      </c>
      <c r="BJE5" s="179">
        <f>IFERROR(VLOOKUP(BJE$1,Future[[Ticker]:[Weight]],2,FALSE),0%)</f>
        <v>0</v>
      </c>
      <c r="BJF5" s="179">
        <f>IFERROR(VLOOKUP(BJF$1,Future[[Ticker]:[Weight]],2,FALSE),0%)</f>
        <v>0</v>
      </c>
      <c r="BJG5" s="179">
        <f>IFERROR(VLOOKUP(BJG$1,Future[[Ticker]:[Weight]],2,FALSE),0%)</f>
        <v>0</v>
      </c>
      <c r="BJH5" s="179">
        <f>IFERROR(VLOOKUP(BJH$1,Future[[Ticker]:[Weight]],2,FALSE),0%)</f>
        <v>0</v>
      </c>
      <c r="BJI5" s="179">
        <f>IFERROR(VLOOKUP(BJI$1,Future[[Ticker]:[Weight]],2,FALSE),0%)</f>
        <v>0</v>
      </c>
      <c r="BJJ5" s="179">
        <f>IFERROR(VLOOKUP(BJJ$1,Future[[Ticker]:[Weight]],2,FALSE),0%)</f>
        <v>0</v>
      </c>
      <c r="BJK5" s="179">
        <f>IFERROR(VLOOKUP(BJK$1,Future[[Ticker]:[Weight]],2,FALSE),0%)</f>
        <v>0</v>
      </c>
      <c r="BJL5" s="179">
        <f>IFERROR(VLOOKUP(BJL$1,Future[[Ticker]:[Weight]],2,FALSE),0%)</f>
        <v>0</v>
      </c>
      <c r="BJM5" s="179">
        <f>IFERROR(VLOOKUP(BJM$1,Future[[Ticker]:[Weight]],2,FALSE),0%)</f>
        <v>0</v>
      </c>
      <c r="BJN5" s="179">
        <f>IFERROR(VLOOKUP(BJN$1,Future[[Ticker]:[Weight]],2,FALSE),0%)</f>
        <v>0</v>
      </c>
      <c r="BJO5" s="179">
        <f>IFERROR(VLOOKUP(BJO$1,Future[[Ticker]:[Weight]],2,FALSE),0%)</f>
        <v>0</v>
      </c>
      <c r="BJP5" s="179">
        <f>IFERROR(VLOOKUP(BJP$1,Future[[Ticker]:[Weight]],2,FALSE),0%)</f>
        <v>0</v>
      </c>
      <c r="BJQ5" s="179">
        <f>IFERROR(VLOOKUP(BJQ$1,Future[[Ticker]:[Weight]],2,FALSE),0%)</f>
        <v>0</v>
      </c>
      <c r="BJR5" s="179">
        <f>IFERROR(VLOOKUP(BJR$1,Future[[Ticker]:[Weight]],2,FALSE),0%)</f>
        <v>0</v>
      </c>
      <c r="BJS5" s="179">
        <f>IFERROR(VLOOKUP(BJS$1,Future[[Ticker]:[Weight]],2,FALSE),0%)</f>
        <v>0</v>
      </c>
      <c r="BJT5" s="179">
        <f>IFERROR(VLOOKUP(BJT$1,Future[[Ticker]:[Weight]],2,FALSE),0%)</f>
        <v>0</v>
      </c>
      <c r="BJU5" s="179">
        <f>IFERROR(VLOOKUP(BJU$1,Future[[Ticker]:[Weight]],2,FALSE),0%)</f>
        <v>0</v>
      </c>
      <c r="BJV5" s="179">
        <f>IFERROR(VLOOKUP(BJV$1,Future[[Ticker]:[Weight]],2,FALSE),0%)</f>
        <v>0</v>
      </c>
      <c r="BJW5" s="179">
        <f>IFERROR(VLOOKUP(BJW$1,Future[[Ticker]:[Weight]],2,FALSE),0%)</f>
        <v>0</v>
      </c>
      <c r="BJX5" s="179">
        <f>IFERROR(VLOOKUP(BJX$1,Future[[Ticker]:[Weight]],2,FALSE),0%)</f>
        <v>0</v>
      </c>
      <c r="BJY5" s="179">
        <f>IFERROR(VLOOKUP(BJY$1,Future[[Ticker]:[Weight]],2,FALSE),0%)</f>
        <v>0</v>
      </c>
      <c r="BJZ5" s="179">
        <f>IFERROR(VLOOKUP(BJZ$1,Future[[Ticker]:[Weight]],2,FALSE),0%)</f>
        <v>0</v>
      </c>
      <c r="BKA5" s="179">
        <f>IFERROR(VLOOKUP(BKA$1,Future[[Ticker]:[Weight]],2,FALSE),0%)</f>
        <v>0</v>
      </c>
      <c r="BKB5" s="179">
        <f>IFERROR(VLOOKUP(BKB$1,Future[[Ticker]:[Weight]],2,FALSE),0%)</f>
        <v>0</v>
      </c>
      <c r="BKC5" s="179">
        <f>IFERROR(VLOOKUP(BKC$1,Future[[Ticker]:[Weight]],2,FALSE),0%)</f>
        <v>0</v>
      </c>
      <c r="BKD5" s="179">
        <f>IFERROR(VLOOKUP(BKD$1,Future[[Ticker]:[Weight]],2,FALSE),0%)</f>
        <v>0</v>
      </c>
      <c r="BKE5" s="179">
        <f>IFERROR(VLOOKUP(BKE$1,Future[[Ticker]:[Weight]],2,FALSE),0%)</f>
        <v>0</v>
      </c>
      <c r="BKF5" s="179">
        <f>IFERROR(VLOOKUP(BKF$1,Future[[Ticker]:[Weight]],2,FALSE),0%)</f>
        <v>0</v>
      </c>
      <c r="BKG5" s="179">
        <f>IFERROR(VLOOKUP(BKG$1,Future[[Ticker]:[Weight]],2,FALSE),0%)</f>
        <v>0</v>
      </c>
      <c r="BKH5" s="179">
        <f>IFERROR(VLOOKUP(BKH$1,Future[[Ticker]:[Weight]],2,FALSE),0%)</f>
        <v>0</v>
      </c>
      <c r="BKI5" s="179">
        <f>IFERROR(VLOOKUP(BKI$1,Future[[Ticker]:[Weight]],2,FALSE),0%)</f>
        <v>0</v>
      </c>
      <c r="BKJ5" s="179">
        <f>IFERROR(VLOOKUP(BKJ$1,Future[[Ticker]:[Weight]],2,FALSE),0%)</f>
        <v>0</v>
      </c>
      <c r="BKK5" s="179">
        <f>IFERROR(VLOOKUP(BKK$1,Future[[Ticker]:[Weight]],2,FALSE),0%)</f>
        <v>0</v>
      </c>
      <c r="BKL5" s="179">
        <f>IFERROR(VLOOKUP(BKL$1,Future[[Ticker]:[Weight]],2,FALSE),0%)</f>
        <v>0</v>
      </c>
      <c r="BKM5" s="179">
        <f>IFERROR(VLOOKUP(BKM$1,Future[[Ticker]:[Weight]],2,FALSE),0%)</f>
        <v>0</v>
      </c>
      <c r="BKN5" s="179">
        <f>IFERROR(VLOOKUP(BKN$1,Future[[Ticker]:[Weight]],2,FALSE),0%)</f>
        <v>0</v>
      </c>
      <c r="BKO5" s="179">
        <f>IFERROR(VLOOKUP(BKO$1,Future[[Ticker]:[Weight]],2,FALSE),0%)</f>
        <v>0</v>
      </c>
      <c r="BKP5" s="179">
        <f>IFERROR(VLOOKUP(BKP$1,Future[[Ticker]:[Weight]],2,FALSE),0%)</f>
        <v>0</v>
      </c>
      <c r="BKQ5" s="179">
        <f>IFERROR(VLOOKUP(BKQ$1,Future[[Ticker]:[Weight]],2,FALSE),0%)</f>
        <v>0</v>
      </c>
      <c r="BKR5" s="179">
        <f>IFERROR(VLOOKUP(BKR$1,Future[[Ticker]:[Weight]],2,FALSE),0%)</f>
        <v>0</v>
      </c>
      <c r="BKS5" s="179">
        <f>IFERROR(VLOOKUP(BKS$1,Future[[Ticker]:[Weight]],2,FALSE),0%)</f>
        <v>0</v>
      </c>
      <c r="BKT5" s="179">
        <f>IFERROR(VLOOKUP(BKT$1,Future[[Ticker]:[Weight]],2,FALSE),0%)</f>
        <v>0</v>
      </c>
      <c r="BKU5" s="179">
        <f>IFERROR(VLOOKUP(BKU$1,Future[[Ticker]:[Weight]],2,FALSE),0%)</f>
        <v>0</v>
      </c>
      <c r="BKV5" s="179">
        <f>IFERROR(VLOOKUP(BKV$1,Future[[Ticker]:[Weight]],2,FALSE),0%)</f>
        <v>0</v>
      </c>
      <c r="BKW5" s="179">
        <f>IFERROR(VLOOKUP(BKW$1,Future[[Ticker]:[Weight]],2,FALSE),0%)</f>
        <v>0</v>
      </c>
      <c r="BKX5" s="179">
        <f>IFERROR(VLOOKUP(BKX$1,Future[[Ticker]:[Weight]],2,FALSE),0%)</f>
        <v>0</v>
      </c>
      <c r="BKY5" s="179">
        <f>IFERROR(VLOOKUP(BKY$1,Future[[Ticker]:[Weight]],2,FALSE),0%)</f>
        <v>0</v>
      </c>
      <c r="BKZ5" s="179">
        <f>IFERROR(VLOOKUP(BKZ$1,Future[[Ticker]:[Weight]],2,FALSE),0%)</f>
        <v>0</v>
      </c>
      <c r="BLA5" s="179">
        <f>IFERROR(VLOOKUP(BLA$1,Future[[Ticker]:[Weight]],2,FALSE),0%)</f>
        <v>0</v>
      </c>
      <c r="BLB5" s="179">
        <f>IFERROR(VLOOKUP(BLB$1,Future[[Ticker]:[Weight]],2,FALSE),0%)</f>
        <v>0</v>
      </c>
      <c r="BLC5" s="179">
        <f>IFERROR(VLOOKUP(BLC$1,Future[[Ticker]:[Weight]],2,FALSE),0%)</f>
        <v>0</v>
      </c>
      <c r="BLD5" s="179">
        <f>IFERROR(VLOOKUP(BLD$1,Future[[Ticker]:[Weight]],2,FALSE),0%)</f>
        <v>0</v>
      </c>
      <c r="BLE5" s="179">
        <f>IFERROR(VLOOKUP(BLE$1,Future[[Ticker]:[Weight]],2,FALSE),0%)</f>
        <v>0</v>
      </c>
      <c r="BLF5" s="179">
        <f>IFERROR(VLOOKUP(BLF$1,Future[[Ticker]:[Weight]],2,FALSE),0%)</f>
        <v>0</v>
      </c>
      <c r="BLG5" s="179">
        <f>IFERROR(VLOOKUP(BLG$1,Future[[Ticker]:[Weight]],2,FALSE),0%)</f>
        <v>0</v>
      </c>
      <c r="BLH5" s="179">
        <f>IFERROR(VLOOKUP(BLH$1,Future[[Ticker]:[Weight]],2,FALSE),0%)</f>
        <v>0</v>
      </c>
      <c r="BLI5" s="179">
        <f>IFERROR(VLOOKUP(BLI$1,Future[[Ticker]:[Weight]],2,FALSE),0%)</f>
        <v>0</v>
      </c>
      <c r="BLJ5" s="179">
        <f>IFERROR(VLOOKUP(BLJ$1,Future[[Ticker]:[Weight]],2,FALSE),0%)</f>
        <v>0</v>
      </c>
      <c r="BLK5" s="179">
        <f>IFERROR(VLOOKUP(BLK$1,Future[[Ticker]:[Weight]],2,FALSE),0%)</f>
        <v>0</v>
      </c>
      <c r="BLL5" s="179">
        <f>IFERROR(VLOOKUP(BLL$1,Future[[Ticker]:[Weight]],2,FALSE),0%)</f>
        <v>0</v>
      </c>
      <c r="BLM5" s="179">
        <f>IFERROR(VLOOKUP(BLM$1,Future[[Ticker]:[Weight]],2,FALSE),0%)</f>
        <v>0</v>
      </c>
      <c r="BLN5" s="179">
        <f>IFERROR(VLOOKUP(BLN$1,Future[[Ticker]:[Weight]],2,FALSE),0%)</f>
        <v>0</v>
      </c>
      <c r="BLO5" s="179">
        <f>IFERROR(VLOOKUP(BLO$1,Future[[Ticker]:[Weight]],2,FALSE),0%)</f>
        <v>0</v>
      </c>
      <c r="BLP5" s="179">
        <f>IFERROR(VLOOKUP(BLP$1,Future[[Ticker]:[Weight]],2,FALSE),0%)</f>
        <v>0</v>
      </c>
      <c r="BLQ5" s="179">
        <f>IFERROR(VLOOKUP(BLQ$1,Future[[Ticker]:[Weight]],2,FALSE),0%)</f>
        <v>0</v>
      </c>
      <c r="BLR5" s="179">
        <f>IFERROR(VLOOKUP(BLR$1,Future[[Ticker]:[Weight]],2,FALSE),0%)</f>
        <v>0</v>
      </c>
      <c r="BLS5" s="179">
        <f>IFERROR(VLOOKUP(BLS$1,Future[[Ticker]:[Weight]],2,FALSE),0%)</f>
        <v>0</v>
      </c>
      <c r="BLT5" s="179">
        <f>IFERROR(VLOOKUP(BLT$1,Future[[Ticker]:[Weight]],2,FALSE),0%)</f>
        <v>0</v>
      </c>
      <c r="BLU5" s="179">
        <f>IFERROR(VLOOKUP(BLU$1,Future[[Ticker]:[Weight]],2,FALSE),0%)</f>
        <v>0</v>
      </c>
      <c r="BLV5" s="179">
        <f>IFERROR(VLOOKUP(BLV$1,Future[[Ticker]:[Weight]],2,FALSE),0%)</f>
        <v>0</v>
      </c>
      <c r="BLW5" s="179">
        <f>IFERROR(VLOOKUP(BLW$1,Future[[Ticker]:[Weight]],2,FALSE),0%)</f>
        <v>0</v>
      </c>
      <c r="BLX5" s="179">
        <f>IFERROR(VLOOKUP(BLX$1,Future[[Ticker]:[Weight]],2,FALSE),0%)</f>
        <v>0</v>
      </c>
      <c r="BLY5" s="179">
        <f>IFERROR(VLOOKUP(BLY$1,Future[[Ticker]:[Weight]],2,FALSE),0%)</f>
        <v>0</v>
      </c>
      <c r="BLZ5" s="179">
        <f>IFERROR(VLOOKUP(BLZ$1,Future[[Ticker]:[Weight]],2,FALSE),0%)</f>
        <v>0</v>
      </c>
      <c r="BMA5" s="179">
        <f>IFERROR(VLOOKUP(BMA$1,Future[[Ticker]:[Weight]],2,FALSE),0%)</f>
        <v>0</v>
      </c>
      <c r="BMB5" s="179">
        <f>IFERROR(VLOOKUP(BMB$1,Future[[Ticker]:[Weight]],2,FALSE),0%)</f>
        <v>0</v>
      </c>
      <c r="BMC5" s="179">
        <f>IFERROR(VLOOKUP(BMC$1,Future[[Ticker]:[Weight]],2,FALSE),0%)</f>
        <v>0</v>
      </c>
      <c r="BMD5" s="179">
        <f>IFERROR(VLOOKUP(BMD$1,Future[[Ticker]:[Weight]],2,FALSE),0%)</f>
        <v>0</v>
      </c>
      <c r="BME5" s="179">
        <f>IFERROR(VLOOKUP(BME$1,Future[[Ticker]:[Weight]],2,FALSE),0%)</f>
        <v>0</v>
      </c>
      <c r="BMF5" s="179">
        <f>IFERROR(VLOOKUP(BMF$1,Future[[Ticker]:[Weight]],2,FALSE),0%)</f>
        <v>0</v>
      </c>
      <c r="BMG5" s="179">
        <f>IFERROR(VLOOKUP(BMG$1,Future[[Ticker]:[Weight]],2,FALSE),0%)</f>
        <v>0</v>
      </c>
      <c r="BMH5" s="179">
        <f>IFERROR(VLOOKUP(BMH$1,Future[[Ticker]:[Weight]],2,FALSE),0%)</f>
        <v>0</v>
      </c>
      <c r="BMI5" s="179">
        <f>IFERROR(VLOOKUP(BMI$1,Future[[Ticker]:[Weight]],2,FALSE),0%)</f>
        <v>0</v>
      </c>
      <c r="BMJ5" s="179">
        <f>IFERROR(VLOOKUP(BMJ$1,Future[[Ticker]:[Weight]],2,FALSE),0%)</f>
        <v>0</v>
      </c>
      <c r="BMK5" s="179">
        <f>IFERROR(VLOOKUP(BMK$1,Future[[Ticker]:[Weight]],2,FALSE),0%)</f>
        <v>0</v>
      </c>
      <c r="BML5" s="179">
        <f>IFERROR(VLOOKUP(BML$1,Future[[Ticker]:[Weight]],2,FALSE),0%)</f>
        <v>0</v>
      </c>
      <c r="BMM5" s="179">
        <f>IFERROR(VLOOKUP(BMM$1,Future[[Ticker]:[Weight]],2,FALSE),0%)</f>
        <v>0</v>
      </c>
      <c r="BMN5" s="179">
        <f>IFERROR(VLOOKUP(BMN$1,Future[[Ticker]:[Weight]],2,FALSE),0%)</f>
        <v>0</v>
      </c>
      <c r="BMO5" s="179">
        <f>IFERROR(VLOOKUP(BMO$1,Future[[Ticker]:[Weight]],2,FALSE),0%)</f>
        <v>0</v>
      </c>
      <c r="BMP5" s="179">
        <f>IFERROR(VLOOKUP(BMP$1,Future[[Ticker]:[Weight]],2,FALSE),0%)</f>
        <v>0</v>
      </c>
      <c r="BMQ5" s="179">
        <f>IFERROR(VLOOKUP(BMQ$1,Future[[Ticker]:[Weight]],2,FALSE),0%)</f>
        <v>0</v>
      </c>
      <c r="BMR5" s="179">
        <f>IFERROR(VLOOKUP(BMR$1,Future[[Ticker]:[Weight]],2,FALSE),0%)</f>
        <v>0</v>
      </c>
      <c r="BMS5" s="179">
        <f>IFERROR(VLOOKUP(BMS$1,Future[[Ticker]:[Weight]],2,FALSE),0%)</f>
        <v>0</v>
      </c>
      <c r="BMT5" s="179">
        <f>IFERROR(VLOOKUP(BMT$1,Future[[Ticker]:[Weight]],2,FALSE),0%)</f>
        <v>0</v>
      </c>
      <c r="BMU5" s="179">
        <f>IFERROR(VLOOKUP(BMU$1,Future[[Ticker]:[Weight]],2,FALSE),0%)</f>
        <v>0</v>
      </c>
      <c r="BMV5" s="179">
        <f>IFERROR(VLOOKUP(BMV$1,Future[[Ticker]:[Weight]],2,FALSE),0%)</f>
        <v>0</v>
      </c>
      <c r="BMW5" s="179">
        <f>IFERROR(VLOOKUP(BMW$1,Future[[Ticker]:[Weight]],2,FALSE),0%)</f>
        <v>0</v>
      </c>
      <c r="BMX5" s="179">
        <f>IFERROR(VLOOKUP(BMX$1,Future[[Ticker]:[Weight]],2,FALSE),0%)</f>
        <v>0</v>
      </c>
      <c r="BMY5" s="179">
        <f>IFERROR(VLOOKUP(BMY$1,Future[[Ticker]:[Weight]],2,FALSE),0%)</f>
        <v>0</v>
      </c>
      <c r="BMZ5" s="179">
        <f>IFERROR(VLOOKUP(BMZ$1,Future[[Ticker]:[Weight]],2,FALSE),0%)</f>
        <v>0</v>
      </c>
      <c r="BNA5" s="179">
        <f>IFERROR(VLOOKUP(BNA$1,Future[[Ticker]:[Weight]],2,FALSE),0%)</f>
        <v>0</v>
      </c>
      <c r="BNB5" s="179">
        <f>IFERROR(VLOOKUP(BNB$1,Future[[Ticker]:[Weight]],2,FALSE),0%)</f>
        <v>0</v>
      </c>
      <c r="BNC5" s="179">
        <f>IFERROR(VLOOKUP(BNC$1,Future[[Ticker]:[Weight]],2,FALSE),0%)</f>
        <v>0</v>
      </c>
      <c r="BND5" s="179">
        <f>IFERROR(VLOOKUP(BND$1,Future[[Ticker]:[Weight]],2,FALSE),0%)</f>
        <v>0</v>
      </c>
      <c r="BNE5" s="179">
        <f>IFERROR(VLOOKUP(BNE$1,Future[[Ticker]:[Weight]],2,FALSE),0%)</f>
        <v>0</v>
      </c>
      <c r="BNF5" s="179">
        <f>IFERROR(VLOOKUP(BNF$1,Future[[Ticker]:[Weight]],2,FALSE),0%)</f>
        <v>0</v>
      </c>
      <c r="BNG5" s="179">
        <f>IFERROR(VLOOKUP(BNG$1,Future[[Ticker]:[Weight]],2,FALSE),0%)</f>
        <v>0</v>
      </c>
      <c r="BNH5" s="179">
        <f>IFERROR(VLOOKUP(BNH$1,Future[[Ticker]:[Weight]],2,FALSE),0%)</f>
        <v>0</v>
      </c>
      <c r="BNI5" s="179">
        <f>IFERROR(VLOOKUP(BNI$1,Future[[Ticker]:[Weight]],2,FALSE),0%)</f>
        <v>0</v>
      </c>
      <c r="BNJ5" s="179">
        <f>IFERROR(VLOOKUP(BNJ$1,Future[[Ticker]:[Weight]],2,FALSE),0%)</f>
        <v>0</v>
      </c>
      <c r="BNK5" s="179">
        <f>IFERROR(VLOOKUP(BNK$1,Future[[Ticker]:[Weight]],2,FALSE),0%)</f>
        <v>0</v>
      </c>
      <c r="BNL5" s="179">
        <f>IFERROR(VLOOKUP(BNL$1,Future[[Ticker]:[Weight]],2,FALSE),0%)</f>
        <v>0</v>
      </c>
      <c r="BNM5" s="179">
        <f>IFERROR(VLOOKUP(BNM$1,Future[[Ticker]:[Weight]],2,FALSE),0%)</f>
        <v>0</v>
      </c>
      <c r="BNN5" s="179">
        <f>IFERROR(VLOOKUP(BNN$1,Future[[Ticker]:[Weight]],2,FALSE),0%)</f>
        <v>0</v>
      </c>
      <c r="BNO5" s="179">
        <f>IFERROR(VLOOKUP(BNO$1,Future[[Ticker]:[Weight]],2,FALSE),0%)</f>
        <v>0</v>
      </c>
      <c r="BNP5" s="179">
        <f>IFERROR(VLOOKUP(BNP$1,Future[[Ticker]:[Weight]],2,FALSE),0%)</f>
        <v>0</v>
      </c>
      <c r="BNQ5" s="179">
        <f>IFERROR(VLOOKUP(BNQ$1,Future[[Ticker]:[Weight]],2,FALSE),0%)</f>
        <v>0</v>
      </c>
      <c r="BNR5" s="179">
        <f>IFERROR(VLOOKUP(BNR$1,Future[[Ticker]:[Weight]],2,FALSE),0%)</f>
        <v>0</v>
      </c>
      <c r="BNS5" s="179">
        <f>IFERROR(VLOOKUP(BNS$1,Future[[Ticker]:[Weight]],2,FALSE),0%)</f>
        <v>0</v>
      </c>
      <c r="BNT5" s="179">
        <f>IFERROR(VLOOKUP(BNT$1,Future[[Ticker]:[Weight]],2,FALSE),0%)</f>
        <v>0</v>
      </c>
      <c r="BNU5" s="179">
        <f>IFERROR(VLOOKUP(BNU$1,Future[[Ticker]:[Weight]],2,FALSE),0%)</f>
        <v>0</v>
      </c>
      <c r="BNV5" s="179">
        <f>IFERROR(VLOOKUP(BNV$1,Future[[Ticker]:[Weight]],2,FALSE),0%)</f>
        <v>0</v>
      </c>
      <c r="BNW5" s="179">
        <f>IFERROR(VLOOKUP(BNW$1,Future[[Ticker]:[Weight]],2,FALSE),0%)</f>
        <v>0</v>
      </c>
      <c r="BNX5" s="179">
        <f>IFERROR(VLOOKUP(BNX$1,Future[[Ticker]:[Weight]],2,FALSE),0%)</f>
        <v>0</v>
      </c>
      <c r="BNY5" s="179">
        <f>IFERROR(VLOOKUP(BNY$1,Future[[Ticker]:[Weight]],2,FALSE),0%)</f>
        <v>0</v>
      </c>
      <c r="BNZ5" s="179">
        <f>IFERROR(VLOOKUP(BNZ$1,Future[[Ticker]:[Weight]],2,FALSE),0%)</f>
        <v>0</v>
      </c>
      <c r="BOA5" s="179">
        <f>IFERROR(VLOOKUP(BOA$1,Future[[Ticker]:[Weight]],2,FALSE),0%)</f>
        <v>0</v>
      </c>
      <c r="BOB5" s="179">
        <f>IFERROR(VLOOKUP(BOB$1,Future[[Ticker]:[Weight]],2,FALSE),0%)</f>
        <v>0</v>
      </c>
      <c r="BOC5" s="179">
        <f>IFERROR(VLOOKUP(BOC$1,Future[[Ticker]:[Weight]],2,FALSE),0%)</f>
        <v>0</v>
      </c>
      <c r="BOD5" s="179">
        <f>IFERROR(VLOOKUP(BOD$1,Future[[Ticker]:[Weight]],2,FALSE),0%)</f>
        <v>0</v>
      </c>
      <c r="BOE5" s="179">
        <f>IFERROR(VLOOKUP(BOE$1,Future[[Ticker]:[Weight]],2,FALSE),0%)</f>
        <v>0</v>
      </c>
      <c r="BOF5" s="179">
        <f>IFERROR(VLOOKUP(BOF$1,Future[[Ticker]:[Weight]],2,FALSE),0%)</f>
        <v>0</v>
      </c>
      <c r="BOG5" s="179">
        <f>IFERROR(VLOOKUP(BOG$1,Future[[Ticker]:[Weight]],2,FALSE),0%)</f>
        <v>0</v>
      </c>
      <c r="BOH5" s="179">
        <f>IFERROR(VLOOKUP(BOH$1,Future[[Ticker]:[Weight]],2,FALSE),0%)</f>
        <v>0</v>
      </c>
      <c r="BOI5" s="179">
        <f>IFERROR(VLOOKUP(BOI$1,Future[[Ticker]:[Weight]],2,FALSE),0%)</f>
        <v>0</v>
      </c>
      <c r="BOJ5" s="179">
        <f>IFERROR(VLOOKUP(BOJ$1,Future[[Ticker]:[Weight]],2,FALSE),0%)</f>
        <v>0</v>
      </c>
      <c r="BOK5" s="179">
        <f>IFERROR(VLOOKUP(BOK$1,Future[[Ticker]:[Weight]],2,FALSE),0%)</f>
        <v>0</v>
      </c>
      <c r="BOL5" s="179">
        <f>IFERROR(VLOOKUP(BOL$1,Future[[Ticker]:[Weight]],2,FALSE),0%)</f>
        <v>0</v>
      </c>
      <c r="BOM5" s="179">
        <f>IFERROR(VLOOKUP(BOM$1,Future[[Ticker]:[Weight]],2,FALSE),0%)</f>
        <v>0</v>
      </c>
      <c r="BON5" s="179">
        <f>IFERROR(VLOOKUP(BON$1,Future[[Ticker]:[Weight]],2,FALSE),0%)</f>
        <v>0</v>
      </c>
      <c r="BOO5" s="179">
        <f>IFERROR(VLOOKUP(BOO$1,Future[[Ticker]:[Weight]],2,FALSE),0%)</f>
        <v>0</v>
      </c>
      <c r="BOP5" s="179">
        <f>IFERROR(VLOOKUP(BOP$1,Future[[Ticker]:[Weight]],2,FALSE),0%)</f>
        <v>0</v>
      </c>
      <c r="BOQ5" s="179">
        <f>IFERROR(VLOOKUP(BOQ$1,Future[[Ticker]:[Weight]],2,FALSE),0%)</f>
        <v>0</v>
      </c>
      <c r="BOR5" s="179">
        <f>IFERROR(VLOOKUP(BOR$1,Future[[Ticker]:[Weight]],2,FALSE),0%)</f>
        <v>0</v>
      </c>
      <c r="BOS5" s="179">
        <f>IFERROR(VLOOKUP(BOS$1,Future[[Ticker]:[Weight]],2,FALSE),0%)</f>
        <v>0</v>
      </c>
      <c r="BOT5" s="179">
        <f>IFERROR(VLOOKUP(BOT$1,Future[[Ticker]:[Weight]],2,FALSE),0%)</f>
        <v>0</v>
      </c>
      <c r="BOU5" s="179">
        <f>IFERROR(VLOOKUP(BOU$1,Future[[Ticker]:[Weight]],2,FALSE),0%)</f>
        <v>0</v>
      </c>
      <c r="BOV5" s="179">
        <f>IFERROR(VLOOKUP(BOV$1,Future[[Ticker]:[Weight]],2,FALSE),0%)</f>
        <v>0</v>
      </c>
      <c r="BOW5" s="179">
        <f>IFERROR(VLOOKUP(BOW$1,Future[[Ticker]:[Weight]],2,FALSE),0%)</f>
        <v>0</v>
      </c>
      <c r="BOX5" s="179">
        <f>IFERROR(VLOOKUP(BOX$1,Future[[Ticker]:[Weight]],2,FALSE),0%)</f>
        <v>0</v>
      </c>
      <c r="BOY5" s="179">
        <f>IFERROR(VLOOKUP(BOY$1,Future[[Ticker]:[Weight]],2,FALSE),0%)</f>
        <v>0</v>
      </c>
      <c r="BOZ5" s="179">
        <f>IFERROR(VLOOKUP(BOZ$1,Future[[Ticker]:[Weight]],2,FALSE),0%)</f>
        <v>0</v>
      </c>
      <c r="BPA5" s="179">
        <f>IFERROR(VLOOKUP(BPA$1,Future[[Ticker]:[Weight]],2,FALSE),0%)</f>
        <v>0</v>
      </c>
      <c r="BPB5" s="179">
        <f>IFERROR(VLOOKUP(BPB$1,Future[[Ticker]:[Weight]],2,FALSE),0%)</f>
        <v>0</v>
      </c>
      <c r="BPC5" s="179">
        <f>IFERROR(VLOOKUP(BPC$1,Future[[Ticker]:[Weight]],2,FALSE),0%)</f>
        <v>0</v>
      </c>
      <c r="BPD5" s="179">
        <f>IFERROR(VLOOKUP(BPD$1,Future[[Ticker]:[Weight]],2,FALSE),0%)</f>
        <v>0</v>
      </c>
      <c r="BPE5" s="179">
        <f>IFERROR(VLOOKUP(BPE$1,Future[[Ticker]:[Weight]],2,FALSE),0%)</f>
        <v>0</v>
      </c>
      <c r="BPF5" s="179">
        <f>IFERROR(VLOOKUP(BPF$1,Future[[Ticker]:[Weight]],2,FALSE),0%)</f>
        <v>0</v>
      </c>
      <c r="BPG5" s="179">
        <f>IFERROR(VLOOKUP(BPG$1,Future[[Ticker]:[Weight]],2,FALSE),0%)</f>
        <v>0</v>
      </c>
      <c r="BPH5" s="179">
        <f>IFERROR(VLOOKUP(BPH$1,Future[[Ticker]:[Weight]],2,FALSE),0%)</f>
        <v>0</v>
      </c>
      <c r="BPI5" s="179">
        <f>IFERROR(VLOOKUP(BPI$1,Future[[Ticker]:[Weight]],2,FALSE),0%)</f>
        <v>0</v>
      </c>
      <c r="BPJ5" s="179">
        <f>IFERROR(VLOOKUP(BPJ$1,Future[[Ticker]:[Weight]],2,FALSE),0%)</f>
        <v>0</v>
      </c>
      <c r="BPK5" s="179">
        <f>IFERROR(VLOOKUP(BPK$1,Future[[Ticker]:[Weight]],2,FALSE),0%)</f>
        <v>0</v>
      </c>
      <c r="BPL5" s="179">
        <f>IFERROR(VLOOKUP(BPL$1,Future[[Ticker]:[Weight]],2,FALSE),0%)</f>
        <v>0</v>
      </c>
      <c r="BPM5" s="179">
        <f>IFERROR(VLOOKUP(BPM$1,Future[[Ticker]:[Weight]],2,FALSE),0%)</f>
        <v>0</v>
      </c>
      <c r="BPN5" s="179">
        <f>IFERROR(VLOOKUP(BPN$1,Future[[Ticker]:[Weight]],2,FALSE),0%)</f>
        <v>0</v>
      </c>
      <c r="BPO5" s="179">
        <f>IFERROR(VLOOKUP(BPO$1,Future[[Ticker]:[Weight]],2,FALSE),0%)</f>
        <v>0</v>
      </c>
      <c r="BPP5" s="179">
        <f>IFERROR(VLOOKUP(BPP$1,Future[[Ticker]:[Weight]],2,FALSE),0%)</f>
        <v>0</v>
      </c>
      <c r="BPQ5" s="179">
        <f>IFERROR(VLOOKUP(BPQ$1,Future[[Ticker]:[Weight]],2,FALSE),0%)</f>
        <v>0</v>
      </c>
      <c r="BPR5" s="179">
        <f>IFERROR(VLOOKUP(BPR$1,Future[[Ticker]:[Weight]],2,FALSE),0%)</f>
        <v>0</v>
      </c>
      <c r="BPS5" s="179">
        <f>IFERROR(VLOOKUP(BPS$1,Future[[Ticker]:[Weight]],2,FALSE),0%)</f>
        <v>0</v>
      </c>
      <c r="BPT5" s="179">
        <f>IFERROR(VLOOKUP(BPT$1,Future[[Ticker]:[Weight]],2,FALSE),0%)</f>
        <v>0</v>
      </c>
      <c r="BPU5" s="179">
        <f>IFERROR(VLOOKUP(BPU$1,Future[[Ticker]:[Weight]],2,FALSE),0%)</f>
        <v>0</v>
      </c>
      <c r="BPV5" s="179">
        <f>IFERROR(VLOOKUP(BPV$1,Future[[Ticker]:[Weight]],2,FALSE),0%)</f>
        <v>0</v>
      </c>
      <c r="BPW5" s="179">
        <f>IFERROR(VLOOKUP(BPW$1,Future[[Ticker]:[Weight]],2,FALSE),0%)</f>
        <v>0</v>
      </c>
      <c r="BPX5" s="179">
        <f>IFERROR(VLOOKUP(BPX$1,Future[[Ticker]:[Weight]],2,FALSE),0%)</f>
        <v>0</v>
      </c>
      <c r="BPY5" s="179">
        <f>IFERROR(VLOOKUP(BPY$1,Future[[Ticker]:[Weight]],2,FALSE),0%)</f>
        <v>0</v>
      </c>
      <c r="BPZ5" s="179">
        <f>IFERROR(VLOOKUP(BPZ$1,Future[[Ticker]:[Weight]],2,FALSE),0%)</f>
        <v>0</v>
      </c>
      <c r="BQA5" s="179">
        <f>IFERROR(VLOOKUP(BQA$1,Future[[Ticker]:[Weight]],2,FALSE),0%)</f>
        <v>0</v>
      </c>
      <c r="BQB5" s="179">
        <f>IFERROR(VLOOKUP(BQB$1,Future[[Ticker]:[Weight]],2,FALSE),0%)</f>
        <v>0</v>
      </c>
      <c r="BQC5" s="179">
        <f>IFERROR(VLOOKUP(BQC$1,Future[[Ticker]:[Weight]],2,FALSE),0%)</f>
        <v>0</v>
      </c>
      <c r="BQD5" s="179">
        <f>IFERROR(VLOOKUP(BQD$1,Future[[Ticker]:[Weight]],2,FALSE),0%)</f>
        <v>0</v>
      </c>
      <c r="BQE5" s="179">
        <f>IFERROR(VLOOKUP(BQE$1,Future[[Ticker]:[Weight]],2,FALSE),0%)</f>
        <v>0</v>
      </c>
      <c r="BQF5" s="179">
        <f>IFERROR(VLOOKUP(BQF$1,Future[[Ticker]:[Weight]],2,FALSE),0%)</f>
        <v>0</v>
      </c>
      <c r="BQG5" s="179">
        <f>IFERROR(VLOOKUP(BQG$1,Future[[Ticker]:[Weight]],2,FALSE),0%)</f>
        <v>0</v>
      </c>
      <c r="BQH5" s="179">
        <f>IFERROR(VLOOKUP(BQH$1,Future[[Ticker]:[Weight]],2,FALSE),0%)</f>
        <v>0</v>
      </c>
      <c r="BQI5" s="179">
        <f>IFERROR(VLOOKUP(BQI$1,Future[[Ticker]:[Weight]],2,FALSE),0%)</f>
        <v>0</v>
      </c>
      <c r="BQJ5" s="179">
        <f>IFERROR(VLOOKUP(BQJ$1,Future[[Ticker]:[Weight]],2,FALSE),0%)</f>
        <v>0</v>
      </c>
      <c r="BQK5" s="179">
        <f>IFERROR(VLOOKUP(BQK$1,Future[[Ticker]:[Weight]],2,FALSE),0%)</f>
        <v>0</v>
      </c>
      <c r="BQL5" s="179">
        <f>IFERROR(VLOOKUP(BQL$1,Future[[Ticker]:[Weight]],2,FALSE),0%)</f>
        <v>0</v>
      </c>
      <c r="BQM5" s="179">
        <f>IFERROR(VLOOKUP(BQM$1,Future[[Ticker]:[Weight]],2,FALSE),0%)</f>
        <v>0</v>
      </c>
      <c r="BQN5" s="179">
        <f>IFERROR(VLOOKUP(BQN$1,Future[[Ticker]:[Weight]],2,FALSE),0%)</f>
        <v>0</v>
      </c>
      <c r="BQO5" s="179">
        <f>IFERROR(VLOOKUP(BQO$1,Future[[Ticker]:[Weight]],2,FALSE),0%)</f>
        <v>0</v>
      </c>
      <c r="BQP5" s="179">
        <f>IFERROR(VLOOKUP(BQP$1,Future[[Ticker]:[Weight]],2,FALSE),0%)</f>
        <v>0</v>
      </c>
      <c r="BQQ5" s="179">
        <f>IFERROR(VLOOKUP(BQQ$1,Future[[Ticker]:[Weight]],2,FALSE),0%)</f>
        <v>0</v>
      </c>
      <c r="BQR5" s="179">
        <f>IFERROR(VLOOKUP(BQR$1,Future[[Ticker]:[Weight]],2,FALSE),0%)</f>
        <v>0</v>
      </c>
      <c r="BQS5" s="179">
        <f>IFERROR(VLOOKUP(BQS$1,Future[[Ticker]:[Weight]],2,FALSE),0%)</f>
        <v>0</v>
      </c>
      <c r="BQT5" s="179">
        <f>IFERROR(VLOOKUP(BQT$1,Future[[Ticker]:[Weight]],2,FALSE),0%)</f>
        <v>0</v>
      </c>
      <c r="BQU5" s="179">
        <f>IFERROR(VLOOKUP(BQU$1,Future[[Ticker]:[Weight]],2,FALSE),0%)</f>
        <v>0</v>
      </c>
      <c r="BQV5" s="179">
        <f>IFERROR(VLOOKUP(BQV$1,Future[[Ticker]:[Weight]],2,FALSE),0%)</f>
        <v>0</v>
      </c>
      <c r="BQW5" s="179">
        <f>IFERROR(VLOOKUP(BQW$1,Future[[Ticker]:[Weight]],2,FALSE),0%)</f>
        <v>0</v>
      </c>
      <c r="BQX5" s="179">
        <f>IFERROR(VLOOKUP(BQX$1,Future[[Ticker]:[Weight]],2,FALSE),0%)</f>
        <v>0</v>
      </c>
      <c r="BQY5" s="179">
        <f>IFERROR(VLOOKUP(BQY$1,Future[[Ticker]:[Weight]],2,FALSE),0%)</f>
        <v>0</v>
      </c>
      <c r="BQZ5" s="179">
        <f>IFERROR(VLOOKUP(BQZ$1,Future[[Ticker]:[Weight]],2,FALSE),0%)</f>
        <v>0</v>
      </c>
      <c r="BRA5" s="179">
        <f>IFERROR(VLOOKUP(BRA$1,Future[[Ticker]:[Weight]],2,FALSE),0%)</f>
        <v>0</v>
      </c>
      <c r="BRB5" s="179">
        <f>IFERROR(VLOOKUP(BRB$1,Future[[Ticker]:[Weight]],2,FALSE),0%)</f>
        <v>0</v>
      </c>
      <c r="BRC5" s="179">
        <f>IFERROR(VLOOKUP(BRC$1,Future[[Ticker]:[Weight]],2,FALSE),0%)</f>
        <v>0</v>
      </c>
      <c r="BRD5" s="179">
        <f>IFERROR(VLOOKUP(BRD$1,Future[[Ticker]:[Weight]],2,FALSE),0%)</f>
        <v>0</v>
      </c>
      <c r="BRE5" s="179">
        <f>IFERROR(VLOOKUP(BRE$1,Future[[Ticker]:[Weight]],2,FALSE),0%)</f>
        <v>0</v>
      </c>
      <c r="BRF5" s="179">
        <f>IFERROR(VLOOKUP(BRF$1,Future[[Ticker]:[Weight]],2,FALSE),0%)</f>
        <v>0</v>
      </c>
      <c r="BRG5" s="179">
        <f>IFERROR(VLOOKUP(BRG$1,Future[[Ticker]:[Weight]],2,FALSE),0%)</f>
        <v>0</v>
      </c>
      <c r="BRH5" s="179">
        <f>IFERROR(VLOOKUP(BRH$1,Future[[Ticker]:[Weight]],2,FALSE),0%)</f>
        <v>0</v>
      </c>
      <c r="BRI5" s="179">
        <f>IFERROR(VLOOKUP(BRI$1,Future[[Ticker]:[Weight]],2,FALSE),0%)</f>
        <v>0</v>
      </c>
      <c r="BRJ5" s="179">
        <f>IFERROR(VLOOKUP(BRJ$1,Future[[Ticker]:[Weight]],2,FALSE),0%)</f>
        <v>0</v>
      </c>
      <c r="BRK5" s="179">
        <f>IFERROR(VLOOKUP(BRK$1,Future[[Ticker]:[Weight]],2,FALSE),0%)</f>
        <v>0</v>
      </c>
      <c r="BRL5" s="179">
        <f>IFERROR(VLOOKUP(BRL$1,Future[[Ticker]:[Weight]],2,FALSE),0%)</f>
        <v>0</v>
      </c>
      <c r="BRM5" s="179">
        <f>IFERROR(VLOOKUP(BRM$1,Future[[Ticker]:[Weight]],2,FALSE),0%)</f>
        <v>0</v>
      </c>
      <c r="BRN5" s="179">
        <f>IFERROR(VLOOKUP(BRN$1,Future[[Ticker]:[Weight]],2,FALSE),0%)</f>
        <v>0</v>
      </c>
      <c r="BRO5" s="179">
        <f>IFERROR(VLOOKUP(BRO$1,Future[[Ticker]:[Weight]],2,FALSE),0%)</f>
        <v>0</v>
      </c>
      <c r="BRP5" s="179">
        <f>IFERROR(VLOOKUP(BRP$1,Future[[Ticker]:[Weight]],2,FALSE),0%)</f>
        <v>0</v>
      </c>
      <c r="BRQ5" s="179">
        <f>IFERROR(VLOOKUP(BRQ$1,Future[[Ticker]:[Weight]],2,FALSE),0%)</f>
        <v>0</v>
      </c>
      <c r="BRR5" s="179">
        <f>IFERROR(VLOOKUP(BRR$1,Future[[Ticker]:[Weight]],2,FALSE),0%)</f>
        <v>0</v>
      </c>
      <c r="BRS5" s="179">
        <f>IFERROR(VLOOKUP(BRS$1,Future[[Ticker]:[Weight]],2,FALSE),0%)</f>
        <v>0</v>
      </c>
      <c r="BRT5" s="179">
        <f>IFERROR(VLOOKUP(BRT$1,Future[[Ticker]:[Weight]],2,FALSE),0%)</f>
        <v>0</v>
      </c>
      <c r="BRU5" s="179">
        <f>IFERROR(VLOOKUP(BRU$1,Future[[Ticker]:[Weight]],2,FALSE),0%)</f>
        <v>0</v>
      </c>
      <c r="BRV5" s="179">
        <f>IFERROR(VLOOKUP(BRV$1,Future[[Ticker]:[Weight]],2,FALSE),0%)</f>
        <v>0</v>
      </c>
      <c r="BRW5" s="179">
        <f>IFERROR(VLOOKUP(BRW$1,Future[[Ticker]:[Weight]],2,FALSE),0%)</f>
        <v>0</v>
      </c>
      <c r="BRX5" s="179">
        <f>IFERROR(VLOOKUP(BRX$1,Future[[Ticker]:[Weight]],2,FALSE),0%)</f>
        <v>0</v>
      </c>
      <c r="BRY5" s="179">
        <f>IFERROR(VLOOKUP(BRY$1,Future[[Ticker]:[Weight]],2,FALSE),0%)</f>
        <v>0</v>
      </c>
      <c r="BRZ5" s="179">
        <f>IFERROR(VLOOKUP(BRZ$1,Future[[Ticker]:[Weight]],2,FALSE),0%)</f>
        <v>0</v>
      </c>
      <c r="BSA5" s="179">
        <f>IFERROR(VLOOKUP(BSA$1,Future[[Ticker]:[Weight]],2,FALSE),0%)</f>
        <v>0</v>
      </c>
      <c r="BSB5" s="179">
        <f>IFERROR(VLOOKUP(BSB$1,Future[[Ticker]:[Weight]],2,FALSE),0%)</f>
        <v>0</v>
      </c>
      <c r="BSC5" s="179">
        <f>IFERROR(VLOOKUP(BSC$1,Future[[Ticker]:[Weight]],2,FALSE),0%)</f>
        <v>0</v>
      </c>
      <c r="BSD5" s="179">
        <f>IFERROR(VLOOKUP(BSD$1,Future[[Ticker]:[Weight]],2,FALSE),0%)</f>
        <v>0</v>
      </c>
      <c r="BSE5" s="179">
        <f>IFERROR(VLOOKUP(BSE$1,Future[[Ticker]:[Weight]],2,FALSE),0%)</f>
        <v>0</v>
      </c>
      <c r="BSF5" s="179">
        <f>IFERROR(VLOOKUP(BSF$1,Future[[Ticker]:[Weight]],2,FALSE),0%)</f>
        <v>0</v>
      </c>
      <c r="BSG5" s="179">
        <f>IFERROR(VLOOKUP(BSG$1,Future[[Ticker]:[Weight]],2,FALSE),0%)</f>
        <v>0</v>
      </c>
      <c r="BSH5" s="179">
        <f>IFERROR(VLOOKUP(BSH$1,Future[[Ticker]:[Weight]],2,FALSE),0%)</f>
        <v>0</v>
      </c>
      <c r="BSI5" s="179">
        <f>IFERROR(VLOOKUP(BSI$1,Future[[Ticker]:[Weight]],2,FALSE),0%)</f>
        <v>0</v>
      </c>
      <c r="BSJ5" s="179">
        <f>IFERROR(VLOOKUP(BSJ$1,Future[[Ticker]:[Weight]],2,FALSE),0%)</f>
        <v>0</v>
      </c>
      <c r="BSK5" s="179">
        <f>IFERROR(VLOOKUP(BSK$1,Future[[Ticker]:[Weight]],2,FALSE),0%)</f>
        <v>0</v>
      </c>
      <c r="BSL5" s="179">
        <f>IFERROR(VLOOKUP(BSL$1,Future[[Ticker]:[Weight]],2,FALSE),0%)</f>
        <v>0</v>
      </c>
      <c r="BSM5" s="179">
        <f>IFERROR(VLOOKUP(BSM$1,Future[[Ticker]:[Weight]],2,FALSE),0%)</f>
        <v>0</v>
      </c>
      <c r="BSN5" s="179">
        <f>IFERROR(VLOOKUP(BSN$1,Future[[Ticker]:[Weight]],2,FALSE),0%)</f>
        <v>0</v>
      </c>
      <c r="BSO5" s="179">
        <f>IFERROR(VLOOKUP(BSO$1,Future[[Ticker]:[Weight]],2,FALSE),0%)</f>
        <v>0</v>
      </c>
      <c r="BSP5" s="179">
        <f>IFERROR(VLOOKUP(BSP$1,Future[[Ticker]:[Weight]],2,FALSE),0%)</f>
        <v>0</v>
      </c>
      <c r="BSQ5" s="179">
        <f>IFERROR(VLOOKUP(BSQ$1,Future[[Ticker]:[Weight]],2,FALSE),0%)</f>
        <v>0</v>
      </c>
      <c r="BSR5" s="179">
        <f>IFERROR(VLOOKUP(BSR$1,Future[[Ticker]:[Weight]],2,FALSE),0%)</f>
        <v>0.0121</v>
      </c>
      <c r="BSS5" s="179">
        <f>IFERROR(VLOOKUP(BSS$1,Future[[Ticker]:[Weight]],2,FALSE),0%)</f>
        <v>0</v>
      </c>
      <c r="BST5" s="179">
        <f>IFERROR(VLOOKUP(BST$1,Future[[Ticker]:[Weight]],2,FALSE),0%)</f>
        <v>0</v>
      </c>
      <c r="BSU5" s="179">
        <f>IFERROR(VLOOKUP(BSU$1,Future[[Ticker]:[Weight]],2,FALSE),0%)</f>
        <v>0</v>
      </c>
      <c r="BSV5" s="179">
        <f>IFERROR(VLOOKUP(BSV$1,Future[[Ticker]:[Weight]],2,FALSE),0%)</f>
        <v>0</v>
      </c>
      <c r="BSW5" s="179">
        <f>IFERROR(VLOOKUP(BSW$1,Future[[Ticker]:[Weight]],2,FALSE),0%)</f>
        <v>0</v>
      </c>
      <c r="BSX5" s="179">
        <f>IFERROR(VLOOKUP(BSX$1,Future[[Ticker]:[Weight]],2,FALSE),0%)</f>
        <v>0</v>
      </c>
      <c r="BSY5" s="179">
        <f>IFERROR(VLOOKUP(BSY$1,Future[[Ticker]:[Weight]],2,FALSE),0%)</f>
        <v>0</v>
      </c>
      <c r="BSZ5" s="179">
        <f>IFERROR(VLOOKUP(BSZ$1,Future[[Ticker]:[Weight]],2,FALSE),0%)</f>
        <v>0</v>
      </c>
      <c r="BTA5" s="179">
        <f>IFERROR(VLOOKUP(BTA$1,Future[[Ticker]:[Weight]],2,FALSE),0%)</f>
        <v>0</v>
      </c>
      <c r="BTB5" s="179">
        <f>IFERROR(VLOOKUP(BTB$1,Future[[Ticker]:[Weight]],2,FALSE),0%)</f>
        <v>0</v>
      </c>
      <c r="BTC5" s="179">
        <f>IFERROR(VLOOKUP(BTC$1,Future[[Ticker]:[Weight]],2,FALSE),0%)</f>
        <v>0</v>
      </c>
      <c r="BTD5" s="179">
        <f>IFERROR(VLOOKUP(BTD$1,Future[[Ticker]:[Weight]],2,FALSE),0%)</f>
        <v>0</v>
      </c>
      <c r="BTE5" s="179">
        <f>IFERROR(VLOOKUP(BTE$1,Future[[Ticker]:[Weight]],2,FALSE),0%)</f>
        <v>0</v>
      </c>
      <c r="BTF5" s="179">
        <f>IFERROR(VLOOKUP(BTF$1,Future[[Ticker]:[Weight]],2,FALSE),0%)</f>
        <v>0</v>
      </c>
      <c r="BTG5" s="179">
        <f>IFERROR(VLOOKUP(BTG$1,Future[[Ticker]:[Weight]],2,FALSE),0%)</f>
        <v>0</v>
      </c>
      <c r="BTH5" s="179">
        <f>IFERROR(VLOOKUP(BTH$1,Future[[Ticker]:[Weight]],2,FALSE),0%)</f>
        <v>0</v>
      </c>
      <c r="BTI5" s="179">
        <f>IFERROR(VLOOKUP(BTI$1,Future[[Ticker]:[Weight]],2,FALSE),0%)</f>
        <v>0.1564</v>
      </c>
      <c r="BTJ5" s="179">
        <f>IFERROR(VLOOKUP(BTJ$1,Future[[Ticker]:[Weight]],2,FALSE),0%)</f>
        <v>0</v>
      </c>
      <c r="BTK5" s="179">
        <f>IFERROR(VLOOKUP(BTK$1,Future[[Ticker]:[Weight]],2,FALSE),0%)</f>
        <v>0</v>
      </c>
      <c r="BTL5" s="179">
        <f>IFERROR(VLOOKUP(BTL$1,Future[[Ticker]:[Weight]],2,FALSE),0%)</f>
        <v>0</v>
      </c>
      <c r="BTM5" s="179">
        <f>IFERROR(VLOOKUP(BTM$1,Future[[Ticker]:[Weight]],2,FALSE),0%)</f>
        <v>0</v>
      </c>
      <c r="BTN5" s="179">
        <f>IFERROR(VLOOKUP(BTN$1,Future[[Ticker]:[Weight]],2,FALSE),0%)</f>
        <v>0</v>
      </c>
      <c r="BTO5" s="179">
        <f>IFERROR(VLOOKUP(BTO$1,Future[[Ticker]:[Weight]],2,FALSE),0%)</f>
        <v>0</v>
      </c>
      <c r="BTP5" s="179">
        <f>IFERROR(VLOOKUP(BTP$1,Future[[Ticker]:[Weight]],2,FALSE),0%)</f>
        <v>0</v>
      </c>
      <c r="BTQ5" s="179">
        <f>IFERROR(VLOOKUP(BTQ$1,Future[[Ticker]:[Weight]],2,FALSE),0%)</f>
        <v>0</v>
      </c>
      <c r="BTR5" s="179">
        <f>IFERROR(VLOOKUP(BTR$1,Future[[Ticker]:[Weight]],2,FALSE),0%)</f>
        <v>0</v>
      </c>
      <c r="BTS5" s="179">
        <f>IFERROR(VLOOKUP(BTS$1,Future[[Ticker]:[Weight]],2,FALSE),0%)</f>
        <v>0</v>
      </c>
      <c r="BTT5" s="179">
        <f>IFERROR(VLOOKUP(BTT$1,Future[[Ticker]:[Weight]],2,FALSE),0%)</f>
        <v>0</v>
      </c>
      <c r="BTU5" s="179">
        <f>IFERROR(VLOOKUP(BTU$1,Future[[Ticker]:[Weight]],2,FALSE),0%)</f>
        <v>0</v>
      </c>
      <c r="BTV5" s="179">
        <f>IFERROR(VLOOKUP(BTV$1,Future[[Ticker]:[Weight]],2,FALSE),0%)</f>
        <v>0</v>
      </c>
      <c r="BTW5" s="179">
        <f>IFERROR(VLOOKUP(BTW$1,Future[[Ticker]:[Weight]],2,FALSE),0%)</f>
        <v>0</v>
      </c>
      <c r="BTX5" s="179">
        <f>IFERROR(VLOOKUP(BTX$1,Future[[Ticker]:[Weight]],2,FALSE),0%)</f>
        <v>0</v>
      </c>
      <c r="BTY5" s="179">
        <f>IFERROR(VLOOKUP(BTY$1,Future[[Ticker]:[Weight]],2,FALSE),0%)</f>
        <v>0</v>
      </c>
      <c r="BTZ5" s="179">
        <f>IFERROR(VLOOKUP(BTZ$1,Future[[Ticker]:[Weight]],2,FALSE),0%)</f>
        <v>0</v>
      </c>
      <c r="BUA5" s="179">
        <f>IFERROR(VLOOKUP(BUA$1,Future[[Ticker]:[Weight]],2,FALSE),0%)</f>
        <v>0</v>
      </c>
      <c r="BUB5" s="179">
        <f>IFERROR(VLOOKUP(BUB$1,Future[[Ticker]:[Weight]],2,FALSE),0%)</f>
        <v>0</v>
      </c>
      <c r="BUC5" s="179">
        <f>IFERROR(VLOOKUP(BUC$1,Future[[Ticker]:[Weight]],2,FALSE),0%)</f>
        <v>0</v>
      </c>
      <c r="BUD5" s="179">
        <f>IFERROR(VLOOKUP(BUD$1,Future[[Ticker]:[Weight]],2,FALSE),0%)</f>
        <v>0</v>
      </c>
      <c r="BUE5" s="179">
        <f>IFERROR(VLOOKUP(BUE$1,Future[[Ticker]:[Weight]],2,FALSE),0%)</f>
        <v>0</v>
      </c>
      <c r="BUF5" s="179">
        <f>IFERROR(VLOOKUP(BUF$1,Future[[Ticker]:[Weight]],2,FALSE),0%)</f>
        <v>0</v>
      </c>
      <c r="BUG5" s="179">
        <f>IFERROR(VLOOKUP(BUG$1,Future[[Ticker]:[Weight]],2,FALSE),0%)</f>
        <v>0</v>
      </c>
      <c r="BUH5" s="179">
        <f>IFERROR(VLOOKUP(BUH$1,Future[[Ticker]:[Weight]],2,FALSE),0%)</f>
        <v>0</v>
      </c>
      <c r="BUI5" s="179">
        <f>IFERROR(VLOOKUP(BUI$1,Future[[Ticker]:[Weight]],2,FALSE),0%)</f>
        <v>0</v>
      </c>
      <c r="BUJ5" s="179">
        <f>IFERROR(VLOOKUP(BUJ$1,Future[[Ticker]:[Weight]],2,FALSE),0%)</f>
        <v>0</v>
      </c>
      <c r="BUK5" s="179">
        <f>IFERROR(VLOOKUP(BUK$1,Future[[Ticker]:[Weight]],2,FALSE),0%)</f>
        <v>0</v>
      </c>
      <c r="BUL5" s="179">
        <f>IFERROR(VLOOKUP(BUL$1,Future[[Ticker]:[Weight]],2,FALSE),0%)</f>
        <v>0</v>
      </c>
      <c r="BUM5" s="179">
        <f>IFERROR(VLOOKUP(BUM$1,Future[[Ticker]:[Weight]],2,FALSE),0%)</f>
        <v>0</v>
      </c>
      <c r="BUN5" s="179">
        <f>IFERROR(VLOOKUP(BUN$1,Future[[Ticker]:[Weight]],2,FALSE),0%)</f>
        <v>0</v>
      </c>
      <c r="BUO5" s="179">
        <f>IFERROR(VLOOKUP(BUO$1,Future[[Ticker]:[Weight]],2,FALSE),0%)</f>
        <v>0</v>
      </c>
      <c r="BUP5" s="179">
        <f>IFERROR(VLOOKUP(BUP$1,Future[[Ticker]:[Weight]],2,FALSE),0%)</f>
        <v>0</v>
      </c>
      <c r="BUQ5" s="179">
        <f>IFERROR(VLOOKUP(BUQ$1,Future[[Ticker]:[Weight]],2,FALSE),0%)</f>
        <v>0</v>
      </c>
      <c r="BUR5" s="179">
        <f>IFERROR(VLOOKUP(BUR$1,Future[[Ticker]:[Weight]],2,FALSE),0%)</f>
        <v>0</v>
      </c>
      <c r="BUS5" s="179">
        <f>IFERROR(VLOOKUP(BUS$1,Future[[Ticker]:[Weight]],2,FALSE),0%)</f>
        <v>0</v>
      </c>
      <c r="BUT5" s="179">
        <f>IFERROR(VLOOKUP(BUT$1,Future[[Ticker]:[Weight]],2,FALSE),0%)</f>
        <v>0</v>
      </c>
      <c r="BUU5" s="179">
        <f>IFERROR(VLOOKUP(BUU$1,Future[[Ticker]:[Weight]],2,FALSE),0%)</f>
        <v>0</v>
      </c>
      <c r="BUV5" s="179">
        <f>IFERROR(VLOOKUP(BUV$1,Future[[Ticker]:[Weight]],2,FALSE),0%)</f>
        <v>0</v>
      </c>
      <c r="BUW5" s="179">
        <f>IFERROR(VLOOKUP(BUW$1,Future[[Ticker]:[Weight]],2,FALSE),0%)</f>
        <v>0</v>
      </c>
      <c r="BUX5" s="179">
        <f>IFERROR(VLOOKUP(BUX$1,Future[[Ticker]:[Weight]],2,FALSE),0%)</f>
        <v>0</v>
      </c>
      <c r="BUY5" s="179">
        <f>IFERROR(VLOOKUP(BUY$1,Future[[Ticker]:[Weight]],2,FALSE),0%)</f>
        <v>0</v>
      </c>
      <c r="BUZ5" s="179">
        <f>IFERROR(VLOOKUP(BUZ$1,Future[[Ticker]:[Weight]],2,FALSE),0%)</f>
        <v>0</v>
      </c>
      <c r="BVA5" s="179">
        <f>IFERROR(VLOOKUP(BVA$1,Future[[Ticker]:[Weight]],2,FALSE),0%)</f>
        <v>0</v>
      </c>
      <c r="BVB5" s="179">
        <f>IFERROR(VLOOKUP(BVB$1,Future[[Ticker]:[Weight]],2,FALSE),0%)</f>
        <v>0</v>
      </c>
      <c r="BVC5" s="179">
        <f>IFERROR(VLOOKUP(BVC$1,Future[[Ticker]:[Weight]],2,FALSE),0%)</f>
        <v>0</v>
      </c>
      <c r="BVD5" s="179">
        <f>IFERROR(VLOOKUP(BVD$1,Future[[Ticker]:[Weight]],2,FALSE),0%)</f>
        <v>0</v>
      </c>
      <c r="BVE5" s="179">
        <f>IFERROR(VLOOKUP(BVE$1,Future[[Ticker]:[Weight]],2,FALSE),0%)</f>
        <v>0</v>
      </c>
      <c r="BVF5" s="179">
        <f>IFERROR(VLOOKUP(BVF$1,Future[[Ticker]:[Weight]],2,FALSE),0%)</f>
        <v>0</v>
      </c>
      <c r="BVG5" s="179">
        <f>IFERROR(VLOOKUP(BVG$1,Future[[Ticker]:[Weight]],2,FALSE),0%)</f>
        <v>0</v>
      </c>
      <c r="BVH5" s="179">
        <f>IFERROR(VLOOKUP(BVH$1,Future[[Ticker]:[Weight]],2,FALSE),0%)</f>
        <v>0</v>
      </c>
      <c r="BVI5" s="179">
        <f>IFERROR(VLOOKUP(BVI$1,Future[[Ticker]:[Weight]],2,FALSE),0%)</f>
        <v>0</v>
      </c>
      <c r="BVJ5" s="179">
        <f>IFERROR(VLOOKUP(BVJ$1,Future[[Ticker]:[Weight]],2,FALSE),0%)</f>
        <v>0</v>
      </c>
      <c r="BVK5" s="179">
        <f>IFERROR(VLOOKUP(BVK$1,Future[[Ticker]:[Weight]],2,FALSE),0%)</f>
        <v>0</v>
      </c>
      <c r="BVL5" s="179">
        <f>IFERROR(VLOOKUP(BVL$1,Future[[Ticker]:[Weight]],2,FALSE),0%)</f>
        <v>0</v>
      </c>
      <c r="BVM5" s="179">
        <f>IFERROR(VLOOKUP(BVM$1,Future[[Ticker]:[Weight]],2,FALSE),0%)</f>
        <v>0</v>
      </c>
      <c r="BVN5" s="179">
        <f>IFERROR(VLOOKUP(BVN$1,Future[[Ticker]:[Weight]],2,FALSE),0%)</f>
        <v>0</v>
      </c>
      <c r="BVO5" s="179">
        <f>IFERROR(VLOOKUP(BVO$1,Future[[Ticker]:[Weight]],2,FALSE),0%)</f>
        <v>0</v>
      </c>
      <c r="BVP5" s="179">
        <f>IFERROR(VLOOKUP(BVP$1,Future[[Ticker]:[Weight]],2,FALSE),0%)</f>
        <v>0</v>
      </c>
      <c r="BVQ5" s="179">
        <f>IFERROR(VLOOKUP(BVQ$1,Future[[Ticker]:[Weight]],2,FALSE),0%)</f>
        <v>0</v>
      </c>
      <c r="BVR5" s="179">
        <f>IFERROR(VLOOKUP(BVR$1,Future[[Ticker]:[Weight]],2,FALSE),0%)</f>
        <v>0</v>
      </c>
      <c r="BVS5" s="179">
        <f>IFERROR(VLOOKUP(BVS$1,Future[[Ticker]:[Weight]],2,FALSE),0%)</f>
        <v>0</v>
      </c>
      <c r="BVT5" s="179">
        <f>IFERROR(VLOOKUP(BVT$1,Future[[Ticker]:[Weight]],2,FALSE),0%)</f>
        <v>0</v>
      </c>
      <c r="BVU5" s="179">
        <f>IFERROR(VLOOKUP(BVU$1,Future[[Ticker]:[Weight]],2,FALSE),0%)</f>
        <v>0</v>
      </c>
      <c r="BVV5" s="179">
        <f>IFERROR(VLOOKUP(BVV$1,Future[[Ticker]:[Weight]],2,FALSE),0%)</f>
        <v>0</v>
      </c>
      <c r="BVW5" s="179">
        <f>IFERROR(VLOOKUP(BVW$1,Future[[Ticker]:[Weight]],2,FALSE),0%)</f>
        <v>0</v>
      </c>
      <c r="BVX5" s="179">
        <f>IFERROR(VLOOKUP(BVX$1,Future[[Ticker]:[Weight]],2,FALSE),0%)</f>
        <v>0</v>
      </c>
      <c r="BVY5" s="179">
        <f>IFERROR(VLOOKUP(BVY$1,Future[[Ticker]:[Weight]],2,FALSE),0%)</f>
        <v>0</v>
      </c>
      <c r="BVZ5" s="179">
        <f>IFERROR(VLOOKUP(BVZ$1,Future[[Ticker]:[Weight]],2,FALSE),0%)</f>
        <v>0</v>
      </c>
      <c r="BWA5" s="179">
        <f>IFERROR(VLOOKUP(BWA$1,Future[[Ticker]:[Weight]],2,FALSE),0%)</f>
        <v>0</v>
      </c>
      <c r="BWB5" s="179">
        <f>IFERROR(VLOOKUP(BWB$1,Future[[Ticker]:[Weight]],2,FALSE),0%)</f>
        <v>0</v>
      </c>
      <c r="BWC5" s="179">
        <f>IFERROR(VLOOKUP(BWC$1,Future[[Ticker]:[Weight]],2,FALSE),0%)</f>
        <v>0</v>
      </c>
      <c r="BWD5" s="179">
        <f>IFERROR(VLOOKUP(BWD$1,Future[[Ticker]:[Weight]],2,FALSE),0%)</f>
        <v>0</v>
      </c>
      <c r="BWE5" s="179">
        <f>IFERROR(VLOOKUP(BWE$1,Future[[Ticker]:[Weight]],2,FALSE),0%)</f>
        <v>0</v>
      </c>
      <c r="BWF5" s="179">
        <f>IFERROR(VLOOKUP(BWF$1,Future[[Ticker]:[Weight]],2,FALSE),0%)</f>
        <v>0</v>
      </c>
      <c r="BWG5" s="179">
        <f>IFERROR(VLOOKUP(BWG$1,Future[[Ticker]:[Weight]],2,FALSE),0%)</f>
        <v>0</v>
      </c>
      <c r="BWH5" s="179">
        <f>IFERROR(VLOOKUP(BWH$1,Future[[Ticker]:[Weight]],2,FALSE),0%)</f>
        <v>0</v>
      </c>
      <c r="BWI5" s="179">
        <f>IFERROR(VLOOKUP(BWI$1,Future[[Ticker]:[Weight]],2,FALSE),0%)</f>
        <v>0</v>
      </c>
      <c r="BWJ5" s="179">
        <f>IFERROR(VLOOKUP(BWJ$1,Future[[Ticker]:[Weight]],2,FALSE),0%)</f>
        <v>0</v>
      </c>
      <c r="BWK5" s="179">
        <f>IFERROR(VLOOKUP(BWK$1,Future[[Ticker]:[Weight]],2,FALSE),0%)</f>
        <v>0</v>
      </c>
      <c r="BWL5" s="179">
        <f>IFERROR(VLOOKUP(BWL$1,Future[[Ticker]:[Weight]],2,FALSE),0%)</f>
        <v>0</v>
      </c>
      <c r="BWM5" s="179">
        <f>IFERROR(VLOOKUP(BWM$1,Future[[Ticker]:[Weight]],2,FALSE),0%)</f>
        <v>0</v>
      </c>
      <c r="BWN5" s="179">
        <f>IFERROR(VLOOKUP(BWN$1,Future[[Ticker]:[Weight]],2,FALSE),0%)</f>
        <v>0</v>
      </c>
      <c r="BWO5" s="179">
        <f>IFERROR(VLOOKUP(BWO$1,Future[[Ticker]:[Weight]],2,FALSE),0%)</f>
        <v>0</v>
      </c>
      <c r="BWP5" s="179">
        <f>IFERROR(VLOOKUP(BWP$1,Future[[Ticker]:[Weight]],2,FALSE),0%)</f>
        <v>0</v>
      </c>
      <c r="BWQ5" s="179">
        <f>IFERROR(VLOOKUP(BWQ$1,Future[[Ticker]:[Weight]],2,FALSE),0%)</f>
        <v>0</v>
      </c>
      <c r="BWR5" s="179">
        <f>IFERROR(VLOOKUP(BWR$1,Future[[Ticker]:[Weight]],2,FALSE),0%)</f>
        <v>0</v>
      </c>
      <c r="BWS5" s="179">
        <f>IFERROR(VLOOKUP(BWS$1,Future[[Ticker]:[Weight]],2,FALSE),0%)</f>
        <v>0</v>
      </c>
      <c r="BWT5" s="179">
        <f>IFERROR(VLOOKUP(BWT$1,Future[[Ticker]:[Weight]],2,FALSE),0%)</f>
        <v>0</v>
      </c>
      <c r="BWU5" s="179">
        <f>IFERROR(VLOOKUP(BWU$1,Future[[Ticker]:[Weight]],2,FALSE),0%)</f>
        <v>0</v>
      </c>
      <c r="BWV5" s="179">
        <f>IFERROR(VLOOKUP(BWV$1,Future[[Ticker]:[Weight]],2,FALSE),0%)</f>
        <v>0</v>
      </c>
      <c r="BWW5" s="179">
        <f>IFERROR(VLOOKUP(BWW$1,Future[[Ticker]:[Weight]],2,FALSE),0%)</f>
        <v>0</v>
      </c>
      <c r="BWX5" s="179">
        <f>IFERROR(VLOOKUP(BWX$1,Future[[Ticker]:[Weight]],2,FALSE),0%)</f>
        <v>0</v>
      </c>
      <c r="BWY5" s="179">
        <f>IFERROR(VLOOKUP(BWY$1,Future[[Ticker]:[Weight]],2,FALSE),0%)</f>
        <v>0</v>
      </c>
      <c r="BWZ5" s="179">
        <f>IFERROR(VLOOKUP(BWZ$1,Future[[Ticker]:[Weight]],2,FALSE),0%)</f>
        <v>0</v>
      </c>
      <c r="BXA5" s="179">
        <f>IFERROR(VLOOKUP(BXA$1,Future[[Ticker]:[Weight]],2,FALSE),0%)</f>
        <v>0</v>
      </c>
      <c r="BXB5" s="179">
        <f>IFERROR(VLOOKUP(BXB$1,Future[[Ticker]:[Weight]],2,FALSE),0%)</f>
        <v>0</v>
      </c>
      <c r="BXC5" s="179">
        <f>IFERROR(VLOOKUP(BXC$1,Future[[Ticker]:[Weight]],2,FALSE),0%)</f>
        <v>0</v>
      </c>
      <c r="BXD5" s="179">
        <f>IFERROR(VLOOKUP(BXD$1,Future[[Ticker]:[Weight]],2,FALSE),0%)</f>
        <v>0</v>
      </c>
      <c r="BXE5" s="179">
        <f>IFERROR(VLOOKUP(BXE$1,Future[[Ticker]:[Weight]],2,FALSE),0%)</f>
        <v>0</v>
      </c>
      <c r="BXF5" s="179">
        <f>IFERROR(VLOOKUP(BXF$1,Future[[Ticker]:[Weight]],2,FALSE),0%)</f>
        <v>0</v>
      </c>
      <c r="BXG5" s="179">
        <f>IFERROR(VLOOKUP(BXG$1,Future[[Ticker]:[Weight]],2,FALSE),0%)</f>
        <v>0</v>
      </c>
      <c r="BXH5" s="179">
        <f>IFERROR(VLOOKUP(BXH$1,Future[[Ticker]:[Weight]],2,FALSE),0%)</f>
        <v>0</v>
      </c>
      <c r="BXI5" s="179">
        <f>IFERROR(VLOOKUP(BXI$1,Future[[Ticker]:[Weight]],2,FALSE),0%)</f>
        <v>0</v>
      </c>
      <c r="BXJ5" s="179">
        <f>IFERROR(VLOOKUP(BXJ$1,Future[[Ticker]:[Weight]],2,FALSE),0%)</f>
        <v>0</v>
      </c>
      <c r="BXK5" s="179">
        <f>IFERROR(VLOOKUP(BXK$1,Future[[Ticker]:[Weight]],2,FALSE),0%)</f>
        <v>0</v>
      </c>
      <c r="BXL5" s="179">
        <f>IFERROR(VLOOKUP(BXL$1,Future[[Ticker]:[Weight]],2,FALSE),0%)</f>
        <v>0</v>
      </c>
      <c r="BXM5" s="179">
        <f>IFERROR(VLOOKUP(BXM$1,Future[[Ticker]:[Weight]],2,FALSE),0%)</f>
        <v>0</v>
      </c>
      <c r="BXN5" s="179">
        <f>IFERROR(VLOOKUP(BXN$1,Future[[Ticker]:[Weight]],2,FALSE),0%)</f>
        <v>0</v>
      </c>
      <c r="BXO5" s="179">
        <f>IFERROR(VLOOKUP(BXO$1,Future[[Ticker]:[Weight]],2,FALSE),0%)</f>
        <v>0</v>
      </c>
      <c r="BXP5" s="179">
        <f>IFERROR(VLOOKUP(BXP$1,Future[[Ticker]:[Weight]],2,FALSE),0%)</f>
        <v>0</v>
      </c>
      <c r="BXQ5" s="179">
        <f>IFERROR(VLOOKUP(BXQ$1,Future[[Ticker]:[Weight]],2,FALSE),0%)</f>
        <v>0</v>
      </c>
      <c r="BXR5" s="179">
        <f>IFERROR(VLOOKUP(BXR$1,Future[[Ticker]:[Weight]],2,FALSE),0%)</f>
        <v>0</v>
      </c>
      <c r="BXS5" s="179">
        <f>IFERROR(VLOOKUP(BXS$1,Future[[Ticker]:[Weight]],2,FALSE),0%)</f>
        <v>0</v>
      </c>
      <c r="BXT5" s="179">
        <f>IFERROR(VLOOKUP(BXT$1,Future[[Ticker]:[Weight]],2,FALSE),0%)</f>
        <v>0</v>
      </c>
      <c r="BXU5" s="179">
        <f>IFERROR(VLOOKUP(BXU$1,Future[[Ticker]:[Weight]],2,FALSE),0%)</f>
        <v>0</v>
      </c>
      <c r="BXV5" s="179">
        <f>IFERROR(VLOOKUP(BXV$1,Future[[Ticker]:[Weight]],2,FALSE),0%)</f>
        <v>0</v>
      </c>
      <c r="BXW5" s="179">
        <f>IFERROR(VLOOKUP(BXW$1,Future[[Ticker]:[Weight]],2,FALSE),0%)</f>
        <v>0</v>
      </c>
      <c r="BXX5" s="179">
        <f>IFERROR(VLOOKUP(BXX$1,Future[[Ticker]:[Weight]],2,FALSE),0%)</f>
        <v>0</v>
      </c>
      <c r="BXY5" s="179">
        <f>IFERROR(VLOOKUP(BXY$1,Future[[Ticker]:[Weight]],2,FALSE),0%)</f>
        <v>0</v>
      </c>
      <c r="BXZ5" s="179">
        <f>IFERROR(VLOOKUP(BXZ$1,Future[[Ticker]:[Weight]],2,FALSE),0%)</f>
        <v>0</v>
      </c>
      <c r="BYA5" s="179">
        <f>IFERROR(VLOOKUP(BYA$1,Future[[Ticker]:[Weight]],2,FALSE),0%)</f>
        <v>0</v>
      </c>
      <c r="BYB5" s="179">
        <f>IFERROR(VLOOKUP(BYB$1,Future[[Ticker]:[Weight]],2,FALSE),0%)</f>
        <v>0</v>
      </c>
      <c r="BYC5" s="179">
        <f>IFERROR(VLOOKUP(BYC$1,Future[[Ticker]:[Weight]],2,FALSE),0%)</f>
        <v>0</v>
      </c>
      <c r="BYD5" s="179">
        <f>IFERROR(VLOOKUP(BYD$1,Future[[Ticker]:[Weight]],2,FALSE),0%)</f>
        <v>0</v>
      </c>
      <c r="BYE5" s="179">
        <f>IFERROR(VLOOKUP(BYE$1,Future[[Ticker]:[Weight]],2,FALSE),0%)</f>
        <v>0</v>
      </c>
      <c r="BYF5" s="179">
        <f>IFERROR(VLOOKUP(BYF$1,Future[[Ticker]:[Weight]],2,FALSE),0%)</f>
        <v>0</v>
      </c>
      <c r="BYG5" s="179">
        <f>IFERROR(VLOOKUP(BYG$1,Future[[Ticker]:[Weight]],2,FALSE),0%)</f>
        <v>0</v>
      </c>
      <c r="BYH5" s="179">
        <f>IFERROR(VLOOKUP(BYH$1,Future[[Ticker]:[Weight]],2,FALSE),0%)</f>
        <v>0</v>
      </c>
      <c r="BYI5" s="179">
        <f>IFERROR(VLOOKUP(BYI$1,Future[[Ticker]:[Weight]],2,FALSE),0%)</f>
        <v>0</v>
      </c>
      <c r="BYJ5" s="179">
        <f>IFERROR(VLOOKUP(BYJ$1,Future[[Ticker]:[Weight]],2,FALSE),0%)</f>
        <v>0</v>
      </c>
      <c r="BYK5" s="179">
        <f>IFERROR(VLOOKUP(BYK$1,Future[[Ticker]:[Weight]],2,FALSE),0%)</f>
        <v>0</v>
      </c>
      <c r="BYL5" s="179">
        <f>IFERROR(VLOOKUP(BYL$1,Future[[Ticker]:[Weight]],2,FALSE),0%)</f>
        <v>0</v>
      </c>
      <c r="BYM5" s="179">
        <f>IFERROR(VLOOKUP(BYM$1,Future[[Ticker]:[Weight]],2,FALSE),0%)</f>
        <v>0</v>
      </c>
      <c r="BYN5" s="179">
        <f>IFERROR(VLOOKUP(BYN$1,Future[[Ticker]:[Weight]],2,FALSE),0%)</f>
        <v>0</v>
      </c>
      <c r="BYO5" s="179">
        <f>IFERROR(VLOOKUP(BYO$1,Future[[Ticker]:[Weight]],2,FALSE),0%)</f>
        <v>0</v>
      </c>
      <c r="BYP5" s="179">
        <f>IFERROR(VLOOKUP(BYP$1,Future[[Ticker]:[Weight]],2,FALSE),0%)</f>
        <v>0</v>
      </c>
      <c r="BYQ5" s="179">
        <f>IFERROR(VLOOKUP(BYQ$1,Future[[Ticker]:[Weight]],2,FALSE),0%)</f>
        <v>0</v>
      </c>
      <c r="BYR5" s="179">
        <f>IFERROR(VLOOKUP(BYR$1,Future[[Ticker]:[Weight]],2,FALSE),0%)</f>
        <v>0</v>
      </c>
      <c r="BYS5" s="179">
        <f>IFERROR(VLOOKUP(BYS$1,Future[[Ticker]:[Weight]],2,FALSE),0%)</f>
        <v>0</v>
      </c>
      <c r="BYT5" s="179">
        <f>IFERROR(VLOOKUP(BYT$1,Future[[Ticker]:[Weight]],2,FALSE),0%)</f>
        <v>0</v>
      </c>
      <c r="BYU5" s="179">
        <f>IFERROR(VLOOKUP(BYU$1,Future[[Ticker]:[Weight]],2,FALSE),0%)</f>
        <v>0</v>
      </c>
      <c r="BYV5" s="179">
        <f>IFERROR(VLOOKUP(BYV$1,Future[[Ticker]:[Weight]],2,FALSE),0%)</f>
        <v>0</v>
      </c>
      <c r="BYW5" s="179">
        <f>IFERROR(VLOOKUP(BYW$1,Future[[Ticker]:[Weight]],2,FALSE),0%)</f>
        <v>0</v>
      </c>
      <c r="BYX5" s="179">
        <f>IFERROR(VLOOKUP(BYX$1,Future[[Ticker]:[Weight]],2,FALSE),0%)</f>
        <v>0</v>
      </c>
      <c r="BYY5" s="179">
        <f>IFERROR(VLOOKUP(BYY$1,Future[[Ticker]:[Weight]],2,FALSE),0%)</f>
        <v>0</v>
      </c>
      <c r="BYZ5" s="179">
        <f>IFERROR(VLOOKUP(BYZ$1,Future[[Ticker]:[Weight]],2,FALSE),0%)</f>
        <v>0</v>
      </c>
      <c r="BZA5" s="179">
        <f>IFERROR(VLOOKUP(BZA$1,Future[[Ticker]:[Weight]],2,FALSE),0%)</f>
        <v>0</v>
      </c>
      <c r="BZB5" s="179">
        <f>IFERROR(VLOOKUP(BZB$1,Future[[Ticker]:[Weight]],2,FALSE),0%)</f>
        <v>0</v>
      </c>
      <c r="BZC5" s="179">
        <f>IFERROR(VLOOKUP(BZC$1,Future[[Ticker]:[Weight]],2,FALSE),0%)</f>
        <v>0</v>
      </c>
      <c r="BZD5" s="179">
        <f>IFERROR(VLOOKUP(BZD$1,Future[[Ticker]:[Weight]],2,FALSE),0%)</f>
        <v>0</v>
      </c>
      <c r="BZE5" s="179">
        <f>IFERROR(VLOOKUP(BZE$1,Future[[Ticker]:[Weight]],2,FALSE),0%)</f>
        <v>0</v>
      </c>
      <c r="BZF5" s="179">
        <f>IFERROR(VLOOKUP(BZF$1,Future[[Ticker]:[Weight]],2,FALSE),0%)</f>
        <v>0</v>
      </c>
      <c r="BZG5" s="179">
        <f>IFERROR(VLOOKUP(BZG$1,Future[[Ticker]:[Weight]],2,FALSE),0%)</f>
        <v>0</v>
      </c>
      <c r="BZH5" s="179">
        <f>IFERROR(VLOOKUP(BZH$1,Future[[Ticker]:[Weight]],2,FALSE),0%)</f>
        <v>0</v>
      </c>
      <c r="BZI5" s="179">
        <f>IFERROR(VLOOKUP(BZI$1,Future[[Ticker]:[Weight]],2,FALSE),0%)</f>
        <v>0</v>
      </c>
      <c r="BZJ5" s="179">
        <f>IFERROR(VLOOKUP(BZJ$1,Future[[Ticker]:[Weight]],2,FALSE),0%)</f>
        <v>0</v>
      </c>
      <c r="BZK5" s="179">
        <f>IFERROR(VLOOKUP(BZK$1,Future[[Ticker]:[Weight]],2,FALSE),0%)</f>
        <v>0</v>
      </c>
      <c r="BZL5" s="179">
        <f>IFERROR(VLOOKUP(BZL$1,Future[[Ticker]:[Weight]],2,FALSE),0%)</f>
        <v>0</v>
      </c>
      <c r="BZM5" s="179">
        <f>IFERROR(VLOOKUP(BZM$1,Future[[Ticker]:[Weight]],2,FALSE),0%)</f>
        <v>0</v>
      </c>
      <c r="BZN5" s="179">
        <f>IFERROR(VLOOKUP(BZN$1,Future[[Ticker]:[Weight]],2,FALSE),0%)</f>
        <v>0</v>
      </c>
      <c r="BZO5" s="179">
        <f>IFERROR(VLOOKUP(BZO$1,Future[[Ticker]:[Weight]],2,FALSE),0%)</f>
        <v>0</v>
      </c>
      <c r="BZP5" s="179">
        <f>IFERROR(VLOOKUP(BZP$1,Future[[Ticker]:[Weight]],2,FALSE),0%)</f>
        <v>0</v>
      </c>
      <c r="BZQ5" s="179">
        <f>IFERROR(VLOOKUP(BZQ$1,Future[[Ticker]:[Weight]],2,FALSE),0%)</f>
        <v>0</v>
      </c>
      <c r="BZR5" s="179">
        <f>IFERROR(VLOOKUP(BZR$1,Future[[Ticker]:[Weight]],2,FALSE),0%)</f>
        <v>0</v>
      </c>
      <c r="BZS5" s="179">
        <f>IFERROR(VLOOKUP(BZS$1,Future[[Ticker]:[Weight]],2,FALSE),0%)</f>
        <v>0</v>
      </c>
      <c r="BZT5" s="179">
        <f>IFERROR(VLOOKUP(BZT$1,Future[[Ticker]:[Weight]],2,FALSE),0%)</f>
        <v>0</v>
      </c>
      <c r="BZU5" s="179">
        <f>IFERROR(VLOOKUP(BZU$1,Future[[Ticker]:[Weight]],2,FALSE),0%)</f>
        <v>0</v>
      </c>
      <c r="BZV5" s="179">
        <f>IFERROR(VLOOKUP(BZV$1,Future[[Ticker]:[Weight]],2,FALSE),0%)</f>
        <v>0</v>
      </c>
      <c r="BZW5" s="179">
        <f>IFERROR(VLOOKUP(BZW$1,Future[[Ticker]:[Weight]],2,FALSE),0%)</f>
        <v>0</v>
      </c>
      <c r="BZX5" s="179">
        <f>IFERROR(VLOOKUP(BZX$1,Future[[Ticker]:[Weight]],2,FALSE),0%)</f>
        <v>0</v>
      </c>
      <c r="BZY5" s="179">
        <f>IFERROR(VLOOKUP(BZY$1,Future[[Ticker]:[Weight]],2,FALSE),0%)</f>
        <v>0</v>
      </c>
      <c r="BZZ5" s="179">
        <f>IFERROR(VLOOKUP(BZZ$1,Future[[Ticker]:[Weight]],2,FALSE),0%)</f>
        <v>0</v>
      </c>
      <c r="CAA5" s="179">
        <f>IFERROR(VLOOKUP(CAA$1,Future[[Ticker]:[Weight]],2,FALSE),0%)</f>
        <v>0</v>
      </c>
      <c r="CAB5" s="179">
        <f>IFERROR(VLOOKUP(CAB$1,Future[[Ticker]:[Weight]],2,FALSE),0%)</f>
        <v>0</v>
      </c>
      <c r="CAC5" s="179">
        <f>IFERROR(VLOOKUP(CAC$1,Future[[Ticker]:[Weight]],2,FALSE),0%)</f>
        <v>0</v>
      </c>
      <c r="CAD5" s="179">
        <f>IFERROR(VLOOKUP(CAD$1,Future[[Ticker]:[Weight]],2,FALSE),0%)</f>
        <v>0</v>
      </c>
      <c r="CAE5" s="179">
        <f>IFERROR(VLOOKUP(CAE$1,Future[[Ticker]:[Weight]],2,FALSE),0%)</f>
        <v>0</v>
      </c>
      <c r="CAF5" s="179">
        <f>IFERROR(VLOOKUP(CAF$1,Future[[Ticker]:[Weight]],2,FALSE),0%)</f>
        <v>0</v>
      </c>
      <c r="CAG5" s="179">
        <f>IFERROR(VLOOKUP(CAG$1,Future[[Ticker]:[Weight]],2,FALSE),0%)</f>
        <v>0</v>
      </c>
      <c r="CAH5" s="179">
        <f>IFERROR(VLOOKUP(CAH$1,Future[[Ticker]:[Weight]],2,FALSE),0%)</f>
        <v>0</v>
      </c>
      <c r="CAI5" s="179">
        <f>IFERROR(VLOOKUP(CAI$1,Future[[Ticker]:[Weight]],2,FALSE),0%)</f>
        <v>0</v>
      </c>
      <c r="CAJ5" s="179">
        <f>IFERROR(VLOOKUP(CAJ$1,Future[[Ticker]:[Weight]],2,FALSE),0%)</f>
        <v>0</v>
      </c>
      <c r="CAK5" s="179">
        <f>IFERROR(VLOOKUP(CAK$1,Future[[Ticker]:[Weight]],2,FALSE),0%)</f>
        <v>0</v>
      </c>
      <c r="CAL5" s="179">
        <f>IFERROR(VLOOKUP(CAL$1,Future[[Ticker]:[Weight]],2,FALSE),0%)</f>
        <v>0</v>
      </c>
      <c r="CAM5" s="179">
        <f>IFERROR(VLOOKUP(CAM$1,Future[[Ticker]:[Weight]],2,FALSE),0%)</f>
        <v>0</v>
      </c>
      <c r="CAN5" s="179">
        <f>IFERROR(VLOOKUP(CAN$1,Future[[Ticker]:[Weight]],2,FALSE),0%)</f>
        <v>0</v>
      </c>
      <c r="CAO5" s="179">
        <f>IFERROR(VLOOKUP(CAO$1,Future[[Ticker]:[Weight]],2,FALSE),0%)</f>
        <v>0</v>
      </c>
      <c r="CAP5" s="179">
        <f>IFERROR(VLOOKUP(CAP$1,Future[[Ticker]:[Weight]],2,FALSE),0%)</f>
        <v>0</v>
      </c>
      <c r="CAQ5" s="179">
        <f>IFERROR(VLOOKUP(CAQ$1,Future[[Ticker]:[Weight]],2,FALSE),0%)</f>
        <v>0</v>
      </c>
      <c r="CAR5" s="179">
        <f>IFERROR(VLOOKUP(CAR$1,Future[[Ticker]:[Weight]],2,FALSE),0%)</f>
        <v>0</v>
      </c>
      <c r="CAS5" s="179">
        <f>IFERROR(VLOOKUP(CAS$1,Future[[Ticker]:[Weight]],2,FALSE),0%)</f>
        <v>0</v>
      </c>
      <c r="CAT5" s="179">
        <f>IFERROR(VLOOKUP(CAT$1,Future[[Ticker]:[Weight]],2,FALSE),0%)</f>
        <v>0</v>
      </c>
      <c r="CAU5" s="179">
        <f>IFERROR(VLOOKUP(CAU$1,Future[[Ticker]:[Weight]],2,FALSE),0%)</f>
        <v>0</v>
      </c>
      <c r="CAV5" s="179">
        <f>IFERROR(VLOOKUP(CAV$1,Future[[Ticker]:[Weight]],2,FALSE),0%)</f>
        <v>0</v>
      </c>
      <c r="CAW5" s="179">
        <f>IFERROR(VLOOKUP(CAW$1,Future[[Ticker]:[Weight]],2,FALSE),0%)</f>
        <v>0</v>
      </c>
      <c r="CAX5" s="179">
        <f>IFERROR(VLOOKUP(CAX$1,Future[[Ticker]:[Weight]],2,FALSE),0%)</f>
        <v>0</v>
      </c>
      <c r="CAY5" s="179">
        <f>IFERROR(VLOOKUP(CAY$1,Future[[Ticker]:[Weight]],2,FALSE),0%)</f>
        <v>0</v>
      </c>
      <c r="CAZ5" s="179">
        <f>IFERROR(VLOOKUP(CAZ$1,Future[[Ticker]:[Weight]],2,FALSE),0%)</f>
        <v>0</v>
      </c>
      <c r="CBA5" s="179">
        <f>IFERROR(VLOOKUP(CBA$1,Future[[Ticker]:[Weight]],2,FALSE),0%)</f>
        <v>0</v>
      </c>
      <c r="CBB5" s="179">
        <f>IFERROR(VLOOKUP(CBB$1,Future[[Ticker]:[Weight]],2,FALSE),0%)</f>
        <v>0</v>
      </c>
      <c r="CBC5" s="179">
        <f>IFERROR(VLOOKUP(CBC$1,Future[[Ticker]:[Weight]],2,FALSE),0%)</f>
        <v>0</v>
      </c>
      <c r="CBD5" s="179">
        <f>IFERROR(VLOOKUP(CBD$1,Future[[Ticker]:[Weight]],2,FALSE),0%)</f>
        <v>0</v>
      </c>
      <c r="CBE5" s="179">
        <f>IFERROR(VLOOKUP(CBE$1,Future[[Ticker]:[Weight]],2,FALSE),0%)</f>
        <v>0</v>
      </c>
      <c r="CBF5" s="179">
        <f>IFERROR(VLOOKUP(CBF$1,Future[[Ticker]:[Weight]],2,FALSE),0%)</f>
        <v>0</v>
      </c>
      <c r="CBG5" s="179">
        <f>IFERROR(VLOOKUP(CBG$1,Future[[Ticker]:[Weight]],2,FALSE),0%)</f>
        <v>0</v>
      </c>
      <c r="CBH5" s="179">
        <f>IFERROR(VLOOKUP(CBH$1,Future[[Ticker]:[Weight]],2,FALSE),0%)</f>
        <v>0</v>
      </c>
      <c r="CBI5" s="179">
        <f>IFERROR(VLOOKUP(CBI$1,Future[[Ticker]:[Weight]],2,FALSE),0%)</f>
        <v>0</v>
      </c>
      <c r="CBJ5" s="179">
        <f>IFERROR(VLOOKUP(CBJ$1,Future[[Ticker]:[Weight]],2,FALSE),0%)</f>
        <v>0</v>
      </c>
      <c r="CBK5" s="179">
        <f>IFERROR(VLOOKUP(CBK$1,Future[[Ticker]:[Weight]],2,FALSE),0%)</f>
        <v>0</v>
      </c>
      <c r="CBL5" s="179">
        <f>IFERROR(VLOOKUP(CBL$1,Future[[Ticker]:[Weight]],2,FALSE),0%)</f>
        <v>0</v>
      </c>
      <c r="CBM5" s="179">
        <f>IFERROR(VLOOKUP(CBM$1,Future[[Ticker]:[Weight]],2,FALSE),0%)</f>
        <v>0</v>
      </c>
      <c r="CBN5" s="179">
        <f>IFERROR(VLOOKUP(CBN$1,Future[[Ticker]:[Weight]],2,FALSE),0%)</f>
        <v>0</v>
      </c>
      <c r="CBO5" s="179">
        <f>IFERROR(VLOOKUP(CBO$1,Future[[Ticker]:[Weight]],2,FALSE),0%)</f>
        <v>0</v>
      </c>
      <c r="CBP5" s="179">
        <f>IFERROR(VLOOKUP(CBP$1,Future[[Ticker]:[Weight]],2,FALSE),0%)</f>
        <v>0</v>
      </c>
      <c r="CBQ5" s="179">
        <f>IFERROR(VLOOKUP(CBQ$1,Future[[Ticker]:[Weight]],2,FALSE),0%)</f>
        <v>0</v>
      </c>
      <c r="CBR5" s="179">
        <f>IFERROR(VLOOKUP(CBR$1,Future[[Ticker]:[Weight]],2,FALSE),0%)</f>
        <v>0</v>
      </c>
      <c r="CBS5" s="179">
        <f>IFERROR(VLOOKUP(CBS$1,Future[[Ticker]:[Weight]],2,FALSE),0%)</f>
        <v>0</v>
      </c>
      <c r="CBT5" s="179">
        <f>IFERROR(VLOOKUP(CBT$1,Future[[Ticker]:[Weight]],2,FALSE),0%)</f>
        <v>0</v>
      </c>
      <c r="CBU5" s="179">
        <f>IFERROR(VLOOKUP(CBU$1,Future[[Ticker]:[Weight]],2,FALSE),0%)</f>
        <v>0</v>
      </c>
      <c r="CBV5" s="179">
        <f>IFERROR(VLOOKUP(CBV$1,Future[[Ticker]:[Weight]],2,FALSE),0%)</f>
        <v>0</v>
      </c>
      <c r="CBW5" s="179">
        <f t="shared" si="1"/>
        <v>0.9999</v>
      </c>
    </row>
    <row r="6">
      <c r="A6" s="410" t="s">
        <v>8</v>
      </c>
      <c r="B6" s="179">
        <f>IFERROR(VLOOKUP(B$1,EliteIncome[[Ticker]:[Weight]],2,FALSE),0%)</f>
        <v>0</v>
      </c>
      <c r="C6" s="179">
        <f>IFERROR(VLOOKUP(C$1,EliteIncome[[Ticker]:[Weight]],2,FALSE),0%)</f>
        <v>0</v>
      </c>
      <c r="D6" s="179">
        <f>IFERROR(VLOOKUP(D$1,EliteIncome[[Ticker]:[Weight]],2,FALSE),0%)</f>
        <v>0</v>
      </c>
      <c r="E6" s="179">
        <f>IFERROR(VLOOKUP(E$1,EliteIncome[[Ticker]:[Weight]],2,FALSE),0%)</f>
        <v>0</v>
      </c>
      <c r="F6" s="179">
        <f>IFERROR(VLOOKUP(F$1,EliteIncome[[Ticker]:[Weight]],2,FALSE),0%)</f>
        <v>0</v>
      </c>
      <c r="G6" s="179">
        <f>IFERROR(VLOOKUP(G$1,EliteIncome[[Ticker]:[Weight]],2,FALSE),0%)</f>
        <v>0</v>
      </c>
      <c r="H6" s="179">
        <f>IFERROR(VLOOKUP(H$1,EliteIncome[[Ticker]:[Weight]],2,FALSE),0%)</f>
        <v>0</v>
      </c>
      <c r="I6" s="179">
        <f>IFERROR(VLOOKUP(I$1,EliteIncome[[Ticker]:[Weight]],2,FALSE),0%)</f>
        <v>0</v>
      </c>
      <c r="J6" s="179">
        <f>IFERROR(VLOOKUP(J$1,EliteIncome[[Ticker]:[Weight]],2,FALSE),0%)</f>
        <v>0</v>
      </c>
      <c r="K6" s="179">
        <f>IFERROR(VLOOKUP(K$1,EliteIncome[[Ticker]:[Weight]],2,FALSE),0%)</f>
        <v>0</v>
      </c>
      <c r="L6" s="179">
        <f>IFERROR(VLOOKUP(L$1,EliteIncome[[Ticker]:[Weight]],2,FALSE),0%)</f>
        <v>0</v>
      </c>
      <c r="M6" s="179">
        <f>IFERROR(VLOOKUP(M$1,EliteIncome[[Ticker]:[Weight]],2,FALSE),0%)</f>
        <v>0</v>
      </c>
      <c r="N6" s="179">
        <f>IFERROR(VLOOKUP(N$1,EliteIncome[[Ticker]:[Weight]],2,FALSE),0%)</f>
        <v>0</v>
      </c>
      <c r="O6" s="179">
        <f>IFERROR(VLOOKUP(O$1,EliteIncome[[Ticker]:[Weight]],2,FALSE),0%)</f>
        <v>0</v>
      </c>
      <c r="P6" s="179">
        <f>IFERROR(VLOOKUP(P$1,EliteIncome[[Ticker]:[Weight]],2,FALSE),0%)</f>
        <v>0</v>
      </c>
      <c r="Q6" s="179">
        <f>IFERROR(VLOOKUP(Q$1,EliteIncome[[Ticker]:[Weight]],2,FALSE),0%)</f>
        <v>0</v>
      </c>
      <c r="R6" s="179">
        <f>IFERROR(VLOOKUP(R$1,EliteIncome[[Ticker]:[Weight]],2,FALSE),0%)</f>
        <v>0</v>
      </c>
      <c r="S6" s="179">
        <f>IFERROR(VLOOKUP(S$1,EliteIncome[[Ticker]:[Weight]],2,FALSE),0%)</f>
        <v>0</v>
      </c>
      <c r="T6" s="179">
        <f>IFERROR(VLOOKUP(T$1,EliteIncome[[Ticker]:[Weight]],2,FALSE),0%)</f>
        <v>0</v>
      </c>
      <c r="U6" s="179">
        <f>IFERROR(VLOOKUP(U$1,EliteIncome[[Ticker]:[Weight]],2,FALSE),0%)</f>
        <v>0</v>
      </c>
      <c r="V6" s="179">
        <f>IFERROR(VLOOKUP(V$1,EliteIncome[[Ticker]:[Weight]],2,FALSE),0%)</f>
        <v>0</v>
      </c>
      <c r="W6" s="179">
        <f>IFERROR(VLOOKUP(W$1,EliteIncome[[Ticker]:[Weight]],2,FALSE),0%)</f>
        <v>0</v>
      </c>
      <c r="X6" s="179">
        <f>IFERROR(VLOOKUP(X$1,EliteIncome[[Ticker]:[Weight]],2,FALSE),0%)</f>
        <v>0</v>
      </c>
      <c r="Y6" s="179">
        <f>IFERROR(VLOOKUP(Y$1,EliteIncome[[Ticker]:[Weight]],2,FALSE),0%)</f>
        <v>0</v>
      </c>
      <c r="Z6" s="179">
        <f>IFERROR(VLOOKUP(Z$1,EliteIncome[[Ticker]:[Weight]],2,FALSE),0%)</f>
        <v>0</v>
      </c>
      <c r="AA6" s="179">
        <f>IFERROR(VLOOKUP(AA$1,EliteIncome[[Ticker]:[Weight]],2,FALSE),0%)</f>
        <v>0</v>
      </c>
      <c r="AB6" s="179">
        <f>IFERROR(VLOOKUP(AB$1,EliteIncome[[Ticker]:[Weight]],2,FALSE),0%)</f>
        <v>0</v>
      </c>
      <c r="AC6" s="179">
        <f>IFERROR(VLOOKUP(AC$1,EliteIncome[[Ticker]:[Weight]],2,FALSE),0%)</f>
        <v>0</v>
      </c>
      <c r="AD6" s="179">
        <f>IFERROR(VLOOKUP(AD$1,EliteIncome[[Ticker]:[Weight]],2,FALSE),0%)</f>
        <v>0</v>
      </c>
      <c r="AE6" s="179">
        <f>IFERROR(VLOOKUP(AE$1,EliteIncome[[Ticker]:[Weight]],2,FALSE),0%)</f>
        <v>0</v>
      </c>
      <c r="AF6" s="179">
        <f>IFERROR(VLOOKUP(AF$1,EliteIncome[[Ticker]:[Weight]],2,FALSE),0%)</f>
        <v>0</v>
      </c>
      <c r="AG6" s="179">
        <f>IFERROR(VLOOKUP(AG$1,EliteIncome[[Ticker]:[Weight]],2,FALSE),0%)</f>
        <v>0</v>
      </c>
      <c r="AH6" s="179">
        <f>IFERROR(VLOOKUP(AH$1,EliteIncome[[Ticker]:[Weight]],2,FALSE),0%)</f>
        <v>0</v>
      </c>
      <c r="AI6" s="179">
        <f>IFERROR(VLOOKUP(AI$1,EliteIncome[[Ticker]:[Weight]],2,FALSE),0%)</f>
        <v>0</v>
      </c>
      <c r="AJ6" s="179">
        <f>IFERROR(VLOOKUP(AJ$1,EliteIncome[[Ticker]:[Weight]],2,FALSE),0%)</f>
        <v>0</v>
      </c>
      <c r="AK6" s="179">
        <f>IFERROR(VLOOKUP(AK$1,EliteIncome[[Ticker]:[Weight]],2,FALSE),0%)</f>
        <v>0</v>
      </c>
      <c r="AL6" s="179">
        <f>IFERROR(VLOOKUP(AL$1,EliteIncome[[Ticker]:[Weight]],2,FALSE),0%)</f>
        <v>0</v>
      </c>
      <c r="AM6" s="179">
        <f>IFERROR(VLOOKUP(AM$1,EliteIncome[[Ticker]:[Weight]],2,FALSE),0%)</f>
        <v>0</v>
      </c>
      <c r="AN6" s="179">
        <f>IFERROR(VLOOKUP(AN$1,EliteIncome[[Ticker]:[Weight]],2,FALSE),0%)</f>
        <v>0</v>
      </c>
      <c r="AO6" s="179">
        <f>IFERROR(VLOOKUP(AO$1,EliteIncome[[Ticker]:[Weight]],2,FALSE),0%)</f>
        <v>0</v>
      </c>
      <c r="AP6" s="179">
        <f>IFERROR(VLOOKUP(AP$1,EliteIncome[[Ticker]:[Weight]],2,FALSE),0%)</f>
        <v>0</v>
      </c>
      <c r="AQ6" s="179">
        <f>IFERROR(VLOOKUP(AQ$1,EliteIncome[[Ticker]:[Weight]],2,FALSE),0%)</f>
        <v>0</v>
      </c>
      <c r="AR6" s="179">
        <f>IFERROR(VLOOKUP(AR$1,EliteIncome[[Ticker]:[Weight]],2,FALSE),0%)</f>
        <v>0</v>
      </c>
      <c r="AS6" s="179">
        <f>IFERROR(VLOOKUP(AS$1,EliteIncome[[Ticker]:[Weight]],2,FALSE),0%)</f>
        <v>0</v>
      </c>
      <c r="AT6" s="179">
        <f>IFERROR(VLOOKUP(AT$1,EliteIncome[[Ticker]:[Weight]],2,FALSE),0%)</f>
        <v>0</v>
      </c>
      <c r="AU6" s="179">
        <f>IFERROR(VLOOKUP(AU$1,EliteIncome[[Ticker]:[Weight]],2,FALSE),0%)</f>
        <v>0</v>
      </c>
      <c r="AV6" s="179">
        <f>IFERROR(VLOOKUP(AV$1,EliteIncome[[Ticker]:[Weight]],2,FALSE),0%)</f>
        <v>0</v>
      </c>
      <c r="AW6" s="179">
        <f>IFERROR(VLOOKUP(AW$1,EliteIncome[[Ticker]:[Weight]],2,FALSE),0%)</f>
        <v>0</v>
      </c>
      <c r="AX6" s="179">
        <f>IFERROR(VLOOKUP(AX$1,EliteIncome[[Ticker]:[Weight]],2,FALSE),0%)</f>
        <v>0</v>
      </c>
      <c r="AY6" s="179">
        <f>IFERROR(VLOOKUP(AY$1,EliteIncome[[Ticker]:[Weight]],2,FALSE),0%)</f>
        <v>0</v>
      </c>
      <c r="AZ6" s="179">
        <f>IFERROR(VLOOKUP(AZ$1,EliteIncome[[Ticker]:[Weight]],2,FALSE),0%)</f>
        <v>0</v>
      </c>
      <c r="BA6" s="179">
        <f>IFERROR(VLOOKUP(BA$1,EliteIncome[[Ticker]:[Weight]],2,FALSE),0%)</f>
        <v>0</v>
      </c>
      <c r="BB6" s="179">
        <f>IFERROR(VLOOKUP(BB$1,EliteIncome[[Ticker]:[Weight]],2,FALSE),0%)</f>
        <v>0</v>
      </c>
      <c r="BC6" s="179">
        <f>IFERROR(VLOOKUP(BC$1,EliteIncome[[Ticker]:[Weight]],2,FALSE),0%)</f>
        <v>0</v>
      </c>
      <c r="BD6" s="179">
        <f>IFERROR(VLOOKUP(BD$1,EliteIncome[[Ticker]:[Weight]],2,FALSE),0%)</f>
        <v>0</v>
      </c>
      <c r="BE6" s="179">
        <f>IFERROR(VLOOKUP(BE$1,EliteIncome[[Ticker]:[Weight]],2,FALSE),0%)</f>
        <v>0</v>
      </c>
      <c r="BF6" s="179">
        <f>IFERROR(VLOOKUP(BF$1,EliteIncome[[Ticker]:[Weight]],2,FALSE),0%)</f>
        <v>0</v>
      </c>
      <c r="BG6" s="179">
        <f>IFERROR(VLOOKUP(BG$1,EliteIncome[[Ticker]:[Weight]],2,FALSE),0%)</f>
        <v>0</v>
      </c>
      <c r="BH6" s="179">
        <f>IFERROR(VLOOKUP(BH$1,EliteIncome[[Ticker]:[Weight]],2,FALSE),0%)</f>
        <v>0</v>
      </c>
      <c r="BI6" s="179">
        <f>IFERROR(VLOOKUP(BI$1,EliteIncome[[Ticker]:[Weight]],2,FALSE),0%)</f>
        <v>0</v>
      </c>
      <c r="BJ6" s="179">
        <f>IFERROR(VLOOKUP(BJ$1,EliteIncome[[Ticker]:[Weight]],2,FALSE),0%)</f>
        <v>0</v>
      </c>
      <c r="BK6" s="179">
        <f>IFERROR(VLOOKUP(BK$1,EliteIncome[[Ticker]:[Weight]],2,FALSE),0%)</f>
        <v>0</v>
      </c>
      <c r="BL6" s="179">
        <f>IFERROR(VLOOKUP(BL$1,EliteIncome[[Ticker]:[Weight]],2,FALSE),0%)</f>
        <v>0</v>
      </c>
      <c r="BM6" s="179">
        <f>IFERROR(VLOOKUP(BM$1,EliteIncome[[Ticker]:[Weight]],2,FALSE),0%)</f>
        <v>0</v>
      </c>
      <c r="BN6" s="179">
        <f>IFERROR(VLOOKUP(BN$1,EliteIncome[[Ticker]:[Weight]],2,FALSE),0%)</f>
        <v>0</v>
      </c>
      <c r="BO6" s="179">
        <f>IFERROR(VLOOKUP(BO$1,EliteIncome[[Ticker]:[Weight]],2,FALSE),0%)</f>
        <v>0</v>
      </c>
      <c r="BP6" s="179">
        <f>IFERROR(VLOOKUP(BP$1,EliteIncome[[Ticker]:[Weight]],2,FALSE),0%)</f>
        <v>0</v>
      </c>
      <c r="BQ6" s="179">
        <f>IFERROR(VLOOKUP(BQ$1,EliteIncome[[Ticker]:[Weight]],2,FALSE),0%)</f>
        <v>0</v>
      </c>
      <c r="BR6" s="179">
        <f>IFERROR(VLOOKUP(BR$1,EliteIncome[[Ticker]:[Weight]],2,FALSE),0%)</f>
        <v>0</v>
      </c>
      <c r="BS6" s="179">
        <f>IFERROR(VLOOKUP(BS$1,EliteIncome[[Ticker]:[Weight]],2,FALSE),0%)</f>
        <v>0</v>
      </c>
      <c r="BT6" s="179">
        <f>IFERROR(VLOOKUP(BT$1,EliteIncome[[Ticker]:[Weight]],2,FALSE),0%)</f>
        <v>0</v>
      </c>
      <c r="BU6" s="179">
        <f>IFERROR(VLOOKUP(BU$1,EliteIncome[[Ticker]:[Weight]],2,FALSE),0%)</f>
        <v>0</v>
      </c>
      <c r="BV6" s="179">
        <f>IFERROR(VLOOKUP(BV$1,EliteIncome[[Ticker]:[Weight]],2,FALSE),0%)</f>
        <v>0</v>
      </c>
      <c r="BW6" s="179">
        <f>IFERROR(VLOOKUP(BW$1,EliteIncome[[Ticker]:[Weight]],2,FALSE),0%)</f>
        <v>0</v>
      </c>
      <c r="BX6" s="179">
        <f>IFERROR(VLOOKUP(BX$1,EliteIncome[[Ticker]:[Weight]],2,FALSE),0%)</f>
        <v>0</v>
      </c>
      <c r="BY6" s="179">
        <f>IFERROR(VLOOKUP(BY$1,EliteIncome[[Ticker]:[Weight]],2,FALSE),0%)</f>
        <v>0</v>
      </c>
      <c r="BZ6" s="179">
        <f>IFERROR(VLOOKUP(BZ$1,EliteIncome[[Ticker]:[Weight]],2,FALSE),0%)</f>
        <v>0</v>
      </c>
      <c r="CA6" s="179">
        <f>IFERROR(VLOOKUP(CA$1,EliteIncome[[Ticker]:[Weight]],2,FALSE),0%)</f>
        <v>0</v>
      </c>
      <c r="CB6" s="179">
        <f>IFERROR(VLOOKUP(CB$1,EliteIncome[[Ticker]:[Weight]],2,FALSE),0%)</f>
        <v>0</v>
      </c>
      <c r="CC6" s="179">
        <f>IFERROR(VLOOKUP(CC$1,EliteIncome[[Ticker]:[Weight]],2,FALSE),0%)</f>
        <v>0</v>
      </c>
      <c r="CD6" s="179">
        <f>IFERROR(VLOOKUP(CD$1,EliteIncome[[Ticker]:[Weight]],2,FALSE),0%)</f>
        <v>0</v>
      </c>
      <c r="CE6" s="179">
        <f>IFERROR(VLOOKUP(CE$1,EliteIncome[[Ticker]:[Weight]],2,FALSE),0%)</f>
        <v>0</v>
      </c>
      <c r="CF6" s="179">
        <f>IFERROR(VLOOKUP(CF$1,EliteIncome[[Ticker]:[Weight]],2,FALSE),0%)</f>
        <v>0</v>
      </c>
      <c r="CG6" s="179">
        <f>IFERROR(VLOOKUP(CG$1,EliteIncome[[Ticker]:[Weight]],2,FALSE),0%)</f>
        <v>0</v>
      </c>
      <c r="CH6" s="179">
        <f>IFERROR(VLOOKUP(CH$1,EliteIncome[[Ticker]:[Weight]],2,FALSE),0%)</f>
        <v>0</v>
      </c>
      <c r="CI6" s="179">
        <f>IFERROR(VLOOKUP(CI$1,EliteIncome[[Ticker]:[Weight]],2,FALSE),0%)</f>
        <v>0</v>
      </c>
      <c r="CJ6" s="179">
        <f>IFERROR(VLOOKUP(CJ$1,EliteIncome[[Ticker]:[Weight]],2,FALSE),0%)</f>
        <v>0</v>
      </c>
      <c r="CK6" s="179">
        <f>IFERROR(VLOOKUP(CK$1,EliteIncome[[Ticker]:[Weight]],2,FALSE),0%)</f>
        <v>0</v>
      </c>
      <c r="CL6" s="179">
        <f>IFERROR(VLOOKUP(CL$1,EliteIncome[[Ticker]:[Weight]],2,FALSE),0%)</f>
        <v>0</v>
      </c>
      <c r="CM6" s="179">
        <f>IFERROR(VLOOKUP(CM$1,EliteIncome[[Ticker]:[Weight]],2,FALSE),0%)</f>
        <v>0</v>
      </c>
      <c r="CN6" s="179">
        <f>IFERROR(VLOOKUP(CN$1,EliteIncome[[Ticker]:[Weight]],2,FALSE),0%)</f>
        <v>0</v>
      </c>
      <c r="CO6" s="179">
        <f>IFERROR(VLOOKUP(CO$1,EliteIncome[[Ticker]:[Weight]],2,FALSE),0%)</f>
        <v>0</v>
      </c>
      <c r="CP6" s="179">
        <f>IFERROR(VLOOKUP(CP$1,EliteIncome[[Ticker]:[Weight]],2,FALSE),0%)</f>
        <v>0</v>
      </c>
      <c r="CQ6" s="179">
        <f>IFERROR(VLOOKUP(CQ$1,EliteIncome[[Ticker]:[Weight]],2,FALSE),0%)</f>
        <v>0</v>
      </c>
      <c r="CR6" s="179">
        <f>IFERROR(VLOOKUP(CR$1,EliteIncome[[Ticker]:[Weight]],2,FALSE),0%)</f>
        <v>0</v>
      </c>
      <c r="CS6" s="179">
        <f>IFERROR(VLOOKUP(CS$1,EliteIncome[[Ticker]:[Weight]],2,FALSE),0%)</f>
        <v>0</v>
      </c>
      <c r="CT6" s="179">
        <f>IFERROR(VLOOKUP(CT$1,EliteIncome[[Ticker]:[Weight]],2,FALSE),0%)</f>
        <v>0</v>
      </c>
      <c r="CU6" s="179">
        <f>IFERROR(VLOOKUP(CU$1,EliteIncome[[Ticker]:[Weight]],2,FALSE),0%)</f>
        <v>0</v>
      </c>
      <c r="CV6" s="179">
        <f>IFERROR(VLOOKUP(CV$1,EliteIncome[[Ticker]:[Weight]],2,FALSE),0%)</f>
        <v>0</v>
      </c>
      <c r="CW6" s="179">
        <f>IFERROR(VLOOKUP(CW$1,EliteIncome[[Ticker]:[Weight]],2,FALSE),0%)</f>
        <v>0</v>
      </c>
      <c r="CX6" s="179">
        <f>IFERROR(VLOOKUP(CX$1,EliteIncome[[Ticker]:[Weight]],2,FALSE),0%)</f>
        <v>0</v>
      </c>
      <c r="CY6" s="179">
        <f>IFERROR(VLOOKUP(CY$1,EliteIncome[[Ticker]:[Weight]],2,FALSE),0%)</f>
        <v>0</v>
      </c>
      <c r="CZ6" s="179">
        <f>IFERROR(VLOOKUP(CZ$1,EliteIncome[[Ticker]:[Weight]],2,FALSE),0%)</f>
        <v>0</v>
      </c>
      <c r="DA6" s="179">
        <f>IFERROR(VLOOKUP(DA$1,EliteIncome[[Ticker]:[Weight]],2,FALSE),0%)</f>
        <v>0</v>
      </c>
      <c r="DB6" s="179">
        <f>IFERROR(VLOOKUP(DB$1,EliteIncome[[Ticker]:[Weight]],2,FALSE),0%)</f>
        <v>0</v>
      </c>
      <c r="DC6" s="179">
        <f>IFERROR(VLOOKUP(DC$1,EliteIncome[[Ticker]:[Weight]],2,FALSE),0%)</f>
        <v>0</v>
      </c>
      <c r="DD6" s="179">
        <f>IFERROR(VLOOKUP(DD$1,EliteIncome[[Ticker]:[Weight]],2,FALSE),0%)</f>
        <v>0</v>
      </c>
      <c r="DE6" s="179">
        <f>IFERROR(VLOOKUP(DE$1,EliteIncome[[Ticker]:[Weight]],2,FALSE),0%)</f>
        <v>0</v>
      </c>
      <c r="DF6" s="179">
        <f>IFERROR(VLOOKUP(DF$1,EliteIncome[[Ticker]:[Weight]],2,FALSE),0%)</f>
        <v>0</v>
      </c>
      <c r="DG6" s="179">
        <f>IFERROR(VLOOKUP(DG$1,EliteIncome[[Ticker]:[Weight]],2,FALSE),0%)</f>
        <v>0</v>
      </c>
      <c r="DH6" s="179">
        <f>IFERROR(VLOOKUP(DH$1,EliteIncome[[Ticker]:[Weight]],2,FALSE),0%)</f>
        <v>0</v>
      </c>
      <c r="DI6" s="179">
        <f>IFERROR(VLOOKUP(DI$1,EliteIncome[[Ticker]:[Weight]],2,FALSE),0%)</f>
        <v>0</v>
      </c>
      <c r="DJ6" s="179">
        <f>IFERROR(VLOOKUP(DJ$1,EliteIncome[[Ticker]:[Weight]],2,FALSE),0%)</f>
        <v>0</v>
      </c>
      <c r="DK6" s="179">
        <f>IFERROR(VLOOKUP(DK$1,EliteIncome[[Ticker]:[Weight]],2,FALSE),0%)</f>
        <v>0</v>
      </c>
      <c r="DL6" s="179">
        <f>IFERROR(VLOOKUP(DL$1,EliteIncome[[Ticker]:[Weight]],2,FALSE),0%)</f>
        <v>0</v>
      </c>
      <c r="DM6" s="179">
        <f>IFERROR(VLOOKUP(DM$1,EliteIncome[[Ticker]:[Weight]],2,FALSE),0%)</f>
        <v>0</v>
      </c>
      <c r="DN6" s="179">
        <f>IFERROR(VLOOKUP(DN$1,EliteIncome[[Ticker]:[Weight]],2,FALSE),0%)</f>
        <v>0</v>
      </c>
      <c r="DO6" s="179">
        <f>IFERROR(VLOOKUP(DO$1,EliteIncome[[Ticker]:[Weight]],2,FALSE),0%)</f>
        <v>0</v>
      </c>
      <c r="DP6" s="179">
        <f>IFERROR(VLOOKUP(DP$1,EliteIncome[[Ticker]:[Weight]],2,FALSE),0%)</f>
        <v>0</v>
      </c>
      <c r="DQ6" s="179">
        <f>IFERROR(VLOOKUP(DQ$1,EliteIncome[[Ticker]:[Weight]],2,FALSE),0%)</f>
        <v>0</v>
      </c>
      <c r="DR6" s="179">
        <f>IFERROR(VLOOKUP(DR$1,EliteIncome[[Ticker]:[Weight]],2,FALSE),0%)</f>
        <v>0</v>
      </c>
      <c r="DS6" s="179">
        <f>IFERROR(VLOOKUP(DS$1,EliteIncome[[Ticker]:[Weight]],2,FALSE),0%)</f>
        <v>0</v>
      </c>
      <c r="DT6" s="179">
        <f>IFERROR(VLOOKUP(DT$1,EliteIncome[[Ticker]:[Weight]],2,FALSE),0%)</f>
        <v>0</v>
      </c>
      <c r="DU6" s="179">
        <f>IFERROR(VLOOKUP(DU$1,EliteIncome[[Ticker]:[Weight]],2,FALSE),0%)</f>
        <v>0</v>
      </c>
      <c r="DV6" s="179">
        <f>IFERROR(VLOOKUP(DV$1,EliteIncome[[Ticker]:[Weight]],2,FALSE),0%)</f>
        <v>0</v>
      </c>
      <c r="DW6" s="179">
        <f>IFERROR(VLOOKUP(DW$1,EliteIncome[[Ticker]:[Weight]],2,FALSE),0%)</f>
        <v>0</v>
      </c>
      <c r="DX6" s="179">
        <f>IFERROR(VLOOKUP(DX$1,EliteIncome[[Ticker]:[Weight]],2,FALSE),0%)</f>
        <v>0</v>
      </c>
      <c r="DY6" s="179">
        <f>IFERROR(VLOOKUP(DY$1,EliteIncome[[Ticker]:[Weight]],2,FALSE),0%)</f>
        <v>0</v>
      </c>
      <c r="DZ6" s="179">
        <f>IFERROR(VLOOKUP(DZ$1,EliteIncome[[Ticker]:[Weight]],2,FALSE),0%)</f>
        <v>0</v>
      </c>
      <c r="EA6" s="179">
        <f>IFERROR(VLOOKUP(EA$1,EliteIncome[[Ticker]:[Weight]],2,FALSE),0%)</f>
        <v>0</v>
      </c>
      <c r="EB6" s="179">
        <f>IFERROR(VLOOKUP(EB$1,EliteIncome[[Ticker]:[Weight]],2,FALSE),0%)</f>
        <v>0</v>
      </c>
      <c r="EC6" s="179">
        <f>IFERROR(VLOOKUP(EC$1,EliteIncome[[Ticker]:[Weight]],2,FALSE),0%)</f>
        <v>0</v>
      </c>
      <c r="ED6" s="179">
        <f>IFERROR(VLOOKUP(ED$1,EliteIncome[[Ticker]:[Weight]],2,FALSE),0%)</f>
        <v>0</v>
      </c>
      <c r="EE6" s="179">
        <f>IFERROR(VLOOKUP(EE$1,EliteIncome[[Ticker]:[Weight]],2,FALSE),0%)</f>
        <v>0</v>
      </c>
      <c r="EF6" s="179">
        <f>IFERROR(VLOOKUP(EF$1,EliteIncome[[Ticker]:[Weight]],2,FALSE),0%)</f>
        <v>0</v>
      </c>
      <c r="EG6" s="179">
        <f>IFERROR(VLOOKUP(EG$1,EliteIncome[[Ticker]:[Weight]],2,FALSE),0%)</f>
        <v>0</v>
      </c>
      <c r="EH6" s="179">
        <f>IFERROR(VLOOKUP(EH$1,EliteIncome[[Ticker]:[Weight]],2,FALSE),0%)</f>
        <v>0</v>
      </c>
      <c r="EI6" s="179">
        <f>IFERROR(VLOOKUP(EI$1,EliteIncome[[Ticker]:[Weight]],2,FALSE),0%)</f>
        <v>0</v>
      </c>
      <c r="EJ6" s="179">
        <f>IFERROR(VLOOKUP(EJ$1,EliteIncome[[Ticker]:[Weight]],2,FALSE),0%)</f>
        <v>0</v>
      </c>
      <c r="EK6" s="179">
        <f>IFERROR(VLOOKUP(EK$1,EliteIncome[[Ticker]:[Weight]],2,FALSE),0%)</f>
        <v>0</v>
      </c>
      <c r="EL6" s="179">
        <f>IFERROR(VLOOKUP(EL$1,EliteIncome[[Ticker]:[Weight]],2,FALSE),0%)</f>
        <v>0</v>
      </c>
      <c r="EM6" s="179">
        <f>IFERROR(VLOOKUP(EM$1,EliteIncome[[Ticker]:[Weight]],2,FALSE),0%)</f>
        <v>0</v>
      </c>
      <c r="EN6" s="179">
        <f>IFERROR(VLOOKUP(EN$1,EliteIncome[[Ticker]:[Weight]],2,FALSE),0%)</f>
        <v>0</v>
      </c>
      <c r="EO6" s="179">
        <f>IFERROR(VLOOKUP(EO$1,EliteIncome[[Ticker]:[Weight]],2,FALSE),0%)</f>
        <v>0</v>
      </c>
      <c r="EP6" s="179">
        <f>IFERROR(VLOOKUP(EP$1,EliteIncome[[Ticker]:[Weight]],2,FALSE),0%)</f>
        <v>0</v>
      </c>
      <c r="EQ6" s="179">
        <f>IFERROR(VLOOKUP(EQ$1,EliteIncome[[Ticker]:[Weight]],2,FALSE),0%)</f>
        <v>0</v>
      </c>
      <c r="ER6" s="179">
        <f>IFERROR(VLOOKUP(ER$1,EliteIncome[[Ticker]:[Weight]],2,FALSE),0%)</f>
        <v>0</v>
      </c>
      <c r="ES6" s="179">
        <f>IFERROR(VLOOKUP(ES$1,EliteIncome[[Ticker]:[Weight]],2,FALSE),0%)</f>
        <v>0</v>
      </c>
      <c r="ET6" s="179">
        <f>IFERROR(VLOOKUP(ET$1,EliteIncome[[Ticker]:[Weight]],2,FALSE),0%)</f>
        <v>0</v>
      </c>
      <c r="EU6" s="179">
        <f>IFERROR(VLOOKUP(EU$1,EliteIncome[[Ticker]:[Weight]],2,FALSE),0%)</f>
        <v>0</v>
      </c>
      <c r="EV6" s="179">
        <f>IFERROR(VLOOKUP(EV$1,EliteIncome[[Ticker]:[Weight]],2,FALSE),0%)</f>
        <v>0</v>
      </c>
      <c r="EW6" s="179">
        <f>IFERROR(VLOOKUP(EW$1,EliteIncome[[Ticker]:[Weight]],2,FALSE),0%)</f>
        <v>0</v>
      </c>
      <c r="EX6" s="179">
        <f>IFERROR(VLOOKUP(EX$1,EliteIncome[[Ticker]:[Weight]],2,FALSE),0%)</f>
        <v>0</v>
      </c>
      <c r="EY6" s="179">
        <f>IFERROR(VLOOKUP(EY$1,EliteIncome[[Ticker]:[Weight]],2,FALSE),0%)</f>
        <v>0</v>
      </c>
      <c r="EZ6" s="179">
        <f>IFERROR(VLOOKUP(EZ$1,EliteIncome[[Ticker]:[Weight]],2,FALSE),0%)</f>
        <v>0</v>
      </c>
      <c r="FA6" s="179">
        <f>IFERROR(VLOOKUP(FA$1,EliteIncome[[Ticker]:[Weight]],2,FALSE),0%)</f>
        <v>0</v>
      </c>
      <c r="FB6" s="179">
        <f>IFERROR(VLOOKUP(FB$1,EliteIncome[[Ticker]:[Weight]],2,FALSE),0%)</f>
        <v>0</v>
      </c>
      <c r="FC6" s="179">
        <f>IFERROR(VLOOKUP(FC$1,EliteIncome[[Ticker]:[Weight]],2,FALSE),0%)</f>
        <v>0</v>
      </c>
      <c r="FD6" s="179">
        <f>IFERROR(VLOOKUP(FD$1,EliteIncome[[Ticker]:[Weight]],2,FALSE),0%)</f>
        <v>0</v>
      </c>
      <c r="FE6" s="179">
        <f>IFERROR(VLOOKUP(FE$1,EliteIncome[[Ticker]:[Weight]],2,FALSE),0%)</f>
        <v>0</v>
      </c>
      <c r="FF6" s="179">
        <f>IFERROR(VLOOKUP(FF$1,EliteIncome[[Ticker]:[Weight]],2,FALSE),0%)</f>
        <v>0</v>
      </c>
      <c r="FG6" s="179">
        <f>IFERROR(VLOOKUP(FG$1,EliteIncome[[Ticker]:[Weight]],2,FALSE),0%)</f>
        <v>0</v>
      </c>
      <c r="FH6" s="179">
        <f>IFERROR(VLOOKUP(FH$1,EliteIncome[[Ticker]:[Weight]],2,FALSE),0%)</f>
        <v>0.2736737777</v>
      </c>
      <c r="FI6" s="179">
        <f>IFERROR(VLOOKUP(FI$1,EliteIncome[[Ticker]:[Weight]],2,FALSE),0%)</f>
        <v>0</v>
      </c>
      <c r="FJ6" s="179">
        <f>IFERROR(VLOOKUP(FJ$1,EliteIncome[[Ticker]:[Weight]],2,FALSE),0%)</f>
        <v>0</v>
      </c>
      <c r="FK6" s="179">
        <f>IFERROR(VLOOKUP(FK$1,EliteIncome[[Ticker]:[Weight]],2,FALSE),0%)</f>
        <v>0</v>
      </c>
      <c r="FL6" s="179">
        <f>IFERROR(VLOOKUP(FL$1,EliteIncome[[Ticker]:[Weight]],2,FALSE),0%)</f>
        <v>0</v>
      </c>
      <c r="FM6" s="179">
        <f>IFERROR(VLOOKUP(FM$1,EliteIncome[[Ticker]:[Weight]],2,FALSE),0%)</f>
        <v>0</v>
      </c>
      <c r="FN6" s="179">
        <f>IFERROR(VLOOKUP(FN$1,EliteIncome[[Ticker]:[Weight]],2,FALSE),0%)</f>
        <v>0</v>
      </c>
      <c r="FO6" s="179">
        <f>IFERROR(VLOOKUP(FO$1,EliteIncome[[Ticker]:[Weight]],2,FALSE),0%)</f>
        <v>0</v>
      </c>
      <c r="FP6" s="179">
        <f>IFERROR(VLOOKUP(FP$1,EliteIncome[[Ticker]:[Weight]],2,FALSE),0%)</f>
        <v>0</v>
      </c>
      <c r="FQ6" s="179">
        <f>IFERROR(VLOOKUP(FQ$1,EliteIncome[[Ticker]:[Weight]],2,FALSE),0%)</f>
        <v>0</v>
      </c>
      <c r="FR6" s="179">
        <f>IFERROR(VLOOKUP(FR$1,EliteIncome[[Ticker]:[Weight]],2,FALSE),0%)</f>
        <v>0</v>
      </c>
      <c r="FS6" s="179">
        <f>IFERROR(VLOOKUP(FS$1,EliteIncome[[Ticker]:[Weight]],2,FALSE),0%)</f>
        <v>0</v>
      </c>
      <c r="FT6" s="179">
        <f>IFERROR(VLOOKUP(FT$1,EliteIncome[[Ticker]:[Weight]],2,FALSE),0%)</f>
        <v>0</v>
      </c>
      <c r="FU6" s="179">
        <f>IFERROR(VLOOKUP(FU$1,EliteIncome[[Ticker]:[Weight]],2,FALSE),0%)</f>
        <v>0</v>
      </c>
      <c r="FV6" s="179">
        <f>IFERROR(VLOOKUP(FV$1,EliteIncome[[Ticker]:[Weight]],2,FALSE),0%)</f>
        <v>0</v>
      </c>
      <c r="FW6" s="179">
        <f>IFERROR(VLOOKUP(FW$1,EliteIncome[[Ticker]:[Weight]],2,FALSE),0%)</f>
        <v>0</v>
      </c>
      <c r="FX6" s="179">
        <f>IFERROR(VLOOKUP(FX$1,EliteIncome[[Ticker]:[Weight]],2,FALSE),0%)</f>
        <v>0</v>
      </c>
      <c r="FY6" s="179">
        <f>IFERROR(VLOOKUP(FY$1,EliteIncome[[Ticker]:[Weight]],2,FALSE),0%)</f>
        <v>0</v>
      </c>
      <c r="FZ6" s="179">
        <f>IFERROR(VLOOKUP(FZ$1,EliteIncome[[Ticker]:[Weight]],2,FALSE),0%)</f>
        <v>0</v>
      </c>
      <c r="GA6" s="179">
        <f>IFERROR(VLOOKUP(GA$1,EliteIncome[[Ticker]:[Weight]],2,FALSE),0%)</f>
        <v>0</v>
      </c>
      <c r="GB6" s="179">
        <f>IFERROR(VLOOKUP(GB$1,EliteIncome[[Ticker]:[Weight]],2,FALSE),0%)</f>
        <v>0</v>
      </c>
      <c r="GC6" s="179">
        <f>IFERROR(VLOOKUP(GC$1,EliteIncome[[Ticker]:[Weight]],2,FALSE),0%)</f>
        <v>0</v>
      </c>
      <c r="GD6" s="179">
        <f>IFERROR(VLOOKUP(GD$1,EliteIncome[[Ticker]:[Weight]],2,FALSE),0%)</f>
        <v>0</v>
      </c>
      <c r="GE6" s="179">
        <f>IFERROR(VLOOKUP(GE$1,EliteIncome[[Ticker]:[Weight]],2,FALSE),0%)</f>
        <v>0</v>
      </c>
      <c r="GF6" s="179">
        <f>IFERROR(VLOOKUP(GF$1,EliteIncome[[Ticker]:[Weight]],2,FALSE),0%)</f>
        <v>0</v>
      </c>
      <c r="GG6" s="179">
        <f>IFERROR(VLOOKUP(GG$1,EliteIncome[[Ticker]:[Weight]],2,FALSE),0%)</f>
        <v>0</v>
      </c>
      <c r="GH6" s="179">
        <f>IFERROR(VLOOKUP(GH$1,EliteIncome[[Ticker]:[Weight]],2,FALSE),0%)</f>
        <v>0</v>
      </c>
      <c r="GI6" s="179">
        <f>IFERROR(VLOOKUP(GI$1,EliteIncome[[Ticker]:[Weight]],2,FALSE),0%)</f>
        <v>0</v>
      </c>
      <c r="GJ6" s="179">
        <f>IFERROR(VLOOKUP(GJ$1,EliteIncome[[Ticker]:[Weight]],2,FALSE),0%)</f>
        <v>0</v>
      </c>
      <c r="GK6" s="179">
        <f>IFERROR(VLOOKUP(GK$1,EliteIncome[[Ticker]:[Weight]],2,FALSE),0%)</f>
        <v>0</v>
      </c>
      <c r="GL6" s="179">
        <f>IFERROR(VLOOKUP(GL$1,EliteIncome[[Ticker]:[Weight]],2,FALSE),0%)</f>
        <v>0</v>
      </c>
      <c r="GM6" s="179">
        <f>IFERROR(VLOOKUP(GM$1,EliteIncome[[Ticker]:[Weight]],2,FALSE),0%)</f>
        <v>0</v>
      </c>
      <c r="GN6" s="179">
        <f>IFERROR(VLOOKUP(GN$1,EliteIncome[[Ticker]:[Weight]],2,FALSE),0%)</f>
        <v>0</v>
      </c>
      <c r="GO6" s="179">
        <f>IFERROR(VLOOKUP(GO$1,EliteIncome[[Ticker]:[Weight]],2,FALSE),0%)</f>
        <v>0</v>
      </c>
      <c r="GP6" s="179">
        <f>IFERROR(VLOOKUP(GP$1,EliteIncome[[Ticker]:[Weight]],2,FALSE),0%)</f>
        <v>0</v>
      </c>
      <c r="GQ6" s="179">
        <f>IFERROR(VLOOKUP(GQ$1,EliteIncome[[Ticker]:[Weight]],2,FALSE),0%)</f>
        <v>0</v>
      </c>
      <c r="GR6" s="179">
        <f>IFERROR(VLOOKUP(GR$1,EliteIncome[[Ticker]:[Weight]],2,FALSE),0%)</f>
        <v>0</v>
      </c>
      <c r="GS6" s="179">
        <f>IFERROR(VLOOKUP(GS$1,EliteIncome[[Ticker]:[Weight]],2,FALSE),0%)</f>
        <v>0</v>
      </c>
      <c r="GT6" s="179">
        <f>IFERROR(VLOOKUP(GT$1,EliteIncome[[Ticker]:[Weight]],2,FALSE),0%)</f>
        <v>0</v>
      </c>
      <c r="GU6" s="179">
        <f>IFERROR(VLOOKUP(GU$1,EliteIncome[[Ticker]:[Weight]],2,FALSE),0%)</f>
        <v>0</v>
      </c>
      <c r="GV6" s="179">
        <f>IFERROR(VLOOKUP(GV$1,EliteIncome[[Ticker]:[Weight]],2,FALSE),0%)</f>
        <v>0</v>
      </c>
      <c r="GW6" s="179">
        <f>IFERROR(VLOOKUP(GW$1,EliteIncome[[Ticker]:[Weight]],2,FALSE),0%)</f>
        <v>0</v>
      </c>
      <c r="GX6" s="179">
        <f>IFERROR(VLOOKUP(GX$1,EliteIncome[[Ticker]:[Weight]],2,FALSE),0%)</f>
        <v>0</v>
      </c>
      <c r="GY6" s="179">
        <f>IFERROR(VLOOKUP(GY$1,EliteIncome[[Ticker]:[Weight]],2,FALSE),0%)</f>
        <v>0</v>
      </c>
      <c r="GZ6" s="179">
        <f>IFERROR(VLOOKUP(GZ$1,EliteIncome[[Ticker]:[Weight]],2,FALSE),0%)</f>
        <v>0</v>
      </c>
      <c r="HA6" s="179">
        <f>IFERROR(VLOOKUP(HA$1,EliteIncome[[Ticker]:[Weight]],2,FALSE),0%)</f>
        <v>0</v>
      </c>
      <c r="HB6" s="179">
        <f>IFERROR(VLOOKUP(HB$1,EliteIncome[[Ticker]:[Weight]],2,FALSE),0%)</f>
        <v>0</v>
      </c>
      <c r="HC6" s="179">
        <f>IFERROR(VLOOKUP(HC$1,EliteIncome[[Ticker]:[Weight]],2,FALSE),0%)</f>
        <v>0</v>
      </c>
      <c r="HD6" s="179">
        <f>IFERROR(VLOOKUP(HD$1,EliteIncome[[Ticker]:[Weight]],2,FALSE),0%)</f>
        <v>0</v>
      </c>
      <c r="HE6" s="179">
        <f>IFERROR(VLOOKUP(HE$1,EliteIncome[[Ticker]:[Weight]],2,FALSE),0%)</f>
        <v>0</v>
      </c>
      <c r="HF6" s="179">
        <f>IFERROR(VLOOKUP(HF$1,EliteIncome[[Ticker]:[Weight]],2,FALSE),0%)</f>
        <v>0</v>
      </c>
      <c r="HG6" s="179">
        <f>IFERROR(VLOOKUP(HG$1,EliteIncome[[Ticker]:[Weight]],2,FALSE),0%)</f>
        <v>0</v>
      </c>
      <c r="HH6" s="179">
        <f>IFERROR(VLOOKUP(HH$1,EliteIncome[[Ticker]:[Weight]],2,FALSE),0%)</f>
        <v>0</v>
      </c>
      <c r="HI6" s="179">
        <f>IFERROR(VLOOKUP(HI$1,EliteIncome[[Ticker]:[Weight]],2,FALSE),0%)</f>
        <v>0</v>
      </c>
      <c r="HJ6" s="179">
        <f>IFERROR(VLOOKUP(HJ$1,EliteIncome[[Ticker]:[Weight]],2,FALSE),0%)</f>
        <v>0</v>
      </c>
      <c r="HK6" s="179">
        <f>IFERROR(VLOOKUP(HK$1,EliteIncome[[Ticker]:[Weight]],2,FALSE),0%)</f>
        <v>0</v>
      </c>
      <c r="HL6" s="179">
        <f>IFERROR(VLOOKUP(HL$1,EliteIncome[[Ticker]:[Weight]],2,FALSE),0%)</f>
        <v>0</v>
      </c>
      <c r="HM6" s="179">
        <f>IFERROR(VLOOKUP(HM$1,EliteIncome[[Ticker]:[Weight]],2,FALSE),0%)</f>
        <v>0</v>
      </c>
      <c r="HN6" s="179">
        <f>IFERROR(VLOOKUP(HN$1,EliteIncome[[Ticker]:[Weight]],2,FALSE),0%)</f>
        <v>0</v>
      </c>
      <c r="HO6" s="179">
        <f>IFERROR(VLOOKUP(HO$1,EliteIncome[[Ticker]:[Weight]],2,FALSE),0%)</f>
        <v>0</v>
      </c>
      <c r="HP6" s="179">
        <f>IFERROR(VLOOKUP(HP$1,EliteIncome[[Ticker]:[Weight]],2,FALSE),0%)</f>
        <v>0</v>
      </c>
      <c r="HQ6" s="179">
        <f>IFERROR(VLOOKUP(HQ$1,EliteIncome[[Ticker]:[Weight]],2,FALSE),0%)</f>
        <v>0</v>
      </c>
      <c r="HR6" s="179">
        <f>IFERROR(VLOOKUP(HR$1,EliteIncome[[Ticker]:[Weight]],2,FALSE),0%)</f>
        <v>0</v>
      </c>
      <c r="HS6" s="179">
        <f>IFERROR(VLOOKUP(HS$1,EliteIncome[[Ticker]:[Weight]],2,FALSE),0%)</f>
        <v>0</v>
      </c>
      <c r="HT6" s="179">
        <f>IFERROR(VLOOKUP(HT$1,EliteIncome[[Ticker]:[Weight]],2,FALSE),0%)</f>
        <v>0</v>
      </c>
      <c r="HU6" s="179">
        <f>IFERROR(VLOOKUP(HU$1,EliteIncome[[Ticker]:[Weight]],2,FALSE),0%)</f>
        <v>0</v>
      </c>
      <c r="HV6" s="179">
        <f>IFERROR(VLOOKUP(HV$1,EliteIncome[[Ticker]:[Weight]],2,FALSE),0%)</f>
        <v>0</v>
      </c>
      <c r="HW6" s="179">
        <f>IFERROR(VLOOKUP(HW$1,EliteIncome[[Ticker]:[Weight]],2,FALSE),0%)</f>
        <v>0</v>
      </c>
      <c r="HX6" s="179">
        <f>IFERROR(VLOOKUP(HX$1,EliteIncome[[Ticker]:[Weight]],2,FALSE),0%)</f>
        <v>0</v>
      </c>
      <c r="HY6" s="179">
        <f>IFERROR(VLOOKUP(HY$1,EliteIncome[[Ticker]:[Weight]],2,FALSE),0%)</f>
        <v>0</v>
      </c>
      <c r="HZ6" s="179">
        <f>IFERROR(VLOOKUP(HZ$1,EliteIncome[[Ticker]:[Weight]],2,FALSE),0%)</f>
        <v>0</v>
      </c>
      <c r="IA6" s="179">
        <f>IFERROR(VLOOKUP(IA$1,EliteIncome[[Ticker]:[Weight]],2,FALSE),0%)</f>
        <v>0</v>
      </c>
      <c r="IB6" s="179">
        <f>IFERROR(VLOOKUP(IB$1,EliteIncome[[Ticker]:[Weight]],2,FALSE),0%)</f>
        <v>0</v>
      </c>
      <c r="IC6" s="179">
        <f>IFERROR(VLOOKUP(IC$1,EliteIncome[[Ticker]:[Weight]],2,FALSE),0%)</f>
        <v>0</v>
      </c>
      <c r="ID6" s="179">
        <f>IFERROR(VLOOKUP(ID$1,EliteIncome[[Ticker]:[Weight]],2,FALSE),0%)</f>
        <v>0</v>
      </c>
      <c r="IE6" s="179">
        <f>IFERROR(VLOOKUP(IE$1,EliteIncome[[Ticker]:[Weight]],2,FALSE),0%)</f>
        <v>0</v>
      </c>
      <c r="IF6" s="179">
        <f>IFERROR(VLOOKUP(IF$1,EliteIncome[[Ticker]:[Weight]],2,FALSE),0%)</f>
        <v>0</v>
      </c>
      <c r="IG6" s="179">
        <f>IFERROR(VLOOKUP(IG$1,EliteIncome[[Ticker]:[Weight]],2,FALSE),0%)</f>
        <v>0</v>
      </c>
      <c r="IH6" s="179">
        <f>IFERROR(VLOOKUP(IH$1,EliteIncome[[Ticker]:[Weight]],2,FALSE),0%)</f>
        <v>0</v>
      </c>
      <c r="II6" s="179">
        <f>IFERROR(VLOOKUP(II$1,EliteIncome[[Ticker]:[Weight]],2,FALSE),0%)</f>
        <v>0</v>
      </c>
      <c r="IJ6" s="179">
        <f>IFERROR(VLOOKUP(IJ$1,EliteIncome[[Ticker]:[Weight]],2,FALSE),0%)</f>
        <v>0</v>
      </c>
      <c r="IK6" s="179">
        <f>IFERROR(VLOOKUP(IK$1,EliteIncome[[Ticker]:[Weight]],2,FALSE),0%)</f>
        <v>0</v>
      </c>
      <c r="IL6" s="179">
        <f>IFERROR(VLOOKUP(IL$1,EliteIncome[[Ticker]:[Weight]],2,FALSE),0%)</f>
        <v>0</v>
      </c>
      <c r="IM6" s="179">
        <f>IFERROR(VLOOKUP(IM$1,EliteIncome[[Ticker]:[Weight]],2,FALSE),0%)</f>
        <v>0</v>
      </c>
      <c r="IN6" s="179">
        <f>IFERROR(VLOOKUP(IN$1,EliteIncome[[Ticker]:[Weight]],2,FALSE),0%)</f>
        <v>0</v>
      </c>
      <c r="IO6" s="179">
        <f>IFERROR(VLOOKUP(IO$1,EliteIncome[[Ticker]:[Weight]],2,FALSE),0%)</f>
        <v>0</v>
      </c>
      <c r="IP6" s="179">
        <f>IFERROR(VLOOKUP(IP$1,EliteIncome[[Ticker]:[Weight]],2,FALSE),0%)</f>
        <v>0</v>
      </c>
      <c r="IQ6" s="179">
        <f>IFERROR(VLOOKUP(IQ$1,EliteIncome[[Ticker]:[Weight]],2,FALSE),0%)</f>
        <v>0</v>
      </c>
      <c r="IR6" s="179">
        <f>IFERROR(VLOOKUP(IR$1,EliteIncome[[Ticker]:[Weight]],2,FALSE),0%)</f>
        <v>0</v>
      </c>
      <c r="IS6" s="179">
        <f>IFERROR(VLOOKUP(IS$1,EliteIncome[[Ticker]:[Weight]],2,FALSE),0%)</f>
        <v>0</v>
      </c>
      <c r="IT6" s="179">
        <f>IFERROR(VLOOKUP(IT$1,EliteIncome[[Ticker]:[Weight]],2,FALSE),0%)</f>
        <v>0</v>
      </c>
      <c r="IU6" s="179">
        <f>IFERROR(VLOOKUP(IU$1,EliteIncome[[Ticker]:[Weight]],2,FALSE),0%)</f>
        <v>0</v>
      </c>
      <c r="IV6" s="179">
        <f>IFERROR(VLOOKUP(IV$1,EliteIncome[[Ticker]:[Weight]],2,FALSE),0%)</f>
        <v>0</v>
      </c>
      <c r="IW6" s="179">
        <f>IFERROR(VLOOKUP(IW$1,EliteIncome[[Ticker]:[Weight]],2,FALSE),0%)</f>
        <v>0</v>
      </c>
      <c r="IX6" s="179">
        <f>IFERROR(VLOOKUP(IX$1,EliteIncome[[Ticker]:[Weight]],2,FALSE),0%)</f>
        <v>0</v>
      </c>
      <c r="IY6" s="179">
        <f>IFERROR(VLOOKUP(IY$1,EliteIncome[[Ticker]:[Weight]],2,FALSE),0%)</f>
        <v>0</v>
      </c>
      <c r="IZ6" s="179">
        <f>IFERROR(VLOOKUP(IZ$1,EliteIncome[[Ticker]:[Weight]],2,FALSE),0%)</f>
        <v>0</v>
      </c>
      <c r="JA6" s="179">
        <f>IFERROR(VLOOKUP(JA$1,EliteIncome[[Ticker]:[Weight]],2,FALSE),0%)</f>
        <v>0</v>
      </c>
      <c r="JB6" s="179">
        <f>IFERROR(VLOOKUP(JB$1,EliteIncome[[Ticker]:[Weight]],2,FALSE),0%)</f>
        <v>0</v>
      </c>
      <c r="JC6" s="179">
        <f>IFERROR(VLOOKUP(JC$1,EliteIncome[[Ticker]:[Weight]],2,FALSE),0%)</f>
        <v>0</v>
      </c>
      <c r="JD6" s="179">
        <f>IFERROR(VLOOKUP(JD$1,EliteIncome[[Ticker]:[Weight]],2,FALSE),0%)</f>
        <v>0</v>
      </c>
      <c r="JE6" s="179">
        <f>IFERROR(VLOOKUP(JE$1,EliteIncome[[Ticker]:[Weight]],2,FALSE),0%)</f>
        <v>0</v>
      </c>
      <c r="JF6" s="179">
        <f>IFERROR(VLOOKUP(JF$1,EliteIncome[[Ticker]:[Weight]],2,FALSE),0%)</f>
        <v>0</v>
      </c>
      <c r="JG6" s="179">
        <f>IFERROR(VLOOKUP(JG$1,EliteIncome[[Ticker]:[Weight]],2,FALSE),0%)</f>
        <v>0</v>
      </c>
      <c r="JH6" s="179">
        <f>IFERROR(VLOOKUP(JH$1,EliteIncome[[Ticker]:[Weight]],2,FALSE),0%)</f>
        <v>0</v>
      </c>
      <c r="JI6" s="179">
        <f>IFERROR(VLOOKUP(JI$1,EliteIncome[[Ticker]:[Weight]],2,FALSE),0%)</f>
        <v>0</v>
      </c>
      <c r="JJ6" s="179">
        <f>IFERROR(VLOOKUP(JJ$1,EliteIncome[[Ticker]:[Weight]],2,FALSE),0%)</f>
        <v>0</v>
      </c>
      <c r="JK6" s="179">
        <f>IFERROR(VLOOKUP(JK$1,EliteIncome[[Ticker]:[Weight]],2,FALSE),0%)</f>
        <v>0</v>
      </c>
      <c r="JL6" s="179">
        <f>IFERROR(VLOOKUP(JL$1,EliteIncome[[Ticker]:[Weight]],2,FALSE),0%)</f>
        <v>0</v>
      </c>
      <c r="JM6" s="179">
        <f>IFERROR(VLOOKUP(JM$1,EliteIncome[[Ticker]:[Weight]],2,FALSE),0%)</f>
        <v>0</v>
      </c>
      <c r="JN6" s="179">
        <f>IFERROR(VLOOKUP(JN$1,EliteIncome[[Ticker]:[Weight]],2,FALSE),0%)</f>
        <v>0</v>
      </c>
      <c r="JO6" s="179">
        <f>IFERROR(VLOOKUP(JO$1,EliteIncome[[Ticker]:[Weight]],2,FALSE),0%)</f>
        <v>0</v>
      </c>
      <c r="JP6" s="179">
        <f>IFERROR(VLOOKUP(JP$1,EliteIncome[[Ticker]:[Weight]],2,FALSE),0%)</f>
        <v>0</v>
      </c>
      <c r="JQ6" s="179">
        <f>IFERROR(VLOOKUP(JQ$1,EliteIncome[[Ticker]:[Weight]],2,FALSE),0%)</f>
        <v>0</v>
      </c>
      <c r="JR6" s="179">
        <f>IFERROR(VLOOKUP(JR$1,EliteIncome[[Ticker]:[Weight]],2,FALSE),0%)</f>
        <v>0</v>
      </c>
      <c r="JS6" s="179">
        <f>IFERROR(VLOOKUP(JS$1,EliteIncome[[Ticker]:[Weight]],2,FALSE),0%)</f>
        <v>0</v>
      </c>
      <c r="JT6" s="179">
        <f>IFERROR(VLOOKUP(JT$1,EliteIncome[[Ticker]:[Weight]],2,FALSE),0%)</f>
        <v>0</v>
      </c>
      <c r="JU6" s="179">
        <f>IFERROR(VLOOKUP(JU$1,EliteIncome[[Ticker]:[Weight]],2,FALSE),0%)</f>
        <v>0</v>
      </c>
      <c r="JV6" s="179">
        <f>IFERROR(VLOOKUP(JV$1,EliteIncome[[Ticker]:[Weight]],2,FALSE),0%)</f>
        <v>0</v>
      </c>
      <c r="JW6" s="179">
        <f>IFERROR(VLOOKUP(JW$1,EliteIncome[[Ticker]:[Weight]],2,FALSE),0%)</f>
        <v>0</v>
      </c>
      <c r="JX6" s="179">
        <f>IFERROR(VLOOKUP(JX$1,EliteIncome[[Ticker]:[Weight]],2,FALSE),0%)</f>
        <v>0</v>
      </c>
      <c r="JY6" s="179">
        <f>IFERROR(VLOOKUP(JY$1,EliteIncome[[Ticker]:[Weight]],2,FALSE),0%)</f>
        <v>0</v>
      </c>
      <c r="JZ6" s="179">
        <f>IFERROR(VLOOKUP(JZ$1,EliteIncome[[Ticker]:[Weight]],2,FALSE),0%)</f>
        <v>0</v>
      </c>
      <c r="KA6" s="179">
        <f>IFERROR(VLOOKUP(KA$1,EliteIncome[[Ticker]:[Weight]],2,FALSE),0%)</f>
        <v>0</v>
      </c>
      <c r="KB6" s="179">
        <f>IFERROR(VLOOKUP(KB$1,EliteIncome[[Ticker]:[Weight]],2,FALSE),0%)</f>
        <v>0</v>
      </c>
      <c r="KC6" s="179">
        <f>IFERROR(VLOOKUP(KC$1,EliteIncome[[Ticker]:[Weight]],2,FALSE),0%)</f>
        <v>0</v>
      </c>
      <c r="KD6" s="179">
        <f>IFERROR(VLOOKUP(KD$1,EliteIncome[[Ticker]:[Weight]],2,FALSE),0%)</f>
        <v>0</v>
      </c>
      <c r="KE6" s="179">
        <f>IFERROR(VLOOKUP(KE$1,EliteIncome[[Ticker]:[Weight]],2,FALSE),0%)</f>
        <v>0</v>
      </c>
      <c r="KF6" s="179">
        <f>IFERROR(VLOOKUP(KF$1,EliteIncome[[Ticker]:[Weight]],2,FALSE),0%)</f>
        <v>0</v>
      </c>
      <c r="KG6" s="179">
        <f>IFERROR(VLOOKUP(KG$1,EliteIncome[[Ticker]:[Weight]],2,FALSE),0%)</f>
        <v>0</v>
      </c>
      <c r="KH6" s="179">
        <f>IFERROR(VLOOKUP(KH$1,EliteIncome[[Ticker]:[Weight]],2,FALSE),0%)</f>
        <v>0</v>
      </c>
      <c r="KI6" s="179">
        <f>IFERROR(VLOOKUP(KI$1,EliteIncome[[Ticker]:[Weight]],2,FALSE),0%)</f>
        <v>0</v>
      </c>
      <c r="KJ6" s="179">
        <f>IFERROR(VLOOKUP(KJ$1,EliteIncome[[Ticker]:[Weight]],2,FALSE),0%)</f>
        <v>0</v>
      </c>
      <c r="KK6" s="179">
        <f>IFERROR(VLOOKUP(KK$1,EliteIncome[[Ticker]:[Weight]],2,FALSE),0%)</f>
        <v>0</v>
      </c>
      <c r="KL6" s="179">
        <f>IFERROR(VLOOKUP(KL$1,EliteIncome[[Ticker]:[Weight]],2,FALSE),0%)</f>
        <v>0</v>
      </c>
      <c r="KM6" s="179">
        <f>IFERROR(VLOOKUP(KM$1,EliteIncome[[Ticker]:[Weight]],2,FALSE),0%)</f>
        <v>0</v>
      </c>
      <c r="KN6" s="179">
        <f>IFERROR(VLOOKUP(KN$1,EliteIncome[[Ticker]:[Weight]],2,FALSE),0%)</f>
        <v>0</v>
      </c>
      <c r="KO6" s="179">
        <f>IFERROR(VLOOKUP(KO$1,EliteIncome[[Ticker]:[Weight]],2,FALSE),0%)</f>
        <v>0</v>
      </c>
      <c r="KP6" s="179">
        <f>IFERROR(VLOOKUP(KP$1,EliteIncome[[Ticker]:[Weight]],2,FALSE),0%)</f>
        <v>0</v>
      </c>
      <c r="KQ6" s="179">
        <f>IFERROR(VLOOKUP(KQ$1,EliteIncome[[Ticker]:[Weight]],2,FALSE),0%)</f>
        <v>0</v>
      </c>
      <c r="KR6" s="179">
        <f>IFERROR(VLOOKUP(KR$1,EliteIncome[[Ticker]:[Weight]],2,FALSE),0%)</f>
        <v>0</v>
      </c>
      <c r="KS6" s="179">
        <f>IFERROR(VLOOKUP(KS$1,EliteIncome[[Ticker]:[Weight]],2,FALSE),0%)</f>
        <v>0</v>
      </c>
      <c r="KT6" s="179">
        <f>IFERROR(VLOOKUP(KT$1,EliteIncome[[Ticker]:[Weight]],2,FALSE),0%)</f>
        <v>0</v>
      </c>
      <c r="KU6" s="179">
        <f>IFERROR(VLOOKUP(KU$1,EliteIncome[[Ticker]:[Weight]],2,FALSE),0%)</f>
        <v>0</v>
      </c>
      <c r="KV6" s="179">
        <f>IFERROR(VLOOKUP(KV$1,EliteIncome[[Ticker]:[Weight]],2,FALSE),0%)</f>
        <v>0</v>
      </c>
      <c r="KW6" s="179">
        <f>IFERROR(VLOOKUP(KW$1,EliteIncome[[Ticker]:[Weight]],2,FALSE),0%)</f>
        <v>0</v>
      </c>
      <c r="KX6" s="179">
        <f>IFERROR(VLOOKUP(KX$1,EliteIncome[[Ticker]:[Weight]],2,FALSE),0%)</f>
        <v>0</v>
      </c>
      <c r="KY6" s="179">
        <f>IFERROR(VLOOKUP(KY$1,EliteIncome[[Ticker]:[Weight]],2,FALSE),0%)</f>
        <v>0</v>
      </c>
      <c r="KZ6" s="179">
        <f>IFERROR(VLOOKUP(KZ$1,EliteIncome[[Ticker]:[Weight]],2,FALSE),0%)</f>
        <v>0</v>
      </c>
      <c r="LA6" s="179">
        <f>IFERROR(VLOOKUP(LA$1,EliteIncome[[Ticker]:[Weight]],2,FALSE),0%)</f>
        <v>0</v>
      </c>
      <c r="LB6" s="179">
        <f>IFERROR(VLOOKUP(LB$1,EliteIncome[[Ticker]:[Weight]],2,FALSE),0%)</f>
        <v>0</v>
      </c>
      <c r="LC6" s="179">
        <f>IFERROR(VLOOKUP(LC$1,EliteIncome[[Ticker]:[Weight]],2,FALSE),0%)</f>
        <v>0</v>
      </c>
      <c r="LD6" s="179">
        <f>IFERROR(VLOOKUP(LD$1,EliteIncome[[Ticker]:[Weight]],2,FALSE),0%)</f>
        <v>0</v>
      </c>
      <c r="LE6" s="179">
        <f>IFERROR(VLOOKUP(LE$1,EliteIncome[[Ticker]:[Weight]],2,FALSE),0%)</f>
        <v>0</v>
      </c>
      <c r="LF6" s="179">
        <f>IFERROR(VLOOKUP(LF$1,EliteIncome[[Ticker]:[Weight]],2,FALSE),0%)</f>
        <v>0</v>
      </c>
      <c r="LG6" s="179">
        <f>IFERROR(VLOOKUP(LG$1,EliteIncome[[Ticker]:[Weight]],2,FALSE),0%)</f>
        <v>0</v>
      </c>
      <c r="LH6" s="179">
        <f>IFERROR(VLOOKUP(LH$1,EliteIncome[[Ticker]:[Weight]],2,FALSE),0%)</f>
        <v>0</v>
      </c>
      <c r="LI6" s="179">
        <f>IFERROR(VLOOKUP(LI$1,EliteIncome[[Ticker]:[Weight]],2,FALSE),0%)</f>
        <v>0</v>
      </c>
      <c r="LJ6" s="179">
        <f>IFERROR(VLOOKUP(LJ$1,EliteIncome[[Ticker]:[Weight]],2,FALSE),0%)</f>
        <v>0</v>
      </c>
      <c r="LK6" s="179">
        <f>IFERROR(VLOOKUP(LK$1,EliteIncome[[Ticker]:[Weight]],2,FALSE),0%)</f>
        <v>0</v>
      </c>
      <c r="LL6" s="179">
        <f>IFERROR(VLOOKUP(LL$1,EliteIncome[[Ticker]:[Weight]],2,FALSE),0%)</f>
        <v>0</v>
      </c>
      <c r="LM6" s="179">
        <f>IFERROR(VLOOKUP(LM$1,EliteIncome[[Ticker]:[Weight]],2,FALSE),0%)</f>
        <v>0</v>
      </c>
      <c r="LN6" s="179">
        <f>IFERROR(VLOOKUP(LN$1,EliteIncome[[Ticker]:[Weight]],2,FALSE),0%)</f>
        <v>0</v>
      </c>
      <c r="LO6" s="179">
        <f>IFERROR(VLOOKUP(LO$1,EliteIncome[[Ticker]:[Weight]],2,FALSE),0%)</f>
        <v>0</v>
      </c>
      <c r="LP6" s="179">
        <f>IFERROR(VLOOKUP(LP$1,EliteIncome[[Ticker]:[Weight]],2,FALSE),0%)</f>
        <v>0</v>
      </c>
      <c r="LQ6" s="179">
        <f>IFERROR(VLOOKUP(LQ$1,EliteIncome[[Ticker]:[Weight]],2,FALSE),0%)</f>
        <v>0</v>
      </c>
      <c r="LR6" s="179">
        <f>IFERROR(VLOOKUP(LR$1,EliteIncome[[Ticker]:[Weight]],2,FALSE),0%)</f>
        <v>0</v>
      </c>
      <c r="LS6" s="179">
        <f>IFERROR(VLOOKUP(LS$1,EliteIncome[[Ticker]:[Weight]],2,FALSE),0%)</f>
        <v>0</v>
      </c>
      <c r="LT6" s="179">
        <f>IFERROR(VLOOKUP(LT$1,EliteIncome[[Ticker]:[Weight]],2,FALSE),0%)</f>
        <v>0</v>
      </c>
      <c r="LU6" s="179">
        <f>IFERROR(VLOOKUP(LU$1,EliteIncome[[Ticker]:[Weight]],2,FALSE),0%)</f>
        <v>0</v>
      </c>
      <c r="LV6" s="179">
        <f>IFERROR(VLOOKUP(LV$1,EliteIncome[[Ticker]:[Weight]],2,FALSE),0%)</f>
        <v>0</v>
      </c>
      <c r="LW6" s="179">
        <f>IFERROR(VLOOKUP(LW$1,EliteIncome[[Ticker]:[Weight]],2,FALSE),0%)</f>
        <v>0</v>
      </c>
      <c r="LX6" s="179">
        <f>IFERROR(VLOOKUP(LX$1,EliteIncome[[Ticker]:[Weight]],2,FALSE),0%)</f>
        <v>0</v>
      </c>
      <c r="LY6" s="179">
        <f>IFERROR(VLOOKUP(LY$1,EliteIncome[[Ticker]:[Weight]],2,FALSE),0%)</f>
        <v>0</v>
      </c>
      <c r="LZ6" s="179">
        <f>IFERROR(VLOOKUP(LZ$1,EliteIncome[[Ticker]:[Weight]],2,FALSE),0%)</f>
        <v>0</v>
      </c>
      <c r="MA6" s="179">
        <f>IFERROR(VLOOKUP(MA$1,EliteIncome[[Ticker]:[Weight]],2,FALSE),0%)</f>
        <v>0</v>
      </c>
      <c r="MB6" s="179">
        <f>IFERROR(VLOOKUP(MB$1,EliteIncome[[Ticker]:[Weight]],2,FALSE),0%)</f>
        <v>0</v>
      </c>
      <c r="MC6" s="179">
        <f>IFERROR(VLOOKUP(MC$1,EliteIncome[[Ticker]:[Weight]],2,FALSE),0%)</f>
        <v>0</v>
      </c>
      <c r="MD6" s="179">
        <f>IFERROR(VLOOKUP(MD$1,EliteIncome[[Ticker]:[Weight]],2,FALSE),0%)</f>
        <v>0</v>
      </c>
      <c r="ME6" s="179">
        <f>IFERROR(VLOOKUP(ME$1,EliteIncome[[Ticker]:[Weight]],2,FALSE),0%)</f>
        <v>0</v>
      </c>
      <c r="MF6" s="179">
        <f>IFERROR(VLOOKUP(MF$1,EliteIncome[[Ticker]:[Weight]],2,FALSE),0%)</f>
        <v>0</v>
      </c>
      <c r="MG6" s="179">
        <f>IFERROR(VLOOKUP(MG$1,EliteIncome[[Ticker]:[Weight]],2,FALSE),0%)</f>
        <v>0</v>
      </c>
      <c r="MH6" s="179">
        <f>IFERROR(VLOOKUP(MH$1,EliteIncome[[Ticker]:[Weight]],2,FALSE),0%)</f>
        <v>0</v>
      </c>
      <c r="MI6" s="179">
        <f>IFERROR(VLOOKUP(MI$1,EliteIncome[[Ticker]:[Weight]],2,FALSE),0%)</f>
        <v>0</v>
      </c>
      <c r="MJ6" s="179">
        <f>IFERROR(VLOOKUP(MJ$1,EliteIncome[[Ticker]:[Weight]],2,FALSE),0%)</f>
        <v>0</v>
      </c>
      <c r="MK6" s="179">
        <f>IFERROR(VLOOKUP(MK$1,EliteIncome[[Ticker]:[Weight]],2,FALSE),0%)</f>
        <v>0</v>
      </c>
      <c r="ML6" s="179">
        <f>IFERROR(VLOOKUP(ML$1,EliteIncome[[Ticker]:[Weight]],2,FALSE),0%)</f>
        <v>0</v>
      </c>
      <c r="MM6" s="179">
        <f>IFERROR(VLOOKUP(MM$1,EliteIncome[[Ticker]:[Weight]],2,FALSE),0%)</f>
        <v>0</v>
      </c>
      <c r="MN6" s="179">
        <f>IFERROR(VLOOKUP(MN$1,EliteIncome[[Ticker]:[Weight]],2,FALSE),0%)</f>
        <v>0</v>
      </c>
      <c r="MO6" s="179">
        <f>IFERROR(VLOOKUP(MO$1,EliteIncome[[Ticker]:[Weight]],2,FALSE),0%)</f>
        <v>0</v>
      </c>
      <c r="MP6" s="179">
        <f>IFERROR(VLOOKUP(MP$1,EliteIncome[[Ticker]:[Weight]],2,FALSE),0%)</f>
        <v>0</v>
      </c>
      <c r="MQ6" s="179">
        <f>IFERROR(VLOOKUP(MQ$1,EliteIncome[[Ticker]:[Weight]],2,FALSE),0%)</f>
        <v>0</v>
      </c>
      <c r="MR6" s="179">
        <f>IFERROR(VLOOKUP(MR$1,EliteIncome[[Ticker]:[Weight]],2,FALSE),0%)</f>
        <v>0</v>
      </c>
      <c r="MS6" s="179">
        <f>IFERROR(VLOOKUP(MS$1,EliteIncome[[Ticker]:[Weight]],2,FALSE),0%)</f>
        <v>0</v>
      </c>
      <c r="MT6" s="179">
        <f>IFERROR(VLOOKUP(MT$1,EliteIncome[[Ticker]:[Weight]],2,FALSE),0%)</f>
        <v>0</v>
      </c>
      <c r="MU6" s="179">
        <f>IFERROR(VLOOKUP(MU$1,EliteIncome[[Ticker]:[Weight]],2,FALSE),0%)</f>
        <v>0</v>
      </c>
      <c r="MV6" s="179">
        <f>IFERROR(VLOOKUP(MV$1,EliteIncome[[Ticker]:[Weight]],2,FALSE),0%)</f>
        <v>0</v>
      </c>
      <c r="MW6" s="179">
        <f>IFERROR(VLOOKUP(MW$1,EliteIncome[[Ticker]:[Weight]],2,FALSE),0%)</f>
        <v>0</v>
      </c>
      <c r="MX6" s="179">
        <f>IFERROR(VLOOKUP(MX$1,EliteIncome[[Ticker]:[Weight]],2,FALSE),0%)</f>
        <v>0</v>
      </c>
      <c r="MY6" s="179">
        <f>IFERROR(VLOOKUP(MY$1,EliteIncome[[Ticker]:[Weight]],2,FALSE),0%)</f>
        <v>0</v>
      </c>
      <c r="MZ6" s="179">
        <f>IFERROR(VLOOKUP(MZ$1,EliteIncome[[Ticker]:[Weight]],2,FALSE),0%)</f>
        <v>0</v>
      </c>
      <c r="NA6" s="179">
        <f>IFERROR(VLOOKUP(NA$1,EliteIncome[[Ticker]:[Weight]],2,FALSE),0%)</f>
        <v>0</v>
      </c>
      <c r="NB6" s="179">
        <f>IFERROR(VLOOKUP(NB$1,EliteIncome[[Ticker]:[Weight]],2,FALSE),0%)</f>
        <v>0</v>
      </c>
      <c r="NC6" s="179">
        <f>IFERROR(VLOOKUP(NC$1,EliteIncome[[Ticker]:[Weight]],2,FALSE),0%)</f>
        <v>0</v>
      </c>
      <c r="ND6" s="179">
        <f>IFERROR(VLOOKUP(ND$1,EliteIncome[[Ticker]:[Weight]],2,FALSE),0%)</f>
        <v>0</v>
      </c>
      <c r="NE6" s="179">
        <f>IFERROR(VLOOKUP(NE$1,EliteIncome[[Ticker]:[Weight]],2,FALSE),0%)</f>
        <v>0</v>
      </c>
      <c r="NF6" s="179">
        <f>IFERROR(VLOOKUP(NF$1,EliteIncome[[Ticker]:[Weight]],2,FALSE),0%)</f>
        <v>0</v>
      </c>
      <c r="NG6" s="179">
        <f>IFERROR(VLOOKUP(NG$1,EliteIncome[[Ticker]:[Weight]],2,FALSE),0%)</f>
        <v>0</v>
      </c>
      <c r="NH6" s="179">
        <f>IFERROR(VLOOKUP(NH$1,EliteIncome[[Ticker]:[Weight]],2,FALSE),0%)</f>
        <v>0</v>
      </c>
      <c r="NI6" s="179">
        <f>IFERROR(VLOOKUP(NI$1,EliteIncome[[Ticker]:[Weight]],2,FALSE),0%)</f>
        <v>0</v>
      </c>
      <c r="NJ6" s="179">
        <f>IFERROR(VLOOKUP(NJ$1,EliteIncome[[Ticker]:[Weight]],2,FALSE),0%)</f>
        <v>0</v>
      </c>
      <c r="NK6" s="179">
        <f>IFERROR(VLOOKUP(NK$1,EliteIncome[[Ticker]:[Weight]],2,FALSE),0%)</f>
        <v>0</v>
      </c>
      <c r="NL6" s="179">
        <f>IFERROR(VLOOKUP(NL$1,EliteIncome[[Ticker]:[Weight]],2,FALSE),0%)</f>
        <v>0</v>
      </c>
      <c r="NM6" s="179">
        <f>IFERROR(VLOOKUP(NM$1,EliteIncome[[Ticker]:[Weight]],2,FALSE),0%)</f>
        <v>0</v>
      </c>
      <c r="NN6" s="179">
        <f>IFERROR(VLOOKUP(NN$1,EliteIncome[[Ticker]:[Weight]],2,FALSE),0%)</f>
        <v>0</v>
      </c>
      <c r="NO6" s="179">
        <f>IFERROR(VLOOKUP(NO$1,EliteIncome[[Ticker]:[Weight]],2,FALSE),0%)</f>
        <v>0</v>
      </c>
      <c r="NP6" s="179">
        <f>IFERROR(VLOOKUP(NP$1,EliteIncome[[Ticker]:[Weight]],2,FALSE),0%)</f>
        <v>0</v>
      </c>
      <c r="NQ6" s="179">
        <f>IFERROR(VLOOKUP(NQ$1,EliteIncome[[Ticker]:[Weight]],2,FALSE),0%)</f>
        <v>0</v>
      </c>
      <c r="NR6" s="179">
        <f>IFERROR(VLOOKUP(NR$1,EliteIncome[[Ticker]:[Weight]],2,FALSE),0%)</f>
        <v>0</v>
      </c>
      <c r="NS6" s="179">
        <f>IFERROR(VLOOKUP(NS$1,EliteIncome[[Ticker]:[Weight]],2,FALSE),0%)</f>
        <v>0</v>
      </c>
      <c r="NT6" s="179">
        <f>IFERROR(VLOOKUP(NT$1,EliteIncome[[Ticker]:[Weight]],2,FALSE),0%)</f>
        <v>0</v>
      </c>
      <c r="NU6" s="179">
        <f>IFERROR(VLOOKUP(NU$1,EliteIncome[[Ticker]:[Weight]],2,FALSE),0%)</f>
        <v>0</v>
      </c>
      <c r="NV6" s="179">
        <f>IFERROR(VLOOKUP(NV$1,EliteIncome[[Ticker]:[Weight]],2,FALSE),0%)</f>
        <v>0</v>
      </c>
      <c r="NW6" s="179">
        <f>IFERROR(VLOOKUP(NW$1,EliteIncome[[Ticker]:[Weight]],2,FALSE),0%)</f>
        <v>0</v>
      </c>
      <c r="NX6" s="179">
        <f>IFERROR(VLOOKUP(NX$1,EliteIncome[[Ticker]:[Weight]],2,FALSE),0%)</f>
        <v>0</v>
      </c>
      <c r="NY6" s="179">
        <f>IFERROR(VLOOKUP(NY$1,EliteIncome[[Ticker]:[Weight]],2,FALSE),0%)</f>
        <v>0</v>
      </c>
      <c r="NZ6" s="179">
        <f>IFERROR(VLOOKUP(NZ$1,EliteIncome[[Ticker]:[Weight]],2,FALSE),0%)</f>
        <v>0</v>
      </c>
      <c r="OA6" s="179">
        <f>IFERROR(VLOOKUP(OA$1,EliteIncome[[Ticker]:[Weight]],2,FALSE),0%)</f>
        <v>0</v>
      </c>
      <c r="OB6" s="179">
        <f>IFERROR(VLOOKUP(OB$1,EliteIncome[[Ticker]:[Weight]],2,FALSE),0%)</f>
        <v>0</v>
      </c>
      <c r="OC6" s="179">
        <f>IFERROR(VLOOKUP(OC$1,EliteIncome[[Ticker]:[Weight]],2,FALSE),0%)</f>
        <v>0</v>
      </c>
      <c r="OD6" s="179">
        <f>IFERROR(VLOOKUP(OD$1,EliteIncome[[Ticker]:[Weight]],2,FALSE),0%)</f>
        <v>0</v>
      </c>
      <c r="OE6" s="179">
        <f>IFERROR(VLOOKUP(OE$1,EliteIncome[[Ticker]:[Weight]],2,FALSE),0%)</f>
        <v>0</v>
      </c>
      <c r="OF6" s="179">
        <f>IFERROR(VLOOKUP(OF$1,EliteIncome[[Ticker]:[Weight]],2,FALSE),0%)</f>
        <v>0</v>
      </c>
      <c r="OG6" s="179">
        <f>IFERROR(VLOOKUP(OG$1,EliteIncome[[Ticker]:[Weight]],2,FALSE),0%)</f>
        <v>0</v>
      </c>
      <c r="OH6" s="179">
        <f>IFERROR(VLOOKUP(OH$1,EliteIncome[[Ticker]:[Weight]],2,FALSE),0%)</f>
        <v>0</v>
      </c>
      <c r="OI6" s="179">
        <f>IFERROR(VLOOKUP(OI$1,EliteIncome[[Ticker]:[Weight]],2,FALSE),0%)</f>
        <v>0</v>
      </c>
      <c r="OJ6" s="179">
        <f>IFERROR(VLOOKUP(OJ$1,EliteIncome[[Ticker]:[Weight]],2,FALSE),0%)</f>
        <v>0</v>
      </c>
      <c r="OK6" s="179">
        <f>IFERROR(VLOOKUP(OK$1,EliteIncome[[Ticker]:[Weight]],2,FALSE),0%)</f>
        <v>0</v>
      </c>
      <c r="OL6" s="179">
        <f>IFERROR(VLOOKUP(OL$1,EliteIncome[[Ticker]:[Weight]],2,FALSE),0%)</f>
        <v>0</v>
      </c>
      <c r="OM6" s="179">
        <f>IFERROR(VLOOKUP(OM$1,EliteIncome[[Ticker]:[Weight]],2,FALSE),0%)</f>
        <v>0</v>
      </c>
      <c r="ON6" s="179">
        <f>IFERROR(VLOOKUP(ON$1,EliteIncome[[Ticker]:[Weight]],2,FALSE),0%)</f>
        <v>0</v>
      </c>
      <c r="OO6" s="179">
        <f>IFERROR(VLOOKUP(OO$1,EliteIncome[[Ticker]:[Weight]],2,FALSE),0%)</f>
        <v>0</v>
      </c>
      <c r="OP6" s="179">
        <f>IFERROR(VLOOKUP(OP$1,EliteIncome[[Ticker]:[Weight]],2,FALSE),0%)</f>
        <v>0</v>
      </c>
      <c r="OQ6" s="179">
        <f>IFERROR(VLOOKUP(OQ$1,EliteIncome[[Ticker]:[Weight]],2,FALSE),0%)</f>
        <v>0</v>
      </c>
      <c r="OR6" s="179">
        <f>IFERROR(VLOOKUP(OR$1,EliteIncome[[Ticker]:[Weight]],2,FALSE),0%)</f>
        <v>0</v>
      </c>
      <c r="OS6" s="179">
        <f>IFERROR(VLOOKUP(OS$1,EliteIncome[[Ticker]:[Weight]],2,FALSE),0%)</f>
        <v>0</v>
      </c>
      <c r="OT6" s="179">
        <f>IFERROR(VLOOKUP(OT$1,EliteIncome[[Ticker]:[Weight]],2,FALSE),0%)</f>
        <v>0</v>
      </c>
      <c r="OU6" s="179">
        <f>IFERROR(VLOOKUP(OU$1,EliteIncome[[Ticker]:[Weight]],2,FALSE),0%)</f>
        <v>0</v>
      </c>
      <c r="OV6" s="179">
        <f>IFERROR(VLOOKUP(OV$1,EliteIncome[[Ticker]:[Weight]],2,FALSE),0%)</f>
        <v>0</v>
      </c>
      <c r="OW6" s="179">
        <f>IFERROR(VLOOKUP(OW$1,EliteIncome[[Ticker]:[Weight]],2,FALSE),0%)</f>
        <v>0</v>
      </c>
      <c r="OX6" s="179">
        <f>IFERROR(VLOOKUP(OX$1,EliteIncome[[Ticker]:[Weight]],2,FALSE),0%)</f>
        <v>0</v>
      </c>
      <c r="OY6" s="179">
        <f>IFERROR(VLOOKUP(OY$1,EliteIncome[[Ticker]:[Weight]],2,FALSE),0%)</f>
        <v>0</v>
      </c>
      <c r="OZ6" s="179">
        <f>IFERROR(VLOOKUP(OZ$1,EliteIncome[[Ticker]:[Weight]],2,FALSE),0%)</f>
        <v>0</v>
      </c>
      <c r="PA6" s="179">
        <f>IFERROR(VLOOKUP(PA$1,EliteIncome[[Ticker]:[Weight]],2,FALSE),0%)</f>
        <v>0</v>
      </c>
      <c r="PB6" s="179">
        <f>IFERROR(VLOOKUP(PB$1,EliteIncome[[Ticker]:[Weight]],2,FALSE),0%)</f>
        <v>0</v>
      </c>
      <c r="PC6" s="179">
        <f>IFERROR(VLOOKUP(PC$1,EliteIncome[[Ticker]:[Weight]],2,FALSE),0%)</f>
        <v>0</v>
      </c>
      <c r="PD6" s="179">
        <f>IFERROR(VLOOKUP(PD$1,EliteIncome[[Ticker]:[Weight]],2,FALSE),0%)</f>
        <v>0</v>
      </c>
      <c r="PE6" s="179">
        <f>IFERROR(VLOOKUP(PE$1,EliteIncome[[Ticker]:[Weight]],2,FALSE),0%)</f>
        <v>0</v>
      </c>
      <c r="PF6" s="179">
        <f>IFERROR(VLOOKUP(PF$1,EliteIncome[[Ticker]:[Weight]],2,FALSE),0%)</f>
        <v>0</v>
      </c>
      <c r="PG6" s="179">
        <f>IFERROR(VLOOKUP(PG$1,EliteIncome[[Ticker]:[Weight]],2,FALSE),0%)</f>
        <v>0</v>
      </c>
      <c r="PH6" s="179">
        <f>IFERROR(VLOOKUP(PH$1,EliteIncome[[Ticker]:[Weight]],2,FALSE),0%)</f>
        <v>0</v>
      </c>
      <c r="PI6" s="179">
        <f>IFERROR(VLOOKUP(PI$1,EliteIncome[[Ticker]:[Weight]],2,FALSE),0%)</f>
        <v>0</v>
      </c>
      <c r="PJ6" s="179">
        <f>IFERROR(VLOOKUP(PJ$1,EliteIncome[[Ticker]:[Weight]],2,FALSE),0%)</f>
        <v>0</v>
      </c>
      <c r="PK6" s="179">
        <f>IFERROR(VLOOKUP(PK$1,EliteIncome[[Ticker]:[Weight]],2,FALSE),0%)</f>
        <v>0</v>
      </c>
      <c r="PL6" s="179">
        <f>IFERROR(VLOOKUP(PL$1,EliteIncome[[Ticker]:[Weight]],2,FALSE),0%)</f>
        <v>0</v>
      </c>
      <c r="PM6" s="179">
        <f>IFERROR(VLOOKUP(PM$1,EliteIncome[[Ticker]:[Weight]],2,FALSE),0%)</f>
        <v>0</v>
      </c>
      <c r="PN6" s="179">
        <f>IFERROR(VLOOKUP(PN$1,EliteIncome[[Ticker]:[Weight]],2,FALSE),0%)</f>
        <v>0</v>
      </c>
      <c r="PO6" s="179">
        <f>IFERROR(VLOOKUP(PO$1,EliteIncome[[Ticker]:[Weight]],2,FALSE),0%)</f>
        <v>0</v>
      </c>
      <c r="PP6" s="179">
        <f>IFERROR(VLOOKUP(PP$1,EliteIncome[[Ticker]:[Weight]],2,FALSE),0%)</f>
        <v>0</v>
      </c>
      <c r="PQ6" s="179">
        <f>IFERROR(VLOOKUP(PQ$1,EliteIncome[[Ticker]:[Weight]],2,FALSE),0%)</f>
        <v>0</v>
      </c>
      <c r="PR6" s="179">
        <f>IFERROR(VLOOKUP(PR$1,EliteIncome[[Ticker]:[Weight]],2,FALSE),0%)</f>
        <v>0</v>
      </c>
      <c r="PS6" s="179">
        <f>IFERROR(VLOOKUP(PS$1,EliteIncome[[Ticker]:[Weight]],2,FALSE),0%)</f>
        <v>0</v>
      </c>
      <c r="PT6" s="179">
        <f>IFERROR(VLOOKUP(PT$1,EliteIncome[[Ticker]:[Weight]],2,FALSE),0%)</f>
        <v>0</v>
      </c>
      <c r="PU6" s="179">
        <f>IFERROR(VLOOKUP(PU$1,EliteIncome[[Ticker]:[Weight]],2,FALSE),0%)</f>
        <v>0</v>
      </c>
      <c r="PV6" s="179">
        <f>IFERROR(VLOOKUP(PV$1,EliteIncome[[Ticker]:[Weight]],2,FALSE),0%)</f>
        <v>0</v>
      </c>
      <c r="PW6" s="179">
        <f>IFERROR(VLOOKUP(PW$1,EliteIncome[[Ticker]:[Weight]],2,FALSE),0%)</f>
        <v>0</v>
      </c>
      <c r="PX6" s="179">
        <f>IFERROR(VLOOKUP(PX$1,EliteIncome[[Ticker]:[Weight]],2,FALSE),0%)</f>
        <v>0</v>
      </c>
      <c r="PY6" s="179">
        <f>IFERROR(VLOOKUP(PY$1,EliteIncome[[Ticker]:[Weight]],2,FALSE),0%)</f>
        <v>0</v>
      </c>
      <c r="PZ6" s="179">
        <f>IFERROR(VLOOKUP(PZ$1,EliteIncome[[Ticker]:[Weight]],2,FALSE),0%)</f>
        <v>0</v>
      </c>
      <c r="QA6" s="179">
        <f>IFERROR(VLOOKUP(QA$1,EliteIncome[[Ticker]:[Weight]],2,FALSE),0%)</f>
        <v>0</v>
      </c>
      <c r="QB6" s="179">
        <f>IFERROR(VLOOKUP(QB$1,EliteIncome[[Ticker]:[Weight]],2,FALSE),0%)</f>
        <v>0</v>
      </c>
      <c r="QC6" s="179">
        <f>IFERROR(VLOOKUP(QC$1,EliteIncome[[Ticker]:[Weight]],2,FALSE),0%)</f>
        <v>0</v>
      </c>
      <c r="QD6" s="179">
        <f>IFERROR(VLOOKUP(QD$1,EliteIncome[[Ticker]:[Weight]],2,FALSE),0%)</f>
        <v>0</v>
      </c>
      <c r="QE6" s="179">
        <f>IFERROR(VLOOKUP(QE$1,EliteIncome[[Ticker]:[Weight]],2,FALSE),0%)</f>
        <v>0</v>
      </c>
      <c r="QF6" s="179">
        <f>IFERROR(VLOOKUP(QF$1,EliteIncome[[Ticker]:[Weight]],2,FALSE),0%)</f>
        <v>0</v>
      </c>
      <c r="QG6" s="179">
        <f>IFERROR(VLOOKUP(QG$1,EliteIncome[[Ticker]:[Weight]],2,FALSE),0%)</f>
        <v>0</v>
      </c>
      <c r="QH6" s="179">
        <f>IFERROR(VLOOKUP(QH$1,EliteIncome[[Ticker]:[Weight]],2,FALSE),0%)</f>
        <v>0</v>
      </c>
      <c r="QI6" s="179">
        <f>IFERROR(VLOOKUP(QI$1,EliteIncome[[Ticker]:[Weight]],2,FALSE),0%)</f>
        <v>0</v>
      </c>
      <c r="QJ6" s="179">
        <f>IFERROR(VLOOKUP(QJ$1,EliteIncome[[Ticker]:[Weight]],2,FALSE),0%)</f>
        <v>0</v>
      </c>
      <c r="QK6" s="179">
        <f>IFERROR(VLOOKUP(QK$1,EliteIncome[[Ticker]:[Weight]],2,FALSE),0%)</f>
        <v>0</v>
      </c>
      <c r="QL6" s="179">
        <f>IFERROR(VLOOKUP(QL$1,EliteIncome[[Ticker]:[Weight]],2,FALSE),0%)</f>
        <v>0</v>
      </c>
      <c r="QM6" s="179">
        <f>IFERROR(VLOOKUP(QM$1,EliteIncome[[Ticker]:[Weight]],2,FALSE),0%)</f>
        <v>0</v>
      </c>
      <c r="QN6" s="179">
        <f>IFERROR(VLOOKUP(QN$1,EliteIncome[[Ticker]:[Weight]],2,FALSE),0%)</f>
        <v>0</v>
      </c>
      <c r="QO6" s="179">
        <f>IFERROR(VLOOKUP(QO$1,EliteIncome[[Ticker]:[Weight]],2,FALSE),0%)</f>
        <v>0</v>
      </c>
      <c r="QP6" s="179">
        <f>IFERROR(VLOOKUP(QP$1,EliteIncome[[Ticker]:[Weight]],2,FALSE),0%)</f>
        <v>0</v>
      </c>
      <c r="QQ6" s="179">
        <f>IFERROR(VLOOKUP(QQ$1,EliteIncome[[Ticker]:[Weight]],2,FALSE),0%)</f>
        <v>0</v>
      </c>
      <c r="QR6" s="179">
        <f>IFERROR(VLOOKUP(QR$1,EliteIncome[[Ticker]:[Weight]],2,FALSE),0%)</f>
        <v>0</v>
      </c>
      <c r="QS6" s="179">
        <f>IFERROR(VLOOKUP(QS$1,EliteIncome[[Ticker]:[Weight]],2,FALSE),0%)</f>
        <v>0</v>
      </c>
      <c r="QT6" s="179">
        <f>IFERROR(VLOOKUP(QT$1,EliteIncome[[Ticker]:[Weight]],2,FALSE),0%)</f>
        <v>0</v>
      </c>
      <c r="QU6" s="179">
        <f>IFERROR(VLOOKUP(QU$1,EliteIncome[[Ticker]:[Weight]],2,FALSE),0%)</f>
        <v>0</v>
      </c>
      <c r="QV6" s="179">
        <f>IFERROR(VLOOKUP(QV$1,EliteIncome[[Ticker]:[Weight]],2,FALSE),0%)</f>
        <v>0</v>
      </c>
      <c r="QW6" s="179">
        <f>IFERROR(VLOOKUP(QW$1,EliteIncome[[Ticker]:[Weight]],2,FALSE),0%)</f>
        <v>0</v>
      </c>
      <c r="QX6" s="179">
        <f>IFERROR(VLOOKUP(QX$1,EliteIncome[[Ticker]:[Weight]],2,FALSE),0%)</f>
        <v>0</v>
      </c>
      <c r="QY6" s="179">
        <f>IFERROR(VLOOKUP(QY$1,EliteIncome[[Ticker]:[Weight]],2,FALSE),0%)</f>
        <v>0</v>
      </c>
      <c r="QZ6" s="179">
        <f>IFERROR(VLOOKUP(QZ$1,EliteIncome[[Ticker]:[Weight]],2,FALSE),0%)</f>
        <v>0</v>
      </c>
      <c r="RA6" s="179">
        <f>IFERROR(VLOOKUP(RA$1,EliteIncome[[Ticker]:[Weight]],2,FALSE),0%)</f>
        <v>0</v>
      </c>
      <c r="RB6" s="179">
        <f>IFERROR(VLOOKUP(RB$1,EliteIncome[[Ticker]:[Weight]],2,FALSE),0%)</f>
        <v>0</v>
      </c>
      <c r="RC6" s="179">
        <f>IFERROR(VLOOKUP(RC$1,EliteIncome[[Ticker]:[Weight]],2,FALSE),0%)</f>
        <v>0</v>
      </c>
      <c r="RD6" s="179">
        <f>IFERROR(VLOOKUP(RD$1,EliteIncome[[Ticker]:[Weight]],2,FALSE),0%)</f>
        <v>0</v>
      </c>
      <c r="RE6" s="179">
        <f>IFERROR(VLOOKUP(RE$1,EliteIncome[[Ticker]:[Weight]],2,FALSE),0%)</f>
        <v>0</v>
      </c>
      <c r="RF6" s="179">
        <f>IFERROR(VLOOKUP(RF$1,EliteIncome[[Ticker]:[Weight]],2,FALSE),0%)</f>
        <v>0</v>
      </c>
      <c r="RG6" s="179">
        <f>IFERROR(VLOOKUP(RG$1,EliteIncome[[Ticker]:[Weight]],2,FALSE),0%)</f>
        <v>0</v>
      </c>
      <c r="RH6" s="179">
        <f>IFERROR(VLOOKUP(RH$1,EliteIncome[[Ticker]:[Weight]],2,FALSE),0%)</f>
        <v>0</v>
      </c>
      <c r="RI6" s="179">
        <f>IFERROR(VLOOKUP(RI$1,EliteIncome[[Ticker]:[Weight]],2,FALSE),0%)</f>
        <v>0</v>
      </c>
      <c r="RJ6" s="179">
        <f>IFERROR(VLOOKUP(RJ$1,EliteIncome[[Ticker]:[Weight]],2,FALSE),0%)</f>
        <v>0</v>
      </c>
      <c r="RK6" s="179">
        <f>IFERROR(VLOOKUP(RK$1,EliteIncome[[Ticker]:[Weight]],2,FALSE),0%)</f>
        <v>0</v>
      </c>
      <c r="RL6" s="179">
        <f>IFERROR(VLOOKUP(RL$1,EliteIncome[[Ticker]:[Weight]],2,FALSE),0%)</f>
        <v>0</v>
      </c>
      <c r="RM6" s="179">
        <f>IFERROR(VLOOKUP(RM$1,EliteIncome[[Ticker]:[Weight]],2,FALSE),0%)</f>
        <v>0</v>
      </c>
      <c r="RN6" s="179">
        <f>IFERROR(VLOOKUP(RN$1,EliteIncome[[Ticker]:[Weight]],2,FALSE),0%)</f>
        <v>0</v>
      </c>
      <c r="RO6" s="179">
        <f>IFERROR(VLOOKUP(RO$1,EliteIncome[[Ticker]:[Weight]],2,FALSE),0%)</f>
        <v>0</v>
      </c>
      <c r="RP6" s="179">
        <f>IFERROR(VLOOKUP(RP$1,EliteIncome[[Ticker]:[Weight]],2,FALSE),0%)</f>
        <v>0</v>
      </c>
      <c r="RQ6" s="179">
        <f>IFERROR(VLOOKUP(RQ$1,EliteIncome[[Ticker]:[Weight]],2,FALSE),0%)</f>
        <v>0</v>
      </c>
      <c r="RR6" s="179">
        <f>IFERROR(VLOOKUP(RR$1,EliteIncome[[Ticker]:[Weight]],2,FALSE),0%)</f>
        <v>0</v>
      </c>
      <c r="RS6" s="179">
        <f>IFERROR(VLOOKUP(RS$1,EliteIncome[[Ticker]:[Weight]],2,FALSE),0%)</f>
        <v>0</v>
      </c>
      <c r="RT6" s="179">
        <f>IFERROR(VLOOKUP(RT$1,EliteIncome[[Ticker]:[Weight]],2,FALSE),0%)</f>
        <v>0</v>
      </c>
      <c r="RU6" s="179">
        <f>IFERROR(VLOOKUP(RU$1,EliteIncome[[Ticker]:[Weight]],2,FALSE),0%)</f>
        <v>0</v>
      </c>
      <c r="RV6" s="179">
        <f>IFERROR(VLOOKUP(RV$1,EliteIncome[[Ticker]:[Weight]],2,FALSE),0%)</f>
        <v>0</v>
      </c>
      <c r="RW6" s="179">
        <f>IFERROR(VLOOKUP(RW$1,EliteIncome[[Ticker]:[Weight]],2,FALSE),0%)</f>
        <v>0</v>
      </c>
      <c r="RX6" s="179">
        <f>IFERROR(VLOOKUP(RX$1,EliteIncome[[Ticker]:[Weight]],2,FALSE),0%)</f>
        <v>0</v>
      </c>
      <c r="RY6" s="179">
        <f>IFERROR(VLOOKUP(RY$1,EliteIncome[[Ticker]:[Weight]],2,FALSE),0%)</f>
        <v>0</v>
      </c>
      <c r="RZ6" s="179">
        <f>IFERROR(VLOOKUP(RZ$1,EliteIncome[[Ticker]:[Weight]],2,FALSE),0%)</f>
        <v>0</v>
      </c>
      <c r="SA6" s="179">
        <f>IFERROR(VLOOKUP(SA$1,EliteIncome[[Ticker]:[Weight]],2,FALSE),0%)</f>
        <v>0</v>
      </c>
      <c r="SB6" s="179">
        <f>IFERROR(VLOOKUP(SB$1,EliteIncome[[Ticker]:[Weight]],2,FALSE),0%)</f>
        <v>0</v>
      </c>
      <c r="SC6" s="179">
        <f>IFERROR(VLOOKUP(SC$1,EliteIncome[[Ticker]:[Weight]],2,FALSE),0%)</f>
        <v>0</v>
      </c>
      <c r="SD6" s="179">
        <f>IFERROR(VLOOKUP(SD$1,EliteIncome[[Ticker]:[Weight]],2,FALSE),0%)</f>
        <v>0</v>
      </c>
      <c r="SE6" s="179">
        <f>IFERROR(VLOOKUP(SE$1,EliteIncome[[Ticker]:[Weight]],2,FALSE),0%)</f>
        <v>0</v>
      </c>
      <c r="SF6" s="179">
        <f>IFERROR(VLOOKUP(SF$1,EliteIncome[[Ticker]:[Weight]],2,FALSE),0%)</f>
        <v>0</v>
      </c>
      <c r="SG6" s="179">
        <f>IFERROR(VLOOKUP(SG$1,EliteIncome[[Ticker]:[Weight]],2,FALSE),0%)</f>
        <v>0</v>
      </c>
      <c r="SH6" s="179">
        <f>IFERROR(VLOOKUP(SH$1,EliteIncome[[Ticker]:[Weight]],2,FALSE),0%)</f>
        <v>0</v>
      </c>
      <c r="SI6" s="179">
        <f>IFERROR(VLOOKUP(SI$1,EliteIncome[[Ticker]:[Weight]],2,FALSE),0%)</f>
        <v>0</v>
      </c>
      <c r="SJ6" s="179">
        <f>IFERROR(VLOOKUP(SJ$1,EliteIncome[[Ticker]:[Weight]],2,FALSE),0%)</f>
        <v>0</v>
      </c>
      <c r="SK6" s="179">
        <f>IFERROR(VLOOKUP(SK$1,EliteIncome[[Ticker]:[Weight]],2,FALSE),0%)</f>
        <v>0</v>
      </c>
      <c r="SL6" s="179">
        <f>IFERROR(VLOOKUP(SL$1,EliteIncome[[Ticker]:[Weight]],2,FALSE),0%)</f>
        <v>0</v>
      </c>
      <c r="SM6" s="179">
        <f>IFERROR(VLOOKUP(SM$1,EliteIncome[[Ticker]:[Weight]],2,FALSE),0%)</f>
        <v>0</v>
      </c>
      <c r="SN6" s="179">
        <f>IFERROR(VLOOKUP(SN$1,EliteIncome[[Ticker]:[Weight]],2,FALSE),0%)</f>
        <v>0</v>
      </c>
      <c r="SO6" s="179">
        <f>IFERROR(VLOOKUP(SO$1,EliteIncome[[Ticker]:[Weight]],2,FALSE),0%)</f>
        <v>0</v>
      </c>
      <c r="SP6" s="179">
        <f>IFERROR(VLOOKUP(SP$1,EliteIncome[[Ticker]:[Weight]],2,FALSE),0%)</f>
        <v>0</v>
      </c>
      <c r="SQ6" s="179">
        <f>IFERROR(VLOOKUP(SQ$1,EliteIncome[[Ticker]:[Weight]],2,FALSE),0%)</f>
        <v>0</v>
      </c>
      <c r="SR6" s="179">
        <f>IFERROR(VLOOKUP(SR$1,EliteIncome[[Ticker]:[Weight]],2,FALSE),0%)</f>
        <v>0</v>
      </c>
      <c r="SS6" s="179">
        <f>IFERROR(VLOOKUP(SS$1,EliteIncome[[Ticker]:[Weight]],2,FALSE),0%)</f>
        <v>0</v>
      </c>
      <c r="ST6" s="179">
        <f>IFERROR(VLOOKUP(ST$1,EliteIncome[[Ticker]:[Weight]],2,FALSE),0%)</f>
        <v>0</v>
      </c>
      <c r="SU6" s="179">
        <f>IFERROR(VLOOKUP(SU$1,EliteIncome[[Ticker]:[Weight]],2,FALSE),0%)</f>
        <v>0</v>
      </c>
      <c r="SV6" s="179">
        <f>IFERROR(VLOOKUP(SV$1,EliteIncome[[Ticker]:[Weight]],2,FALSE),0%)</f>
        <v>0</v>
      </c>
      <c r="SW6" s="179">
        <f>IFERROR(VLOOKUP(SW$1,EliteIncome[[Ticker]:[Weight]],2,FALSE),0%)</f>
        <v>0</v>
      </c>
      <c r="SX6" s="179">
        <f>IFERROR(VLOOKUP(SX$1,EliteIncome[[Ticker]:[Weight]],2,FALSE),0%)</f>
        <v>0</v>
      </c>
      <c r="SY6" s="179">
        <f>IFERROR(VLOOKUP(SY$1,EliteIncome[[Ticker]:[Weight]],2,FALSE),0%)</f>
        <v>0</v>
      </c>
      <c r="SZ6" s="179">
        <f>IFERROR(VLOOKUP(SZ$1,EliteIncome[[Ticker]:[Weight]],2,FALSE),0%)</f>
        <v>0</v>
      </c>
      <c r="TA6" s="179">
        <f>IFERROR(VLOOKUP(TA$1,EliteIncome[[Ticker]:[Weight]],2,FALSE),0%)</f>
        <v>0</v>
      </c>
      <c r="TB6" s="179">
        <f>IFERROR(VLOOKUP(TB$1,EliteIncome[[Ticker]:[Weight]],2,FALSE),0%)</f>
        <v>0</v>
      </c>
      <c r="TC6" s="179">
        <f>IFERROR(VLOOKUP(TC$1,EliteIncome[[Ticker]:[Weight]],2,FALSE),0%)</f>
        <v>0</v>
      </c>
      <c r="TD6" s="179">
        <f>IFERROR(VLOOKUP(TD$1,EliteIncome[[Ticker]:[Weight]],2,FALSE),0%)</f>
        <v>0</v>
      </c>
      <c r="TE6" s="179">
        <f>IFERROR(VLOOKUP(TE$1,EliteIncome[[Ticker]:[Weight]],2,FALSE),0%)</f>
        <v>0</v>
      </c>
      <c r="TF6" s="179">
        <f>IFERROR(VLOOKUP(TF$1,EliteIncome[[Ticker]:[Weight]],2,FALSE),0%)</f>
        <v>0</v>
      </c>
      <c r="TG6" s="179">
        <f>IFERROR(VLOOKUP(TG$1,EliteIncome[[Ticker]:[Weight]],2,FALSE),0%)</f>
        <v>0</v>
      </c>
      <c r="TH6" s="179">
        <f>IFERROR(VLOOKUP(TH$1,EliteIncome[[Ticker]:[Weight]],2,FALSE),0%)</f>
        <v>0</v>
      </c>
      <c r="TI6" s="179">
        <f>IFERROR(VLOOKUP(TI$1,EliteIncome[[Ticker]:[Weight]],2,FALSE),0%)</f>
        <v>0</v>
      </c>
      <c r="TJ6" s="179">
        <f>IFERROR(VLOOKUP(TJ$1,EliteIncome[[Ticker]:[Weight]],2,FALSE),0%)</f>
        <v>0</v>
      </c>
      <c r="TK6" s="179">
        <f>IFERROR(VLOOKUP(TK$1,EliteIncome[[Ticker]:[Weight]],2,FALSE),0%)</f>
        <v>0</v>
      </c>
      <c r="TL6" s="179">
        <f>IFERROR(VLOOKUP(TL$1,EliteIncome[[Ticker]:[Weight]],2,FALSE),0%)</f>
        <v>0</v>
      </c>
      <c r="TM6" s="179">
        <f>IFERROR(VLOOKUP(TM$1,EliteIncome[[Ticker]:[Weight]],2,FALSE),0%)</f>
        <v>0</v>
      </c>
      <c r="TN6" s="179">
        <f>IFERROR(VLOOKUP(TN$1,EliteIncome[[Ticker]:[Weight]],2,FALSE),0%)</f>
        <v>0</v>
      </c>
      <c r="TO6" s="179">
        <f>IFERROR(VLOOKUP(TO$1,EliteIncome[[Ticker]:[Weight]],2,FALSE),0%)</f>
        <v>0</v>
      </c>
      <c r="TP6" s="179">
        <f>IFERROR(VLOOKUP(TP$1,EliteIncome[[Ticker]:[Weight]],2,FALSE),0%)</f>
        <v>0</v>
      </c>
      <c r="TQ6" s="179">
        <f>IFERROR(VLOOKUP(TQ$1,EliteIncome[[Ticker]:[Weight]],2,FALSE),0%)</f>
        <v>0</v>
      </c>
      <c r="TR6" s="179">
        <f>IFERROR(VLOOKUP(TR$1,EliteIncome[[Ticker]:[Weight]],2,FALSE),0%)</f>
        <v>0</v>
      </c>
      <c r="TS6" s="179">
        <f>IFERROR(VLOOKUP(TS$1,EliteIncome[[Ticker]:[Weight]],2,FALSE),0%)</f>
        <v>0</v>
      </c>
      <c r="TT6" s="179">
        <f>IFERROR(VLOOKUP(TT$1,EliteIncome[[Ticker]:[Weight]],2,FALSE),0%)</f>
        <v>0</v>
      </c>
      <c r="TU6" s="179">
        <f>IFERROR(VLOOKUP(TU$1,EliteIncome[[Ticker]:[Weight]],2,FALSE),0%)</f>
        <v>0</v>
      </c>
      <c r="TV6" s="179">
        <f>IFERROR(VLOOKUP(TV$1,EliteIncome[[Ticker]:[Weight]],2,FALSE),0%)</f>
        <v>0</v>
      </c>
      <c r="TW6" s="179">
        <f>IFERROR(VLOOKUP(TW$1,EliteIncome[[Ticker]:[Weight]],2,FALSE),0%)</f>
        <v>0</v>
      </c>
      <c r="TX6" s="179">
        <f>IFERROR(VLOOKUP(TX$1,EliteIncome[[Ticker]:[Weight]],2,FALSE),0%)</f>
        <v>0</v>
      </c>
      <c r="TY6" s="179">
        <f>IFERROR(VLOOKUP(TY$1,EliteIncome[[Ticker]:[Weight]],2,FALSE),0%)</f>
        <v>0</v>
      </c>
      <c r="TZ6" s="179">
        <f>IFERROR(VLOOKUP(TZ$1,EliteIncome[[Ticker]:[Weight]],2,FALSE),0%)</f>
        <v>0</v>
      </c>
      <c r="UA6" s="179">
        <f>IFERROR(VLOOKUP(UA$1,EliteIncome[[Ticker]:[Weight]],2,FALSE),0%)</f>
        <v>0</v>
      </c>
      <c r="UB6" s="179">
        <f>IFERROR(VLOOKUP(UB$1,EliteIncome[[Ticker]:[Weight]],2,FALSE),0%)</f>
        <v>0</v>
      </c>
      <c r="UC6" s="179">
        <f>IFERROR(VLOOKUP(UC$1,EliteIncome[[Ticker]:[Weight]],2,FALSE),0%)</f>
        <v>0</v>
      </c>
      <c r="UD6" s="179">
        <f>IFERROR(VLOOKUP(UD$1,EliteIncome[[Ticker]:[Weight]],2,FALSE),0%)</f>
        <v>0</v>
      </c>
      <c r="UE6" s="179">
        <f>IFERROR(VLOOKUP(UE$1,EliteIncome[[Ticker]:[Weight]],2,FALSE),0%)</f>
        <v>0</v>
      </c>
      <c r="UF6" s="179">
        <f>IFERROR(VLOOKUP(UF$1,EliteIncome[[Ticker]:[Weight]],2,FALSE),0%)</f>
        <v>0</v>
      </c>
      <c r="UG6" s="179">
        <f>IFERROR(VLOOKUP(UG$1,EliteIncome[[Ticker]:[Weight]],2,FALSE),0%)</f>
        <v>0</v>
      </c>
      <c r="UH6" s="179">
        <f>IFERROR(VLOOKUP(UH$1,EliteIncome[[Ticker]:[Weight]],2,FALSE),0%)</f>
        <v>0</v>
      </c>
      <c r="UI6" s="179">
        <f>IFERROR(VLOOKUP(UI$1,EliteIncome[[Ticker]:[Weight]],2,FALSE),0%)</f>
        <v>0</v>
      </c>
      <c r="UJ6" s="179">
        <f>IFERROR(VLOOKUP(UJ$1,EliteIncome[[Ticker]:[Weight]],2,FALSE),0%)</f>
        <v>0</v>
      </c>
      <c r="UK6" s="179">
        <f>IFERROR(VLOOKUP(UK$1,EliteIncome[[Ticker]:[Weight]],2,FALSE),0%)</f>
        <v>0</v>
      </c>
      <c r="UL6" s="179">
        <f>IFERROR(VLOOKUP(UL$1,EliteIncome[[Ticker]:[Weight]],2,FALSE),0%)</f>
        <v>0</v>
      </c>
      <c r="UM6" s="179">
        <f>IFERROR(VLOOKUP(UM$1,EliteIncome[[Ticker]:[Weight]],2,FALSE),0%)</f>
        <v>0</v>
      </c>
      <c r="UN6" s="179">
        <f>IFERROR(VLOOKUP(UN$1,EliteIncome[[Ticker]:[Weight]],2,FALSE),0%)</f>
        <v>0</v>
      </c>
      <c r="UO6" s="179">
        <f>IFERROR(VLOOKUP(UO$1,EliteIncome[[Ticker]:[Weight]],2,FALSE),0%)</f>
        <v>0</v>
      </c>
      <c r="UP6" s="179">
        <f>IFERROR(VLOOKUP(UP$1,EliteIncome[[Ticker]:[Weight]],2,FALSE),0%)</f>
        <v>0</v>
      </c>
      <c r="UQ6" s="179">
        <f>IFERROR(VLOOKUP(UQ$1,EliteIncome[[Ticker]:[Weight]],2,FALSE),0%)</f>
        <v>0</v>
      </c>
      <c r="UR6" s="179">
        <f>IFERROR(VLOOKUP(UR$1,EliteIncome[[Ticker]:[Weight]],2,FALSE),0%)</f>
        <v>0</v>
      </c>
      <c r="US6" s="179">
        <f>IFERROR(VLOOKUP(US$1,EliteIncome[[Ticker]:[Weight]],2,FALSE),0%)</f>
        <v>0</v>
      </c>
      <c r="UT6" s="179">
        <f>IFERROR(VLOOKUP(UT$1,EliteIncome[[Ticker]:[Weight]],2,FALSE),0%)</f>
        <v>0</v>
      </c>
      <c r="UU6" s="179">
        <f>IFERROR(VLOOKUP(UU$1,EliteIncome[[Ticker]:[Weight]],2,FALSE),0%)</f>
        <v>0</v>
      </c>
      <c r="UV6" s="179">
        <f>IFERROR(VLOOKUP(UV$1,EliteIncome[[Ticker]:[Weight]],2,FALSE),0%)</f>
        <v>0</v>
      </c>
      <c r="UW6" s="179">
        <f>IFERROR(VLOOKUP(UW$1,EliteIncome[[Ticker]:[Weight]],2,FALSE),0%)</f>
        <v>0</v>
      </c>
      <c r="UX6" s="179">
        <f>IFERROR(VLOOKUP(UX$1,EliteIncome[[Ticker]:[Weight]],2,FALSE),0%)</f>
        <v>0</v>
      </c>
      <c r="UY6" s="179">
        <f>IFERROR(VLOOKUP(UY$1,EliteIncome[[Ticker]:[Weight]],2,FALSE),0%)</f>
        <v>0</v>
      </c>
      <c r="UZ6" s="179">
        <f>IFERROR(VLOOKUP(UZ$1,EliteIncome[[Ticker]:[Weight]],2,FALSE),0%)</f>
        <v>0</v>
      </c>
      <c r="VA6" s="179">
        <f>IFERROR(VLOOKUP(VA$1,EliteIncome[[Ticker]:[Weight]],2,FALSE),0%)</f>
        <v>0</v>
      </c>
      <c r="VB6" s="179">
        <f>IFERROR(VLOOKUP(VB$1,EliteIncome[[Ticker]:[Weight]],2,FALSE),0%)</f>
        <v>0</v>
      </c>
      <c r="VC6" s="179">
        <f>IFERROR(VLOOKUP(VC$1,EliteIncome[[Ticker]:[Weight]],2,FALSE),0%)</f>
        <v>0</v>
      </c>
      <c r="VD6" s="179">
        <f>IFERROR(VLOOKUP(VD$1,EliteIncome[[Ticker]:[Weight]],2,FALSE),0%)</f>
        <v>0</v>
      </c>
      <c r="VE6" s="179">
        <f>IFERROR(VLOOKUP(VE$1,EliteIncome[[Ticker]:[Weight]],2,FALSE),0%)</f>
        <v>0</v>
      </c>
      <c r="VF6" s="179">
        <f>IFERROR(VLOOKUP(VF$1,EliteIncome[[Ticker]:[Weight]],2,FALSE),0%)</f>
        <v>0</v>
      </c>
      <c r="VG6" s="179">
        <f>IFERROR(VLOOKUP(VG$1,EliteIncome[[Ticker]:[Weight]],2,FALSE),0%)</f>
        <v>0</v>
      </c>
      <c r="VH6" s="179">
        <f>IFERROR(VLOOKUP(VH$1,EliteIncome[[Ticker]:[Weight]],2,FALSE),0%)</f>
        <v>0</v>
      </c>
      <c r="VI6" s="179">
        <f>IFERROR(VLOOKUP(VI$1,EliteIncome[[Ticker]:[Weight]],2,FALSE),0%)</f>
        <v>0</v>
      </c>
      <c r="VJ6" s="179">
        <f>IFERROR(VLOOKUP(VJ$1,EliteIncome[[Ticker]:[Weight]],2,FALSE),0%)</f>
        <v>0</v>
      </c>
      <c r="VK6" s="179">
        <f>IFERROR(VLOOKUP(VK$1,EliteIncome[[Ticker]:[Weight]],2,FALSE),0%)</f>
        <v>0</v>
      </c>
      <c r="VL6" s="179">
        <f>IFERROR(VLOOKUP(VL$1,EliteIncome[[Ticker]:[Weight]],2,FALSE),0%)</f>
        <v>0</v>
      </c>
      <c r="VM6" s="179">
        <f>IFERROR(VLOOKUP(VM$1,EliteIncome[[Ticker]:[Weight]],2,FALSE),0%)</f>
        <v>0</v>
      </c>
      <c r="VN6" s="179">
        <f>IFERROR(VLOOKUP(VN$1,EliteIncome[[Ticker]:[Weight]],2,FALSE),0%)</f>
        <v>0</v>
      </c>
      <c r="VO6" s="179">
        <f>IFERROR(VLOOKUP(VO$1,EliteIncome[[Ticker]:[Weight]],2,FALSE),0%)</f>
        <v>0</v>
      </c>
      <c r="VP6" s="179">
        <f>IFERROR(VLOOKUP(VP$1,EliteIncome[[Ticker]:[Weight]],2,FALSE),0%)</f>
        <v>0</v>
      </c>
      <c r="VQ6" s="179">
        <f>IFERROR(VLOOKUP(VQ$1,EliteIncome[[Ticker]:[Weight]],2,FALSE),0%)</f>
        <v>0</v>
      </c>
      <c r="VR6" s="179">
        <f>IFERROR(VLOOKUP(VR$1,EliteIncome[[Ticker]:[Weight]],2,FALSE),0%)</f>
        <v>0</v>
      </c>
      <c r="VS6" s="179">
        <f>IFERROR(VLOOKUP(VS$1,EliteIncome[[Ticker]:[Weight]],2,FALSE),0%)</f>
        <v>0</v>
      </c>
      <c r="VT6" s="179">
        <f>IFERROR(VLOOKUP(VT$1,EliteIncome[[Ticker]:[Weight]],2,FALSE),0%)</f>
        <v>0</v>
      </c>
      <c r="VU6" s="179">
        <f>IFERROR(VLOOKUP(VU$1,EliteIncome[[Ticker]:[Weight]],2,FALSE),0%)</f>
        <v>0</v>
      </c>
      <c r="VV6" s="179">
        <f>IFERROR(VLOOKUP(VV$1,EliteIncome[[Ticker]:[Weight]],2,FALSE),0%)</f>
        <v>0</v>
      </c>
      <c r="VW6" s="179">
        <f>IFERROR(VLOOKUP(VW$1,EliteIncome[[Ticker]:[Weight]],2,FALSE),0%)</f>
        <v>0</v>
      </c>
      <c r="VX6" s="179">
        <f>IFERROR(VLOOKUP(VX$1,EliteIncome[[Ticker]:[Weight]],2,FALSE),0%)</f>
        <v>0</v>
      </c>
      <c r="VY6" s="179">
        <f>IFERROR(VLOOKUP(VY$1,EliteIncome[[Ticker]:[Weight]],2,FALSE),0%)</f>
        <v>0</v>
      </c>
      <c r="VZ6" s="179">
        <f>IFERROR(VLOOKUP(VZ$1,EliteIncome[[Ticker]:[Weight]],2,FALSE),0%)</f>
        <v>0</v>
      </c>
      <c r="WA6" s="179">
        <f>IFERROR(VLOOKUP(WA$1,EliteIncome[[Ticker]:[Weight]],2,FALSE),0%)</f>
        <v>0</v>
      </c>
      <c r="WB6" s="179">
        <f>IFERROR(VLOOKUP(WB$1,EliteIncome[[Ticker]:[Weight]],2,FALSE),0%)</f>
        <v>0</v>
      </c>
      <c r="WC6" s="179">
        <f>IFERROR(VLOOKUP(WC$1,EliteIncome[[Ticker]:[Weight]],2,FALSE),0%)</f>
        <v>0</v>
      </c>
      <c r="WD6" s="179">
        <f>IFERROR(VLOOKUP(WD$1,EliteIncome[[Ticker]:[Weight]],2,FALSE),0%)</f>
        <v>0</v>
      </c>
      <c r="WE6" s="179">
        <f>IFERROR(VLOOKUP(WE$1,EliteIncome[[Ticker]:[Weight]],2,FALSE),0%)</f>
        <v>0</v>
      </c>
      <c r="WF6" s="179">
        <f>IFERROR(VLOOKUP(WF$1,EliteIncome[[Ticker]:[Weight]],2,FALSE),0%)</f>
        <v>0</v>
      </c>
      <c r="WG6" s="179">
        <f>IFERROR(VLOOKUP(WG$1,EliteIncome[[Ticker]:[Weight]],2,FALSE),0%)</f>
        <v>0</v>
      </c>
      <c r="WH6" s="179">
        <f>IFERROR(VLOOKUP(WH$1,EliteIncome[[Ticker]:[Weight]],2,FALSE),0%)</f>
        <v>0</v>
      </c>
      <c r="WI6" s="179">
        <f>IFERROR(VLOOKUP(WI$1,EliteIncome[[Ticker]:[Weight]],2,FALSE),0%)</f>
        <v>0</v>
      </c>
      <c r="WJ6" s="179">
        <f>IFERROR(VLOOKUP(WJ$1,EliteIncome[[Ticker]:[Weight]],2,FALSE),0%)</f>
        <v>0</v>
      </c>
      <c r="WK6" s="179">
        <f>IFERROR(VLOOKUP(WK$1,EliteIncome[[Ticker]:[Weight]],2,FALSE),0%)</f>
        <v>0</v>
      </c>
      <c r="WL6" s="179">
        <f>IFERROR(VLOOKUP(WL$1,EliteIncome[[Ticker]:[Weight]],2,FALSE),0%)</f>
        <v>0</v>
      </c>
      <c r="WM6" s="179">
        <f>IFERROR(VLOOKUP(WM$1,EliteIncome[[Ticker]:[Weight]],2,FALSE),0%)</f>
        <v>0</v>
      </c>
      <c r="WN6" s="179">
        <f>IFERROR(VLOOKUP(WN$1,EliteIncome[[Ticker]:[Weight]],2,FALSE),0%)</f>
        <v>0</v>
      </c>
      <c r="WO6" s="179">
        <f>IFERROR(VLOOKUP(WO$1,EliteIncome[[Ticker]:[Weight]],2,FALSE),0%)</f>
        <v>0</v>
      </c>
      <c r="WP6" s="179">
        <f>IFERROR(VLOOKUP(WP$1,EliteIncome[[Ticker]:[Weight]],2,FALSE),0%)</f>
        <v>0</v>
      </c>
      <c r="WQ6" s="179">
        <f>IFERROR(VLOOKUP(WQ$1,EliteIncome[[Ticker]:[Weight]],2,FALSE),0%)</f>
        <v>0</v>
      </c>
      <c r="WR6" s="179">
        <f>IFERROR(VLOOKUP(WR$1,EliteIncome[[Ticker]:[Weight]],2,FALSE),0%)</f>
        <v>0</v>
      </c>
      <c r="WS6" s="179">
        <f>IFERROR(VLOOKUP(WS$1,EliteIncome[[Ticker]:[Weight]],2,FALSE),0%)</f>
        <v>0</v>
      </c>
      <c r="WT6" s="179">
        <f>IFERROR(VLOOKUP(WT$1,EliteIncome[[Ticker]:[Weight]],2,FALSE),0%)</f>
        <v>0</v>
      </c>
      <c r="WU6" s="179">
        <f>IFERROR(VLOOKUP(WU$1,EliteIncome[[Ticker]:[Weight]],2,FALSE),0%)</f>
        <v>0</v>
      </c>
      <c r="WV6" s="179">
        <f>IFERROR(VLOOKUP(WV$1,EliteIncome[[Ticker]:[Weight]],2,FALSE),0%)</f>
        <v>0</v>
      </c>
      <c r="WW6" s="179">
        <f>IFERROR(VLOOKUP(WW$1,EliteIncome[[Ticker]:[Weight]],2,FALSE),0%)</f>
        <v>0</v>
      </c>
      <c r="WX6" s="179">
        <f>IFERROR(VLOOKUP(WX$1,EliteIncome[[Ticker]:[Weight]],2,FALSE),0%)</f>
        <v>0</v>
      </c>
      <c r="WY6" s="179">
        <f>IFERROR(VLOOKUP(WY$1,EliteIncome[[Ticker]:[Weight]],2,FALSE),0%)</f>
        <v>0</v>
      </c>
      <c r="WZ6" s="179">
        <f>IFERROR(VLOOKUP(WZ$1,EliteIncome[[Ticker]:[Weight]],2,FALSE),0%)</f>
        <v>0</v>
      </c>
      <c r="XA6" s="179">
        <f>IFERROR(VLOOKUP(XA$1,EliteIncome[[Ticker]:[Weight]],2,FALSE),0%)</f>
        <v>0</v>
      </c>
      <c r="XB6" s="179">
        <f>IFERROR(VLOOKUP(XB$1,EliteIncome[[Ticker]:[Weight]],2,FALSE),0%)</f>
        <v>0</v>
      </c>
      <c r="XC6" s="179">
        <f>IFERROR(VLOOKUP(XC$1,EliteIncome[[Ticker]:[Weight]],2,FALSE),0%)</f>
        <v>0</v>
      </c>
      <c r="XD6" s="179">
        <f>IFERROR(VLOOKUP(XD$1,EliteIncome[[Ticker]:[Weight]],2,FALSE),0%)</f>
        <v>0</v>
      </c>
      <c r="XE6" s="179">
        <f>IFERROR(VLOOKUP(XE$1,EliteIncome[[Ticker]:[Weight]],2,FALSE),0%)</f>
        <v>0</v>
      </c>
      <c r="XF6" s="179">
        <f>IFERROR(VLOOKUP(XF$1,EliteIncome[[Ticker]:[Weight]],2,FALSE),0%)</f>
        <v>0</v>
      </c>
      <c r="XG6" s="179">
        <f>IFERROR(VLOOKUP(XG$1,EliteIncome[[Ticker]:[Weight]],2,FALSE),0%)</f>
        <v>0</v>
      </c>
      <c r="XH6" s="179">
        <f>IFERROR(VLOOKUP(XH$1,EliteIncome[[Ticker]:[Weight]],2,FALSE),0%)</f>
        <v>0</v>
      </c>
      <c r="XI6" s="179">
        <f>IFERROR(VLOOKUP(XI$1,EliteIncome[[Ticker]:[Weight]],2,FALSE),0%)</f>
        <v>0</v>
      </c>
      <c r="XJ6" s="179">
        <f>IFERROR(VLOOKUP(XJ$1,EliteIncome[[Ticker]:[Weight]],2,FALSE),0%)</f>
        <v>0</v>
      </c>
      <c r="XK6" s="179">
        <f>IFERROR(VLOOKUP(XK$1,EliteIncome[[Ticker]:[Weight]],2,FALSE),0%)</f>
        <v>0</v>
      </c>
      <c r="XL6" s="179">
        <f>IFERROR(VLOOKUP(XL$1,EliteIncome[[Ticker]:[Weight]],2,FALSE),0%)</f>
        <v>0</v>
      </c>
      <c r="XM6" s="179">
        <f>IFERROR(VLOOKUP(XM$1,EliteIncome[[Ticker]:[Weight]],2,FALSE),0%)</f>
        <v>0</v>
      </c>
      <c r="XN6" s="179">
        <f>IFERROR(VLOOKUP(XN$1,EliteIncome[[Ticker]:[Weight]],2,FALSE),0%)</f>
        <v>0</v>
      </c>
      <c r="XO6" s="179">
        <f>IFERROR(VLOOKUP(XO$1,EliteIncome[[Ticker]:[Weight]],2,FALSE),0%)</f>
        <v>0</v>
      </c>
      <c r="XP6" s="179">
        <f>IFERROR(VLOOKUP(XP$1,EliteIncome[[Ticker]:[Weight]],2,FALSE),0%)</f>
        <v>0</v>
      </c>
      <c r="XQ6" s="179">
        <f>IFERROR(VLOOKUP(XQ$1,EliteIncome[[Ticker]:[Weight]],2,FALSE),0%)</f>
        <v>0</v>
      </c>
      <c r="XR6" s="179">
        <f>IFERROR(VLOOKUP(XR$1,EliteIncome[[Ticker]:[Weight]],2,FALSE),0%)</f>
        <v>0</v>
      </c>
      <c r="XS6" s="179">
        <f>IFERROR(VLOOKUP(XS$1,EliteIncome[[Ticker]:[Weight]],2,FALSE),0%)</f>
        <v>0</v>
      </c>
      <c r="XT6" s="179">
        <f>IFERROR(VLOOKUP(XT$1,EliteIncome[[Ticker]:[Weight]],2,FALSE),0%)</f>
        <v>0</v>
      </c>
      <c r="XU6" s="179">
        <f>IFERROR(VLOOKUP(XU$1,EliteIncome[[Ticker]:[Weight]],2,FALSE),0%)</f>
        <v>0</v>
      </c>
      <c r="XV6" s="179">
        <f>IFERROR(VLOOKUP(XV$1,EliteIncome[[Ticker]:[Weight]],2,FALSE),0%)</f>
        <v>0</v>
      </c>
      <c r="XW6" s="179">
        <f>IFERROR(VLOOKUP(XW$1,EliteIncome[[Ticker]:[Weight]],2,FALSE),0%)</f>
        <v>0</v>
      </c>
      <c r="XX6" s="179">
        <f>IFERROR(VLOOKUP(XX$1,EliteIncome[[Ticker]:[Weight]],2,FALSE),0%)</f>
        <v>0</v>
      </c>
      <c r="XY6" s="179">
        <f>IFERROR(VLOOKUP(XY$1,EliteIncome[[Ticker]:[Weight]],2,FALSE),0%)</f>
        <v>0</v>
      </c>
      <c r="XZ6" s="179">
        <f>IFERROR(VLOOKUP(XZ$1,EliteIncome[[Ticker]:[Weight]],2,FALSE),0%)</f>
        <v>0</v>
      </c>
      <c r="YA6" s="179">
        <f>IFERROR(VLOOKUP(YA$1,EliteIncome[[Ticker]:[Weight]],2,FALSE),0%)</f>
        <v>0</v>
      </c>
      <c r="YB6" s="179">
        <f>IFERROR(VLOOKUP(YB$1,EliteIncome[[Ticker]:[Weight]],2,FALSE),0%)</f>
        <v>0</v>
      </c>
      <c r="YC6" s="179">
        <f>IFERROR(VLOOKUP(YC$1,EliteIncome[[Ticker]:[Weight]],2,FALSE),0%)</f>
        <v>0</v>
      </c>
      <c r="YD6" s="179">
        <f>IFERROR(VLOOKUP(YD$1,EliteIncome[[Ticker]:[Weight]],2,FALSE),0%)</f>
        <v>0</v>
      </c>
      <c r="YE6" s="179">
        <f>IFERROR(VLOOKUP(YE$1,EliteIncome[[Ticker]:[Weight]],2,FALSE),0%)</f>
        <v>0</v>
      </c>
      <c r="YF6" s="179">
        <f>IFERROR(VLOOKUP(YF$1,EliteIncome[[Ticker]:[Weight]],2,FALSE),0%)</f>
        <v>0</v>
      </c>
      <c r="YG6" s="179">
        <f>IFERROR(VLOOKUP(YG$1,EliteIncome[[Ticker]:[Weight]],2,FALSE),0%)</f>
        <v>0</v>
      </c>
      <c r="YH6" s="179">
        <f>IFERROR(VLOOKUP(YH$1,EliteIncome[[Ticker]:[Weight]],2,FALSE),0%)</f>
        <v>0</v>
      </c>
      <c r="YI6" s="179">
        <f>IFERROR(VLOOKUP(YI$1,EliteIncome[[Ticker]:[Weight]],2,FALSE),0%)</f>
        <v>0</v>
      </c>
      <c r="YJ6" s="179">
        <f>IFERROR(VLOOKUP(YJ$1,EliteIncome[[Ticker]:[Weight]],2,FALSE),0%)</f>
        <v>0</v>
      </c>
      <c r="YK6" s="179">
        <f>IFERROR(VLOOKUP(YK$1,EliteIncome[[Ticker]:[Weight]],2,FALSE),0%)</f>
        <v>0</v>
      </c>
      <c r="YL6" s="179">
        <f>IFERROR(VLOOKUP(YL$1,EliteIncome[[Ticker]:[Weight]],2,FALSE),0%)</f>
        <v>0</v>
      </c>
      <c r="YM6" s="179">
        <f>IFERROR(VLOOKUP(YM$1,EliteIncome[[Ticker]:[Weight]],2,FALSE),0%)</f>
        <v>0</v>
      </c>
      <c r="YN6" s="179">
        <f>IFERROR(VLOOKUP(YN$1,EliteIncome[[Ticker]:[Weight]],2,FALSE),0%)</f>
        <v>0</v>
      </c>
      <c r="YO6" s="179">
        <f>IFERROR(VLOOKUP(YO$1,EliteIncome[[Ticker]:[Weight]],2,FALSE),0%)</f>
        <v>0</v>
      </c>
      <c r="YP6" s="179">
        <f>IFERROR(VLOOKUP(YP$1,EliteIncome[[Ticker]:[Weight]],2,FALSE),0%)</f>
        <v>0</v>
      </c>
      <c r="YQ6" s="179">
        <f>IFERROR(VLOOKUP(YQ$1,EliteIncome[[Ticker]:[Weight]],2,FALSE),0%)</f>
        <v>0</v>
      </c>
      <c r="YR6" s="179">
        <f>IFERROR(VLOOKUP(YR$1,EliteIncome[[Ticker]:[Weight]],2,FALSE),0%)</f>
        <v>0</v>
      </c>
      <c r="YS6" s="179">
        <f>IFERROR(VLOOKUP(YS$1,EliteIncome[[Ticker]:[Weight]],2,FALSE),0%)</f>
        <v>0</v>
      </c>
      <c r="YT6" s="179">
        <f>IFERROR(VLOOKUP(YT$1,EliteIncome[[Ticker]:[Weight]],2,FALSE),0%)</f>
        <v>0</v>
      </c>
      <c r="YU6" s="179">
        <f>IFERROR(VLOOKUP(YU$1,EliteIncome[[Ticker]:[Weight]],2,FALSE),0%)</f>
        <v>0</v>
      </c>
      <c r="YV6" s="179">
        <f>IFERROR(VLOOKUP(YV$1,EliteIncome[[Ticker]:[Weight]],2,FALSE),0%)</f>
        <v>0</v>
      </c>
      <c r="YW6" s="179">
        <f>IFERROR(VLOOKUP(YW$1,EliteIncome[[Ticker]:[Weight]],2,FALSE),0%)</f>
        <v>0</v>
      </c>
      <c r="YX6" s="179">
        <f>IFERROR(VLOOKUP(YX$1,EliteIncome[[Ticker]:[Weight]],2,FALSE),0%)</f>
        <v>0</v>
      </c>
      <c r="YY6" s="179">
        <f>IFERROR(VLOOKUP(YY$1,EliteIncome[[Ticker]:[Weight]],2,FALSE),0%)</f>
        <v>0</v>
      </c>
      <c r="YZ6" s="179">
        <f>IFERROR(VLOOKUP(YZ$1,EliteIncome[[Ticker]:[Weight]],2,FALSE),0%)</f>
        <v>0</v>
      </c>
      <c r="ZA6" s="179">
        <f>IFERROR(VLOOKUP(ZA$1,EliteIncome[[Ticker]:[Weight]],2,FALSE),0%)</f>
        <v>0</v>
      </c>
      <c r="ZB6" s="179">
        <f>IFERROR(VLOOKUP(ZB$1,EliteIncome[[Ticker]:[Weight]],2,FALSE),0%)</f>
        <v>0</v>
      </c>
      <c r="ZC6" s="179">
        <f>IFERROR(VLOOKUP(ZC$1,EliteIncome[[Ticker]:[Weight]],2,FALSE),0%)</f>
        <v>0</v>
      </c>
      <c r="ZD6" s="179">
        <f>IFERROR(VLOOKUP(ZD$1,EliteIncome[[Ticker]:[Weight]],2,FALSE),0%)</f>
        <v>0</v>
      </c>
      <c r="ZE6" s="179">
        <f>IFERROR(VLOOKUP(ZE$1,EliteIncome[[Ticker]:[Weight]],2,FALSE),0%)</f>
        <v>0</v>
      </c>
      <c r="ZF6" s="179">
        <f>IFERROR(VLOOKUP(ZF$1,EliteIncome[[Ticker]:[Weight]],2,FALSE),0%)</f>
        <v>0</v>
      </c>
      <c r="ZG6" s="179">
        <f>IFERROR(VLOOKUP(ZG$1,EliteIncome[[Ticker]:[Weight]],2,FALSE),0%)</f>
        <v>0</v>
      </c>
      <c r="ZH6" s="179">
        <f>IFERROR(VLOOKUP(ZH$1,EliteIncome[[Ticker]:[Weight]],2,FALSE),0%)</f>
        <v>0</v>
      </c>
      <c r="ZI6" s="179">
        <f>IFERROR(VLOOKUP(ZI$1,EliteIncome[[Ticker]:[Weight]],2,FALSE),0%)</f>
        <v>0</v>
      </c>
      <c r="ZJ6" s="179">
        <f>IFERROR(VLOOKUP(ZJ$1,EliteIncome[[Ticker]:[Weight]],2,FALSE),0%)</f>
        <v>0</v>
      </c>
      <c r="ZK6" s="179">
        <f>IFERROR(VLOOKUP(ZK$1,EliteIncome[[Ticker]:[Weight]],2,FALSE),0%)</f>
        <v>0.03</v>
      </c>
      <c r="ZL6" s="179">
        <f>IFERROR(VLOOKUP(ZL$1,EliteIncome[[Ticker]:[Weight]],2,FALSE),0%)</f>
        <v>0</v>
      </c>
      <c r="ZM6" s="179">
        <f>IFERROR(VLOOKUP(ZM$1,EliteIncome[[Ticker]:[Weight]],2,FALSE),0%)</f>
        <v>0</v>
      </c>
      <c r="ZN6" s="179">
        <f>IFERROR(VLOOKUP(ZN$1,EliteIncome[[Ticker]:[Weight]],2,FALSE),0%)</f>
        <v>0</v>
      </c>
      <c r="ZO6" s="179">
        <f>IFERROR(VLOOKUP(ZO$1,EliteIncome[[Ticker]:[Weight]],2,FALSE),0%)</f>
        <v>0</v>
      </c>
      <c r="ZP6" s="179">
        <f>IFERROR(VLOOKUP(ZP$1,EliteIncome[[Ticker]:[Weight]],2,FALSE),0%)</f>
        <v>0</v>
      </c>
      <c r="ZQ6" s="179">
        <f>IFERROR(VLOOKUP(ZQ$1,EliteIncome[[Ticker]:[Weight]],2,FALSE),0%)</f>
        <v>0</v>
      </c>
      <c r="ZR6" s="179">
        <f>IFERROR(VLOOKUP(ZR$1,EliteIncome[[Ticker]:[Weight]],2,FALSE),0%)</f>
        <v>0</v>
      </c>
      <c r="ZS6" s="179">
        <f>IFERROR(VLOOKUP(ZS$1,EliteIncome[[Ticker]:[Weight]],2,FALSE),0%)</f>
        <v>0</v>
      </c>
      <c r="ZT6" s="179">
        <f>IFERROR(VLOOKUP(ZT$1,EliteIncome[[Ticker]:[Weight]],2,FALSE),0%)</f>
        <v>0</v>
      </c>
      <c r="ZU6" s="179">
        <f>IFERROR(VLOOKUP(ZU$1,EliteIncome[[Ticker]:[Weight]],2,FALSE),0%)</f>
        <v>0</v>
      </c>
      <c r="ZV6" s="179">
        <f>IFERROR(VLOOKUP(ZV$1,EliteIncome[[Ticker]:[Weight]],2,FALSE),0%)</f>
        <v>0</v>
      </c>
      <c r="ZW6" s="179">
        <f>IFERROR(VLOOKUP(ZW$1,EliteIncome[[Ticker]:[Weight]],2,FALSE),0%)</f>
        <v>0</v>
      </c>
      <c r="ZX6" s="179">
        <f>IFERROR(VLOOKUP(ZX$1,EliteIncome[[Ticker]:[Weight]],2,FALSE),0%)</f>
        <v>0</v>
      </c>
      <c r="ZY6" s="179">
        <f>IFERROR(VLOOKUP(ZY$1,EliteIncome[[Ticker]:[Weight]],2,FALSE),0%)</f>
        <v>0</v>
      </c>
      <c r="ZZ6" s="179">
        <f>IFERROR(VLOOKUP(ZZ$1,EliteIncome[[Ticker]:[Weight]],2,FALSE),0%)</f>
        <v>0</v>
      </c>
      <c r="AAA6" s="179">
        <f>IFERROR(VLOOKUP(AAA$1,EliteIncome[[Ticker]:[Weight]],2,FALSE),0%)</f>
        <v>0</v>
      </c>
      <c r="AAB6" s="179">
        <f>IFERROR(VLOOKUP(AAB$1,EliteIncome[[Ticker]:[Weight]],2,FALSE),0%)</f>
        <v>0</v>
      </c>
      <c r="AAC6" s="179">
        <f>IFERROR(VLOOKUP(AAC$1,EliteIncome[[Ticker]:[Weight]],2,FALSE),0%)</f>
        <v>0</v>
      </c>
      <c r="AAD6" s="179">
        <f>IFERROR(VLOOKUP(AAD$1,EliteIncome[[Ticker]:[Weight]],2,FALSE),0%)</f>
        <v>0</v>
      </c>
      <c r="AAE6" s="179">
        <f>IFERROR(VLOOKUP(AAE$1,EliteIncome[[Ticker]:[Weight]],2,FALSE),0%)</f>
        <v>0</v>
      </c>
      <c r="AAF6" s="179">
        <f>IFERROR(VLOOKUP(AAF$1,EliteIncome[[Ticker]:[Weight]],2,FALSE),0%)</f>
        <v>0</v>
      </c>
      <c r="AAG6" s="179">
        <f>IFERROR(VLOOKUP(AAG$1,EliteIncome[[Ticker]:[Weight]],2,FALSE),0%)</f>
        <v>0</v>
      </c>
      <c r="AAH6" s="179">
        <f>IFERROR(VLOOKUP(AAH$1,EliteIncome[[Ticker]:[Weight]],2,FALSE),0%)</f>
        <v>0</v>
      </c>
      <c r="AAI6" s="179">
        <f>IFERROR(VLOOKUP(AAI$1,EliteIncome[[Ticker]:[Weight]],2,FALSE),0%)</f>
        <v>0</v>
      </c>
      <c r="AAJ6" s="179">
        <f>IFERROR(VLOOKUP(AAJ$1,EliteIncome[[Ticker]:[Weight]],2,FALSE),0%)</f>
        <v>0</v>
      </c>
      <c r="AAK6" s="179">
        <f>IFERROR(VLOOKUP(AAK$1,EliteIncome[[Ticker]:[Weight]],2,FALSE),0%)</f>
        <v>0</v>
      </c>
      <c r="AAL6" s="179">
        <f>IFERROR(VLOOKUP(AAL$1,EliteIncome[[Ticker]:[Weight]],2,FALSE),0%)</f>
        <v>0</v>
      </c>
      <c r="AAM6" s="179">
        <f>IFERROR(VLOOKUP(AAM$1,EliteIncome[[Ticker]:[Weight]],2,FALSE),0%)</f>
        <v>0</v>
      </c>
      <c r="AAN6" s="179">
        <f>IFERROR(VLOOKUP(AAN$1,EliteIncome[[Ticker]:[Weight]],2,FALSE),0%)</f>
        <v>0</v>
      </c>
      <c r="AAO6" s="179">
        <f>IFERROR(VLOOKUP(AAO$1,EliteIncome[[Ticker]:[Weight]],2,FALSE),0%)</f>
        <v>0</v>
      </c>
      <c r="AAP6" s="179">
        <f>IFERROR(VLOOKUP(AAP$1,EliteIncome[[Ticker]:[Weight]],2,FALSE),0%)</f>
        <v>0</v>
      </c>
      <c r="AAQ6" s="179">
        <f>IFERROR(VLOOKUP(AAQ$1,EliteIncome[[Ticker]:[Weight]],2,FALSE),0%)</f>
        <v>0</v>
      </c>
      <c r="AAR6" s="179">
        <f>IFERROR(VLOOKUP(AAR$1,EliteIncome[[Ticker]:[Weight]],2,FALSE),0%)</f>
        <v>0</v>
      </c>
      <c r="AAS6" s="179">
        <f>IFERROR(VLOOKUP(AAS$1,EliteIncome[[Ticker]:[Weight]],2,FALSE),0%)</f>
        <v>0</v>
      </c>
      <c r="AAT6" s="179">
        <f>IFERROR(VLOOKUP(AAT$1,EliteIncome[[Ticker]:[Weight]],2,FALSE),0%)</f>
        <v>0</v>
      </c>
      <c r="AAU6" s="179">
        <f>IFERROR(VLOOKUP(AAU$1,EliteIncome[[Ticker]:[Weight]],2,FALSE),0%)</f>
        <v>0</v>
      </c>
      <c r="AAV6" s="179">
        <f>IFERROR(VLOOKUP(AAV$1,EliteIncome[[Ticker]:[Weight]],2,FALSE),0%)</f>
        <v>0</v>
      </c>
      <c r="AAW6" s="179">
        <f>IFERROR(VLOOKUP(AAW$1,EliteIncome[[Ticker]:[Weight]],2,FALSE),0%)</f>
        <v>0</v>
      </c>
      <c r="AAX6" s="179">
        <f>IFERROR(VLOOKUP(AAX$1,EliteIncome[[Ticker]:[Weight]],2,FALSE),0%)</f>
        <v>0</v>
      </c>
      <c r="AAY6" s="179">
        <f>IFERROR(VLOOKUP(AAY$1,EliteIncome[[Ticker]:[Weight]],2,FALSE),0%)</f>
        <v>0</v>
      </c>
      <c r="AAZ6" s="179">
        <f>IFERROR(VLOOKUP(AAZ$1,EliteIncome[[Ticker]:[Weight]],2,FALSE),0%)</f>
        <v>0</v>
      </c>
      <c r="ABA6" s="179">
        <f>IFERROR(VLOOKUP(ABA$1,EliteIncome[[Ticker]:[Weight]],2,FALSE),0%)</f>
        <v>0</v>
      </c>
      <c r="ABB6" s="179">
        <f>IFERROR(VLOOKUP(ABB$1,EliteIncome[[Ticker]:[Weight]],2,FALSE),0%)</f>
        <v>0</v>
      </c>
      <c r="ABC6" s="179">
        <f>IFERROR(VLOOKUP(ABC$1,EliteIncome[[Ticker]:[Weight]],2,FALSE),0%)</f>
        <v>0</v>
      </c>
      <c r="ABD6" s="179">
        <f>IFERROR(VLOOKUP(ABD$1,EliteIncome[[Ticker]:[Weight]],2,FALSE),0%)</f>
        <v>0</v>
      </c>
      <c r="ABE6" s="179">
        <f>IFERROR(VLOOKUP(ABE$1,EliteIncome[[Ticker]:[Weight]],2,FALSE),0%)</f>
        <v>0</v>
      </c>
      <c r="ABF6" s="179">
        <f>IFERROR(VLOOKUP(ABF$1,EliteIncome[[Ticker]:[Weight]],2,FALSE),0%)</f>
        <v>0</v>
      </c>
      <c r="ABG6" s="179">
        <f>IFERROR(VLOOKUP(ABG$1,EliteIncome[[Ticker]:[Weight]],2,FALSE),0%)</f>
        <v>0</v>
      </c>
      <c r="ABH6" s="179">
        <f>IFERROR(VLOOKUP(ABH$1,EliteIncome[[Ticker]:[Weight]],2,FALSE),0%)</f>
        <v>0</v>
      </c>
      <c r="ABI6" s="179">
        <f>IFERROR(VLOOKUP(ABI$1,EliteIncome[[Ticker]:[Weight]],2,FALSE),0%)</f>
        <v>0</v>
      </c>
      <c r="ABJ6" s="179">
        <f>IFERROR(VLOOKUP(ABJ$1,EliteIncome[[Ticker]:[Weight]],2,FALSE),0%)</f>
        <v>0</v>
      </c>
      <c r="ABK6" s="179">
        <f>IFERROR(VLOOKUP(ABK$1,EliteIncome[[Ticker]:[Weight]],2,FALSE),0%)</f>
        <v>0</v>
      </c>
      <c r="ABL6" s="179">
        <f>IFERROR(VLOOKUP(ABL$1,EliteIncome[[Ticker]:[Weight]],2,FALSE),0%)</f>
        <v>0</v>
      </c>
      <c r="ABM6" s="179">
        <f>IFERROR(VLOOKUP(ABM$1,EliteIncome[[Ticker]:[Weight]],2,FALSE),0%)</f>
        <v>0</v>
      </c>
      <c r="ABN6" s="179">
        <f>IFERROR(VLOOKUP(ABN$1,EliteIncome[[Ticker]:[Weight]],2,FALSE),0%)</f>
        <v>0</v>
      </c>
      <c r="ABO6" s="179">
        <f>IFERROR(VLOOKUP(ABO$1,EliteIncome[[Ticker]:[Weight]],2,FALSE),0%)</f>
        <v>0</v>
      </c>
      <c r="ABP6" s="179">
        <f>IFERROR(VLOOKUP(ABP$1,EliteIncome[[Ticker]:[Weight]],2,FALSE),0%)</f>
        <v>0</v>
      </c>
      <c r="ABQ6" s="179">
        <f>IFERROR(VLOOKUP(ABQ$1,EliteIncome[[Ticker]:[Weight]],2,FALSE),0%)</f>
        <v>0</v>
      </c>
      <c r="ABR6" s="179">
        <f>IFERROR(VLOOKUP(ABR$1,EliteIncome[[Ticker]:[Weight]],2,FALSE),0%)</f>
        <v>0</v>
      </c>
      <c r="ABS6" s="179">
        <f>IFERROR(VLOOKUP(ABS$1,EliteIncome[[Ticker]:[Weight]],2,FALSE),0%)</f>
        <v>0</v>
      </c>
      <c r="ABT6" s="179">
        <f>IFERROR(VLOOKUP(ABT$1,EliteIncome[[Ticker]:[Weight]],2,FALSE),0%)</f>
        <v>0</v>
      </c>
      <c r="ABU6" s="179">
        <f>IFERROR(VLOOKUP(ABU$1,EliteIncome[[Ticker]:[Weight]],2,FALSE),0%)</f>
        <v>0</v>
      </c>
      <c r="ABV6" s="179">
        <f>IFERROR(VLOOKUP(ABV$1,EliteIncome[[Ticker]:[Weight]],2,FALSE),0%)</f>
        <v>0</v>
      </c>
      <c r="ABW6" s="179">
        <f>IFERROR(VLOOKUP(ABW$1,EliteIncome[[Ticker]:[Weight]],2,FALSE),0%)</f>
        <v>0</v>
      </c>
      <c r="ABX6" s="179">
        <f>IFERROR(VLOOKUP(ABX$1,EliteIncome[[Ticker]:[Weight]],2,FALSE),0%)</f>
        <v>0</v>
      </c>
      <c r="ABY6" s="179">
        <f>IFERROR(VLOOKUP(ABY$1,EliteIncome[[Ticker]:[Weight]],2,FALSE),0%)</f>
        <v>0</v>
      </c>
      <c r="ABZ6" s="179">
        <f>IFERROR(VLOOKUP(ABZ$1,EliteIncome[[Ticker]:[Weight]],2,FALSE),0%)</f>
        <v>0</v>
      </c>
      <c r="ACA6" s="179">
        <f>IFERROR(VLOOKUP(ACA$1,EliteIncome[[Ticker]:[Weight]],2,FALSE),0%)</f>
        <v>0</v>
      </c>
      <c r="ACB6" s="179">
        <f>IFERROR(VLOOKUP(ACB$1,EliteIncome[[Ticker]:[Weight]],2,FALSE),0%)</f>
        <v>0</v>
      </c>
      <c r="ACC6" s="179">
        <f>IFERROR(VLOOKUP(ACC$1,EliteIncome[[Ticker]:[Weight]],2,FALSE),0%)</f>
        <v>0</v>
      </c>
      <c r="ACD6" s="179">
        <f>IFERROR(VLOOKUP(ACD$1,EliteIncome[[Ticker]:[Weight]],2,FALSE),0%)</f>
        <v>0</v>
      </c>
      <c r="ACE6" s="179">
        <f>IFERROR(VLOOKUP(ACE$1,EliteIncome[[Ticker]:[Weight]],2,FALSE),0%)</f>
        <v>0</v>
      </c>
      <c r="ACF6" s="179">
        <f>IFERROR(VLOOKUP(ACF$1,EliteIncome[[Ticker]:[Weight]],2,FALSE),0%)</f>
        <v>0</v>
      </c>
      <c r="ACG6" s="179">
        <f>IFERROR(VLOOKUP(ACG$1,EliteIncome[[Ticker]:[Weight]],2,FALSE),0%)</f>
        <v>0</v>
      </c>
      <c r="ACH6" s="179">
        <f>IFERROR(VLOOKUP(ACH$1,EliteIncome[[Ticker]:[Weight]],2,FALSE),0%)</f>
        <v>0</v>
      </c>
      <c r="ACI6" s="179">
        <f>IFERROR(VLOOKUP(ACI$1,EliteIncome[[Ticker]:[Weight]],2,FALSE),0%)</f>
        <v>0</v>
      </c>
      <c r="ACJ6" s="179">
        <f>IFERROR(VLOOKUP(ACJ$1,EliteIncome[[Ticker]:[Weight]],2,FALSE),0%)</f>
        <v>0</v>
      </c>
      <c r="ACK6" s="179">
        <f>IFERROR(VLOOKUP(ACK$1,EliteIncome[[Ticker]:[Weight]],2,FALSE),0%)</f>
        <v>0</v>
      </c>
      <c r="ACL6" s="179">
        <f>IFERROR(VLOOKUP(ACL$1,EliteIncome[[Ticker]:[Weight]],2,FALSE),0%)</f>
        <v>0</v>
      </c>
      <c r="ACM6" s="179">
        <f>IFERROR(VLOOKUP(ACM$1,EliteIncome[[Ticker]:[Weight]],2,FALSE),0%)</f>
        <v>0</v>
      </c>
      <c r="ACN6" s="179">
        <f>IFERROR(VLOOKUP(ACN$1,EliteIncome[[Ticker]:[Weight]],2,FALSE),0%)</f>
        <v>0</v>
      </c>
      <c r="ACO6" s="179">
        <f>IFERROR(VLOOKUP(ACO$1,EliteIncome[[Ticker]:[Weight]],2,FALSE),0%)</f>
        <v>0</v>
      </c>
      <c r="ACP6" s="179">
        <f>IFERROR(VLOOKUP(ACP$1,EliteIncome[[Ticker]:[Weight]],2,FALSE),0%)</f>
        <v>0</v>
      </c>
      <c r="ACQ6" s="179">
        <f>IFERROR(VLOOKUP(ACQ$1,EliteIncome[[Ticker]:[Weight]],2,FALSE),0%)</f>
        <v>0</v>
      </c>
      <c r="ACR6" s="179">
        <f>IFERROR(VLOOKUP(ACR$1,EliteIncome[[Ticker]:[Weight]],2,FALSE),0%)</f>
        <v>0</v>
      </c>
      <c r="ACS6" s="179">
        <f>IFERROR(VLOOKUP(ACS$1,EliteIncome[[Ticker]:[Weight]],2,FALSE),0%)</f>
        <v>0</v>
      </c>
      <c r="ACT6" s="179">
        <f>IFERROR(VLOOKUP(ACT$1,EliteIncome[[Ticker]:[Weight]],2,FALSE),0%)</f>
        <v>0</v>
      </c>
      <c r="ACU6" s="179">
        <f>IFERROR(VLOOKUP(ACU$1,EliteIncome[[Ticker]:[Weight]],2,FALSE),0%)</f>
        <v>0</v>
      </c>
      <c r="ACV6" s="179">
        <f>IFERROR(VLOOKUP(ACV$1,EliteIncome[[Ticker]:[Weight]],2,FALSE),0%)</f>
        <v>0</v>
      </c>
      <c r="ACW6" s="179">
        <f>IFERROR(VLOOKUP(ACW$1,EliteIncome[[Ticker]:[Weight]],2,FALSE),0%)</f>
        <v>0</v>
      </c>
      <c r="ACX6" s="179">
        <f>IFERROR(VLOOKUP(ACX$1,EliteIncome[[Ticker]:[Weight]],2,FALSE),0%)</f>
        <v>0</v>
      </c>
      <c r="ACY6" s="179">
        <f>IFERROR(VLOOKUP(ACY$1,EliteIncome[[Ticker]:[Weight]],2,FALSE),0%)</f>
        <v>0</v>
      </c>
      <c r="ACZ6" s="179">
        <f>IFERROR(VLOOKUP(ACZ$1,EliteIncome[[Ticker]:[Weight]],2,FALSE),0%)</f>
        <v>0</v>
      </c>
      <c r="ADA6" s="179">
        <f>IFERROR(VLOOKUP(ADA$1,EliteIncome[[Ticker]:[Weight]],2,FALSE),0%)</f>
        <v>0</v>
      </c>
      <c r="ADB6" s="179">
        <f>IFERROR(VLOOKUP(ADB$1,EliteIncome[[Ticker]:[Weight]],2,FALSE),0%)</f>
        <v>0</v>
      </c>
      <c r="ADC6" s="179">
        <f>IFERROR(VLOOKUP(ADC$1,EliteIncome[[Ticker]:[Weight]],2,FALSE),0%)</f>
        <v>0</v>
      </c>
      <c r="ADD6" s="179">
        <f>IFERROR(VLOOKUP(ADD$1,EliteIncome[[Ticker]:[Weight]],2,FALSE),0%)</f>
        <v>0</v>
      </c>
      <c r="ADE6" s="179">
        <f>IFERROR(VLOOKUP(ADE$1,EliteIncome[[Ticker]:[Weight]],2,FALSE),0%)</f>
        <v>0</v>
      </c>
      <c r="ADF6" s="179">
        <f>IFERROR(VLOOKUP(ADF$1,EliteIncome[[Ticker]:[Weight]],2,FALSE),0%)</f>
        <v>0</v>
      </c>
      <c r="ADG6" s="179">
        <f>IFERROR(VLOOKUP(ADG$1,EliteIncome[[Ticker]:[Weight]],2,FALSE),0%)</f>
        <v>0</v>
      </c>
      <c r="ADH6" s="179">
        <f>IFERROR(VLOOKUP(ADH$1,EliteIncome[[Ticker]:[Weight]],2,FALSE),0%)</f>
        <v>0</v>
      </c>
      <c r="ADI6" s="179">
        <f>IFERROR(VLOOKUP(ADI$1,EliteIncome[[Ticker]:[Weight]],2,FALSE),0%)</f>
        <v>0</v>
      </c>
      <c r="ADJ6" s="179">
        <f>IFERROR(VLOOKUP(ADJ$1,EliteIncome[[Ticker]:[Weight]],2,FALSE),0%)</f>
        <v>0</v>
      </c>
      <c r="ADK6" s="179">
        <f>IFERROR(VLOOKUP(ADK$1,EliteIncome[[Ticker]:[Weight]],2,FALSE),0%)</f>
        <v>0</v>
      </c>
      <c r="ADL6" s="179">
        <f>IFERROR(VLOOKUP(ADL$1,EliteIncome[[Ticker]:[Weight]],2,FALSE),0%)</f>
        <v>0</v>
      </c>
      <c r="ADM6" s="179">
        <f>IFERROR(VLOOKUP(ADM$1,EliteIncome[[Ticker]:[Weight]],2,FALSE),0%)</f>
        <v>0</v>
      </c>
      <c r="ADN6" s="179">
        <f>IFERROR(VLOOKUP(ADN$1,EliteIncome[[Ticker]:[Weight]],2,FALSE),0%)</f>
        <v>0</v>
      </c>
      <c r="ADO6" s="179">
        <f>IFERROR(VLOOKUP(ADO$1,EliteIncome[[Ticker]:[Weight]],2,FALSE),0%)</f>
        <v>0</v>
      </c>
      <c r="ADP6" s="179">
        <f>IFERROR(VLOOKUP(ADP$1,EliteIncome[[Ticker]:[Weight]],2,FALSE),0%)</f>
        <v>0</v>
      </c>
      <c r="ADQ6" s="179">
        <f>IFERROR(VLOOKUP(ADQ$1,EliteIncome[[Ticker]:[Weight]],2,FALSE),0%)</f>
        <v>0</v>
      </c>
      <c r="ADR6" s="179">
        <f>IFERROR(VLOOKUP(ADR$1,EliteIncome[[Ticker]:[Weight]],2,FALSE),0%)</f>
        <v>0</v>
      </c>
      <c r="ADS6" s="179">
        <f>IFERROR(VLOOKUP(ADS$1,EliteIncome[[Ticker]:[Weight]],2,FALSE),0%)</f>
        <v>0</v>
      </c>
      <c r="ADT6" s="179">
        <f>IFERROR(VLOOKUP(ADT$1,EliteIncome[[Ticker]:[Weight]],2,FALSE),0%)</f>
        <v>0</v>
      </c>
      <c r="ADU6" s="179">
        <f>IFERROR(VLOOKUP(ADU$1,EliteIncome[[Ticker]:[Weight]],2,FALSE),0%)</f>
        <v>0</v>
      </c>
      <c r="ADV6" s="179">
        <f>IFERROR(VLOOKUP(ADV$1,EliteIncome[[Ticker]:[Weight]],2,FALSE),0%)</f>
        <v>0</v>
      </c>
      <c r="ADW6" s="179">
        <f>IFERROR(VLOOKUP(ADW$1,EliteIncome[[Ticker]:[Weight]],2,FALSE),0%)</f>
        <v>0</v>
      </c>
      <c r="ADX6" s="179">
        <f>IFERROR(VLOOKUP(ADX$1,EliteIncome[[Ticker]:[Weight]],2,FALSE),0%)</f>
        <v>0</v>
      </c>
      <c r="ADY6" s="179">
        <f>IFERROR(VLOOKUP(ADY$1,EliteIncome[[Ticker]:[Weight]],2,FALSE),0%)</f>
        <v>0</v>
      </c>
      <c r="ADZ6" s="179">
        <f>IFERROR(VLOOKUP(ADZ$1,EliteIncome[[Ticker]:[Weight]],2,FALSE),0%)</f>
        <v>0</v>
      </c>
      <c r="AEA6" s="179">
        <f>IFERROR(VLOOKUP(AEA$1,EliteIncome[[Ticker]:[Weight]],2,FALSE),0%)</f>
        <v>0</v>
      </c>
      <c r="AEB6" s="179">
        <f>IFERROR(VLOOKUP(AEB$1,EliteIncome[[Ticker]:[Weight]],2,FALSE),0%)</f>
        <v>0</v>
      </c>
      <c r="AEC6" s="179">
        <f>IFERROR(VLOOKUP(AEC$1,EliteIncome[[Ticker]:[Weight]],2,FALSE),0%)</f>
        <v>0</v>
      </c>
      <c r="AED6" s="179">
        <f>IFERROR(VLOOKUP(AED$1,EliteIncome[[Ticker]:[Weight]],2,FALSE),0%)</f>
        <v>0</v>
      </c>
      <c r="AEE6" s="179">
        <f>IFERROR(VLOOKUP(AEE$1,EliteIncome[[Ticker]:[Weight]],2,FALSE),0%)</f>
        <v>0</v>
      </c>
      <c r="AEF6" s="179">
        <f>IFERROR(VLOOKUP(AEF$1,EliteIncome[[Ticker]:[Weight]],2,FALSE),0%)</f>
        <v>0</v>
      </c>
      <c r="AEG6" s="179">
        <f>IFERROR(VLOOKUP(AEG$1,EliteIncome[[Ticker]:[Weight]],2,FALSE),0%)</f>
        <v>0</v>
      </c>
      <c r="AEH6" s="179">
        <f>IFERROR(VLOOKUP(AEH$1,EliteIncome[[Ticker]:[Weight]],2,FALSE),0%)</f>
        <v>0</v>
      </c>
      <c r="AEI6" s="179">
        <f>IFERROR(VLOOKUP(AEI$1,EliteIncome[[Ticker]:[Weight]],2,FALSE),0%)</f>
        <v>0</v>
      </c>
      <c r="AEJ6" s="179">
        <f>IFERROR(VLOOKUP(AEJ$1,EliteIncome[[Ticker]:[Weight]],2,FALSE),0%)</f>
        <v>0</v>
      </c>
      <c r="AEK6" s="179">
        <f>IFERROR(VLOOKUP(AEK$1,EliteIncome[[Ticker]:[Weight]],2,FALSE),0%)</f>
        <v>0</v>
      </c>
      <c r="AEL6" s="179">
        <f>IFERROR(VLOOKUP(AEL$1,EliteIncome[[Ticker]:[Weight]],2,FALSE),0%)</f>
        <v>0</v>
      </c>
      <c r="AEM6" s="179">
        <f>IFERROR(VLOOKUP(AEM$1,EliteIncome[[Ticker]:[Weight]],2,FALSE),0%)</f>
        <v>0</v>
      </c>
      <c r="AEN6" s="179">
        <f>IFERROR(VLOOKUP(AEN$1,EliteIncome[[Ticker]:[Weight]],2,FALSE),0%)</f>
        <v>0</v>
      </c>
      <c r="AEO6" s="179">
        <f>IFERROR(VLOOKUP(AEO$1,EliteIncome[[Ticker]:[Weight]],2,FALSE),0%)</f>
        <v>0</v>
      </c>
      <c r="AEP6" s="179">
        <f>IFERROR(VLOOKUP(AEP$1,EliteIncome[[Ticker]:[Weight]],2,FALSE),0%)</f>
        <v>0</v>
      </c>
      <c r="AEQ6" s="179">
        <f>IFERROR(VLOOKUP(AEQ$1,EliteIncome[[Ticker]:[Weight]],2,FALSE),0%)</f>
        <v>0</v>
      </c>
      <c r="AER6" s="179">
        <f>IFERROR(VLOOKUP(AER$1,EliteIncome[[Ticker]:[Weight]],2,FALSE),0%)</f>
        <v>0</v>
      </c>
      <c r="AES6" s="179">
        <f>IFERROR(VLOOKUP(AES$1,EliteIncome[[Ticker]:[Weight]],2,FALSE),0%)</f>
        <v>0</v>
      </c>
      <c r="AET6" s="179">
        <f>IFERROR(VLOOKUP(AET$1,EliteIncome[[Ticker]:[Weight]],2,FALSE),0%)</f>
        <v>0</v>
      </c>
      <c r="AEU6" s="179">
        <f>IFERROR(VLOOKUP(AEU$1,EliteIncome[[Ticker]:[Weight]],2,FALSE),0%)</f>
        <v>0</v>
      </c>
      <c r="AEV6" s="179">
        <f>IFERROR(VLOOKUP(AEV$1,EliteIncome[[Ticker]:[Weight]],2,FALSE),0%)</f>
        <v>0</v>
      </c>
      <c r="AEW6" s="179">
        <f>IFERROR(VLOOKUP(AEW$1,EliteIncome[[Ticker]:[Weight]],2,FALSE),0%)</f>
        <v>0</v>
      </c>
      <c r="AEX6" s="179">
        <f>IFERROR(VLOOKUP(AEX$1,EliteIncome[[Ticker]:[Weight]],2,FALSE),0%)</f>
        <v>0</v>
      </c>
      <c r="AEY6" s="179">
        <f>IFERROR(VLOOKUP(AEY$1,EliteIncome[[Ticker]:[Weight]],2,FALSE),0%)</f>
        <v>0</v>
      </c>
      <c r="AEZ6" s="179">
        <f>IFERROR(VLOOKUP(AEZ$1,EliteIncome[[Ticker]:[Weight]],2,FALSE),0%)</f>
        <v>0</v>
      </c>
      <c r="AFA6" s="179">
        <f>IFERROR(VLOOKUP(AFA$1,EliteIncome[[Ticker]:[Weight]],2,FALSE),0%)</f>
        <v>0</v>
      </c>
      <c r="AFB6" s="179">
        <f>IFERROR(VLOOKUP(AFB$1,EliteIncome[[Ticker]:[Weight]],2,FALSE),0%)</f>
        <v>0</v>
      </c>
      <c r="AFC6" s="179">
        <f>IFERROR(VLOOKUP(AFC$1,EliteIncome[[Ticker]:[Weight]],2,FALSE),0%)</f>
        <v>0</v>
      </c>
      <c r="AFD6" s="179">
        <f>IFERROR(VLOOKUP(AFD$1,EliteIncome[[Ticker]:[Weight]],2,FALSE),0%)</f>
        <v>0</v>
      </c>
      <c r="AFE6" s="179">
        <f>IFERROR(VLOOKUP(AFE$1,EliteIncome[[Ticker]:[Weight]],2,FALSE),0%)</f>
        <v>0</v>
      </c>
      <c r="AFF6" s="179">
        <f>IFERROR(VLOOKUP(AFF$1,EliteIncome[[Ticker]:[Weight]],2,FALSE),0%)</f>
        <v>0.1397836685</v>
      </c>
      <c r="AFG6" s="179">
        <f>IFERROR(VLOOKUP(AFG$1,EliteIncome[[Ticker]:[Weight]],2,FALSE),0%)</f>
        <v>0</v>
      </c>
      <c r="AFH6" s="179">
        <f>IFERROR(VLOOKUP(AFH$1,EliteIncome[[Ticker]:[Weight]],2,FALSE),0%)</f>
        <v>0</v>
      </c>
      <c r="AFI6" s="179">
        <f>IFERROR(VLOOKUP(AFI$1,EliteIncome[[Ticker]:[Weight]],2,FALSE),0%)</f>
        <v>0</v>
      </c>
      <c r="AFJ6" s="179">
        <f>IFERROR(VLOOKUP(AFJ$1,EliteIncome[[Ticker]:[Weight]],2,FALSE),0%)</f>
        <v>0</v>
      </c>
      <c r="AFK6" s="179">
        <f>IFERROR(VLOOKUP(AFK$1,EliteIncome[[Ticker]:[Weight]],2,FALSE),0%)</f>
        <v>0</v>
      </c>
      <c r="AFL6" s="179">
        <f>IFERROR(VLOOKUP(AFL$1,EliteIncome[[Ticker]:[Weight]],2,FALSE),0%)</f>
        <v>0</v>
      </c>
      <c r="AFM6" s="179">
        <f>IFERROR(VLOOKUP(AFM$1,EliteIncome[[Ticker]:[Weight]],2,FALSE),0%)</f>
        <v>0</v>
      </c>
      <c r="AFN6" s="179">
        <f>IFERROR(VLOOKUP(AFN$1,EliteIncome[[Ticker]:[Weight]],2,FALSE),0%)</f>
        <v>0</v>
      </c>
      <c r="AFO6" s="179">
        <f>IFERROR(VLOOKUP(AFO$1,EliteIncome[[Ticker]:[Weight]],2,FALSE),0%)</f>
        <v>0</v>
      </c>
      <c r="AFP6" s="179">
        <f>IFERROR(VLOOKUP(AFP$1,EliteIncome[[Ticker]:[Weight]],2,FALSE),0%)</f>
        <v>0</v>
      </c>
      <c r="AFQ6" s="179">
        <f>IFERROR(VLOOKUP(AFQ$1,EliteIncome[[Ticker]:[Weight]],2,FALSE),0%)</f>
        <v>0</v>
      </c>
      <c r="AFR6" s="179">
        <f>IFERROR(VLOOKUP(AFR$1,EliteIncome[[Ticker]:[Weight]],2,FALSE),0%)</f>
        <v>0</v>
      </c>
      <c r="AFS6" s="179">
        <f>IFERROR(VLOOKUP(AFS$1,EliteIncome[[Ticker]:[Weight]],2,FALSE),0%)</f>
        <v>0</v>
      </c>
      <c r="AFT6" s="179">
        <f>IFERROR(VLOOKUP(AFT$1,EliteIncome[[Ticker]:[Weight]],2,FALSE),0%)</f>
        <v>0</v>
      </c>
      <c r="AFU6" s="179">
        <f>IFERROR(VLOOKUP(AFU$1,EliteIncome[[Ticker]:[Weight]],2,FALSE),0%)</f>
        <v>0</v>
      </c>
      <c r="AFV6" s="179">
        <f>IFERROR(VLOOKUP(AFV$1,EliteIncome[[Ticker]:[Weight]],2,FALSE),0%)</f>
        <v>0</v>
      </c>
      <c r="AFW6" s="179">
        <f>IFERROR(VLOOKUP(AFW$1,EliteIncome[[Ticker]:[Weight]],2,FALSE),0%)</f>
        <v>0</v>
      </c>
      <c r="AFX6" s="179">
        <f>IFERROR(VLOOKUP(AFX$1,EliteIncome[[Ticker]:[Weight]],2,FALSE),0%)</f>
        <v>0</v>
      </c>
      <c r="AFY6" s="179">
        <f>IFERROR(VLOOKUP(AFY$1,EliteIncome[[Ticker]:[Weight]],2,FALSE),0%)</f>
        <v>0</v>
      </c>
      <c r="AFZ6" s="179">
        <f>IFERROR(VLOOKUP(AFZ$1,EliteIncome[[Ticker]:[Weight]],2,FALSE),0%)</f>
        <v>0</v>
      </c>
      <c r="AGA6" s="179">
        <f>IFERROR(VLOOKUP(AGA$1,EliteIncome[[Ticker]:[Weight]],2,FALSE),0%)</f>
        <v>0</v>
      </c>
      <c r="AGB6" s="179">
        <f>IFERROR(VLOOKUP(AGB$1,EliteIncome[[Ticker]:[Weight]],2,FALSE),0%)</f>
        <v>0</v>
      </c>
      <c r="AGC6" s="179">
        <f>IFERROR(VLOOKUP(AGC$1,EliteIncome[[Ticker]:[Weight]],2,FALSE),0%)</f>
        <v>0</v>
      </c>
      <c r="AGD6" s="179">
        <f>IFERROR(VLOOKUP(AGD$1,EliteIncome[[Ticker]:[Weight]],2,FALSE),0%)</f>
        <v>0</v>
      </c>
      <c r="AGE6" s="179">
        <f>IFERROR(VLOOKUP(AGE$1,EliteIncome[[Ticker]:[Weight]],2,FALSE),0%)</f>
        <v>0</v>
      </c>
      <c r="AGF6" s="179">
        <f>IFERROR(VLOOKUP(AGF$1,EliteIncome[[Ticker]:[Weight]],2,FALSE),0%)</f>
        <v>0</v>
      </c>
      <c r="AGG6" s="179">
        <f>IFERROR(VLOOKUP(AGG$1,EliteIncome[[Ticker]:[Weight]],2,FALSE),0%)</f>
        <v>0</v>
      </c>
      <c r="AGH6" s="179">
        <f>IFERROR(VLOOKUP(AGH$1,EliteIncome[[Ticker]:[Weight]],2,FALSE),0%)</f>
        <v>0</v>
      </c>
      <c r="AGI6" s="179">
        <f>IFERROR(VLOOKUP(AGI$1,EliteIncome[[Ticker]:[Weight]],2,FALSE),0%)</f>
        <v>0</v>
      </c>
      <c r="AGJ6" s="179">
        <f>IFERROR(VLOOKUP(AGJ$1,EliteIncome[[Ticker]:[Weight]],2,FALSE),0%)</f>
        <v>0</v>
      </c>
      <c r="AGK6" s="179">
        <f>IFERROR(VLOOKUP(AGK$1,EliteIncome[[Ticker]:[Weight]],2,FALSE),0%)</f>
        <v>0</v>
      </c>
      <c r="AGL6" s="179">
        <f>IFERROR(VLOOKUP(AGL$1,EliteIncome[[Ticker]:[Weight]],2,FALSE),0%)</f>
        <v>0</v>
      </c>
      <c r="AGM6" s="179">
        <f>IFERROR(VLOOKUP(AGM$1,EliteIncome[[Ticker]:[Weight]],2,FALSE),0%)</f>
        <v>0</v>
      </c>
      <c r="AGN6" s="179">
        <f>IFERROR(VLOOKUP(AGN$1,EliteIncome[[Ticker]:[Weight]],2,FALSE),0%)</f>
        <v>0</v>
      </c>
      <c r="AGO6" s="179">
        <f>IFERROR(VLOOKUP(AGO$1,EliteIncome[[Ticker]:[Weight]],2,FALSE),0%)</f>
        <v>0</v>
      </c>
      <c r="AGP6" s="179">
        <f>IFERROR(VLOOKUP(AGP$1,EliteIncome[[Ticker]:[Weight]],2,FALSE),0%)</f>
        <v>0</v>
      </c>
      <c r="AGQ6" s="179">
        <f>IFERROR(VLOOKUP(AGQ$1,EliteIncome[[Ticker]:[Weight]],2,FALSE),0%)</f>
        <v>0</v>
      </c>
      <c r="AGR6" s="179">
        <f>IFERROR(VLOOKUP(AGR$1,EliteIncome[[Ticker]:[Weight]],2,FALSE),0%)</f>
        <v>0</v>
      </c>
      <c r="AGS6" s="179">
        <f>IFERROR(VLOOKUP(AGS$1,EliteIncome[[Ticker]:[Weight]],2,FALSE),0%)</f>
        <v>0</v>
      </c>
      <c r="AGT6" s="179">
        <f>IFERROR(VLOOKUP(AGT$1,EliteIncome[[Ticker]:[Weight]],2,FALSE),0%)</f>
        <v>0</v>
      </c>
      <c r="AGU6" s="179">
        <f>IFERROR(VLOOKUP(AGU$1,EliteIncome[[Ticker]:[Weight]],2,FALSE),0%)</f>
        <v>0</v>
      </c>
      <c r="AGV6" s="179">
        <f>IFERROR(VLOOKUP(AGV$1,EliteIncome[[Ticker]:[Weight]],2,FALSE),0%)</f>
        <v>0</v>
      </c>
      <c r="AGW6" s="179">
        <f>IFERROR(VLOOKUP(AGW$1,EliteIncome[[Ticker]:[Weight]],2,FALSE),0%)</f>
        <v>0</v>
      </c>
      <c r="AGX6" s="179">
        <f>IFERROR(VLOOKUP(AGX$1,EliteIncome[[Ticker]:[Weight]],2,FALSE),0%)</f>
        <v>0</v>
      </c>
      <c r="AGY6" s="179">
        <f>IFERROR(VLOOKUP(AGY$1,EliteIncome[[Ticker]:[Weight]],2,FALSE),0%)</f>
        <v>0</v>
      </c>
      <c r="AGZ6" s="179">
        <f>IFERROR(VLOOKUP(AGZ$1,EliteIncome[[Ticker]:[Weight]],2,FALSE),0%)</f>
        <v>0</v>
      </c>
      <c r="AHA6" s="179">
        <f>IFERROR(VLOOKUP(AHA$1,EliteIncome[[Ticker]:[Weight]],2,FALSE),0%)</f>
        <v>0</v>
      </c>
      <c r="AHB6" s="179">
        <f>IFERROR(VLOOKUP(AHB$1,EliteIncome[[Ticker]:[Weight]],2,FALSE),0%)</f>
        <v>0</v>
      </c>
      <c r="AHC6" s="179">
        <f>IFERROR(VLOOKUP(AHC$1,EliteIncome[[Ticker]:[Weight]],2,FALSE),0%)</f>
        <v>0</v>
      </c>
      <c r="AHD6" s="179">
        <f>IFERROR(VLOOKUP(AHD$1,EliteIncome[[Ticker]:[Weight]],2,FALSE),0%)</f>
        <v>0</v>
      </c>
      <c r="AHE6" s="179">
        <f>IFERROR(VLOOKUP(AHE$1,EliteIncome[[Ticker]:[Weight]],2,FALSE),0%)</f>
        <v>0</v>
      </c>
      <c r="AHF6" s="179">
        <f>IFERROR(VLOOKUP(AHF$1,EliteIncome[[Ticker]:[Weight]],2,FALSE),0%)</f>
        <v>0</v>
      </c>
      <c r="AHG6" s="179">
        <f>IFERROR(VLOOKUP(AHG$1,EliteIncome[[Ticker]:[Weight]],2,FALSE),0%)</f>
        <v>0</v>
      </c>
      <c r="AHH6" s="179">
        <f>IFERROR(VLOOKUP(AHH$1,EliteIncome[[Ticker]:[Weight]],2,FALSE),0%)</f>
        <v>0</v>
      </c>
      <c r="AHI6" s="179">
        <f>IFERROR(VLOOKUP(AHI$1,EliteIncome[[Ticker]:[Weight]],2,FALSE),0%)</f>
        <v>0</v>
      </c>
      <c r="AHJ6" s="179">
        <f>IFERROR(VLOOKUP(AHJ$1,EliteIncome[[Ticker]:[Weight]],2,FALSE),0%)</f>
        <v>0</v>
      </c>
      <c r="AHK6" s="179">
        <f>IFERROR(VLOOKUP(AHK$1,EliteIncome[[Ticker]:[Weight]],2,FALSE),0%)</f>
        <v>0</v>
      </c>
      <c r="AHL6" s="179">
        <f>IFERROR(VLOOKUP(AHL$1,EliteIncome[[Ticker]:[Weight]],2,FALSE),0%)</f>
        <v>0</v>
      </c>
      <c r="AHM6" s="179">
        <f>IFERROR(VLOOKUP(AHM$1,EliteIncome[[Ticker]:[Weight]],2,FALSE),0%)</f>
        <v>0</v>
      </c>
      <c r="AHN6" s="179">
        <f>IFERROR(VLOOKUP(AHN$1,EliteIncome[[Ticker]:[Weight]],2,FALSE),0%)</f>
        <v>0</v>
      </c>
      <c r="AHO6" s="179">
        <f>IFERROR(VLOOKUP(AHO$1,EliteIncome[[Ticker]:[Weight]],2,FALSE),0%)</f>
        <v>0</v>
      </c>
      <c r="AHP6" s="179">
        <f>IFERROR(VLOOKUP(AHP$1,EliteIncome[[Ticker]:[Weight]],2,FALSE),0%)</f>
        <v>0</v>
      </c>
      <c r="AHQ6" s="179">
        <f>IFERROR(VLOOKUP(AHQ$1,EliteIncome[[Ticker]:[Weight]],2,FALSE),0%)</f>
        <v>0</v>
      </c>
      <c r="AHR6" s="179">
        <f>IFERROR(VLOOKUP(AHR$1,EliteIncome[[Ticker]:[Weight]],2,FALSE),0%)</f>
        <v>0</v>
      </c>
      <c r="AHS6" s="179">
        <f>IFERROR(VLOOKUP(AHS$1,EliteIncome[[Ticker]:[Weight]],2,FALSE),0%)</f>
        <v>0</v>
      </c>
      <c r="AHT6" s="179">
        <f>IFERROR(VLOOKUP(AHT$1,EliteIncome[[Ticker]:[Weight]],2,FALSE),0%)</f>
        <v>0</v>
      </c>
      <c r="AHU6" s="179">
        <f>IFERROR(VLOOKUP(AHU$1,EliteIncome[[Ticker]:[Weight]],2,FALSE),0%)</f>
        <v>0</v>
      </c>
      <c r="AHV6" s="179">
        <f>IFERROR(VLOOKUP(AHV$1,EliteIncome[[Ticker]:[Weight]],2,FALSE),0%)</f>
        <v>0</v>
      </c>
      <c r="AHW6" s="179">
        <f>IFERROR(VLOOKUP(AHW$1,EliteIncome[[Ticker]:[Weight]],2,FALSE),0%)</f>
        <v>0</v>
      </c>
      <c r="AHX6" s="179">
        <f>IFERROR(VLOOKUP(AHX$1,EliteIncome[[Ticker]:[Weight]],2,FALSE),0%)</f>
        <v>0</v>
      </c>
      <c r="AHY6" s="179">
        <f>IFERROR(VLOOKUP(AHY$1,EliteIncome[[Ticker]:[Weight]],2,FALSE),0%)</f>
        <v>0</v>
      </c>
      <c r="AHZ6" s="179">
        <f>IFERROR(VLOOKUP(AHZ$1,EliteIncome[[Ticker]:[Weight]],2,FALSE),0%)</f>
        <v>0</v>
      </c>
      <c r="AIA6" s="179">
        <f>IFERROR(VLOOKUP(AIA$1,EliteIncome[[Ticker]:[Weight]],2,FALSE),0%)</f>
        <v>0</v>
      </c>
      <c r="AIB6" s="179">
        <f>IFERROR(VLOOKUP(AIB$1,EliteIncome[[Ticker]:[Weight]],2,FALSE),0%)</f>
        <v>0</v>
      </c>
      <c r="AIC6" s="179">
        <f>IFERROR(VLOOKUP(AIC$1,EliteIncome[[Ticker]:[Weight]],2,FALSE),0%)</f>
        <v>0</v>
      </c>
      <c r="AID6" s="179">
        <f>IFERROR(VLOOKUP(AID$1,EliteIncome[[Ticker]:[Weight]],2,FALSE),0%)</f>
        <v>0</v>
      </c>
      <c r="AIE6" s="179">
        <f>IFERROR(VLOOKUP(AIE$1,EliteIncome[[Ticker]:[Weight]],2,FALSE),0%)</f>
        <v>0</v>
      </c>
      <c r="AIF6" s="179">
        <f>IFERROR(VLOOKUP(AIF$1,EliteIncome[[Ticker]:[Weight]],2,FALSE),0%)</f>
        <v>0</v>
      </c>
      <c r="AIG6" s="179">
        <f>IFERROR(VLOOKUP(AIG$1,EliteIncome[[Ticker]:[Weight]],2,FALSE),0%)</f>
        <v>0</v>
      </c>
      <c r="AIH6" s="179">
        <f>IFERROR(VLOOKUP(AIH$1,EliteIncome[[Ticker]:[Weight]],2,FALSE),0%)</f>
        <v>0</v>
      </c>
      <c r="AII6" s="179">
        <f>IFERROR(VLOOKUP(AII$1,EliteIncome[[Ticker]:[Weight]],2,FALSE),0%)</f>
        <v>0</v>
      </c>
      <c r="AIJ6" s="179">
        <f>IFERROR(VLOOKUP(AIJ$1,EliteIncome[[Ticker]:[Weight]],2,FALSE),0%)</f>
        <v>0</v>
      </c>
      <c r="AIK6" s="179">
        <f>IFERROR(VLOOKUP(AIK$1,EliteIncome[[Ticker]:[Weight]],2,FALSE),0%)</f>
        <v>0</v>
      </c>
      <c r="AIL6" s="179">
        <f>IFERROR(VLOOKUP(AIL$1,EliteIncome[[Ticker]:[Weight]],2,FALSE),0%)</f>
        <v>0</v>
      </c>
      <c r="AIM6" s="179">
        <f>IFERROR(VLOOKUP(AIM$1,EliteIncome[[Ticker]:[Weight]],2,FALSE),0%)</f>
        <v>0</v>
      </c>
      <c r="AIN6" s="179">
        <f>IFERROR(VLOOKUP(AIN$1,EliteIncome[[Ticker]:[Weight]],2,FALSE),0%)</f>
        <v>0</v>
      </c>
      <c r="AIO6" s="179">
        <f>IFERROR(VLOOKUP(AIO$1,EliteIncome[[Ticker]:[Weight]],2,FALSE),0%)</f>
        <v>0</v>
      </c>
      <c r="AIP6" s="179">
        <f>IFERROR(VLOOKUP(AIP$1,EliteIncome[[Ticker]:[Weight]],2,FALSE),0%)</f>
        <v>0</v>
      </c>
      <c r="AIQ6" s="179">
        <f>IFERROR(VLOOKUP(AIQ$1,EliteIncome[[Ticker]:[Weight]],2,FALSE),0%)</f>
        <v>0</v>
      </c>
      <c r="AIR6" s="179">
        <f>IFERROR(VLOOKUP(AIR$1,EliteIncome[[Ticker]:[Weight]],2,FALSE),0%)</f>
        <v>0</v>
      </c>
      <c r="AIS6" s="179">
        <f>IFERROR(VLOOKUP(AIS$1,EliteIncome[[Ticker]:[Weight]],2,FALSE),0%)</f>
        <v>0</v>
      </c>
      <c r="AIT6" s="179">
        <f>IFERROR(VLOOKUP(AIT$1,EliteIncome[[Ticker]:[Weight]],2,FALSE),0%)</f>
        <v>0</v>
      </c>
      <c r="AIU6" s="179">
        <f>IFERROR(VLOOKUP(AIU$1,EliteIncome[[Ticker]:[Weight]],2,FALSE),0%)</f>
        <v>0</v>
      </c>
      <c r="AIV6" s="179">
        <f>IFERROR(VLOOKUP(AIV$1,EliteIncome[[Ticker]:[Weight]],2,FALSE),0%)</f>
        <v>0</v>
      </c>
      <c r="AIW6" s="179">
        <f>IFERROR(VLOOKUP(AIW$1,EliteIncome[[Ticker]:[Weight]],2,FALSE),0%)</f>
        <v>0</v>
      </c>
      <c r="AIX6" s="179">
        <f>IFERROR(VLOOKUP(AIX$1,EliteIncome[[Ticker]:[Weight]],2,FALSE),0%)</f>
        <v>0</v>
      </c>
      <c r="AIY6" s="179">
        <f>IFERROR(VLOOKUP(AIY$1,EliteIncome[[Ticker]:[Weight]],2,FALSE),0%)</f>
        <v>0</v>
      </c>
      <c r="AIZ6" s="179">
        <f>IFERROR(VLOOKUP(AIZ$1,EliteIncome[[Ticker]:[Weight]],2,FALSE),0%)</f>
        <v>0</v>
      </c>
      <c r="AJA6" s="179">
        <f>IFERROR(VLOOKUP(AJA$1,EliteIncome[[Ticker]:[Weight]],2,FALSE),0%)</f>
        <v>0</v>
      </c>
      <c r="AJB6" s="179">
        <f>IFERROR(VLOOKUP(AJB$1,EliteIncome[[Ticker]:[Weight]],2,FALSE),0%)</f>
        <v>0</v>
      </c>
      <c r="AJC6" s="179">
        <f>IFERROR(VLOOKUP(AJC$1,EliteIncome[[Ticker]:[Weight]],2,FALSE),0%)</f>
        <v>0</v>
      </c>
      <c r="AJD6" s="179">
        <f>IFERROR(VLOOKUP(AJD$1,EliteIncome[[Ticker]:[Weight]],2,FALSE),0%)</f>
        <v>0</v>
      </c>
      <c r="AJE6" s="179">
        <f>IFERROR(VLOOKUP(AJE$1,EliteIncome[[Ticker]:[Weight]],2,FALSE),0%)</f>
        <v>0</v>
      </c>
      <c r="AJF6" s="179">
        <f>IFERROR(VLOOKUP(AJF$1,EliteIncome[[Ticker]:[Weight]],2,FALSE),0%)</f>
        <v>0</v>
      </c>
      <c r="AJG6" s="179">
        <f>IFERROR(VLOOKUP(AJG$1,EliteIncome[[Ticker]:[Weight]],2,FALSE),0%)</f>
        <v>0</v>
      </c>
      <c r="AJH6" s="179">
        <f>IFERROR(VLOOKUP(AJH$1,EliteIncome[[Ticker]:[Weight]],2,FALSE),0%)</f>
        <v>0</v>
      </c>
      <c r="AJI6" s="179">
        <f>IFERROR(VLOOKUP(AJI$1,EliteIncome[[Ticker]:[Weight]],2,FALSE),0%)</f>
        <v>0</v>
      </c>
      <c r="AJJ6" s="179">
        <f>IFERROR(VLOOKUP(AJJ$1,EliteIncome[[Ticker]:[Weight]],2,FALSE),0%)</f>
        <v>0</v>
      </c>
      <c r="AJK6" s="179">
        <f>IFERROR(VLOOKUP(AJK$1,EliteIncome[[Ticker]:[Weight]],2,FALSE),0%)</f>
        <v>0</v>
      </c>
      <c r="AJL6" s="179">
        <f>IFERROR(VLOOKUP(AJL$1,EliteIncome[[Ticker]:[Weight]],2,FALSE),0%)</f>
        <v>0</v>
      </c>
      <c r="AJM6" s="179">
        <f>IFERROR(VLOOKUP(AJM$1,EliteIncome[[Ticker]:[Weight]],2,FALSE),0%)</f>
        <v>0</v>
      </c>
      <c r="AJN6" s="179">
        <f>IFERROR(VLOOKUP(AJN$1,EliteIncome[[Ticker]:[Weight]],2,FALSE),0%)</f>
        <v>0</v>
      </c>
      <c r="AJO6" s="179">
        <f>IFERROR(VLOOKUP(AJO$1,EliteIncome[[Ticker]:[Weight]],2,FALSE),0%)</f>
        <v>0</v>
      </c>
      <c r="AJP6" s="179">
        <f>IFERROR(VLOOKUP(AJP$1,EliteIncome[[Ticker]:[Weight]],2,FALSE),0%)</f>
        <v>0</v>
      </c>
      <c r="AJQ6" s="179">
        <f>IFERROR(VLOOKUP(AJQ$1,EliteIncome[[Ticker]:[Weight]],2,FALSE),0%)</f>
        <v>0</v>
      </c>
      <c r="AJR6" s="179">
        <f>IFERROR(VLOOKUP(AJR$1,EliteIncome[[Ticker]:[Weight]],2,FALSE),0%)</f>
        <v>0</v>
      </c>
      <c r="AJS6" s="179">
        <f>IFERROR(VLOOKUP(AJS$1,EliteIncome[[Ticker]:[Weight]],2,FALSE),0%)</f>
        <v>0</v>
      </c>
      <c r="AJT6" s="179">
        <f>IFERROR(VLOOKUP(AJT$1,EliteIncome[[Ticker]:[Weight]],2,FALSE),0%)</f>
        <v>0</v>
      </c>
      <c r="AJU6" s="179">
        <f>IFERROR(VLOOKUP(AJU$1,EliteIncome[[Ticker]:[Weight]],2,FALSE),0%)</f>
        <v>0</v>
      </c>
      <c r="AJV6" s="179">
        <f>IFERROR(VLOOKUP(AJV$1,EliteIncome[[Ticker]:[Weight]],2,FALSE),0%)</f>
        <v>0</v>
      </c>
      <c r="AJW6" s="179">
        <f>IFERROR(VLOOKUP(AJW$1,EliteIncome[[Ticker]:[Weight]],2,FALSE),0%)</f>
        <v>0</v>
      </c>
      <c r="AJX6" s="179">
        <f>IFERROR(VLOOKUP(AJX$1,EliteIncome[[Ticker]:[Weight]],2,FALSE),0%)</f>
        <v>0</v>
      </c>
      <c r="AJY6" s="179">
        <f>IFERROR(VLOOKUP(AJY$1,EliteIncome[[Ticker]:[Weight]],2,FALSE),0%)</f>
        <v>0</v>
      </c>
      <c r="AJZ6" s="179">
        <f>IFERROR(VLOOKUP(AJZ$1,EliteIncome[[Ticker]:[Weight]],2,FALSE),0%)</f>
        <v>0</v>
      </c>
      <c r="AKA6" s="179">
        <f>IFERROR(VLOOKUP(AKA$1,EliteIncome[[Ticker]:[Weight]],2,FALSE),0%)</f>
        <v>0</v>
      </c>
      <c r="AKB6" s="179">
        <f>IFERROR(VLOOKUP(AKB$1,EliteIncome[[Ticker]:[Weight]],2,FALSE),0%)</f>
        <v>0</v>
      </c>
      <c r="AKC6" s="179">
        <f>IFERROR(VLOOKUP(AKC$1,EliteIncome[[Ticker]:[Weight]],2,FALSE),0%)</f>
        <v>0</v>
      </c>
      <c r="AKD6" s="179">
        <f>IFERROR(VLOOKUP(AKD$1,EliteIncome[[Ticker]:[Weight]],2,FALSE),0%)</f>
        <v>0</v>
      </c>
      <c r="AKE6" s="179">
        <f>IFERROR(VLOOKUP(AKE$1,EliteIncome[[Ticker]:[Weight]],2,FALSE),0%)</f>
        <v>0</v>
      </c>
      <c r="AKF6" s="179">
        <f>IFERROR(VLOOKUP(AKF$1,EliteIncome[[Ticker]:[Weight]],2,FALSE),0%)</f>
        <v>0</v>
      </c>
      <c r="AKG6" s="179">
        <f>IFERROR(VLOOKUP(AKG$1,EliteIncome[[Ticker]:[Weight]],2,FALSE),0%)</f>
        <v>0</v>
      </c>
      <c r="AKH6" s="179">
        <f>IFERROR(VLOOKUP(AKH$1,EliteIncome[[Ticker]:[Weight]],2,FALSE),0%)</f>
        <v>0</v>
      </c>
      <c r="AKI6" s="179">
        <f>IFERROR(VLOOKUP(AKI$1,EliteIncome[[Ticker]:[Weight]],2,FALSE),0%)</f>
        <v>0</v>
      </c>
      <c r="AKJ6" s="179">
        <f>IFERROR(VLOOKUP(AKJ$1,EliteIncome[[Ticker]:[Weight]],2,FALSE),0%)</f>
        <v>0</v>
      </c>
      <c r="AKK6" s="179">
        <f>IFERROR(VLOOKUP(AKK$1,EliteIncome[[Ticker]:[Weight]],2,FALSE),0%)</f>
        <v>0</v>
      </c>
      <c r="AKL6" s="179">
        <f>IFERROR(VLOOKUP(AKL$1,EliteIncome[[Ticker]:[Weight]],2,FALSE),0%)</f>
        <v>0</v>
      </c>
      <c r="AKM6" s="179">
        <f>IFERROR(VLOOKUP(AKM$1,EliteIncome[[Ticker]:[Weight]],2,FALSE),0%)</f>
        <v>0</v>
      </c>
      <c r="AKN6" s="179">
        <f>IFERROR(VLOOKUP(AKN$1,EliteIncome[[Ticker]:[Weight]],2,FALSE),0%)</f>
        <v>0</v>
      </c>
      <c r="AKO6" s="179">
        <f>IFERROR(VLOOKUP(AKO$1,EliteIncome[[Ticker]:[Weight]],2,FALSE),0%)</f>
        <v>0</v>
      </c>
      <c r="AKP6" s="179">
        <f>IFERROR(VLOOKUP(AKP$1,EliteIncome[[Ticker]:[Weight]],2,FALSE),0%)</f>
        <v>0</v>
      </c>
      <c r="AKQ6" s="179">
        <f>IFERROR(VLOOKUP(AKQ$1,EliteIncome[[Ticker]:[Weight]],2,FALSE),0%)</f>
        <v>0</v>
      </c>
      <c r="AKR6" s="179">
        <f>IFERROR(VLOOKUP(AKR$1,EliteIncome[[Ticker]:[Weight]],2,FALSE),0%)</f>
        <v>0</v>
      </c>
      <c r="AKS6" s="179">
        <f>IFERROR(VLOOKUP(AKS$1,EliteIncome[[Ticker]:[Weight]],2,FALSE),0%)</f>
        <v>0</v>
      </c>
      <c r="AKT6" s="179">
        <f>IFERROR(VLOOKUP(AKT$1,EliteIncome[[Ticker]:[Weight]],2,FALSE),0%)</f>
        <v>0</v>
      </c>
      <c r="AKU6" s="179">
        <f>IFERROR(VLOOKUP(AKU$1,EliteIncome[[Ticker]:[Weight]],2,FALSE),0%)</f>
        <v>0</v>
      </c>
      <c r="AKV6" s="179">
        <f>IFERROR(VLOOKUP(AKV$1,EliteIncome[[Ticker]:[Weight]],2,FALSE),0%)</f>
        <v>0</v>
      </c>
      <c r="AKW6" s="179">
        <f>IFERROR(VLOOKUP(AKW$1,EliteIncome[[Ticker]:[Weight]],2,FALSE),0%)</f>
        <v>0</v>
      </c>
      <c r="AKX6" s="179">
        <f>IFERROR(VLOOKUP(AKX$1,EliteIncome[[Ticker]:[Weight]],2,FALSE),0%)</f>
        <v>0</v>
      </c>
      <c r="AKY6" s="179">
        <f>IFERROR(VLOOKUP(AKY$1,EliteIncome[[Ticker]:[Weight]],2,FALSE),0%)</f>
        <v>0</v>
      </c>
      <c r="AKZ6" s="179">
        <f>IFERROR(VLOOKUP(AKZ$1,EliteIncome[[Ticker]:[Weight]],2,FALSE),0%)</f>
        <v>0</v>
      </c>
      <c r="ALA6" s="179">
        <f>IFERROR(VLOOKUP(ALA$1,EliteIncome[[Ticker]:[Weight]],2,FALSE),0%)</f>
        <v>0</v>
      </c>
      <c r="ALB6" s="179">
        <f>IFERROR(VLOOKUP(ALB$1,EliteIncome[[Ticker]:[Weight]],2,FALSE),0%)</f>
        <v>0</v>
      </c>
      <c r="ALC6" s="179">
        <f>IFERROR(VLOOKUP(ALC$1,EliteIncome[[Ticker]:[Weight]],2,FALSE),0%)</f>
        <v>0</v>
      </c>
      <c r="ALD6" s="179">
        <f>IFERROR(VLOOKUP(ALD$1,EliteIncome[[Ticker]:[Weight]],2,FALSE),0%)</f>
        <v>0</v>
      </c>
      <c r="ALE6" s="179">
        <f>IFERROR(VLOOKUP(ALE$1,EliteIncome[[Ticker]:[Weight]],2,FALSE),0%)</f>
        <v>0</v>
      </c>
      <c r="ALF6" s="179">
        <f>IFERROR(VLOOKUP(ALF$1,EliteIncome[[Ticker]:[Weight]],2,FALSE),0%)</f>
        <v>0</v>
      </c>
      <c r="ALG6" s="179">
        <f>IFERROR(VLOOKUP(ALG$1,EliteIncome[[Ticker]:[Weight]],2,FALSE),0%)</f>
        <v>0</v>
      </c>
      <c r="ALH6" s="179">
        <f>IFERROR(VLOOKUP(ALH$1,EliteIncome[[Ticker]:[Weight]],2,FALSE),0%)</f>
        <v>0</v>
      </c>
      <c r="ALI6" s="179">
        <f>IFERROR(VLOOKUP(ALI$1,EliteIncome[[Ticker]:[Weight]],2,FALSE),0%)</f>
        <v>0</v>
      </c>
      <c r="ALJ6" s="179">
        <f>IFERROR(VLOOKUP(ALJ$1,EliteIncome[[Ticker]:[Weight]],2,FALSE),0%)</f>
        <v>0</v>
      </c>
      <c r="ALK6" s="179">
        <f>IFERROR(VLOOKUP(ALK$1,EliteIncome[[Ticker]:[Weight]],2,FALSE),0%)</f>
        <v>0</v>
      </c>
      <c r="ALL6" s="179">
        <f>IFERROR(VLOOKUP(ALL$1,EliteIncome[[Ticker]:[Weight]],2,FALSE),0%)</f>
        <v>0</v>
      </c>
      <c r="ALM6" s="179">
        <f>IFERROR(VLOOKUP(ALM$1,EliteIncome[[Ticker]:[Weight]],2,FALSE),0%)</f>
        <v>0</v>
      </c>
      <c r="ALN6" s="179">
        <f>IFERROR(VLOOKUP(ALN$1,EliteIncome[[Ticker]:[Weight]],2,FALSE),0%)</f>
        <v>0</v>
      </c>
      <c r="ALO6" s="179">
        <f>IFERROR(VLOOKUP(ALO$1,EliteIncome[[Ticker]:[Weight]],2,FALSE),0%)</f>
        <v>0</v>
      </c>
      <c r="ALP6" s="179">
        <f>IFERROR(VLOOKUP(ALP$1,EliteIncome[[Ticker]:[Weight]],2,FALSE),0%)</f>
        <v>0</v>
      </c>
      <c r="ALQ6" s="179">
        <f>IFERROR(VLOOKUP(ALQ$1,EliteIncome[[Ticker]:[Weight]],2,FALSE),0%)</f>
        <v>0</v>
      </c>
      <c r="ALR6" s="179">
        <f>IFERROR(VLOOKUP(ALR$1,EliteIncome[[Ticker]:[Weight]],2,FALSE),0%)</f>
        <v>0</v>
      </c>
      <c r="ALS6" s="179">
        <f>IFERROR(VLOOKUP(ALS$1,EliteIncome[[Ticker]:[Weight]],2,FALSE),0%)</f>
        <v>0</v>
      </c>
      <c r="ALT6" s="179">
        <f>IFERROR(VLOOKUP(ALT$1,EliteIncome[[Ticker]:[Weight]],2,FALSE),0%)</f>
        <v>0</v>
      </c>
      <c r="ALU6" s="179">
        <f>IFERROR(VLOOKUP(ALU$1,EliteIncome[[Ticker]:[Weight]],2,FALSE),0%)</f>
        <v>0</v>
      </c>
      <c r="ALV6" s="179">
        <f>IFERROR(VLOOKUP(ALV$1,EliteIncome[[Ticker]:[Weight]],2,FALSE),0%)</f>
        <v>0</v>
      </c>
      <c r="ALW6" s="179">
        <f>IFERROR(VLOOKUP(ALW$1,EliteIncome[[Ticker]:[Weight]],2,FALSE),0%)</f>
        <v>0</v>
      </c>
      <c r="ALX6" s="179">
        <f>IFERROR(VLOOKUP(ALX$1,EliteIncome[[Ticker]:[Weight]],2,FALSE),0%)</f>
        <v>0</v>
      </c>
      <c r="ALY6" s="179">
        <f>IFERROR(VLOOKUP(ALY$1,EliteIncome[[Ticker]:[Weight]],2,FALSE),0%)</f>
        <v>0</v>
      </c>
      <c r="ALZ6" s="179">
        <f>IFERROR(VLOOKUP(ALZ$1,EliteIncome[[Ticker]:[Weight]],2,FALSE),0%)</f>
        <v>0</v>
      </c>
      <c r="AMA6" s="179">
        <f>IFERROR(VLOOKUP(AMA$1,EliteIncome[[Ticker]:[Weight]],2,FALSE),0%)</f>
        <v>0</v>
      </c>
      <c r="AMB6" s="179">
        <f>IFERROR(VLOOKUP(AMB$1,EliteIncome[[Ticker]:[Weight]],2,FALSE),0%)</f>
        <v>0</v>
      </c>
      <c r="AMC6" s="179">
        <f>IFERROR(VLOOKUP(AMC$1,EliteIncome[[Ticker]:[Weight]],2,FALSE),0%)</f>
        <v>0</v>
      </c>
      <c r="AMD6" s="179">
        <f>IFERROR(VLOOKUP(AMD$1,EliteIncome[[Ticker]:[Weight]],2,FALSE),0%)</f>
        <v>0</v>
      </c>
      <c r="AME6" s="179">
        <f>IFERROR(VLOOKUP(AME$1,EliteIncome[[Ticker]:[Weight]],2,FALSE),0%)</f>
        <v>0</v>
      </c>
      <c r="AMF6" s="179">
        <f>IFERROR(VLOOKUP(AMF$1,EliteIncome[[Ticker]:[Weight]],2,FALSE),0%)</f>
        <v>0</v>
      </c>
      <c r="AMG6" s="179">
        <f>IFERROR(VLOOKUP(AMG$1,EliteIncome[[Ticker]:[Weight]],2,FALSE),0%)</f>
        <v>0</v>
      </c>
      <c r="AMH6" s="179">
        <f>IFERROR(VLOOKUP(AMH$1,EliteIncome[[Ticker]:[Weight]],2,FALSE),0%)</f>
        <v>0</v>
      </c>
      <c r="AMI6" s="179">
        <f>IFERROR(VLOOKUP(AMI$1,EliteIncome[[Ticker]:[Weight]],2,FALSE),0%)</f>
        <v>0</v>
      </c>
      <c r="AMJ6" s="179">
        <f>IFERROR(VLOOKUP(AMJ$1,EliteIncome[[Ticker]:[Weight]],2,FALSE),0%)</f>
        <v>0</v>
      </c>
      <c r="AMK6" s="179">
        <f>IFERROR(VLOOKUP(AMK$1,EliteIncome[[Ticker]:[Weight]],2,FALSE),0%)</f>
        <v>0</v>
      </c>
      <c r="AML6" s="179">
        <f>IFERROR(VLOOKUP(AML$1,EliteIncome[[Ticker]:[Weight]],2,FALSE),0%)</f>
        <v>0</v>
      </c>
      <c r="AMM6" s="179">
        <f>IFERROR(VLOOKUP(AMM$1,EliteIncome[[Ticker]:[Weight]],2,FALSE),0%)</f>
        <v>0</v>
      </c>
      <c r="AMN6" s="179">
        <f>IFERROR(VLOOKUP(AMN$1,EliteIncome[[Ticker]:[Weight]],2,FALSE),0%)</f>
        <v>0</v>
      </c>
      <c r="AMO6" s="179">
        <f>IFERROR(VLOOKUP(AMO$1,EliteIncome[[Ticker]:[Weight]],2,FALSE),0%)</f>
        <v>0</v>
      </c>
      <c r="AMP6" s="179">
        <f>IFERROR(VLOOKUP(AMP$1,EliteIncome[[Ticker]:[Weight]],2,FALSE),0%)</f>
        <v>0</v>
      </c>
      <c r="AMQ6" s="179">
        <f>IFERROR(VLOOKUP(AMQ$1,EliteIncome[[Ticker]:[Weight]],2,FALSE),0%)</f>
        <v>0</v>
      </c>
      <c r="AMR6" s="179">
        <f>IFERROR(VLOOKUP(AMR$1,EliteIncome[[Ticker]:[Weight]],2,FALSE),0%)</f>
        <v>0</v>
      </c>
      <c r="AMS6" s="179">
        <f>IFERROR(VLOOKUP(AMS$1,EliteIncome[[Ticker]:[Weight]],2,FALSE),0%)</f>
        <v>0</v>
      </c>
      <c r="AMT6" s="179">
        <f>IFERROR(VLOOKUP(AMT$1,EliteIncome[[Ticker]:[Weight]],2,FALSE),0%)</f>
        <v>0</v>
      </c>
      <c r="AMU6" s="179">
        <f>IFERROR(VLOOKUP(AMU$1,EliteIncome[[Ticker]:[Weight]],2,FALSE),0%)</f>
        <v>0</v>
      </c>
      <c r="AMV6" s="179">
        <f>IFERROR(VLOOKUP(AMV$1,EliteIncome[[Ticker]:[Weight]],2,FALSE),0%)</f>
        <v>0</v>
      </c>
      <c r="AMW6" s="179">
        <f>IFERROR(VLOOKUP(AMW$1,EliteIncome[[Ticker]:[Weight]],2,FALSE),0%)</f>
        <v>0</v>
      </c>
      <c r="AMX6" s="179">
        <f>IFERROR(VLOOKUP(AMX$1,EliteIncome[[Ticker]:[Weight]],2,FALSE),0%)</f>
        <v>0</v>
      </c>
      <c r="AMY6" s="179">
        <f>IFERROR(VLOOKUP(AMY$1,EliteIncome[[Ticker]:[Weight]],2,FALSE),0%)</f>
        <v>0</v>
      </c>
      <c r="AMZ6" s="179">
        <f>IFERROR(VLOOKUP(AMZ$1,EliteIncome[[Ticker]:[Weight]],2,FALSE),0%)</f>
        <v>0</v>
      </c>
      <c r="ANA6" s="179">
        <f>IFERROR(VLOOKUP(ANA$1,EliteIncome[[Ticker]:[Weight]],2,FALSE),0%)</f>
        <v>0</v>
      </c>
      <c r="ANB6" s="179">
        <f>IFERROR(VLOOKUP(ANB$1,EliteIncome[[Ticker]:[Weight]],2,FALSE),0%)</f>
        <v>0</v>
      </c>
      <c r="ANC6" s="179">
        <f>IFERROR(VLOOKUP(ANC$1,EliteIncome[[Ticker]:[Weight]],2,FALSE),0%)</f>
        <v>0</v>
      </c>
      <c r="AND6" s="179">
        <f>IFERROR(VLOOKUP(AND$1,EliteIncome[[Ticker]:[Weight]],2,FALSE),0%)</f>
        <v>0</v>
      </c>
      <c r="ANE6" s="179">
        <f>IFERROR(VLOOKUP(ANE$1,EliteIncome[[Ticker]:[Weight]],2,FALSE),0%)</f>
        <v>0</v>
      </c>
      <c r="ANF6" s="179">
        <f>IFERROR(VLOOKUP(ANF$1,EliteIncome[[Ticker]:[Weight]],2,FALSE),0%)</f>
        <v>0</v>
      </c>
      <c r="ANG6" s="179">
        <f>IFERROR(VLOOKUP(ANG$1,EliteIncome[[Ticker]:[Weight]],2,FALSE),0%)</f>
        <v>0</v>
      </c>
      <c r="ANH6" s="179">
        <f>IFERROR(VLOOKUP(ANH$1,EliteIncome[[Ticker]:[Weight]],2,FALSE),0%)</f>
        <v>0</v>
      </c>
      <c r="ANI6" s="179">
        <f>IFERROR(VLOOKUP(ANI$1,EliteIncome[[Ticker]:[Weight]],2,FALSE),0%)</f>
        <v>0</v>
      </c>
      <c r="ANJ6" s="179">
        <f>IFERROR(VLOOKUP(ANJ$1,EliteIncome[[Ticker]:[Weight]],2,FALSE),0%)</f>
        <v>0</v>
      </c>
      <c r="ANK6" s="179">
        <f>IFERROR(VLOOKUP(ANK$1,EliteIncome[[Ticker]:[Weight]],2,FALSE),0%)</f>
        <v>0</v>
      </c>
      <c r="ANL6" s="179">
        <f>IFERROR(VLOOKUP(ANL$1,EliteIncome[[Ticker]:[Weight]],2,FALSE),0%)</f>
        <v>0</v>
      </c>
      <c r="ANM6" s="179">
        <f>IFERROR(VLOOKUP(ANM$1,EliteIncome[[Ticker]:[Weight]],2,FALSE),0%)</f>
        <v>0</v>
      </c>
      <c r="ANN6" s="179">
        <f>IFERROR(VLOOKUP(ANN$1,EliteIncome[[Ticker]:[Weight]],2,FALSE),0%)</f>
        <v>0</v>
      </c>
      <c r="ANO6" s="179">
        <f>IFERROR(VLOOKUP(ANO$1,EliteIncome[[Ticker]:[Weight]],2,FALSE),0%)</f>
        <v>0</v>
      </c>
      <c r="ANP6" s="179">
        <f>IFERROR(VLOOKUP(ANP$1,EliteIncome[[Ticker]:[Weight]],2,FALSE),0%)</f>
        <v>0</v>
      </c>
      <c r="ANQ6" s="179">
        <f>IFERROR(VLOOKUP(ANQ$1,EliteIncome[[Ticker]:[Weight]],2,FALSE),0%)</f>
        <v>0</v>
      </c>
      <c r="ANR6" s="179">
        <f>IFERROR(VLOOKUP(ANR$1,EliteIncome[[Ticker]:[Weight]],2,FALSE),0%)</f>
        <v>0</v>
      </c>
      <c r="ANS6" s="179">
        <f>IFERROR(VLOOKUP(ANS$1,EliteIncome[[Ticker]:[Weight]],2,FALSE),0%)</f>
        <v>0</v>
      </c>
      <c r="ANT6" s="179">
        <f>IFERROR(VLOOKUP(ANT$1,EliteIncome[[Ticker]:[Weight]],2,FALSE),0%)</f>
        <v>0</v>
      </c>
      <c r="ANU6" s="179">
        <f>IFERROR(VLOOKUP(ANU$1,EliteIncome[[Ticker]:[Weight]],2,FALSE),0%)</f>
        <v>0</v>
      </c>
      <c r="ANV6" s="179">
        <f>IFERROR(VLOOKUP(ANV$1,EliteIncome[[Ticker]:[Weight]],2,FALSE),0%)</f>
        <v>0</v>
      </c>
      <c r="ANW6" s="179">
        <f>IFERROR(VLOOKUP(ANW$1,EliteIncome[[Ticker]:[Weight]],2,FALSE),0%)</f>
        <v>0</v>
      </c>
      <c r="ANX6" s="179">
        <f>IFERROR(VLOOKUP(ANX$1,EliteIncome[[Ticker]:[Weight]],2,FALSE),0%)</f>
        <v>0</v>
      </c>
      <c r="ANY6" s="179">
        <f>IFERROR(VLOOKUP(ANY$1,EliteIncome[[Ticker]:[Weight]],2,FALSE),0%)</f>
        <v>0</v>
      </c>
      <c r="ANZ6" s="179">
        <f>IFERROR(VLOOKUP(ANZ$1,EliteIncome[[Ticker]:[Weight]],2,FALSE),0%)</f>
        <v>0</v>
      </c>
      <c r="AOA6" s="179">
        <f>IFERROR(VLOOKUP(AOA$1,EliteIncome[[Ticker]:[Weight]],2,FALSE),0%)</f>
        <v>0</v>
      </c>
      <c r="AOB6" s="179">
        <f>IFERROR(VLOOKUP(AOB$1,EliteIncome[[Ticker]:[Weight]],2,FALSE),0%)</f>
        <v>0</v>
      </c>
      <c r="AOC6" s="179">
        <f>IFERROR(VLOOKUP(AOC$1,EliteIncome[[Ticker]:[Weight]],2,FALSE),0%)</f>
        <v>0</v>
      </c>
      <c r="AOD6" s="179">
        <f>IFERROR(VLOOKUP(AOD$1,EliteIncome[[Ticker]:[Weight]],2,FALSE),0%)</f>
        <v>0</v>
      </c>
      <c r="AOE6" s="179">
        <f>IFERROR(VLOOKUP(AOE$1,EliteIncome[[Ticker]:[Weight]],2,FALSE),0%)</f>
        <v>0</v>
      </c>
      <c r="AOF6" s="179">
        <f>IFERROR(VLOOKUP(AOF$1,EliteIncome[[Ticker]:[Weight]],2,FALSE),0%)</f>
        <v>0</v>
      </c>
      <c r="AOG6" s="179">
        <f>IFERROR(VLOOKUP(AOG$1,EliteIncome[[Ticker]:[Weight]],2,FALSE),0%)</f>
        <v>0</v>
      </c>
      <c r="AOH6" s="179">
        <f>IFERROR(VLOOKUP(AOH$1,EliteIncome[[Ticker]:[Weight]],2,FALSE),0%)</f>
        <v>0</v>
      </c>
      <c r="AOI6" s="179">
        <f>IFERROR(VLOOKUP(AOI$1,EliteIncome[[Ticker]:[Weight]],2,FALSE),0%)</f>
        <v>0</v>
      </c>
      <c r="AOJ6" s="179">
        <f>IFERROR(VLOOKUP(AOJ$1,EliteIncome[[Ticker]:[Weight]],2,FALSE),0%)</f>
        <v>0</v>
      </c>
      <c r="AOK6" s="179">
        <f>IFERROR(VLOOKUP(AOK$1,EliteIncome[[Ticker]:[Weight]],2,FALSE),0%)</f>
        <v>0</v>
      </c>
      <c r="AOL6" s="179">
        <f>IFERROR(VLOOKUP(AOL$1,EliteIncome[[Ticker]:[Weight]],2,FALSE),0%)</f>
        <v>0</v>
      </c>
      <c r="AOM6" s="179">
        <f>IFERROR(VLOOKUP(AOM$1,EliteIncome[[Ticker]:[Weight]],2,FALSE),0%)</f>
        <v>0</v>
      </c>
      <c r="AON6" s="179">
        <f>IFERROR(VLOOKUP(AON$1,EliteIncome[[Ticker]:[Weight]],2,FALSE),0%)</f>
        <v>0</v>
      </c>
      <c r="AOO6" s="179">
        <f>IFERROR(VLOOKUP(AOO$1,EliteIncome[[Ticker]:[Weight]],2,FALSE),0%)</f>
        <v>0</v>
      </c>
      <c r="AOP6" s="179">
        <f>IFERROR(VLOOKUP(AOP$1,EliteIncome[[Ticker]:[Weight]],2,FALSE),0%)</f>
        <v>0</v>
      </c>
      <c r="AOQ6" s="179">
        <f>IFERROR(VLOOKUP(AOQ$1,EliteIncome[[Ticker]:[Weight]],2,FALSE),0%)</f>
        <v>0</v>
      </c>
      <c r="AOR6" s="179">
        <f>IFERROR(VLOOKUP(AOR$1,EliteIncome[[Ticker]:[Weight]],2,FALSE),0%)</f>
        <v>0</v>
      </c>
      <c r="AOS6" s="179">
        <f>IFERROR(VLOOKUP(AOS$1,EliteIncome[[Ticker]:[Weight]],2,FALSE),0%)</f>
        <v>0</v>
      </c>
      <c r="AOT6" s="179">
        <f>IFERROR(VLOOKUP(AOT$1,EliteIncome[[Ticker]:[Weight]],2,FALSE),0%)</f>
        <v>0</v>
      </c>
      <c r="AOU6" s="179">
        <f>IFERROR(VLOOKUP(AOU$1,EliteIncome[[Ticker]:[Weight]],2,FALSE),0%)</f>
        <v>0</v>
      </c>
      <c r="AOV6" s="179">
        <f>IFERROR(VLOOKUP(AOV$1,EliteIncome[[Ticker]:[Weight]],2,FALSE),0%)</f>
        <v>0</v>
      </c>
      <c r="AOW6" s="179">
        <f>IFERROR(VLOOKUP(AOW$1,EliteIncome[[Ticker]:[Weight]],2,FALSE),0%)</f>
        <v>0</v>
      </c>
      <c r="AOX6" s="179">
        <f>IFERROR(VLOOKUP(AOX$1,EliteIncome[[Ticker]:[Weight]],2,FALSE),0%)</f>
        <v>0</v>
      </c>
      <c r="AOY6" s="179">
        <f>IFERROR(VLOOKUP(AOY$1,EliteIncome[[Ticker]:[Weight]],2,FALSE),0%)</f>
        <v>0</v>
      </c>
      <c r="AOZ6" s="179">
        <f>IFERROR(VLOOKUP(AOZ$1,EliteIncome[[Ticker]:[Weight]],2,FALSE),0%)</f>
        <v>0</v>
      </c>
      <c r="APA6" s="179">
        <f>IFERROR(VLOOKUP(APA$1,EliteIncome[[Ticker]:[Weight]],2,FALSE),0%)</f>
        <v>0</v>
      </c>
      <c r="APB6" s="179">
        <f>IFERROR(VLOOKUP(APB$1,EliteIncome[[Ticker]:[Weight]],2,FALSE),0%)</f>
        <v>0</v>
      </c>
      <c r="APC6" s="179">
        <f>IFERROR(VLOOKUP(APC$1,EliteIncome[[Ticker]:[Weight]],2,FALSE),0%)</f>
        <v>0</v>
      </c>
      <c r="APD6" s="179">
        <f>IFERROR(VLOOKUP(APD$1,EliteIncome[[Ticker]:[Weight]],2,FALSE),0%)</f>
        <v>0</v>
      </c>
      <c r="APE6" s="179">
        <f>IFERROR(VLOOKUP(APE$1,EliteIncome[[Ticker]:[Weight]],2,FALSE),0%)</f>
        <v>0</v>
      </c>
      <c r="APF6" s="179">
        <f>IFERROR(VLOOKUP(APF$1,EliteIncome[[Ticker]:[Weight]],2,FALSE),0%)</f>
        <v>0</v>
      </c>
      <c r="APG6" s="179">
        <f>IFERROR(VLOOKUP(APG$1,EliteIncome[[Ticker]:[Weight]],2,FALSE),0%)</f>
        <v>0</v>
      </c>
      <c r="APH6" s="179">
        <f>IFERROR(VLOOKUP(APH$1,EliteIncome[[Ticker]:[Weight]],2,FALSE),0%)</f>
        <v>0</v>
      </c>
      <c r="API6" s="179">
        <f>IFERROR(VLOOKUP(API$1,EliteIncome[[Ticker]:[Weight]],2,FALSE),0%)</f>
        <v>0</v>
      </c>
      <c r="APJ6" s="179">
        <f>IFERROR(VLOOKUP(APJ$1,EliteIncome[[Ticker]:[Weight]],2,FALSE),0%)</f>
        <v>0</v>
      </c>
      <c r="APK6" s="179">
        <f>IFERROR(VLOOKUP(APK$1,EliteIncome[[Ticker]:[Weight]],2,FALSE),0%)</f>
        <v>0</v>
      </c>
      <c r="APL6" s="179">
        <f>IFERROR(VLOOKUP(APL$1,EliteIncome[[Ticker]:[Weight]],2,FALSE),0%)</f>
        <v>0</v>
      </c>
      <c r="APM6" s="179">
        <f>IFERROR(VLOOKUP(APM$1,EliteIncome[[Ticker]:[Weight]],2,FALSE),0%)</f>
        <v>0</v>
      </c>
      <c r="APN6" s="179">
        <f>IFERROR(VLOOKUP(APN$1,EliteIncome[[Ticker]:[Weight]],2,FALSE),0%)</f>
        <v>0</v>
      </c>
      <c r="APO6" s="179">
        <f>IFERROR(VLOOKUP(APO$1,EliteIncome[[Ticker]:[Weight]],2,FALSE),0%)</f>
        <v>0</v>
      </c>
      <c r="APP6" s="179">
        <f>IFERROR(VLOOKUP(APP$1,EliteIncome[[Ticker]:[Weight]],2,FALSE),0%)</f>
        <v>0</v>
      </c>
      <c r="APQ6" s="179">
        <f>IFERROR(VLOOKUP(APQ$1,EliteIncome[[Ticker]:[Weight]],2,FALSE),0%)</f>
        <v>0</v>
      </c>
      <c r="APR6" s="179">
        <f>IFERROR(VLOOKUP(APR$1,EliteIncome[[Ticker]:[Weight]],2,FALSE),0%)</f>
        <v>0</v>
      </c>
      <c r="APS6" s="179">
        <f>IFERROR(VLOOKUP(APS$1,EliteIncome[[Ticker]:[Weight]],2,FALSE),0%)</f>
        <v>0</v>
      </c>
      <c r="APT6" s="179">
        <f>IFERROR(VLOOKUP(APT$1,EliteIncome[[Ticker]:[Weight]],2,FALSE),0%)</f>
        <v>0</v>
      </c>
      <c r="APU6" s="179">
        <f>IFERROR(VLOOKUP(APU$1,EliteIncome[[Ticker]:[Weight]],2,FALSE),0%)</f>
        <v>0</v>
      </c>
      <c r="APV6" s="179">
        <f>IFERROR(VLOOKUP(APV$1,EliteIncome[[Ticker]:[Weight]],2,FALSE),0%)</f>
        <v>0</v>
      </c>
      <c r="APW6" s="179">
        <f>IFERROR(VLOOKUP(APW$1,EliteIncome[[Ticker]:[Weight]],2,FALSE),0%)</f>
        <v>0</v>
      </c>
      <c r="APX6" s="179">
        <f>IFERROR(VLOOKUP(APX$1,EliteIncome[[Ticker]:[Weight]],2,FALSE),0%)</f>
        <v>0</v>
      </c>
      <c r="APY6" s="179">
        <f>IFERROR(VLOOKUP(APY$1,EliteIncome[[Ticker]:[Weight]],2,FALSE),0%)</f>
        <v>0</v>
      </c>
      <c r="APZ6" s="179">
        <f>IFERROR(VLOOKUP(APZ$1,EliteIncome[[Ticker]:[Weight]],2,FALSE),0%)</f>
        <v>0</v>
      </c>
      <c r="AQA6" s="179">
        <f>IFERROR(VLOOKUP(AQA$1,EliteIncome[[Ticker]:[Weight]],2,FALSE),0%)</f>
        <v>0</v>
      </c>
      <c r="AQB6" s="179">
        <f>IFERROR(VLOOKUP(AQB$1,EliteIncome[[Ticker]:[Weight]],2,FALSE),0%)</f>
        <v>0</v>
      </c>
      <c r="AQC6" s="179">
        <f>IFERROR(VLOOKUP(AQC$1,EliteIncome[[Ticker]:[Weight]],2,FALSE),0%)</f>
        <v>0</v>
      </c>
      <c r="AQD6" s="179">
        <f>IFERROR(VLOOKUP(AQD$1,EliteIncome[[Ticker]:[Weight]],2,FALSE),0%)</f>
        <v>0</v>
      </c>
      <c r="AQE6" s="179">
        <f>IFERROR(VLOOKUP(AQE$1,EliteIncome[[Ticker]:[Weight]],2,FALSE),0%)</f>
        <v>0</v>
      </c>
      <c r="AQF6" s="179">
        <f>IFERROR(VLOOKUP(AQF$1,EliteIncome[[Ticker]:[Weight]],2,FALSE),0%)</f>
        <v>0</v>
      </c>
      <c r="AQG6" s="179">
        <f>IFERROR(VLOOKUP(AQG$1,EliteIncome[[Ticker]:[Weight]],2,FALSE),0%)</f>
        <v>0</v>
      </c>
      <c r="AQH6" s="179">
        <f>IFERROR(VLOOKUP(AQH$1,EliteIncome[[Ticker]:[Weight]],2,FALSE),0%)</f>
        <v>0</v>
      </c>
      <c r="AQI6" s="179">
        <f>IFERROR(VLOOKUP(AQI$1,EliteIncome[[Ticker]:[Weight]],2,FALSE),0%)</f>
        <v>0</v>
      </c>
      <c r="AQJ6" s="179">
        <f>IFERROR(VLOOKUP(AQJ$1,EliteIncome[[Ticker]:[Weight]],2,FALSE),0%)</f>
        <v>0</v>
      </c>
      <c r="AQK6" s="179">
        <f>IFERROR(VLOOKUP(AQK$1,EliteIncome[[Ticker]:[Weight]],2,FALSE),0%)</f>
        <v>0</v>
      </c>
      <c r="AQL6" s="179">
        <f>IFERROR(VLOOKUP(AQL$1,EliteIncome[[Ticker]:[Weight]],2,FALSE),0%)</f>
        <v>0</v>
      </c>
      <c r="AQM6" s="179">
        <f>IFERROR(VLOOKUP(AQM$1,EliteIncome[[Ticker]:[Weight]],2,FALSE),0%)</f>
        <v>0</v>
      </c>
      <c r="AQN6" s="179">
        <f>IFERROR(VLOOKUP(AQN$1,EliteIncome[[Ticker]:[Weight]],2,FALSE),0%)</f>
        <v>0</v>
      </c>
      <c r="AQO6" s="179">
        <f>IFERROR(VLOOKUP(AQO$1,EliteIncome[[Ticker]:[Weight]],2,FALSE),0%)</f>
        <v>0</v>
      </c>
      <c r="AQP6" s="179">
        <f>IFERROR(VLOOKUP(AQP$1,EliteIncome[[Ticker]:[Weight]],2,FALSE),0%)</f>
        <v>0</v>
      </c>
      <c r="AQQ6" s="179">
        <f>IFERROR(VLOOKUP(AQQ$1,EliteIncome[[Ticker]:[Weight]],2,FALSE),0%)</f>
        <v>0</v>
      </c>
      <c r="AQR6" s="179">
        <f>IFERROR(VLOOKUP(AQR$1,EliteIncome[[Ticker]:[Weight]],2,FALSE),0%)</f>
        <v>0</v>
      </c>
      <c r="AQS6" s="179">
        <f>IFERROR(VLOOKUP(AQS$1,EliteIncome[[Ticker]:[Weight]],2,FALSE),0%)</f>
        <v>0</v>
      </c>
      <c r="AQT6" s="179">
        <f>IFERROR(VLOOKUP(AQT$1,EliteIncome[[Ticker]:[Weight]],2,FALSE),0%)</f>
        <v>0</v>
      </c>
      <c r="AQU6" s="179">
        <f>IFERROR(VLOOKUP(AQU$1,EliteIncome[[Ticker]:[Weight]],2,FALSE),0%)</f>
        <v>0</v>
      </c>
      <c r="AQV6" s="179">
        <f>IFERROR(VLOOKUP(AQV$1,EliteIncome[[Ticker]:[Weight]],2,FALSE),0%)</f>
        <v>0</v>
      </c>
      <c r="AQW6" s="179">
        <f>IFERROR(VLOOKUP(AQW$1,EliteIncome[[Ticker]:[Weight]],2,FALSE),0%)</f>
        <v>0</v>
      </c>
      <c r="AQX6" s="179">
        <f>IFERROR(VLOOKUP(AQX$1,EliteIncome[[Ticker]:[Weight]],2,FALSE),0%)</f>
        <v>0</v>
      </c>
      <c r="AQY6" s="179">
        <f>IFERROR(VLOOKUP(AQY$1,EliteIncome[[Ticker]:[Weight]],2,FALSE),0%)</f>
        <v>0</v>
      </c>
      <c r="AQZ6" s="179">
        <f>IFERROR(VLOOKUP(AQZ$1,EliteIncome[[Ticker]:[Weight]],2,FALSE),0%)</f>
        <v>0</v>
      </c>
      <c r="ARA6" s="179">
        <f>IFERROR(VLOOKUP(ARA$1,EliteIncome[[Ticker]:[Weight]],2,FALSE),0%)</f>
        <v>0</v>
      </c>
      <c r="ARB6" s="179">
        <f>IFERROR(VLOOKUP(ARB$1,EliteIncome[[Ticker]:[Weight]],2,FALSE),0%)</f>
        <v>0</v>
      </c>
      <c r="ARC6" s="179">
        <f>IFERROR(VLOOKUP(ARC$1,EliteIncome[[Ticker]:[Weight]],2,FALSE),0%)</f>
        <v>0</v>
      </c>
      <c r="ARD6" s="179">
        <f>IFERROR(VLOOKUP(ARD$1,EliteIncome[[Ticker]:[Weight]],2,FALSE),0%)</f>
        <v>0</v>
      </c>
      <c r="ARE6" s="179">
        <f>IFERROR(VLOOKUP(ARE$1,EliteIncome[[Ticker]:[Weight]],2,FALSE),0%)</f>
        <v>0</v>
      </c>
      <c r="ARF6" s="179">
        <f>IFERROR(VLOOKUP(ARF$1,EliteIncome[[Ticker]:[Weight]],2,FALSE),0%)</f>
        <v>0</v>
      </c>
      <c r="ARG6" s="179">
        <f>IFERROR(VLOOKUP(ARG$1,EliteIncome[[Ticker]:[Weight]],2,FALSE),0%)</f>
        <v>0</v>
      </c>
      <c r="ARH6" s="179">
        <f>IFERROR(VLOOKUP(ARH$1,EliteIncome[[Ticker]:[Weight]],2,FALSE),0%)</f>
        <v>0</v>
      </c>
      <c r="ARI6" s="179">
        <f>IFERROR(VLOOKUP(ARI$1,EliteIncome[[Ticker]:[Weight]],2,FALSE),0%)</f>
        <v>0</v>
      </c>
      <c r="ARJ6" s="179">
        <f>IFERROR(VLOOKUP(ARJ$1,EliteIncome[[Ticker]:[Weight]],2,FALSE),0%)</f>
        <v>0</v>
      </c>
      <c r="ARK6" s="179">
        <f>IFERROR(VLOOKUP(ARK$1,EliteIncome[[Ticker]:[Weight]],2,FALSE),0%)</f>
        <v>0</v>
      </c>
      <c r="ARL6" s="179">
        <f>IFERROR(VLOOKUP(ARL$1,EliteIncome[[Ticker]:[Weight]],2,FALSE),0%)</f>
        <v>0</v>
      </c>
      <c r="ARM6" s="179">
        <f>IFERROR(VLOOKUP(ARM$1,EliteIncome[[Ticker]:[Weight]],2,FALSE),0%)</f>
        <v>0</v>
      </c>
      <c r="ARN6" s="179">
        <f>IFERROR(VLOOKUP(ARN$1,EliteIncome[[Ticker]:[Weight]],2,FALSE),0%)</f>
        <v>0</v>
      </c>
      <c r="ARO6" s="179">
        <f>IFERROR(VLOOKUP(ARO$1,EliteIncome[[Ticker]:[Weight]],2,FALSE),0%)</f>
        <v>0</v>
      </c>
      <c r="ARP6" s="179">
        <f>IFERROR(VLOOKUP(ARP$1,EliteIncome[[Ticker]:[Weight]],2,FALSE),0%)</f>
        <v>0</v>
      </c>
      <c r="ARQ6" s="179">
        <f>IFERROR(VLOOKUP(ARQ$1,EliteIncome[[Ticker]:[Weight]],2,FALSE),0%)</f>
        <v>0</v>
      </c>
      <c r="ARR6" s="179">
        <f>IFERROR(VLOOKUP(ARR$1,EliteIncome[[Ticker]:[Weight]],2,FALSE),0%)</f>
        <v>0</v>
      </c>
      <c r="ARS6" s="179">
        <f>IFERROR(VLOOKUP(ARS$1,EliteIncome[[Ticker]:[Weight]],2,FALSE),0%)</f>
        <v>0</v>
      </c>
      <c r="ART6" s="179">
        <f>IFERROR(VLOOKUP(ART$1,EliteIncome[[Ticker]:[Weight]],2,FALSE),0%)</f>
        <v>0</v>
      </c>
      <c r="ARU6" s="179">
        <f>IFERROR(VLOOKUP(ARU$1,EliteIncome[[Ticker]:[Weight]],2,FALSE),0%)</f>
        <v>0</v>
      </c>
      <c r="ARV6" s="179">
        <f>IFERROR(VLOOKUP(ARV$1,EliteIncome[[Ticker]:[Weight]],2,FALSE),0%)</f>
        <v>0</v>
      </c>
      <c r="ARW6" s="179">
        <f>IFERROR(VLOOKUP(ARW$1,EliteIncome[[Ticker]:[Weight]],2,FALSE),0%)</f>
        <v>0</v>
      </c>
      <c r="ARX6" s="179">
        <f>IFERROR(VLOOKUP(ARX$1,EliteIncome[[Ticker]:[Weight]],2,FALSE),0%)</f>
        <v>0</v>
      </c>
      <c r="ARY6" s="179">
        <f>IFERROR(VLOOKUP(ARY$1,EliteIncome[[Ticker]:[Weight]],2,FALSE),0%)</f>
        <v>0</v>
      </c>
      <c r="ARZ6" s="179">
        <f>IFERROR(VLOOKUP(ARZ$1,EliteIncome[[Ticker]:[Weight]],2,FALSE),0%)</f>
        <v>0</v>
      </c>
      <c r="ASA6" s="179">
        <f>IFERROR(VLOOKUP(ASA$1,EliteIncome[[Ticker]:[Weight]],2,FALSE),0%)</f>
        <v>0</v>
      </c>
      <c r="ASB6" s="179">
        <f>IFERROR(VLOOKUP(ASB$1,EliteIncome[[Ticker]:[Weight]],2,FALSE),0%)</f>
        <v>0</v>
      </c>
      <c r="ASC6" s="179">
        <f>IFERROR(VLOOKUP(ASC$1,EliteIncome[[Ticker]:[Weight]],2,FALSE),0%)</f>
        <v>0</v>
      </c>
      <c r="ASD6" s="179">
        <f>IFERROR(VLOOKUP(ASD$1,EliteIncome[[Ticker]:[Weight]],2,FALSE),0%)</f>
        <v>0</v>
      </c>
      <c r="ASE6" s="179">
        <f>IFERROR(VLOOKUP(ASE$1,EliteIncome[[Ticker]:[Weight]],2,FALSE),0%)</f>
        <v>0</v>
      </c>
      <c r="ASF6" s="179">
        <f>IFERROR(VLOOKUP(ASF$1,EliteIncome[[Ticker]:[Weight]],2,FALSE),0%)</f>
        <v>0</v>
      </c>
      <c r="ASG6" s="179">
        <f>IFERROR(VLOOKUP(ASG$1,EliteIncome[[Ticker]:[Weight]],2,FALSE),0%)</f>
        <v>0</v>
      </c>
      <c r="ASH6" s="179">
        <f>IFERROR(VLOOKUP(ASH$1,EliteIncome[[Ticker]:[Weight]],2,FALSE),0%)</f>
        <v>0</v>
      </c>
      <c r="ASI6" s="179">
        <f>IFERROR(VLOOKUP(ASI$1,EliteIncome[[Ticker]:[Weight]],2,FALSE),0%)</f>
        <v>0</v>
      </c>
      <c r="ASJ6" s="179">
        <f>IFERROR(VLOOKUP(ASJ$1,EliteIncome[[Ticker]:[Weight]],2,FALSE),0%)</f>
        <v>0</v>
      </c>
      <c r="ASK6" s="179">
        <f>IFERROR(VLOOKUP(ASK$1,EliteIncome[[Ticker]:[Weight]],2,FALSE),0%)</f>
        <v>0</v>
      </c>
      <c r="ASL6" s="179">
        <f>IFERROR(VLOOKUP(ASL$1,EliteIncome[[Ticker]:[Weight]],2,FALSE),0%)</f>
        <v>0</v>
      </c>
      <c r="ASM6" s="179">
        <f>IFERROR(VLOOKUP(ASM$1,EliteIncome[[Ticker]:[Weight]],2,FALSE),0%)</f>
        <v>0</v>
      </c>
      <c r="ASN6" s="179">
        <f>IFERROR(VLOOKUP(ASN$1,EliteIncome[[Ticker]:[Weight]],2,FALSE),0%)</f>
        <v>0</v>
      </c>
      <c r="ASO6" s="179">
        <f>IFERROR(VLOOKUP(ASO$1,EliteIncome[[Ticker]:[Weight]],2,FALSE),0%)</f>
        <v>0</v>
      </c>
      <c r="ASP6" s="179">
        <f>IFERROR(VLOOKUP(ASP$1,EliteIncome[[Ticker]:[Weight]],2,FALSE),0%)</f>
        <v>0</v>
      </c>
      <c r="ASQ6" s="179">
        <f>IFERROR(VLOOKUP(ASQ$1,EliteIncome[[Ticker]:[Weight]],2,FALSE),0%)</f>
        <v>0</v>
      </c>
      <c r="ASR6" s="179">
        <f>IFERROR(VLOOKUP(ASR$1,EliteIncome[[Ticker]:[Weight]],2,FALSE),0%)</f>
        <v>0</v>
      </c>
      <c r="ASS6" s="179">
        <f>IFERROR(VLOOKUP(ASS$1,EliteIncome[[Ticker]:[Weight]],2,FALSE),0%)</f>
        <v>0</v>
      </c>
      <c r="AST6" s="179">
        <f>IFERROR(VLOOKUP(AST$1,EliteIncome[[Ticker]:[Weight]],2,FALSE),0%)</f>
        <v>0</v>
      </c>
      <c r="ASU6" s="179">
        <f>IFERROR(VLOOKUP(ASU$1,EliteIncome[[Ticker]:[Weight]],2,FALSE),0%)</f>
        <v>0</v>
      </c>
      <c r="ASV6" s="179">
        <f>IFERROR(VLOOKUP(ASV$1,EliteIncome[[Ticker]:[Weight]],2,FALSE),0%)</f>
        <v>0</v>
      </c>
      <c r="ASW6" s="179">
        <f>IFERROR(VLOOKUP(ASW$1,EliteIncome[[Ticker]:[Weight]],2,FALSE),0%)</f>
        <v>0</v>
      </c>
      <c r="ASX6" s="179">
        <f>IFERROR(VLOOKUP(ASX$1,EliteIncome[[Ticker]:[Weight]],2,FALSE),0%)</f>
        <v>0</v>
      </c>
      <c r="ASY6" s="179">
        <f>IFERROR(VLOOKUP(ASY$1,EliteIncome[[Ticker]:[Weight]],2,FALSE),0%)</f>
        <v>0</v>
      </c>
      <c r="ASZ6" s="179">
        <f>IFERROR(VLOOKUP(ASZ$1,EliteIncome[[Ticker]:[Weight]],2,FALSE),0%)</f>
        <v>0</v>
      </c>
      <c r="ATA6" s="179">
        <f>IFERROR(VLOOKUP(ATA$1,EliteIncome[[Ticker]:[Weight]],2,FALSE),0%)</f>
        <v>0</v>
      </c>
      <c r="ATB6" s="179">
        <f>IFERROR(VLOOKUP(ATB$1,EliteIncome[[Ticker]:[Weight]],2,FALSE),0%)</f>
        <v>0</v>
      </c>
      <c r="ATC6" s="179">
        <f>IFERROR(VLOOKUP(ATC$1,EliteIncome[[Ticker]:[Weight]],2,FALSE),0%)</f>
        <v>0</v>
      </c>
      <c r="ATD6" s="179">
        <f>IFERROR(VLOOKUP(ATD$1,EliteIncome[[Ticker]:[Weight]],2,FALSE),0%)</f>
        <v>0</v>
      </c>
      <c r="ATE6" s="179">
        <f>IFERROR(VLOOKUP(ATE$1,EliteIncome[[Ticker]:[Weight]],2,FALSE),0%)</f>
        <v>0</v>
      </c>
      <c r="ATF6" s="179">
        <f>IFERROR(VLOOKUP(ATF$1,EliteIncome[[Ticker]:[Weight]],2,FALSE),0%)</f>
        <v>0</v>
      </c>
      <c r="ATG6" s="179">
        <f>IFERROR(VLOOKUP(ATG$1,EliteIncome[[Ticker]:[Weight]],2,FALSE),0%)</f>
        <v>0</v>
      </c>
      <c r="ATH6" s="179">
        <f>IFERROR(VLOOKUP(ATH$1,EliteIncome[[Ticker]:[Weight]],2,FALSE),0%)</f>
        <v>0</v>
      </c>
      <c r="ATI6" s="179">
        <f>IFERROR(VLOOKUP(ATI$1,EliteIncome[[Ticker]:[Weight]],2,FALSE),0%)</f>
        <v>0</v>
      </c>
      <c r="ATJ6" s="179">
        <f>IFERROR(VLOOKUP(ATJ$1,EliteIncome[[Ticker]:[Weight]],2,FALSE),0%)</f>
        <v>0</v>
      </c>
      <c r="ATK6" s="179">
        <f>IFERROR(VLOOKUP(ATK$1,EliteIncome[[Ticker]:[Weight]],2,FALSE),0%)</f>
        <v>0</v>
      </c>
      <c r="ATL6" s="179">
        <f>IFERROR(VLOOKUP(ATL$1,EliteIncome[[Ticker]:[Weight]],2,FALSE),0%)</f>
        <v>0</v>
      </c>
      <c r="ATM6" s="179">
        <f>IFERROR(VLOOKUP(ATM$1,EliteIncome[[Ticker]:[Weight]],2,FALSE),0%)</f>
        <v>0</v>
      </c>
      <c r="ATN6" s="179">
        <f>IFERROR(VLOOKUP(ATN$1,EliteIncome[[Ticker]:[Weight]],2,FALSE),0%)</f>
        <v>0</v>
      </c>
      <c r="ATO6" s="179">
        <f>IFERROR(VLOOKUP(ATO$1,EliteIncome[[Ticker]:[Weight]],2,FALSE),0%)</f>
        <v>0</v>
      </c>
      <c r="ATP6" s="179">
        <f>IFERROR(VLOOKUP(ATP$1,EliteIncome[[Ticker]:[Weight]],2,FALSE),0%)</f>
        <v>0</v>
      </c>
      <c r="ATQ6" s="179">
        <f>IFERROR(VLOOKUP(ATQ$1,EliteIncome[[Ticker]:[Weight]],2,FALSE),0%)</f>
        <v>0</v>
      </c>
      <c r="ATR6" s="179">
        <f>IFERROR(VLOOKUP(ATR$1,EliteIncome[[Ticker]:[Weight]],2,FALSE),0%)</f>
        <v>0</v>
      </c>
      <c r="ATS6" s="179">
        <f>IFERROR(VLOOKUP(ATS$1,EliteIncome[[Ticker]:[Weight]],2,FALSE),0%)</f>
        <v>0</v>
      </c>
      <c r="ATT6" s="179">
        <f>IFERROR(VLOOKUP(ATT$1,EliteIncome[[Ticker]:[Weight]],2,FALSE),0%)</f>
        <v>0</v>
      </c>
      <c r="ATU6" s="179">
        <f>IFERROR(VLOOKUP(ATU$1,EliteIncome[[Ticker]:[Weight]],2,FALSE),0%)</f>
        <v>0</v>
      </c>
      <c r="ATV6" s="179">
        <f>IFERROR(VLOOKUP(ATV$1,EliteIncome[[Ticker]:[Weight]],2,FALSE),0%)</f>
        <v>0</v>
      </c>
      <c r="ATW6" s="179">
        <f>IFERROR(VLOOKUP(ATW$1,EliteIncome[[Ticker]:[Weight]],2,FALSE),0%)</f>
        <v>0</v>
      </c>
      <c r="ATX6" s="179">
        <f>IFERROR(VLOOKUP(ATX$1,EliteIncome[[Ticker]:[Weight]],2,FALSE),0%)</f>
        <v>0</v>
      </c>
      <c r="ATY6" s="179">
        <f>IFERROR(VLOOKUP(ATY$1,EliteIncome[[Ticker]:[Weight]],2,FALSE),0%)</f>
        <v>0</v>
      </c>
      <c r="ATZ6" s="179">
        <f>IFERROR(VLOOKUP(ATZ$1,EliteIncome[[Ticker]:[Weight]],2,FALSE),0%)</f>
        <v>0</v>
      </c>
      <c r="AUA6" s="179">
        <f>IFERROR(VLOOKUP(AUA$1,EliteIncome[[Ticker]:[Weight]],2,FALSE),0%)</f>
        <v>0</v>
      </c>
      <c r="AUB6" s="179">
        <f>IFERROR(VLOOKUP(AUB$1,EliteIncome[[Ticker]:[Weight]],2,FALSE),0%)</f>
        <v>0</v>
      </c>
      <c r="AUC6" s="179">
        <f>IFERROR(VLOOKUP(AUC$1,EliteIncome[[Ticker]:[Weight]],2,FALSE),0%)</f>
        <v>0</v>
      </c>
      <c r="AUD6" s="179">
        <f>IFERROR(VLOOKUP(AUD$1,EliteIncome[[Ticker]:[Weight]],2,FALSE),0%)</f>
        <v>0</v>
      </c>
      <c r="AUE6" s="179">
        <f>IFERROR(VLOOKUP(AUE$1,EliteIncome[[Ticker]:[Weight]],2,FALSE),0%)</f>
        <v>0</v>
      </c>
      <c r="AUF6" s="179">
        <f>IFERROR(VLOOKUP(AUF$1,EliteIncome[[Ticker]:[Weight]],2,FALSE),0%)</f>
        <v>0</v>
      </c>
      <c r="AUG6" s="179">
        <f>IFERROR(VLOOKUP(AUG$1,EliteIncome[[Ticker]:[Weight]],2,FALSE),0%)</f>
        <v>0</v>
      </c>
      <c r="AUH6" s="179">
        <f>IFERROR(VLOOKUP(AUH$1,EliteIncome[[Ticker]:[Weight]],2,FALSE),0%)</f>
        <v>0</v>
      </c>
      <c r="AUI6" s="179">
        <f>IFERROR(VLOOKUP(AUI$1,EliteIncome[[Ticker]:[Weight]],2,FALSE),0%)</f>
        <v>0</v>
      </c>
      <c r="AUJ6" s="179">
        <f>IFERROR(VLOOKUP(AUJ$1,EliteIncome[[Ticker]:[Weight]],2,FALSE),0%)</f>
        <v>0</v>
      </c>
      <c r="AUK6" s="179">
        <f>IFERROR(VLOOKUP(AUK$1,EliteIncome[[Ticker]:[Weight]],2,FALSE),0%)</f>
        <v>0</v>
      </c>
      <c r="AUL6" s="179">
        <f>IFERROR(VLOOKUP(AUL$1,EliteIncome[[Ticker]:[Weight]],2,FALSE),0%)</f>
        <v>0</v>
      </c>
      <c r="AUM6" s="179">
        <f>IFERROR(VLOOKUP(AUM$1,EliteIncome[[Ticker]:[Weight]],2,FALSE),0%)</f>
        <v>0</v>
      </c>
      <c r="AUN6" s="179">
        <f>IFERROR(VLOOKUP(AUN$1,EliteIncome[[Ticker]:[Weight]],2,FALSE),0%)</f>
        <v>0</v>
      </c>
      <c r="AUO6" s="179">
        <f>IFERROR(VLOOKUP(AUO$1,EliteIncome[[Ticker]:[Weight]],2,FALSE),0%)</f>
        <v>0</v>
      </c>
      <c r="AUP6" s="179">
        <f>IFERROR(VLOOKUP(AUP$1,EliteIncome[[Ticker]:[Weight]],2,FALSE),0%)</f>
        <v>0</v>
      </c>
      <c r="AUQ6" s="179">
        <f>IFERROR(VLOOKUP(AUQ$1,EliteIncome[[Ticker]:[Weight]],2,FALSE),0%)</f>
        <v>0</v>
      </c>
      <c r="AUR6" s="179">
        <f>IFERROR(VLOOKUP(AUR$1,EliteIncome[[Ticker]:[Weight]],2,FALSE),0%)</f>
        <v>0</v>
      </c>
      <c r="AUS6" s="179">
        <f>IFERROR(VLOOKUP(AUS$1,EliteIncome[[Ticker]:[Weight]],2,FALSE),0%)</f>
        <v>0</v>
      </c>
      <c r="AUT6" s="179">
        <f>IFERROR(VLOOKUP(AUT$1,EliteIncome[[Ticker]:[Weight]],2,FALSE),0%)</f>
        <v>0</v>
      </c>
      <c r="AUU6" s="179">
        <f>IFERROR(VLOOKUP(AUU$1,EliteIncome[[Ticker]:[Weight]],2,FALSE),0%)</f>
        <v>0</v>
      </c>
      <c r="AUV6" s="179">
        <f>IFERROR(VLOOKUP(AUV$1,EliteIncome[[Ticker]:[Weight]],2,FALSE),0%)</f>
        <v>0</v>
      </c>
      <c r="AUW6" s="179">
        <f>IFERROR(VLOOKUP(AUW$1,EliteIncome[[Ticker]:[Weight]],2,FALSE),0%)</f>
        <v>0</v>
      </c>
      <c r="AUX6" s="179">
        <f>IFERROR(VLOOKUP(AUX$1,EliteIncome[[Ticker]:[Weight]],2,FALSE),0%)</f>
        <v>0</v>
      </c>
      <c r="AUY6" s="179">
        <f>IFERROR(VLOOKUP(AUY$1,EliteIncome[[Ticker]:[Weight]],2,FALSE),0%)</f>
        <v>0</v>
      </c>
      <c r="AUZ6" s="179">
        <f>IFERROR(VLOOKUP(AUZ$1,EliteIncome[[Ticker]:[Weight]],2,FALSE),0%)</f>
        <v>0</v>
      </c>
      <c r="AVA6" s="179">
        <f>IFERROR(VLOOKUP(AVA$1,EliteIncome[[Ticker]:[Weight]],2,FALSE),0%)</f>
        <v>0</v>
      </c>
      <c r="AVB6" s="179">
        <f>IFERROR(VLOOKUP(AVB$1,EliteIncome[[Ticker]:[Weight]],2,FALSE),0%)</f>
        <v>0</v>
      </c>
      <c r="AVC6" s="179">
        <f>IFERROR(VLOOKUP(AVC$1,EliteIncome[[Ticker]:[Weight]],2,FALSE),0%)</f>
        <v>0</v>
      </c>
      <c r="AVD6" s="179">
        <f>IFERROR(VLOOKUP(AVD$1,EliteIncome[[Ticker]:[Weight]],2,FALSE),0%)</f>
        <v>0</v>
      </c>
      <c r="AVE6" s="179">
        <f>IFERROR(VLOOKUP(AVE$1,EliteIncome[[Ticker]:[Weight]],2,FALSE),0%)</f>
        <v>0</v>
      </c>
      <c r="AVF6" s="179">
        <f>IFERROR(VLOOKUP(AVF$1,EliteIncome[[Ticker]:[Weight]],2,FALSE),0%)</f>
        <v>0</v>
      </c>
      <c r="AVG6" s="179">
        <f>IFERROR(VLOOKUP(AVG$1,EliteIncome[[Ticker]:[Weight]],2,FALSE),0%)</f>
        <v>0</v>
      </c>
      <c r="AVH6" s="179">
        <f>IFERROR(VLOOKUP(AVH$1,EliteIncome[[Ticker]:[Weight]],2,FALSE),0%)</f>
        <v>0</v>
      </c>
      <c r="AVI6" s="179">
        <f>IFERROR(VLOOKUP(AVI$1,EliteIncome[[Ticker]:[Weight]],2,FALSE),0%)</f>
        <v>0</v>
      </c>
      <c r="AVJ6" s="179">
        <f>IFERROR(VLOOKUP(AVJ$1,EliteIncome[[Ticker]:[Weight]],2,FALSE),0%)</f>
        <v>0</v>
      </c>
      <c r="AVK6" s="179">
        <f>IFERROR(VLOOKUP(AVK$1,EliteIncome[[Ticker]:[Weight]],2,FALSE),0%)</f>
        <v>0</v>
      </c>
      <c r="AVL6" s="179">
        <f>IFERROR(VLOOKUP(AVL$1,EliteIncome[[Ticker]:[Weight]],2,FALSE),0%)</f>
        <v>0</v>
      </c>
      <c r="AVM6" s="179">
        <f>IFERROR(VLOOKUP(AVM$1,EliteIncome[[Ticker]:[Weight]],2,FALSE),0%)</f>
        <v>0</v>
      </c>
      <c r="AVN6" s="179">
        <f>IFERROR(VLOOKUP(AVN$1,EliteIncome[[Ticker]:[Weight]],2,FALSE),0%)</f>
        <v>0</v>
      </c>
      <c r="AVO6" s="179">
        <f>IFERROR(VLOOKUP(AVO$1,EliteIncome[[Ticker]:[Weight]],2,FALSE),0%)</f>
        <v>0</v>
      </c>
      <c r="AVP6" s="179">
        <f>IFERROR(VLOOKUP(AVP$1,EliteIncome[[Ticker]:[Weight]],2,FALSE),0%)</f>
        <v>0</v>
      </c>
      <c r="AVQ6" s="179">
        <f>IFERROR(VLOOKUP(AVQ$1,EliteIncome[[Ticker]:[Weight]],2,FALSE),0%)</f>
        <v>0</v>
      </c>
      <c r="AVR6" s="179">
        <f>IFERROR(VLOOKUP(AVR$1,EliteIncome[[Ticker]:[Weight]],2,FALSE),0%)</f>
        <v>0</v>
      </c>
      <c r="AVS6" s="179">
        <f>IFERROR(VLOOKUP(AVS$1,EliteIncome[[Ticker]:[Weight]],2,FALSE),0%)</f>
        <v>0</v>
      </c>
      <c r="AVT6" s="179">
        <f>IFERROR(VLOOKUP(AVT$1,EliteIncome[[Ticker]:[Weight]],2,FALSE),0%)</f>
        <v>0</v>
      </c>
      <c r="AVU6" s="179">
        <f>IFERROR(VLOOKUP(AVU$1,EliteIncome[[Ticker]:[Weight]],2,FALSE),0%)</f>
        <v>0</v>
      </c>
      <c r="AVV6" s="179">
        <f>IFERROR(VLOOKUP(AVV$1,EliteIncome[[Ticker]:[Weight]],2,FALSE),0%)</f>
        <v>0</v>
      </c>
      <c r="AVW6" s="179">
        <f>IFERROR(VLOOKUP(AVW$1,EliteIncome[[Ticker]:[Weight]],2,FALSE),0%)</f>
        <v>0</v>
      </c>
      <c r="AVX6" s="179">
        <f>IFERROR(VLOOKUP(AVX$1,EliteIncome[[Ticker]:[Weight]],2,FALSE),0%)</f>
        <v>0</v>
      </c>
      <c r="AVY6" s="179">
        <f>IFERROR(VLOOKUP(AVY$1,EliteIncome[[Ticker]:[Weight]],2,FALSE),0%)</f>
        <v>0</v>
      </c>
      <c r="AVZ6" s="179">
        <f>IFERROR(VLOOKUP(AVZ$1,EliteIncome[[Ticker]:[Weight]],2,FALSE),0%)</f>
        <v>0</v>
      </c>
      <c r="AWA6" s="179">
        <f>IFERROR(VLOOKUP(AWA$1,EliteIncome[[Ticker]:[Weight]],2,FALSE),0%)</f>
        <v>0</v>
      </c>
      <c r="AWB6" s="179">
        <f>IFERROR(VLOOKUP(AWB$1,EliteIncome[[Ticker]:[Weight]],2,FALSE),0%)</f>
        <v>0</v>
      </c>
      <c r="AWC6" s="179">
        <f>IFERROR(VLOOKUP(AWC$1,EliteIncome[[Ticker]:[Weight]],2,FALSE),0%)</f>
        <v>0</v>
      </c>
      <c r="AWD6" s="179">
        <f>IFERROR(VLOOKUP(AWD$1,EliteIncome[[Ticker]:[Weight]],2,FALSE),0%)</f>
        <v>0</v>
      </c>
      <c r="AWE6" s="179">
        <f>IFERROR(VLOOKUP(AWE$1,EliteIncome[[Ticker]:[Weight]],2,FALSE),0%)</f>
        <v>0</v>
      </c>
      <c r="AWF6" s="179">
        <f>IFERROR(VLOOKUP(AWF$1,EliteIncome[[Ticker]:[Weight]],2,FALSE),0%)</f>
        <v>0</v>
      </c>
      <c r="AWG6" s="179">
        <f>IFERROR(VLOOKUP(AWG$1,EliteIncome[[Ticker]:[Weight]],2,FALSE),0%)</f>
        <v>0</v>
      </c>
      <c r="AWH6" s="179">
        <f>IFERROR(VLOOKUP(AWH$1,EliteIncome[[Ticker]:[Weight]],2,FALSE),0%)</f>
        <v>0</v>
      </c>
      <c r="AWI6" s="179">
        <f>IFERROR(VLOOKUP(AWI$1,EliteIncome[[Ticker]:[Weight]],2,FALSE),0%)</f>
        <v>0</v>
      </c>
      <c r="AWJ6" s="179">
        <f>IFERROR(VLOOKUP(AWJ$1,EliteIncome[[Ticker]:[Weight]],2,FALSE),0%)</f>
        <v>0</v>
      </c>
      <c r="AWK6" s="179">
        <f>IFERROR(VLOOKUP(AWK$1,EliteIncome[[Ticker]:[Weight]],2,FALSE),0%)</f>
        <v>0</v>
      </c>
      <c r="AWL6" s="179">
        <f>IFERROR(VLOOKUP(AWL$1,EliteIncome[[Ticker]:[Weight]],2,FALSE),0%)</f>
        <v>0</v>
      </c>
      <c r="AWM6" s="179">
        <f>IFERROR(VLOOKUP(AWM$1,EliteIncome[[Ticker]:[Weight]],2,FALSE),0%)</f>
        <v>0</v>
      </c>
      <c r="AWN6" s="179">
        <f>IFERROR(VLOOKUP(AWN$1,EliteIncome[[Ticker]:[Weight]],2,FALSE),0%)</f>
        <v>0</v>
      </c>
      <c r="AWO6" s="179">
        <f>IFERROR(VLOOKUP(AWO$1,EliteIncome[[Ticker]:[Weight]],2,FALSE),0%)</f>
        <v>0</v>
      </c>
      <c r="AWP6" s="179">
        <f>IFERROR(VLOOKUP(AWP$1,EliteIncome[[Ticker]:[Weight]],2,FALSE),0%)</f>
        <v>0</v>
      </c>
      <c r="AWQ6" s="179">
        <f>IFERROR(VLOOKUP(AWQ$1,EliteIncome[[Ticker]:[Weight]],2,FALSE),0%)</f>
        <v>0</v>
      </c>
      <c r="AWR6" s="179">
        <f>IFERROR(VLOOKUP(AWR$1,EliteIncome[[Ticker]:[Weight]],2,FALSE),0%)</f>
        <v>0</v>
      </c>
      <c r="AWS6" s="179">
        <f>IFERROR(VLOOKUP(AWS$1,EliteIncome[[Ticker]:[Weight]],2,FALSE),0%)</f>
        <v>0</v>
      </c>
      <c r="AWT6" s="179">
        <f>IFERROR(VLOOKUP(AWT$1,EliteIncome[[Ticker]:[Weight]],2,FALSE),0%)</f>
        <v>0</v>
      </c>
      <c r="AWU6" s="179">
        <f>IFERROR(VLOOKUP(AWU$1,EliteIncome[[Ticker]:[Weight]],2,FALSE),0%)</f>
        <v>0</v>
      </c>
      <c r="AWV6" s="179">
        <f>IFERROR(VLOOKUP(AWV$1,EliteIncome[[Ticker]:[Weight]],2,FALSE),0%)</f>
        <v>0</v>
      </c>
      <c r="AWW6" s="179">
        <f>IFERROR(VLOOKUP(AWW$1,EliteIncome[[Ticker]:[Weight]],2,FALSE),0%)</f>
        <v>0</v>
      </c>
      <c r="AWX6" s="179">
        <f>IFERROR(VLOOKUP(AWX$1,EliteIncome[[Ticker]:[Weight]],2,FALSE),0%)</f>
        <v>0</v>
      </c>
      <c r="AWY6" s="179">
        <f>IFERROR(VLOOKUP(AWY$1,EliteIncome[[Ticker]:[Weight]],2,FALSE),0%)</f>
        <v>0</v>
      </c>
      <c r="AWZ6" s="179">
        <f>IFERROR(VLOOKUP(AWZ$1,EliteIncome[[Ticker]:[Weight]],2,FALSE),0%)</f>
        <v>0</v>
      </c>
      <c r="AXA6" s="179">
        <f>IFERROR(VLOOKUP(AXA$1,EliteIncome[[Ticker]:[Weight]],2,FALSE),0%)</f>
        <v>0</v>
      </c>
      <c r="AXB6" s="179">
        <f>IFERROR(VLOOKUP(AXB$1,EliteIncome[[Ticker]:[Weight]],2,FALSE),0%)</f>
        <v>0</v>
      </c>
      <c r="AXC6" s="179">
        <f>IFERROR(VLOOKUP(AXC$1,EliteIncome[[Ticker]:[Weight]],2,FALSE),0%)</f>
        <v>0</v>
      </c>
      <c r="AXD6" s="179">
        <f>IFERROR(VLOOKUP(AXD$1,EliteIncome[[Ticker]:[Weight]],2,FALSE),0%)</f>
        <v>0</v>
      </c>
      <c r="AXE6" s="179">
        <f>IFERROR(VLOOKUP(AXE$1,EliteIncome[[Ticker]:[Weight]],2,FALSE),0%)</f>
        <v>0</v>
      </c>
      <c r="AXF6" s="179">
        <f>IFERROR(VLOOKUP(AXF$1,EliteIncome[[Ticker]:[Weight]],2,FALSE),0%)</f>
        <v>0</v>
      </c>
      <c r="AXG6" s="179">
        <f>IFERROR(VLOOKUP(AXG$1,EliteIncome[[Ticker]:[Weight]],2,FALSE),0%)</f>
        <v>0</v>
      </c>
      <c r="AXH6" s="179">
        <f>IFERROR(VLOOKUP(AXH$1,EliteIncome[[Ticker]:[Weight]],2,FALSE),0%)</f>
        <v>0</v>
      </c>
      <c r="AXI6" s="179">
        <f>IFERROR(VLOOKUP(AXI$1,EliteIncome[[Ticker]:[Weight]],2,FALSE),0%)</f>
        <v>0</v>
      </c>
      <c r="AXJ6" s="179">
        <f>IFERROR(VLOOKUP(AXJ$1,EliteIncome[[Ticker]:[Weight]],2,FALSE),0%)</f>
        <v>0</v>
      </c>
      <c r="AXK6" s="179">
        <f>IFERROR(VLOOKUP(AXK$1,EliteIncome[[Ticker]:[Weight]],2,FALSE),0%)</f>
        <v>0</v>
      </c>
      <c r="AXL6" s="179">
        <f>IFERROR(VLOOKUP(AXL$1,EliteIncome[[Ticker]:[Weight]],2,FALSE),0%)</f>
        <v>0</v>
      </c>
      <c r="AXM6" s="179">
        <f>IFERROR(VLOOKUP(AXM$1,EliteIncome[[Ticker]:[Weight]],2,FALSE),0%)</f>
        <v>0</v>
      </c>
      <c r="AXN6" s="179">
        <f>IFERROR(VLOOKUP(AXN$1,EliteIncome[[Ticker]:[Weight]],2,FALSE),0%)</f>
        <v>0</v>
      </c>
      <c r="AXO6" s="179">
        <f>IFERROR(VLOOKUP(AXO$1,EliteIncome[[Ticker]:[Weight]],2,FALSE),0%)</f>
        <v>0</v>
      </c>
      <c r="AXP6" s="179">
        <f>IFERROR(VLOOKUP(AXP$1,EliteIncome[[Ticker]:[Weight]],2,FALSE),0%)</f>
        <v>0</v>
      </c>
      <c r="AXQ6" s="179">
        <f>IFERROR(VLOOKUP(AXQ$1,EliteIncome[[Ticker]:[Weight]],2,FALSE),0%)</f>
        <v>0</v>
      </c>
      <c r="AXR6" s="179">
        <f>IFERROR(VLOOKUP(AXR$1,EliteIncome[[Ticker]:[Weight]],2,FALSE),0%)</f>
        <v>0</v>
      </c>
      <c r="AXS6" s="179">
        <f>IFERROR(VLOOKUP(AXS$1,EliteIncome[[Ticker]:[Weight]],2,FALSE),0%)</f>
        <v>0</v>
      </c>
      <c r="AXT6" s="179">
        <f>IFERROR(VLOOKUP(AXT$1,EliteIncome[[Ticker]:[Weight]],2,FALSE),0%)</f>
        <v>0</v>
      </c>
      <c r="AXU6" s="179">
        <f>IFERROR(VLOOKUP(AXU$1,EliteIncome[[Ticker]:[Weight]],2,FALSE),0%)</f>
        <v>0</v>
      </c>
      <c r="AXV6" s="179">
        <f>IFERROR(VLOOKUP(AXV$1,EliteIncome[[Ticker]:[Weight]],2,FALSE),0%)</f>
        <v>0</v>
      </c>
      <c r="AXW6" s="179">
        <f>IFERROR(VLOOKUP(AXW$1,EliteIncome[[Ticker]:[Weight]],2,FALSE),0%)</f>
        <v>0</v>
      </c>
      <c r="AXX6" s="179">
        <f>IFERROR(VLOOKUP(AXX$1,EliteIncome[[Ticker]:[Weight]],2,FALSE),0%)</f>
        <v>0</v>
      </c>
      <c r="AXY6" s="179">
        <f>IFERROR(VLOOKUP(AXY$1,EliteIncome[[Ticker]:[Weight]],2,FALSE),0%)</f>
        <v>0</v>
      </c>
      <c r="AXZ6" s="179">
        <f>IFERROR(VLOOKUP(AXZ$1,EliteIncome[[Ticker]:[Weight]],2,FALSE),0%)</f>
        <v>0</v>
      </c>
      <c r="AYA6" s="179">
        <f>IFERROR(VLOOKUP(AYA$1,EliteIncome[[Ticker]:[Weight]],2,FALSE),0%)</f>
        <v>0</v>
      </c>
      <c r="AYB6" s="179">
        <f>IFERROR(VLOOKUP(AYB$1,EliteIncome[[Ticker]:[Weight]],2,FALSE),0%)</f>
        <v>0</v>
      </c>
      <c r="AYC6" s="179">
        <f>IFERROR(VLOOKUP(AYC$1,EliteIncome[[Ticker]:[Weight]],2,FALSE),0%)</f>
        <v>0</v>
      </c>
      <c r="AYD6" s="179">
        <f>IFERROR(VLOOKUP(AYD$1,EliteIncome[[Ticker]:[Weight]],2,FALSE),0%)</f>
        <v>0</v>
      </c>
      <c r="AYE6" s="179">
        <f>IFERROR(VLOOKUP(AYE$1,EliteIncome[[Ticker]:[Weight]],2,FALSE),0%)</f>
        <v>0</v>
      </c>
      <c r="AYF6" s="179">
        <f>IFERROR(VLOOKUP(AYF$1,EliteIncome[[Ticker]:[Weight]],2,FALSE),0%)</f>
        <v>0</v>
      </c>
      <c r="AYG6" s="179">
        <f>IFERROR(VLOOKUP(AYG$1,EliteIncome[[Ticker]:[Weight]],2,FALSE),0%)</f>
        <v>0</v>
      </c>
      <c r="AYH6" s="179">
        <f>IFERROR(VLOOKUP(AYH$1,EliteIncome[[Ticker]:[Weight]],2,FALSE),0%)</f>
        <v>0</v>
      </c>
      <c r="AYI6" s="179">
        <f>IFERROR(VLOOKUP(AYI$1,EliteIncome[[Ticker]:[Weight]],2,FALSE),0%)</f>
        <v>0</v>
      </c>
      <c r="AYJ6" s="179">
        <f>IFERROR(VLOOKUP(AYJ$1,EliteIncome[[Ticker]:[Weight]],2,FALSE),0%)</f>
        <v>0</v>
      </c>
      <c r="AYK6" s="179">
        <f>IFERROR(VLOOKUP(AYK$1,EliteIncome[[Ticker]:[Weight]],2,FALSE),0%)</f>
        <v>0</v>
      </c>
      <c r="AYL6" s="179">
        <f>IFERROR(VLOOKUP(AYL$1,EliteIncome[[Ticker]:[Weight]],2,FALSE),0%)</f>
        <v>0</v>
      </c>
      <c r="AYM6" s="179">
        <f>IFERROR(VLOOKUP(AYM$1,EliteIncome[[Ticker]:[Weight]],2,FALSE),0%)</f>
        <v>0</v>
      </c>
      <c r="AYN6" s="179">
        <f>IFERROR(VLOOKUP(AYN$1,EliteIncome[[Ticker]:[Weight]],2,FALSE),0%)</f>
        <v>0</v>
      </c>
      <c r="AYO6" s="179">
        <f>IFERROR(VLOOKUP(AYO$1,EliteIncome[[Ticker]:[Weight]],2,FALSE),0%)</f>
        <v>0</v>
      </c>
      <c r="AYP6" s="179">
        <f>IFERROR(VLOOKUP(AYP$1,EliteIncome[[Ticker]:[Weight]],2,FALSE),0%)</f>
        <v>0</v>
      </c>
      <c r="AYQ6" s="179">
        <f>IFERROR(VLOOKUP(AYQ$1,EliteIncome[[Ticker]:[Weight]],2,FALSE),0%)</f>
        <v>0</v>
      </c>
      <c r="AYR6" s="179">
        <f>IFERROR(VLOOKUP(AYR$1,EliteIncome[[Ticker]:[Weight]],2,FALSE),0%)</f>
        <v>0</v>
      </c>
      <c r="AYS6" s="179">
        <f>IFERROR(VLOOKUP(AYS$1,EliteIncome[[Ticker]:[Weight]],2,FALSE),0%)</f>
        <v>0</v>
      </c>
      <c r="AYT6" s="179">
        <f>IFERROR(VLOOKUP(AYT$1,EliteIncome[[Ticker]:[Weight]],2,FALSE),0%)</f>
        <v>0</v>
      </c>
      <c r="AYU6" s="179">
        <f>IFERROR(VLOOKUP(AYU$1,EliteIncome[[Ticker]:[Weight]],2,FALSE),0%)</f>
        <v>0</v>
      </c>
      <c r="AYV6" s="179">
        <f>IFERROR(VLOOKUP(AYV$1,EliteIncome[[Ticker]:[Weight]],2,FALSE),0%)</f>
        <v>0</v>
      </c>
      <c r="AYW6" s="179">
        <f>IFERROR(VLOOKUP(AYW$1,EliteIncome[[Ticker]:[Weight]],2,FALSE),0%)</f>
        <v>0</v>
      </c>
      <c r="AYX6" s="179">
        <f>IFERROR(VLOOKUP(AYX$1,EliteIncome[[Ticker]:[Weight]],2,FALSE),0%)</f>
        <v>0</v>
      </c>
      <c r="AYY6" s="179">
        <f>IFERROR(VLOOKUP(AYY$1,EliteIncome[[Ticker]:[Weight]],2,FALSE),0%)</f>
        <v>0</v>
      </c>
      <c r="AYZ6" s="179">
        <f>IFERROR(VLOOKUP(AYZ$1,EliteIncome[[Ticker]:[Weight]],2,FALSE),0%)</f>
        <v>0</v>
      </c>
      <c r="AZA6" s="179">
        <f>IFERROR(VLOOKUP(AZA$1,EliteIncome[[Ticker]:[Weight]],2,FALSE),0%)</f>
        <v>0</v>
      </c>
      <c r="AZB6" s="179">
        <f>IFERROR(VLOOKUP(AZB$1,EliteIncome[[Ticker]:[Weight]],2,FALSE),0%)</f>
        <v>0</v>
      </c>
      <c r="AZC6" s="179">
        <f>IFERROR(VLOOKUP(AZC$1,EliteIncome[[Ticker]:[Weight]],2,FALSE),0%)</f>
        <v>0</v>
      </c>
      <c r="AZD6" s="179">
        <f>IFERROR(VLOOKUP(AZD$1,EliteIncome[[Ticker]:[Weight]],2,FALSE),0%)</f>
        <v>0</v>
      </c>
      <c r="AZE6" s="179">
        <f>IFERROR(VLOOKUP(AZE$1,EliteIncome[[Ticker]:[Weight]],2,FALSE),0%)</f>
        <v>0</v>
      </c>
      <c r="AZF6" s="179">
        <f>IFERROR(VLOOKUP(AZF$1,EliteIncome[[Ticker]:[Weight]],2,FALSE),0%)</f>
        <v>0</v>
      </c>
      <c r="AZG6" s="179">
        <f>IFERROR(VLOOKUP(AZG$1,EliteIncome[[Ticker]:[Weight]],2,FALSE),0%)</f>
        <v>0</v>
      </c>
      <c r="AZH6" s="179">
        <f>IFERROR(VLOOKUP(AZH$1,EliteIncome[[Ticker]:[Weight]],2,FALSE),0%)</f>
        <v>0</v>
      </c>
      <c r="AZI6" s="179">
        <f>IFERROR(VLOOKUP(AZI$1,EliteIncome[[Ticker]:[Weight]],2,FALSE),0%)</f>
        <v>0</v>
      </c>
      <c r="AZJ6" s="179">
        <f>IFERROR(VLOOKUP(AZJ$1,EliteIncome[[Ticker]:[Weight]],2,FALSE),0%)</f>
        <v>0</v>
      </c>
      <c r="AZK6" s="179">
        <f>IFERROR(VLOOKUP(AZK$1,EliteIncome[[Ticker]:[Weight]],2,FALSE),0%)</f>
        <v>0</v>
      </c>
      <c r="AZL6" s="179">
        <f>IFERROR(VLOOKUP(AZL$1,EliteIncome[[Ticker]:[Weight]],2,FALSE),0%)</f>
        <v>0</v>
      </c>
      <c r="AZM6" s="179">
        <f>IFERROR(VLOOKUP(AZM$1,EliteIncome[[Ticker]:[Weight]],2,FALSE),0%)</f>
        <v>0</v>
      </c>
      <c r="AZN6" s="179">
        <f>IFERROR(VLOOKUP(AZN$1,EliteIncome[[Ticker]:[Weight]],2,FALSE),0%)</f>
        <v>0</v>
      </c>
      <c r="AZO6" s="179">
        <f>IFERROR(VLOOKUP(AZO$1,EliteIncome[[Ticker]:[Weight]],2,FALSE),0%)</f>
        <v>0</v>
      </c>
      <c r="AZP6" s="179">
        <f>IFERROR(VLOOKUP(AZP$1,EliteIncome[[Ticker]:[Weight]],2,FALSE),0%)</f>
        <v>0</v>
      </c>
      <c r="AZQ6" s="179">
        <f>IFERROR(VLOOKUP(AZQ$1,EliteIncome[[Ticker]:[Weight]],2,FALSE),0%)</f>
        <v>0</v>
      </c>
      <c r="AZR6" s="179">
        <f>IFERROR(VLOOKUP(AZR$1,EliteIncome[[Ticker]:[Weight]],2,FALSE),0%)</f>
        <v>0</v>
      </c>
      <c r="AZS6" s="179">
        <f>IFERROR(VLOOKUP(AZS$1,EliteIncome[[Ticker]:[Weight]],2,FALSE),0%)</f>
        <v>0</v>
      </c>
      <c r="AZT6" s="179">
        <f>IFERROR(VLOOKUP(AZT$1,EliteIncome[[Ticker]:[Weight]],2,FALSE),0%)</f>
        <v>0</v>
      </c>
      <c r="AZU6" s="179">
        <f>IFERROR(VLOOKUP(AZU$1,EliteIncome[[Ticker]:[Weight]],2,FALSE),0%)</f>
        <v>0</v>
      </c>
      <c r="AZV6" s="179">
        <f>IFERROR(VLOOKUP(AZV$1,EliteIncome[[Ticker]:[Weight]],2,FALSE),0%)</f>
        <v>0</v>
      </c>
      <c r="AZW6" s="179">
        <f>IFERROR(VLOOKUP(AZW$1,EliteIncome[[Ticker]:[Weight]],2,FALSE),0%)</f>
        <v>0</v>
      </c>
      <c r="AZX6" s="179">
        <f>IFERROR(VLOOKUP(AZX$1,EliteIncome[[Ticker]:[Weight]],2,FALSE),0%)</f>
        <v>0</v>
      </c>
      <c r="AZY6" s="179">
        <f>IFERROR(VLOOKUP(AZY$1,EliteIncome[[Ticker]:[Weight]],2,FALSE),0%)</f>
        <v>0</v>
      </c>
      <c r="AZZ6" s="179">
        <f>IFERROR(VLOOKUP(AZZ$1,EliteIncome[[Ticker]:[Weight]],2,FALSE),0%)</f>
        <v>0</v>
      </c>
      <c r="BAA6" s="179">
        <f>IFERROR(VLOOKUP(BAA$1,EliteIncome[[Ticker]:[Weight]],2,FALSE),0%)</f>
        <v>0</v>
      </c>
      <c r="BAB6" s="179">
        <f>IFERROR(VLOOKUP(BAB$1,EliteIncome[[Ticker]:[Weight]],2,FALSE),0%)</f>
        <v>0</v>
      </c>
      <c r="BAC6" s="179">
        <f>IFERROR(VLOOKUP(BAC$1,EliteIncome[[Ticker]:[Weight]],2,FALSE),0%)</f>
        <v>0</v>
      </c>
      <c r="BAD6" s="179">
        <f>IFERROR(VLOOKUP(BAD$1,EliteIncome[[Ticker]:[Weight]],2,FALSE),0%)</f>
        <v>0</v>
      </c>
      <c r="BAE6" s="179">
        <f>IFERROR(VLOOKUP(BAE$1,EliteIncome[[Ticker]:[Weight]],2,FALSE),0%)</f>
        <v>0</v>
      </c>
      <c r="BAF6" s="179">
        <f>IFERROR(VLOOKUP(BAF$1,EliteIncome[[Ticker]:[Weight]],2,FALSE),0%)</f>
        <v>0</v>
      </c>
      <c r="BAG6" s="179">
        <f>IFERROR(VLOOKUP(BAG$1,EliteIncome[[Ticker]:[Weight]],2,FALSE),0%)</f>
        <v>0</v>
      </c>
      <c r="BAH6" s="179">
        <f>IFERROR(VLOOKUP(BAH$1,EliteIncome[[Ticker]:[Weight]],2,FALSE),0%)</f>
        <v>0</v>
      </c>
      <c r="BAI6" s="179">
        <f>IFERROR(VLOOKUP(BAI$1,EliteIncome[[Ticker]:[Weight]],2,FALSE),0%)</f>
        <v>0</v>
      </c>
      <c r="BAJ6" s="179">
        <f>IFERROR(VLOOKUP(BAJ$1,EliteIncome[[Ticker]:[Weight]],2,FALSE),0%)</f>
        <v>0</v>
      </c>
      <c r="BAK6" s="179">
        <f>IFERROR(VLOOKUP(BAK$1,EliteIncome[[Ticker]:[Weight]],2,FALSE),0%)</f>
        <v>0</v>
      </c>
      <c r="BAL6" s="179">
        <f>IFERROR(VLOOKUP(BAL$1,EliteIncome[[Ticker]:[Weight]],2,FALSE),0%)</f>
        <v>0</v>
      </c>
      <c r="BAM6" s="179">
        <f>IFERROR(VLOOKUP(BAM$1,EliteIncome[[Ticker]:[Weight]],2,FALSE),0%)</f>
        <v>0</v>
      </c>
      <c r="BAN6" s="179">
        <f>IFERROR(VLOOKUP(BAN$1,EliteIncome[[Ticker]:[Weight]],2,FALSE),0%)</f>
        <v>0</v>
      </c>
      <c r="BAO6" s="179">
        <f>IFERROR(VLOOKUP(BAO$1,EliteIncome[[Ticker]:[Weight]],2,FALSE),0%)</f>
        <v>0</v>
      </c>
      <c r="BAP6" s="179">
        <f>IFERROR(VLOOKUP(BAP$1,EliteIncome[[Ticker]:[Weight]],2,FALSE),0%)</f>
        <v>0</v>
      </c>
      <c r="BAQ6" s="179">
        <f>IFERROR(VLOOKUP(BAQ$1,EliteIncome[[Ticker]:[Weight]],2,FALSE),0%)</f>
        <v>0</v>
      </c>
      <c r="BAR6" s="179">
        <f>IFERROR(VLOOKUP(BAR$1,EliteIncome[[Ticker]:[Weight]],2,FALSE),0%)</f>
        <v>0</v>
      </c>
      <c r="BAS6" s="179">
        <f>IFERROR(VLOOKUP(BAS$1,EliteIncome[[Ticker]:[Weight]],2,FALSE),0%)</f>
        <v>0</v>
      </c>
      <c r="BAT6" s="179">
        <f>IFERROR(VLOOKUP(BAT$1,EliteIncome[[Ticker]:[Weight]],2,FALSE),0%)</f>
        <v>0</v>
      </c>
      <c r="BAU6" s="179">
        <f>IFERROR(VLOOKUP(BAU$1,EliteIncome[[Ticker]:[Weight]],2,FALSE),0%)</f>
        <v>0</v>
      </c>
      <c r="BAV6" s="179">
        <f>IFERROR(VLOOKUP(BAV$1,EliteIncome[[Ticker]:[Weight]],2,FALSE),0%)</f>
        <v>0</v>
      </c>
      <c r="BAW6" s="179">
        <f>IFERROR(VLOOKUP(BAW$1,EliteIncome[[Ticker]:[Weight]],2,FALSE),0%)</f>
        <v>0</v>
      </c>
      <c r="BAX6" s="179">
        <f>IFERROR(VLOOKUP(BAX$1,EliteIncome[[Ticker]:[Weight]],2,FALSE),0%)</f>
        <v>0</v>
      </c>
      <c r="BAY6" s="179">
        <f>IFERROR(VLOOKUP(BAY$1,EliteIncome[[Ticker]:[Weight]],2,FALSE),0%)</f>
        <v>0</v>
      </c>
      <c r="BAZ6" s="179">
        <f>IFERROR(VLOOKUP(BAZ$1,EliteIncome[[Ticker]:[Weight]],2,FALSE),0%)</f>
        <v>0</v>
      </c>
      <c r="BBA6" s="179">
        <f>IFERROR(VLOOKUP(BBA$1,EliteIncome[[Ticker]:[Weight]],2,FALSE),0%)</f>
        <v>0</v>
      </c>
      <c r="BBB6" s="179">
        <f>IFERROR(VLOOKUP(BBB$1,EliteIncome[[Ticker]:[Weight]],2,FALSE),0%)</f>
        <v>0</v>
      </c>
      <c r="BBC6" s="179">
        <f>IFERROR(VLOOKUP(BBC$1,EliteIncome[[Ticker]:[Weight]],2,FALSE),0%)</f>
        <v>0</v>
      </c>
      <c r="BBD6" s="179">
        <f>IFERROR(VLOOKUP(BBD$1,EliteIncome[[Ticker]:[Weight]],2,FALSE),0%)</f>
        <v>0</v>
      </c>
      <c r="BBE6" s="179">
        <f>IFERROR(VLOOKUP(BBE$1,EliteIncome[[Ticker]:[Weight]],2,FALSE),0%)</f>
        <v>0</v>
      </c>
      <c r="BBF6" s="179">
        <f>IFERROR(VLOOKUP(BBF$1,EliteIncome[[Ticker]:[Weight]],2,FALSE),0%)</f>
        <v>0</v>
      </c>
      <c r="BBG6" s="179">
        <f>IFERROR(VLOOKUP(BBG$1,EliteIncome[[Ticker]:[Weight]],2,FALSE),0%)</f>
        <v>0</v>
      </c>
      <c r="BBH6" s="179">
        <f>IFERROR(VLOOKUP(BBH$1,EliteIncome[[Ticker]:[Weight]],2,FALSE),0%)</f>
        <v>0</v>
      </c>
      <c r="BBI6" s="179">
        <f>IFERROR(VLOOKUP(BBI$1,EliteIncome[[Ticker]:[Weight]],2,FALSE),0%)</f>
        <v>0</v>
      </c>
      <c r="BBJ6" s="179">
        <f>IFERROR(VLOOKUP(BBJ$1,EliteIncome[[Ticker]:[Weight]],2,FALSE),0%)</f>
        <v>0</v>
      </c>
      <c r="BBK6" s="179">
        <f>IFERROR(VLOOKUP(BBK$1,EliteIncome[[Ticker]:[Weight]],2,FALSE),0%)</f>
        <v>0</v>
      </c>
      <c r="BBL6" s="179">
        <f>IFERROR(VLOOKUP(BBL$1,EliteIncome[[Ticker]:[Weight]],2,FALSE),0%)</f>
        <v>0</v>
      </c>
      <c r="BBM6" s="179">
        <f>IFERROR(VLOOKUP(BBM$1,EliteIncome[[Ticker]:[Weight]],2,FALSE),0%)</f>
        <v>0</v>
      </c>
      <c r="BBN6" s="179">
        <f>IFERROR(VLOOKUP(BBN$1,EliteIncome[[Ticker]:[Weight]],2,FALSE),0%)</f>
        <v>0</v>
      </c>
      <c r="BBO6" s="179">
        <f>IFERROR(VLOOKUP(BBO$1,EliteIncome[[Ticker]:[Weight]],2,FALSE),0%)</f>
        <v>0</v>
      </c>
      <c r="BBP6" s="179">
        <f>IFERROR(VLOOKUP(BBP$1,EliteIncome[[Ticker]:[Weight]],2,FALSE),0%)</f>
        <v>0</v>
      </c>
      <c r="BBQ6" s="179">
        <f>IFERROR(VLOOKUP(BBQ$1,EliteIncome[[Ticker]:[Weight]],2,FALSE),0%)</f>
        <v>0</v>
      </c>
      <c r="BBR6" s="179">
        <f>IFERROR(VLOOKUP(BBR$1,EliteIncome[[Ticker]:[Weight]],2,FALSE),0%)</f>
        <v>0</v>
      </c>
      <c r="BBS6" s="179">
        <f>IFERROR(VLOOKUP(BBS$1,EliteIncome[[Ticker]:[Weight]],2,FALSE),0%)</f>
        <v>0</v>
      </c>
      <c r="BBT6" s="179">
        <f>IFERROR(VLOOKUP(BBT$1,EliteIncome[[Ticker]:[Weight]],2,FALSE),0%)</f>
        <v>0</v>
      </c>
      <c r="BBU6" s="179">
        <f>IFERROR(VLOOKUP(BBU$1,EliteIncome[[Ticker]:[Weight]],2,FALSE),0%)</f>
        <v>0</v>
      </c>
      <c r="BBV6" s="179">
        <f>IFERROR(VLOOKUP(BBV$1,EliteIncome[[Ticker]:[Weight]],2,FALSE),0%)</f>
        <v>0</v>
      </c>
      <c r="BBW6" s="179">
        <f>IFERROR(VLOOKUP(BBW$1,EliteIncome[[Ticker]:[Weight]],2,FALSE),0%)</f>
        <v>0</v>
      </c>
      <c r="BBX6" s="179">
        <f>IFERROR(VLOOKUP(BBX$1,EliteIncome[[Ticker]:[Weight]],2,FALSE),0%)</f>
        <v>0</v>
      </c>
      <c r="BBY6" s="179">
        <f>IFERROR(VLOOKUP(BBY$1,EliteIncome[[Ticker]:[Weight]],2,FALSE),0%)</f>
        <v>0</v>
      </c>
      <c r="BBZ6" s="179">
        <f>IFERROR(VLOOKUP(BBZ$1,EliteIncome[[Ticker]:[Weight]],2,FALSE),0%)</f>
        <v>0</v>
      </c>
      <c r="BCA6" s="179">
        <f>IFERROR(VLOOKUP(BCA$1,EliteIncome[[Ticker]:[Weight]],2,FALSE),0%)</f>
        <v>0</v>
      </c>
      <c r="BCB6" s="179">
        <f>IFERROR(VLOOKUP(BCB$1,EliteIncome[[Ticker]:[Weight]],2,FALSE),0%)</f>
        <v>0</v>
      </c>
      <c r="BCC6" s="179">
        <f>IFERROR(VLOOKUP(BCC$1,EliteIncome[[Ticker]:[Weight]],2,FALSE),0%)</f>
        <v>0</v>
      </c>
      <c r="BCD6" s="179">
        <f>IFERROR(VLOOKUP(BCD$1,EliteIncome[[Ticker]:[Weight]],2,FALSE),0%)</f>
        <v>0</v>
      </c>
      <c r="BCE6" s="179">
        <f>IFERROR(VLOOKUP(BCE$1,EliteIncome[[Ticker]:[Weight]],2,FALSE),0%)</f>
        <v>0</v>
      </c>
      <c r="BCF6" s="179">
        <f>IFERROR(VLOOKUP(BCF$1,EliteIncome[[Ticker]:[Weight]],2,FALSE),0%)</f>
        <v>0</v>
      </c>
      <c r="BCG6" s="179">
        <f>IFERROR(VLOOKUP(BCG$1,EliteIncome[[Ticker]:[Weight]],2,FALSE),0%)</f>
        <v>0</v>
      </c>
      <c r="BCH6" s="179">
        <f>IFERROR(VLOOKUP(BCH$1,EliteIncome[[Ticker]:[Weight]],2,FALSE),0%)</f>
        <v>0</v>
      </c>
      <c r="BCI6" s="179">
        <f>IFERROR(VLOOKUP(BCI$1,EliteIncome[[Ticker]:[Weight]],2,FALSE),0%)</f>
        <v>0</v>
      </c>
      <c r="BCJ6" s="179">
        <f>IFERROR(VLOOKUP(BCJ$1,EliteIncome[[Ticker]:[Weight]],2,FALSE),0%)</f>
        <v>0</v>
      </c>
      <c r="BCK6" s="179">
        <f>IFERROR(VLOOKUP(BCK$1,EliteIncome[[Ticker]:[Weight]],2,FALSE),0%)</f>
        <v>0</v>
      </c>
      <c r="BCL6" s="179">
        <f>IFERROR(VLOOKUP(BCL$1,EliteIncome[[Ticker]:[Weight]],2,FALSE),0%)</f>
        <v>0</v>
      </c>
      <c r="BCM6" s="179">
        <f>IFERROR(VLOOKUP(BCM$1,EliteIncome[[Ticker]:[Weight]],2,FALSE),0%)</f>
        <v>0</v>
      </c>
      <c r="BCN6" s="179">
        <f>IFERROR(VLOOKUP(BCN$1,EliteIncome[[Ticker]:[Weight]],2,FALSE),0%)</f>
        <v>0</v>
      </c>
      <c r="BCO6" s="179">
        <f>IFERROR(VLOOKUP(BCO$1,EliteIncome[[Ticker]:[Weight]],2,FALSE),0%)</f>
        <v>0</v>
      </c>
      <c r="BCP6" s="179">
        <f>IFERROR(VLOOKUP(BCP$1,EliteIncome[[Ticker]:[Weight]],2,FALSE),0%)</f>
        <v>0</v>
      </c>
      <c r="BCQ6" s="179">
        <f>IFERROR(VLOOKUP(BCQ$1,EliteIncome[[Ticker]:[Weight]],2,FALSE),0%)</f>
        <v>0</v>
      </c>
      <c r="BCR6" s="179">
        <f>IFERROR(VLOOKUP(BCR$1,EliteIncome[[Ticker]:[Weight]],2,FALSE),0%)</f>
        <v>0</v>
      </c>
      <c r="BCS6" s="179">
        <f>IFERROR(VLOOKUP(BCS$1,EliteIncome[[Ticker]:[Weight]],2,FALSE),0%)</f>
        <v>0</v>
      </c>
      <c r="BCT6" s="179">
        <f>IFERROR(VLOOKUP(BCT$1,EliteIncome[[Ticker]:[Weight]],2,FALSE),0%)</f>
        <v>0</v>
      </c>
      <c r="BCU6" s="179">
        <f>IFERROR(VLOOKUP(BCU$1,EliteIncome[[Ticker]:[Weight]],2,FALSE),0%)</f>
        <v>0</v>
      </c>
      <c r="BCV6" s="179">
        <f>IFERROR(VLOOKUP(BCV$1,EliteIncome[[Ticker]:[Weight]],2,FALSE),0%)</f>
        <v>0</v>
      </c>
      <c r="BCW6" s="179">
        <f>IFERROR(VLOOKUP(BCW$1,EliteIncome[[Ticker]:[Weight]],2,FALSE),0%)</f>
        <v>0</v>
      </c>
      <c r="BCX6" s="179">
        <f>IFERROR(VLOOKUP(BCX$1,EliteIncome[[Ticker]:[Weight]],2,FALSE),0%)</f>
        <v>0</v>
      </c>
      <c r="BCY6" s="179">
        <f>IFERROR(VLOOKUP(BCY$1,EliteIncome[[Ticker]:[Weight]],2,FALSE),0%)</f>
        <v>0</v>
      </c>
      <c r="BCZ6" s="179">
        <f>IFERROR(VLOOKUP(BCZ$1,EliteIncome[[Ticker]:[Weight]],2,FALSE),0%)</f>
        <v>0</v>
      </c>
      <c r="BDA6" s="179">
        <f>IFERROR(VLOOKUP(BDA$1,EliteIncome[[Ticker]:[Weight]],2,FALSE),0%)</f>
        <v>0</v>
      </c>
      <c r="BDB6" s="179">
        <f>IFERROR(VLOOKUP(BDB$1,EliteIncome[[Ticker]:[Weight]],2,FALSE),0%)</f>
        <v>0</v>
      </c>
      <c r="BDC6" s="179">
        <f>IFERROR(VLOOKUP(BDC$1,EliteIncome[[Ticker]:[Weight]],2,FALSE),0%)</f>
        <v>0</v>
      </c>
      <c r="BDD6" s="179">
        <f>IFERROR(VLOOKUP(BDD$1,EliteIncome[[Ticker]:[Weight]],2,FALSE),0%)</f>
        <v>0</v>
      </c>
      <c r="BDE6" s="179">
        <f>IFERROR(VLOOKUP(BDE$1,EliteIncome[[Ticker]:[Weight]],2,FALSE),0%)</f>
        <v>0</v>
      </c>
      <c r="BDF6" s="179">
        <f>IFERROR(VLOOKUP(BDF$1,EliteIncome[[Ticker]:[Weight]],2,FALSE),0%)</f>
        <v>0</v>
      </c>
      <c r="BDG6" s="179">
        <f>IFERROR(VLOOKUP(BDG$1,EliteIncome[[Ticker]:[Weight]],2,FALSE),0%)</f>
        <v>0</v>
      </c>
      <c r="BDH6" s="179">
        <f>IFERROR(VLOOKUP(BDH$1,EliteIncome[[Ticker]:[Weight]],2,FALSE),0%)</f>
        <v>0</v>
      </c>
      <c r="BDI6" s="179">
        <f>IFERROR(VLOOKUP(BDI$1,EliteIncome[[Ticker]:[Weight]],2,FALSE),0%)</f>
        <v>0</v>
      </c>
      <c r="BDJ6" s="179">
        <f>IFERROR(VLOOKUP(BDJ$1,EliteIncome[[Ticker]:[Weight]],2,FALSE),0%)</f>
        <v>0</v>
      </c>
      <c r="BDK6" s="179">
        <f>IFERROR(VLOOKUP(BDK$1,EliteIncome[[Ticker]:[Weight]],2,FALSE),0%)</f>
        <v>0</v>
      </c>
      <c r="BDL6" s="179">
        <f>IFERROR(VLOOKUP(BDL$1,EliteIncome[[Ticker]:[Weight]],2,FALSE),0%)</f>
        <v>0</v>
      </c>
      <c r="BDM6" s="179">
        <f>IFERROR(VLOOKUP(BDM$1,EliteIncome[[Ticker]:[Weight]],2,FALSE),0%)</f>
        <v>0</v>
      </c>
      <c r="BDN6" s="179">
        <f>IFERROR(VLOOKUP(BDN$1,EliteIncome[[Ticker]:[Weight]],2,FALSE),0%)</f>
        <v>0</v>
      </c>
      <c r="BDO6" s="179">
        <f>IFERROR(VLOOKUP(BDO$1,EliteIncome[[Ticker]:[Weight]],2,FALSE),0%)</f>
        <v>0</v>
      </c>
      <c r="BDP6" s="179">
        <f>IFERROR(VLOOKUP(BDP$1,EliteIncome[[Ticker]:[Weight]],2,FALSE),0%)</f>
        <v>0</v>
      </c>
      <c r="BDQ6" s="179">
        <f>IFERROR(VLOOKUP(BDQ$1,EliteIncome[[Ticker]:[Weight]],2,FALSE),0%)</f>
        <v>0</v>
      </c>
      <c r="BDR6" s="179">
        <f>IFERROR(VLOOKUP(BDR$1,EliteIncome[[Ticker]:[Weight]],2,FALSE),0%)</f>
        <v>0</v>
      </c>
      <c r="BDS6" s="179">
        <f>IFERROR(VLOOKUP(BDS$1,EliteIncome[[Ticker]:[Weight]],2,FALSE),0%)</f>
        <v>0</v>
      </c>
      <c r="BDT6" s="179">
        <f>IFERROR(VLOOKUP(BDT$1,EliteIncome[[Ticker]:[Weight]],2,FALSE),0%)</f>
        <v>0</v>
      </c>
      <c r="BDU6" s="179">
        <f>IFERROR(VLOOKUP(BDU$1,EliteIncome[[Ticker]:[Weight]],2,FALSE),0%)</f>
        <v>0</v>
      </c>
      <c r="BDV6" s="179">
        <f>IFERROR(VLOOKUP(BDV$1,EliteIncome[[Ticker]:[Weight]],2,FALSE),0%)</f>
        <v>0</v>
      </c>
      <c r="BDW6" s="179">
        <f>IFERROR(VLOOKUP(BDW$1,EliteIncome[[Ticker]:[Weight]],2,FALSE),0%)</f>
        <v>0</v>
      </c>
      <c r="BDX6" s="179">
        <f>IFERROR(VLOOKUP(BDX$1,EliteIncome[[Ticker]:[Weight]],2,FALSE),0%)</f>
        <v>0</v>
      </c>
      <c r="BDY6" s="179">
        <f>IFERROR(VLOOKUP(BDY$1,EliteIncome[[Ticker]:[Weight]],2,FALSE),0%)</f>
        <v>0</v>
      </c>
      <c r="BDZ6" s="179">
        <f>IFERROR(VLOOKUP(BDZ$1,EliteIncome[[Ticker]:[Weight]],2,FALSE),0%)</f>
        <v>0</v>
      </c>
      <c r="BEA6" s="179">
        <f>IFERROR(VLOOKUP(BEA$1,EliteIncome[[Ticker]:[Weight]],2,FALSE),0%)</f>
        <v>0</v>
      </c>
      <c r="BEB6" s="179">
        <f>IFERROR(VLOOKUP(BEB$1,EliteIncome[[Ticker]:[Weight]],2,FALSE),0%)</f>
        <v>0</v>
      </c>
      <c r="BEC6" s="179">
        <f>IFERROR(VLOOKUP(BEC$1,EliteIncome[[Ticker]:[Weight]],2,FALSE),0%)</f>
        <v>0</v>
      </c>
      <c r="BED6" s="179">
        <f>IFERROR(VLOOKUP(BED$1,EliteIncome[[Ticker]:[Weight]],2,FALSE),0%)</f>
        <v>0</v>
      </c>
      <c r="BEE6" s="179">
        <f>IFERROR(VLOOKUP(BEE$1,EliteIncome[[Ticker]:[Weight]],2,FALSE),0%)</f>
        <v>0</v>
      </c>
      <c r="BEF6" s="179">
        <f>IFERROR(VLOOKUP(BEF$1,EliteIncome[[Ticker]:[Weight]],2,FALSE),0%)</f>
        <v>0</v>
      </c>
      <c r="BEG6" s="179">
        <f>IFERROR(VLOOKUP(BEG$1,EliteIncome[[Ticker]:[Weight]],2,FALSE),0%)</f>
        <v>0</v>
      </c>
      <c r="BEH6" s="179">
        <f>IFERROR(VLOOKUP(BEH$1,EliteIncome[[Ticker]:[Weight]],2,FALSE),0%)</f>
        <v>0</v>
      </c>
      <c r="BEI6" s="179">
        <f>IFERROR(VLOOKUP(BEI$1,EliteIncome[[Ticker]:[Weight]],2,FALSE),0%)</f>
        <v>0</v>
      </c>
      <c r="BEJ6" s="179">
        <f>IFERROR(VLOOKUP(BEJ$1,EliteIncome[[Ticker]:[Weight]],2,FALSE),0%)</f>
        <v>0</v>
      </c>
      <c r="BEK6" s="179">
        <f>IFERROR(VLOOKUP(BEK$1,EliteIncome[[Ticker]:[Weight]],2,FALSE),0%)</f>
        <v>0</v>
      </c>
      <c r="BEL6" s="179">
        <f>IFERROR(VLOOKUP(BEL$1,EliteIncome[[Ticker]:[Weight]],2,FALSE),0%)</f>
        <v>0</v>
      </c>
      <c r="BEM6" s="179">
        <f>IFERROR(VLOOKUP(BEM$1,EliteIncome[[Ticker]:[Weight]],2,FALSE),0%)</f>
        <v>0</v>
      </c>
      <c r="BEN6" s="179">
        <f>IFERROR(VLOOKUP(BEN$1,EliteIncome[[Ticker]:[Weight]],2,FALSE),0%)</f>
        <v>0</v>
      </c>
      <c r="BEO6" s="179">
        <f>IFERROR(VLOOKUP(BEO$1,EliteIncome[[Ticker]:[Weight]],2,FALSE),0%)</f>
        <v>0</v>
      </c>
      <c r="BEP6" s="179">
        <f>IFERROR(VLOOKUP(BEP$1,EliteIncome[[Ticker]:[Weight]],2,FALSE),0%)</f>
        <v>0</v>
      </c>
      <c r="BEQ6" s="179">
        <f>IFERROR(VLOOKUP(BEQ$1,EliteIncome[[Ticker]:[Weight]],2,FALSE),0%)</f>
        <v>0</v>
      </c>
      <c r="BER6" s="179">
        <f>IFERROR(VLOOKUP(BER$1,EliteIncome[[Ticker]:[Weight]],2,FALSE),0%)</f>
        <v>0</v>
      </c>
      <c r="BES6" s="179">
        <f>IFERROR(VLOOKUP(BES$1,EliteIncome[[Ticker]:[Weight]],2,FALSE),0%)</f>
        <v>0</v>
      </c>
      <c r="BET6" s="179">
        <f>IFERROR(VLOOKUP(BET$1,EliteIncome[[Ticker]:[Weight]],2,FALSE),0%)</f>
        <v>0</v>
      </c>
      <c r="BEU6" s="179">
        <f>IFERROR(VLOOKUP(BEU$1,EliteIncome[[Ticker]:[Weight]],2,FALSE),0%)</f>
        <v>0</v>
      </c>
      <c r="BEV6" s="179">
        <f>IFERROR(VLOOKUP(BEV$1,EliteIncome[[Ticker]:[Weight]],2,FALSE),0%)</f>
        <v>0</v>
      </c>
      <c r="BEW6" s="179">
        <f>IFERROR(VLOOKUP(BEW$1,EliteIncome[[Ticker]:[Weight]],2,FALSE),0%)</f>
        <v>0</v>
      </c>
      <c r="BEX6" s="179">
        <f>IFERROR(VLOOKUP(BEX$1,EliteIncome[[Ticker]:[Weight]],2,FALSE),0%)</f>
        <v>0</v>
      </c>
      <c r="BEY6" s="179">
        <f>IFERROR(VLOOKUP(BEY$1,EliteIncome[[Ticker]:[Weight]],2,FALSE),0%)</f>
        <v>0</v>
      </c>
      <c r="BEZ6" s="179">
        <f>IFERROR(VLOOKUP(BEZ$1,EliteIncome[[Ticker]:[Weight]],2,FALSE),0%)</f>
        <v>0</v>
      </c>
      <c r="BFA6" s="179">
        <f>IFERROR(VLOOKUP(BFA$1,EliteIncome[[Ticker]:[Weight]],2,FALSE),0%)</f>
        <v>0</v>
      </c>
      <c r="BFB6" s="179">
        <f>IFERROR(VLOOKUP(BFB$1,EliteIncome[[Ticker]:[Weight]],2,FALSE),0%)</f>
        <v>0</v>
      </c>
      <c r="BFC6" s="179">
        <f>IFERROR(VLOOKUP(BFC$1,EliteIncome[[Ticker]:[Weight]],2,FALSE),0%)</f>
        <v>0</v>
      </c>
      <c r="BFD6" s="179">
        <f>IFERROR(VLOOKUP(BFD$1,EliteIncome[[Ticker]:[Weight]],2,FALSE),0%)</f>
        <v>0</v>
      </c>
      <c r="BFE6" s="179">
        <f>IFERROR(VLOOKUP(BFE$1,EliteIncome[[Ticker]:[Weight]],2,FALSE),0%)</f>
        <v>0</v>
      </c>
      <c r="BFF6" s="179">
        <f>IFERROR(VLOOKUP(BFF$1,EliteIncome[[Ticker]:[Weight]],2,FALSE),0%)</f>
        <v>0</v>
      </c>
      <c r="BFG6" s="179">
        <f>IFERROR(VLOOKUP(BFG$1,EliteIncome[[Ticker]:[Weight]],2,FALSE),0%)</f>
        <v>0</v>
      </c>
      <c r="BFH6" s="179">
        <f>IFERROR(VLOOKUP(BFH$1,EliteIncome[[Ticker]:[Weight]],2,FALSE),0%)</f>
        <v>0</v>
      </c>
      <c r="BFI6" s="179">
        <f>IFERROR(VLOOKUP(BFI$1,EliteIncome[[Ticker]:[Weight]],2,FALSE),0%)</f>
        <v>0</v>
      </c>
      <c r="BFJ6" s="179">
        <f>IFERROR(VLOOKUP(BFJ$1,EliteIncome[[Ticker]:[Weight]],2,FALSE),0%)</f>
        <v>0</v>
      </c>
      <c r="BFK6" s="179">
        <f>IFERROR(VLOOKUP(BFK$1,EliteIncome[[Ticker]:[Weight]],2,FALSE),0%)</f>
        <v>0</v>
      </c>
      <c r="BFL6" s="179">
        <f>IFERROR(VLOOKUP(BFL$1,EliteIncome[[Ticker]:[Weight]],2,FALSE),0%)</f>
        <v>0</v>
      </c>
      <c r="BFM6" s="179">
        <f>IFERROR(VLOOKUP(BFM$1,EliteIncome[[Ticker]:[Weight]],2,FALSE),0%)</f>
        <v>0</v>
      </c>
      <c r="BFN6" s="179">
        <f>IFERROR(VLOOKUP(BFN$1,EliteIncome[[Ticker]:[Weight]],2,FALSE),0%)</f>
        <v>0</v>
      </c>
      <c r="BFO6" s="179">
        <f>IFERROR(VLOOKUP(BFO$1,EliteIncome[[Ticker]:[Weight]],2,FALSE),0%)</f>
        <v>0</v>
      </c>
      <c r="BFP6" s="179">
        <f>IFERROR(VLOOKUP(BFP$1,EliteIncome[[Ticker]:[Weight]],2,FALSE),0%)</f>
        <v>0</v>
      </c>
      <c r="BFQ6" s="179">
        <f>IFERROR(VLOOKUP(BFQ$1,EliteIncome[[Ticker]:[Weight]],2,FALSE),0%)</f>
        <v>0</v>
      </c>
      <c r="BFR6" s="179">
        <f>IFERROR(VLOOKUP(BFR$1,EliteIncome[[Ticker]:[Weight]],2,FALSE),0%)</f>
        <v>0</v>
      </c>
      <c r="BFS6" s="179">
        <f>IFERROR(VLOOKUP(BFS$1,EliteIncome[[Ticker]:[Weight]],2,FALSE),0%)</f>
        <v>0</v>
      </c>
      <c r="BFT6" s="179">
        <f>IFERROR(VLOOKUP(BFT$1,EliteIncome[[Ticker]:[Weight]],2,FALSE),0%)</f>
        <v>0</v>
      </c>
      <c r="BFU6" s="179">
        <f>IFERROR(VLOOKUP(BFU$1,EliteIncome[[Ticker]:[Weight]],2,FALSE),0%)</f>
        <v>0</v>
      </c>
      <c r="BFV6" s="179">
        <f>IFERROR(VLOOKUP(BFV$1,EliteIncome[[Ticker]:[Weight]],2,FALSE),0%)</f>
        <v>0</v>
      </c>
      <c r="BFW6" s="179">
        <f>IFERROR(VLOOKUP(BFW$1,EliteIncome[[Ticker]:[Weight]],2,FALSE),0%)</f>
        <v>0</v>
      </c>
      <c r="BFX6" s="179">
        <f>IFERROR(VLOOKUP(BFX$1,EliteIncome[[Ticker]:[Weight]],2,FALSE),0%)</f>
        <v>0</v>
      </c>
      <c r="BFY6" s="179">
        <f>IFERROR(VLOOKUP(BFY$1,EliteIncome[[Ticker]:[Weight]],2,FALSE),0%)</f>
        <v>0</v>
      </c>
      <c r="BFZ6" s="179">
        <f>IFERROR(VLOOKUP(BFZ$1,EliteIncome[[Ticker]:[Weight]],2,FALSE),0%)</f>
        <v>0</v>
      </c>
      <c r="BGA6" s="179">
        <f>IFERROR(VLOOKUP(BGA$1,EliteIncome[[Ticker]:[Weight]],2,FALSE),0%)</f>
        <v>0</v>
      </c>
      <c r="BGB6" s="179">
        <f>IFERROR(VLOOKUP(BGB$1,EliteIncome[[Ticker]:[Weight]],2,FALSE),0%)</f>
        <v>0</v>
      </c>
      <c r="BGC6" s="179">
        <f>IFERROR(VLOOKUP(BGC$1,EliteIncome[[Ticker]:[Weight]],2,FALSE),0%)</f>
        <v>0</v>
      </c>
      <c r="BGD6" s="179">
        <f>IFERROR(VLOOKUP(BGD$1,EliteIncome[[Ticker]:[Weight]],2,FALSE),0%)</f>
        <v>0</v>
      </c>
      <c r="BGE6" s="179">
        <f>IFERROR(VLOOKUP(BGE$1,EliteIncome[[Ticker]:[Weight]],2,FALSE),0%)</f>
        <v>0</v>
      </c>
      <c r="BGF6" s="179">
        <f>IFERROR(VLOOKUP(BGF$1,EliteIncome[[Ticker]:[Weight]],2,FALSE),0%)</f>
        <v>0</v>
      </c>
      <c r="BGG6" s="179">
        <f>IFERROR(VLOOKUP(BGG$1,EliteIncome[[Ticker]:[Weight]],2,FALSE),0%)</f>
        <v>0</v>
      </c>
      <c r="BGH6" s="179">
        <f>IFERROR(VLOOKUP(BGH$1,EliteIncome[[Ticker]:[Weight]],2,FALSE),0%)</f>
        <v>0</v>
      </c>
      <c r="BGI6" s="179">
        <f>IFERROR(VLOOKUP(BGI$1,EliteIncome[[Ticker]:[Weight]],2,FALSE),0%)</f>
        <v>0</v>
      </c>
      <c r="BGJ6" s="179">
        <f>IFERROR(VLOOKUP(BGJ$1,EliteIncome[[Ticker]:[Weight]],2,FALSE),0%)</f>
        <v>0</v>
      </c>
      <c r="BGK6" s="179">
        <f>IFERROR(VLOOKUP(BGK$1,EliteIncome[[Ticker]:[Weight]],2,FALSE),0%)</f>
        <v>0</v>
      </c>
      <c r="BGL6" s="179">
        <f>IFERROR(VLOOKUP(BGL$1,EliteIncome[[Ticker]:[Weight]],2,FALSE),0%)</f>
        <v>0</v>
      </c>
      <c r="BGM6" s="179">
        <f>IFERROR(VLOOKUP(BGM$1,EliteIncome[[Ticker]:[Weight]],2,FALSE),0%)</f>
        <v>0</v>
      </c>
      <c r="BGN6" s="179">
        <f>IFERROR(VLOOKUP(BGN$1,EliteIncome[[Ticker]:[Weight]],2,FALSE),0%)</f>
        <v>0</v>
      </c>
      <c r="BGO6" s="179">
        <f>IFERROR(VLOOKUP(BGO$1,EliteIncome[[Ticker]:[Weight]],2,FALSE),0%)</f>
        <v>0</v>
      </c>
      <c r="BGP6" s="179">
        <f>IFERROR(VLOOKUP(BGP$1,EliteIncome[[Ticker]:[Weight]],2,FALSE),0%)</f>
        <v>0</v>
      </c>
      <c r="BGQ6" s="179">
        <f>IFERROR(VLOOKUP(BGQ$1,EliteIncome[[Ticker]:[Weight]],2,FALSE),0%)</f>
        <v>0</v>
      </c>
      <c r="BGR6" s="179">
        <f>IFERROR(VLOOKUP(BGR$1,EliteIncome[[Ticker]:[Weight]],2,FALSE),0%)</f>
        <v>0</v>
      </c>
      <c r="BGS6" s="179">
        <f>IFERROR(VLOOKUP(BGS$1,EliteIncome[[Ticker]:[Weight]],2,FALSE),0%)</f>
        <v>0</v>
      </c>
      <c r="BGT6" s="179">
        <f>IFERROR(VLOOKUP(BGT$1,EliteIncome[[Ticker]:[Weight]],2,FALSE),0%)</f>
        <v>0</v>
      </c>
      <c r="BGU6" s="179">
        <f>IFERROR(VLOOKUP(BGU$1,EliteIncome[[Ticker]:[Weight]],2,FALSE),0%)</f>
        <v>0</v>
      </c>
      <c r="BGV6" s="179">
        <f>IFERROR(VLOOKUP(BGV$1,EliteIncome[[Ticker]:[Weight]],2,FALSE),0%)</f>
        <v>0</v>
      </c>
      <c r="BGW6" s="179">
        <f>IFERROR(VLOOKUP(BGW$1,EliteIncome[[Ticker]:[Weight]],2,FALSE),0%)</f>
        <v>0</v>
      </c>
      <c r="BGX6" s="179">
        <f>IFERROR(VLOOKUP(BGX$1,EliteIncome[[Ticker]:[Weight]],2,FALSE),0%)</f>
        <v>0</v>
      </c>
      <c r="BGY6" s="179">
        <f>IFERROR(VLOOKUP(BGY$1,EliteIncome[[Ticker]:[Weight]],2,FALSE),0%)</f>
        <v>0</v>
      </c>
      <c r="BGZ6" s="179">
        <f>IFERROR(VLOOKUP(BGZ$1,EliteIncome[[Ticker]:[Weight]],2,FALSE),0%)</f>
        <v>0</v>
      </c>
      <c r="BHA6" s="179">
        <f>IFERROR(VLOOKUP(BHA$1,EliteIncome[[Ticker]:[Weight]],2,FALSE),0%)</f>
        <v>0</v>
      </c>
      <c r="BHB6" s="179">
        <f>IFERROR(VLOOKUP(BHB$1,EliteIncome[[Ticker]:[Weight]],2,FALSE),0%)</f>
        <v>0</v>
      </c>
      <c r="BHC6" s="179">
        <f>IFERROR(VLOOKUP(BHC$1,EliteIncome[[Ticker]:[Weight]],2,FALSE),0%)</f>
        <v>0</v>
      </c>
      <c r="BHD6" s="179">
        <f>IFERROR(VLOOKUP(BHD$1,EliteIncome[[Ticker]:[Weight]],2,FALSE),0%)</f>
        <v>0</v>
      </c>
      <c r="BHE6" s="179">
        <f>IFERROR(VLOOKUP(BHE$1,EliteIncome[[Ticker]:[Weight]],2,FALSE),0%)</f>
        <v>0</v>
      </c>
      <c r="BHF6" s="179">
        <f>IFERROR(VLOOKUP(BHF$1,EliteIncome[[Ticker]:[Weight]],2,FALSE),0%)</f>
        <v>0</v>
      </c>
      <c r="BHG6" s="179">
        <f>IFERROR(VLOOKUP(BHG$1,EliteIncome[[Ticker]:[Weight]],2,FALSE),0%)</f>
        <v>0</v>
      </c>
      <c r="BHH6" s="179">
        <f>IFERROR(VLOOKUP(BHH$1,EliteIncome[[Ticker]:[Weight]],2,FALSE),0%)</f>
        <v>0</v>
      </c>
      <c r="BHI6" s="179">
        <f>IFERROR(VLOOKUP(BHI$1,EliteIncome[[Ticker]:[Weight]],2,FALSE),0%)</f>
        <v>0</v>
      </c>
      <c r="BHJ6" s="179">
        <f>IFERROR(VLOOKUP(BHJ$1,EliteIncome[[Ticker]:[Weight]],2,FALSE),0%)</f>
        <v>0</v>
      </c>
      <c r="BHK6" s="179">
        <f>IFERROR(VLOOKUP(BHK$1,EliteIncome[[Ticker]:[Weight]],2,FALSE),0%)</f>
        <v>0</v>
      </c>
      <c r="BHL6" s="179">
        <f>IFERROR(VLOOKUP(BHL$1,EliteIncome[[Ticker]:[Weight]],2,FALSE),0%)</f>
        <v>0</v>
      </c>
      <c r="BHM6" s="179">
        <f>IFERROR(VLOOKUP(BHM$1,EliteIncome[[Ticker]:[Weight]],2,FALSE),0%)</f>
        <v>0</v>
      </c>
      <c r="BHN6" s="179">
        <f>IFERROR(VLOOKUP(BHN$1,EliteIncome[[Ticker]:[Weight]],2,FALSE),0%)</f>
        <v>0</v>
      </c>
      <c r="BHO6" s="179">
        <f>IFERROR(VLOOKUP(BHO$1,EliteIncome[[Ticker]:[Weight]],2,FALSE),0%)</f>
        <v>0</v>
      </c>
      <c r="BHP6" s="179">
        <f>IFERROR(VLOOKUP(BHP$1,EliteIncome[[Ticker]:[Weight]],2,FALSE),0%)</f>
        <v>0</v>
      </c>
      <c r="BHQ6" s="179">
        <f>IFERROR(VLOOKUP(BHQ$1,EliteIncome[[Ticker]:[Weight]],2,FALSE),0%)</f>
        <v>0</v>
      </c>
      <c r="BHR6" s="179">
        <f>IFERROR(VLOOKUP(BHR$1,EliteIncome[[Ticker]:[Weight]],2,FALSE),0%)</f>
        <v>0</v>
      </c>
      <c r="BHS6" s="179">
        <f>IFERROR(VLOOKUP(BHS$1,EliteIncome[[Ticker]:[Weight]],2,FALSE),0%)</f>
        <v>0</v>
      </c>
      <c r="BHT6" s="179">
        <f>IFERROR(VLOOKUP(BHT$1,EliteIncome[[Ticker]:[Weight]],2,FALSE),0%)</f>
        <v>0</v>
      </c>
      <c r="BHU6" s="179">
        <f>IFERROR(VLOOKUP(BHU$1,EliteIncome[[Ticker]:[Weight]],2,FALSE),0%)</f>
        <v>0</v>
      </c>
      <c r="BHV6" s="179">
        <f>IFERROR(VLOOKUP(BHV$1,EliteIncome[[Ticker]:[Weight]],2,FALSE),0%)</f>
        <v>0</v>
      </c>
      <c r="BHW6" s="179">
        <f>IFERROR(VLOOKUP(BHW$1,EliteIncome[[Ticker]:[Weight]],2,FALSE),0%)</f>
        <v>0</v>
      </c>
      <c r="BHX6" s="179">
        <f>IFERROR(VLOOKUP(BHX$1,EliteIncome[[Ticker]:[Weight]],2,FALSE),0%)</f>
        <v>0</v>
      </c>
      <c r="BHY6" s="179">
        <f>IFERROR(VLOOKUP(BHY$1,EliteIncome[[Ticker]:[Weight]],2,FALSE),0%)</f>
        <v>0</v>
      </c>
      <c r="BHZ6" s="179">
        <f>IFERROR(VLOOKUP(BHZ$1,EliteIncome[[Ticker]:[Weight]],2,FALSE),0%)</f>
        <v>0</v>
      </c>
      <c r="BIA6" s="179">
        <f>IFERROR(VLOOKUP(BIA$1,EliteIncome[[Ticker]:[Weight]],2,FALSE),0%)</f>
        <v>0</v>
      </c>
      <c r="BIB6" s="179">
        <f>IFERROR(VLOOKUP(BIB$1,EliteIncome[[Ticker]:[Weight]],2,FALSE),0%)</f>
        <v>0</v>
      </c>
      <c r="BIC6" s="179">
        <f>IFERROR(VLOOKUP(BIC$1,EliteIncome[[Ticker]:[Weight]],2,FALSE),0%)</f>
        <v>0</v>
      </c>
      <c r="BID6" s="179">
        <f>IFERROR(VLOOKUP(BID$1,EliteIncome[[Ticker]:[Weight]],2,FALSE),0%)</f>
        <v>0</v>
      </c>
      <c r="BIE6" s="179">
        <f>IFERROR(VLOOKUP(BIE$1,EliteIncome[[Ticker]:[Weight]],2,FALSE),0%)</f>
        <v>0</v>
      </c>
      <c r="BIF6" s="179">
        <f>IFERROR(VLOOKUP(BIF$1,EliteIncome[[Ticker]:[Weight]],2,FALSE),0%)</f>
        <v>0</v>
      </c>
      <c r="BIG6" s="179">
        <f>IFERROR(VLOOKUP(BIG$1,EliteIncome[[Ticker]:[Weight]],2,FALSE),0%)</f>
        <v>0</v>
      </c>
      <c r="BIH6" s="179">
        <f>IFERROR(VLOOKUP(BIH$1,EliteIncome[[Ticker]:[Weight]],2,FALSE),0%)</f>
        <v>0</v>
      </c>
      <c r="BII6" s="179">
        <f>IFERROR(VLOOKUP(BII$1,EliteIncome[[Ticker]:[Weight]],2,FALSE),0%)</f>
        <v>0</v>
      </c>
      <c r="BIJ6" s="179">
        <f>IFERROR(VLOOKUP(BIJ$1,EliteIncome[[Ticker]:[Weight]],2,FALSE),0%)</f>
        <v>0</v>
      </c>
      <c r="BIK6" s="179">
        <f>IFERROR(VLOOKUP(BIK$1,EliteIncome[[Ticker]:[Weight]],2,FALSE),0%)</f>
        <v>0</v>
      </c>
      <c r="BIL6" s="179">
        <f>IFERROR(VLOOKUP(BIL$1,EliteIncome[[Ticker]:[Weight]],2,FALSE),0%)</f>
        <v>0</v>
      </c>
      <c r="BIM6" s="179">
        <f>IFERROR(VLOOKUP(BIM$1,EliteIncome[[Ticker]:[Weight]],2,FALSE),0%)</f>
        <v>0</v>
      </c>
      <c r="BIN6" s="179">
        <f>IFERROR(VLOOKUP(BIN$1,EliteIncome[[Ticker]:[Weight]],2,FALSE),0%)</f>
        <v>0</v>
      </c>
      <c r="BIO6" s="179">
        <f>IFERROR(VLOOKUP(BIO$1,EliteIncome[[Ticker]:[Weight]],2,FALSE),0%)</f>
        <v>0</v>
      </c>
      <c r="BIP6" s="179">
        <f>IFERROR(VLOOKUP(BIP$1,EliteIncome[[Ticker]:[Weight]],2,FALSE),0%)</f>
        <v>0</v>
      </c>
      <c r="BIQ6" s="179">
        <f>IFERROR(VLOOKUP(BIQ$1,EliteIncome[[Ticker]:[Weight]],2,FALSE),0%)</f>
        <v>0</v>
      </c>
      <c r="BIR6" s="179">
        <f>IFERROR(VLOOKUP(BIR$1,EliteIncome[[Ticker]:[Weight]],2,FALSE),0%)</f>
        <v>0</v>
      </c>
      <c r="BIS6" s="179">
        <f>IFERROR(VLOOKUP(BIS$1,EliteIncome[[Ticker]:[Weight]],2,FALSE),0%)</f>
        <v>0</v>
      </c>
      <c r="BIT6" s="179">
        <f>IFERROR(VLOOKUP(BIT$1,EliteIncome[[Ticker]:[Weight]],2,FALSE),0%)</f>
        <v>0</v>
      </c>
      <c r="BIU6" s="179">
        <f>IFERROR(VLOOKUP(BIU$1,EliteIncome[[Ticker]:[Weight]],2,FALSE),0%)</f>
        <v>0</v>
      </c>
      <c r="BIV6" s="179">
        <f>IFERROR(VLOOKUP(BIV$1,EliteIncome[[Ticker]:[Weight]],2,FALSE),0%)</f>
        <v>0</v>
      </c>
      <c r="BIW6" s="179">
        <f>IFERROR(VLOOKUP(BIW$1,EliteIncome[[Ticker]:[Weight]],2,FALSE),0%)</f>
        <v>0</v>
      </c>
      <c r="BIX6" s="179">
        <f>IFERROR(VLOOKUP(BIX$1,EliteIncome[[Ticker]:[Weight]],2,FALSE),0%)</f>
        <v>0</v>
      </c>
      <c r="BIY6" s="179">
        <f>IFERROR(VLOOKUP(BIY$1,EliteIncome[[Ticker]:[Weight]],2,FALSE),0%)</f>
        <v>0</v>
      </c>
      <c r="BIZ6" s="179">
        <f>IFERROR(VLOOKUP(BIZ$1,EliteIncome[[Ticker]:[Weight]],2,FALSE),0%)</f>
        <v>0</v>
      </c>
      <c r="BJA6" s="179">
        <f>IFERROR(VLOOKUP(BJA$1,EliteIncome[[Ticker]:[Weight]],2,FALSE),0%)</f>
        <v>0</v>
      </c>
      <c r="BJB6" s="179">
        <f>IFERROR(VLOOKUP(BJB$1,EliteIncome[[Ticker]:[Weight]],2,FALSE),0%)</f>
        <v>0</v>
      </c>
      <c r="BJC6" s="179">
        <f>IFERROR(VLOOKUP(BJC$1,EliteIncome[[Ticker]:[Weight]],2,FALSE),0%)</f>
        <v>0</v>
      </c>
      <c r="BJD6" s="179">
        <f>IFERROR(VLOOKUP(BJD$1,EliteIncome[[Ticker]:[Weight]],2,FALSE),0%)</f>
        <v>0</v>
      </c>
      <c r="BJE6" s="179">
        <f>IFERROR(VLOOKUP(BJE$1,EliteIncome[[Ticker]:[Weight]],2,FALSE),0%)</f>
        <v>0</v>
      </c>
      <c r="BJF6" s="179">
        <f>IFERROR(VLOOKUP(BJF$1,EliteIncome[[Ticker]:[Weight]],2,FALSE),0%)</f>
        <v>0</v>
      </c>
      <c r="BJG6" s="179">
        <f>IFERROR(VLOOKUP(BJG$1,EliteIncome[[Ticker]:[Weight]],2,FALSE),0%)</f>
        <v>0</v>
      </c>
      <c r="BJH6" s="179">
        <f>IFERROR(VLOOKUP(BJH$1,EliteIncome[[Ticker]:[Weight]],2,FALSE),0%)</f>
        <v>0</v>
      </c>
      <c r="BJI6" s="179">
        <f>IFERROR(VLOOKUP(BJI$1,EliteIncome[[Ticker]:[Weight]],2,FALSE),0%)</f>
        <v>0</v>
      </c>
      <c r="BJJ6" s="179">
        <f>IFERROR(VLOOKUP(BJJ$1,EliteIncome[[Ticker]:[Weight]],2,FALSE),0%)</f>
        <v>0</v>
      </c>
      <c r="BJK6" s="179">
        <f>IFERROR(VLOOKUP(BJK$1,EliteIncome[[Ticker]:[Weight]],2,FALSE),0%)</f>
        <v>0</v>
      </c>
      <c r="BJL6" s="179">
        <f>IFERROR(VLOOKUP(BJL$1,EliteIncome[[Ticker]:[Weight]],2,FALSE),0%)</f>
        <v>0</v>
      </c>
      <c r="BJM6" s="179">
        <f>IFERROR(VLOOKUP(BJM$1,EliteIncome[[Ticker]:[Weight]],2,FALSE),0%)</f>
        <v>0</v>
      </c>
      <c r="BJN6" s="179">
        <f>IFERROR(VLOOKUP(BJN$1,EliteIncome[[Ticker]:[Weight]],2,FALSE),0%)</f>
        <v>0</v>
      </c>
      <c r="BJO6" s="179">
        <f>IFERROR(VLOOKUP(BJO$1,EliteIncome[[Ticker]:[Weight]],2,FALSE),0%)</f>
        <v>0</v>
      </c>
      <c r="BJP6" s="179">
        <f>IFERROR(VLOOKUP(BJP$1,EliteIncome[[Ticker]:[Weight]],2,FALSE),0%)</f>
        <v>0</v>
      </c>
      <c r="BJQ6" s="179">
        <f>IFERROR(VLOOKUP(BJQ$1,EliteIncome[[Ticker]:[Weight]],2,FALSE),0%)</f>
        <v>0</v>
      </c>
      <c r="BJR6" s="179">
        <f>IFERROR(VLOOKUP(BJR$1,EliteIncome[[Ticker]:[Weight]],2,FALSE),0%)</f>
        <v>0</v>
      </c>
      <c r="BJS6" s="179">
        <f>IFERROR(VLOOKUP(BJS$1,EliteIncome[[Ticker]:[Weight]],2,FALSE),0%)</f>
        <v>0</v>
      </c>
      <c r="BJT6" s="179">
        <f>IFERROR(VLOOKUP(BJT$1,EliteIncome[[Ticker]:[Weight]],2,FALSE),0%)</f>
        <v>0</v>
      </c>
      <c r="BJU6" s="179">
        <f>IFERROR(VLOOKUP(BJU$1,EliteIncome[[Ticker]:[Weight]],2,FALSE),0%)</f>
        <v>0</v>
      </c>
      <c r="BJV6" s="179">
        <f>IFERROR(VLOOKUP(BJV$1,EliteIncome[[Ticker]:[Weight]],2,FALSE),0%)</f>
        <v>0</v>
      </c>
      <c r="BJW6" s="179">
        <f>IFERROR(VLOOKUP(BJW$1,EliteIncome[[Ticker]:[Weight]],2,FALSE),0%)</f>
        <v>0</v>
      </c>
      <c r="BJX6" s="179">
        <f>IFERROR(VLOOKUP(BJX$1,EliteIncome[[Ticker]:[Weight]],2,FALSE),0%)</f>
        <v>0</v>
      </c>
      <c r="BJY6" s="179">
        <f>IFERROR(VLOOKUP(BJY$1,EliteIncome[[Ticker]:[Weight]],2,FALSE),0%)</f>
        <v>0</v>
      </c>
      <c r="BJZ6" s="179">
        <f>IFERROR(VLOOKUP(BJZ$1,EliteIncome[[Ticker]:[Weight]],2,FALSE),0%)</f>
        <v>0</v>
      </c>
      <c r="BKA6" s="179">
        <f>IFERROR(VLOOKUP(BKA$1,EliteIncome[[Ticker]:[Weight]],2,FALSE),0%)</f>
        <v>0</v>
      </c>
      <c r="BKB6" s="179">
        <f>IFERROR(VLOOKUP(BKB$1,EliteIncome[[Ticker]:[Weight]],2,FALSE),0%)</f>
        <v>0</v>
      </c>
      <c r="BKC6" s="179">
        <f>IFERROR(VLOOKUP(BKC$1,EliteIncome[[Ticker]:[Weight]],2,FALSE),0%)</f>
        <v>0</v>
      </c>
      <c r="BKD6" s="179">
        <f>IFERROR(VLOOKUP(BKD$1,EliteIncome[[Ticker]:[Weight]],2,FALSE),0%)</f>
        <v>0</v>
      </c>
      <c r="BKE6" s="179">
        <f>IFERROR(VLOOKUP(BKE$1,EliteIncome[[Ticker]:[Weight]],2,FALSE),0%)</f>
        <v>0</v>
      </c>
      <c r="BKF6" s="179">
        <f>IFERROR(VLOOKUP(BKF$1,EliteIncome[[Ticker]:[Weight]],2,FALSE),0%)</f>
        <v>0</v>
      </c>
      <c r="BKG6" s="179">
        <f>IFERROR(VLOOKUP(BKG$1,EliteIncome[[Ticker]:[Weight]],2,FALSE),0%)</f>
        <v>0</v>
      </c>
      <c r="BKH6" s="179">
        <f>IFERROR(VLOOKUP(BKH$1,EliteIncome[[Ticker]:[Weight]],2,FALSE),0%)</f>
        <v>0</v>
      </c>
      <c r="BKI6" s="179">
        <f>IFERROR(VLOOKUP(BKI$1,EliteIncome[[Ticker]:[Weight]],2,FALSE),0%)</f>
        <v>0</v>
      </c>
      <c r="BKJ6" s="179">
        <f>IFERROR(VLOOKUP(BKJ$1,EliteIncome[[Ticker]:[Weight]],2,FALSE),0%)</f>
        <v>0</v>
      </c>
      <c r="BKK6" s="179">
        <f>IFERROR(VLOOKUP(BKK$1,EliteIncome[[Ticker]:[Weight]],2,FALSE),0%)</f>
        <v>0</v>
      </c>
      <c r="BKL6" s="179">
        <f>IFERROR(VLOOKUP(BKL$1,EliteIncome[[Ticker]:[Weight]],2,FALSE),0%)</f>
        <v>0</v>
      </c>
      <c r="BKM6" s="179">
        <f>IFERROR(VLOOKUP(BKM$1,EliteIncome[[Ticker]:[Weight]],2,FALSE),0%)</f>
        <v>0</v>
      </c>
      <c r="BKN6" s="179">
        <f>IFERROR(VLOOKUP(BKN$1,EliteIncome[[Ticker]:[Weight]],2,FALSE),0%)</f>
        <v>0</v>
      </c>
      <c r="BKO6" s="179">
        <f>IFERROR(VLOOKUP(BKO$1,EliteIncome[[Ticker]:[Weight]],2,FALSE),0%)</f>
        <v>0</v>
      </c>
      <c r="BKP6" s="179">
        <f>IFERROR(VLOOKUP(BKP$1,EliteIncome[[Ticker]:[Weight]],2,FALSE),0%)</f>
        <v>0.2274303862</v>
      </c>
      <c r="BKQ6" s="179">
        <f>IFERROR(VLOOKUP(BKQ$1,EliteIncome[[Ticker]:[Weight]],2,FALSE),0%)</f>
        <v>0</v>
      </c>
      <c r="BKR6" s="179">
        <f>IFERROR(VLOOKUP(BKR$1,EliteIncome[[Ticker]:[Weight]],2,FALSE),0%)</f>
        <v>0</v>
      </c>
      <c r="BKS6" s="179">
        <f>IFERROR(VLOOKUP(BKS$1,EliteIncome[[Ticker]:[Weight]],2,FALSE),0%)</f>
        <v>0</v>
      </c>
      <c r="BKT6" s="179">
        <f>IFERROR(VLOOKUP(BKT$1,EliteIncome[[Ticker]:[Weight]],2,FALSE),0%)</f>
        <v>0</v>
      </c>
      <c r="BKU6" s="179">
        <f>IFERROR(VLOOKUP(BKU$1,EliteIncome[[Ticker]:[Weight]],2,FALSE),0%)</f>
        <v>0</v>
      </c>
      <c r="BKV6" s="179">
        <f>IFERROR(VLOOKUP(BKV$1,EliteIncome[[Ticker]:[Weight]],2,FALSE),0%)</f>
        <v>0</v>
      </c>
      <c r="BKW6" s="179">
        <f>IFERROR(VLOOKUP(BKW$1,EliteIncome[[Ticker]:[Weight]],2,FALSE),0%)</f>
        <v>0</v>
      </c>
      <c r="BKX6" s="179">
        <f>IFERROR(VLOOKUP(BKX$1,EliteIncome[[Ticker]:[Weight]],2,FALSE),0%)</f>
        <v>0</v>
      </c>
      <c r="BKY6" s="179">
        <f>IFERROR(VLOOKUP(BKY$1,EliteIncome[[Ticker]:[Weight]],2,FALSE),0%)</f>
        <v>0</v>
      </c>
      <c r="BKZ6" s="179">
        <f>IFERROR(VLOOKUP(BKZ$1,EliteIncome[[Ticker]:[Weight]],2,FALSE),0%)</f>
        <v>0.1700511378</v>
      </c>
      <c r="BLA6" s="179">
        <f>IFERROR(VLOOKUP(BLA$1,EliteIncome[[Ticker]:[Weight]],2,FALSE),0%)</f>
        <v>0</v>
      </c>
      <c r="BLB6" s="179">
        <f>IFERROR(VLOOKUP(BLB$1,EliteIncome[[Ticker]:[Weight]],2,FALSE),0%)</f>
        <v>0</v>
      </c>
      <c r="BLC6" s="179">
        <f>IFERROR(VLOOKUP(BLC$1,EliteIncome[[Ticker]:[Weight]],2,FALSE),0%)</f>
        <v>0</v>
      </c>
      <c r="BLD6" s="179">
        <f>IFERROR(VLOOKUP(BLD$1,EliteIncome[[Ticker]:[Weight]],2,FALSE),0%)</f>
        <v>0</v>
      </c>
      <c r="BLE6" s="179">
        <f>IFERROR(VLOOKUP(BLE$1,EliteIncome[[Ticker]:[Weight]],2,FALSE),0%)</f>
        <v>0</v>
      </c>
      <c r="BLF6" s="179">
        <f>IFERROR(VLOOKUP(BLF$1,EliteIncome[[Ticker]:[Weight]],2,FALSE),0%)</f>
        <v>0</v>
      </c>
      <c r="BLG6" s="179">
        <f>IFERROR(VLOOKUP(BLG$1,EliteIncome[[Ticker]:[Weight]],2,FALSE),0%)</f>
        <v>0</v>
      </c>
      <c r="BLH6" s="179">
        <f>IFERROR(VLOOKUP(BLH$1,EliteIncome[[Ticker]:[Weight]],2,FALSE),0%)</f>
        <v>0</v>
      </c>
      <c r="BLI6" s="179">
        <f>IFERROR(VLOOKUP(BLI$1,EliteIncome[[Ticker]:[Weight]],2,FALSE),0%)</f>
        <v>0</v>
      </c>
      <c r="BLJ6" s="179">
        <f>IFERROR(VLOOKUP(BLJ$1,EliteIncome[[Ticker]:[Weight]],2,FALSE),0%)</f>
        <v>0</v>
      </c>
      <c r="BLK6" s="179">
        <f>IFERROR(VLOOKUP(BLK$1,EliteIncome[[Ticker]:[Weight]],2,FALSE),0%)</f>
        <v>0</v>
      </c>
      <c r="BLL6" s="179">
        <f>IFERROR(VLOOKUP(BLL$1,EliteIncome[[Ticker]:[Weight]],2,FALSE),0%)</f>
        <v>0</v>
      </c>
      <c r="BLM6" s="179">
        <f>IFERROR(VLOOKUP(BLM$1,EliteIncome[[Ticker]:[Weight]],2,FALSE),0%)</f>
        <v>0</v>
      </c>
      <c r="BLN6" s="179">
        <f>IFERROR(VLOOKUP(BLN$1,EliteIncome[[Ticker]:[Weight]],2,FALSE),0%)</f>
        <v>0</v>
      </c>
      <c r="BLO6" s="179">
        <f>IFERROR(VLOOKUP(BLO$1,EliteIncome[[Ticker]:[Weight]],2,FALSE),0%)</f>
        <v>0</v>
      </c>
      <c r="BLP6" s="179">
        <f>IFERROR(VLOOKUP(BLP$1,EliteIncome[[Ticker]:[Weight]],2,FALSE),0%)</f>
        <v>0</v>
      </c>
      <c r="BLQ6" s="179">
        <f>IFERROR(VLOOKUP(BLQ$1,EliteIncome[[Ticker]:[Weight]],2,FALSE),0%)</f>
        <v>0</v>
      </c>
      <c r="BLR6" s="179">
        <f>IFERROR(VLOOKUP(BLR$1,EliteIncome[[Ticker]:[Weight]],2,FALSE),0%)</f>
        <v>0</v>
      </c>
      <c r="BLS6" s="179">
        <f>IFERROR(VLOOKUP(BLS$1,EliteIncome[[Ticker]:[Weight]],2,FALSE),0%)</f>
        <v>0</v>
      </c>
      <c r="BLT6" s="179">
        <f>IFERROR(VLOOKUP(BLT$1,EliteIncome[[Ticker]:[Weight]],2,FALSE),0%)</f>
        <v>0</v>
      </c>
      <c r="BLU6" s="179">
        <f>IFERROR(VLOOKUP(BLU$1,EliteIncome[[Ticker]:[Weight]],2,FALSE),0%)</f>
        <v>0</v>
      </c>
      <c r="BLV6" s="179">
        <f>IFERROR(VLOOKUP(BLV$1,EliteIncome[[Ticker]:[Weight]],2,FALSE),0%)</f>
        <v>0</v>
      </c>
      <c r="BLW6" s="179">
        <f>IFERROR(VLOOKUP(BLW$1,EliteIncome[[Ticker]:[Weight]],2,FALSE),0%)</f>
        <v>0</v>
      </c>
      <c r="BLX6" s="179">
        <f>IFERROR(VLOOKUP(BLX$1,EliteIncome[[Ticker]:[Weight]],2,FALSE),0%)</f>
        <v>0</v>
      </c>
      <c r="BLY6" s="179">
        <f>IFERROR(VLOOKUP(BLY$1,EliteIncome[[Ticker]:[Weight]],2,FALSE),0%)</f>
        <v>0</v>
      </c>
      <c r="BLZ6" s="179">
        <f>IFERROR(VLOOKUP(BLZ$1,EliteIncome[[Ticker]:[Weight]],2,FALSE),0%)</f>
        <v>0</v>
      </c>
      <c r="BMA6" s="179">
        <f>IFERROR(VLOOKUP(BMA$1,EliteIncome[[Ticker]:[Weight]],2,FALSE),0%)</f>
        <v>0</v>
      </c>
      <c r="BMB6" s="179">
        <f>IFERROR(VLOOKUP(BMB$1,EliteIncome[[Ticker]:[Weight]],2,FALSE),0%)</f>
        <v>0</v>
      </c>
      <c r="BMC6" s="179">
        <f>IFERROR(VLOOKUP(BMC$1,EliteIncome[[Ticker]:[Weight]],2,FALSE),0%)</f>
        <v>0</v>
      </c>
      <c r="BMD6" s="179">
        <f>IFERROR(VLOOKUP(BMD$1,EliteIncome[[Ticker]:[Weight]],2,FALSE),0%)</f>
        <v>0</v>
      </c>
      <c r="BME6" s="179">
        <f>IFERROR(VLOOKUP(BME$1,EliteIncome[[Ticker]:[Weight]],2,FALSE),0%)</f>
        <v>0</v>
      </c>
      <c r="BMF6" s="179">
        <f>IFERROR(VLOOKUP(BMF$1,EliteIncome[[Ticker]:[Weight]],2,FALSE),0%)</f>
        <v>0</v>
      </c>
      <c r="BMG6" s="179">
        <f>IFERROR(VLOOKUP(BMG$1,EliteIncome[[Ticker]:[Weight]],2,FALSE),0%)</f>
        <v>0</v>
      </c>
      <c r="BMH6" s="179">
        <f>IFERROR(VLOOKUP(BMH$1,EliteIncome[[Ticker]:[Weight]],2,FALSE),0%)</f>
        <v>0</v>
      </c>
      <c r="BMI6" s="179">
        <f>IFERROR(VLOOKUP(BMI$1,EliteIncome[[Ticker]:[Weight]],2,FALSE),0%)</f>
        <v>0</v>
      </c>
      <c r="BMJ6" s="179">
        <f>IFERROR(VLOOKUP(BMJ$1,EliteIncome[[Ticker]:[Weight]],2,FALSE),0%)</f>
        <v>0</v>
      </c>
      <c r="BMK6" s="179">
        <f>IFERROR(VLOOKUP(BMK$1,EliteIncome[[Ticker]:[Weight]],2,FALSE),0%)</f>
        <v>0</v>
      </c>
      <c r="BML6" s="179">
        <f>IFERROR(VLOOKUP(BML$1,EliteIncome[[Ticker]:[Weight]],2,FALSE),0%)</f>
        <v>0</v>
      </c>
      <c r="BMM6" s="179">
        <f>IFERROR(VLOOKUP(BMM$1,EliteIncome[[Ticker]:[Weight]],2,FALSE),0%)</f>
        <v>0</v>
      </c>
      <c r="BMN6" s="179">
        <f>IFERROR(VLOOKUP(BMN$1,EliteIncome[[Ticker]:[Weight]],2,FALSE),0%)</f>
        <v>0</v>
      </c>
      <c r="BMO6" s="179">
        <f>IFERROR(VLOOKUP(BMO$1,EliteIncome[[Ticker]:[Weight]],2,FALSE),0%)</f>
        <v>0</v>
      </c>
      <c r="BMP6" s="179">
        <f>IFERROR(VLOOKUP(BMP$1,EliteIncome[[Ticker]:[Weight]],2,FALSE),0%)</f>
        <v>0</v>
      </c>
      <c r="BMQ6" s="179">
        <f>IFERROR(VLOOKUP(BMQ$1,EliteIncome[[Ticker]:[Weight]],2,FALSE),0%)</f>
        <v>0</v>
      </c>
      <c r="BMR6" s="179">
        <f>IFERROR(VLOOKUP(BMR$1,EliteIncome[[Ticker]:[Weight]],2,FALSE),0%)</f>
        <v>0</v>
      </c>
      <c r="BMS6" s="179">
        <f>IFERROR(VLOOKUP(BMS$1,EliteIncome[[Ticker]:[Weight]],2,FALSE),0%)</f>
        <v>0</v>
      </c>
      <c r="BMT6" s="179">
        <f>IFERROR(VLOOKUP(BMT$1,EliteIncome[[Ticker]:[Weight]],2,FALSE),0%)</f>
        <v>0</v>
      </c>
      <c r="BMU6" s="179">
        <f>IFERROR(VLOOKUP(BMU$1,EliteIncome[[Ticker]:[Weight]],2,FALSE),0%)</f>
        <v>0</v>
      </c>
      <c r="BMV6" s="179">
        <f>IFERROR(VLOOKUP(BMV$1,EliteIncome[[Ticker]:[Weight]],2,FALSE),0%)</f>
        <v>0</v>
      </c>
      <c r="BMW6" s="179">
        <f>IFERROR(VLOOKUP(BMW$1,EliteIncome[[Ticker]:[Weight]],2,FALSE),0%)</f>
        <v>0</v>
      </c>
      <c r="BMX6" s="179">
        <f>IFERROR(VLOOKUP(BMX$1,EliteIncome[[Ticker]:[Weight]],2,FALSE),0%)</f>
        <v>0</v>
      </c>
      <c r="BMY6" s="179">
        <f>IFERROR(VLOOKUP(BMY$1,EliteIncome[[Ticker]:[Weight]],2,FALSE),0%)</f>
        <v>0</v>
      </c>
      <c r="BMZ6" s="179">
        <f>IFERROR(VLOOKUP(BMZ$1,EliteIncome[[Ticker]:[Weight]],2,FALSE),0%)</f>
        <v>0</v>
      </c>
      <c r="BNA6" s="179">
        <f>IFERROR(VLOOKUP(BNA$1,EliteIncome[[Ticker]:[Weight]],2,FALSE),0%)</f>
        <v>0</v>
      </c>
      <c r="BNB6" s="179">
        <f>IFERROR(VLOOKUP(BNB$1,EliteIncome[[Ticker]:[Weight]],2,FALSE),0%)</f>
        <v>0</v>
      </c>
      <c r="BNC6" s="179">
        <f>IFERROR(VLOOKUP(BNC$1,EliteIncome[[Ticker]:[Weight]],2,FALSE),0%)</f>
        <v>0</v>
      </c>
      <c r="BND6" s="179">
        <f>IFERROR(VLOOKUP(BND$1,EliteIncome[[Ticker]:[Weight]],2,FALSE),0%)</f>
        <v>0</v>
      </c>
      <c r="BNE6" s="179">
        <f>IFERROR(VLOOKUP(BNE$1,EliteIncome[[Ticker]:[Weight]],2,FALSE),0%)</f>
        <v>0</v>
      </c>
      <c r="BNF6" s="179">
        <f>IFERROR(VLOOKUP(BNF$1,EliteIncome[[Ticker]:[Weight]],2,FALSE),0%)</f>
        <v>0</v>
      </c>
      <c r="BNG6" s="179">
        <f>IFERROR(VLOOKUP(BNG$1,EliteIncome[[Ticker]:[Weight]],2,FALSE),0%)</f>
        <v>0</v>
      </c>
      <c r="BNH6" s="179">
        <f>IFERROR(VLOOKUP(BNH$1,EliteIncome[[Ticker]:[Weight]],2,FALSE),0%)</f>
        <v>0</v>
      </c>
      <c r="BNI6" s="179">
        <f>IFERROR(VLOOKUP(BNI$1,EliteIncome[[Ticker]:[Weight]],2,FALSE),0%)</f>
        <v>0</v>
      </c>
      <c r="BNJ6" s="179">
        <f>IFERROR(VLOOKUP(BNJ$1,EliteIncome[[Ticker]:[Weight]],2,FALSE),0%)</f>
        <v>0</v>
      </c>
      <c r="BNK6" s="179">
        <f>IFERROR(VLOOKUP(BNK$1,EliteIncome[[Ticker]:[Weight]],2,FALSE),0%)</f>
        <v>0</v>
      </c>
      <c r="BNL6" s="179">
        <f>IFERROR(VLOOKUP(BNL$1,EliteIncome[[Ticker]:[Weight]],2,FALSE),0%)</f>
        <v>0</v>
      </c>
      <c r="BNM6" s="179">
        <f>IFERROR(VLOOKUP(BNM$1,EliteIncome[[Ticker]:[Weight]],2,FALSE),0%)</f>
        <v>0</v>
      </c>
      <c r="BNN6" s="179">
        <f>IFERROR(VLOOKUP(BNN$1,EliteIncome[[Ticker]:[Weight]],2,FALSE),0%)</f>
        <v>0</v>
      </c>
      <c r="BNO6" s="179">
        <f>IFERROR(VLOOKUP(BNO$1,EliteIncome[[Ticker]:[Weight]],2,FALSE),0%)</f>
        <v>0</v>
      </c>
      <c r="BNP6" s="179">
        <f>IFERROR(VLOOKUP(BNP$1,EliteIncome[[Ticker]:[Weight]],2,FALSE),0%)</f>
        <v>0</v>
      </c>
      <c r="BNQ6" s="179">
        <f>IFERROR(VLOOKUP(BNQ$1,EliteIncome[[Ticker]:[Weight]],2,FALSE),0%)</f>
        <v>0</v>
      </c>
      <c r="BNR6" s="179">
        <f>IFERROR(VLOOKUP(BNR$1,EliteIncome[[Ticker]:[Weight]],2,FALSE),0%)</f>
        <v>0</v>
      </c>
      <c r="BNS6" s="179">
        <f>IFERROR(VLOOKUP(BNS$1,EliteIncome[[Ticker]:[Weight]],2,FALSE),0%)</f>
        <v>0</v>
      </c>
      <c r="BNT6" s="179">
        <f>IFERROR(VLOOKUP(BNT$1,EliteIncome[[Ticker]:[Weight]],2,FALSE),0%)</f>
        <v>0</v>
      </c>
      <c r="BNU6" s="179">
        <f>IFERROR(VLOOKUP(BNU$1,EliteIncome[[Ticker]:[Weight]],2,FALSE),0%)</f>
        <v>0</v>
      </c>
      <c r="BNV6" s="179">
        <f>IFERROR(VLOOKUP(BNV$1,EliteIncome[[Ticker]:[Weight]],2,FALSE),0%)</f>
        <v>0</v>
      </c>
      <c r="BNW6" s="179">
        <f>IFERROR(VLOOKUP(BNW$1,EliteIncome[[Ticker]:[Weight]],2,FALSE),0%)</f>
        <v>0</v>
      </c>
      <c r="BNX6" s="179">
        <f>IFERROR(VLOOKUP(BNX$1,EliteIncome[[Ticker]:[Weight]],2,FALSE),0%)</f>
        <v>0</v>
      </c>
      <c r="BNY6" s="179">
        <f>IFERROR(VLOOKUP(BNY$1,EliteIncome[[Ticker]:[Weight]],2,FALSE),0%)</f>
        <v>0</v>
      </c>
      <c r="BNZ6" s="179">
        <f>IFERROR(VLOOKUP(BNZ$1,EliteIncome[[Ticker]:[Weight]],2,FALSE),0%)</f>
        <v>0</v>
      </c>
      <c r="BOA6" s="179">
        <f>IFERROR(VLOOKUP(BOA$1,EliteIncome[[Ticker]:[Weight]],2,FALSE),0%)</f>
        <v>0</v>
      </c>
      <c r="BOB6" s="179">
        <f>IFERROR(VLOOKUP(BOB$1,EliteIncome[[Ticker]:[Weight]],2,FALSE),0%)</f>
        <v>0</v>
      </c>
      <c r="BOC6" s="179">
        <f>IFERROR(VLOOKUP(BOC$1,EliteIncome[[Ticker]:[Weight]],2,FALSE),0%)</f>
        <v>0</v>
      </c>
      <c r="BOD6" s="179">
        <f>IFERROR(VLOOKUP(BOD$1,EliteIncome[[Ticker]:[Weight]],2,FALSE),0%)</f>
        <v>0</v>
      </c>
      <c r="BOE6" s="179">
        <f>IFERROR(VLOOKUP(BOE$1,EliteIncome[[Ticker]:[Weight]],2,FALSE),0%)</f>
        <v>0</v>
      </c>
      <c r="BOF6" s="179">
        <f>IFERROR(VLOOKUP(BOF$1,EliteIncome[[Ticker]:[Weight]],2,FALSE),0%)</f>
        <v>0</v>
      </c>
      <c r="BOG6" s="179">
        <f>IFERROR(VLOOKUP(BOG$1,EliteIncome[[Ticker]:[Weight]],2,FALSE),0%)</f>
        <v>0</v>
      </c>
      <c r="BOH6" s="179">
        <f>IFERROR(VLOOKUP(BOH$1,EliteIncome[[Ticker]:[Weight]],2,FALSE),0%)</f>
        <v>0</v>
      </c>
      <c r="BOI6" s="179">
        <f>IFERROR(VLOOKUP(BOI$1,EliteIncome[[Ticker]:[Weight]],2,FALSE),0%)</f>
        <v>0</v>
      </c>
      <c r="BOJ6" s="179">
        <f>IFERROR(VLOOKUP(BOJ$1,EliteIncome[[Ticker]:[Weight]],2,FALSE),0%)</f>
        <v>0</v>
      </c>
      <c r="BOK6" s="179">
        <f>IFERROR(VLOOKUP(BOK$1,EliteIncome[[Ticker]:[Weight]],2,FALSE),0%)</f>
        <v>0</v>
      </c>
      <c r="BOL6" s="179">
        <f>IFERROR(VLOOKUP(BOL$1,EliteIncome[[Ticker]:[Weight]],2,FALSE),0%)</f>
        <v>0</v>
      </c>
      <c r="BOM6" s="179">
        <f>IFERROR(VLOOKUP(BOM$1,EliteIncome[[Ticker]:[Weight]],2,FALSE),0%)</f>
        <v>0</v>
      </c>
      <c r="BON6" s="179">
        <f>IFERROR(VLOOKUP(BON$1,EliteIncome[[Ticker]:[Weight]],2,FALSE),0%)</f>
        <v>0</v>
      </c>
      <c r="BOO6" s="179">
        <f>IFERROR(VLOOKUP(BOO$1,EliteIncome[[Ticker]:[Weight]],2,FALSE),0%)</f>
        <v>0</v>
      </c>
      <c r="BOP6" s="179">
        <f>IFERROR(VLOOKUP(BOP$1,EliteIncome[[Ticker]:[Weight]],2,FALSE),0%)</f>
        <v>0</v>
      </c>
      <c r="BOQ6" s="179">
        <f>IFERROR(VLOOKUP(BOQ$1,EliteIncome[[Ticker]:[Weight]],2,FALSE),0%)</f>
        <v>0</v>
      </c>
      <c r="BOR6" s="179">
        <f>IFERROR(VLOOKUP(BOR$1,EliteIncome[[Ticker]:[Weight]],2,FALSE),0%)</f>
        <v>0</v>
      </c>
      <c r="BOS6" s="179">
        <f>IFERROR(VLOOKUP(BOS$1,EliteIncome[[Ticker]:[Weight]],2,FALSE),0%)</f>
        <v>0</v>
      </c>
      <c r="BOT6" s="179">
        <f>IFERROR(VLOOKUP(BOT$1,EliteIncome[[Ticker]:[Weight]],2,FALSE),0%)</f>
        <v>0</v>
      </c>
      <c r="BOU6" s="179">
        <f>IFERROR(VLOOKUP(BOU$1,EliteIncome[[Ticker]:[Weight]],2,FALSE),0%)</f>
        <v>0</v>
      </c>
      <c r="BOV6" s="179">
        <f>IFERROR(VLOOKUP(BOV$1,EliteIncome[[Ticker]:[Weight]],2,FALSE),0%)</f>
        <v>0</v>
      </c>
      <c r="BOW6" s="179">
        <f>IFERROR(VLOOKUP(BOW$1,EliteIncome[[Ticker]:[Weight]],2,FALSE),0%)</f>
        <v>0</v>
      </c>
      <c r="BOX6" s="179">
        <f>IFERROR(VLOOKUP(BOX$1,EliteIncome[[Ticker]:[Weight]],2,FALSE),0%)</f>
        <v>0</v>
      </c>
      <c r="BOY6" s="179">
        <f>IFERROR(VLOOKUP(BOY$1,EliteIncome[[Ticker]:[Weight]],2,FALSE),0%)</f>
        <v>0</v>
      </c>
      <c r="BOZ6" s="179">
        <f>IFERROR(VLOOKUP(BOZ$1,EliteIncome[[Ticker]:[Weight]],2,FALSE),0%)</f>
        <v>0</v>
      </c>
      <c r="BPA6" s="179">
        <f>IFERROR(VLOOKUP(BPA$1,EliteIncome[[Ticker]:[Weight]],2,FALSE),0%)</f>
        <v>0</v>
      </c>
      <c r="BPB6" s="179">
        <f>IFERROR(VLOOKUP(BPB$1,EliteIncome[[Ticker]:[Weight]],2,FALSE),0%)</f>
        <v>0</v>
      </c>
      <c r="BPC6" s="179">
        <f>IFERROR(VLOOKUP(BPC$1,EliteIncome[[Ticker]:[Weight]],2,FALSE),0%)</f>
        <v>0</v>
      </c>
      <c r="BPD6" s="179">
        <f>IFERROR(VLOOKUP(BPD$1,EliteIncome[[Ticker]:[Weight]],2,FALSE),0%)</f>
        <v>0</v>
      </c>
      <c r="BPE6" s="179">
        <f>IFERROR(VLOOKUP(BPE$1,EliteIncome[[Ticker]:[Weight]],2,FALSE),0%)</f>
        <v>0</v>
      </c>
      <c r="BPF6" s="179">
        <f>IFERROR(VLOOKUP(BPF$1,EliteIncome[[Ticker]:[Weight]],2,FALSE),0%)</f>
        <v>0</v>
      </c>
      <c r="BPG6" s="179">
        <f>IFERROR(VLOOKUP(BPG$1,EliteIncome[[Ticker]:[Weight]],2,FALSE),0%)</f>
        <v>0</v>
      </c>
      <c r="BPH6" s="179">
        <f>IFERROR(VLOOKUP(BPH$1,EliteIncome[[Ticker]:[Weight]],2,FALSE),0%)</f>
        <v>0</v>
      </c>
      <c r="BPI6" s="179">
        <f>IFERROR(VLOOKUP(BPI$1,EliteIncome[[Ticker]:[Weight]],2,FALSE),0%)</f>
        <v>0</v>
      </c>
      <c r="BPJ6" s="179">
        <f>IFERROR(VLOOKUP(BPJ$1,EliteIncome[[Ticker]:[Weight]],2,FALSE),0%)</f>
        <v>0</v>
      </c>
      <c r="BPK6" s="179">
        <f>IFERROR(VLOOKUP(BPK$1,EliteIncome[[Ticker]:[Weight]],2,FALSE),0%)</f>
        <v>0</v>
      </c>
      <c r="BPL6" s="179">
        <f>IFERROR(VLOOKUP(BPL$1,EliteIncome[[Ticker]:[Weight]],2,FALSE),0%)</f>
        <v>0</v>
      </c>
      <c r="BPM6" s="179">
        <f>IFERROR(VLOOKUP(BPM$1,EliteIncome[[Ticker]:[Weight]],2,FALSE),0%)</f>
        <v>0</v>
      </c>
      <c r="BPN6" s="179">
        <f>IFERROR(VLOOKUP(BPN$1,EliteIncome[[Ticker]:[Weight]],2,FALSE),0%)</f>
        <v>0</v>
      </c>
      <c r="BPO6" s="179">
        <f>IFERROR(VLOOKUP(BPO$1,EliteIncome[[Ticker]:[Weight]],2,FALSE),0%)</f>
        <v>0</v>
      </c>
      <c r="BPP6" s="179">
        <f>IFERROR(VLOOKUP(BPP$1,EliteIncome[[Ticker]:[Weight]],2,FALSE),0%)</f>
        <v>0</v>
      </c>
      <c r="BPQ6" s="179">
        <f>IFERROR(VLOOKUP(BPQ$1,EliteIncome[[Ticker]:[Weight]],2,FALSE),0%)</f>
        <v>0</v>
      </c>
      <c r="BPR6" s="179">
        <f>IFERROR(VLOOKUP(BPR$1,EliteIncome[[Ticker]:[Weight]],2,FALSE),0%)</f>
        <v>0</v>
      </c>
      <c r="BPS6" s="179">
        <f>IFERROR(VLOOKUP(BPS$1,EliteIncome[[Ticker]:[Weight]],2,FALSE),0%)</f>
        <v>0</v>
      </c>
      <c r="BPT6" s="179">
        <f>IFERROR(VLOOKUP(BPT$1,EliteIncome[[Ticker]:[Weight]],2,FALSE),0%)</f>
        <v>0</v>
      </c>
      <c r="BPU6" s="179">
        <f>IFERROR(VLOOKUP(BPU$1,EliteIncome[[Ticker]:[Weight]],2,FALSE),0%)</f>
        <v>0</v>
      </c>
      <c r="BPV6" s="179">
        <f>IFERROR(VLOOKUP(BPV$1,EliteIncome[[Ticker]:[Weight]],2,FALSE),0%)</f>
        <v>0</v>
      </c>
      <c r="BPW6" s="179">
        <f>IFERROR(VLOOKUP(BPW$1,EliteIncome[[Ticker]:[Weight]],2,FALSE),0%)</f>
        <v>0</v>
      </c>
      <c r="BPX6" s="179">
        <f>IFERROR(VLOOKUP(BPX$1,EliteIncome[[Ticker]:[Weight]],2,FALSE),0%)</f>
        <v>0</v>
      </c>
      <c r="BPY6" s="179">
        <f>IFERROR(VLOOKUP(BPY$1,EliteIncome[[Ticker]:[Weight]],2,FALSE),0%)</f>
        <v>0</v>
      </c>
      <c r="BPZ6" s="179">
        <f>IFERROR(VLOOKUP(BPZ$1,EliteIncome[[Ticker]:[Weight]],2,FALSE),0%)</f>
        <v>0</v>
      </c>
      <c r="BQA6" s="179">
        <f>IFERROR(VLOOKUP(BQA$1,EliteIncome[[Ticker]:[Weight]],2,FALSE),0%)</f>
        <v>0</v>
      </c>
      <c r="BQB6" s="179">
        <f>IFERROR(VLOOKUP(BQB$1,EliteIncome[[Ticker]:[Weight]],2,FALSE),0%)</f>
        <v>0</v>
      </c>
      <c r="BQC6" s="179">
        <f>IFERROR(VLOOKUP(BQC$1,EliteIncome[[Ticker]:[Weight]],2,FALSE),0%)</f>
        <v>0</v>
      </c>
      <c r="BQD6" s="179">
        <f>IFERROR(VLOOKUP(BQD$1,EliteIncome[[Ticker]:[Weight]],2,FALSE),0%)</f>
        <v>0</v>
      </c>
      <c r="BQE6" s="179">
        <f>IFERROR(VLOOKUP(BQE$1,EliteIncome[[Ticker]:[Weight]],2,FALSE),0%)</f>
        <v>0</v>
      </c>
      <c r="BQF6" s="179">
        <f>IFERROR(VLOOKUP(BQF$1,EliteIncome[[Ticker]:[Weight]],2,FALSE),0%)</f>
        <v>0</v>
      </c>
      <c r="BQG6" s="179">
        <f>IFERROR(VLOOKUP(BQG$1,EliteIncome[[Ticker]:[Weight]],2,FALSE),0%)</f>
        <v>0</v>
      </c>
      <c r="BQH6" s="179">
        <f>IFERROR(VLOOKUP(BQH$1,EliteIncome[[Ticker]:[Weight]],2,FALSE),0%)</f>
        <v>0</v>
      </c>
      <c r="BQI6" s="179">
        <f>IFERROR(VLOOKUP(BQI$1,EliteIncome[[Ticker]:[Weight]],2,FALSE),0%)</f>
        <v>0</v>
      </c>
      <c r="BQJ6" s="179">
        <f>IFERROR(VLOOKUP(BQJ$1,EliteIncome[[Ticker]:[Weight]],2,FALSE),0%)</f>
        <v>0</v>
      </c>
      <c r="BQK6" s="179">
        <f>IFERROR(VLOOKUP(BQK$1,EliteIncome[[Ticker]:[Weight]],2,FALSE),0%)</f>
        <v>0</v>
      </c>
      <c r="BQL6" s="179">
        <f>IFERROR(VLOOKUP(BQL$1,EliteIncome[[Ticker]:[Weight]],2,FALSE),0%)</f>
        <v>0</v>
      </c>
      <c r="BQM6" s="179">
        <f>IFERROR(VLOOKUP(BQM$1,EliteIncome[[Ticker]:[Weight]],2,FALSE),0%)</f>
        <v>0</v>
      </c>
      <c r="BQN6" s="179">
        <f>IFERROR(VLOOKUP(BQN$1,EliteIncome[[Ticker]:[Weight]],2,FALSE),0%)</f>
        <v>0</v>
      </c>
      <c r="BQO6" s="179">
        <f>IFERROR(VLOOKUP(BQO$1,EliteIncome[[Ticker]:[Weight]],2,FALSE),0%)</f>
        <v>0</v>
      </c>
      <c r="BQP6" s="179">
        <f>IFERROR(VLOOKUP(BQP$1,EliteIncome[[Ticker]:[Weight]],2,FALSE),0%)</f>
        <v>0</v>
      </c>
      <c r="BQQ6" s="179">
        <f>IFERROR(VLOOKUP(BQQ$1,EliteIncome[[Ticker]:[Weight]],2,FALSE),0%)</f>
        <v>0</v>
      </c>
      <c r="BQR6" s="179">
        <f>IFERROR(VLOOKUP(BQR$1,EliteIncome[[Ticker]:[Weight]],2,FALSE),0%)</f>
        <v>0</v>
      </c>
      <c r="BQS6" s="179">
        <f>IFERROR(VLOOKUP(BQS$1,EliteIncome[[Ticker]:[Weight]],2,FALSE),0%)</f>
        <v>0</v>
      </c>
      <c r="BQT6" s="179">
        <f>IFERROR(VLOOKUP(BQT$1,EliteIncome[[Ticker]:[Weight]],2,FALSE),0%)</f>
        <v>0</v>
      </c>
      <c r="BQU6" s="179">
        <f>IFERROR(VLOOKUP(BQU$1,EliteIncome[[Ticker]:[Weight]],2,FALSE),0%)</f>
        <v>0</v>
      </c>
      <c r="BQV6" s="179">
        <f>IFERROR(VLOOKUP(BQV$1,EliteIncome[[Ticker]:[Weight]],2,FALSE),0%)</f>
        <v>0</v>
      </c>
      <c r="BQW6" s="179">
        <f>IFERROR(VLOOKUP(BQW$1,EliteIncome[[Ticker]:[Weight]],2,FALSE),0%)</f>
        <v>0</v>
      </c>
      <c r="BQX6" s="179">
        <f>IFERROR(VLOOKUP(BQX$1,EliteIncome[[Ticker]:[Weight]],2,FALSE),0%)</f>
        <v>0</v>
      </c>
      <c r="BQY6" s="179">
        <f>IFERROR(VLOOKUP(BQY$1,EliteIncome[[Ticker]:[Weight]],2,FALSE),0%)</f>
        <v>0</v>
      </c>
      <c r="BQZ6" s="179">
        <f>IFERROR(VLOOKUP(BQZ$1,EliteIncome[[Ticker]:[Weight]],2,FALSE),0%)</f>
        <v>0</v>
      </c>
      <c r="BRA6" s="179">
        <f>IFERROR(VLOOKUP(BRA$1,EliteIncome[[Ticker]:[Weight]],2,FALSE),0%)</f>
        <v>0</v>
      </c>
      <c r="BRB6" s="179">
        <f>IFERROR(VLOOKUP(BRB$1,EliteIncome[[Ticker]:[Weight]],2,FALSE),0%)</f>
        <v>0</v>
      </c>
      <c r="BRC6" s="179">
        <f>IFERROR(VLOOKUP(BRC$1,EliteIncome[[Ticker]:[Weight]],2,FALSE),0%)</f>
        <v>0</v>
      </c>
      <c r="BRD6" s="179">
        <f>IFERROR(VLOOKUP(BRD$1,EliteIncome[[Ticker]:[Weight]],2,FALSE),0%)</f>
        <v>0</v>
      </c>
      <c r="BRE6" s="179">
        <f>IFERROR(VLOOKUP(BRE$1,EliteIncome[[Ticker]:[Weight]],2,FALSE),0%)</f>
        <v>0</v>
      </c>
      <c r="BRF6" s="179">
        <f>IFERROR(VLOOKUP(BRF$1,EliteIncome[[Ticker]:[Weight]],2,FALSE),0%)</f>
        <v>0</v>
      </c>
      <c r="BRG6" s="179">
        <f>IFERROR(VLOOKUP(BRG$1,EliteIncome[[Ticker]:[Weight]],2,FALSE),0%)</f>
        <v>0</v>
      </c>
      <c r="BRH6" s="179">
        <f>IFERROR(VLOOKUP(BRH$1,EliteIncome[[Ticker]:[Weight]],2,FALSE),0%)</f>
        <v>0</v>
      </c>
      <c r="BRI6" s="179">
        <f>IFERROR(VLOOKUP(BRI$1,EliteIncome[[Ticker]:[Weight]],2,FALSE),0%)</f>
        <v>0</v>
      </c>
      <c r="BRJ6" s="179">
        <f>IFERROR(VLOOKUP(BRJ$1,EliteIncome[[Ticker]:[Weight]],2,FALSE),0%)</f>
        <v>0</v>
      </c>
      <c r="BRK6" s="179">
        <f>IFERROR(VLOOKUP(BRK$1,EliteIncome[[Ticker]:[Weight]],2,FALSE),0%)</f>
        <v>0</v>
      </c>
      <c r="BRL6" s="179">
        <f>IFERROR(VLOOKUP(BRL$1,EliteIncome[[Ticker]:[Weight]],2,FALSE),0%)</f>
        <v>0</v>
      </c>
      <c r="BRM6" s="179">
        <f>IFERROR(VLOOKUP(BRM$1,EliteIncome[[Ticker]:[Weight]],2,FALSE),0%)</f>
        <v>0</v>
      </c>
      <c r="BRN6" s="179">
        <f>IFERROR(VLOOKUP(BRN$1,EliteIncome[[Ticker]:[Weight]],2,FALSE),0%)</f>
        <v>0</v>
      </c>
      <c r="BRO6" s="179">
        <f>IFERROR(VLOOKUP(BRO$1,EliteIncome[[Ticker]:[Weight]],2,FALSE),0%)</f>
        <v>0</v>
      </c>
      <c r="BRP6" s="179">
        <f>IFERROR(VLOOKUP(BRP$1,EliteIncome[[Ticker]:[Weight]],2,FALSE),0%)</f>
        <v>0</v>
      </c>
      <c r="BRQ6" s="179">
        <f>IFERROR(VLOOKUP(BRQ$1,EliteIncome[[Ticker]:[Weight]],2,FALSE),0%)</f>
        <v>0</v>
      </c>
      <c r="BRR6" s="179">
        <f>IFERROR(VLOOKUP(BRR$1,EliteIncome[[Ticker]:[Weight]],2,FALSE),0%)</f>
        <v>0</v>
      </c>
      <c r="BRS6" s="179">
        <f>IFERROR(VLOOKUP(BRS$1,EliteIncome[[Ticker]:[Weight]],2,FALSE),0%)</f>
        <v>0</v>
      </c>
      <c r="BRT6" s="179">
        <f>IFERROR(VLOOKUP(BRT$1,EliteIncome[[Ticker]:[Weight]],2,FALSE),0%)</f>
        <v>0</v>
      </c>
      <c r="BRU6" s="179">
        <f>IFERROR(VLOOKUP(BRU$1,EliteIncome[[Ticker]:[Weight]],2,FALSE),0%)</f>
        <v>0</v>
      </c>
      <c r="BRV6" s="179">
        <f>IFERROR(VLOOKUP(BRV$1,EliteIncome[[Ticker]:[Weight]],2,FALSE),0%)</f>
        <v>0</v>
      </c>
      <c r="BRW6" s="179">
        <f>IFERROR(VLOOKUP(BRW$1,EliteIncome[[Ticker]:[Weight]],2,FALSE),0%)</f>
        <v>0</v>
      </c>
      <c r="BRX6" s="179">
        <f>IFERROR(VLOOKUP(BRX$1,EliteIncome[[Ticker]:[Weight]],2,FALSE),0%)</f>
        <v>0</v>
      </c>
      <c r="BRY6" s="179">
        <f>IFERROR(VLOOKUP(BRY$1,EliteIncome[[Ticker]:[Weight]],2,FALSE),0%)</f>
        <v>0</v>
      </c>
      <c r="BRZ6" s="179">
        <f>IFERROR(VLOOKUP(BRZ$1,EliteIncome[[Ticker]:[Weight]],2,FALSE),0%)</f>
        <v>0</v>
      </c>
      <c r="BSA6" s="179">
        <f>IFERROR(VLOOKUP(BSA$1,EliteIncome[[Ticker]:[Weight]],2,FALSE),0%)</f>
        <v>0</v>
      </c>
      <c r="BSB6" s="179">
        <f>IFERROR(VLOOKUP(BSB$1,EliteIncome[[Ticker]:[Weight]],2,FALSE),0%)</f>
        <v>0</v>
      </c>
      <c r="BSC6" s="179">
        <f>IFERROR(VLOOKUP(BSC$1,EliteIncome[[Ticker]:[Weight]],2,FALSE),0%)</f>
        <v>0</v>
      </c>
      <c r="BSD6" s="179">
        <f>IFERROR(VLOOKUP(BSD$1,EliteIncome[[Ticker]:[Weight]],2,FALSE),0%)</f>
        <v>0</v>
      </c>
      <c r="BSE6" s="179">
        <f>IFERROR(VLOOKUP(BSE$1,EliteIncome[[Ticker]:[Weight]],2,FALSE),0%)</f>
        <v>0</v>
      </c>
      <c r="BSF6" s="179">
        <f>IFERROR(VLOOKUP(BSF$1,EliteIncome[[Ticker]:[Weight]],2,FALSE),0%)</f>
        <v>0</v>
      </c>
      <c r="BSG6" s="179">
        <f>IFERROR(VLOOKUP(BSG$1,EliteIncome[[Ticker]:[Weight]],2,FALSE),0%)</f>
        <v>0</v>
      </c>
      <c r="BSH6" s="179">
        <f>IFERROR(VLOOKUP(BSH$1,EliteIncome[[Ticker]:[Weight]],2,FALSE),0%)</f>
        <v>0</v>
      </c>
      <c r="BSI6" s="179">
        <f>IFERROR(VLOOKUP(BSI$1,EliteIncome[[Ticker]:[Weight]],2,FALSE),0%)</f>
        <v>0</v>
      </c>
      <c r="BSJ6" s="179">
        <f>IFERROR(VLOOKUP(BSJ$1,EliteIncome[[Ticker]:[Weight]],2,FALSE),0%)</f>
        <v>0</v>
      </c>
      <c r="BSK6" s="179">
        <f>IFERROR(VLOOKUP(BSK$1,EliteIncome[[Ticker]:[Weight]],2,FALSE),0%)</f>
        <v>0</v>
      </c>
      <c r="BSL6" s="179">
        <f>IFERROR(VLOOKUP(BSL$1,EliteIncome[[Ticker]:[Weight]],2,FALSE),0%)</f>
        <v>0</v>
      </c>
      <c r="BSM6" s="179">
        <f>IFERROR(VLOOKUP(BSM$1,EliteIncome[[Ticker]:[Weight]],2,FALSE),0%)</f>
        <v>0</v>
      </c>
      <c r="BSN6" s="179">
        <f>IFERROR(VLOOKUP(BSN$1,EliteIncome[[Ticker]:[Weight]],2,FALSE),0%)</f>
        <v>0</v>
      </c>
      <c r="BSO6" s="179">
        <f>IFERROR(VLOOKUP(BSO$1,EliteIncome[[Ticker]:[Weight]],2,FALSE),0%)</f>
        <v>0</v>
      </c>
      <c r="BSP6" s="179">
        <f>IFERROR(VLOOKUP(BSP$1,EliteIncome[[Ticker]:[Weight]],2,FALSE),0%)</f>
        <v>0</v>
      </c>
      <c r="BSQ6" s="179">
        <f>IFERROR(VLOOKUP(BSQ$1,EliteIncome[[Ticker]:[Weight]],2,FALSE),0%)</f>
        <v>0</v>
      </c>
      <c r="BSR6" s="179">
        <f>IFERROR(VLOOKUP(BSR$1,EliteIncome[[Ticker]:[Weight]],2,FALSE),0%)</f>
        <v>0</v>
      </c>
      <c r="BSS6" s="179">
        <f>IFERROR(VLOOKUP(BSS$1,EliteIncome[[Ticker]:[Weight]],2,FALSE),0%)</f>
        <v>0</v>
      </c>
      <c r="BST6" s="179">
        <f>IFERROR(VLOOKUP(BST$1,EliteIncome[[Ticker]:[Weight]],2,FALSE),0%)</f>
        <v>0</v>
      </c>
      <c r="BSU6" s="179">
        <f>IFERROR(VLOOKUP(BSU$1,EliteIncome[[Ticker]:[Weight]],2,FALSE),0%)</f>
        <v>0</v>
      </c>
      <c r="BSV6" s="179">
        <f>IFERROR(VLOOKUP(BSV$1,EliteIncome[[Ticker]:[Weight]],2,FALSE),0%)</f>
        <v>0</v>
      </c>
      <c r="BSW6" s="179">
        <f>IFERROR(VLOOKUP(BSW$1,EliteIncome[[Ticker]:[Weight]],2,FALSE),0%)</f>
        <v>0</v>
      </c>
      <c r="BSX6" s="179">
        <f>IFERROR(VLOOKUP(BSX$1,EliteIncome[[Ticker]:[Weight]],2,FALSE),0%)</f>
        <v>0</v>
      </c>
      <c r="BSY6" s="179">
        <f>IFERROR(VLOOKUP(BSY$1,EliteIncome[[Ticker]:[Weight]],2,FALSE),0%)</f>
        <v>0</v>
      </c>
      <c r="BSZ6" s="179">
        <f>IFERROR(VLOOKUP(BSZ$1,EliteIncome[[Ticker]:[Weight]],2,FALSE),0%)</f>
        <v>0</v>
      </c>
      <c r="BTA6" s="179">
        <f>IFERROR(VLOOKUP(BTA$1,EliteIncome[[Ticker]:[Weight]],2,FALSE),0%)</f>
        <v>0</v>
      </c>
      <c r="BTB6" s="179">
        <f>IFERROR(VLOOKUP(BTB$1,EliteIncome[[Ticker]:[Weight]],2,FALSE),0%)</f>
        <v>0</v>
      </c>
      <c r="BTC6" s="179">
        <f>IFERROR(VLOOKUP(BTC$1,EliteIncome[[Ticker]:[Weight]],2,FALSE),0%)</f>
        <v>0</v>
      </c>
      <c r="BTD6" s="179">
        <f>IFERROR(VLOOKUP(BTD$1,EliteIncome[[Ticker]:[Weight]],2,FALSE),0%)</f>
        <v>0</v>
      </c>
      <c r="BTE6" s="179">
        <f>IFERROR(VLOOKUP(BTE$1,EliteIncome[[Ticker]:[Weight]],2,FALSE),0%)</f>
        <v>0</v>
      </c>
      <c r="BTF6" s="179">
        <f>IFERROR(VLOOKUP(BTF$1,EliteIncome[[Ticker]:[Weight]],2,FALSE),0%)</f>
        <v>0</v>
      </c>
      <c r="BTG6" s="179">
        <f>IFERROR(VLOOKUP(BTG$1,EliteIncome[[Ticker]:[Weight]],2,FALSE),0%)</f>
        <v>0</v>
      </c>
      <c r="BTH6" s="179">
        <f>IFERROR(VLOOKUP(BTH$1,EliteIncome[[Ticker]:[Weight]],2,FALSE),0%)</f>
        <v>0</v>
      </c>
      <c r="BTI6" s="179">
        <f>IFERROR(VLOOKUP(BTI$1,EliteIncome[[Ticker]:[Weight]],2,FALSE),0%)</f>
        <v>0</v>
      </c>
      <c r="BTJ6" s="179">
        <f>IFERROR(VLOOKUP(BTJ$1,EliteIncome[[Ticker]:[Weight]],2,FALSE),0%)</f>
        <v>0</v>
      </c>
      <c r="BTK6" s="179">
        <f>IFERROR(VLOOKUP(BTK$1,EliteIncome[[Ticker]:[Weight]],2,FALSE),0%)</f>
        <v>0</v>
      </c>
      <c r="BTL6" s="179">
        <f>IFERROR(VLOOKUP(BTL$1,EliteIncome[[Ticker]:[Weight]],2,FALSE),0%)</f>
        <v>0</v>
      </c>
      <c r="BTM6" s="179">
        <f>IFERROR(VLOOKUP(BTM$1,EliteIncome[[Ticker]:[Weight]],2,FALSE),0%)</f>
        <v>0</v>
      </c>
      <c r="BTN6" s="179">
        <f>IFERROR(VLOOKUP(BTN$1,EliteIncome[[Ticker]:[Weight]],2,FALSE),0%)</f>
        <v>0</v>
      </c>
      <c r="BTO6" s="179">
        <f>IFERROR(VLOOKUP(BTO$1,EliteIncome[[Ticker]:[Weight]],2,FALSE),0%)</f>
        <v>0</v>
      </c>
      <c r="BTP6" s="179">
        <f>IFERROR(VLOOKUP(BTP$1,EliteIncome[[Ticker]:[Weight]],2,FALSE),0%)</f>
        <v>0</v>
      </c>
      <c r="BTQ6" s="179">
        <f>IFERROR(VLOOKUP(BTQ$1,EliteIncome[[Ticker]:[Weight]],2,FALSE),0%)</f>
        <v>0</v>
      </c>
      <c r="BTR6" s="179">
        <f>IFERROR(VLOOKUP(BTR$1,EliteIncome[[Ticker]:[Weight]],2,FALSE),0%)</f>
        <v>0</v>
      </c>
      <c r="BTS6" s="179">
        <f>IFERROR(VLOOKUP(BTS$1,EliteIncome[[Ticker]:[Weight]],2,FALSE),0%)</f>
        <v>0</v>
      </c>
      <c r="BTT6" s="179">
        <f>IFERROR(VLOOKUP(BTT$1,EliteIncome[[Ticker]:[Weight]],2,FALSE),0%)</f>
        <v>0</v>
      </c>
      <c r="BTU6" s="179">
        <f>IFERROR(VLOOKUP(BTU$1,EliteIncome[[Ticker]:[Weight]],2,FALSE),0%)</f>
        <v>0</v>
      </c>
      <c r="BTV6" s="179">
        <f>IFERROR(VLOOKUP(BTV$1,EliteIncome[[Ticker]:[Weight]],2,FALSE),0%)</f>
        <v>0</v>
      </c>
      <c r="BTW6" s="179">
        <f>IFERROR(VLOOKUP(BTW$1,EliteIncome[[Ticker]:[Weight]],2,FALSE),0%)</f>
        <v>0</v>
      </c>
      <c r="BTX6" s="179">
        <f>IFERROR(VLOOKUP(BTX$1,EliteIncome[[Ticker]:[Weight]],2,FALSE),0%)</f>
        <v>0</v>
      </c>
      <c r="BTY6" s="179">
        <f>IFERROR(VLOOKUP(BTY$1,EliteIncome[[Ticker]:[Weight]],2,FALSE),0%)</f>
        <v>0</v>
      </c>
      <c r="BTZ6" s="179">
        <f>IFERROR(VLOOKUP(BTZ$1,EliteIncome[[Ticker]:[Weight]],2,FALSE),0%)</f>
        <v>0</v>
      </c>
      <c r="BUA6" s="179">
        <f>IFERROR(VLOOKUP(BUA$1,EliteIncome[[Ticker]:[Weight]],2,FALSE),0%)</f>
        <v>0</v>
      </c>
      <c r="BUB6" s="179">
        <f>IFERROR(VLOOKUP(BUB$1,EliteIncome[[Ticker]:[Weight]],2,FALSE),0%)</f>
        <v>0</v>
      </c>
      <c r="BUC6" s="179">
        <f>IFERROR(VLOOKUP(BUC$1,EliteIncome[[Ticker]:[Weight]],2,FALSE),0%)</f>
        <v>0</v>
      </c>
      <c r="BUD6" s="179">
        <f>IFERROR(VLOOKUP(BUD$1,EliteIncome[[Ticker]:[Weight]],2,FALSE),0%)</f>
        <v>0</v>
      </c>
      <c r="BUE6" s="179">
        <f>IFERROR(VLOOKUP(BUE$1,EliteIncome[[Ticker]:[Weight]],2,FALSE),0%)</f>
        <v>0</v>
      </c>
      <c r="BUF6" s="179">
        <f>IFERROR(VLOOKUP(BUF$1,EliteIncome[[Ticker]:[Weight]],2,FALSE),0%)</f>
        <v>0</v>
      </c>
      <c r="BUG6" s="179">
        <f>IFERROR(VLOOKUP(BUG$1,EliteIncome[[Ticker]:[Weight]],2,FALSE),0%)</f>
        <v>0</v>
      </c>
      <c r="BUH6" s="179">
        <f>IFERROR(VLOOKUP(BUH$1,EliteIncome[[Ticker]:[Weight]],2,FALSE),0%)</f>
        <v>0</v>
      </c>
      <c r="BUI6" s="179">
        <f>IFERROR(VLOOKUP(BUI$1,EliteIncome[[Ticker]:[Weight]],2,FALSE),0%)</f>
        <v>0</v>
      </c>
      <c r="BUJ6" s="179">
        <f>IFERROR(VLOOKUP(BUJ$1,EliteIncome[[Ticker]:[Weight]],2,FALSE),0%)</f>
        <v>0</v>
      </c>
      <c r="BUK6" s="179">
        <f>IFERROR(VLOOKUP(BUK$1,EliteIncome[[Ticker]:[Weight]],2,FALSE),0%)</f>
        <v>0</v>
      </c>
      <c r="BUL6" s="179">
        <f>IFERROR(VLOOKUP(BUL$1,EliteIncome[[Ticker]:[Weight]],2,FALSE),0%)</f>
        <v>0</v>
      </c>
      <c r="BUM6" s="179">
        <f>IFERROR(VLOOKUP(BUM$1,EliteIncome[[Ticker]:[Weight]],2,FALSE),0%)</f>
        <v>0</v>
      </c>
      <c r="BUN6" s="179">
        <f>IFERROR(VLOOKUP(BUN$1,EliteIncome[[Ticker]:[Weight]],2,FALSE),0%)</f>
        <v>0</v>
      </c>
      <c r="BUO6" s="179">
        <f>IFERROR(VLOOKUP(BUO$1,EliteIncome[[Ticker]:[Weight]],2,FALSE),0%)</f>
        <v>0</v>
      </c>
      <c r="BUP6" s="179">
        <f>IFERROR(VLOOKUP(BUP$1,EliteIncome[[Ticker]:[Weight]],2,FALSE),0%)</f>
        <v>0</v>
      </c>
      <c r="BUQ6" s="179">
        <f>IFERROR(VLOOKUP(BUQ$1,EliteIncome[[Ticker]:[Weight]],2,FALSE),0%)</f>
        <v>0</v>
      </c>
      <c r="BUR6" s="179">
        <f>IFERROR(VLOOKUP(BUR$1,EliteIncome[[Ticker]:[Weight]],2,FALSE),0%)</f>
        <v>0</v>
      </c>
      <c r="BUS6" s="179">
        <f>IFERROR(VLOOKUP(BUS$1,EliteIncome[[Ticker]:[Weight]],2,FALSE),0%)</f>
        <v>0</v>
      </c>
      <c r="BUT6" s="179">
        <f>IFERROR(VLOOKUP(BUT$1,EliteIncome[[Ticker]:[Weight]],2,FALSE),0%)</f>
        <v>0</v>
      </c>
      <c r="BUU6" s="179">
        <f>IFERROR(VLOOKUP(BUU$1,EliteIncome[[Ticker]:[Weight]],2,FALSE),0%)</f>
        <v>0</v>
      </c>
      <c r="BUV6" s="179">
        <f>IFERROR(VLOOKUP(BUV$1,EliteIncome[[Ticker]:[Weight]],2,FALSE),0%)</f>
        <v>0</v>
      </c>
      <c r="BUW6" s="179">
        <f>IFERROR(VLOOKUP(BUW$1,EliteIncome[[Ticker]:[Weight]],2,FALSE),0%)</f>
        <v>0</v>
      </c>
      <c r="BUX6" s="179">
        <f>IFERROR(VLOOKUP(BUX$1,EliteIncome[[Ticker]:[Weight]],2,FALSE),0%)</f>
        <v>0</v>
      </c>
      <c r="BUY6" s="179">
        <f>IFERROR(VLOOKUP(BUY$1,EliteIncome[[Ticker]:[Weight]],2,FALSE),0%)</f>
        <v>0</v>
      </c>
      <c r="BUZ6" s="179">
        <f>IFERROR(VLOOKUP(BUZ$1,EliteIncome[[Ticker]:[Weight]],2,FALSE),0%)</f>
        <v>0</v>
      </c>
      <c r="BVA6" s="179">
        <f>IFERROR(VLOOKUP(BVA$1,EliteIncome[[Ticker]:[Weight]],2,FALSE),0%)</f>
        <v>0</v>
      </c>
      <c r="BVB6" s="179">
        <f>IFERROR(VLOOKUP(BVB$1,EliteIncome[[Ticker]:[Weight]],2,FALSE),0%)</f>
        <v>0</v>
      </c>
      <c r="BVC6" s="179">
        <f>IFERROR(VLOOKUP(BVC$1,EliteIncome[[Ticker]:[Weight]],2,FALSE),0%)</f>
        <v>0</v>
      </c>
      <c r="BVD6" s="179">
        <f>IFERROR(VLOOKUP(BVD$1,EliteIncome[[Ticker]:[Weight]],2,FALSE),0%)</f>
        <v>0</v>
      </c>
      <c r="BVE6" s="179">
        <f>IFERROR(VLOOKUP(BVE$1,EliteIncome[[Ticker]:[Weight]],2,FALSE),0%)</f>
        <v>0</v>
      </c>
      <c r="BVF6" s="179">
        <f>IFERROR(VLOOKUP(BVF$1,EliteIncome[[Ticker]:[Weight]],2,FALSE),0%)</f>
        <v>0</v>
      </c>
      <c r="BVG6" s="179">
        <f>IFERROR(VLOOKUP(BVG$1,EliteIncome[[Ticker]:[Weight]],2,FALSE),0%)</f>
        <v>0</v>
      </c>
      <c r="BVH6" s="179">
        <f>IFERROR(VLOOKUP(BVH$1,EliteIncome[[Ticker]:[Weight]],2,FALSE),0%)</f>
        <v>0</v>
      </c>
      <c r="BVI6" s="179">
        <f>IFERROR(VLOOKUP(BVI$1,EliteIncome[[Ticker]:[Weight]],2,FALSE),0%)</f>
        <v>0</v>
      </c>
      <c r="BVJ6" s="179">
        <f>IFERROR(VLOOKUP(BVJ$1,EliteIncome[[Ticker]:[Weight]],2,FALSE),0%)</f>
        <v>0</v>
      </c>
      <c r="BVK6" s="179">
        <f>IFERROR(VLOOKUP(BVK$1,EliteIncome[[Ticker]:[Weight]],2,FALSE),0%)</f>
        <v>0</v>
      </c>
      <c r="BVL6" s="179">
        <f>IFERROR(VLOOKUP(BVL$1,EliteIncome[[Ticker]:[Weight]],2,FALSE),0%)</f>
        <v>0</v>
      </c>
      <c r="BVM6" s="179">
        <f>IFERROR(VLOOKUP(BVM$1,EliteIncome[[Ticker]:[Weight]],2,FALSE),0%)</f>
        <v>0</v>
      </c>
      <c r="BVN6" s="179">
        <f>IFERROR(VLOOKUP(BVN$1,EliteIncome[[Ticker]:[Weight]],2,FALSE),0%)</f>
        <v>0</v>
      </c>
      <c r="BVO6" s="179">
        <f>IFERROR(VLOOKUP(BVO$1,EliteIncome[[Ticker]:[Weight]],2,FALSE),0%)</f>
        <v>0</v>
      </c>
      <c r="BVP6" s="179">
        <f>IFERROR(VLOOKUP(BVP$1,EliteIncome[[Ticker]:[Weight]],2,FALSE),0%)</f>
        <v>0</v>
      </c>
      <c r="BVQ6" s="179">
        <f>IFERROR(VLOOKUP(BVQ$1,EliteIncome[[Ticker]:[Weight]],2,FALSE),0%)</f>
        <v>0</v>
      </c>
      <c r="BVR6" s="179">
        <f>IFERROR(VLOOKUP(BVR$1,EliteIncome[[Ticker]:[Weight]],2,FALSE),0%)</f>
        <v>0</v>
      </c>
      <c r="BVS6" s="179">
        <f>IFERROR(VLOOKUP(BVS$1,EliteIncome[[Ticker]:[Weight]],2,FALSE),0%)</f>
        <v>0</v>
      </c>
      <c r="BVT6" s="179">
        <f>IFERROR(VLOOKUP(BVT$1,EliteIncome[[Ticker]:[Weight]],2,FALSE),0%)</f>
        <v>0</v>
      </c>
      <c r="BVU6" s="179">
        <f>IFERROR(VLOOKUP(BVU$1,EliteIncome[[Ticker]:[Weight]],2,FALSE),0%)</f>
        <v>0</v>
      </c>
      <c r="BVV6" s="179">
        <f>IFERROR(VLOOKUP(BVV$1,EliteIncome[[Ticker]:[Weight]],2,FALSE),0%)</f>
        <v>0</v>
      </c>
      <c r="BVW6" s="179">
        <f>IFERROR(VLOOKUP(BVW$1,EliteIncome[[Ticker]:[Weight]],2,FALSE),0%)</f>
        <v>0</v>
      </c>
      <c r="BVX6" s="179">
        <f>IFERROR(VLOOKUP(BVX$1,EliteIncome[[Ticker]:[Weight]],2,FALSE),0%)</f>
        <v>0</v>
      </c>
      <c r="BVY6" s="179">
        <f>IFERROR(VLOOKUP(BVY$1,EliteIncome[[Ticker]:[Weight]],2,FALSE),0%)</f>
        <v>0</v>
      </c>
      <c r="BVZ6" s="179">
        <f>IFERROR(VLOOKUP(BVZ$1,EliteIncome[[Ticker]:[Weight]],2,FALSE),0%)</f>
        <v>0</v>
      </c>
      <c r="BWA6" s="179">
        <f>IFERROR(VLOOKUP(BWA$1,EliteIncome[[Ticker]:[Weight]],2,FALSE),0%)</f>
        <v>0</v>
      </c>
      <c r="BWB6" s="179">
        <f>IFERROR(VLOOKUP(BWB$1,EliteIncome[[Ticker]:[Weight]],2,FALSE),0%)</f>
        <v>0</v>
      </c>
      <c r="BWC6" s="179">
        <f>IFERROR(VLOOKUP(BWC$1,EliteIncome[[Ticker]:[Weight]],2,FALSE),0%)</f>
        <v>0</v>
      </c>
      <c r="BWD6" s="179">
        <f>IFERROR(VLOOKUP(BWD$1,EliteIncome[[Ticker]:[Weight]],2,FALSE),0%)</f>
        <v>0</v>
      </c>
      <c r="BWE6" s="179">
        <f>IFERROR(VLOOKUP(BWE$1,EliteIncome[[Ticker]:[Weight]],2,FALSE),0%)</f>
        <v>0</v>
      </c>
      <c r="BWF6" s="179">
        <f>IFERROR(VLOOKUP(BWF$1,EliteIncome[[Ticker]:[Weight]],2,FALSE),0%)</f>
        <v>0</v>
      </c>
      <c r="BWG6" s="179">
        <f>IFERROR(VLOOKUP(BWG$1,EliteIncome[[Ticker]:[Weight]],2,FALSE),0%)</f>
        <v>0</v>
      </c>
      <c r="BWH6" s="179">
        <f>IFERROR(VLOOKUP(BWH$1,EliteIncome[[Ticker]:[Weight]],2,FALSE),0%)</f>
        <v>0</v>
      </c>
      <c r="BWI6" s="179">
        <f>IFERROR(VLOOKUP(BWI$1,EliteIncome[[Ticker]:[Weight]],2,FALSE),0%)</f>
        <v>0</v>
      </c>
      <c r="BWJ6" s="179">
        <f>IFERROR(VLOOKUP(BWJ$1,EliteIncome[[Ticker]:[Weight]],2,FALSE),0%)</f>
        <v>0</v>
      </c>
      <c r="BWK6" s="179">
        <f>IFERROR(VLOOKUP(BWK$1,EliteIncome[[Ticker]:[Weight]],2,FALSE),0%)</f>
        <v>0</v>
      </c>
      <c r="BWL6" s="179">
        <f>IFERROR(VLOOKUP(BWL$1,EliteIncome[[Ticker]:[Weight]],2,FALSE),0%)</f>
        <v>0</v>
      </c>
      <c r="BWM6" s="179">
        <f>IFERROR(VLOOKUP(BWM$1,EliteIncome[[Ticker]:[Weight]],2,FALSE),0%)</f>
        <v>0</v>
      </c>
      <c r="BWN6" s="179">
        <f>IFERROR(VLOOKUP(BWN$1,EliteIncome[[Ticker]:[Weight]],2,FALSE),0%)</f>
        <v>0</v>
      </c>
      <c r="BWO6" s="179">
        <f>IFERROR(VLOOKUP(BWO$1,EliteIncome[[Ticker]:[Weight]],2,FALSE),0%)</f>
        <v>0</v>
      </c>
      <c r="BWP6" s="179">
        <f>IFERROR(VLOOKUP(BWP$1,EliteIncome[[Ticker]:[Weight]],2,FALSE),0%)</f>
        <v>0</v>
      </c>
      <c r="BWQ6" s="179">
        <f>IFERROR(VLOOKUP(BWQ$1,EliteIncome[[Ticker]:[Weight]],2,FALSE),0%)</f>
        <v>0</v>
      </c>
      <c r="BWR6" s="179">
        <f>IFERROR(VLOOKUP(BWR$1,EliteIncome[[Ticker]:[Weight]],2,FALSE),0%)</f>
        <v>0</v>
      </c>
      <c r="BWS6" s="179">
        <f>IFERROR(VLOOKUP(BWS$1,EliteIncome[[Ticker]:[Weight]],2,FALSE),0%)</f>
        <v>0</v>
      </c>
      <c r="BWT6" s="179">
        <f>IFERROR(VLOOKUP(BWT$1,EliteIncome[[Ticker]:[Weight]],2,FALSE),0%)</f>
        <v>0</v>
      </c>
      <c r="BWU6" s="179">
        <f>IFERROR(VLOOKUP(BWU$1,EliteIncome[[Ticker]:[Weight]],2,FALSE),0%)</f>
        <v>0</v>
      </c>
      <c r="BWV6" s="179">
        <f>IFERROR(VLOOKUP(BWV$1,EliteIncome[[Ticker]:[Weight]],2,FALSE),0%)</f>
        <v>0</v>
      </c>
      <c r="BWW6" s="179">
        <f>IFERROR(VLOOKUP(BWW$1,EliteIncome[[Ticker]:[Weight]],2,FALSE),0%)</f>
        <v>0</v>
      </c>
      <c r="BWX6" s="179">
        <f>IFERROR(VLOOKUP(BWX$1,EliteIncome[[Ticker]:[Weight]],2,FALSE),0%)</f>
        <v>0</v>
      </c>
      <c r="BWY6" s="179">
        <f>IFERROR(VLOOKUP(BWY$1,EliteIncome[[Ticker]:[Weight]],2,FALSE),0%)</f>
        <v>0</v>
      </c>
      <c r="BWZ6" s="179">
        <f>IFERROR(VLOOKUP(BWZ$1,EliteIncome[[Ticker]:[Weight]],2,FALSE),0%)</f>
        <v>0</v>
      </c>
      <c r="BXA6" s="179">
        <f>IFERROR(VLOOKUP(BXA$1,EliteIncome[[Ticker]:[Weight]],2,FALSE),0%)</f>
        <v>0</v>
      </c>
      <c r="BXB6" s="179">
        <f>IFERROR(VLOOKUP(BXB$1,EliteIncome[[Ticker]:[Weight]],2,FALSE),0%)</f>
        <v>0</v>
      </c>
      <c r="BXC6" s="179">
        <f>IFERROR(VLOOKUP(BXC$1,EliteIncome[[Ticker]:[Weight]],2,FALSE),0%)</f>
        <v>0</v>
      </c>
      <c r="BXD6" s="179">
        <f>IFERROR(VLOOKUP(BXD$1,EliteIncome[[Ticker]:[Weight]],2,FALSE),0%)</f>
        <v>0</v>
      </c>
      <c r="BXE6" s="179">
        <f>IFERROR(VLOOKUP(BXE$1,EliteIncome[[Ticker]:[Weight]],2,FALSE),0%)</f>
        <v>0</v>
      </c>
      <c r="BXF6" s="179">
        <f>IFERROR(VLOOKUP(BXF$1,EliteIncome[[Ticker]:[Weight]],2,FALSE),0%)</f>
        <v>0</v>
      </c>
      <c r="BXG6" s="179">
        <f>IFERROR(VLOOKUP(BXG$1,EliteIncome[[Ticker]:[Weight]],2,FALSE),0%)</f>
        <v>0</v>
      </c>
      <c r="BXH6" s="179">
        <f>IFERROR(VLOOKUP(BXH$1,EliteIncome[[Ticker]:[Weight]],2,FALSE),0%)</f>
        <v>0</v>
      </c>
      <c r="BXI6" s="179">
        <f>IFERROR(VLOOKUP(BXI$1,EliteIncome[[Ticker]:[Weight]],2,FALSE),0%)</f>
        <v>0</v>
      </c>
      <c r="BXJ6" s="179">
        <f>IFERROR(VLOOKUP(BXJ$1,EliteIncome[[Ticker]:[Weight]],2,FALSE),0%)</f>
        <v>0</v>
      </c>
      <c r="BXK6" s="179">
        <f>IFERROR(VLOOKUP(BXK$1,EliteIncome[[Ticker]:[Weight]],2,FALSE),0%)</f>
        <v>0</v>
      </c>
      <c r="BXL6" s="179">
        <f>IFERROR(VLOOKUP(BXL$1,EliteIncome[[Ticker]:[Weight]],2,FALSE),0%)</f>
        <v>0</v>
      </c>
      <c r="BXM6" s="179">
        <f>IFERROR(VLOOKUP(BXM$1,EliteIncome[[Ticker]:[Weight]],2,FALSE),0%)</f>
        <v>0</v>
      </c>
      <c r="BXN6" s="179">
        <f>IFERROR(VLOOKUP(BXN$1,EliteIncome[[Ticker]:[Weight]],2,FALSE),0%)</f>
        <v>0</v>
      </c>
      <c r="BXO6" s="179">
        <f>IFERROR(VLOOKUP(BXO$1,EliteIncome[[Ticker]:[Weight]],2,FALSE),0%)</f>
        <v>0</v>
      </c>
      <c r="BXP6" s="179">
        <f>IFERROR(VLOOKUP(BXP$1,EliteIncome[[Ticker]:[Weight]],2,FALSE),0%)</f>
        <v>0</v>
      </c>
      <c r="BXQ6" s="179">
        <f>IFERROR(VLOOKUP(BXQ$1,EliteIncome[[Ticker]:[Weight]],2,FALSE),0%)</f>
        <v>0</v>
      </c>
      <c r="BXR6" s="179">
        <f>IFERROR(VLOOKUP(BXR$1,EliteIncome[[Ticker]:[Weight]],2,FALSE),0%)</f>
        <v>0</v>
      </c>
      <c r="BXS6" s="179">
        <f>IFERROR(VLOOKUP(BXS$1,EliteIncome[[Ticker]:[Weight]],2,FALSE),0%)</f>
        <v>0</v>
      </c>
      <c r="BXT6" s="179">
        <f>IFERROR(VLOOKUP(BXT$1,EliteIncome[[Ticker]:[Weight]],2,FALSE),0%)</f>
        <v>0</v>
      </c>
      <c r="BXU6" s="179">
        <f>IFERROR(VLOOKUP(BXU$1,EliteIncome[[Ticker]:[Weight]],2,FALSE),0%)</f>
        <v>0</v>
      </c>
      <c r="BXV6" s="179">
        <f>IFERROR(VLOOKUP(BXV$1,EliteIncome[[Ticker]:[Weight]],2,FALSE),0%)</f>
        <v>0</v>
      </c>
      <c r="BXW6" s="179">
        <f>IFERROR(VLOOKUP(BXW$1,EliteIncome[[Ticker]:[Weight]],2,FALSE),0%)</f>
        <v>0</v>
      </c>
      <c r="BXX6" s="179">
        <f>IFERROR(VLOOKUP(BXX$1,EliteIncome[[Ticker]:[Weight]],2,FALSE),0%)</f>
        <v>0</v>
      </c>
      <c r="BXY6" s="179">
        <f>IFERROR(VLOOKUP(BXY$1,EliteIncome[[Ticker]:[Weight]],2,FALSE),0%)</f>
        <v>0</v>
      </c>
      <c r="BXZ6" s="179">
        <f>IFERROR(VLOOKUP(BXZ$1,EliteIncome[[Ticker]:[Weight]],2,FALSE),0%)</f>
        <v>0</v>
      </c>
      <c r="BYA6" s="179">
        <f>IFERROR(VLOOKUP(BYA$1,EliteIncome[[Ticker]:[Weight]],2,FALSE),0%)</f>
        <v>0</v>
      </c>
      <c r="BYB6" s="179">
        <f>IFERROR(VLOOKUP(BYB$1,EliteIncome[[Ticker]:[Weight]],2,FALSE),0%)</f>
        <v>0</v>
      </c>
      <c r="BYC6" s="179">
        <f>IFERROR(VLOOKUP(BYC$1,EliteIncome[[Ticker]:[Weight]],2,FALSE),0%)</f>
        <v>0</v>
      </c>
      <c r="BYD6" s="179">
        <f>IFERROR(VLOOKUP(BYD$1,EliteIncome[[Ticker]:[Weight]],2,FALSE),0%)</f>
        <v>0</v>
      </c>
      <c r="BYE6" s="179">
        <f>IFERROR(VLOOKUP(BYE$1,EliteIncome[[Ticker]:[Weight]],2,FALSE),0%)</f>
        <v>0</v>
      </c>
      <c r="BYF6" s="179">
        <f>IFERROR(VLOOKUP(BYF$1,EliteIncome[[Ticker]:[Weight]],2,FALSE),0%)</f>
        <v>0</v>
      </c>
      <c r="BYG6" s="179">
        <f>IFERROR(VLOOKUP(BYG$1,EliteIncome[[Ticker]:[Weight]],2,FALSE),0%)</f>
        <v>0</v>
      </c>
      <c r="BYH6" s="179">
        <f>IFERROR(VLOOKUP(BYH$1,EliteIncome[[Ticker]:[Weight]],2,FALSE),0%)</f>
        <v>0</v>
      </c>
      <c r="BYI6" s="179">
        <f>IFERROR(VLOOKUP(BYI$1,EliteIncome[[Ticker]:[Weight]],2,FALSE),0%)</f>
        <v>0</v>
      </c>
      <c r="BYJ6" s="179">
        <f>IFERROR(VLOOKUP(BYJ$1,EliteIncome[[Ticker]:[Weight]],2,FALSE),0%)</f>
        <v>0</v>
      </c>
      <c r="BYK6" s="179">
        <f>IFERROR(VLOOKUP(BYK$1,EliteIncome[[Ticker]:[Weight]],2,FALSE),0%)</f>
        <v>0</v>
      </c>
      <c r="BYL6" s="179">
        <f>IFERROR(VLOOKUP(BYL$1,EliteIncome[[Ticker]:[Weight]],2,FALSE),0%)</f>
        <v>0</v>
      </c>
      <c r="BYM6" s="179">
        <f>IFERROR(VLOOKUP(BYM$1,EliteIncome[[Ticker]:[Weight]],2,FALSE),0%)</f>
        <v>0</v>
      </c>
      <c r="BYN6" s="179">
        <f>IFERROR(VLOOKUP(BYN$1,EliteIncome[[Ticker]:[Weight]],2,FALSE),0%)</f>
        <v>0</v>
      </c>
      <c r="BYO6" s="179">
        <f>IFERROR(VLOOKUP(BYO$1,EliteIncome[[Ticker]:[Weight]],2,FALSE),0%)</f>
        <v>0</v>
      </c>
      <c r="BYP6" s="179">
        <f>IFERROR(VLOOKUP(BYP$1,EliteIncome[[Ticker]:[Weight]],2,FALSE),0%)</f>
        <v>0</v>
      </c>
      <c r="BYQ6" s="179">
        <f>IFERROR(VLOOKUP(BYQ$1,EliteIncome[[Ticker]:[Weight]],2,FALSE),0%)</f>
        <v>0</v>
      </c>
      <c r="BYR6" s="179">
        <f>IFERROR(VLOOKUP(BYR$1,EliteIncome[[Ticker]:[Weight]],2,FALSE),0%)</f>
        <v>0</v>
      </c>
      <c r="BYS6" s="179">
        <f>IFERROR(VLOOKUP(BYS$1,EliteIncome[[Ticker]:[Weight]],2,FALSE),0%)</f>
        <v>0</v>
      </c>
      <c r="BYT6" s="179">
        <f>IFERROR(VLOOKUP(BYT$1,EliteIncome[[Ticker]:[Weight]],2,FALSE),0%)</f>
        <v>0</v>
      </c>
      <c r="BYU6" s="179">
        <f>IFERROR(VLOOKUP(BYU$1,EliteIncome[[Ticker]:[Weight]],2,FALSE),0%)</f>
        <v>0.1590610298</v>
      </c>
      <c r="BYV6" s="179">
        <f>IFERROR(VLOOKUP(BYV$1,EliteIncome[[Ticker]:[Weight]],2,FALSE),0%)</f>
        <v>0</v>
      </c>
      <c r="BYW6" s="179">
        <f>IFERROR(VLOOKUP(BYW$1,EliteIncome[[Ticker]:[Weight]],2,FALSE),0%)</f>
        <v>0</v>
      </c>
      <c r="BYX6" s="179">
        <f>IFERROR(VLOOKUP(BYX$1,EliteIncome[[Ticker]:[Weight]],2,FALSE),0%)</f>
        <v>0</v>
      </c>
      <c r="BYY6" s="179">
        <f>IFERROR(VLOOKUP(BYY$1,EliteIncome[[Ticker]:[Weight]],2,FALSE),0%)</f>
        <v>0</v>
      </c>
      <c r="BYZ6" s="179">
        <f>IFERROR(VLOOKUP(BYZ$1,EliteIncome[[Ticker]:[Weight]],2,FALSE),0%)</f>
        <v>0</v>
      </c>
      <c r="BZA6" s="179">
        <f>IFERROR(VLOOKUP(BZA$1,EliteIncome[[Ticker]:[Weight]],2,FALSE),0%)</f>
        <v>0</v>
      </c>
      <c r="BZB6" s="179">
        <f>IFERROR(VLOOKUP(BZB$1,EliteIncome[[Ticker]:[Weight]],2,FALSE),0%)</f>
        <v>0</v>
      </c>
      <c r="BZC6" s="179">
        <f>IFERROR(VLOOKUP(BZC$1,EliteIncome[[Ticker]:[Weight]],2,FALSE),0%)</f>
        <v>0</v>
      </c>
      <c r="BZD6" s="179">
        <f>IFERROR(VLOOKUP(BZD$1,EliteIncome[[Ticker]:[Weight]],2,FALSE),0%)</f>
        <v>0</v>
      </c>
      <c r="BZE6" s="179">
        <f>IFERROR(VLOOKUP(BZE$1,EliteIncome[[Ticker]:[Weight]],2,FALSE),0%)</f>
        <v>0</v>
      </c>
      <c r="BZF6" s="179">
        <f>IFERROR(VLOOKUP(BZF$1,EliteIncome[[Ticker]:[Weight]],2,FALSE),0%)</f>
        <v>0</v>
      </c>
      <c r="BZG6" s="179">
        <f>IFERROR(VLOOKUP(BZG$1,EliteIncome[[Ticker]:[Weight]],2,FALSE),0%)</f>
        <v>0</v>
      </c>
      <c r="BZH6" s="179">
        <f>IFERROR(VLOOKUP(BZH$1,EliteIncome[[Ticker]:[Weight]],2,FALSE),0%)</f>
        <v>0</v>
      </c>
      <c r="BZI6" s="179">
        <f>IFERROR(VLOOKUP(BZI$1,EliteIncome[[Ticker]:[Weight]],2,FALSE),0%)</f>
        <v>0</v>
      </c>
      <c r="BZJ6" s="179">
        <f>IFERROR(VLOOKUP(BZJ$1,EliteIncome[[Ticker]:[Weight]],2,FALSE),0%)</f>
        <v>0</v>
      </c>
      <c r="BZK6" s="179">
        <f>IFERROR(VLOOKUP(BZK$1,EliteIncome[[Ticker]:[Weight]],2,FALSE),0%)</f>
        <v>0</v>
      </c>
      <c r="BZL6" s="179">
        <f>IFERROR(VLOOKUP(BZL$1,EliteIncome[[Ticker]:[Weight]],2,FALSE),0%)</f>
        <v>0</v>
      </c>
      <c r="BZM6" s="179">
        <f>IFERROR(VLOOKUP(BZM$1,EliteIncome[[Ticker]:[Weight]],2,FALSE),0%)</f>
        <v>0</v>
      </c>
      <c r="BZN6" s="179">
        <f>IFERROR(VLOOKUP(BZN$1,EliteIncome[[Ticker]:[Weight]],2,FALSE),0%)</f>
        <v>0</v>
      </c>
      <c r="BZO6" s="179">
        <f>IFERROR(VLOOKUP(BZO$1,EliteIncome[[Ticker]:[Weight]],2,FALSE),0%)</f>
        <v>0</v>
      </c>
      <c r="BZP6" s="179">
        <f>IFERROR(VLOOKUP(BZP$1,EliteIncome[[Ticker]:[Weight]],2,FALSE),0%)</f>
        <v>0</v>
      </c>
      <c r="BZQ6" s="179">
        <f>IFERROR(VLOOKUP(BZQ$1,EliteIncome[[Ticker]:[Weight]],2,FALSE),0%)</f>
        <v>0</v>
      </c>
      <c r="BZR6" s="179">
        <f>IFERROR(VLOOKUP(BZR$1,EliteIncome[[Ticker]:[Weight]],2,FALSE),0%)</f>
        <v>0</v>
      </c>
      <c r="BZS6" s="179">
        <f>IFERROR(VLOOKUP(BZS$1,EliteIncome[[Ticker]:[Weight]],2,FALSE),0%)</f>
        <v>0</v>
      </c>
      <c r="BZT6" s="179">
        <f>IFERROR(VLOOKUP(BZT$1,EliteIncome[[Ticker]:[Weight]],2,FALSE),0%)</f>
        <v>0</v>
      </c>
      <c r="BZU6" s="179">
        <f>IFERROR(VLOOKUP(BZU$1,EliteIncome[[Ticker]:[Weight]],2,FALSE),0%)</f>
        <v>0</v>
      </c>
      <c r="BZV6" s="179">
        <f>IFERROR(VLOOKUP(BZV$1,EliteIncome[[Ticker]:[Weight]],2,FALSE),0%)</f>
        <v>0</v>
      </c>
      <c r="BZW6" s="179">
        <f>IFERROR(VLOOKUP(BZW$1,EliteIncome[[Ticker]:[Weight]],2,FALSE),0%)</f>
        <v>0</v>
      </c>
      <c r="BZX6" s="179">
        <f>IFERROR(VLOOKUP(BZX$1,EliteIncome[[Ticker]:[Weight]],2,FALSE),0%)</f>
        <v>0</v>
      </c>
      <c r="BZY6" s="179">
        <f>IFERROR(VLOOKUP(BZY$1,EliteIncome[[Ticker]:[Weight]],2,FALSE),0%)</f>
        <v>0</v>
      </c>
      <c r="BZZ6" s="179">
        <f>IFERROR(VLOOKUP(BZZ$1,EliteIncome[[Ticker]:[Weight]],2,FALSE),0%)</f>
        <v>0</v>
      </c>
      <c r="CAA6" s="179">
        <f>IFERROR(VLOOKUP(CAA$1,EliteIncome[[Ticker]:[Weight]],2,FALSE),0%)</f>
        <v>0</v>
      </c>
      <c r="CAB6" s="179">
        <f>IFERROR(VLOOKUP(CAB$1,EliteIncome[[Ticker]:[Weight]],2,FALSE),0%)</f>
        <v>0</v>
      </c>
      <c r="CAC6" s="179">
        <f>IFERROR(VLOOKUP(CAC$1,EliteIncome[[Ticker]:[Weight]],2,FALSE),0%)</f>
        <v>0</v>
      </c>
      <c r="CAD6" s="179">
        <f>IFERROR(VLOOKUP(CAD$1,EliteIncome[[Ticker]:[Weight]],2,FALSE),0%)</f>
        <v>0</v>
      </c>
      <c r="CAE6" s="179">
        <f>IFERROR(VLOOKUP(CAE$1,EliteIncome[[Ticker]:[Weight]],2,FALSE),0%)</f>
        <v>0</v>
      </c>
      <c r="CAF6" s="179">
        <f>IFERROR(VLOOKUP(CAF$1,EliteIncome[[Ticker]:[Weight]],2,FALSE),0%)</f>
        <v>0</v>
      </c>
      <c r="CAG6" s="179">
        <f>IFERROR(VLOOKUP(CAG$1,EliteIncome[[Ticker]:[Weight]],2,FALSE),0%)</f>
        <v>0</v>
      </c>
      <c r="CAH6" s="179">
        <f>IFERROR(VLOOKUP(CAH$1,EliteIncome[[Ticker]:[Weight]],2,FALSE),0%)</f>
        <v>0</v>
      </c>
      <c r="CAI6" s="179">
        <f>IFERROR(VLOOKUP(CAI$1,EliteIncome[[Ticker]:[Weight]],2,FALSE),0%)</f>
        <v>0</v>
      </c>
      <c r="CAJ6" s="179">
        <f>IFERROR(VLOOKUP(CAJ$1,EliteIncome[[Ticker]:[Weight]],2,FALSE),0%)</f>
        <v>0</v>
      </c>
      <c r="CAK6" s="179">
        <f>IFERROR(VLOOKUP(CAK$1,EliteIncome[[Ticker]:[Weight]],2,FALSE),0%)</f>
        <v>0</v>
      </c>
      <c r="CAL6" s="179">
        <f>IFERROR(VLOOKUP(CAL$1,EliteIncome[[Ticker]:[Weight]],2,FALSE),0%)</f>
        <v>0</v>
      </c>
      <c r="CAM6" s="179">
        <f>IFERROR(VLOOKUP(CAM$1,EliteIncome[[Ticker]:[Weight]],2,FALSE),0%)</f>
        <v>0</v>
      </c>
      <c r="CAN6" s="179">
        <f>IFERROR(VLOOKUP(CAN$1,EliteIncome[[Ticker]:[Weight]],2,FALSE),0%)</f>
        <v>0</v>
      </c>
      <c r="CAO6" s="179">
        <f>IFERROR(VLOOKUP(CAO$1,EliteIncome[[Ticker]:[Weight]],2,FALSE),0%)</f>
        <v>0</v>
      </c>
      <c r="CAP6" s="179">
        <f>IFERROR(VLOOKUP(CAP$1,EliteIncome[[Ticker]:[Weight]],2,FALSE),0%)</f>
        <v>0</v>
      </c>
      <c r="CAQ6" s="179">
        <f>IFERROR(VLOOKUP(CAQ$1,EliteIncome[[Ticker]:[Weight]],2,FALSE),0%)</f>
        <v>0</v>
      </c>
      <c r="CAR6" s="179">
        <f>IFERROR(VLOOKUP(CAR$1,EliteIncome[[Ticker]:[Weight]],2,FALSE),0%)</f>
        <v>0</v>
      </c>
      <c r="CAS6" s="179">
        <f>IFERROR(VLOOKUP(CAS$1,EliteIncome[[Ticker]:[Weight]],2,FALSE),0%)</f>
        <v>0</v>
      </c>
      <c r="CAT6" s="179">
        <f>IFERROR(VLOOKUP(CAT$1,EliteIncome[[Ticker]:[Weight]],2,FALSE),0%)</f>
        <v>0</v>
      </c>
      <c r="CAU6" s="179">
        <f>IFERROR(VLOOKUP(CAU$1,EliteIncome[[Ticker]:[Weight]],2,FALSE),0%)</f>
        <v>0</v>
      </c>
      <c r="CAV6" s="179">
        <f>IFERROR(VLOOKUP(CAV$1,EliteIncome[[Ticker]:[Weight]],2,FALSE),0%)</f>
        <v>0</v>
      </c>
      <c r="CAW6" s="179">
        <f>IFERROR(VLOOKUP(CAW$1,EliteIncome[[Ticker]:[Weight]],2,FALSE),0%)</f>
        <v>0</v>
      </c>
      <c r="CAX6" s="179">
        <f>IFERROR(VLOOKUP(CAX$1,EliteIncome[[Ticker]:[Weight]],2,FALSE),0%)</f>
        <v>0</v>
      </c>
      <c r="CAY6" s="179">
        <f>IFERROR(VLOOKUP(CAY$1,EliteIncome[[Ticker]:[Weight]],2,FALSE),0%)</f>
        <v>0</v>
      </c>
      <c r="CAZ6" s="179">
        <f>IFERROR(VLOOKUP(CAZ$1,EliteIncome[[Ticker]:[Weight]],2,FALSE),0%)</f>
        <v>0</v>
      </c>
      <c r="CBA6" s="179">
        <f>IFERROR(VLOOKUP(CBA$1,EliteIncome[[Ticker]:[Weight]],2,FALSE),0%)</f>
        <v>0</v>
      </c>
      <c r="CBB6" s="179">
        <f>IFERROR(VLOOKUP(CBB$1,EliteIncome[[Ticker]:[Weight]],2,FALSE),0%)</f>
        <v>0</v>
      </c>
      <c r="CBC6" s="179">
        <f>IFERROR(VLOOKUP(CBC$1,EliteIncome[[Ticker]:[Weight]],2,FALSE),0%)</f>
        <v>0</v>
      </c>
      <c r="CBD6" s="179">
        <f>IFERROR(VLOOKUP(CBD$1,EliteIncome[[Ticker]:[Weight]],2,FALSE),0%)</f>
        <v>0</v>
      </c>
      <c r="CBE6" s="179">
        <f>IFERROR(VLOOKUP(CBE$1,EliteIncome[[Ticker]:[Weight]],2,FALSE),0%)</f>
        <v>0</v>
      </c>
      <c r="CBF6" s="179">
        <f>IFERROR(VLOOKUP(CBF$1,EliteIncome[[Ticker]:[Weight]],2,FALSE),0%)</f>
        <v>0</v>
      </c>
      <c r="CBG6" s="179">
        <f>IFERROR(VLOOKUP(CBG$1,EliteIncome[[Ticker]:[Weight]],2,FALSE),0%)</f>
        <v>0</v>
      </c>
      <c r="CBH6" s="179">
        <f>IFERROR(VLOOKUP(CBH$1,EliteIncome[[Ticker]:[Weight]],2,FALSE),0%)</f>
        <v>0</v>
      </c>
      <c r="CBI6" s="179">
        <f>IFERROR(VLOOKUP(CBI$1,EliteIncome[[Ticker]:[Weight]],2,FALSE),0%)</f>
        <v>0</v>
      </c>
      <c r="CBJ6" s="179">
        <f>IFERROR(VLOOKUP(CBJ$1,EliteIncome[[Ticker]:[Weight]],2,FALSE),0%)</f>
        <v>0</v>
      </c>
      <c r="CBK6" s="179">
        <f>IFERROR(VLOOKUP(CBK$1,EliteIncome[[Ticker]:[Weight]],2,FALSE),0%)</f>
        <v>0</v>
      </c>
      <c r="CBL6" s="179">
        <f>IFERROR(VLOOKUP(CBL$1,EliteIncome[[Ticker]:[Weight]],2,FALSE),0%)</f>
        <v>0</v>
      </c>
      <c r="CBM6" s="179">
        <f>IFERROR(VLOOKUP(CBM$1,EliteIncome[[Ticker]:[Weight]],2,FALSE),0%)</f>
        <v>0</v>
      </c>
      <c r="CBN6" s="179">
        <f>IFERROR(VLOOKUP(CBN$1,EliteIncome[[Ticker]:[Weight]],2,FALSE),0%)</f>
        <v>0</v>
      </c>
      <c r="CBO6" s="179">
        <f>IFERROR(VLOOKUP(CBO$1,EliteIncome[[Ticker]:[Weight]],2,FALSE),0%)</f>
        <v>0</v>
      </c>
      <c r="CBP6" s="179">
        <f>IFERROR(VLOOKUP(CBP$1,EliteIncome[[Ticker]:[Weight]],2,FALSE),0%)</f>
        <v>0</v>
      </c>
      <c r="CBQ6" s="179">
        <f>IFERROR(VLOOKUP(CBQ$1,EliteIncome[[Ticker]:[Weight]],2,FALSE),0%)</f>
        <v>0</v>
      </c>
      <c r="CBR6" s="179">
        <f>IFERROR(VLOOKUP(CBR$1,EliteIncome[[Ticker]:[Weight]],2,FALSE),0%)</f>
        <v>0</v>
      </c>
      <c r="CBS6" s="179">
        <f>IFERROR(VLOOKUP(CBS$1,EliteIncome[[Ticker]:[Weight]],2,FALSE),0%)</f>
        <v>0</v>
      </c>
      <c r="CBT6" s="179">
        <f>IFERROR(VLOOKUP(CBT$1,EliteIncome[[Ticker]:[Weight]],2,FALSE),0%)</f>
        <v>0</v>
      </c>
      <c r="CBU6" s="179">
        <f>IFERROR(VLOOKUP(CBU$1,EliteIncome[[Ticker]:[Weight]],2,FALSE),0%)</f>
        <v>0</v>
      </c>
      <c r="CBV6" s="179">
        <f>IFERROR(VLOOKUP(CBV$1,EliteIncome[[Ticker]:[Weight]],2,FALSE),0%)</f>
        <v>0</v>
      </c>
      <c r="CBW6" s="179">
        <f t="shared" si="1"/>
        <v>1</v>
      </c>
    </row>
    <row r="7">
      <c r="A7" s="410" t="s">
        <v>12</v>
      </c>
      <c r="B7" s="179">
        <f>IFERROR(VLOOKUP(B$1,PremiumIncome[[Ticker]:[Weight]],2,FALSE),0%)</f>
        <v>0</v>
      </c>
      <c r="C7" s="179">
        <f>IFERROR(VLOOKUP(C$1,PremiumIncome[[Ticker]:[Weight]],2,FALSE),0%)</f>
        <v>0</v>
      </c>
      <c r="D7" s="179">
        <f>IFERROR(VLOOKUP(D$1,PremiumIncome[[Ticker]:[Weight]],2,FALSE),0%)</f>
        <v>0</v>
      </c>
      <c r="E7" s="179">
        <f>IFERROR(VLOOKUP(E$1,PremiumIncome[[Ticker]:[Weight]],2,FALSE),0%)</f>
        <v>0</v>
      </c>
      <c r="F7" s="179">
        <f>IFERROR(VLOOKUP(F$1,PremiumIncome[[Ticker]:[Weight]],2,FALSE),0%)</f>
        <v>0</v>
      </c>
      <c r="G7" s="179">
        <f>IFERROR(VLOOKUP(G$1,PremiumIncome[[Ticker]:[Weight]],2,FALSE),0%)</f>
        <v>0</v>
      </c>
      <c r="H7" s="179">
        <f>IFERROR(VLOOKUP(H$1,PremiumIncome[[Ticker]:[Weight]],2,FALSE),0%)</f>
        <v>0</v>
      </c>
      <c r="I7" s="179">
        <f>IFERROR(VLOOKUP(I$1,PremiumIncome[[Ticker]:[Weight]],2,FALSE),0%)</f>
        <v>0</v>
      </c>
      <c r="J7" s="179">
        <f>IFERROR(VLOOKUP(J$1,PremiumIncome[[Ticker]:[Weight]],2,FALSE),0%)</f>
        <v>0</v>
      </c>
      <c r="K7" s="179">
        <f>IFERROR(VLOOKUP(K$1,PremiumIncome[[Ticker]:[Weight]],2,FALSE),0%)</f>
        <v>0</v>
      </c>
      <c r="L7" s="179">
        <f>IFERROR(VLOOKUP(L$1,PremiumIncome[[Ticker]:[Weight]],2,FALSE),0%)</f>
        <v>0</v>
      </c>
      <c r="M7" s="179">
        <f>IFERROR(VLOOKUP(M$1,PremiumIncome[[Ticker]:[Weight]],2,FALSE),0%)</f>
        <v>0</v>
      </c>
      <c r="N7" s="179">
        <f>IFERROR(VLOOKUP(N$1,PremiumIncome[[Ticker]:[Weight]],2,FALSE),0%)</f>
        <v>0</v>
      </c>
      <c r="O7" s="179">
        <f>IFERROR(VLOOKUP(O$1,PremiumIncome[[Ticker]:[Weight]],2,FALSE),0%)</f>
        <v>0</v>
      </c>
      <c r="P7" s="179">
        <f>IFERROR(VLOOKUP(P$1,PremiumIncome[[Ticker]:[Weight]],2,FALSE),0%)</f>
        <v>0</v>
      </c>
      <c r="Q7" s="179">
        <f>IFERROR(VLOOKUP(Q$1,PremiumIncome[[Ticker]:[Weight]],2,FALSE),0%)</f>
        <v>0</v>
      </c>
      <c r="R7" s="179">
        <f>IFERROR(VLOOKUP(R$1,PremiumIncome[[Ticker]:[Weight]],2,FALSE),0%)</f>
        <v>0</v>
      </c>
      <c r="S7" s="179">
        <f>IFERROR(VLOOKUP(S$1,PremiumIncome[[Ticker]:[Weight]],2,FALSE),0%)</f>
        <v>0</v>
      </c>
      <c r="T7" s="179">
        <f>IFERROR(VLOOKUP(T$1,PremiumIncome[[Ticker]:[Weight]],2,FALSE),0%)</f>
        <v>0</v>
      </c>
      <c r="U7" s="179">
        <f>IFERROR(VLOOKUP(U$1,PremiumIncome[[Ticker]:[Weight]],2,FALSE),0%)</f>
        <v>0</v>
      </c>
      <c r="V7" s="179">
        <f>IFERROR(VLOOKUP(V$1,PremiumIncome[[Ticker]:[Weight]],2,FALSE),0%)</f>
        <v>0</v>
      </c>
      <c r="W7" s="179">
        <f>IFERROR(VLOOKUP(W$1,PremiumIncome[[Ticker]:[Weight]],2,FALSE),0%)</f>
        <v>0</v>
      </c>
      <c r="X7" s="179">
        <f>IFERROR(VLOOKUP(X$1,PremiumIncome[[Ticker]:[Weight]],2,FALSE),0%)</f>
        <v>0</v>
      </c>
      <c r="Y7" s="179">
        <f>IFERROR(VLOOKUP(Y$1,PremiumIncome[[Ticker]:[Weight]],2,FALSE),0%)</f>
        <v>0</v>
      </c>
      <c r="Z7" s="179">
        <f>IFERROR(VLOOKUP(Z$1,PremiumIncome[[Ticker]:[Weight]],2,FALSE),0%)</f>
        <v>0</v>
      </c>
      <c r="AA7" s="179">
        <f>IFERROR(VLOOKUP(AA$1,PremiumIncome[[Ticker]:[Weight]],2,FALSE),0%)</f>
        <v>0</v>
      </c>
      <c r="AB7" s="179">
        <f>IFERROR(VLOOKUP(AB$1,PremiumIncome[[Ticker]:[Weight]],2,FALSE),0%)</f>
        <v>0</v>
      </c>
      <c r="AC7" s="179">
        <f>IFERROR(VLOOKUP(AC$1,PremiumIncome[[Ticker]:[Weight]],2,FALSE),0%)</f>
        <v>0</v>
      </c>
      <c r="AD7" s="179">
        <f>IFERROR(VLOOKUP(AD$1,PremiumIncome[[Ticker]:[Weight]],2,FALSE),0%)</f>
        <v>0</v>
      </c>
      <c r="AE7" s="179">
        <f>IFERROR(VLOOKUP(AE$1,PremiumIncome[[Ticker]:[Weight]],2,FALSE),0%)</f>
        <v>0</v>
      </c>
      <c r="AF7" s="179">
        <f>IFERROR(VLOOKUP(AF$1,PremiumIncome[[Ticker]:[Weight]],2,FALSE),0%)</f>
        <v>0</v>
      </c>
      <c r="AG7" s="179">
        <f>IFERROR(VLOOKUP(AG$1,PremiumIncome[[Ticker]:[Weight]],2,FALSE),0%)</f>
        <v>0</v>
      </c>
      <c r="AH7" s="179">
        <f>IFERROR(VLOOKUP(AH$1,PremiumIncome[[Ticker]:[Weight]],2,FALSE),0%)</f>
        <v>0</v>
      </c>
      <c r="AI7" s="179">
        <f>IFERROR(VLOOKUP(AI$1,PremiumIncome[[Ticker]:[Weight]],2,FALSE),0%)</f>
        <v>0</v>
      </c>
      <c r="AJ7" s="179">
        <f>IFERROR(VLOOKUP(AJ$1,PremiumIncome[[Ticker]:[Weight]],2,FALSE),0%)</f>
        <v>0</v>
      </c>
      <c r="AK7" s="179">
        <f>IFERROR(VLOOKUP(AK$1,PremiumIncome[[Ticker]:[Weight]],2,FALSE),0%)</f>
        <v>0</v>
      </c>
      <c r="AL7" s="179">
        <f>IFERROR(VLOOKUP(AL$1,PremiumIncome[[Ticker]:[Weight]],2,FALSE),0%)</f>
        <v>0</v>
      </c>
      <c r="AM7" s="179">
        <f>IFERROR(VLOOKUP(AM$1,PremiumIncome[[Ticker]:[Weight]],2,FALSE),0%)</f>
        <v>0</v>
      </c>
      <c r="AN7" s="179">
        <f>IFERROR(VLOOKUP(AN$1,PremiumIncome[[Ticker]:[Weight]],2,FALSE),0%)</f>
        <v>0</v>
      </c>
      <c r="AO7" s="179">
        <f>IFERROR(VLOOKUP(AO$1,PremiumIncome[[Ticker]:[Weight]],2,FALSE),0%)</f>
        <v>0</v>
      </c>
      <c r="AP7" s="179">
        <f>IFERROR(VLOOKUP(AP$1,PremiumIncome[[Ticker]:[Weight]],2,FALSE),0%)</f>
        <v>0</v>
      </c>
      <c r="AQ7" s="179">
        <f>IFERROR(VLOOKUP(AQ$1,PremiumIncome[[Ticker]:[Weight]],2,FALSE),0%)</f>
        <v>0</v>
      </c>
      <c r="AR7" s="179">
        <f>IFERROR(VLOOKUP(AR$1,PremiumIncome[[Ticker]:[Weight]],2,FALSE),0%)</f>
        <v>0</v>
      </c>
      <c r="AS7" s="179">
        <f>IFERROR(VLOOKUP(AS$1,PremiumIncome[[Ticker]:[Weight]],2,FALSE),0%)</f>
        <v>0</v>
      </c>
      <c r="AT7" s="179">
        <f>IFERROR(VLOOKUP(AT$1,PremiumIncome[[Ticker]:[Weight]],2,FALSE),0%)</f>
        <v>0</v>
      </c>
      <c r="AU7" s="179">
        <f>IFERROR(VLOOKUP(AU$1,PremiumIncome[[Ticker]:[Weight]],2,FALSE),0%)</f>
        <v>0</v>
      </c>
      <c r="AV7" s="179">
        <f>IFERROR(VLOOKUP(AV$1,PremiumIncome[[Ticker]:[Weight]],2,FALSE),0%)</f>
        <v>0</v>
      </c>
      <c r="AW7" s="179">
        <f>IFERROR(VLOOKUP(AW$1,PremiumIncome[[Ticker]:[Weight]],2,FALSE),0%)</f>
        <v>0</v>
      </c>
      <c r="AX7" s="179">
        <f>IFERROR(VLOOKUP(AX$1,PremiumIncome[[Ticker]:[Weight]],2,FALSE),0%)</f>
        <v>0</v>
      </c>
      <c r="AY7" s="179">
        <f>IFERROR(VLOOKUP(AY$1,PremiumIncome[[Ticker]:[Weight]],2,FALSE),0%)</f>
        <v>0</v>
      </c>
      <c r="AZ7" s="179">
        <f>IFERROR(VLOOKUP(AZ$1,PremiumIncome[[Ticker]:[Weight]],2,FALSE),0%)</f>
        <v>0</v>
      </c>
      <c r="BA7" s="179">
        <f>IFERROR(VLOOKUP(BA$1,PremiumIncome[[Ticker]:[Weight]],2,FALSE),0%)</f>
        <v>0</v>
      </c>
      <c r="BB7" s="179">
        <f>IFERROR(VLOOKUP(BB$1,PremiumIncome[[Ticker]:[Weight]],2,FALSE),0%)</f>
        <v>0</v>
      </c>
      <c r="BC7" s="179">
        <f>IFERROR(VLOOKUP(BC$1,PremiumIncome[[Ticker]:[Weight]],2,FALSE),0%)</f>
        <v>0</v>
      </c>
      <c r="BD7" s="179">
        <f>IFERROR(VLOOKUP(BD$1,PremiumIncome[[Ticker]:[Weight]],2,FALSE),0%)</f>
        <v>0</v>
      </c>
      <c r="BE7" s="179">
        <f>IFERROR(VLOOKUP(BE$1,PremiumIncome[[Ticker]:[Weight]],2,FALSE),0%)</f>
        <v>0</v>
      </c>
      <c r="BF7" s="179">
        <f>IFERROR(VLOOKUP(BF$1,PremiumIncome[[Ticker]:[Weight]],2,FALSE),0%)</f>
        <v>0</v>
      </c>
      <c r="BG7" s="179">
        <f>IFERROR(VLOOKUP(BG$1,PremiumIncome[[Ticker]:[Weight]],2,FALSE),0%)</f>
        <v>0</v>
      </c>
      <c r="BH7" s="179">
        <f>IFERROR(VLOOKUP(BH$1,PremiumIncome[[Ticker]:[Weight]],2,FALSE),0%)</f>
        <v>0</v>
      </c>
      <c r="BI7" s="179">
        <f>IFERROR(VLOOKUP(BI$1,PremiumIncome[[Ticker]:[Weight]],2,FALSE),0%)</f>
        <v>0</v>
      </c>
      <c r="BJ7" s="179">
        <f>IFERROR(VLOOKUP(BJ$1,PremiumIncome[[Ticker]:[Weight]],2,FALSE),0%)</f>
        <v>0</v>
      </c>
      <c r="BK7" s="179">
        <f>IFERROR(VLOOKUP(BK$1,PremiumIncome[[Ticker]:[Weight]],2,FALSE),0%)</f>
        <v>0</v>
      </c>
      <c r="BL7" s="179">
        <f>IFERROR(VLOOKUP(BL$1,PremiumIncome[[Ticker]:[Weight]],2,FALSE),0%)</f>
        <v>0</v>
      </c>
      <c r="BM7" s="179">
        <f>IFERROR(VLOOKUP(BM$1,PremiumIncome[[Ticker]:[Weight]],2,FALSE),0%)</f>
        <v>0</v>
      </c>
      <c r="BN7" s="179">
        <f>IFERROR(VLOOKUP(BN$1,PremiumIncome[[Ticker]:[Weight]],2,FALSE),0%)</f>
        <v>0</v>
      </c>
      <c r="BO7" s="179">
        <f>IFERROR(VLOOKUP(BO$1,PremiumIncome[[Ticker]:[Weight]],2,FALSE),0%)</f>
        <v>0</v>
      </c>
      <c r="BP7" s="179">
        <f>IFERROR(VLOOKUP(BP$1,PremiumIncome[[Ticker]:[Weight]],2,FALSE),0%)</f>
        <v>0</v>
      </c>
      <c r="BQ7" s="179">
        <f>IFERROR(VLOOKUP(BQ$1,PremiumIncome[[Ticker]:[Weight]],2,FALSE),0%)</f>
        <v>0</v>
      </c>
      <c r="BR7" s="179">
        <f>IFERROR(VLOOKUP(BR$1,PremiumIncome[[Ticker]:[Weight]],2,FALSE),0%)</f>
        <v>0</v>
      </c>
      <c r="BS7" s="179">
        <f>IFERROR(VLOOKUP(BS$1,PremiumIncome[[Ticker]:[Weight]],2,FALSE),0%)</f>
        <v>0</v>
      </c>
      <c r="BT7" s="179">
        <f>IFERROR(VLOOKUP(BT$1,PremiumIncome[[Ticker]:[Weight]],2,FALSE),0%)</f>
        <v>0</v>
      </c>
      <c r="BU7" s="179">
        <f>IFERROR(VLOOKUP(BU$1,PremiumIncome[[Ticker]:[Weight]],2,FALSE),0%)</f>
        <v>0</v>
      </c>
      <c r="BV7" s="179">
        <f>IFERROR(VLOOKUP(BV$1,PremiumIncome[[Ticker]:[Weight]],2,FALSE),0%)</f>
        <v>0</v>
      </c>
      <c r="BW7" s="179">
        <f>IFERROR(VLOOKUP(BW$1,PremiumIncome[[Ticker]:[Weight]],2,FALSE),0%)</f>
        <v>0</v>
      </c>
      <c r="BX7" s="179">
        <f>IFERROR(VLOOKUP(BX$1,PremiumIncome[[Ticker]:[Weight]],2,FALSE),0%)</f>
        <v>0</v>
      </c>
      <c r="BY7" s="179">
        <f>IFERROR(VLOOKUP(BY$1,PremiumIncome[[Ticker]:[Weight]],2,FALSE),0%)</f>
        <v>0</v>
      </c>
      <c r="BZ7" s="179">
        <f>IFERROR(VLOOKUP(BZ$1,PremiumIncome[[Ticker]:[Weight]],2,FALSE),0%)</f>
        <v>0</v>
      </c>
      <c r="CA7" s="179">
        <f>IFERROR(VLOOKUP(CA$1,PremiumIncome[[Ticker]:[Weight]],2,FALSE),0%)</f>
        <v>0</v>
      </c>
      <c r="CB7" s="179">
        <f>IFERROR(VLOOKUP(CB$1,PremiumIncome[[Ticker]:[Weight]],2,FALSE),0%)</f>
        <v>0</v>
      </c>
      <c r="CC7" s="179">
        <f>IFERROR(VLOOKUP(CC$1,PremiumIncome[[Ticker]:[Weight]],2,FALSE),0%)</f>
        <v>0</v>
      </c>
      <c r="CD7" s="179">
        <f>IFERROR(VLOOKUP(CD$1,PremiumIncome[[Ticker]:[Weight]],2,FALSE),0%)</f>
        <v>0</v>
      </c>
      <c r="CE7" s="179">
        <f>IFERROR(VLOOKUP(CE$1,PremiumIncome[[Ticker]:[Weight]],2,FALSE),0%)</f>
        <v>0</v>
      </c>
      <c r="CF7" s="179">
        <f>IFERROR(VLOOKUP(CF$1,PremiumIncome[[Ticker]:[Weight]],2,FALSE),0%)</f>
        <v>0</v>
      </c>
      <c r="CG7" s="179">
        <f>IFERROR(VLOOKUP(CG$1,PremiumIncome[[Ticker]:[Weight]],2,FALSE),0%)</f>
        <v>0</v>
      </c>
      <c r="CH7" s="179">
        <f>IFERROR(VLOOKUP(CH$1,PremiumIncome[[Ticker]:[Weight]],2,FALSE),0%)</f>
        <v>0</v>
      </c>
      <c r="CI7" s="179">
        <f>IFERROR(VLOOKUP(CI$1,PremiumIncome[[Ticker]:[Weight]],2,FALSE),0%)</f>
        <v>0</v>
      </c>
      <c r="CJ7" s="179">
        <f>IFERROR(VLOOKUP(CJ$1,PremiumIncome[[Ticker]:[Weight]],2,FALSE),0%)</f>
        <v>0</v>
      </c>
      <c r="CK7" s="179">
        <f>IFERROR(VLOOKUP(CK$1,PremiumIncome[[Ticker]:[Weight]],2,FALSE),0%)</f>
        <v>0</v>
      </c>
      <c r="CL7" s="179">
        <f>IFERROR(VLOOKUP(CL$1,PremiumIncome[[Ticker]:[Weight]],2,FALSE),0%)</f>
        <v>0</v>
      </c>
      <c r="CM7" s="179">
        <f>IFERROR(VLOOKUP(CM$1,PremiumIncome[[Ticker]:[Weight]],2,FALSE),0%)</f>
        <v>0</v>
      </c>
      <c r="CN7" s="179">
        <f>IFERROR(VLOOKUP(CN$1,PremiumIncome[[Ticker]:[Weight]],2,FALSE),0%)</f>
        <v>0</v>
      </c>
      <c r="CO7" s="179">
        <f>IFERROR(VLOOKUP(CO$1,PremiumIncome[[Ticker]:[Weight]],2,FALSE),0%)</f>
        <v>0</v>
      </c>
      <c r="CP7" s="179">
        <f>IFERROR(VLOOKUP(CP$1,PremiumIncome[[Ticker]:[Weight]],2,FALSE),0%)</f>
        <v>0</v>
      </c>
      <c r="CQ7" s="179">
        <f>IFERROR(VLOOKUP(CQ$1,PremiumIncome[[Ticker]:[Weight]],2,FALSE),0%)</f>
        <v>0</v>
      </c>
      <c r="CR7" s="179">
        <f>IFERROR(VLOOKUP(CR$1,PremiumIncome[[Ticker]:[Weight]],2,FALSE),0%)</f>
        <v>0</v>
      </c>
      <c r="CS7" s="179">
        <f>IFERROR(VLOOKUP(CS$1,PremiumIncome[[Ticker]:[Weight]],2,FALSE),0%)</f>
        <v>0</v>
      </c>
      <c r="CT7" s="179">
        <f>IFERROR(VLOOKUP(CT$1,PremiumIncome[[Ticker]:[Weight]],2,FALSE),0%)</f>
        <v>0</v>
      </c>
      <c r="CU7" s="179">
        <f>IFERROR(VLOOKUP(CU$1,PremiumIncome[[Ticker]:[Weight]],2,FALSE),0%)</f>
        <v>0</v>
      </c>
      <c r="CV7" s="179">
        <f>IFERROR(VLOOKUP(CV$1,PremiumIncome[[Ticker]:[Weight]],2,FALSE),0%)</f>
        <v>0</v>
      </c>
      <c r="CW7" s="179">
        <f>IFERROR(VLOOKUP(CW$1,PremiumIncome[[Ticker]:[Weight]],2,FALSE),0%)</f>
        <v>0</v>
      </c>
      <c r="CX7" s="179">
        <f>IFERROR(VLOOKUP(CX$1,PremiumIncome[[Ticker]:[Weight]],2,FALSE),0%)</f>
        <v>0</v>
      </c>
      <c r="CY7" s="179">
        <f>IFERROR(VLOOKUP(CY$1,PremiumIncome[[Ticker]:[Weight]],2,FALSE),0%)</f>
        <v>0</v>
      </c>
      <c r="CZ7" s="179">
        <f>IFERROR(VLOOKUP(CZ$1,PremiumIncome[[Ticker]:[Weight]],2,FALSE),0%)</f>
        <v>0</v>
      </c>
      <c r="DA7" s="179">
        <f>IFERROR(VLOOKUP(DA$1,PremiumIncome[[Ticker]:[Weight]],2,FALSE),0%)</f>
        <v>0</v>
      </c>
      <c r="DB7" s="179">
        <f>IFERROR(VLOOKUP(DB$1,PremiumIncome[[Ticker]:[Weight]],2,FALSE),0%)</f>
        <v>0</v>
      </c>
      <c r="DC7" s="179">
        <f>IFERROR(VLOOKUP(DC$1,PremiumIncome[[Ticker]:[Weight]],2,FALSE),0%)</f>
        <v>0</v>
      </c>
      <c r="DD7" s="179">
        <f>IFERROR(VLOOKUP(DD$1,PremiumIncome[[Ticker]:[Weight]],2,FALSE),0%)</f>
        <v>0</v>
      </c>
      <c r="DE7" s="179">
        <f>IFERROR(VLOOKUP(DE$1,PremiumIncome[[Ticker]:[Weight]],2,FALSE),0%)</f>
        <v>0</v>
      </c>
      <c r="DF7" s="179">
        <f>IFERROR(VLOOKUP(DF$1,PremiumIncome[[Ticker]:[Weight]],2,FALSE),0%)</f>
        <v>0</v>
      </c>
      <c r="DG7" s="179">
        <f>IFERROR(VLOOKUP(DG$1,PremiumIncome[[Ticker]:[Weight]],2,FALSE),0%)</f>
        <v>0</v>
      </c>
      <c r="DH7" s="179">
        <f>IFERROR(VLOOKUP(DH$1,PremiumIncome[[Ticker]:[Weight]],2,FALSE),0%)</f>
        <v>0</v>
      </c>
      <c r="DI7" s="179">
        <f>IFERROR(VLOOKUP(DI$1,PremiumIncome[[Ticker]:[Weight]],2,FALSE),0%)</f>
        <v>0</v>
      </c>
      <c r="DJ7" s="179">
        <f>IFERROR(VLOOKUP(DJ$1,PremiumIncome[[Ticker]:[Weight]],2,FALSE),0%)</f>
        <v>0</v>
      </c>
      <c r="DK7" s="179">
        <f>IFERROR(VLOOKUP(DK$1,PremiumIncome[[Ticker]:[Weight]],2,FALSE),0%)</f>
        <v>0</v>
      </c>
      <c r="DL7" s="179">
        <f>IFERROR(VLOOKUP(DL$1,PremiumIncome[[Ticker]:[Weight]],2,FALSE),0%)</f>
        <v>0</v>
      </c>
      <c r="DM7" s="179">
        <f>IFERROR(VLOOKUP(DM$1,PremiumIncome[[Ticker]:[Weight]],2,FALSE),0%)</f>
        <v>0</v>
      </c>
      <c r="DN7" s="179">
        <f>IFERROR(VLOOKUP(DN$1,PremiumIncome[[Ticker]:[Weight]],2,FALSE),0%)</f>
        <v>0</v>
      </c>
      <c r="DO7" s="179">
        <f>IFERROR(VLOOKUP(DO$1,PremiumIncome[[Ticker]:[Weight]],2,FALSE),0%)</f>
        <v>0</v>
      </c>
      <c r="DP7" s="179">
        <f>IFERROR(VLOOKUP(DP$1,PremiumIncome[[Ticker]:[Weight]],2,FALSE),0%)</f>
        <v>0</v>
      </c>
      <c r="DQ7" s="179">
        <f>IFERROR(VLOOKUP(DQ$1,PremiumIncome[[Ticker]:[Weight]],2,FALSE),0%)</f>
        <v>0</v>
      </c>
      <c r="DR7" s="179">
        <f>IFERROR(VLOOKUP(DR$1,PremiumIncome[[Ticker]:[Weight]],2,FALSE),0%)</f>
        <v>0</v>
      </c>
      <c r="DS7" s="179">
        <f>IFERROR(VLOOKUP(DS$1,PremiumIncome[[Ticker]:[Weight]],2,FALSE),0%)</f>
        <v>0</v>
      </c>
      <c r="DT7" s="179">
        <f>IFERROR(VLOOKUP(DT$1,PremiumIncome[[Ticker]:[Weight]],2,FALSE),0%)</f>
        <v>0</v>
      </c>
      <c r="DU7" s="179">
        <f>IFERROR(VLOOKUP(DU$1,PremiumIncome[[Ticker]:[Weight]],2,FALSE),0%)</f>
        <v>0</v>
      </c>
      <c r="DV7" s="179">
        <f>IFERROR(VLOOKUP(DV$1,PremiumIncome[[Ticker]:[Weight]],2,FALSE),0%)</f>
        <v>0</v>
      </c>
      <c r="DW7" s="179">
        <f>IFERROR(VLOOKUP(DW$1,PremiumIncome[[Ticker]:[Weight]],2,FALSE),0%)</f>
        <v>0</v>
      </c>
      <c r="DX7" s="179">
        <f>IFERROR(VLOOKUP(DX$1,PremiumIncome[[Ticker]:[Weight]],2,FALSE),0%)</f>
        <v>0</v>
      </c>
      <c r="DY7" s="179">
        <f>IFERROR(VLOOKUP(DY$1,PremiumIncome[[Ticker]:[Weight]],2,FALSE),0%)</f>
        <v>0</v>
      </c>
      <c r="DZ7" s="179">
        <f>IFERROR(VLOOKUP(DZ$1,PremiumIncome[[Ticker]:[Weight]],2,FALSE),0%)</f>
        <v>0</v>
      </c>
      <c r="EA7" s="179">
        <f>IFERROR(VLOOKUP(EA$1,PremiumIncome[[Ticker]:[Weight]],2,FALSE),0%)</f>
        <v>0</v>
      </c>
      <c r="EB7" s="179">
        <f>IFERROR(VLOOKUP(EB$1,PremiumIncome[[Ticker]:[Weight]],2,FALSE),0%)</f>
        <v>0</v>
      </c>
      <c r="EC7" s="179">
        <f>IFERROR(VLOOKUP(EC$1,PremiumIncome[[Ticker]:[Weight]],2,FALSE),0%)</f>
        <v>0</v>
      </c>
      <c r="ED7" s="179">
        <f>IFERROR(VLOOKUP(ED$1,PremiumIncome[[Ticker]:[Weight]],2,FALSE),0%)</f>
        <v>0</v>
      </c>
      <c r="EE7" s="179">
        <f>IFERROR(VLOOKUP(EE$1,PremiumIncome[[Ticker]:[Weight]],2,FALSE),0%)</f>
        <v>0</v>
      </c>
      <c r="EF7" s="179">
        <f>IFERROR(VLOOKUP(EF$1,PremiumIncome[[Ticker]:[Weight]],2,FALSE),0%)</f>
        <v>0</v>
      </c>
      <c r="EG7" s="179">
        <f>IFERROR(VLOOKUP(EG$1,PremiumIncome[[Ticker]:[Weight]],2,FALSE),0%)</f>
        <v>0</v>
      </c>
      <c r="EH7" s="179">
        <f>IFERROR(VLOOKUP(EH$1,PremiumIncome[[Ticker]:[Weight]],2,FALSE),0%)</f>
        <v>0</v>
      </c>
      <c r="EI7" s="179">
        <f>IFERROR(VLOOKUP(EI$1,PremiumIncome[[Ticker]:[Weight]],2,FALSE),0%)</f>
        <v>0</v>
      </c>
      <c r="EJ7" s="179">
        <f>IFERROR(VLOOKUP(EJ$1,PremiumIncome[[Ticker]:[Weight]],2,FALSE),0%)</f>
        <v>0</v>
      </c>
      <c r="EK7" s="179">
        <f>IFERROR(VLOOKUP(EK$1,PremiumIncome[[Ticker]:[Weight]],2,FALSE),0%)</f>
        <v>0</v>
      </c>
      <c r="EL7" s="179">
        <f>IFERROR(VLOOKUP(EL$1,PremiumIncome[[Ticker]:[Weight]],2,FALSE),0%)</f>
        <v>0</v>
      </c>
      <c r="EM7" s="179">
        <f>IFERROR(VLOOKUP(EM$1,PremiumIncome[[Ticker]:[Weight]],2,FALSE),0%)</f>
        <v>0</v>
      </c>
      <c r="EN7" s="179">
        <f>IFERROR(VLOOKUP(EN$1,PremiumIncome[[Ticker]:[Weight]],2,FALSE),0%)</f>
        <v>0</v>
      </c>
      <c r="EO7" s="179">
        <f>IFERROR(VLOOKUP(EO$1,PremiumIncome[[Ticker]:[Weight]],2,FALSE),0%)</f>
        <v>0</v>
      </c>
      <c r="EP7" s="179">
        <f>IFERROR(VLOOKUP(EP$1,PremiumIncome[[Ticker]:[Weight]],2,FALSE),0%)</f>
        <v>0</v>
      </c>
      <c r="EQ7" s="179">
        <f>IFERROR(VLOOKUP(EQ$1,PremiumIncome[[Ticker]:[Weight]],2,FALSE),0%)</f>
        <v>0</v>
      </c>
      <c r="ER7" s="179">
        <f>IFERROR(VLOOKUP(ER$1,PremiumIncome[[Ticker]:[Weight]],2,FALSE),0%)</f>
        <v>0</v>
      </c>
      <c r="ES7" s="179">
        <f>IFERROR(VLOOKUP(ES$1,PremiumIncome[[Ticker]:[Weight]],2,FALSE),0%)</f>
        <v>0</v>
      </c>
      <c r="ET7" s="179">
        <f>IFERROR(VLOOKUP(ET$1,PremiumIncome[[Ticker]:[Weight]],2,FALSE),0%)</f>
        <v>0</v>
      </c>
      <c r="EU7" s="179">
        <f>IFERROR(VLOOKUP(EU$1,PremiumIncome[[Ticker]:[Weight]],2,FALSE),0%)</f>
        <v>0</v>
      </c>
      <c r="EV7" s="179">
        <f>IFERROR(VLOOKUP(EV$1,PremiumIncome[[Ticker]:[Weight]],2,FALSE),0%)</f>
        <v>0</v>
      </c>
      <c r="EW7" s="179">
        <f>IFERROR(VLOOKUP(EW$1,PremiumIncome[[Ticker]:[Weight]],2,FALSE),0%)</f>
        <v>0</v>
      </c>
      <c r="EX7" s="179">
        <f>IFERROR(VLOOKUP(EX$1,PremiumIncome[[Ticker]:[Weight]],2,FALSE),0%)</f>
        <v>0</v>
      </c>
      <c r="EY7" s="179">
        <f>IFERROR(VLOOKUP(EY$1,PremiumIncome[[Ticker]:[Weight]],2,FALSE),0%)</f>
        <v>0</v>
      </c>
      <c r="EZ7" s="179">
        <f>IFERROR(VLOOKUP(EZ$1,PremiumIncome[[Ticker]:[Weight]],2,FALSE),0%)</f>
        <v>0</v>
      </c>
      <c r="FA7" s="179">
        <f>IFERROR(VLOOKUP(FA$1,PremiumIncome[[Ticker]:[Weight]],2,FALSE),0%)</f>
        <v>0</v>
      </c>
      <c r="FB7" s="179">
        <f>IFERROR(VLOOKUP(FB$1,PremiumIncome[[Ticker]:[Weight]],2,FALSE),0%)</f>
        <v>0</v>
      </c>
      <c r="FC7" s="179">
        <f>IFERROR(VLOOKUP(FC$1,PremiumIncome[[Ticker]:[Weight]],2,FALSE),0%)</f>
        <v>0</v>
      </c>
      <c r="FD7" s="179">
        <f>IFERROR(VLOOKUP(FD$1,PremiumIncome[[Ticker]:[Weight]],2,FALSE),0%)</f>
        <v>0</v>
      </c>
      <c r="FE7" s="179">
        <f>IFERROR(VLOOKUP(FE$1,PremiumIncome[[Ticker]:[Weight]],2,FALSE),0%)</f>
        <v>0</v>
      </c>
      <c r="FF7" s="179">
        <f>IFERROR(VLOOKUP(FF$1,PremiumIncome[[Ticker]:[Weight]],2,FALSE),0%)</f>
        <v>0</v>
      </c>
      <c r="FG7" s="179">
        <f>IFERROR(VLOOKUP(FG$1,PremiumIncome[[Ticker]:[Weight]],2,FALSE),0%)</f>
        <v>0</v>
      </c>
      <c r="FH7" s="179">
        <f>IFERROR(VLOOKUP(FH$1,PremiumIncome[[Ticker]:[Weight]],2,FALSE),0%)</f>
        <v>0</v>
      </c>
      <c r="FI7" s="179">
        <f>IFERROR(VLOOKUP(FI$1,PremiumIncome[[Ticker]:[Weight]],2,FALSE),0%)</f>
        <v>0</v>
      </c>
      <c r="FJ7" s="179">
        <f>IFERROR(VLOOKUP(FJ$1,PremiumIncome[[Ticker]:[Weight]],2,FALSE),0%)</f>
        <v>0</v>
      </c>
      <c r="FK7" s="179">
        <f>IFERROR(VLOOKUP(FK$1,PremiumIncome[[Ticker]:[Weight]],2,FALSE),0%)</f>
        <v>0</v>
      </c>
      <c r="FL7" s="179">
        <f>IFERROR(VLOOKUP(FL$1,PremiumIncome[[Ticker]:[Weight]],2,FALSE),0%)</f>
        <v>0</v>
      </c>
      <c r="FM7" s="179">
        <f>IFERROR(VLOOKUP(FM$1,PremiumIncome[[Ticker]:[Weight]],2,FALSE),0%)</f>
        <v>0</v>
      </c>
      <c r="FN7" s="179">
        <f>IFERROR(VLOOKUP(FN$1,PremiumIncome[[Ticker]:[Weight]],2,FALSE),0%)</f>
        <v>0</v>
      </c>
      <c r="FO7" s="179">
        <f>IFERROR(VLOOKUP(FO$1,PremiumIncome[[Ticker]:[Weight]],2,FALSE),0%)</f>
        <v>0</v>
      </c>
      <c r="FP7" s="179">
        <f>IFERROR(VLOOKUP(FP$1,PremiumIncome[[Ticker]:[Weight]],2,FALSE),0%)</f>
        <v>0</v>
      </c>
      <c r="FQ7" s="179">
        <f>IFERROR(VLOOKUP(FQ$1,PremiumIncome[[Ticker]:[Weight]],2,FALSE),0%)</f>
        <v>0</v>
      </c>
      <c r="FR7" s="179">
        <f>IFERROR(VLOOKUP(FR$1,PremiumIncome[[Ticker]:[Weight]],2,FALSE),0%)</f>
        <v>0</v>
      </c>
      <c r="FS7" s="179">
        <f>IFERROR(VLOOKUP(FS$1,PremiumIncome[[Ticker]:[Weight]],2,FALSE),0%)</f>
        <v>0</v>
      </c>
      <c r="FT7" s="179">
        <f>IFERROR(VLOOKUP(FT$1,PremiumIncome[[Ticker]:[Weight]],2,FALSE),0%)</f>
        <v>0</v>
      </c>
      <c r="FU7" s="179">
        <f>IFERROR(VLOOKUP(FU$1,PremiumIncome[[Ticker]:[Weight]],2,FALSE),0%)</f>
        <v>0</v>
      </c>
      <c r="FV7" s="179">
        <f>IFERROR(VLOOKUP(FV$1,PremiumIncome[[Ticker]:[Weight]],2,FALSE),0%)</f>
        <v>0</v>
      </c>
      <c r="FW7" s="179">
        <f>IFERROR(VLOOKUP(FW$1,PremiumIncome[[Ticker]:[Weight]],2,FALSE),0%)</f>
        <v>0</v>
      </c>
      <c r="FX7" s="179">
        <f>IFERROR(VLOOKUP(FX$1,PremiumIncome[[Ticker]:[Weight]],2,FALSE),0%)</f>
        <v>0</v>
      </c>
      <c r="FY7" s="179">
        <f>IFERROR(VLOOKUP(FY$1,PremiumIncome[[Ticker]:[Weight]],2,FALSE),0%)</f>
        <v>0</v>
      </c>
      <c r="FZ7" s="179">
        <f>IFERROR(VLOOKUP(FZ$1,PremiumIncome[[Ticker]:[Weight]],2,FALSE),0%)</f>
        <v>0</v>
      </c>
      <c r="GA7" s="179">
        <f>IFERROR(VLOOKUP(GA$1,PremiumIncome[[Ticker]:[Weight]],2,FALSE),0%)</f>
        <v>0</v>
      </c>
      <c r="GB7" s="179">
        <f>IFERROR(VLOOKUP(GB$1,PremiumIncome[[Ticker]:[Weight]],2,FALSE),0%)</f>
        <v>0</v>
      </c>
      <c r="GC7" s="179">
        <f>IFERROR(VLOOKUP(GC$1,PremiumIncome[[Ticker]:[Weight]],2,FALSE),0%)</f>
        <v>0</v>
      </c>
      <c r="GD7" s="179">
        <f>IFERROR(VLOOKUP(GD$1,PremiumIncome[[Ticker]:[Weight]],2,FALSE),0%)</f>
        <v>0</v>
      </c>
      <c r="GE7" s="179">
        <f>IFERROR(VLOOKUP(GE$1,PremiumIncome[[Ticker]:[Weight]],2,FALSE),0%)</f>
        <v>0</v>
      </c>
      <c r="GF7" s="179">
        <f>IFERROR(VLOOKUP(GF$1,PremiumIncome[[Ticker]:[Weight]],2,FALSE),0%)</f>
        <v>0</v>
      </c>
      <c r="GG7" s="179">
        <f>IFERROR(VLOOKUP(GG$1,PremiumIncome[[Ticker]:[Weight]],2,FALSE),0%)</f>
        <v>0</v>
      </c>
      <c r="GH7" s="179">
        <f>IFERROR(VLOOKUP(GH$1,PremiumIncome[[Ticker]:[Weight]],2,FALSE),0%)</f>
        <v>0</v>
      </c>
      <c r="GI7" s="179">
        <f>IFERROR(VLOOKUP(GI$1,PremiumIncome[[Ticker]:[Weight]],2,FALSE),0%)</f>
        <v>0</v>
      </c>
      <c r="GJ7" s="179">
        <f>IFERROR(VLOOKUP(GJ$1,PremiumIncome[[Ticker]:[Weight]],2,FALSE),0%)</f>
        <v>0</v>
      </c>
      <c r="GK7" s="179">
        <f>IFERROR(VLOOKUP(GK$1,PremiumIncome[[Ticker]:[Weight]],2,FALSE),0%)</f>
        <v>0</v>
      </c>
      <c r="GL7" s="179">
        <f>IFERROR(VLOOKUP(GL$1,PremiumIncome[[Ticker]:[Weight]],2,FALSE),0%)</f>
        <v>0</v>
      </c>
      <c r="GM7" s="179">
        <f>IFERROR(VLOOKUP(GM$1,PremiumIncome[[Ticker]:[Weight]],2,FALSE),0%)</f>
        <v>0</v>
      </c>
      <c r="GN7" s="179">
        <f>IFERROR(VLOOKUP(GN$1,PremiumIncome[[Ticker]:[Weight]],2,FALSE),0%)</f>
        <v>0</v>
      </c>
      <c r="GO7" s="179">
        <f>IFERROR(VLOOKUP(GO$1,PremiumIncome[[Ticker]:[Weight]],2,FALSE),0%)</f>
        <v>0</v>
      </c>
      <c r="GP7" s="179">
        <f>IFERROR(VLOOKUP(GP$1,PremiumIncome[[Ticker]:[Weight]],2,FALSE),0%)</f>
        <v>0</v>
      </c>
      <c r="GQ7" s="179">
        <f>IFERROR(VLOOKUP(GQ$1,PremiumIncome[[Ticker]:[Weight]],2,FALSE),0%)</f>
        <v>0</v>
      </c>
      <c r="GR7" s="179">
        <f>IFERROR(VLOOKUP(GR$1,PremiumIncome[[Ticker]:[Weight]],2,FALSE),0%)</f>
        <v>0</v>
      </c>
      <c r="GS7" s="179">
        <f>IFERROR(VLOOKUP(GS$1,PremiumIncome[[Ticker]:[Weight]],2,FALSE),0%)</f>
        <v>0</v>
      </c>
      <c r="GT7" s="179">
        <f>IFERROR(VLOOKUP(GT$1,PremiumIncome[[Ticker]:[Weight]],2,FALSE),0%)</f>
        <v>0</v>
      </c>
      <c r="GU7" s="179">
        <f>IFERROR(VLOOKUP(GU$1,PremiumIncome[[Ticker]:[Weight]],2,FALSE),0%)</f>
        <v>0</v>
      </c>
      <c r="GV7" s="179">
        <f>IFERROR(VLOOKUP(GV$1,PremiumIncome[[Ticker]:[Weight]],2,FALSE),0%)</f>
        <v>0</v>
      </c>
      <c r="GW7" s="179">
        <f>IFERROR(VLOOKUP(GW$1,PremiumIncome[[Ticker]:[Weight]],2,FALSE),0%)</f>
        <v>0</v>
      </c>
      <c r="GX7" s="179">
        <f>IFERROR(VLOOKUP(GX$1,PremiumIncome[[Ticker]:[Weight]],2,FALSE),0%)</f>
        <v>0</v>
      </c>
      <c r="GY7" s="179">
        <f>IFERROR(VLOOKUP(GY$1,PremiumIncome[[Ticker]:[Weight]],2,FALSE),0%)</f>
        <v>0</v>
      </c>
      <c r="GZ7" s="179">
        <f>IFERROR(VLOOKUP(GZ$1,PremiumIncome[[Ticker]:[Weight]],2,FALSE),0%)</f>
        <v>0</v>
      </c>
      <c r="HA7" s="179">
        <f>IFERROR(VLOOKUP(HA$1,PremiumIncome[[Ticker]:[Weight]],2,FALSE),0%)</f>
        <v>0</v>
      </c>
      <c r="HB7" s="179">
        <f>IFERROR(VLOOKUP(HB$1,PremiumIncome[[Ticker]:[Weight]],2,FALSE),0%)</f>
        <v>0</v>
      </c>
      <c r="HC7" s="179">
        <f>IFERROR(VLOOKUP(HC$1,PremiumIncome[[Ticker]:[Weight]],2,FALSE),0%)</f>
        <v>0</v>
      </c>
      <c r="HD7" s="179">
        <f>IFERROR(VLOOKUP(HD$1,PremiumIncome[[Ticker]:[Weight]],2,FALSE),0%)</f>
        <v>0</v>
      </c>
      <c r="HE7" s="179">
        <f>IFERROR(VLOOKUP(HE$1,PremiumIncome[[Ticker]:[Weight]],2,FALSE),0%)</f>
        <v>0</v>
      </c>
      <c r="HF7" s="179">
        <f>IFERROR(VLOOKUP(HF$1,PremiumIncome[[Ticker]:[Weight]],2,FALSE),0%)</f>
        <v>0</v>
      </c>
      <c r="HG7" s="179">
        <f>IFERROR(VLOOKUP(HG$1,PremiumIncome[[Ticker]:[Weight]],2,FALSE),0%)</f>
        <v>0</v>
      </c>
      <c r="HH7" s="179">
        <f>IFERROR(VLOOKUP(HH$1,PremiumIncome[[Ticker]:[Weight]],2,FALSE),0%)</f>
        <v>0</v>
      </c>
      <c r="HI7" s="179">
        <f>IFERROR(VLOOKUP(HI$1,PremiumIncome[[Ticker]:[Weight]],2,FALSE),0%)</f>
        <v>0</v>
      </c>
      <c r="HJ7" s="179">
        <f>IFERROR(VLOOKUP(HJ$1,PremiumIncome[[Ticker]:[Weight]],2,FALSE),0%)</f>
        <v>0</v>
      </c>
      <c r="HK7" s="179">
        <f>IFERROR(VLOOKUP(HK$1,PremiumIncome[[Ticker]:[Weight]],2,FALSE),0%)</f>
        <v>0</v>
      </c>
      <c r="HL7" s="179">
        <f>IFERROR(VLOOKUP(HL$1,PremiumIncome[[Ticker]:[Weight]],2,FALSE),0%)</f>
        <v>0</v>
      </c>
      <c r="HM7" s="179">
        <f>IFERROR(VLOOKUP(HM$1,PremiumIncome[[Ticker]:[Weight]],2,FALSE),0%)</f>
        <v>0</v>
      </c>
      <c r="HN7" s="179">
        <f>IFERROR(VLOOKUP(HN$1,PremiumIncome[[Ticker]:[Weight]],2,FALSE),0%)</f>
        <v>0</v>
      </c>
      <c r="HO7" s="179">
        <f>IFERROR(VLOOKUP(HO$1,PremiumIncome[[Ticker]:[Weight]],2,FALSE),0%)</f>
        <v>0</v>
      </c>
      <c r="HP7" s="179">
        <f>IFERROR(VLOOKUP(HP$1,PremiumIncome[[Ticker]:[Weight]],2,FALSE),0%)</f>
        <v>0</v>
      </c>
      <c r="HQ7" s="179">
        <f>IFERROR(VLOOKUP(HQ$1,PremiumIncome[[Ticker]:[Weight]],2,FALSE),0%)</f>
        <v>0</v>
      </c>
      <c r="HR7" s="179">
        <f>IFERROR(VLOOKUP(HR$1,PremiumIncome[[Ticker]:[Weight]],2,FALSE),0%)</f>
        <v>0</v>
      </c>
      <c r="HS7" s="179">
        <f>IFERROR(VLOOKUP(HS$1,PremiumIncome[[Ticker]:[Weight]],2,FALSE),0%)</f>
        <v>0</v>
      </c>
      <c r="HT7" s="179">
        <f>IFERROR(VLOOKUP(HT$1,PremiumIncome[[Ticker]:[Weight]],2,FALSE),0%)</f>
        <v>0</v>
      </c>
      <c r="HU7" s="179">
        <f>IFERROR(VLOOKUP(HU$1,PremiumIncome[[Ticker]:[Weight]],2,FALSE),0%)</f>
        <v>0</v>
      </c>
      <c r="HV7" s="179">
        <f>IFERROR(VLOOKUP(HV$1,PremiumIncome[[Ticker]:[Weight]],2,FALSE),0%)</f>
        <v>0</v>
      </c>
      <c r="HW7" s="179">
        <f>IFERROR(VLOOKUP(HW$1,PremiumIncome[[Ticker]:[Weight]],2,FALSE),0%)</f>
        <v>0</v>
      </c>
      <c r="HX7" s="179">
        <f>IFERROR(VLOOKUP(HX$1,PremiumIncome[[Ticker]:[Weight]],2,FALSE),0%)</f>
        <v>0</v>
      </c>
      <c r="HY7" s="179">
        <f>IFERROR(VLOOKUP(HY$1,PremiumIncome[[Ticker]:[Weight]],2,FALSE),0%)</f>
        <v>0</v>
      </c>
      <c r="HZ7" s="179">
        <f>IFERROR(VLOOKUP(HZ$1,PremiumIncome[[Ticker]:[Weight]],2,FALSE),0%)</f>
        <v>0</v>
      </c>
      <c r="IA7" s="179">
        <f>IFERROR(VLOOKUP(IA$1,PremiumIncome[[Ticker]:[Weight]],2,FALSE),0%)</f>
        <v>0</v>
      </c>
      <c r="IB7" s="179">
        <f>IFERROR(VLOOKUP(IB$1,PremiumIncome[[Ticker]:[Weight]],2,FALSE),0%)</f>
        <v>0</v>
      </c>
      <c r="IC7" s="179">
        <f>IFERROR(VLOOKUP(IC$1,PremiumIncome[[Ticker]:[Weight]],2,FALSE),0%)</f>
        <v>0</v>
      </c>
      <c r="ID7" s="179">
        <f>IFERROR(VLOOKUP(ID$1,PremiumIncome[[Ticker]:[Weight]],2,FALSE),0%)</f>
        <v>0</v>
      </c>
      <c r="IE7" s="179">
        <f>IFERROR(VLOOKUP(IE$1,PremiumIncome[[Ticker]:[Weight]],2,FALSE),0%)</f>
        <v>0</v>
      </c>
      <c r="IF7" s="179">
        <f>IFERROR(VLOOKUP(IF$1,PremiumIncome[[Ticker]:[Weight]],2,FALSE),0%)</f>
        <v>0</v>
      </c>
      <c r="IG7" s="179">
        <f>IFERROR(VLOOKUP(IG$1,PremiumIncome[[Ticker]:[Weight]],2,FALSE),0%)</f>
        <v>0</v>
      </c>
      <c r="IH7" s="179">
        <f>IFERROR(VLOOKUP(IH$1,PremiumIncome[[Ticker]:[Weight]],2,FALSE),0%)</f>
        <v>0</v>
      </c>
      <c r="II7" s="179">
        <f>IFERROR(VLOOKUP(II$1,PremiumIncome[[Ticker]:[Weight]],2,FALSE),0%)</f>
        <v>0</v>
      </c>
      <c r="IJ7" s="179">
        <f>IFERROR(VLOOKUP(IJ$1,PremiumIncome[[Ticker]:[Weight]],2,FALSE),0%)</f>
        <v>0</v>
      </c>
      <c r="IK7" s="179">
        <f>IFERROR(VLOOKUP(IK$1,PremiumIncome[[Ticker]:[Weight]],2,FALSE),0%)</f>
        <v>0</v>
      </c>
      <c r="IL7" s="179">
        <f>IFERROR(VLOOKUP(IL$1,PremiumIncome[[Ticker]:[Weight]],2,FALSE),0%)</f>
        <v>0</v>
      </c>
      <c r="IM7" s="179">
        <f>IFERROR(VLOOKUP(IM$1,PremiumIncome[[Ticker]:[Weight]],2,FALSE),0%)</f>
        <v>0</v>
      </c>
      <c r="IN7" s="179">
        <f>IFERROR(VLOOKUP(IN$1,PremiumIncome[[Ticker]:[Weight]],2,FALSE),0%)</f>
        <v>0</v>
      </c>
      <c r="IO7" s="179">
        <f>IFERROR(VLOOKUP(IO$1,PremiumIncome[[Ticker]:[Weight]],2,FALSE),0%)</f>
        <v>0</v>
      </c>
      <c r="IP7" s="179">
        <f>IFERROR(VLOOKUP(IP$1,PremiumIncome[[Ticker]:[Weight]],2,FALSE),0%)</f>
        <v>0</v>
      </c>
      <c r="IQ7" s="179">
        <f>IFERROR(VLOOKUP(IQ$1,PremiumIncome[[Ticker]:[Weight]],2,FALSE),0%)</f>
        <v>0</v>
      </c>
      <c r="IR7" s="179">
        <f>IFERROR(VLOOKUP(IR$1,PremiumIncome[[Ticker]:[Weight]],2,FALSE),0%)</f>
        <v>0</v>
      </c>
      <c r="IS7" s="179">
        <f>IFERROR(VLOOKUP(IS$1,PremiumIncome[[Ticker]:[Weight]],2,FALSE),0%)</f>
        <v>0</v>
      </c>
      <c r="IT7" s="179">
        <f>IFERROR(VLOOKUP(IT$1,PremiumIncome[[Ticker]:[Weight]],2,FALSE),0%)</f>
        <v>0</v>
      </c>
      <c r="IU7" s="179">
        <f>IFERROR(VLOOKUP(IU$1,PremiumIncome[[Ticker]:[Weight]],2,FALSE),0%)</f>
        <v>0</v>
      </c>
      <c r="IV7" s="179">
        <f>IFERROR(VLOOKUP(IV$1,PremiumIncome[[Ticker]:[Weight]],2,FALSE),0%)</f>
        <v>0</v>
      </c>
      <c r="IW7" s="179">
        <f>IFERROR(VLOOKUP(IW$1,PremiumIncome[[Ticker]:[Weight]],2,FALSE),0%)</f>
        <v>0</v>
      </c>
      <c r="IX7" s="179">
        <f>IFERROR(VLOOKUP(IX$1,PremiumIncome[[Ticker]:[Weight]],2,FALSE),0%)</f>
        <v>0</v>
      </c>
      <c r="IY7" s="179">
        <f>IFERROR(VLOOKUP(IY$1,PremiumIncome[[Ticker]:[Weight]],2,FALSE),0%)</f>
        <v>0</v>
      </c>
      <c r="IZ7" s="179">
        <f>IFERROR(VLOOKUP(IZ$1,PremiumIncome[[Ticker]:[Weight]],2,FALSE),0%)</f>
        <v>0</v>
      </c>
      <c r="JA7" s="179">
        <f>IFERROR(VLOOKUP(JA$1,PremiumIncome[[Ticker]:[Weight]],2,FALSE),0%)</f>
        <v>0</v>
      </c>
      <c r="JB7" s="179">
        <f>IFERROR(VLOOKUP(JB$1,PremiumIncome[[Ticker]:[Weight]],2,FALSE),0%)</f>
        <v>0</v>
      </c>
      <c r="JC7" s="179">
        <f>IFERROR(VLOOKUP(JC$1,PremiumIncome[[Ticker]:[Weight]],2,FALSE),0%)</f>
        <v>0</v>
      </c>
      <c r="JD7" s="179">
        <f>IFERROR(VLOOKUP(JD$1,PremiumIncome[[Ticker]:[Weight]],2,FALSE),0%)</f>
        <v>0</v>
      </c>
      <c r="JE7" s="179">
        <f>IFERROR(VLOOKUP(JE$1,PremiumIncome[[Ticker]:[Weight]],2,FALSE),0%)</f>
        <v>0</v>
      </c>
      <c r="JF7" s="179">
        <f>IFERROR(VLOOKUP(JF$1,PremiumIncome[[Ticker]:[Weight]],2,FALSE),0%)</f>
        <v>0</v>
      </c>
      <c r="JG7" s="179">
        <f>IFERROR(VLOOKUP(JG$1,PremiumIncome[[Ticker]:[Weight]],2,FALSE),0%)</f>
        <v>0</v>
      </c>
      <c r="JH7" s="179">
        <f>IFERROR(VLOOKUP(JH$1,PremiumIncome[[Ticker]:[Weight]],2,FALSE),0%)</f>
        <v>0</v>
      </c>
      <c r="JI7" s="179">
        <f>IFERROR(VLOOKUP(JI$1,PremiumIncome[[Ticker]:[Weight]],2,FALSE),0%)</f>
        <v>0</v>
      </c>
      <c r="JJ7" s="179">
        <f>IFERROR(VLOOKUP(JJ$1,PremiumIncome[[Ticker]:[Weight]],2,FALSE),0%)</f>
        <v>0</v>
      </c>
      <c r="JK7" s="179">
        <f>IFERROR(VLOOKUP(JK$1,PremiumIncome[[Ticker]:[Weight]],2,FALSE),0%)</f>
        <v>0</v>
      </c>
      <c r="JL7" s="179">
        <f>IFERROR(VLOOKUP(JL$1,PremiumIncome[[Ticker]:[Weight]],2,FALSE),0%)</f>
        <v>0</v>
      </c>
      <c r="JM7" s="179">
        <f>IFERROR(VLOOKUP(JM$1,PremiumIncome[[Ticker]:[Weight]],2,FALSE),0%)</f>
        <v>0</v>
      </c>
      <c r="JN7" s="179">
        <f>IFERROR(VLOOKUP(JN$1,PremiumIncome[[Ticker]:[Weight]],2,FALSE),0%)</f>
        <v>0</v>
      </c>
      <c r="JO7" s="179">
        <f>IFERROR(VLOOKUP(JO$1,PremiumIncome[[Ticker]:[Weight]],2,FALSE),0%)</f>
        <v>0</v>
      </c>
      <c r="JP7" s="179">
        <f>IFERROR(VLOOKUP(JP$1,PremiumIncome[[Ticker]:[Weight]],2,FALSE),0%)</f>
        <v>0</v>
      </c>
      <c r="JQ7" s="179">
        <f>IFERROR(VLOOKUP(JQ$1,PremiumIncome[[Ticker]:[Weight]],2,FALSE),0%)</f>
        <v>0</v>
      </c>
      <c r="JR7" s="179">
        <f>IFERROR(VLOOKUP(JR$1,PremiumIncome[[Ticker]:[Weight]],2,FALSE),0%)</f>
        <v>0</v>
      </c>
      <c r="JS7" s="179">
        <f>IFERROR(VLOOKUP(JS$1,PremiumIncome[[Ticker]:[Weight]],2,FALSE),0%)</f>
        <v>0</v>
      </c>
      <c r="JT7" s="179">
        <f>IFERROR(VLOOKUP(JT$1,PremiumIncome[[Ticker]:[Weight]],2,FALSE),0%)</f>
        <v>0</v>
      </c>
      <c r="JU7" s="179">
        <f>IFERROR(VLOOKUP(JU$1,PremiumIncome[[Ticker]:[Weight]],2,FALSE),0%)</f>
        <v>0</v>
      </c>
      <c r="JV7" s="179">
        <f>IFERROR(VLOOKUP(JV$1,PremiumIncome[[Ticker]:[Weight]],2,FALSE),0%)</f>
        <v>0</v>
      </c>
      <c r="JW7" s="179">
        <f>IFERROR(VLOOKUP(JW$1,PremiumIncome[[Ticker]:[Weight]],2,FALSE),0%)</f>
        <v>0</v>
      </c>
      <c r="JX7" s="179">
        <f>IFERROR(VLOOKUP(JX$1,PremiumIncome[[Ticker]:[Weight]],2,FALSE),0%)</f>
        <v>0</v>
      </c>
      <c r="JY7" s="179">
        <f>IFERROR(VLOOKUP(JY$1,PremiumIncome[[Ticker]:[Weight]],2,FALSE),0%)</f>
        <v>0</v>
      </c>
      <c r="JZ7" s="179">
        <f>IFERROR(VLOOKUP(JZ$1,PremiumIncome[[Ticker]:[Weight]],2,FALSE),0%)</f>
        <v>0</v>
      </c>
      <c r="KA7" s="179">
        <f>IFERROR(VLOOKUP(KA$1,PremiumIncome[[Ticker]:[Weight]],2,FALSE),0%)</f>
        <v>0</v>
      </c>
      <c r="KB7" s="179">
        <f>IFERROR(VLOOKUP(KB$1,PremiumIncome[[Ticker]:[Weight]],2,FALSE),0%)</f>
        <v>0</v>
      </c>
      <c r="KC7" s="179">
        <f>IFERROR(VLOOKUP(KC$1,PremiumIncome[[Ticker]:[Weight]],2,FALSE),0%)</f>
        <v>0</v>
      </c>
      <c r="KD7" s="179">
        <f>IFERROR(VLOOKUP(KD$1,PremiumIncome[[Ticker]:[Weight]],2,FALSE),0%)</f>
        <v>0</v>
      </c>
      <c r="KE7" s="179">
        <f>IFERROR(VLOOKUP(KE$1,PremiumIncome[[Ticker]:[Weight]],2,FALSE),0%)</f>
        <v>0</v>
      </c>
      <c r="KF7" s="179">
        <f>IFERROR(VLOOKUP(KF$1,PremiumIncome[[Ticker]:[Weight]],2,FALSE),0%)</f>
        <v>0</v>
      </c>
      <c r="KG7" s="179">
        <f>IFERROR(VLOOKUP(KG$1,PremiumIncome[[Ticker]:[Weight]],2,FALSE),0%)</f>
        <v>0</v>
      </c>
      <c r="KH7" s="179">
        <f>IFERROR(VLOOKUP(KH$1,PremiumIncome[[Ticker]:[Weight]],2,FALSE),0%)</f>
        <v>0</v>
      </c>
      <c r="KI7" s="179">
        <f>IFERROR(VLOOKUP(KI$1,PremiumIncome[[Ticker]:[Weight]],2,FALSE),0%)</f>
        <v>0</v>
      </c>
      <c r="KJ7" s="179">
        <f>IFERROR(VLOOKUP(KJ$1,PremiumIncome[[Ticker]:[Weight]],2,FALSE),0%)</f>
        <v>0</v>
      </c>
      <c r="KK7" s="179">
        <f>IFERROR(VLOOKUP(KK$1,PremiumIncome[[Ticker]:[Weight]],2,FALSE),0%)</f>
        <v>0</v>
      </c>
      <c r="KL7" s="179">
        <f>IFERROR(VLOOKUP(KL$1,PremiumIncome[[Ticker]:[Weight]],2,FALSE),0%)</f>
        <v>0</v>
      </c>
      <c r="KM7" s="179">
        <f>IFERROR(VLOOKUP(KM$1,PremiumIncome[[Ticker]:[Weight]],2,FALSE),0%)</f>
        <v>0</v>
      </c>
      <c r="KN7" s="179">
        <f>IFERROR(VLOOKUP(KN$1,PremiumIncome[[Ticker]:[Weight]],2,FALSE),0%)</f>
        <v>0</v>
      </c>
      <c r="KO7" s="179">
        <f>IFERROR(VLOOKUP(KO$1,PremiumIncome[[Ticker]:[Weight]],2,FALSE),0%)</f>
        <v>0</v>
      </c>
      <c r="KP7" s="179">
        <f>IFERROR(VLOOKUP(KP$1,PremiumIncome[[Ticker]:[Weight]],2,FALSE),0%)</f>
        <v>0</v>
      </c>
      <c r="KQ7" s="179">
        <f>IFERROR(VLOOKUP(KQ$1,PremiumIncome[[Ticker]:[Weight]],2,FALSE),0%)</f>
        <v>0</v>
      </c>
      <c r="KR7" s="179">
        <f>IFERROR(VLOOKUP(KR$1,PremiumIncome[[Ticker]:[Weight]],2,FALSE),0%)</f>
        <v>0</v>
      </c>
      <c r="KS7" s="179">
        <f>IFERROR(VLOOKUP(KS$1,PremiumIncome[[Ticker]:[Weight]],2,FALSE),0%)</f>
        <v>0</v>
      </c>
      <c r="KT7" s="179">
        <f>IFERROR(VLOOKUP(KT$1,PremiumIncome[[Ticker]:[Weight]],2,FALSE),0%)</f>
        <v>0</v>
      </c>
      <c r="KU7" s="179">
        <f>IFERROR(VLOOKUP(KU$1,PremiumIncome[[Ticker]:[Weight]],2,FALSE),0%)</f>
        <v>0</v>
      </c>
      <c r="KV7" s="179">
        <f>IFERROR(VLOOKUP(KV$1,PremiumIncome[[Ticker]:[Weight]],2,FALSE),0%)</f>
        <v>0</v>
      </c>
      <c r="KW7" s="179">
        <f>IFERROR(VLOOKUP(KW$1,PremiumIncome[[Ticker]:[Weight]],2,FALSE),0%)</f>
        <v>0</v>
      </c>
      <c r="KX7" s="179">
        <f>IFERROR(VLOOKUP(KX$1,PremiumIncome[[Ticker]:[Weight]],2,FALSE),0%)</f>
        <v>0</v>
      </c>
      <c r="KY7" s="179">
        <f>IFERROR(VLOOKUP(KY$1,PremiumIncome[[Ticker]:[Weight]],2,FALSE),0%)</f>
        <v>0</v>
      </c>
      <c r="KZ7" s="179">
        <f>IFERROR(VLOOKUP(KZ$1,PremiumIncome[[Ticker]:[Weight]],2,FALSE),0%)</f>
        <v>0</v>
      </c>
      <c r="LA7" s="179">
        <f>IFERROR(VLOOKUP(LA$1,PremiumIncome[[Ticker]:[Weight]],2,FALSE),0%)</f>
        <v>0</v>
      </c>
      <c r="LB7" s="179">
        <f>IFERROR(VLOOKUP(LB$1,PremiumIncome[[Ticker]:[Weight]],2,FALSE),0%)</f>
        <v>0</v>
      </c>
      <c r="LC7" s="179">
        <f>IFERROR(VLOOKUP(LC$1,PremiumIncome[[Ticker]:[Weight]],2,FALSE),0%)</f>
        <v>0</v>
      </c>
      <c r="LD7" s="179">
        <f>IFERROR(VLOOKUP(LD$1,PremiumIncome[[Ticker]:[Weight]],2,FALSE),0%)</f>
        <v>0</v>
      </c>
      <c r="LE7" s="179">
        <f>IFERROR(VLOOKUP(LE$1,PremiumIncome[[Ticker]:[Weight]],2,FALSE),0%)</f>
        <v>0</v>
      </c>
      <c r="LF7" s="179">
        <f>IFERROR(VLOOKUP(LF$1,PremiumIncome[[Ticker]:[Weight]],2,FALSE),0%)</f>
        <v>0</v>
      </c>
      <c r="LG7" s="179">
        <f>IFERROR(VLOOKUP(LG$1,PremiumIncome[[Ticker]:[Weight]],2,FALSE),0%)</f>
        <v>0</v>
      </c>
      <c r="LH7" s="179">
        <f>IFERROR(VLOOKUP(LH$1,PremiumIncome[[Ticker]:[Weight]],2,FALSE),0%)</f>
        <v>0</v>
      </c>
      <c r="LI7" s="179">
        <f>IFERROR(VLOOKUP(LI$1,PremiumIncome[[Ticker]:[Weight]],2,FALSE),0%)</f>
        <v>0</v>
      </c>
      <c r="LJ7" s="179">
        <f>IFERROR(VLOOKUP(LJ$1,PremiumIncome[[Ticker]:[Weight]],2,FALSE),0%)</f>
        <v>0</v>
      </c>
      <c r="LK7" s="179">
        <f>IFERROR(VLOOKUP(LK$1,PremiumIncome[[Ticker]:[Weight]],2,FALSE),0%)</f>
        <v>0</v>
      </c>
      <c r="LL7" s="179">
        <f>IFERROR(VLOOKUP(LL$1,PremiumIncome[[Ticker]:[Weight]],2,FALSE),0%)</f>
        <v>0</v>
      </c>
      <c r="LM7" s="179">
        <f>IFERROR(VLOOKUP(LM$1,PremiumIncome[[Ticker]:[Weight]],2,FALSE),0%)</f>
        <v>0</v>
      </c>
      <c r="LN7" s="179">
        <f>IFERROR(VLOOKUP(LN$1,PremiumIncome[[Ticker]:[Weight]],2,FALSE),0%)</f>
        <v>0</v>
      </c>
      <c r="LO7" s="179">
        <f>IFERROR(VLOOKUP(LO$1,PremiumIncome[[Ticker]:[Weight]],2,FALSE),0%)</f>
        <v>0</v>
      </c>
      <c r="LP7" s="179">
        <f>IFERROR(VLOOKUP(LP$1,PremiumIncome[[Ticker]:[Weight]],2,FALSE),0%)</f>
        <v>0</v>
      </c>
      <c r="LQ7" s="179">
        <f>IFERROR(VLOOKUP(LQ$1,PremiumIncome[[Ticker]:[Weight]],2,FALSE),0%)</f>
        <v>0</v>
      </c>
      <c r="LR7" s="179">
        <f>IFERROR(VLOOKUP(LR$1,PremiumIncome[[Ticker]:[Weight]],2,FALSE),0%)</f>
        <v>0</v>
      </c>
      <c r="LS7" s="179">
        <f>IFERROR(VLOOKUP(LS$1,PremiumIncome[[Ticker]:[Weight]],2,FALSE),0%)</f>
        <v>0</v>
      </c>
      <c r="LT7" s="179">
        <f>IFERROR(VLOOKUP(LT$1,PremiumIncome[[Ticker]:[Weight]],2,FALSE),0%)</f>
        <v>0</v>
      </c>
      <c r="LU7" s="179">
        <f>IFERROR(VLOOKUP(LU$1,PremiumIncome[[Ticker]:[Weight]],2,FALSE),0%)</f>
        <v>0</v>
      </c>
      <c r="LV7" s="179">
        <f>IFERROR(VLOOKUP(LV$1,PremiumIncome[[Ticker]:[Weight]],2,FALSE),0%)</f>
        <v>0</v>
      </c>
      <c r="LW7" s="179">
        <f>IFERROR(VLOOKUP(LW$1,PremiumIncome[[Ticker]:[Weight]],2,FALSE),0%)</f>
        <v>0</v>
      </c>
      <c r="LX7" s="179">
        <f>IFERROR(VLOOKUP(LX$1,PremiumIncome[[Ticker]:[Weight]],2,FALSE),0%)</f>
        <v>0</v>
      </c>
      <c r="LY7" s="179">
        <f>IFERROR(VLOOKUP(LY$1,PremiumIncome[[Ticker]:[Weight]],2,FALSE),0%)</f>
        <v>0</v>
      </c>
      <c r="LZ7" s="179">
        <f>IFERROR(VLOOKUP(LZ$1,PremiumIncome[[Ticker]:[Weight]],2,FALSE),0%)</f>
        <v>0</v>
      </c>
      <c r="MA7" s="179">
        <f>IFERROR(VLOOKUP(MA$1,PremiumIncome[[Ticker]:[Weight]],2,FALSE),0%)</f>
        <v>0</v>
      </c>
      <c r="MB7" s="179">
        <f>IFERROR(VLOOKUP(MB$1,PremiumIncome[[Ticker]:[Weight]],2,FALSE),0%)</f>
        <v>0</v>
      </c>
      <c r="MC7" s="179">
        <f>IFERROR(VLOOKUP(MC$1,PremiumIncome[[Ticker]:[Weight]],2,FALSE),0%)</f>
        <v>0</v>
      </c>
      <c r="MD7" s="179">
        <f>IFERROR(VLOOKUP(MD$1,PremiumIncome[[Ticker]:[Weight]],2,FALSE),0%)</f>
        <v>0</v>
      </c>
      <c r="ME7" s="179">
        <f>IFERROR(VLOOKUP(ME$1,PremiumIncome[[Ticker]:[Weight]],2,FALSE),0%)</f>
        <v>0</v>
      </c>
      <c r="MF7" s="179">
        <f>IFERROR(VLOOKUP(MF$1,PremiumIncome[[Ticker]:[Weight]],2,FALSE),0%)</f>
        <v>0</v>
      </c>
      <c r="MG7" s="179">
        <f>IFERROR(VLOOKUP(MG$1,PremiumIncome[[Ticker]:[Weight]],2,FALSE),0%)</f>
        <v>0</v>
      </c>
      <c r="MH7" s="179">
        <f>IFERROR(VLOOKUP(MH$1,PremiumIncome[[Ticker]:[Weight]],2,FALSE),0%)</f>
        <v>0</v>
      </c>
      <c r="MI7" s="179">
        <f>IFERROR(VLOOKUP(MI$1,PremiumIncome[[Ticker]:[Weight]],2,FALSE),0%)</f>
        <v>0</v>
      </c>
      <c r="MJ7" s="179">
        <f>IFERROR(VLOOKUP(MJ$1,PremiumIncome[[Ticker]:[Weight]],2,FALSE),0%)</f>
        <v>0</v>
      </c>
      <c r="MK7" s="179">
        <f>IFERROR(VLOOKUP(MK$1,PremiumIncome[[Ticker]:[Weight]],2,FALSE),0%)</f>
        <v>0</v>
      </c>
      <c r="ML7" s="179">
        <f>IFERROR(VLOOKUP(ML$1,PremiumIncome[[Ticker]:[Weight]],2,FALSE),0%)</f>
        <v>0</v>
      </c>
      <c r="MM7" s="179">
        <f>IFERROR(VLOOKUP(MM$1,PremiumIncome[[Ticker]:[Weight]],2,FALSE),0%)</f>
        <v>0</v>
      </c>
      <c r="MN7" s="179">
        <f>IFERROR(VLOOKUP(MN$1,PremiumIncome[[Ticker]:[Weight]],2,FALSE),0%)</f>
        <v>0</v>
      </c>
      <c r="MO7" s="179">
        <f>IFERROR(VLOOKUP(MO$1,PremiumIncome[[Ticker]:[Weight]],2,FALSE),0%)</f>
        <v>0</v>
      </c>
      <c r="MP7" s="179">
        <f>IFERROR(VLOOKUP(MP$1,PremiumIncome[[Ticker]:[Weight]],2,FALSE),0%)</f>
        <v>0</v>
      </c>
      <c r="MQ7" s="179">
        <f>IFERROR(VLOOKUP(MQ$1,PremiumIncome[[Ticker]:[Weight]],2,FALSE),0%)</f>
        <v>0</v>
      </c>
      <c r="MR7" s="179">
        <f>IFERROR(VLOOKUP(MR$1,PremiumIncome[[Ticker]:[Weight]],2,FALSE),0%)</f>
        <v>0</v>
      </c>
      <c r="MS7" s="179">
        <f>IFERROR(VLOOKUP(MS$1,PremiumIncome[[Ticker]:[Weight]],2,FALSE),0%)</f>
        <v>0</v>
      </c>
      <c r="MT7" s="179">
        <f>IFERROR(VLOOKUP(MT$1,PremiumIncome[[Ticker]:[Weight]],2,FALSE),0%)</f>
        <v>0</v>
      </c>
      <c r="MU7" s="179">
        <f>IFERROR(VLOOKUP(MU$1,PremiumIncome[[Ticker]:[Weight]],2,FALSE),0%)</f>
        <v>0</v>
      </c>
      <c r="MV7" s="179">
        <f>IFERROR(VLOOKUP(MV$1,PremiumIncome[[Ticker]:[Weight]],2,FALSE),0%)</f>
        <v>0</v>
      </c>
      <c r="MW7" s="179">
        <f>IFERROR(VLOOKUP(MW$1,PremiumIncome[[Ticker]:[Weight]],2,FALSE),0%)</f>
        <v>0</v>
      </c>
      <c r="MX7" s="179">
        <f>IFERROR(VLOOKUP(MX$1,PremiumIncome[[Ticker]:[Weight]],2,FALSE),0%)</f>
        <v>0</v>
      </c>
      <c r="MY7" s="179">
        <f>IFERROR(VLOOKUP(MY$1,PremiumIncome[[Ticker]:[Weight]],2,FALSE),0%)</f>
        <v>0</v>
      </c>
      <c r="MZ7" s="179">
        <f>IFERROR(VLOOKUP(MZ$1,PremiumIncome[[Ticker]:[Weight]],2,FALSE),0%)</f>
        <v>0</v>
      </c>
      <c r="NA7" s="179">
        <f>IFERROR(VLOOKUP(NA$1,PremiumIncome[[Ticker]:[Weight]],2,FALSE),0%)</f>
        <v>0</v>
      </c>
      <c r="NB7" s="179">
        <f>IFERROR(VLOOKUP(NB$1,PremiumIncome[[Ticker]:[Weight]],2,FALSE),0%)</f>
        <v>0</v>
      </c>
      <c r="NC7" s="179">
        <f>IFERROR(VLOOKUP(NC$1,PremiumIncome[[Ticker]:[Weight]],2,FALSE),0%)</f>
        <v>0</v>
      </c>
      <c r="ND7" s="179">
        <f>IFERROR(VLOOKUP(ND$1,PremiumIncome[[Ticker]:[Weight]],2,FALSE),0%)</f>
        <v>0</v>
      </c>
      <c r="NE7" s="179">
        <f>IFERROR(VLOOKUP(NE$1,PremiumIncome[[Ticker]:[Weight]],2,FALSE),0%)</f>
        <v>0</v>
      </c>
      <c r="NF7" s="179">
        <f>IFERROR(VLOOKUP(NF$1,PremiumIncome[[Ticker]:[Weight]],2,FALSE),0%)</f>
        <v>0</v>
      </c>
      <c r="NG7" s="179">
        <f>IFERROR(VLOOKUP(NG$1,PremiumIncome[[Ticker]:[Weight]],2,FALSE),0%)</f>
        <v>0</v>
      </c>
      <c r="NH7" s="179">
        <f>IFERROR(VLOOKUP(NH$1,PremiumIncome[[Ticker]:[Weight]],2,FALSE),0%)</f>
        <v>0</v>
      </c>
      <c r="NI7" s="179">
        <f>IFERROR(VLOOKUP(NI$1,PremiumIncome[[Ticker]:[Weight]],2,FALSE),0%)</f>
        <v>0</v>
      </c>
      <c r="NJ7" s="179">
        <f>IFERROR(VLOOKUP(NJ$1,PremiumIncome[[Ticker]:[Weight]],2,FALSE),0%)</f>
        <v>0</v>
      </c>
      <c r="NK7" s="179">
        <f>IFERROR(VLOOKUP(NK$1,PremiumIncome[[Ticker]:[Weight]],2,FALSE),0%)</f>
        <v>0</v>
      </c>
      <c r="NL7" s="179">
        <f>IFERROR(VLOOKUP(NL$1,PremiumIncome[[Ticker]:[Weight]],2,FALSE),0%)</f>
        <v>0</v>
      </c>
      <c r="NM7" s="179">
        <f>IFERROR(VLOOKUP(NM$1,PremiumIncome[[Ticker]:[Weight]],2,FALSE),0%)</f>
        <v>0</v>
      </c>
      <c r="NN7" s="179">
        <f>IFERROR(VLOOKUP(NN$1,PremiumIncome[[Ticker]:[Weight]],2,FALSE),0%)</f>
        <v>0</v>
      </c>
      <c r="NO7" s="179">
        <f>IFERROR(VLOOKUP(NO$1,PremiumIncome[[Ticker]:[Weight]],2,FALSE),0%)</f>
        <v>0</v>
      </c>
      <c r="NP7" s="179">
        <f>IFERROR(VLOOKUP(NP$1,PremiumIncome[[Ticker]:[Weight]],2,FALSE),0%)</f>
        <v>0</v>
      </c>
      <c r="NQ7" s="179">
        <f>IFERROR(VLOOKUP(NQ$1,PremiumIncome[[Ticker]:[Weight]],2,FALSE),0%)</f>
        <v>0</v>
      </c>
      <c r="NR7" s="179">
        <f>IFERROR(VLOOKUP(NR$1,PremiumIncome[[Ticker]:[Weight]],2,FALSE),0%)</f>
        <v>0</v>
      </c>
      <c r="NS7" s="179">
        <f>IFERROR(VLOOKUP(NS$1,PremiumIncome[[Ticker]:[Weight]],2,FALSE),0%)</f>
        <v>0</v>
      </c>
      <c r="NT7" s="179">
        <f>IFERROR(VLOOKUP(NT$1,PremiumIncome[[Ticker]:[Weight]],2,FALSE),0%)</f>
        <v>0</v>
      </c>
      <c r="NU7" s="179">
        <f>IFERROR(VLOOKUP(NU$1,PremiumIncome[[Ticker]:[Weight]],2,FALSE),0%)</f>
        <v>0</v>
      </c>
      <c r="NV7" s="179">
        <f>IFERROR(VLOOKUP(NV$1,PremiumIncome[[Ticker]:[Weight]],2,FALSE),0%)</f>
        <v>0</v>
      </c>
      <c r="NW7" s="179">
        <f>IFERROR(VLOOKUP(NW$1,PremiumIncome[[Ticker]:[Weight]],2,FALSE),0%)</f>
        <v>0</v>
      </c>
      <c r="NX7" s="179">
        <f>IFERROR(VLOOKUP(NX$1,PremiumIncome[[Ticker]:[Weight]],2,FALSE),0%)</f>
        <v>0</v>
      </c>
      <c r="NY7" s="179">
        <f>IFERROR(VLOOKUP(NY$1,PremiumIncome[[Ticker]:[Weight]],2,FALSE),0%)</f>
        <v>0</v>
      </c>
      <c r="NZ7" s="179">
        <f>IFERROR(VLOOKUP(NZ$1,PremiumIncome[[Ticker]:[Weight]],2,FALSE),0%)</f>
        <v>0</v>
      </c>
      <c r="OA7" s="179">
        <f>IFERROR(VLOOKUP(OA$1,PremiumIncome[[Ticker]:[Weight]],2,FALSE),0%)</f>
        <v>0</v>
      </c>
      <c r="OB7" s="179">
        <f>IFERROR(VLOOKUP(OB$1,PremiumIncome[[Ticker]:[Weight]],2,FALSE),0%)</f>
        <v>0</v>
      </c>
      <c r="OC7" s="179">
        <f>IFERROR(VLOOKUP(OC$1,PremiumIncome[[Ticker]:[Weight]],2,FALSE),0%)</f>
        <v>0</v>
      </c>
      <c r="OD7" s="179">
        <f>IFERROR(VLOOKUP(OD$1,PremiumIncome[[Ticker]:[Weight]],2,FALSE),0%)</f>
        <v>0</v>
      </c>
      <c r="OE7" s="179">
        <f>IFERROR(VLOOKUP(OE$1,PremiumIncome[[Ticker]:[Weight]],2,FALSE),0%)</f>
        <v>0</v>
      </c>
      <c r="OF7" s="179">
        <f>IFERROR(VLOOKUP(OF$1,PremiumIncome[[Ticker]:[Weight]],2,FALSE),0%)</f>
        <v>0</v>
      </c>
      <c r="OG7" s="179">
        <f>IFERROR(VLOOKUP(OG$1,PremiumIncome[[Ticker]:[Weight]],2,FALSE),0%)</f>
        <v>0</v>
      </c>
      <c r="OH7" s="179">
        <f>IFERROR(VLOOKUP(OH$1,PremiumIncome[[Ticker]:[Weight]],2,FALSE),0%)</f>
        <v>0</v>
      </c>
      <c r="OI7" s="179">
        <f>IFERROR(VLOOKUP(OI$1,PremiumIncome[[Ticker]:[Weight]],2,FALSE),0%)</f>
        <v>0</v>
      </c>
      <c r="OJ7" s="179">
        <f>IFERROR(VLOOKUP(OJ$1,PremiumIncome[[Ticker]:[Weight]],2,FALSE),0%)</f>
        <v>0</v>
      </c>
      <c r="OK7" s="179">
        <f>IFERROR(VLOOKUP(OK$1,PremiumIncome[[Ticker]:[Weight]],2,FALSE),0%)</f>
        <v>0</v>
      </c>
      <c r="OL7" s="179">
        <f>IFERROR(VLOOKUP(OL$1,PremiumIncome[[Ticker]:[Weight]],2,FALSE),0%)</f>
        <v>0</v>
      </c>
      <c r="OM7" s="179">
        <f>IFERROR(VLOOKUP(OM$1,PremiumIncome[[Ticker]:[Weight]],2,FALSE),0%)</f>
        <v>0</v>
      </c>
      <c r="ON7" s="179">
        <f>IFERROR(VLOOKUP(ON$1,PremiumIncome[[Ticker]:[Weight]],2,FALSE),0%)</f>
        <v>0</v>
      </c>
      <c r="OO7" s="179">
        <f>IFERROR(VLOOKUP(OO$1,PremiumIncome[[Ticker]:[Weight]],2,FALSE),0%)</f>
        <v>0</v>
      </c>
      <c r="OP7" s="179">
        <f>IFERROR(VLOOKUP(OP$1,PremiumIncome[[Ticker]:[Weight]],2,FALSE),0%)</f>
        <v>0</v>
      </c>
      <c r="OQ7" s="179">
        <f>IFERROR(VLOOKUP(OQ$1,PremiumIncome[[Ticker]:[Weight]],2,FALSE),0%)</f>
        <v>0</v>
      </c>
      <c r="OR7" s="179">
        <f>IFERROR(VLOOKUP(OR$1,PremiumIncome[[Ticker]:[Weight]],2,FALSE),0%)</f>
        <v>0</v>
      </c>
      <c r="OS7" s="179">
        <f>IFERROR(VLOOKUP(OS$1,PremiumIncome[[Ticker]:[Weight]],2,FALSE),0%)</f>
        <v>0</v>
      </c>
      <c r="OT7" s="179">
        <f>IFERROR(VLOOKUP(OT$1,PremiumIncome[[Ticker]:[Weight]],2,FALSE),0%)</f>
        <v>0</v>
      </c>
      <c r="OU7" s="179">
        <f>IFERROR(VLOOKUP(OU$1,PremiumIncome[[Ticker]:[Weight]],2,FALSE),0%)</f>
        <v>0</v>
      </c>
      <c r="OV7" s="179">
        <f>IFERROR(VLOOKUP(OV$1,PremiumIncome[[Ticker]:[Weight]],2,FALSE),0%)</f>
        <v>0</v>
      </c>
      <c r="OW7" s="179">
        <f>IFERROR(VLOOKUP(OW$1,PremiumIncome[[Ticker]:[Weight]],2,FALSE),0%)</f>
        <v>0</v>
      </c>
      <c r="OX7" s="179">
        <f>IFERROR(VLOOKUP(OX$1,PremiumIncome[[Ticker]:[Weight]],2,FALSE),0%)</f>
        <v>0</v>
      </c>
      <c r="OY7" s="179">
        <f>IFERROR(VLOOKUP(OY$1,PremiumIncome[[Ticker]:[Weight]],2,FALSE),0%)</f>
        <v>0</v>
      </c>
      <c r="OZ7" s="179">
        <f>IFERROR(VLOOKUP(OZ$1,PremiumIncome[[Ticker]:[Weight]],2,FALSE),0%)</f>
        <v>0</v>
      </c>
      <c r="PA7" s="179">
        <f>IFERROR(VLOOKUP(PA$1,PremiumIncome[[Ticker]:[Weight]],2,FALSE),0%)</f>
        <v>0</v>
      </c>
      <c r="PB7" s="179">
        <f>IFERROR(VLOOKUP(PB$1,PremiumIncome[[Ticker]:[Weight]],2,FALSE),0%)</f>
        <v>0</v>
      </c>
      <c r="PC7" s="179">
        <f>IFERROR(VLOOKUP(PC$1,PremiumIncome[[Ticker]:[Weight]],2,FALSE),0%)</f>
        <v>0</v>
      </c>
      <c r="PD7" s="179">
        <f>IFERROR(VLOOKUP(PD$1,PremiumIncome[[Ticker]:[Weight]],2,FALSE),0%)</f>
        <v>0</v>
      </c>
      <c r="PE7" s="179">
        <f>IFERROR(VLOOKUP(PE$1,PremiumIncome[[Ticker]:[Weight]],2,FALSE),0%)</f>
        <v>0</v>
      </c>
      <c r="PF7" s="179">
        <f>IFERROR(VLOOKUP(PF$1,PremiumIncome[[Ticker]:[Weight]],2,FALSE),0%)</f>
        <v>0</v>
      </c>
      <c r="PG7" s="179">
        <f>IFERROR(VLOOKUP(PG$1,PremiumIncome[[Ticker]:[Weight]],2,FALSE),0%)</f>
        <v>0</v>
      </c>
      <c r="PH7" s="179">
        <f>IFERROR(VLOOKUP(PH$1,PremiumIncome[[Ticker]:[Weight]],2,FALSE),0%)</f>
        <v>0</v>
      </c>
      <c r="PI7" s="179">
        <f>IFERROR(VLOOKUP(PI$1,PremiumIncome[[Ticker]:[Weight]],2,FALSE),0%)</f>
        <v>0</v>
      </c>
      <c r="PJ7" s="179">
        <f>IFERROR(VLOOKUP(PJ$1,PremiumIncome[[Ticker]:[Weight]],2,FALSE),0%)</f>
        <v>0</v>
      </c>
      <c r="PK7" s="179">
        <f>IFERROR(VLOOKUP(PK$1,PremiumIncome[[Ticker]:[Weight]],2,FALSE),0%)</f>
        <v>0</v>
      </c>
      <c r="PL7" s="179">
        <f>IFERROR(VLOOKUP(PL$1,PremiumIncome[[Ticker]:[Weight]],2,FALSE),0%)</f>
        <v>0</v>
      </c>
      <c r="PM7" s="179">
        <f>IFERROR(VLOOKUP(PM$1,PremiumIncome[[Ticker]:[Weight]],2,FALSE),0%)</f>
        <v>0</v>
      </c>
      <c r="PN7" s="179">
        <f>IFERROR(VLOOKUP(PN$1,PremiumIncome[[Ticker]:[Weight]],2,FALSE),0%)</f>
        <v>0</v>
      </c>
      <c r="PO7" s="179">
        <f>IFERROR(VLOOKUP(PO$1,PremiumIncome[[Ticker]:[Weight]],2,FALSE),0%)</f>
        <v>0</v>
      </c>
      <c r="PP7" s="179">
        <f>IFERROR(VLOOKUP(PP$1,PremiumIncome[[Ticker]:[Weight]],2,FALSE),0%)</f>
        <v>0</v>
      </c>
      <c r="PQ7" s="179">
        <f>IFERROR(VLOOKUP(PQ$1,PremiumIncome[[Ticker]:[Weight]],2,FALSE),0%)</f>
        <v>0</v>
      </c>
      <c r="PR7" s="179">
        <f>IFERROR(VLOOKUP(PR$1,PremiumIncome[[Ticker]:[Weight]],2,FALSE),0%)</f>
        <v>0</v>
      </c>
      <c r="PS7" s="179">
        <f>IFERROR(VLOOKUP(PS$1,PremiumIncome[[Ticker]:[Weight]],2,FALSE),0%)</f>
        <v>0</v>
      </c>
      <c r="PT7" s="179">
        <f>IFERROR(VLOOKUP(PT$1,PremiumIncome[[Ticker]:[Weight]],2,FALSE),0%)</f>
        <v>0</v>
      </c>
      <c r="PU7" s="179">
        <f>IFERROR(VLOOKUP(PU$1,PremiumIncome[[Ticker]:[Weight]],2,FALSE),0%)</f>
        <v>0</v>
      </c>
      <c r="PV7" s="179">
        <f>IFERROR(VLOOKUP(PV$1,PremiumIncome[[Ticker]:[Weight]],2,FALSE),0%)</f>
        <v>0</v>
      </c>
      <c r="PW7" s="179">
        <f>IFERROR(VLOOKUP(PW$1,PremiumIncome[[Ticker]:[Weight]],2,FALSE),0%)</f>
        <v>0</v>
      </c>
      <c r="PX7" s="179">
        <f>IFERROR(VLOOKUP(PX$1,PremiumIncome[[Ticker]:[Weight]],2,FALSE),0%)</f>
        <v>0</v>
      </c>
      <c r="PY7" s="179">
        <f>IFERROR(VLOOKUP(PY$1,PremiumIncome[[Ticker]:[Weight]],2,FALSE),0%)</f>
        <v>0</v>
      </c>
      <c r="PZ7" s="179">
        <f>IFERROR(VLOOKUP(PZ$1,PremiumIncome[[Ticker]:[Weight]],2,FALSE),0%)</f>
        <v>0</v>
      </c>
      <c r="QA7" s="179">
        <f>IFERROR(VLOOKUP(QA$1,PremiumIncome[[Ticker]:[Weight]],2,FALSE),0%)</f>
        <v>0</v>
      </c>
      <c r="QB7" s="179">
        <f>IFERROR(VLOOKUP(QB$1,PremiumIncome[[Ticker]:[Weight]],2,FALSE),0%)</f>
        <v>0</v>
      </c>
      <c r="QC7" s="179">
        <f>IFERROR(VLOOKUP(QC$1,PremiumIncome[[Ticker]:[Weight]],2,FALSE),0%)</f>
        <v>0</v>
      </c>
      <c r="QD7" s="179">
        <f>IFERROR(VLOOKUP(QD$1,PremiumIncome[[Ticker]:[Weight]],2,FALSE),0%)</f>
        <v>0</v>
      </c>
      <c r="QE7" s="179">
        <f>IFERROR(VLOOKUP(QE$1,PremiumIncome[[Ticker]:[Weight]],2,FALSE),0%)</f>
        <v>0</v>
      </c>
      <c r="QF7" s="179">
        <f>IFERROR(VLOOKUP(QF$1,PremiumIncome[[Ticker]:[Weight]],2,FALSE),0%)</f>
        <v>0</v>
      </c>
      <c r="QG7" s="179">
        <f>IFERROR(VLOOKUP(QG$1,PremiumIncome[[Ticker]:[Weight]],2,FALSE),0%)</f>
        <v>0</v>
      </c>
      <c r="QH7" s="179">
        <f>IFERROR(VLOOKUP(QH$1,PremiumIncome[[Ticker]:[Weight]],2,FALSE),0%)</f>
        <v>0</v>
      </c>
      <c r="QI7" s="179">
        <f>IFERROR(VLOOKUP(QI$1,PremiumIncome[[Ticker]:[Weight]],2,FALSE),0%)</f>
        <v>0</v>
      </c>
      <c r="QJ7" s="179">
        <f>IFERROR(VLOOKUP(QJ$1,PremiumIncome[[Ticker]:[Weight]],2,FALSE),0%)</f>
        <v>0</v>
      </c>
      <c r="QK7" s="179">
        <f>IFERROR(VLOOKUP(QK$1,PremiumIncome[[Ticker]:[Weight]],2,FALSE),0%)</f>
        <v>0</v>
      </c>
      <c r="QL7" s="179">
        <f>IFERROR(VLOOKUP(QL$1,PremiumIncome[[Ticker]:[Weight]],2,FALSE),0%)</f>
        <v>0</v>
      </c>
      <c r="QM7" s="179">
        <f>IFERROR(VLOOKUP(QM$1,PremiumIncome[[Ticker]:[Weight]],2,FALSE),0%)</f>
        <v>0</v>
      </c>
      <c r="QN7" s="179">
        <f>IFERROR(VLOOKUP(QN$1,PremiumIncome[[Ticker]:[Weight]],2,FALSE),0%)</f>
        <v>0</v>
      </c>
      <c r="QO7" s="179">
        <f>IFERROR(VLOOKUP(QO$1,PremiumIncome[[Ticker]:[Weight]],2,FALSE),0%)</f>
        <v>0</v>
      </c>
      <c r="QP7" s="179">
        <f>IFERROR(VLOOKUP(QP$1,PremiumIncome[[Ticker]:[Weight]],2,FALSE),0%)</f>
        <v>0</v>
      </c>
      <c r="QQ7" s="179">
        <f>IFERROR(VLOOKUP(QQ$1,PremiumIncome[[Ticker]:[Weight]],2,FALSE),0%)</f>
        <v>0</v>
      </c>
      <c r="QR7" s="179">
        <f>IFERROR(VLOOKUP(QR$1,PremiumIncome[[Ticker]:[Weight]],2,FALSE),0%)</f>
        <v>0</v>
      </c>
      <c r="QS7" s="179">
        <f>IFERROR(VLOOKUP(QS$1,PremiumIncome[[Ticker]:[Weight]],2,FALSE),0%)</f>
        <v>0</v>
      </c>
      <c r="QT7" s="179">
        <f>IFERROR(VLOOKUP(QT$1,PremiumIncome[[Ticker]:[Weight]],2,FALSE),0%)</f>
        <v>0</v>
      </c>
      <c r="QU7" s="179">
        <f>IFERROR(VLOOKUP(QU$1,PremiumIncome[[Ticker]:[Weight]],2,FALSE),0%)</f>
        <v>0</v>
      </c>
      <c r="QV7" s="179">
        <f>IFERROR(VLOOKUP(QV$1,PremiumIncome[[Ticker]:[Weight]],2,FALSE),0%)</f>
        <v>0</v>
      </c>
      <c r="QW7" s="179">
        <f>IFERROR(VLOOKUP(QW$1,PremiumIncome[[Ticker]:[Weight]],2,FALSE),0%)</f>
        <v>0</v>
      </c>
      <c r="QX7" s="179">
        <f>IFERROR(VLOOKUP(QX$1,PremiumIncome[[Ticker]:[Weight]],2,FALSE),0%)</f>
        <v>0</v>
      </c>
      <c r="QY7" s="179">
        <f>IFERROR(VLOOKUP(QY$1,PremiumIncome[[Ticker]:[Weight]],2,FALSE),0%)</f>
        <v>0</v>
      </c>
      <c r="QZ7" s="179">
        <f>IFERROR(VLOOKUP(QZ$1,PremiumIncome[[Ticker]:[Weight]],2,FALSE),0%)</f>
        <v>0</v>
      </c>
      <c r="RA7" s="179">
        <f>IFERROR(VLOOKUP(RA$1,PremiumIncome[[Ticker]:[Weight]],2,FALSE),0%)</f>
        <v>0</v>
      </c>
      <c r="RB7" s="179">
        <f>IFERROR(VLOOKUP(RB$1,PremiumIncome[[Ticker]:[Weight]],2,FALSE),0%)</f>
        <v>0</v>
      </c>
      <c r="RC7" s="179">
        <f>IFERROR(VLOOKUP(RC$1,PremiumIncome[[Ticker]:[Weight]],2,FALSE),0%)</f>
        <v>0</v>
      </c>
      <c r="RD7" s="179">
        <f>IFERROR(VLOOKUP(RD$1,PremiumIncome[[Ticker]:[Weight]],2,FALSE),0%)</f>
        <v>0</v>
      </c>
      <c r="RE7" s="179">
        <f>IFERROR(VLOOKUP(RE$1,PremiumIncome[[Ticker]:[Weight]],2,FALSE),0%)</f>
        <v>0</v>
      </c>
      <c r="RF7" s="179">
        <f>IFERROR(VLOOKUP(RF$1,PremiumIncome[[Ticker]:[Weight]],2,FALSE),0%)</f>
        <v>0</v>
      </c>
      <c r="RG7" s="179">
        <f>IFERROR(VLOOKUP(RG$1,PremiumIncome[[Ticker]:[Weight]],2,FALSE),0%)</f>
        <v>0</v>
      </c>
      <c r="RH7" s="179">
        <f>IFERROR(VLOOKUP(RH$1,PremiumIncome[[Ticker]:[Weight]],2,FALSE),0%)</f>
        <v>0</v>
      </c>
      <c r="RI7" s="179">
        <f>IFERROR(VLOOKUP(RI$1,PremiumIncome[[Ticker]:[Weight]],2,FALSE),0%)</f>
        <v>0</v>
      </c>
      <c r="RJ7" s="179">
        <f>IFERROR(VLOOKUP(RJ$1,PremiumIncome[[Ticker]:[Weight]],2,FALSE),0%)</f>
        <v>0</v>
      </c>
      <c r="RK7" s="179">
        <f>IFERROR(VLOOKUP(RK$1,PremiumIncome[[Ticker]:[Weight]],2,FALSE),0%)</f>
        <v>0</v>
      </c>
      <c r="RL7" s="179">
        <f>IFERROR(VLOOKUP(RL$1,PremiumIncome[[Ticker]:[Weight]],2,FALSE),0%)</f>
        <v>0</v>
      </c>
      <c r="RM7" s="179">
        <f>IFERROR(VLOOKUP(RM$1,PremiumIncome[[Ticker]:[Weight]],2,FALSE),0%)</f>
        <v>0</v>
      </c>
      <c r="RN7" s="179">
        <f>IFERROR(VLOOKUP(RN$1,PremiumIncome[[Ticker]:[Weight]],2,FALSE),0%)</f>
        <v>0</v>
      </c>
      <c r="RO7" s="179">
        <f>IFERROR(VLOOKUP(RO$1,PremiumIncome[[Ticker]:[Weight]],2,FALSE),0%)</f>
        <v>0</v>
      </c>
      <c r="RP7" s="179">
        <f>IFERROR(VLOOKUP(RP$1,PremiumIncome[[Ticker]:[Weight]],2,FALSE),0%)</f>
        <v>0</v>
      </c>
      <c r="RQ7" s="179">
        <f>IFERROR(VLOOKUP(RQ$1,PremiumIncome[[Ticker]:[Weight]],2,FALSE),0%)</f>
        <v>0</v>
      </c>
      <c r="RR7" s="179">
        <f>IFERROR(VLOOKUP(RR$1,PremiumIncome[[Ticker]:[Weight]],2,FALSE),0%)</f>
        <v>0</v>
      </c>
      <c r="RS7" s="179">
        <f>IFERROR(VLOOKUP(RS$1,PremiumIncome[[Ticker]:[Weight]],2,FALSE),0%)</f>
        <v>0</v>
      </c>
      <c r="RT7" s="179">
        <f>IFERROR(VLOOKUP(RT$1,PremiumIncome[[Ticker]:[Weight]],2,FALSE),0%)</f>
        <v>0</v>
      </c>
      <c r="RU7" s="179">
        <f>IFERROR(VLOOKUP(RU$1,PremiumIncome[[Ticker]:[Weight]],2,FALSE),0%)</f>
        <v>0</v>
      </c>
      <c r="RV7" s="179">
        <f>IFERROR(VLOOKUP(RV$1,PremiumIncome[[Ticker]:[Weight]],2,FALSE),0%)</f>
        <v>0</v>
      </c>
      <c r="RW7" s="179">
        <f>IFERROR(VLOOKUP(RW$1,PremiumIncome[[Ticker]:[Weight]],2,FALSE),0%)</f>
        <v>0</v>
      </c>
      <c r="RX7" s="179">
        <f>IFERROR(VLOOKUP(RX$1,PremiumIncome[[Ticker]:[Weight]],2,FALSE),0%)</f>
        <v>0</v>
      </c>
      <c r="RY7" s="179">
        <f>IFERROR(VLOOKUP(RY$1,PremiumIncome[[Ticker]:[Weight]],2,FALSE),0%)</f>
        <v>0</v>
      </c>
      <c r="RZ7" s="179">
        <f>IFERROR(VLOOKUP(RZ$1,PremiumIncome[[Ticker]:[Weight]],2,FALSE),0%)</f>
        <v>0</v>
      </c>
      <c r="SA7" s="179">
        <f>IFERROR(VLOOKUP(SA$1,PremiumIncome[[Ticker]:[Weight]],2,FALSE),0%)</f>
        <v>0</v>
      </c>
      <c r="SB7" s="179">
        <f>IFERROR(VLOOKUP(SB$1,PremiumIncome[[Ticker]:[Weight]],2,FALSE),0%)</f>
        <v>0</v>
      </c>
      <c r="SC7" s="179">
        <f>IFERROR(VLOOKUP(SC$1,PremiumIncome[[Ticker]:[Weight]],2,FALSE),0%)</f>
        <v>0</v>
      </c>
      <c r="SD7" s="179">
        <f>IFERROR(VLOOKUP(SD$1,PremiumIncome[[Ticker]:[Weight]],2,FALSE),0%)</f>
        <v>0</v>
      </c>
      <c r="SE7" s="179">
        <f>IFERROR(VLOOKUP(SE$1,PremiumIncome[[Ticker]:[Weight]],2,FALSE),0%)</f>
        <v>0</v>
      </c>
      <c r="SF7" s="179">
        <f>IFERROR(VLOOKUP(SF$1,PremiumIncome[[Ticker]:[Weight]],2,FALSE),0%)</f>
        <v>0</v>
      </c>
      <c r="SG7" s="179">
        <f>IFERROR(VLOOKUP(SG$1,PremiumIncome[[Ticker]:[Weight]],2,FALSE),0%)</f>
        <v>0</v>
      </c>
      <c r="SH7" s="179">
        <f>IFERROR(VLOOKUP(SH$1,PremiumIncome[[Ticker]:[Weight]],2,FALSE),0%)</f>
        <v>0</v>
      </c>
      <c r="SI7" s="179">
        <f>IFERROR(VLOOKUP(SI$1,PremiumIncome[[Ticker]:[Weight]],2,FALSE),0%)</f>
        <v>0</v>
      </c>
      <c r="SJ7" s="179">
        <f>IFERROR(VLOOKUP(SJ$1,PremiumIncome[[Ticker]:[Weight]],2,FALSE),0%)</f>
        <v>0</v>
      </c>
      <c r="SK7" s="179">
        <f>IFERROR(VLOOKUP(SK$1,PremiumIncome[[Ticker]:[Weight]],2,FALSE),0%)</f>
        <v>0</v>
      </c>
      <c r="SL7" s="179">
        <f>IFERROR(VLOOKUP(SL$1,PremiumIncome[[Ticker]:[Weight]],2,FALSE),0%)</f>
        <v>0</v>
      </c>
      <c r="SM7" s="179">
        <f>IFERROR(VLOOKUP(SM$1,PremiumIncome[[Ticker]:[Weight]],2,FALSE),0%)</f>
        <v>0</v>
      </c>
      <c r="SN7" s="179">
        <f>IFERROR(VLOOKUP(SN$1,PremiumIncome[[Ticker]:[Weight]],2,FALSE),0%)</f>
        <v>0</v>
      </c>
      <c r="SO7" s="179">
        <f>IFERROR(VLOOKUP(SO$1,PremiumIncome[[Ticker]:[Weight]],2,FALSE),0%)</f>
        <v>0</v>
      </c>
      <c r="SP7" s="179">
        <f>IFERROR(VLOOKUP(SP$1,PremiumIncome[[Ticker]:[Weight]],2,FALSE),0%)</f>
        <v>0</v>
      </c>
      <c r="SQ7" s="179">
        <f>IFERROR(VLOOKUP(SQ$1,PremiumIncome[[Ticker]:[Weight]],2,FALSE),0%)</f>
        <v>0</v>
      </c>
      <c r="SR7" s="179">
        <f>IFERROR(VLOOKUP(SR$1,PremiumIncome[[Ticker]:[Weight]],2,FALSE),0%)</f>
        <v>0</v>
      </c>
      <c r="SS7" s="179">
        <f>IFERROR(VLOOKUP(SS$1,PremiumIncome[[Ticker]:[Weight]],2,FALSE),0%)</f>
        <v>0</v>
      </c>
      <c r="ST7" s="179">
        <f>IFERROR(VLOOKUP(ST$1,PremiumIncome[[Ticker]:[Weight]],2,FALSE),0%)</f>
        <v>0</v>
      </c>
      <c r="SU7" s="179">
        <f>IFERROR(VLOOKUP(SU$1,PremiumIncome[[Ticker]:[Weight]],2,FALSE),0%)</f>
        <v>0</v>
      </c>
      <c r="SV7" s="179">
        <f>IFERROR(VLOOKUP(SV$1,PremiumIncome[[Ticker]:[Weight]],2,FALSE),0%)</f>
        <v>0</v>
      </c>
      <c r="SW7" s="179">
        <f>IFERROR(VLOOKUP(SW$1,PremiumIncome[[Ticker]:[Weight]],2,FALSE),0%)</f>
        <v>0</v>
      </c>
      <c r="SX7" s="179">
        <f>IFERROR(VLOOKUP(SX$1,PremiumIncome[[Ticker]:[Weight]],2,FALSE),0%)</f>
        <v>0</v>
      </c>
      <c r="SY7" s="179">
        <f>IFERROR(VLOOKUP(SY$1,PremiumIncome[[Ticker]:[Weight]],2,FALSE),0%)</f>
        <v>0</v>
      </c>
      <c r="SZ7" s="179">
        <f>IFERROR(VLOOKUP(SZ$1,PremiumIncome[[Ticker]:[Weight]],2,FALSE),0%)</f>
        <v>0</v>
      </c>
      <c r="TA7" s="179">
        <f>IFERROR(VLOOKUP(TA$1,PremiumIncome[[Ticker]:[Weight]],2,FALSE),0%)</f>
        <v>0</v>
      </c>
      <c r="TB7" s="179">
        <f>IFERROR(VLOOKUP(TB$1,PremiumIncome[[Ticker]:[Weight]],2,FALSE),0%)</f>
        <v>0</v>
      </c>
      <c r="TC7" s="179">
        <f>IFERROR(VLOOKUP(TC$1,PremiumIncome[[Ticker]:[Weight]],2,FALSE),0%)</f>
        <v>0</v>
      </c>
      <c r="TD7" s="179">
        <f>IFERROR(VLOOKUP(TD$1,PremiumIncome[[Ticker]:[Weight]],2,FALSE),0%)</f>
        <v>0</v>
      </c>
      <c r="TE7" s="179">
        <f>IFERROR(VLOOKUP(TE$1,PremiumIncome[[Ticker]:[Weight]],2,FALSE),0%)</f>
        <v>0</v>
      </c>
      <c r="TF7" s="179">
        <f>IFERROR(VLOOKUP(TF$1,PremiumIncome[[Ticker]:[Weight]],2,FALSE),0%)</f>
        <v>0</v>
      </c>
      <c r="TG7" s="179">
        <f>IFERROR(VLOOKUP(TG$1,PremiumIncome[[Ticker]:[Weight]],2,FALSE),0%)</f>
        <v>0</v>
      </c>
      <c r="TH7" s="179">
        <f>IFERROR(VLOOKUP(TH$1,PremiumIncome[[Ticker]:[Weight]],2,FALSE),0%)</f>
        <v>0</v>
      </c>
      <c r="TI7" s="179">
        <f>IFERROR(VLOOKUP(TI$1,PremiumIncome[[Ticker]:[Weight]],2,FALSE),0%)</f>
        <v>0</v>
      </c>
      <c r="TJ7" s="179">
        <f>IFERROR(VLOOKUP(TJ$1,PremiumIncome[[Ticker]:[Weight]],2,FALSE),0%)</f>
        <v>0</v>
      </c>
      <c r="TK7" s="179">
        <f>IFERROR(VLOOKUP(TK$1,PremiumIncome[[Ticker]:[Weight]],2,FALSE),0%)</f>
        <v>0</v>
      </c>
      <c r="TL7" s="179">
        <f>IFERROR(VLOOKUP(TL$1,PremiumIncome[[Ticker]:[Weight]],2,FALSE),0%)</f>
        <v>0</v>
      </c>
      <c r="TM7" s="179">
        <f>IFERROR(VLOOKUP(TM$1,PremiumIncome[[Ticker]:[Weight]],2,FALSE),0%)</f>
        <v>0</v>
      </c>
      <c r="TN7" s="179">
        <f>IFERROR(VLOOKUP(TN$1,PremiumIncome[[Ticker]:[Weight]],2,FALSE),0%)</f>
        <v>0</v>
      </c>
      <c r="TO7" s="179">
        <f>IFERROR(VLOOKUP(TO$1,PremiumIncome[[Ticker]:[Weight]],2,FALSE),0%)</f>
        <v>0</v>
      </c>
      <c r="TP7" s="179">
        <f>IFERROR(VLOOKUP(TP$1,PremiumIncome[[Ticker]:[Weight]],2,FALSE),0%)</f>
        <v>0</v>
      </c>
      <c r="TQ7" s="179">
        <f>IFERROR(VLOOKUP(TQ$1,PremiumIncome[[Ticker]:[Weight]],2,FALSE),0%)</f>
        <v>0</v>
      </c>
      <c r="TR7" s="179">
        <f>IFERROR(VLOOKUP(TR$1,PremiumIncome[[Ticker]:[Weight]],2,FALSE),0%)</f>
        <v>0</v>
      </c>
      <c r="TS7" s="179">
        <f>IFERROR(VLOOKUP(TS$1,PremiumIncome[[Ticker]:[Weight]],2,FALSE),0%)</f>
        <v>0</v>
      </c>
      <c r="TT7" s="179">
        <f>IFERROR(VLOOKUP(TT$1,PremiumIncome[[Ticker]:[Weight]],2,FALSE),0%)</f>
        <v>0</v>
      </c>
      <c r="TU7" s="179">
        <f>IFERROR(VLOOKUP(TU$1,PremiumIncome[[Ticker]:[Weight]],2,FALSE),0%)</f>
        <v>0</v>
      </c>
      <c r="TV7" s="179">
        <f>IFERROR(VLOOKUP(TV$1,PremiumIncome[[Ticker]:[Weight]],2,FALSE),0%)</f>
        <v>0</v>
      </c>
      <c r="TW7" s="179">
        <f>IFERROR(VLOOKUP(TW$1,PremiumIncome[[Ticker]:[Weight]],2,FALSE),0%)</f>
        <v>0</v>
      </c>
      <c r="TX7" s="179">
        <f>IFERROR(VLOOKUP(TX$1,PremiumIncome[[Ticker]:[Weight]],2,FALSE),0%)</f>
        <v>0</v>
      </c>
      <c r="TY7" s="179">
        <f>IFERROR(VLOOKUP(TY$1,PremiumIncome[[Ticker]:[Weight]],2,FALSE),0%)</f>
        <v>0</v>
      </c>
      <c r="TZ7" s="179">
        <f>IFERROR(VLOOKUP(TZ$1,PremiumIncome[[Ticker]:[Weight]],2,FALSE),0%)</f>
        <v>0</v>
      </c>
      <c r="UA7" s="179">
        <f>IFERROR(VLOOKUP(UA$1,PremiumIncome[[Ticker]:[Weight]],2,FALSE),0%)</f>
        <v>0</v>
      </c>
      <c r="UB7" s="179">
        <f>IFERROR(VLOOKUP(UB$1,PremiumIncome[[Ticker]:[Weight]],2,FALSE),0%)</f>
        <v>0</v>
      </c>
      <c r="UC7" s="179">
        <f>IFERROR(VLOOKUP(UC$1,PremiumIncome[[Ticker]:[Weight]],2,FALSE),0%)</f>
        <v>0</v>
      </c>
      <c r="UD7" s="179">
        <f>IFERROR(VLOOKUP(UD$1,PremiumIncome[[Ticker]:[Weight]],2,FALSE),0%)</f>
        <v>0</v>
      </c>
      <c r="UE7" s="179">
        <f>IFERROR(VLOOKUP(UE$1,PremiumIncome[[Ticker]:[Weight]],2,FALSE),0%)</f>
        <v>0</v>
      </c>
      <c r="UF7" s="179">
        <f>IFERROR(VLOOKUP(UF$1,PremiumIncome[[Ticker]:[Weight]],2,FALSE),0%)</f>
        <v>0</v>
      </c>
      <c r="UG7" s="179">
        <f>IFERROR(VLOOKUP(UG$1,PremiumIncome[[Ticker]:[Weight]],2,FALSE),0%)</f>
        <v>0</v>
      </c>
      <c r="UH7" s="179">
        <f>IFERROR(VLOOKUP(UH$1,PremiumIncome[[Ticker]:[Weight]],2,FALSE),0%)</f>
        <v>0</v>
      </c>
      <c r="UI7" s="179">
        <f>IFERROR(VLOOKUP(UI$1,PremiumIncome[[Ticker]:[Weight]],2,FALSE),0%)</f>
        <v>0</v>
      </c>
      <c r="UJ7" s="179">
        <f>IFERROR(VLOOKUP(UJ$1,PremiumIncome[[Ticker]:[Weight]],2,FALSE),0%)</f>
        <v>0</v>
      </c>
      <c r="UK7" s="179">
        <f>IFERROR(VLOOKUP(UK$1,PremiumIncome[[Ticker]:[Weight]],2,FALSE),0%)</f>
        <v>0</v>
      </c>
      <c r="UL7" s="179">
        <f>IFERROR(VLOOKUP(UL$1,PremiumIncome[[Ticker]:[Weight]],2,FALSE),0%)</f>
        <v>0</v>
      </c>
      <c r="UM7" s="179">
        <f>IFERROR(VLOOKUP(UM$1,PremiumIncome[[Ticker]:[Weight]],2,FALSE),0%)</f>
        <v>0</v>
      </c>
      <c r="UN7" s="179">
        <f>IFERROR(VLOOKUP(UN$1,PremiumIncome[[Ticker]:[Weight]],2,FALSE),0%)</f>
        <v>0</v>
      </c>
      <c r="UO7" s="179">
        <f>IFERROR(VLOOKUP(UO$1,PremiumIncome[[Ticker]:[Weight]],2,FALSE),0%)</f>
        <v>0</v>
      </c>
      <c r="UP7" s="179">
        <f>IFERROR(VLOOKUP(UP$1,PremiumIncome[[Ticker]:[Weight]],2,FALSE),0%)</f>
        <v>0</v>
      </c>
      <c r="UQ7" s="179">
        <f>IFERROR(VLOOKUP(UQ$1,PremiumIncome[[Ticker]:[Weight]],2,FALSE),0%)</f>
        <v>0</v>
      </c>
      <c r="UR7" s="179">
        <f>IFERROR(VLOOKUP(UR$1,PremiumIncome[[Ticker]:[Weight]],2,FALSE),0%)</f>
        <v>0</v>
      </c>
      <c r="US7" s="179">
        <f>IFERROR(VLOOKUP(US$1,PremiumIncome[[Ticker]:[Weight]],2,FALSE),0%)</f>
        <v>0</v>
      </c>
      <c r="UT7" s="179">
        <f>IFERROR(VLOOKUP(UT$1,PremiumIncome[[Ticker]:[Weight]],2,FALSE),0%)</f>
        <v>0</v>
      </c>
      <c r="UU7" s="179">
        <f>IFERROR(VLOOKUP(UU$1,PremiumIncome[[Ticker]:[Weight]],2,FALSE),0%)</f>
        <v>0</v>
      </c>
      <c r="UV7" s="179">
        <f>IFERROR(VLOOKUP(UV$1,PremiumIncome[[Ticker]:[Weight]],2,FALSE),0%)</f>
        <v>0</v>
      </c>
      <c r="UW7" s="179">
        <f>IFERROR(VLOOKUP(UW$1,PremiumIncome[[Ticker]:[Weight]],2,FALSE),0%)</f>
        <v>0</v>
      </c>
      <c r="UX7" s="179">
        <f>IFERROR(VLOOKUP(UX$1,PremiumIncome[[Ticker]:[Weight]],2,FALSE),0%)</f>
        <v>0</v>
      </c>
      <c r="UY7" s="179">
        <f>IFERROR(VLOOKUP(UY$1,PremiumIncome[[Ticker]:[Weight]],2,FALSE),0%)</f>
        <v>0</v>
      </c>
      <c r="UZ7" s="179">
        <f>IFERROR(VLOOKUP(UZ$1,PremiumIncome[[Ticker]:[Weight]],2,FALSE),0%)</f>
        <v>0</v>
      </c>
      <c r="VA7" s="179">
        <f>IFERROR(VLOOKUP(VA$1,PremiumIncome[[Ticker]:[Weight]],2,FALSE),0%)</f>
        <v>0</v>
      </c>
      <c r="VB7" s="179">
        <f>IFERROR(VLOOKUP(VB$1,PremiumIncome[[Ticker]:[Weight]],2,FALSE),0%)</f>
        <v>0</v>
      </c>
      <c r="VC7" s="179">
        <f>IFERROR(VLOOKUP(VC$1,PremiumIncome[[Ticker]:[Weight]],2,FALSE),0%)</f>
        <v>0</v>
      </c>
      <c r="VD7" s="179">
        <f>IFERROR(VLOOKUP(VD$1,PremiumIncome[[Ticker]:[Weight]],2,FALSE),0%)</f>
        <v>0</v>
      </c>
      <c r="VE7" s="179">
        <f>IFERROR(VLOOKUP(VE$1,PremiumIncome[[Ticker]:[Weight]],2,FALSE),0%)</f>
        <v>0</v>
      </c>
      <c r="VF7" s="179">
        <f>IFERROR(VLOOKUP(VF$1,PremiumIncome[[Ticker]:[Weight]],2,FALSE),0%)</f>
        <v>0</v>
      </c>
      <c r="VG7" s="179">
        <f>IFERROR(VLOOKUP(VG$1,PremiumIncome[[Ticker]:[Weight]],2,FALSE),0%)</f>
        <v>0</v>
      </c>
      <c r="VH7" s="179">
        <f>IFERROR(VLOOKUP(VH$1,PremiumIncome[[Ticker]:[Weight]],2,FALSE),0%)</f>
        <v>0</v>
      </c>
      <c r="VI7" s="179">
        <f>IFERROR(VLOOKUP(VI$1,PremiumIncome[[Ticker]:[Weight]],2,FALSE),0%)</f>
        <v>0</v>
      </c>
      <c r="VJ7" s="179">
        <f>IFERROR(VLOOKUP(VJ$1,PremiumIncome[[Ticker]:[Weight]],2,FALSE),0%)</f>
        <v>0</v>
      </c>
      <c r="VK7" s="179">
        <f>IFERROR(VLOOKUP(VK$1,PremiumIncome[[Ticker]:[Weight]],2,FALSE),0%)</f>
        <v>0</v>
      </c>
      <c r="VL7" s="179">
        <f>IFERROR(VLOOKUP(VL$1,PremiumIncome[[Ticker]:[Weight]],2,FALSE),0%)</f>
        <v>0</v>
      </c>
      <c r="VM7" s="179">
        <f>IFERROR(VLOOKUP(VM$1,PremiumIncome[[Ticker]:[Weight]],2,FALSE),0%)</f>
        <v>0</v>
      </c>
      <c r="VN7" s="179">
        <f>IFERROR(VLOOKUP(VN$1,PremiumIncome[[Ticker]:[Weight]],2,FALSE),0%)</f>
        <v>0</v>
      </c>
      <c r="VO7" s="179">
        <f>IFERROR(VLOOKUP(VO$1,PremiumIncome[[Ticker]:[Weight]],2,FALSE),0%)</f>
        <v>0</v>
      </c>
      <c r="VP7" s="179">
        <f>IFERROR(VLOOKUP(VP$1,PremiumIncome[[Ticker]:[Weight]],2,FALSE),0%)</f>
        <v>0</v>
      </c>
      <c r="VQ7" s="179">
        <f>IFERROR(VLOOKUP(VQ$1,PremiumIncome[[Ticker]:[Weight]],2,FALSE),0%)</f>
        <v>0</v>
      </c>
      <c r="VR7" s="179">
        <f>IFERROR(VLOOKUP(VR$1,PremiumIncome[[Ticker]:[Weight]],2,FALSE),0%)</f>
        <v>0</v>
      </c>
      <c r="VS7" s="179">
        <f>IFERROR(VLOOKUP(VS$1,PremiumIncome[[Ticker]:[Weight]],2,FALSE),0%)</f>
        <v>0</v>
      </c>
      <c r="VT7" s="179">
        <f>IFERROR(VLOOKUP(VT$1,PremiumIncome[[Ticker]:[Weight]],2,FALSE),0%)</f>
        <v>0</v>
      </c>
      <c r="VU7" s="179">
        <f>IFERROR(VLOOKUP(VU$1,PremiumIncome[[Ticker]:[Weight]],2,FALSE),0%)</f>
        <v>0</v>
      </c>
      <c r="VV7" s="179">
        <f>IFERROR(VLOOKUP(VV$1,PremiumIncome[[Ticker]:[Weight]],2,FALSE),0%)</f>
        <v>0</v>
      </c>
      <c r="VW7" s="179">
        <f>IFERROR(VLOOKUP(VW$1,PremiumIncome[[Ticker]:[Weight]],2,FALSE),0%)</f>
        <v>0</v>
      </c>
      <c r="VX7" s="179">
        <f>IFERROR(VLOOKUP(VX$1,PremiumIncome[[Ticker]:[Weight]],2,FALSE),0%)</f>
        <v>0</v>
      </c>
      <c r="VY7" s="179">
        <f>IFERROR(VLOOKUP(VY$1,PremiumIncome[[Ticker]:[Weight]],2,FALSE),0%)</f>
        <v>0</v>
      </c>
      <c r="VZ7" s="179">
        <f>IFERROR(VLOOKUP(VZ$1,PremiumIncome[[Ticker]:[Weight]],2,FALSE),0%)</f>
        <v>0</v>
      </c>
      <c r="WA7" s="179">
        <f>IFERROR(VLOOKUP(WA$1,PremiumIncome[[Ticker]:[Weight]],2,FALSE),0%)</f>
        <v>0</v>
      </c>
      <c r="WB7" s="179">
        <f>IFERROR(VLOOKUP(WB$1,PremiumIncome[[Ticker]:[Weight]],2,FALSE),0%)</f>
        <v>0</v>
      </c>
      <c r="WC7" s="179">
        <f>IFERROR(VLOOKUP(WC$1,PremiumIncome[[Ticker]:[Weight]],2,FALSE),0%)</f>
        <v>0</v>
      </c>
      <c r="WD7" s="179">
        <f>IFERROR(VLOOKUP(WD$1,PremiumIncome[[Ticker]:[Weight]],2,FALSE),0%)</f>
        <v>0</v>
      </c>
      <c r="WE7" s="179">
        <f>IFERROR(VLOOKUP(WE$1,PremiumIncome[[Ticker]:[Weight]],2,FALSE),0%)</f>
        <v>0</v>
      </c>
      <c r="WF7" s="179">
        <f>IFERROR(VLOOKUP(WF$1,PremiumIncome[[Ticker]:[Weight]],2,FALSE),0%)</f>
        <v>0</v>
      </c>
      <c r="WG7" s="179">
        <f>IFERROR(VLOOKUP(WG$1,PremiumIncome[[Ticker]:[Weight]],2,FALSE),0%)</f>
        <v>0</v>
      </c>
      <c r="WH7" s="179">
        <f>IFERROR(VLOOKUP(WH$1,PremiumIncome[[Ticker]:[Weight]],2,FALSE),0%)</f>
        <v>0</v>
      </c>
      <c r="WI7" s="179">
        <f>IFERROR(VLOOKUP(WI$1,PremiumIncome[[Ticker]:[Weight]],2,FALSE),0%)</f>
        <v>0</v>
      </c>
      <c r="WJ7" s="179">
        <f>IFERROR(VLOOKUP(WJ$1,PremiumIncome[[Ticker]:[Weight]],2,FALSE),0%)</f>
        <v>0</v>
      </c>
      <c r="WK7" s="179">
        <f>IFERROR(VLOOKUP(WK$1,PremiumIncome[[Ticker]:[Weight]],2,FALSE),0%)</f>
        <v>0</v>
      </c>
      <c r="WL7" s="179">
        <f>IFERROR(VLOOKUP(WL$1,PremiumIncome[[Ticker]:[Weight]],2,FALSE),0%)</f>
        <v>0</v>
      </c>
      <c r="WM7" s="179">
        <f>IFERROR(VLOOKUP(WM$1,PremiumIncome[[Ticker]:[Weight]],2,FALSE),0%)</f>
        <v>0</v>
      </c>
      <c r="WN7" s="179">
        <f>IFERROR(VLOOKUP(WN$1,PremiumIncome[[Ticker]:[Weight]],2,FALSE),0%)</f>
        <v>0</v>
      </c>
      <c r="WO7" s="179">
        <f>IFERROR(VLOOKUP(WO$1,PremiumIncome[[Ticker]:[Weight]],2,FALSE),0%)</f>
        <v>0</v>
      </c>
      <c r="WP7" s="179">
        <f>IFERROR(VLOOKUP(WP$1,PremiumIncome[[Ticker]:[Weight]],2,FALSE),0%)</f>
        <v>0</v>
      </c>
      <c r="WQ7" s="179">
        <f>IFERROR(VLOOKUP(WQ$1,PremiumIncome[[Ticker]:[Weight]],2,FALSE),0%)</f>
        <v>0</v>
      </c>
      <c r="WR7" s="179">
        <f>IFERROR(VLOOKUP(WR$1,PremiumIncome[[Ticker]:[Weight]],2,FALSE),0%)</f>
        <v>0</v>
      </c>
      <c r="WS7" s="179">
        <f>IFERROR(VLOOKUP(WS$1,PremiumIncome[[Ticker]:[Weight]],2,FALSE),0%)</f>
        <v>0</v>
      </c>
      <c r="WT7" s="179">
        <f>IFERROR(VLOOKUP(WT$1,PremiumIncome[[Ticker]:[Weight]],2,FALSE),0%)</f>
        <v>0</v>
      </c>
      <c r="WU7" s="179">
        <f>IFERROR(VLOOKUP(WU$1,PremiumIncome[[Ticker]:[Weight]],2,FALSE),0%)</f>
        <v>0</v>
      </c>
      <c r="WV7" s="179">
        <f>IFERROR(VLOOKUP(WV$1,PremiumIncome[[Ticker]:[Weight]],2,FALSE),0%)</f>
        <v>0</v>
      </c>
      <c r="WW7" s="179">
        <f>IFERROR(VLOOKUP(WW$1,PremiumIncome[[Ticker]:[Weight]],2,FALSE),0%)</f>
        <v>0</v>
      </c>
      <c r="WX7" s="179">
        <f>IFERROR(VLOOKUP(WX$1,PremiumIncome[[Ticker]:[Weight]],2,FALSE),0%)</f>
        <v>0</v>
      </c>
      <c r="WY7" s="179">
        <f>IFERROR(VLOOKUP(WY$1,PremiumIncome[[Ticker]:[Weight]],2,FALSE),0%)</f>
        <v>0</v>
      </c>
      <c r="WZ7" s="179">
        <f>IFERROR(VLOOKUP(WZ$1,PremiumIncome[[Ticker]:[Weight]],2,FALSE),0%)</f>
        <v>0</v>
      </c>
      <c r="XA7" s="179">
        <f>IFERROR(VLOOKUP(XA$1,PremiumIncome[[Ticker]:[Weight]],2,FALSE),0%)</f>
        <v>0</v>
      </c>
      <c r="XB7" s="179">
        <f>IFERROR(VLOOKUP(XB$1,PremiumIncome[[Ticker]:[Weight]],2,FALSE),0%)</f>
        <v>0</v>
      </c>
      <c r="XC7" s="179">
        <f>IFERROR(VLOOKUP(XC$1,PremiumIncome[[Ticker]:[Weight]],2,FALSE),0%)</f>
        <v>0</v>
      </c>
      <c r="XD7" s="179">
        <f>IFERROR(VLOOKUP(XD$1,PremiumIncome[[Ticker]:[Weight]],2,FALSE),0%)</f>
        <v>0</v>
      </c>
      <c r="XE7" s="179">
        <f>IFERROR(VLOOKUP(XE$1,PremiumIncome[[Ticker]:[Weight]],2,FALSE),0%)</f>
        <v>0</v>
      </c>
      <c r="XF7" s="179">
        <f>IFERROR(VLOOKUP(XF$1,PremiumIncome[[Ticker]:[Weight]],2,FALSE),0%)</f>
        <v>0</v>
      </c>
      <c r="XG7" s="179">
        <f>IFERROR(VLOOKUP(XG$1,PremiumIncome[[Ticker]:[Weight]],2,FALSE),0%)</f>
        <v>0</v>
      </c>
      <c r="XH7" s="179">
        <f>IFERROR(VLOOKUP(XH$1,PremiumIncome[[Ticker]:[Weight]],2,FALSE),0%)</f>
        <v>0</v>
      </c>
      <c r="XI7" s="179">
        <f>IFERROR(VLOOKUP(XI$1,PremiumIncome[[Ticker]:[Weight]],2,FALSE),0%)</f>
        <v>0</v>
      </c>
      <c r="XJ7" s="179">
        <f>IFERROR(VLOOKUP(XJ$1,PremiumIncome[[Ticker]:[Weight]],2,FALSE),0%)</f>
        <v>0</v>
      </c>
      <c r="XK7" s="179">
        <f>IFERROR(VLOOKUP(XK$1,PremiumIncome[[Ticker]:[Weight]],2,FALSE),0%)</f>
        <v>0</v>
      </c>
      <c r="XL7" s="179">
        <f>IFERROR(VLOOKUP(XL$1,PremiumIncome[[Ticker]:[Weight]],2,FALSE),0%)</f>
        <v>0</v>
      </c>
      <c r="XM7" s="179">
        <f>IFERROR(VLOOKUP(XM$1,PremiumIncome[[Ticker]:[Weight]],2,FALSE),0%)</f>
        <v>0</v>
      </c>
      <c r="XN7" s="179">
        <f>IFERROR(VLOOKUP(XN$1,PremiumIncome[[Ticker]:[Weight]],2,FALSE),0%)</f>
        <v>0</v>
      </c>
      <c r="XO7" s="179">
        <f>IFERROR(VLOOKUP(XO$1,PremiumIncome[[Ticker]:[Weight]],2,FALSE),0%)</f>
        <v>0</v>
      </c>
      <c r="XP7" s="179">
        <f>IFERROR(VLOOKUP(XP$1,PremiumIncome[[Ticker]:[Weight]],2,FALSE),0%)</f>
        <v>0</v>
      </c>
      <c r="XQ7" s="179">
        <f>IFERROR(VLOOKUP(XQ$1,PremiumIncome[[Ticker]:[Weight]],2,FALSE),0%)</f>
        <v>0</v>
      </c>
      <c r="XR7" s="179">
        <f>IFERROR(VLOOKUP(XR$1,PremiumIncome[[Ticker]:[Weight]],2,FALSE),0%)</f>
        <v>0</v>
      </c>
      <c r="XS7" s="179">
        <f>IFERROR(VLOOKUP(XS$1,PremiumIncome[[Ticker]:[Weight]],2,FALSE),0%)</f>
        <v>0</v>
      </c>
      <c r="XT7" s="179">
        <f>IFERROR(VLOOKUP(XT$1,PremiumIncome[[Ticker]:[Weight]],2,FALSE),0%)</f>
        <v>0</v>
      </c>
      <c r="XU7" s="179">
        <f>IFERROR(VLOOKUP(XU$1,PremiumIncome[[Ticker]:[Weight]],2,FALSE),0%)</f>
        <v>0</v>
      </c>
      <c r="XV7" s="179">
        <f>IFERROR(VLOOKUP(XV$1,PremiumIncome[[Ticker]:[Weight]],2,FALSE),0%)</f>
        <v>0</v>
      </c>
      <c r="XW7" s="179">
        <f>IFERROR(VLOOKUP(XW$1,PremiumIncome[[Ticker]:[Weight]],2,FALSE),0%)</f>
        <v>0</v>
      </c>
      <c r="XX7" s="179">
        <f>IFERROR(VLOOKUP(XX$1,PremiumIncome[[Ticker]:[Weight]],2,FALSE),0%)</f>
        <v>0</v>
      </c>
      <c r="XY7" s="179">
        <f>IFERROR(VLOOKUP(XY$1,PremiumIncome[[Ticker]:[Weight]],2,FALSE),0%)</f>
        <v>0</v>
      </c>
      <c r="XZ7" s="179">
        <f>IFERROR(VLOOKUP(XZ$1,PremiumIncome[[Ticker]:[Weight]],2,FALSE),0%)</f>
        <v>0</v>
      </c>
      <c r="YA7" s="179">
        <f>IFERROR(VLOOKUP(YA$1,PremiumIncome[[Ticker]:[Weight]],2,FALSE),0%)</f>
        <v>0</v>
      </c>
      <c r="YB7" s="179">
        <f>IFERROR(VLOOKUP(YB$1,PremiumIncome[[Ticker]:[Weight]],2,FALSE),0%)</f>
        <v>0</v>
      </c>
      <c r="YC7" s="179">
        <f>IFERROR(VLOOKUP(YC$1,PremiumIncome[[Ticker]:[Weight]],2,FALSE),0%)</f>
        <v>0</v>
      </c>
      <c r="YD7" s="179">
        <f>IFERROR(VLOOKUP(YD$1,PremiumIncome[[Ticker]:[Weight]],2,FALSE),0%)</f>
        <v>0</v>
      </c>
      <c r="YE7" s="179">
        <f>IFERROR(VLOOKUP(YE$1,PremiumIncome[[Ticker]:[Weight]],2,FALSE),0%)</f>
        <v>0</v>
      </c>
      <c r="YF7" s="179">
        <f>IFERROR(VLOOKUP(YF$1,PremiumIncome[[Ticker]:[Weight]],2,FALSE),0%)</f>
        <v>0</v>
      </c>
      <c r="YG7" s="179">
        <f>IFERROR(VLOOKUP(YG$1,PremiumIncome[[Ticker]:[Weight]],2,FALSE),0%)</f>
        <v>0</v>
      </c>
      <c r="YH7" s="179">
        <f>IFERROR(VLOOKUP(YH$1,PremiumIncome[[Ticker]:[Weight]],2,FALSE),0%)</f>
        <v>0</v>
      </c>
      <c r="YI7" s="179">
        <f>IFERROR(VLOOKUP(YI$1,PremiumIncome[[Ticker]:[Weight]],2,FALSE),0%)</f>
        <v>0</v>
      </c>
      <c r="YJ7" s="179">
        <f>IFERROR(VLOOKUP(YJ$1,PremiumIncome[[Ticker]:[Weight]],2,FALSE),0%)</f>
        <v>0</v>
      </c>
      <c r="YK7" s="179">
        <f>IFERROR(VLOOKUP(YK$1,PremiumIncome[[Ticker]:[Weight]],2,FALSE),0%)</f>
        <v>0</v>
      </c>
      <c r="YL7" s="179">
        <f>IFERROR(VLOOKUP(YL$1,PremiumIncome[[Ticker]:[Weight]],2,FALSE),0%)</f>
        <v>0</v>
      </c>
      <c r="YM7" s="179">
        <f>IFERROR(VLOOKUP(YM$1,PremiumIncome[[Ticker]:[Weight]],2,FALSE),0%)</f>
        <v>0</v>
      </c>
      <c r="YN7" s="179">
        <f>IFERROR(VLOOKUP(YN$1,PremiumIncome[[Ticker]:[Weight]],2,FALSE),0%)</f>
        <v>0</v>
      </c>
      <c r="YO7" s="179">
        <f>IFERROR(VLOOKUP(YO$1,PremiumIncome[[Ticker]:[Weight]],2,FALSE),0%)</f>
        <v>0</v>
      </c>
      <c r="YP7" s="179">
        <f>IFERROR(VLOOKUP(YP$1,PremiumIncome[[Ticker]:[Weight]],2,FALSE),0%)</f>
        <v>0</v>
      </c>
      <c r="YQ7" s="179">
        <f>IFERROR(VLOOKUP(YQ$1,PremiumIncome[[Ticker]:[Weight]],2,FALSE),0%)</f>
        <v>0</v>
      </c>
      <c r="YR7" s="179">
        <f>IFERROR(VLOOKUP(YR$1,PremiumIncome[[Ticker]:[Weight]],2,FALSE),0%)</f>
        <v>0</v>
      </c>
      <c r="YS7" s="179">
        <f>IFERROR(VLOOKUP(YS$1,PremiumIncome[[Ticker]:[Weight]],2,FALSE),0%)</f>
        <v>0</v>
      </c>
      <c r="YT7" s="179">
        <f>IFERROR(VLOOKUP(YT$1,PremiumIncome[[Ticker]:[Weight]],2,FALSE),0%)</f>
        <v>0</v>
      </c>
      <c r="YU7" s="179">
        <f>IFERROR(VLOOKUP(YU$1,PremiumIncome[[Ticker]:[Weight]],2,FALSE),0%)</f>
        <v>0</v>
      </c>
      <c r="YV7" s="179">
        <f>IFERROR(VLOOKUP(YV$1,PremiumIncome[[Ticker]:[Weight]],2,FALSE),0%)</f>
        <v>0</v>
      </c>
      <c r="YW7" s="179">
        <f>IFERROR(VLOOKUP(YW$1,PremiumIncome[[Ticker]:[Weight]],2,FALSE),0%)</f>
        <v>0</v>
      </c>
      <c r="YX7" s="179">
        <f>IFERROR(VLOOKUP(YX$1,PremiumIncome[[Ticker]:[Weight]],2,FALSE),0%)</f>
        <v>0</v>
      </c>
      <c r="YY7" s="179">
        <f>IFERROR(VLOOKUP(YY$1,PremiumIncome[[Ticker]:[Weight]],2,FALSE),0%)</f>
        <v>0</v>
      </c>
      <c r="YZ7" s="179">
        <f>IFERROR(VLOOKUP(YZ$1,PremiumIncome[[Ticker]:[Weight]],2,FALSE),0%)</f>
        <v>0</v>
      </c>
      <c r="ZA7" s="179">
        <f>IFERROR(VLOOKUP(ZA$1,PremiumIncome[[Ticker]:[Weight]],2,FALSE),0%)</f>
        <v>0</v>
      </c>
      <c r="ZB7" s="179">
        <f>IFERROR(VLOOKUP(ZB$1,PremiumIncome[[Ticker]:[Weight]],2,FALSE),0%)</f>
        <v>0</v>
      </c>
      <c r="ZC7" s="179">
        <f>IFERROR(VLOOKUP(ZC$1,PremiumIncome[[Ticker]:[Weight]],2,FALSE),0%)</f>
        <v>0</v>
      </c>
      <c r="ZD7" s="179">
        <f>IFERROR(VLOOKUP(ZD$1,PremiumIncome[[Ticker]:[Weight]],2,FALSE),0%)</f>
        <v>0</v>
      </c>
      <c r="ZE7" s="179">
        <f>IFERROR(VLOOKUP(ZE$1,PremiumIncome[[Ticker]:[Weight]],2,FALSE),0%)</f>
        <v>0</v>
      </c>
      <c r="ZF7" s="179">
        <f>IFERROR(VLOOKUP(ZF$1,PremiumIncome[[Ticker]:[Weight]],2,FALSE),0%)</f>
        <v>0</v>
      </c>
      <c r="ZG7" s="179">
        <f>IFERROR(VLOOKUP(ZG$1,PremiumIncome[[Ticker]:[Weight]],2,FALSE),0%)</f>
        <v>0</v>
      </c>
      <c r="ZH7" s="179">
        <f>IFERROR(VLOOKUP(ZH$1,PremiumIncome[[Ticker]:[Weight]],2,FALSE),0%)</f>
        <v>0</v>
      </c>
      <c r="ZI7" s="179">
        <f>IFERROR(VLOOKUP(ZI$1,PremiumIncome[[Ticker]:[Weight]],2,FALSE),0%)</f>
        <v>0</v>
      </c>
      <c r="ZJ7" s="179">
        <f>IFERROR(VLOOKUP(ZJ$1,PremiumIncome[[Ticker]:[Weight]],2,FALSE),0%)</f>
        <v>0</v>
      </c>
      <c r="ZK7" s="179">
        <f>IFERROR(VLOOKUP(ZK$1,PremiumIncome[[Ticker]:[Weight]],2,FALSE),0%)</f>
        <v>0.03</v>
      </c>
      <c r="ZL7" s="179">
        <f>IFERROR(VLOOKUP(ZL$1,PremiumIncome[[Ticker]:[Weight]],2,FALSE),0%)</f>
        <v>0</v>
      </c>
      <c r="ZM7" s="179">
        <f>IFERROR(VLOOKUP(ZM$1,PremiumIncome[[Ticker]:[Weight]],2,FALSE),0%)</f>
        <v>0</v>
      </c>
      <c r="ZN7" s="179">
        <f>IFERROR(VLOOKUP(ZN$1,PremiumIncome[[Ticker]:[Weight]],2,FALSE),0%)</f>
        <v>0</v>
      </c>
      <c r="ZO7" s="179">
        <f>IFERROR(VLOOKUP(ZO$1,PremiumIncome[[Ticker]:[Weight]],2,FALSE),0%)</f>
        <v>0</v>
      </c>
      <c r="ZP7" s="179">
        <f>IFERROR(VLOOKUP(ZP$1,PremiumIncome[[Ticker]:[Weight]],2,FALSE),0%)</f>
        <v>0</v>
      </c>
      <c r="ZQ7" s="179">
        <f>IFERROR(VLOOKUP(ZQ$1,PremiumIncome[[Ticker]:[Weight]],2,FALSE),0%)</f>
        <v>0</v>
      </c>
      <c r="ZR7" s="179">
        <f>IFERROR(VLOOKUP(ZR$1,PremiumIncome[[Ticker]:[Weight]],2,FALSE),0%)</f>
        <v>0</v>
      </c>
      <c r="ZS7" s="179">
        <f>IFERROR(VLOOKUP(ZS$1,PremiumIncome[[Ticker]:[Weight]],2,FALSE),0%)</f>
        <v>0</v>
      </c>
      <c r="ZT7" s="179">
        <f>IFERROR(VLOOKUP(ZT$1,PremiumIncome[[Ticker]:[Weight]],2,FALSE),0%)</f>
        <v>0</v>
      </c>
      <c r="ZU7" s="179">
        <f>IFERROR(VLOOKUP(ZU$1,PremiumIncome[[Ticker]:[Weight]],2,FALSE),0%)</f>
        <v>0</v>
      </c>
      <c r="ZV7" s="179">
        <f>IFERROR(VLOOKUP(ZV$1,PremiumIncome[[Ticker]:[Weight]],2,FALSE),0%)</f>
        <v>0</v>
      </c>
      <c r="ZW7" s="179">
        <f>IFERROR(VLOOKUP(ZW$1,PremiumIncome[[Ticker]:[Weight]],2,FALSE),0%)</f>
        <v>0</v>
      </c>
      <c r="ZX7" s="179">
        <f>IFERROR(VLOOKUP(ZX$1,PremiumIncome[[Ticker]:[Weight]],2,FALSE),0%)</f>
        <v>0</v>
      </c>
      <c r="ZY7" s="179">
        <f>IFERROR(VLOOKUP(ZY$1,PremiumIncome[[Ticker]:[Weight]],2,FALSE),0%)</f>
        <v>0</v>
      </c>
      <c r="ZZ7" s="179">
        <f>IFERROR(VLOOKUP(ZZ$1,PremiumIncome[[Ticker]:[Weight]],2,FALSE),0%)</f>
        <v>0</v>
      </c>
      <c r="AAA7" s="179">
        <f>IFERROR(VLOOKUP(AAA$1,PremiumIncome[[Ticker]:[Weight]],2,FALSE),0%)</f>
        <v>0</v>
      </c>
      <c r="AAB7" s="179">
        <f>IFERROR(VLOOKUP(AAB$1,PremiumIncome[[Ticker]:[Weight]],2,FALSE),0%)</f>
        <v>0</v>
      </c>
      <c r="AAC7" s="179">
        <f>IFERROR(VLOOKUP(AAC$1,PremiumIncome[[Ticker]:[Weight]],2,FALSE),0%)</f>
        <v>0</v>
      </c>
      <c r="AAD7" s="179">
        <f>IFERROR(VLOOKUP(AAD$1,PremiumIncome[[Ticker]:[Weight]],2,FALSE),0%)</f>
        <v>0</v>
      </c>
      <c r="AAE7" s="179">
        <f>IFERROR(VLOOKUP(AAE$1,PremiumIncome[[Ticker]:[Weight]],2,FALSE),0%)</f>
        <v>0</v>
      </c>
      <c r="AAF7" s="179">
        <f>IFERROR(VLOOKUP(AAF$1,PremiumIncome[[Ticker]:[Weight]],2,FALSE),0%)</f>
        <v>0</v>
      </c>
      <c r="AAG7" s="179">
        <f>IFERROR(VLOOKUP(AAG$1,PremiumIncome[[Ticker]:[Weight]],2,FALSE),0%)</f>
        <v>0</v>
      </c>
      <c r="AAH7" s="179">
        <f>IFERROR(VLOOKUP(AAH$1,PremiumIncome[[Ticker]:[Weight]],2,FALSE),0%)</f>
        <v>0</v>
      </c>
      <c r="AAI7" s="179">
        <f>IFERROR(VLOOKUP(AAI$1,PremiumIncome[[Ticker]:[Weight]],2,FALSE),0%)</f>
        <v>0</v>
      </c>
      <c r="AAJ7" s="179">
        <f>IFERROR(VLOOKUP(AAJ$1,PremiumIncome[[Ticker]:[Weight]],2,FALSE),0%)</f>
        <v>0</v>
      </c>
      <c r="AAK7" s="179">
        <f>IFERROR(VLOOKUP(AAK$1,PremiumIncome[[Ticker]:[Weight]],2,FALSE),0%)</f>
        <v>0</v>
      </c>
      <c r="AAL7" s="179">
        <f>IFERROR(VLOOKUP(AAL$1,PremiumIncome[[Ticker]:[Weight]],2,FALSE),0%)</f>
        <v>0</v>
      </c>
      <c r="AAM7" s="179">
        <f>IFERROR(VLOOKUP(AAM$1,PremiumIncome[[Ticker]:[Weight]],2,FALSE),0%)</f>
        <v>0</v>
      </c>
      <c r="AAN7" s="179">
        <f>IFERROR(VLOOKUP(AAN$1,PremiumIncome[[Ticker]:[Weight]],2,FALSE),0%)</f>
        <v>0</v>
      </c>
      <c r="AAO7" s="179">
        <f>IFERROR(VLOOKUP(AAO$1,PremiumIncome[[Ticker]:[Weight]],2,FALSE),0%)</f>
        <v>0</v>
      </c>
      <c r="AAP7" s="179">
        <f>IFERROR(VLOOKUP(AAP$1,PremiumIncome[[Ticker]:[Weight]],2,FALSE),0%)</f>
        <v>0</v>
      </c>
      <c r="AAQ7" s="179">
        <f>IFERROR(VLOOKUP(AAQ$1,PremiumIncome[[Ticker]:[Weight]],2,FALSE),0%)</f>
        <v>0</v>
      </c>
      <c r="AAR7" s="179">
        <f>IFERROR(VLOOKUP(AAR$1,PremiumIncome[[Ticker]:[Weight]],2,FALSE),0%)</f>
        <v>0</v>
      </c>
      <c r="AAS7" s="179">
        <f>IFERROR(VLOOKUP(AAS$1,PremiumIncome[[Ticker]:[Weight]],2,FALSE),0%)</f>
        <v>0</v>
      </c>
      <c r="AAT7" s="179">
        <f>IFERROR(VLOOKUP(AAT$1,PremiumIncome[[Ticker]:[Weight]],2,FALSE),0%)</f>
        <v>0</v>
      </c>
      <c r="AAU7" s="179">
        <f>IFERROR(VLOOKUP(AAU$1,PremiumIncome[[Ticker]:[Weight]],2,FALSE),0%)</f>
        <v>0</v>
      </c>
      <c r="AAV7" s="179">
        <f>IFERROR(VLOOKUP(AAV$1,PremiumIncome[[Ticker]:[Weight]],2,FALSE),0%)</f>
        <v>0</v>
      </c>
      <c r="AAW7" s="179">
        <f>IFERROR(VLOOKUP(AAW$1,PremiumIncome[[Ticker]:[Weight]],2,FALSE),0%)</f>
        <v>0</v>
      </c>
      <c r="AAX7" s="179">
        <f>IFERROR(VLOOKUP(AAX$1,PremiumIncome[[Ticker]:[Weight]],2,FALSE),0%)</f>
        <v>0</v>
      </c>
      <c r="AAY7" s="179">
        <f>IFERROR(VLOOKUP(AAY$1,PremiumIncome[[Ticker]:[Weight]],2,FALSE),0%)</f>
        <v>0</v>
      </c>
      <c r="AAZ7" s="179">
        <f>IFERROR(VLOOKUP(AAZ$1,PremiumIncome[[Ticker]:[Weight]],2,FALSE),0%)</f>
        <v>0</v>
      </c>
      <c r="ABA7" s="179">
        <f>IFERROR(VLOOKUP(ABA$1,PremiumIncome[[Ticker]:[Weight]],2,FALSE),0%)</f>
        <v>0</v>
      </c>
      <c r="ABB7" s="179">
        <f>IFERROR(VLOOKUP(ABB$1,PremiumIncome[[Ticker]:[Weight]],2,FALSE),0%)</f>
        <v>0</v>
      </c>
      <c r="ABC7" s="179">
        <f>IFERROR(VLOOKUP(ABC$1,PremiumIncome[[Ticker]:[Weight]],2,FALSE),0%)</f>
        <v>0</v>
      </c>
      <c r="ABD7" s="179">
        <f>IFERROR(VLOOKUP(ABD$1,PremiumIncome[[Ticker]:[Weight]],2,FALSE),0%)</f>
        <v>0</v>
      </c>
      <c r="ABE7" s="179">
        <f>IFERROR(VLOOKUP(ABE$1,PremiumIncome[[Ticker]:[Weight]],2,FALSE),0%)</f>
        <v>0</v>
      </c>
      <c r="ABF7" s="179">
        <f>IFERROR(VLOOKUP(ABF$1,PremiumIncome[[Ticker]:[Weight]],2,FALSE),0%)</f>
        <v>0</v>
      </c>
      <c r="ABG7" s="179">
        <f>IFERROR(VLOOKUP(ABG$1,PremiumIncome[[Ticker]:[Weight]],2,FALSE),0%)</f>
        <v>0</v>
      </c>
      <c r="ABH7" s="179">
        <f>IFERROR(VLOOKUP(ABH$1,PremiumIncome[[Ticker]:[Weight]],2,FALSE),0%)</f>
        <v>0</v>
      </c>
      <c r="ABI7" s="179">
        <f>IFERROR(VLOOKUP(ABI$1,PremiumIncome[[Ticker]:[Weight]],2,FALSE),0%)</f>
        <v>0</v>
      </c>
      <c r="ABJ7" s="179">
        <f>IFERROR(VLOOKUP(ABJ$1,PremiumIncome[[Ticker]:[Weight]],2,FALSE),0%)</f>
        <v>0</v>
      </c>
      <c r="ABK7" s="179">
        <f>IFERROR(VLOOKUP(ABK$1,PremiumIncome[[Ticker]:[Weight]],2,FALSE),0%)</f>
        <v>0</v>
      </c>
      <c r="ABL7" s="179">
        <f>IFERROR(VLOOKUP(ABL$1,PremiumIncome[[Ticker]:[Weight]],2,FALSE),0%)</f>
        <v>0</v>
      </c>
      <c r="ABM7" s="179">
        <f>IFERROR(VLOOKUP(ABM$1,PremiumIncome[[Ticker]:[Weight]],2,FALSE),0%)</f>
        <v>0</v>
      </c>
      <c r="ABN7" s="179">
        <f>IFERROR(VLOOKUP(ABN$1,PremiumIncome[[Ticker]:[Weight]],2,FALSE),0%)</f>
        <v>0</v>
      </c>
      <c r="ABO7" s="179">
        <f>IFERROR(VLOOKUP(ABO$1,PremiumIncome[[Ticker]:[Weight]],2,FALSE),0%)</f>
        <v>0</v>
      </c>
      <c r="ABP7" s="179">
        <f>IFERROR(VLOOKUP(ABP$1,PremiumIncome[[Ticker]:[Weight]],2,FALSE),0%)</f>
        <v>0</v>
      </c>
      <c r="ABQ7" s="179">
        <f>IFERROR(VLOOKUP(ABQ$1,PremiumIncome[[Ticker]:[Weight]],2,FALSE),0%)</f>
        <v>0</v>
      </c>
      <c r="ABR7" s="179">
        <f>IFERROR(VLOOKUP(ABR$1,PremiumIncome[[Ticker]:[Weight]],2,FALSE),0%)</f>
        <v>0</v>
      </c>
      <c r="ABS7" s="179">
        <f>IFERROR(VLOOKUP(ABS$1,PremiumIncome[[Ticker]:[Weight]],2,FALSE),0%)</f>
        <v>0</v>
      </c>
      <c r="ABT7" s="179">
        <f>IFERROR(VLOOKUP(ABT$1,PremiumIncome[[Ticker]:[Weight]],2,FALSE),0%)</f>
        <v>0</v>
      </c>
      <c r="ABU7" s="179">
        <f>IFERROR(VLOOKUP(ABU$1,PremiumIncome[[Ticker]:[Weight]],2,FALSE),0%)</f>
        <v>0</v>
      </c>
      <c r="ABV7" s="179">
        <f>IFERROR(VLOOKUP(ABV$1,PremiumIncome[[Ticker]:[Weight]],2,FALSE),0%)</f>
        <v>0</v>
      </c>
      <c r="ABW7" s="179">
        <f>IFERROR(VLOOKUP(ABW$1,PremiumIncome[[Ticker]:[Weight]],2,FALSE),0%)</f>
        <v>0</v>
      </c>
      <c r="ABX7" s="179">
        <f>IFERROR(VLOOKUP(ABX$1,PremiumIncome[[Ticker]:[Weight]],2,FALSE),0%)</f>
        <v>0</v>
      </c>
      <c r="ABY7" s="179">
        <f>IFERROR(VLOOKUP(ABY$1,PremiumIncome[[Ticker]:[Weight]],2,FALSE),0%)</f>
        <v>0</v>
      </c>
      <c r="ABZ7" s="179">
        <f>IFERROR(VLOOKUP(ABZ$1,PremiumIncome[[Ticker]:[Weight]],2,FALSE),0%)</f>
        <v>0</v>
      </c>
      <c r="ACA7" s="179">
        <f>IFERROR(VLOOKUP(ACA$1,PremiumIncome[[Ticker]:[Weight]],2,FALSE),0%)</f>
        <v>0</v>
      </c>
      <c r="ACB7" s="179">
        <f>IFERROR(VLOOKUP(ACB$1,PremiumIncome[[Ticker]:[Weight]],2,FALSE),0%)</f>
        <v>0</v>
      </c>
      <c r="ACC7" s="179">
        <f>IFERROR(VLOOKUP(ACC$1,PremiumIncome[[Ticker]:[Weight]],2,FALSE),0%)</f>
        <v>0</v>
      </c>
      <c r="ACD7" s="179">
        <f>IFERROR(VLOOKUP(ACD$1,PremiumIncome[[Ticker]:[Weight]],2,FALSE),0%)</f>
        <v>0</v>
      </c>
      <c r="ACE7" s="179">
        <f>IFERROR(VLOOKUP(ACE$1,PremiumIncome[[Ticker]:[Weight]],2,FALSE),0%)</f>
        <v>0</v>
      </c>
      <c r="ACF7" s="179">
        <f>IFERROR(VLOOKUP(ACF$1,PremiumIncome[[Ticker]:[Weight]],2,FALSE),0%)</f>
        <v>0</v>
      </c>
      <c r="ACG7" s="179">
        <f>IFERROR(VLOOKUP(ACG$1,PremiumIncome[[Ticker]:[Weight]],2,FALSE),0%)</f>
        <v>0</v>
      </c>
      <c r="ACH7" s="179">
        <f>IFERROR(VLOOKUP(ACH$1,PremiumIncome[[Ticker]:[Weight]],2,FALSE),0%)</f>
        <v>0</v>
      </c>
      <c r="ACI7" s="179">
        <f>IFERROR(VLOOKUP(ACI$1,PremiumIncome[[Ticker]:[Weight]],2,FALSE),0%)</f>
        <v>0</v>
      </c>
      <c r="ACJ7" s="179">
        <f>IFERROR(VLOOKUP(ACJ$1,PremiumIncome[[Ticker]:[Weight]],2,FALSE),0%)</f>
        <v>0</v>
      </c>
      <c r="ACK7" s="179">
        <f>IFERROR(VLOOKUP(ACK$1,PremiumIncome[[Ticker]:[Weight]],2,FALSE),0%)</f>
        <v>0</v>
      </c>
      <c r="ACL7" s="179">
        <f>IFERROR(VLOOKUP(ACL$1,PremiumIncome[[Ticker]:[Weight]],2,FALSE),0%)</f>
        <v>0</v>
      </c>
      <c r="ACM7" s="179">
        <f>IFERROR(VLOOKUP(ACM$1,PremiumIncome[[Ticker]:[Weight]],2,FALSE),0%)</f>
        <v>0</v>
      </c>
      <c r="ACN7" s="179">
        <f>IFERROR(VLOOKUP(ACN$1,PremiumIncome[[Ticker]:[Weight]],2,FALSE),0%)</f>
        <v>0</v>
      </c>
      <c r="ACO7" s="179">
        <f>IFERROR(VLOOKUP(ACO$1,PremiumIncome[[Ticker]:[Weight]],2,FALSE),0%)</f>
        <v>0</v>
      </c>
      <c r="ACP7" s="179">
        <f>IFERROR(VLOOKUP(ACP$1,PremiumIncome[[Ticker]:[Weight]],2,FALSE),0%)</f>
        <v>0</v>
      </c>
      <c r="ACQ7" s="179">
        <f>IFERROR(VLOOKUP(ACQ$1,PremiumIncome[[Ticker]:[Weight]],2,FALSE),0%)</f>
        <v>0</v>
      </c>
      <c r="ACR7" s="179">
        <f>IFERROR(VLOOKUP(ACR$1,PremiumIncome[[Ticker]:[Weight]],2,FALSE),0%)</f>
        <v>0</v>
      </c>
      <c r="ACS7" s="179">
        <f>IFERROR(VLOOKUP(ACS$1,PremiumIncome[[Ticker]:[Weight]],2,FALSE),0%)</f>
        <v>0</v>
      </c>
      <c r="ACT7" s="179">
        <f>IFERROR(VLOOKUP(ACT$1,PremiumIncome[[Ticker]:[Weight]],2,FALSE),0%)</f>
        <v>0</v>
      </c>
      <c r="ACU7" s="179">
        <f>IFERROR(VLOOKUP(ACU$1,PremiumIncome[[Ticker]:[Weight]],2,FALSE),0%)</f>
        <v>0</v>
      </c>
      <c r="ACV7" s="179">
        <f>IFERROR(VLOOKUP(ACV$1,PremiumIncome[[Ticker]:[Weight]],2,FALSE),0%)</f>
        <v>0</v>
      </c>
      <c r="ACW7" s="179">
        <f>IFERROR(VLOOKUP(ACW$1,PremiumIncome[[Ticker]:[Weight]],2,FALSE),0%)</f>
        <v>0</v>
      </c>
      <c r="ACX7" s="179">
        <f>IFERROR(VLOOKUP(ACX$1,PremiumIncome[[Ticker]:[Weight]],2,FALSE),0%)</f>
        <v>0</v>
      </c>
      <c r="ACY7" s="179">
        <f>IFERROR(VLOOKUP(ACY$1,PremiumIncome[[Ticker]:[Weight]],2,FALSE),0%)</f>
        <v>0</v>
      </c>
      <c r="ACZ7" s="179">
        <f>IFERROR(VLOOKUP(ACZ$1,PremiumIncome[[Ticker]:[Weight]],2,FALSE),0%)</f>
        <v>0</v>
      </c>
      <c r="ADA7" s="179">
        <f>IFERROR(VLOOKUP(ADA$1,PremiumIncome[[Ticker]:[Weight]],2,FALSE),0%)</f>
        <v>0</v>
      </c>
      <c r="ADB7" s="179">
        <f>IFERROR(VLOOKUP(ADB$1,PremiumIncome[[Ticker]:[Weight]],2,FALSE),0%)</f>
        <v>0</v>
      </c>
      <c r="ADC7" s="179">
        <f>IFERROR(VLOOKUP(ADC$1,PremiumIncome[[Ticker]:[Weight]],2,FALSE),0%)</f>
        <v>0</v>
      </c>
      <c r="ADD7" s="179">
        <f>IFERROR(VLOOKUP(ADD$1,PremiumIncome[[Ticker]:[Weight]],2,FALSE),0%)</f>
        <v>0</v>
      </c>
      <c r="ADE7" s="179">
        <f>IFERROR(VLOOKUP(ADE$1,PremiumIncome[[Ticker]:[Weight]],2,FALSE),0%)</f>
        <v>0</v>
      </c>
      <c r="ADF7" s="179">
        <f>IFERROR(VLOOKUP(ADF$1,PremiumIncome[[Ticker]:[Weight]],2,FALSE),0%)</f>
        <v>0</v>
      </c>
      <c r="ADG7" s="179">
        <f>IFERROR(VLOOKUP(ADG$1,PremiumIncome[[Ticker]:[Weight]],2,FALSE),0%)</f>
        <v>0</v>
      </c>
      <c r="ADH7" s="179">
        <f>IFERROR(VLOOKUP(ADH$1,PremiumIncome[[Ticker]:[Weight]],2,FALSE),0%)</f>
        <v>0</v>
      </c>
      <c r="ADI7" s="179">
        <f>IFERROR(VLOOKUP(ADI$1,PremiumIncome[[Ticker]:[Weight]],2,FALSE),0%)</f>
        <v>0</v>
      </c>
      <c r="ADJ7" s="179">
        <f>IFERROR(VLOOKUP(ADJ$1,PremiumIncome[[Ticker]:[Weight]],2,FALSE),0%)</f>
        <v>0</v>
      </c>
      <c r="ADK7" s="179">
        <f>IFERROR(VLOOKUP(ADK$1,PremiumIncome[[Ticker]:[Weight]],2,FALSE),0%)</f>
        <v>0</v>
      </c>
      <c r="ADL7" s="179">
        <f>IFERROR(VLOOKUP(ADL$1,PremiumIncome[[Ticker]:[Weight]],2,FALSE),0%)</f>
        <v>0</v>
      </c>
      <c r="ADM7" s="179">
        <f>IFERROR(VLOOKUP(ADM$1,PremiumIncome[[Ticker]:[Weight]],2,FALSE),0%)</f>
        <v>0</v>
      </c>
      <c r="ADN7" s="179">
        <f>IFERROR(VLOOKUP(ADN$1,PremiumIncome[[Ticker]:[Weight]],2,FALSE),0%)</f>
        <v>0</v>
      </c>
      <c r="ADO7" s="179">
        <f>IFERROR(VLOOKUP(ADO$1,PremiumIncome[[Ticker]:[Weight]],2,FALSE),0%)</f>
        <v>0</v>
      </c>
      <c r="ADP7" s="179">
        <f>IFERROR(VLOOKUP(ADP$1,PremiumIncome[[Ticker]:[Weight]],2,FALSE),0%)</f>
        <v>0</v>
      </c>
      <c r="ADQ7" s="179">
        <f>IFERROR(VLOOKUP(ADQ$1,PremiumIncome[[Ticker]:[Weight]],2,FALSE),0%)</f>
        <v>0</v>
      </c>
      <c r="ADR7" s="179">
        <f>IFERROR(VLOOKUP(ADR$1,PremiumIncome[[Ticker]:[Weight]],2,FALSE),0%)</f>
        <v>0</v>
      </c>
      <c r="ADS7" s="179">
        <f>IFERROR(VLOOKUP(ADS$1,PremiumIncome[[Ticker]:[Weight]],2,FALSE),0%)</f>
        <v>0</v>
      </c>
      <c r="ADT7" s="179">
        <f>IFERROR(VLOOKUP(ADT$1,PremiumIncome[[Ticker]:[Weight]],2,FALSE),0%)</f>
        <v>0</v>
      </c>
      <c r="ADU7" s="179">
        <f>IFERROR(VLOOKUP(ADU$1,PremiumIncome[[Ticker]:[Weight]],2,FALSE),0%)</f>
        <v>0</v>
      </c>
      <c r="ADV7" s="179">
        <f>IFERROR(VLOOKUP(ADV$1,PremiumIncome[[Ticker]:[Weight]],2,FALSE),0%)</f>
        <v>0</v>
      </c>
      <c r="ADW7" s="179">
        <f>IFERROR(VLOOKUP(ADW$1,PremiumIncome[[Ticker]:[Weight]],2,FALSE),0%)</f>
        <v>0</v>
      </c>
      <c r="ADX7" s="179">
        <f>IFERROR(VLOOKUP(ADX$1,PremiumIncome[[Ticker]:[Weight]],2,FALSE),0%)</f>
        <v>0</v>
      </c>
      <c r="ADY7" s="179">
        <f>IFERROR(VLOOKUP(ADY$1,PremiumIncome[[Ticker]:[Weight]],2,FALSE),0%)</f>
        <v>0</v>
      </c>
      <c r="ADZ7" s="179">
        <f>IFERROR(VLOOKUP(ADZ$1,PremiumIncome[[Ticker]:[Weight]],2,FALSE),0%)</f>
        <v>0</v>
      </c>
      <c r="AEA7" s="179">
        <f>IFERROR(VLOOKUP(AEA$1,PremiumIncome[[Ticker]:[Weight]],2,FALSE),0%)</f>
        <v>0</v>
      </c>
      <c r="AEB7" s="179">
        <f>IFERROR(VLOOKUP(AEB$1,PremiumIncome[[Ticker]:[Weight]],2,FALSE),0%)</f>
        <v>0</v>
      </c>
      <c r="AEC7" s="179">
        <f>IFERROR(VLOOKUP(AEC$1,PremiumIncome[[Ticker]:[Weight]],2,FALSE),0%)</f>
        <v>0</v>
      </c>
      <c r="AED7" s="179">
        <f>IFERROR(VLOOKUP(AED$1,PremiumIncome[[Ticker]:[Weight]],2,FALSE),0%)</f>
        <v>0</v>
      </c>
      <c r="AEE7" s="179">
        <f>IFERROR(VLOOKUP(AEE$1,PremiumIncome[[Ticker]:[Weight]],2,FALSE),0%)</f>
        <v>0</v>
      </c>
      <c r="AEF7" s="179">
        <f>IFERROR(VLOOKUP(AEF$1,PremiumIncome[[Ticker]:[Weight]],2,FALSE),0%)</f>
        <v>0</v>
      </c>
      <c r="AEG7" s="179">
        <f>IFERROR(VLOOKUP(AEG$1,PremiumIncome[[Ticker]:[Weight]],2,FALSE),0%)</f>
        <v>0</v>
      </c>
      <c r="AEH7" s="179">
        <f>IFERROR(VLOOKUP(AEH$1,PremiumIncome[[Ticker]:[Weight]],2,FALSE),0%)</f>
        <v>0</v>
      </c>
      <c r="AEI7" s="179">
        <f>IFERROR(VLOOKUP(AEI$1,PremiumIncome[[Ticker]:[Weight]],2,FALSE),0%)</f>
        <v>0</v>
      </c>
      <c r="AEJ7" s="179">
        <f>IFERROR(VLOOKUP(AEJ$1,PremiumIncome[[Ticker]:[Weight]],2,FALSE),0%)</f>
        <v>0</v>
      </c>
      <c r="AEK7" s="179">
        <f>IFERROR(VLOOKUP(AEK$1,PremiumIncome[[Ticker]:[Weight]],2,FALSE),0%)</f>
        <v>0</v>
      </c>
      <c r="AEL7" s="179">
        <f>IFERROR(VLOOKUP(AEL$1,PremiumIncome[[Ticker]:[Weight]],2,FALSE),0%)</f>
        <v>0</v>
      </c>
      <c r="AEM7" s="179">
        <f>IFERROR(VLOOKUP(AEM$1,PremiumIncome[[Ticker]:[Weight]],2,FALSE),0%)</f>
        <v>0</v>
      </c>
      <c r="AEN7" s="179">
        <f>IFERROR(VLOOKUP(AEN$1,PremiumIncome[[Ticker]:[Weight]],2,FALSE),0%)</f>
        <v>0</v>
      </c>
      <c r="AEO7" s="179">
        <f>IFERROR(VLOOKUP(AEO$1,PremiumIncome[[Ticker]:[Weight]],2,FALSE),0%)</f>
        <v>0</v>
      </c>
      <c r="AEP7" s="179">
        <f>IFERROR(VLOOKUP(AEP$1,PremiumIncome[[Ticker]:[Weight]],2,FALSE),0%)</f>
        <v>0</v>
      </c>
      <c r="AEQ7" s="179">
        <f>IFERROR(VLOOKUP(AEQ$1,PremiumIncome[[Ticker]:[Weight]],2,FALSE),0%)</f>
        <v>0</v>
      </c>
      <c r="AER7" s="179">
        <f>IFERROR(VLOOKUP(AER$1,PremiumIncome[[Ticker]:[Weight]],2,FALSE),0%)</f>
        <v>0</v>
      </c>
      <c r="AES7" s="179">
        <f>IFERROR(VLOOKUP(AES$1,PremiumIncome[[Ticker]:[Weight]],2,FALSE),0%)</f>
        <v>0</v>
      </c>
      <c r="AET7" s="179">
        <f>IFERROR(VLOOKUP(AET$1,PremiumIncome[[Ticker]:[Weight]],2,FALSE),0%)</f>
        <v>0</v>
      </c>
      <c r="AEU7" s="179">
        <f>IFERROR(VLOOKUP(AEU$1,PremiumIncome[[Ticker]:[Weight]],2,FALSE),0%)</f>
        <v>0</v>
      </c>
      <c r="AEV7" s="179">
        <f>IFERROR(VLOOKUP(AEV$1,PremiumIncome[[Ticker]:[Weight]],2,FALSE),0%)</f>
        <v>0.05795696323</v>
      </c>
      <c r="AEW7" s="179">
        <f>IFERROR(VLOOKUP(AEW$1,PremiumIncome[[Ticker]:[Weight]],2,FALSE),0%)</f>
        <v>0</v>
      </c>
      <c r="AEX7" s="179">
        <f>IFERROR(VLOOKUP(AEX$1,PremiumIncome[[Ticker]:[Weight]],2,FALSE),0%)</f>
        <v>0</v>
      </c>
      <c r="AEY7" s="179">
        <f>IFERROR(VLOOKUP(AEY$1,PremiumIncome[[Ticker]:[Weight]],2,FALSE),0%)</f>
        <v>0</v>
      </c>
      <c r="AEZ7" s="179">
        <f>IFERROR(VLOOKUP(AEZ$1,PremiumIncome[[Ticker]:[Weight]],2,FALSE),0%)</f>
        <v>0</v>
      </c>
      <c r="AFA7" s="179">
        <f>IFERROR(VLOOKUP(AFA$1,PremiumIncome[[Ticker]:[Weight]],2,FALSE),0%)</f>
        <v>0</v>
      </c>
      <c r="AFB7" s="179">
        <f>IFERROR(VLOOKUP(AFB$1,PremiumIncome[[Ticker]:[Weight]],2,FALSE),0%)</f>
        <v>0</v>
      </c>
      <c r="AFC7" s="179">
        <f>IFERROR(VLOOKUP(AFC$1,PremiumIncome[[Ticker]:[Weight]],2,FALSE),0%)</f>
        <v>0</v>
      </c>
      <c r="AFD7" s="179">
        <f>IFERROR(VLOOKUP(AFD$1,PremiumIncome[[Ticker]:[Weight]],2,FALSE),0%)</f>
        <v>0</v>
      </c>
      <c r="AFE7" s="179">
        <f>IFERROR(VLOOKUP(AFE$1,PremiumIncome[[Ticker]:[Weight]],2,FALSE),0%)</f>
        <v>0</v>
      </c>
      <c r="AFF7" s="179">
        <f>IFERROR(VLOOKUP(AFF$1,PremiumIncome[[Ticker]:[Weight]],2,FALSE),0%)</f>
        <v>0</v>
      </c>
      <c r="AFG7" s="179">
        <f>IFERROR(VLOOKUP(AFG$1,PremiumIncome[[Ticker]:[Weight]],2,FALSE),0%)</f>
        <v>0</v>
      </c>
      <c r="AFH7" s="179">
        <f>IFERROR(VLOOKUP(AFH$1,PremiumIncome[[Ticker]:[Weight]],2,FALSE),0%)</f>
        <v>0</v>
      </c>
      <c r="AFI7" s="179">
        <f>IFERROR(VLOOKUP(AFI$1,PremiumIncome[[Ticker]:[Weight]],2,FALSE),0%)</f>
        <v>0</v>
      </c>
      <c r="AFJ7" s="179">
        <f>IFERROR(VLOOKUP(AFJ$1,PremiumIncome[[Ticker]:[Weight]],2,FALSE),0%)</f>
        <v>0</v>
      </c>
      <c r="AFK7" s="179">
        <f>IFERROR(VLOOKUP(AFK$1,PremiumIncome[[Ticker]:[Weight]],2,FALSE),0%)</f>
        <v>0</v>
      </c>
      <c r="AFL7" s="179">
        <f>IFERROR(VLOOKUP(AFL$1,PremiumIncome[[Ticker]:[Weight]],2,FALSE),0%)</f>
        <v>0</v>
      </c>
      <c r="AFM7" s="179">
        <f>IFERROR(VLOOKUP(AFM$1,PremiumIncome[[Ticker]:[Weight]],2,FALSE),0%)</f>
        <v>0</v>
      </c>
      <c r="AFN7" s="179">
        <f>IFERROR(VLOOKUP(AFN$1,PremiumIncome[[Ticker]:[Weight]],2,FALSE),0%)</f>
        <v>0</v>
      </c>
      <c r="AFO7" s="179">
        <f>IFERROR(VLOOKUP(AFO$1,PremiumIncome[[Ticker]:[Weight]],2,FALSE),0%)</f>
        <v>0</v>
      </c>
      <c r="AFP7" s="179">
        <f>IFERROR(VLOOKUP(AFP$1,PremiumIncome[[Ticker]:[Weight]],2,FALSE),0%)</f>
        <v>0</v>
      </c>
      <c r="AFQ7" s="179">
        <f>IFERROR(VLOOKUP(AFQ$1,PremiumIncome[[Ticker]:[Weight]],2,FALSE),0%)</f>
        <v>0</v>
      </c>
      <c r="AFR7" s="179">
        <f>IFERROR(VLOOKUP(AFR$1,PremiumIncome[[Ticker]:[Weight]],2,FALSE),0%)</f>
        <v>0</v>
      </c>
      <c r="AFS7" s="179">
        <f>IFERROR(VLOOKUP(AFS$1,PremiumIncome[[Ticker]:[Weight]],2,FALSE),0%)</f>
        <v>0</v>
      </c>
      <c r="AFT7" s="179">
        <f>IFERROR(VLOOKUP(AFT$1,PremiumIncome[[Ticker]:[Weight]],2,FALSE),0%)</f>
        <v>0</v>
      </c>
      <c r="AFU7" s="179">
        <f>IFERROR(VLOOKUP(AFU$1,PremiumIncome[[Ticker]:[Weight]],2,FALSE),0%)</f>
        <v>0</v>
      </c>
      <c r="AFV7" s="179">
        <f>IFERROR(VLOOKUP(AFV$1,PremiumIncome[[Ticker]:[Weight]],2,FALSE),0%)</f>
        <v>0</v>
      </c>
      <c r="AFW7" s="179">
        <f>IFERROR(VLOOKUP(AFW$1,PremiumIncome[[Ticker]:[Weight]],2,FALSE),0%)</f>
        <v>0</v>
      </c>
      <c r="AFX7" s="179">
        <f>IFERROR(VLOOKUP(AFX$1,PremiumIncome[[Ticker]:[Weight]],2,FALSE),0%)</f>
        <v>0</v>
      </c>
      <c r="AFY7" s="179">
        <f>IFERROR(VLOOKUP(AFY$1,PremiumIncome[[Ticker]:[Weight]],2,FALSE),0%)</f>
        <v>0</v>
      </c>
      <c r="AFZ7" s="179">
        <f>IFERROR(VLOOKUP(AFZ$1,PremiumIncome[[Ticker]:[Weight]],2,FALSE),0%)</f>
        <v>0</v>
      </c>
      <c r="AGA7" s="179">
        <f>IFERROR(VLOOKUP(AGA$1,PremiumIncome[[Ticker]:[Weight]],2,FALSE),0%)</f>
        <v>0</v>
      </c>
      <c r="AGB7" s="179">
        <f>IFERROR(VLOOKUP(AGB$1,PremiumIncome[[Ticker]:[Weight]],2,FALSE),0%)</f>
        <v>0</v>
      </c>
      <c r="AGC7" s="179">
        <f>IFERROR(VLOOKUP(AGC$1,PremiumIncome[[Ticker]:[Weight]],2,FALSE),0%)</f>
        <v>0</v>
      </c>
      <c r="AGD7" s="179">
        <f>IFERROR(VLOOKUP(AGD$1,PremiumIncome[[Ticker]:[Weight]],2,FALSE),0%)</f>
        <v>0</v>
      </c>
      <c r="AGE7" s="179">
        <f>IFERROR(VLOOKUP(AGE$1,PremiumIncome[[Ticker]:[Weight]],2,FALSE),0%)</f>
        <v>0</v>
      </c>
      <c r="AGF7" s="179">
        <f>IFERROR(VLOOKUP(AGF$1,PremiumIncome[[Ticker]:[Weight]],2,FALSE),0%)</f>
        <v>0</v>
      </c>
      <c r="AGG7" s="179">
        <f>IFERROR(VLOOKUP(AGG$1,PremiumIncome[[Ticker]:[Weight]],2,FALSE),0%)</f>
        <v>0</v>
      </c>
      <c r="AGH7" s="179">
        <f>IFERROR(VLOOKUP(AGH$1,PremiumIncome[[Ticker]:[Weight]],2,FALSE),0%)</f>
        <v>0</v>
      </c>
      <c r="AGI7" s="179">
        <f>IFERROR(VLOOKUP(AGI$1,PremiumIncome[[Ticker]:[Weight]],2,FALSE),0%)</f>
        <v>0</v>
      </c>
      <c r="AGJ7" s="179">
        <f>IFERROR(VLOOKUP(AGJ$1,PremiumIncome[[Ticker]:[Weight]],2,FALSE),0%)</f>
        <v>0</v>
      </c>
      <c r="AGK7" s="179">
        <f>IFERROR(VLOOKUP(AGK$1,PremiumIncome[[Ticker]:[Weight]],2,FALSE),0%)</f>
        <v>0</v>
      </c>
      <c r="AGL7" s="179">
        <f>IFERROR(VLOOKUP(AGL$1,PremiumIncome[[Ticker]:[Weight]],2,FALSE),0%)</f>
        <v>0</v>
      </c>
      <c r="AGM7" s="179">
        <f>IFERROR(VLOOKUP(AGM$1,PremiumIncome[[Ticker]:[Weight]],2,FALSE),0%)</f>
        <v>0</v>
      </c>
      <c r="AGN7" s="179">
        <f>IFERROR(VLOOKUP(AGN$1,PremiumIncome[[Ticker]:[Weight]],2,FALSE),0%)</f>
        <v>0</v>
      </c>
      <c r="AGO7" s="179">
        <f>IFERROR(VLOOKUP(AGO$1,PremiumIncome[[Ticker]:[Weight]],2,FALSE),0%)</f>
        <v>0</v>
      </c>
      <c r="AGP7" s="179">
        <f>IFERROR(VLOOKUP(AGP$1,PremiumIncome[[Ticker]:[Weight]],2,FALSE),0%)</f>
        <v>0</v>
      </c>
      <c r="AGQ7" s="179">
        <f>IFERROR(VLOOKUP(AGQ$1,PremiumIncome[[Ticker]:[Weight]],2,FALSE),0%)</f>
        <v>0</v>
      </c>
      <c r="AGR7" s="179">
        <f>IFERROR(VLOOKUP(AGR$1,PremiumIncome[[Ticker]:[Weight]],2,FALSE),0%)</f>
        <v>0</v>
      </c>
      <c r="AGS7" s="179">
        <f>IFERROR(VLOOKUP(AGS$1,PremiumIncome[[Ticker]:[Weight]],2,FALSE),0%)</f>
        <v>0</v>
      </c>
      <c r="AGT7" s="179">
        <f>IFERROR(VLOOKUP(AGT$1,PremiumIncome[[Ticker]:[Weight]],2,FALSE),0%)</f>
        <v>0</v>
      </c>
      <c r="AGU7" s="179">
        <f>IFERROR(VLOOKUP(AGU$1,PremiumIncome[[Ticker]:[Weight]],2,FALSE),0%)</f>
        <v>0</v>
      </c>
      <c r="AGV7" s="179">
        <f>IFERROR(VLOOKUP(AGV$1,PremiumIncome[[Ticker]:[Weight]],2,FALSE),0%)</f>
        <v>0</v>
      </c>
      <c r="AGW7" s="179">
        <f>IFERROR(VLOOKUP(AGW$1,PremiumIncome[[Ticker]:[Weight]],2,FALSE),0%)</f>
        <v>0</v>
      </c>
      <c r="AGX7" s="179">
        <f>IFERROR(VLOOKUP(AGX$1,PremiumIncome[[Ticker]:[Weight]],2,FALSE),0%)</f>
        <v>0</v>
      </c>
      <c r="AGY7" s="179">
        <f>IFERROR(VLOOKUP(AGY$1,PremiumIncome[[Ticker]:[Weight]],2,FALSE),0%)</f>
        <v>0</v>
      </c>
      <c r="AGZ7" s="179">
        <f>IFERROR(VLOOKUP(AGZ$1,PremiumIncome[[Ticker]:[Weight]],2,FALSE),0%)</f>
        <v>0</v>
      </c>
      <c r="AHA7" s="179">
        <f>IFERROR(VLOOKUP(AHA$1,PremiumIncome[[Ticker]:[Weight]],2,FALSE),0%)</f>
        <v>0</v>
      </c>
      <c r="AHB7" s="179">
        <f>IFERROR(VLOOKUP(AHB$1,PremiumIncome[[Ticker]:[Weight]],2,FALSE),0%)</f>
        <v>0</v>
      </c>
      <c r="AHC7" s="179">
        <f>IFERROR(VLOOKUP(AHC$1,PremiumIncome[[Ticker]:[Weight]],2,FALSE),0%)</f>
        <v>0</v>
      </c>
      <c r="AHD7" s="179">
        <f>IFERROR(VLOOKUP(AHD$1,PremiumIncome[[Ticker]:[Weight]],2,FALSE),0%)</f>
        <v>0</v>
      </c>
      <c r="AHE7" s="179">
        <f>IFERROR(VLOOKUP(AHE$1,PremiumIncome[[Ticker]:[Weight]],2,FALSE),0%)</f>
        <v>0</v>
      </c>
      <c r="AHF7" s="179">
        <f>IFERROR(VLOOKUP(AHF$1,PremiumIncome[[Ticker]:[Weight]],2,FALSE),0%)</f>
        <v>0</v>
      </c>
      <c r="AHG7" s="179">
        <f>IFERROR(VLOOKUP(AHG$1,PremiumIncome[[Ticker]:[Weight]],2,FALSE),0%)</f>
        <v>0</v>
      </c>
      <c r="AHH7" s="179">
        <f>IFERROR(VLOOKUP(AHH$1,PremiumIncome[[Ticker]:[Weight]],2,FALSE),0%)</f>
        <v>0</v>
      </c>
      <c r="AHI7" s="179">
        <f>IFERROR(VLOOKUP(AHI$1,PremiumIncome[[Ticker]:[Weight]],2,FALSE),0%)</f>
        <v>0</v>
      </c>
      <c r="AHJ7" s="179">
        <f>IFERROR(VLOOKUP(AHJ$1,PremiumIncome[[Ticker]:[Weight]],2,FALSE),0%)</f>
        <v>0</v>
      </c>
      <c r="AHK7" s="179">
        <f>IFERROR(VLOOKUP(AHK$1,PremiumIncome[[Ticker]:[Weight]],2,FALSE),0%)</f>
        <v>0</v>
      </c>
      <c r="AHL7" s="179">
        <f>IFERROR(VLOOKUP(AHL$1,PremiumIncome[[Ticker]:[Weight]],2,FALSE),0%)</f>
        <v>0</v>
      </c>
      <c r="AHM7" s="179">
        <f>IFERROR(VLOOKUP(AHM$1,PremiumIncome[[Ticker]:[Weight]],2,FALSE),0%)</f>
        <v>0</v>
      </c>
      <c r="AHN7" s="179">
        <f>IFERROR(VLOOKUP(AHN$1,PremiumIncome[[Ticker]:[Weight]],2,FALSE),0%)</f>
        <v>0</v>
      </c>
      <c r="AHO7" s="179">
        <f>IFERROR(VLOOKUP(AHO$1,PremiumIncome[[Ticker]:[Weight]],2,FALSE),0%)</f>
        <v>0</v>
      </c>
      <c r="AHP7" s="179">
        <f>IFERROR(VLOOKUP(AHP$1,PremiumIncome[[Ticker]:[Weight]],2,FALSE),0%)</f>
        <v>0</v>
      </c>
      <c r="AHQ7" s="179">
        <f>IFERROR(VLOOKUP(AHQ$1,PremiumIncome[[Ticker]:[Weight]],2,FALSE),0%)</f>
        <v>0</v>
      </c>
      <c r="AHR7" s="179">
        <f>IFERROR(VLOOKUP(AHR$1,PremiumIncome[[Ticker]:[Weight]],2,FALSE),0%)</f>
        <v>0</v>
      </c>
      <c r="AHS7" s="179">
        <f>IFERROR(VLOOKUP(AHS$1,PremiumIncome[[Ticker]:[Weight]],2,FALSE),0%)</f>
        <v>0</v>
      </c>
      <c r="AHT7" s="179">
        <f>IFERROR(VLOOKUP(AHT$1,PremiumIncome[[Ticker]:[Weight]],2,FALSE),0%)</f>
        <v>0</v>
      </c>
      <c r="AHU7" s="179">
        <f>IFERROR(VLOOKUP(AHU$1,PremiumIncome[[Ticker]:[Weight]],2,FALSE),0%)</f>
        <v>0</v>
      </c>
      <c r="AHV7" s="179">
        <f>IFERROR(VLOOKUP(AHV$1,PremiumIncome[[Ticker]:[Weight]],2,FALSE),0%)</f>
        <v>0</v>
      </c>
      <c r="AHW7" s="179">
        <f>IFERROR(VLOOKUP(AHW$1,PremiumIncome[[Ticker]:[Weight]],2,FALSE),0%)</f>
        <v>0</v>
      </c>
      <c r="AHX7" s="179">
        <f>IFERROR(VLOOKUP(AHX$1,PremiumIncome[[Ticker]:[Weight]],2,FALSE),0%)</f>
        <v>0</v>
      </c>
      <c r="AHY7" s="179">
        <f>IFERROR(VLOOKUP(AHY$1,PremiumIncome[[Ticker]:[Weight]],2,FALSE),0%)</f>
        <v>0</v>
      </c>
      <c r="AHZ7" s="179">
        <f>IFERROR(VLOOKUP(AHZ$1,PremiumIncome[[Ticker]:[Weight]],2,FALSE),0%)</f>
        <v>0</v>
      </c>
      <c r="AIA7" s="179">
        <f>IFERROR(VLOOKUP(AIA$1,PremiumIncome[[Ticker]:[Weight]],2,FALSE),0%)</f>
        <v>0</v>
      </c>
      <c r="AIB7" s="179">
        <f>IFERROR(VLOOKUP(AIB$1,PremiumIncome[[Ticker]:[Weight]],2,FALSE),0%)</f>
        <v>0</v>
      </c>
      <c r="AIC7" s="179">
        <f>IFERROR(VLOOKUP(AIC$1,PremiumIncome[[Ticker]:[Weight]],2,FALSE),0%)</f>
        <v>0</v>
      </c>
      <c r="AID7" s="179">
        <f>IFERROR(VLOOKUP(AID$1,PremiumIncome[[Ticker]:[Weight]],2,FALSE),0%)</f>
        <v>0</v>
      </c>
      <c r="AIE7" s="179">
        <f>IFERROR(VLOOKUP(AIE$1,PremiumIncome[[Ticker]:[Weight]],2,FALSE),0%)</f>
        <v>0</v>
      </c>
      <c r="AIF7" s="179">
        <f>IFERROR(VLOOKUP(AIF$1,PremiumIncome[[Ticker]:[Weight]],2,FALSE),0%)</f>
        <v>0</v>
      </c>
      <c r="AIG7" s="179">
        <f>IFERROR(VLOOKUP(AIG$1,PremiumIncome[[Ticker]:[Weight]],2,FALSE),0%)</f>
        <v>0</v>
      </c>
      <c r="AIH7" s="179">
        <f>IFERROR(VLOOKUP(AIH$1,PremiumIncome[[Ticker]:[Weight]],2,FALSE),0%)</f>
        <v>0</v>
      </c>
      <c r="AII7" s="179">
        <f>IFERROR(VLOOKUP(AII$1,PremiumIncome[[Ticker]:[Weight]],2,FALSE),0%)</f>
        <v>0</v>
      </c>
      <c r="AIJ7" s="179">
        <f>IFERROR(VLOOKUP(AIJ$1,PremiumIncome[[Ticker]:[Weight]],2,FALSE),0%)</f>
        <v>0</v>
      </c>
      <c r="AIK7" s="179">
        <f>IFERROR(VLOOKUP(AIK$1,PremiumIncome[[Ticker]:[Weight]],2,FALSE),0%)</f>
        <v>0</v>
      </c>
      <c r="AIL7" s="179">
        <f>IFERROR(VLOOKUP(AIL$1,PremiumIncome[[Ticker]:[Weight]],2,FALSE),0%)</f>
        <v>0</v>
      </c>
      <c r="AIM7" s="179">
        <f>IFERROR(VLOOKUP(AIM$1,PremiumIncome[[Ticker]:[Weight]],2,FALSE),0%)</f>
        <v>0</v>
      </c>
      <c r="AIN7" s="179">
        <f>IFERROR(VLOOKUP(AIN$1,PremiumIncome[[Ticker]:[Weight]],2,FALSE),0%)</f>
        <v>0</v>
      </c>
      <c r="AIO7" s="179">
        <f>IFERROR(VLOOKUP(AIO$1,PremiumIncome[[Ticker]:[Weight]],2,FALSE),0%)</f>
        <v>0</v>
      </c>
      <c r="AIP7" s="179">
        <f>IFERROR(VLOOKUP(AIP$1,PremiumIncome[[Ticker]:[Weight]],2,FALSE),0%)</f>
        <v>0</v>
      </c>
      <c r="AIQ7" s="179">
        <f>IFERROR(VLOOKUP(AIQ$1,PremiumIncome[[Ticker]:[Weight]],2,FALSE),0%)</f>
        <v>0</v>
      </c>
      <c r="AIR7" s="179">
        <f>IFERROR(VLOOKUP(AIR$1,PremiumIncome[[Ticker]:[Weight]],2,FALSE),0%)</f>
        <v>0</v>
      </c>
      <c r="AIS7" s="179">
        <f>IFERROR(VLOOKUP(AIS$1,PremiumIncome[[Ticker]:[Weight]],2,FALSE),0%)</f>
        <v>0</v>
      </c>
      <c r="AIT7" s="179">
        <f>IFERROR(VLOOKUP(AIT$1,PremiumIncome[[Ticker]:[Weight]],2,FALSE),0%)</f>
        <v>0</v>
      </c>
      <c r="AIU7" s="179">
        <f>IFERROR(VLOOKUP(AIU$1,PremiumIncome[[Ticker]:[Weight]],2,FALSE),0%)</f>
        <v>0</v>
      </c>
      <c r="AIV7" s="179">
        <f>IFERROR(VLOOKUP(AIV$1,PremiumIncome[[Ticker]:[Weight]],2,FALSE),0%)</f>
        <v>0</v>
      </c>
      <c r="AIW7" s="179">
        <f>IFERROR(VLOOKUP(AIW$1,PremiumIncome[[Ticker]:[Weight]],2,FALSE),0%)</f>
        <v>0</v>
      </c>
      <c r="AIX7" s="179">
        <f>IFERROR(VLOOKUP(AIX$1,PremiumIncome[[Ticker]:[Weight]],2,FALSE),0%)</f>
        <v>0</v>
      </c>
      <c r="AIY7" s="179">
        <f>IFERROR(VLOOKUP(AIY$1,PremiumIncome[[Ticker]:[Weight]],2,FALSE),0%)</f>
        <v>0</v>
      </c>
      <c r="AIZ7" s="179">
        <f>IFERROR(VLOOKUP(AIZ$1,PremiumIncome[[Ticker]:[Weight]],2,FALSE),0%)</f>
        <v>0</v>
      </c>
      <c r="AJA7" s="179">
        <f>IFERROR(VLOOKUP(AJA$1,PremiumIncome[[Ticker]:[Weight]],2,FALSE),0%)</f>
        <v>0</v>
      </c>
      <c r="AJB7" s="179">
        <f>IFERROR(VLOOKUP(AJB$1,PremiumIncome[[Ticker]:[Weight]],2,FALSE),0%)</f>
        <v>0</v>
      </c>
      <c r="AJC7" s="179">
        <f>IFERROR(VLOOKUP(AJC$1,PremiumIncome[[Ticker]:[Weight]],2,FALSE),0%)</f>
        <v>0</v>
      </c>
      <c r="AJD7" s="179">
        <f>IFERROR(VLOOKUP(AJD$1,PremiumIncome[[Ticker]:[Weight]],2,FALSE),0%)</f>
        <v>0</v>
      </c>
      <c r="AJE7" s="179">
        <f>IFERROR(VLOOKUP(AJE$1,PremiumIncome[[Ticker]:[Weight]],2,FALSE),0%)</f>
        <v>0</v>
      </c>
      <c r="AJF7" s="179">
        <f>IFERROR(VLOOKUP(AJF$1,PremiumIncome[[Ticker]:[Weight]],2,FALSE),0%)</f>
        <v>0</v>
      </c>
      <c r="AJG7" s="179">
        <f>IFERROR(VLOOKUP(AJG$1,PremiumIncome[[Ticker]:[Weight]],2,FALSE),0%)</f>
        <v>0</v>
      </c>
      <c r="AJH7" s="179">
        <f>IFERROR(VLOOKUP(AJH$1,PremiumIncome[[Ticker]:[Weight]],2,FALSE),0%)</f>
        <v>0</v>
      </c>
      <c r="AJI7" s="179">
        <f>IFERROR(VLOOKUP(AJI$1,PremiumIncome[[Ticker]:[Weight]],2,FALSE),0%)</f>
        <v>0</v>
      </c>
      <c r="AJJ7" s="179">
        <f>IFERROR(VLOOKUP(AJJ$1,PremiumIncome[[Ticker]:[Weight]],2,FALSE),0%)</f>
        <v>0</v>
      </c>
      <c r="AJK7" s="179">
        <f>IFERROR(VLOOKUP(AJK$1,PremiumIncome[[Ticker]:[Weight]],2,FALSE),0%)</f>
        <v>0</v>
      </c>
      <c r="AJL7" s="179">
        <f>IFERROR(VLOOKUP(AJL$1,PremiumIncome[[Ticker]:[Weight]],2,FALSE),0%)</f>
        <v>0</v>
      </c>
      <c r="AJM7" s="179">
        <f>IFERROR(VLOOKUP(AJM$1,PremiumIncome[[Ticker]:[Weight]],2,FALSE),0%)</f>
        <v>0</v>
      </c>
      <c r="AJN7" s="179">
        <f>IFERROR(VLOOKUP(AJN$1,PremiumIncome[[Ticker]:[Weight]],2,FALSE),0%)</f>
        <v>0</v>
      </c>
      <c r="AJO7" s="179">
        <f>IFERROR(VLOOKUP(AJO$1,PremiumIncome[[Ticker]:[Weight]],2,FALSE),0%)</f>
        <v>0</v>
      </c>
      <c r="AJP7" s="179">
        <f>IFERROR(VLOOKUP(AJP$1,PremiumIncome[[Ticker]:[Weight]],2,FALSE),0%)</f>
        <v>0</v>
      </c>
      <c r="AJQ7" s="179">
        <f>IFERROR(VLOOKUP(AJQ$1,PremiumIncome[[Ticker]:[Weight]],2,FALSE),0%)</f>
        <v>0</v>
      </c>
      <c r="AJR7" s="179">
        <f>IFERROR(VLOOKUP(AJR$1,PremiumIncome[[Ticker]:[Weight]],2,FALSE),0%)</f>
        <v>0</v>
      </c>
      <c r="AJS7" s="179">
        <f>IFERROR(VLOOKUP(AJS$1,PremiumIncome[[Ticker]:[Weight]],2,FALSE),0%)</f>
        <v>0</v>
      </c>
      <c r="AJT7" s="179">
        <f>IFERROR(VLOOKUP(AJT$1,PremiumIncome[[Ticker]:[Weight]],2,FALSE),0%)</f>
        <v>0</v>
      </c>
      <c r="AJU7" s="179">
        <f>IFERROR(VLOOKUP(AJU$1,PremiumIncome[[Ticker]:[Weight]],2,FALSE),0%)</f>
        <v>0</v>
      </c>
      <c r="AJV7" s="179">
        <f>IFERROR(VLOOKUP(AJV$1,PremiumIncome[[Ticker]:[Weight]],2,FALSE),0%)</f>
        <v>0</v>
      </c>
      <c r="AJW7" s="179">
        <f>IFERROR(VLOOKUP(AJW$1,PremiumIncome[[Ticker]:[Weight]],2,FALSE),0%)</f>
        <v>0</v>
      </c>
      <c r="AJX7" s="179">
        <f>IFERROR(VLOOKUP(AJX$1,PremiumIncome[[Ticker]:[Weight]],2,FALSE),0%)</f>
        <v>0</v>
      </c>
      <c r="AJY7" s="179">
        <f>IFERROR(VLOOKUP(AJY$1,PremiumIncome[[Ticker]:[Weight]],2,FALSE),0%)</f>
        <v>0</v>
      </c>
      <c r="AJZ7" s="179">
        <f>IFERROR(VLOOKUP(AJZ$1,PremiumIncome[[Ticker]:[Weight]],2,FALSE),0%)</f>
        <v>0</v>
      </c>
      <c r="AKA7" s="179">
        <f>IFERROR(VLOOKUP(AKA$1,PremiumIncome[[Ticker]:[Weight]],2,FALSE),0%)</f>
        <v>0</v>
      </c>
      <c r="AKB7" s="179">
        <f>IFERROR(VLOOKUP(AKB$1,PremiumIncome[[Ticker]:[Weight]],2,FALSE),0%)</f>
        <v>0</v>
      </c>
      <c r="AKC7" s="179">
        <f>IFERROR(VLOOKUP(AKC$1,PremiumIncome[[Ticker]:[Weight]],2,FALSE),0%)</f>
        <v>0</v>
      </c>
      <c r="AKD7" s="179">
        <f>IFERROR(VLOOKUP(AKD$1,PremiumIncome[[Ticker]:[Weight]],2,FALSE),0%)</f>
        <v>0</v>
      </c>
      <c r="AKE7" s="179">
        <f>IFERROR(VLOOKUP(AKE$1,PremiumIncome[[Ticker]:[Weight]],2,FALSE),0%)</f>
        <v>0</v>
      </c>
      <c r="AKF7" s="179">
        <f>IFERROR(VLOOKUP(AKF$1,PremiumIncome[[Ticker]:[Weight]],2,FALSE),0%)</f>
        <v>0</v>
      </c>
      <c r="AKG7" s="179">
        <f>IFERROR(VLOOKUP(AKG$1,PremiumIncome[[Ticker]:[Weight]],2,FALSE),0%)</f>
        <v>0</v>
      </c>
      <c r="AKH7" s="179">
        <f>IFERROR(VLOOKUP(AKH$1,PremiumIncome[[Ticker]:[Weight]],2,FALSE),0%)</f>
        <v>0</v>
      </c>
      <c r="AKI7" s="179">
        <f>IFERROR(VLOOKUP(AKI$1,PremiumIncome[[Ticker]:[Weight]],2,FALSE),0%)</f>
        <v>0</v>
      </c>
      <c r="AKJ7" s="179">
        <f>IFERROR(VLOOKUP(AKJ$1,PremiumIncome[[Ticker]:[Weight]],2,FALSE),0%)</f>
        <v>0</v>
      </c>
      <c r="AKK7" s="179">
        <f>IFERROR(VLOOKUP(AKK$1,PremiumIncome[[Ticker]:[Weight]],2,FALSE),0%)</f>
        <v>0</v>
      </c>
      <c r="AKL7" s="179">
        <f>IFERROR(VLOOKUP(AKL$1,PremiumIncome[[Ticker]:[Weight]],2,FALSE),0%)</f>
        <v>0</v>
      </c>
      <c r="AKM7" s="179">
        <f>IFERROR(VLOOKUP(AKM$1,PremiumIncome[[Ticker]:[Weight]],2,FALSE),0%)</f>
        <v>0</v>
      </c>
      <c r="AKN7" s="179">
        <f>IFERROR(VLOOKUP(AKN$1,PremiumIncome[[Ticker]:[Weight]],2,FALSE),0%)</f>
        <v>0</v>
      </c>
      <c r="AKO7" s="179">
        <f>IFERROR(VLOOKUP(AKO$1,PremiumIncome[[Ticker]:[Weight]],2,FALSE),0%)</f>
        <v>0</v>
      </c>
      <c r="AKP7" s="179">
        <f>IFERROR(VLOOKUP(AKP$1,PremiumIncome[[Ticker]:[Weight]],2,FALSE),0%)</f>
        <v>0</v>
      </c>
      <c r="AKQ7" s="179">
        <f>IFERROR(VLOOKUP(AKQ$1,PremiumIncome[[Ticker]:[Weight]],2,FALSE),0%)</f>
        <v>0</v>
      </c>
      <c r="AKR7" s="179">
        <f>IFERROR(VLOOKUP(AKR$1,PremiumIncome[[Ticker]:[Weight]],2,FALSE),0%)</f>
        <v>0</v>
      </c>
      <c r="AKS7" s="179">
        <f>IFERROR(VLOOKUP(AKS$1,PremiumIncome[[Ticker]:[Weight]],2,FALSE),0%)</f>
        <v>0</v>
      </c>
      <c r="AKT7" s="179">
        <f>IFERROR(VLOOKUP(AKT$1,PremiumIncome[[Ticker]:[Weight]],2,FALSE),0%)</f>
        <v>0</v>
      </c>
      <c r="AKU7" s="179">
        <f>IFERROR(VLOOKUP(AKU$1,PremiumIncome[[Ticker]:[Weight]],2,FALSE),0%)</f>
        <v>0</v>
      </c>
      <c r="AKV7" s="179">
        <f>IFERROR(VLOOKUP(AKV$1,PremiumIncome[[Ticker]:[Weight]],2,FALSE),0%)</f>
        <v>0</v>
      </c>
      <c r="AKW7" s="179">
        <f>IFERROR(VLOOKUP(AKW$1,PremiumIncome[[Ticker]:[Weight]],2,FALSE),0%)</f>
        <v>0</v>
      </c>
      <c r="AKX7" s="179">
        <f>IFERROR(VLOOKUP(AKX$1,PremiumIncome[[Ticker]:[Weight]],2,FALSE),0%)</f>
        <v>0</v>
      </c>
      <c r="AKY7" s="179">
        <f>IFERROR(VLOOKUP(AKY$1,PremiumIncome[[Ticker]:[Weight]],2,FALSE),0%)</f>
        <v>0</v>
      </c>
      <c r="AKZ7" s="179">
        <f>IFERROR(VLOOKUP(AKZ$1,PremiumIncome[[Ticker]:[Weight]],2,FALSE),0%)</f>
        <v>0</v>
      </c>
      <c r="ALA7" s="179">
        <f>IFERROR(VLOOKUP(ALA$1,PremiumIncome[[Ticker]:[Weight]],2,FALSE),0%)</f>
        <v>0</v>
      </c>
      <c r="ALB7" s="179">
        <f>IFERROR(VLOOKUP(ALB$1,PremiumIncome[[Ticker]:[Weight]],2,FALSE),0%)</f>
        <v>0</v>
      </c>
      <c r="ALC7" s="179">
        <f>IFERROR(VLOOKUP(ALC$1,PremiumIncome[[Ticker]:[Weight]],2,FALSE),0%)</f>
        <v>0</v>
      </c>
      <c r="ALD7" s="179">
        <f>IFERROR(VLOOKUP(ALD$1,PremiumIncome[[Ticker]:[Weight]],2,FALSE),0%)</f>
        <v>0</v>
      </c>
      <c r="ALE7" s="179">
        <f>IFERROR(VLOOKUP(ALE$1,PremiumIncome[[Ticker]:[Weight]],2,FALSE),0%)</f>
        <v>0</v>
      </c>
      <c r="ALF7" s="179">
        <f>IFERROR(VLOOKUP(ALF$1,PremiumIncome[[Ticker]:[Weight]],2,FALSE),0%)</f>
        <v>0</v>
      </c>
      <c r="ALG7" s="179">
        <f>IFERROR(VLOOKUP(ALG$1,PremiumIncome[[Ticker]:[Weight]],2,FALSE),0%)</f>
        <v>0</v>
      </c>
      <c r="ALH7" s="179">
        <f>IFERROR(VLOOKUP(ALH$1,PremiumIncome[[Ticker]:[Weight]],2,FALSE),0%)</f>
        <v>0</v>
      </c>
      <c r="ALI7" s="179">
        <f>IFERROR(VLOOKUP(ALI$1,PremiumIncome[[Ticker]:[Weight]],2,FALSE),0%)</f>
        <v>0</v>
      </c>
      <c r="ALJ7" s="179">
        <f>IFERROR(VLOOKUP(ALJ$1,PremiumIncome[[Ticker]:[Weight]],2,FALSE),0%)</f>
        <v>0</v>
      </c>
      <c r="ALK7" s="179">
        <f>IFERROR(VLOOKUP(ALK$1,PremiumIncome[[Ticker]:[Weight]],2,FALSE),0%)</f>
        <v>0</v>
      </c>
      <c r="ALL7" s="179">
        <f>IFERROR(VLOOKUP(ALL$1,PremiumIncome[[Ticker]:[Weight]],2,FALSE),0%)</f>
        <v>0</v>
      </c>
      <c r="ALM7" s="179">
        <f>IFERROR(VLOOKUP(ALM$1,PremiumIncome[[Ticker]:[Weight]],2,FALSE),0%)</f>
        <v>0</v>
      </c>
      <c r="ALN7" s="179">
        <f>IFERROR(VLOOKUP(ALN$1,PremiumIncome[[Ticker]:[Weight]],2,FALSE),0%)</f>
        <v>0</v>
      </c>
      <c r="ALO7" s="179">
        <f>IFERROR(VLOOKUP(ALO$1,PremiumIncome[[Ticker]:[Weight]],2,FALSE),0%)</f>
        <v>0</v>
      </c>
      <c r="ALP7" s="179">
        <f>IFERROR(VLOOKUP(ALP$1,PremiumIncome[[Ticker]:[Weight]],2,FALSE),0%)</f>
        <v>0</v>
      </c>
      <c r="ALQ7" s="179">
        <f>IFERROR(VLOOKUP(ALQ$1,PremiumIncome[[Ticker]:[Weight]],2,FALSE),0%)</f>
        <v>0</v>
      </c>
      <c r="ALR7" s="179">
        <f>IFERROR(VLOOKUP(ALR$1,PremiumIncome[[Ticker]:[Weight]],2,FALSE),0%)</f>
        <v>0</v>
      </c>
      <c r="ALS7" s="179">
        <f>IFERROR(VLOOKUP(ALS$1,PremiumIncome[[Ticker]:[Weight]],2,FALSE),0%)</f>
        <v>0</v>
      </c>
      <c r="ALT7" s="179">
        <f>IFERROR(VLOOKUP(ALT$1,PremiumIncome[[Ticker]:[Weight]],2,FALSE),0%)</f>
        <v>0</v>
      </c>
      <c r="ALU7" s="179">
        <f>IFERROR(VLOOKUP(ALU$1,PremiumIncome[[Ticker]:[Weight]],2,FALSE),0%)</f>
        <v>0</v>
      </c>
      <c r="ALV7" s="179">
        <f>IFERROR(VLOOKUP(ALV$1,PremiumIncome[[Ticker]:[Weight]],2,FALSE),0%)</f>
        <v>0</v>
      </c>
      <c r="ALW7" s="179">
        <f>IFERROR(VLOOKUP(ALW$1,PremiumIncome[[Ticker]:[Weight]],2,FALSE),0%)</f>
        <v>0</v>
      </c>
      <c r="ALX7" s="179">
        <f>IFERROR(VLOOKUP(ALX$1,PremiumIncome[[Ticker]:[Weight]],2,FALSE),0%)</f>
        <v>0</v>
      </c>
      <c r="ALY7" s="179">
        <f>IFERROR(VLOOKUP(ALY$1,PremiumIncome[[Ticker]:[Weight]],2,FALSE),0%)</f>
        <v>0</v>
      </c>
      <c r="ALZ7" s="179">
        <f>IFERROR(VLOOKUP(ALZ$1,PremiumIncome[[Ticker]:[Weight]],2,FALSE),0%)</f>
        <v>0</v>
      </c>
      <c r="AMA7" s="179">
        <f>IFERROR(VLOOKUP(AMA$1,PremiumIncome[[Ticker]:[Weight]],2,FALSE),0%)</f>
        <v>0</v>
      </c>
      <c r="AMB7" s="179">
        <f>IFERROR(VLOOKUP(AMB$1,PremiumIncome[[Ticker]:[Weight]],2,FALSE),0%)</f>
        <v>0</v>
      </c>
      <c r="AMC7" s="179">
        <f>IFERROR(VLOOKUP(AMC$1,PremiumIncome[[Ticker]:[Weight]],2,FALSE),0%)</f>
        <v>0</v>
      </c>
      <c r="AMD7" s="179">
        <f>IFERROR(VLOOKUP(AMD$1,PremiumIncome[[Ticker]:[Weight]],2,FALSE),0%)</f>
        <v>0</v>
      </c>
      <c r="AME7" s="179">
        <f>IFERROR(VLOOKUP(AME$1,PremiumIncome[[Ticker]:[Weight]],2,FALSE),0%)</f>
        <v>0</v>
      </c>
      <c r="AMF7" s="179">
        <f>IFERROR(VLOOKUP(AMF$1,PremiumIncome[[Ticker]:[Weight]],2,FALSE),0%)</f>
        <v>0</v>
      </c>
      <c r="AMG7" s="179">
        <f>IFERROR(VLOOKUP(AMG$1,PremiumIncome[[Ticker]:[Weight]],2,FALSE),0%)</f>
        <v>0</v>
      </c>
      <c r="AMH7" s="179">
        <f>IFERROR(VLOOKUP(AMH$1,PremiumIncome[[Ticker]:[Weight]],2,FALSE),0%)</f>
        <v>0</v>
      </c>
      <c r="AMI7" s="179">
        <f>IFERROR(VLOOKUP(AMI$1,PremiumIncome[[Ticker]:[Weight]],2,FALSE),0%)</f>
        <v>0</v>
      </c>
      <c r="AMJ7" s="179">
        <f>IFERROR(VLOOKUP(AMJ$1,PremiumIncome[[Ticker]:[Weight]],2,FALSE),0%)</f>
        <v>0</v>
      </c>
      <c r="AMK7" s="179">
        <f>IFERROR(VLOOKUP(AMK$1,PremiumIncome[[Ticker]:[Weight]],2,FALSE),0%)</f>
        <v>0</v>
      </c>
      <c r="AML7" s="179">
        <f>IFERROR(VLOOKUP(AML$1,PremiumIncome[[Ticker]:[Weight]],2,FALSE),0%)</f>
        <v>0</v>
      </c>
      <c r="AMM7" s="179">
        <f>IFERROR(VLOOKUP(AMM$1,PremiumIncome[[Ticker]:[Weight]],2,FALSE),0%)</f>
        <v>0</v>
      </c>
      <c r="AMN7" s="179">
        <f>IFERROR(VLOOKUP(AMN$1,PremiumIncome[[Ticker]:[Weight]],2,FALSE),0%)</f>
        <v>0</v>
      </c>
      <c r="AMO7" s="179">
        <f>IFERROR(VLOOKUP(AMO$1,PremiumIncome[[Ticker]:[Weight]],2,FALSE),0%)</f>
        <v>0</v>
      </c>
      <c r="AMP7" s="179">
        <f>IFERROR(VLOOKUP(AMP$1,PremiumIncome[[Ticker]:[Weight]],2,FALSE),0%)</f>
        <v>0</v>
      </c>
      <c r="AMQ7" s="179">
        <f>IFERROR(VLOOKUP(AMQ$1,PremiumIncome[[Ticker]:[Weight]],2,FALSE),0%)</f>
        <v>0</v>
      </c>
      <c r="AMR7" s="179">
        <f>IFERROR(VLOOKUP(AMR$1,PremiumIncome[[Ticker]:[Weight]],2,FALSE),0%)</f>
        <v>0</v>
      </c>
      <c r="AMS7" s="179">
        <f>IFERROR(VLOOKUP(AMS$1,PremiumIncome[[Ticker]:[Weight]],2,FALSE),0%)</f>
        <v>0</v>
      </c>
      <c r="AMT7" s="179">
        <f>IFERROR(VLOOKUP(AMT$1,PremiumIncome[[Ticker]:[Weight]],2,FALSE),0%)</f>
        <v>0</v>
      </c>
      <c r="AMU7" s="179">
        <f>IFERROR(VLOOKUP(AMU$1,PremiumIncome[[Ticker]:[Weight]],2,FALSE),0%)</f>
        <v>0</v>
      </c>
      <c r="AMV7" s="179">
        <f>IFERROR(VLOOKUP(AMV$1,PremiumIncome[[Ticker]:[Weight]],2,FALSE),0%)</f>
        <v>0</v>
      </c>
      <c r="AMW7" s="179">
        <f>IFERROR(VLOOKUP(AMW$1,PremiumIncome[[Ticker]:[Weight]],2,FALSE),0%)</f>
        <v>0</v>
      </c>
      <c r="AMX7" s="179">
        <f>IFERROR(VLOOKUP(AMX$1,PremiumIncome[[Ticker]:[Weight]],2,FALSE),0%)</f>
        <v>0</v>
      </c>
      <c r="AMY7" s="179">
        <f>IFERROR(VLOOKUP(AMY$1,PremiumIncome[[Ticker]:[Weight]],2,FALSE),0%)</f>
        <v>0</v>
      </c>
      <c r="AMZ7" s="179">
        <f>IFERROR(VLOOKUP(AMZ$1,PremiumIncome[[Ticker]:[Weight]],2,FALSE),0%)</f>
        <v>0</v>
      </c>
      <c r="ANA7" s="179">
        <f>IFERROR(VLOOKUP(ANA$1,PremiumIncome[[Ticker]:[Weight]],2,FALSE),0%)</f>
        <v>0</v>
      </c>
      <c r="ANB7" s="179">
        <f>IFERROR(VLOOKUP(ANB$1,PremiumIncome[[Ticker]:[Weight]],2,FALSE),0%)</f>
        <v>0</v>
      </c>
      <c r="ANC7" s="179">
        <f>IFERROR(VLOOKUP(ANC$1,PremiumIncome[[Ticker]:[Weight]],2,FALSE),0%)</f>
        <v>0</v>
      </c>
      <c r="AND7" s="179">
        <f>IFERROR(VLOOKUP(AND$1,PremiumIncome[[Ticker]:[Weight]],2,FALSE),0%)</f>
        <v>0</v>
      </c>
      <c r="ANE7" s="179">
        <f>IFERROR(VLOOKUP(ANE$1,PremiumIncome[[Ticker]:[Weight]],2,FALSE),0%)</f>
        <v>0</v>
      </c>
      <c r="ANF7" s="179">
        <f>IFERROR(VLOOKUP(ANF$1,PremiumIncome[[Ticker]:[Weight]],2,FALSE),0%)</f>
        <v>0</v>
      </c>
      <c r="ANG7" s="179">
        <f>IFERROR(VLOOKUP(ANG$1,PremiumIncome[[Ticker]:[Weight]],2,FALSE),0%)</f>
        <v>0</v>
      </c>
      <c r="ANH7" s="179">
        <f>IFERROR(VLOOKUP(ANH$1,PremiumIncome[[Ticker]:[Weight]],2,FALSE),0%)</f>
        <v>0</v>
      </c>
      <c r="ANI7" s="179">
        <f>IFERROR(VLOOKUP(ANI$1,PremiumIncome[[Ticker]:[Weight]],2,FALSE),0%)</f>
        <v>0</v>
      </c>
      <c r="ANJ7" s="179">
        <f>IFERROR(VLOOKUP(ANJ$1,PremiumIncome[[Ticker]:[Weight]],2,FALSE),0%)</f>
        <v>0</v>
      </c>
      <c r="ANK7" s="179">
        <f>IFERROR(VLOOKUP(ANK$1,PremiumIncome[[Ticker]:[Weight]],2,FALSE),0%)</f>
        <v>0</v>
      </c>
      <c r="ANL7" s="179">
        <f>IFERROR(VLOOKUP(ANL$1,PremiumIncome[[Ticker]:[Weight]],2,FALSE),0%)</f>
        <v>0</v>
      </c>
      <c r="ANM7" s="179">
        <f>IFERROR(VLOOKUP(ANM$1,PremiumIncome[[Ticker]:[Weight]],2,FALSE),0%)</f>
        <v>0</v>
      </c>
      <c r="ANN7" s="179">
        <f>IFERROR(VLOOKUP(ANN$1,PremiumIncome[[Ticker]:[Weight]],2,FALSE),0%)</f>
        <v>0</v>
      </c>
      <c r="ANO7" s="179">
        <f>IFERROR(VLOOKUP(ANO$1,PremiumIncome[[Ticker]:[Weight]],2,FALSE),0%)</f>
        <v>0</v>
      </c>
      <c r="ANP7" s="179">
        <f>IFERROR(VLOOKUP(ANP$1,PremiumIncome[[Ticker]:[Weight]],2,FALSE),0%)</f>
        <v>0</v>
      </c>
      <c r="ANQ7" s="179">
        <f>IFERROR(VLOOKUP(ANQ$1,PremiumIncome[[Ticker]:[Weight]],2,FALSE),0%)</f>
        <v>0</v>
      </c>
      <c r="ANR7" s="179">
        <f>IFERROR(VLOOKUP(ANR$1,PremiumIncome[[Ticker]:[Weight]],2,FALSE),0%)</f>
        <v>0</v>
      </c>
      <c r="ANS7" s="179">
        <f>IFERROR(VLOOKUP(ANS$1,PremiumIncome[[Ticker]:[Weight]],2,FALSE),0%)</f>
        <v>0</v>
      </c>
      <c r="ANT7" s="179">
        <f>IFERROR(VLOOKUP(ANT$1,PremiumIncome[[Ticker]:[Weight]],2,FALSE),0%)</f>
        <v>0</v>
      </c>
      <c r="ANU7" s="179">
        <f>IFERROR(VLOOKUP(ANU$1,PremiumIncome[[Ticker]:[Weight]],2,FALSE),0%)</f>
        <v>0</v>
      </c>
      <c r="ANV7" s="179">
        <f>IFERROR(VLOOKUP(ANV$1,PremiumIncome[[Ticker]:[Weight]],2,FALSE),0%)</f>
        <v>0</v>
      </c>
      <c r="ANW7" s="179">
        <f>IFERROR(VLOOKUP(ANW$1,PremiumIncome[[Ticker]:[Weight]],2,FALSE),0%)</f>
        <v>0</v>
      </c>
      <c r="ANX7" s="179">
        <f>IFERROR(VLOOKUP(ANX$1,PremiumIncome[[Ticker]:[Weight]],2,FALSE),0%)</f>
        <v>0</v>
      </c>
      <c r="ANY7" s="179">
        <f>IFERROR(VLOOKUP(ANY$1,PremiumIncome[[Ticker]:[Weight]],2,FALSE),0%)</f>
        <v>0</v>
      </c>
      <c r="ANZ7" s="179">
        <f>IFERROR(VLOOKUP(ANZ$1,PremiumIncome[[Ticker]:[Weight]],2,FALSE),0%)</f>
        <v>0</v>
      </c>
      <c r="AOA7" s="179">
        <f>IFERROR(VLOOKUP(AOA$1,PremiumIncome[[Ticker]:[Weight]],2,FALSE),0%)</f>
        <v>0</v>
      </c>
      <c r="AOB7" s="179">
        <f>IFERROR(VLOOKUP(AOB$1,PremiumIncome[[Ticker]:[Weight]],2,FALSE),0%)</f>
        <v>0</v>
      </c>
      <c r="AOC7" s="179">
        <f>IFERROR(VLOOKUP(AOC$1,PremiumIncome[[Ticker]:[Weight]],2,FALSE),0%)</f>
        <v>0</v>
      </c>
      <c r="AOD7" s="179">
        <f>IFERROR(VLOOKUP(AOD$1,PremiumIncome[[Ticker]:[Weight]],2,FALSE),0%)</f>
        <v>0</v>
      </c>
      <c r="AOE7" s="179">
        <f>IFERROR(VLOOKUP(AOE$1,PremiumIncome[[Ticker]:[Weight]],2,FALSE),0%)</f>
        <v>0</v>
      </c>
      <c r="AOF7" s="179">
        <f>IFERROR(VLOOKUP(AOF$1,PremiumIncome[[Ticker]:[Weight]],2,FALSE),0%)</f>
        <v>0</v>
      </c>
      <c r="AOG7" s="179">
        <f>IFERROR(VLOOKUP(AOG$1,PremiumIncome[[Ticker]:[Weight]],2,FALSE),0%)</f>
        <v>0</v>
      </c>
      <c r="AOH7" s="179">
        <f>IFERROR(VLOOKUP(AOH$1,PremiumIncome[[Ticker]:[Weight]],2,FALSE),0%)</f>
        <v>0</v>
      </c>
      <c r="AOI7" s="179">
        <f>IFERROR(VLOOKUP(AOI$1,PremiumIncome[[Ticker]:[Weight]],2,FALSE),0%)</f>
        <v>0</v>
      </c>
      <c r="AOJ7" s="179">
        <f>IFERROR(VLOOKUP(AOJ$1,PremiumIncome[[Ticker]:[Weight]],2,FALSE),0%)</f>
        <v>0</v>
      </c>
      <c r="AOK7" s="179">
        <f>IFERROR(VLOOKUP(AOK$1,PremiumIncome[[Ticker]:[Weight]],2,FALSE),0%)</f>
        <v>0</v>
      </c>
      <c r="AOL7" s="179">
        <f>IFERROR(VLOOKUP(AOL$1,PremiumIncome[[Ticker]:[Weight]],2,FALSE),0%)</f>
        <v>0</v>
      </c>
      <c r="AOM7" s="179">
        <f>IFERROR(VLOOKUP(AOM$1,PremiumIncome[[Ticker]:[Weight]],2,FALSE),0%)</f>
        <v>0</v>
      </c>
      <c r="AON7" s="179">
        <f>IFERROR(VLOOKUP(AON$1,PremiumIncome[[Ticker]:[Weight]],2,FALSE),0%)</f>
        <v>0</v>
      </c>
      <c r="AOO7" s="179">
        <f>IFERROR(VLOOKUP(AOO$1,PremiumIncome[[Ticker]:[Weight]],2,FALSE),0%)</f>
        <v>0</v>
      </c>
      <c r="AOP7" s="179">
        <f>IFERROR(VLOOKUP(AOP$1,PremiumIncome[[Ticker]:[Weight]],2,FALSE),0%)</f>
        <v>0</v>
      </c>
      <c r="AOQ7" s="179">
        <f>IFERROR(VLOOKUP(AOQ$1,PremiumIncome[[Ticker]:[Weight]],2,FALSE),0%)</f>
        <v>0</v>
      </c>
      <c r="AOR7" s="179">
        <f>IFERROR(VLOOKUP(AOR$1,PremiumIncome[[Ticker]:[Weight]],2,FALSE),0%)</f>
        <v>0</v>
      </c>
      <c r="AOS7" s="179">
        <f>IFERROR(VLOOKUP(AOS$1,PremiumIncome[[Ticker]:[Weight]],2,FALSE),0%)</f>
        <v>0</v>
      </c>
      <c r="AOT7" s="179">
        <f>IFERROR(VLOOKUP(AOT$1,PremiumIncome[[Ticker]:[Weight]],2,FALSE),0%)</f>
        <v>0</v>
      </c>
      <c r="AOU7" s="179">
        <f>IFERROR(VLOOKUP(AOU$1,PremiumIncome[[Ticker]:[Weight]],2,FALSE),0%)</f>
        <v>0</v>
      </c>
      <c r="AOV7" s="179">
        <f>IFERROR(VLOOKUP(AOV$1,PremiumIncome[[Ticker]:[Weight]],2,FALSE),0%)</f>
        <v>0</v>
      </c>
      <c r="AOW7" s="179">
        <f>IFERROR(VLOOKUP(AOW$1,PremiumIncome[[Ticker]:[Weight]],2,FALSE),0%)</f>
        <v>0</v>
      </c>
      <c r="AOX7" s="179">
        <f>IFERROR(VLOOKUP(AOX$1,PremiumIncome[[Ticker]:[Weight]],2,FALSE),0%)</f>
        <v>0</v>
      </c>
      <c r="AOY7" s="179">
        <f>IFERROR(VLOOKUP(AOY$1,PremiumIncome[[Ticker]:[Weight]],2,FALSE),0%)</f>
        <v>0</v>
      </c>
      <c r="AOZ7" s="179">
        <f>IFERROR(VLOOKUP(AOZ$1,PremiumIncome[[Ticker]:[Weight]],2,FALSE),0%)</f>
        <v>0</v>
      </c>
      <c r="APA7" s="179">
        <f>IFERROR(VLOOKUP(APA$1,PremiumIncome[[Ticker]:[Weight]],2,FALSE),0%)</f>
        <v>0</v>
      </c>
      <c r="APB7" s="179">
        <f>IFERROR(VLOOKUP(APB$1,PremiumIncome[[Ticker]:[Weight]],2,FALSE),0%)</f>
        <v>0</v>
      </c>
      <c r="APC7" s="179">
        <f>IFERROR(VLOOKUP(APC$1,PremiumIncome[[Ticker]:[Weight]],2,FALSE),0%)</f>
        <v>0</v>
      </c>
      <c r="APD7" s="179">
        <f>IFERROR(VLOOKUP(APD$1,PremiumIncome[[Ticker]:[Weight]],2,FALSE),0%)</f>
        <v>0</v>
      </c>
      <c r="APE7" s="179">
        <f>IFERROR(VLOOKUP(APE$1,PremiumIncome[[Ticker]:[Weight]],2,FALSE),0%)</f>
        <v>0</v>
      </c>
      <c r="APF7" s="179">
        <f>IFERROR(VLOOKUP(APF$1,PremiumIncome[[Ticker]:[Weight]],2,FALSE),0%)</f>
        <v>0</v>
      </c>
      <c r="APG7" s="179">
        <f>IFERROR(VLOOKUP(APG$1,PremiumIncome[[Ticker]:[Weight]],2,FALSE),0%)</f>
        <v>0</v>
      </c>
      <c r="APH7" s="179">
        <f>IFERROR(VLOOKUP(APH$1,PremiumIncome[[Ticker]:[Weight]],2,FALSE),0%)</f>
        <v>0</v>
      </c>
      <c r="API7" s="179">
        <f>IFERROR(VLOOKUP(API$1,PremiumIncome[[Ticker]:[Weight]],2,FALSE),0%)</f>
        <v>0</v>
      </c>
      <c r="APJ7" s="179">
        <f>IFERROR(VLOOKUP(APJ$1,PremiumIncome[[Ticker]:[Weight]],2,FALSE),0%)</f>
        <v>0</v>
      </c>
      <c r="APK7" s="179">
        <f>IFERROR(VLOOKUP(APK$1,PremiumIncome[[Ticker]:[Weight]],2,FALSE),0%)</f>
        <v>0</v>
      </c>
      <c r="APL7" s="179">
        <f>IFERROR(VLOOKUP(APL$1,PremiumIncome[[Ticker]:[Weight]],2,FALSE),0%)</f>
        <v>0</v>
      </c>
      <c r="APM7" s="179">
        <f>IFERROR(VLOOKUP(APM$1,PremiumIncome[[Ticker]:[Weight]],2,FALSE),0%)</f>
        <v>0</v>
      </c>
      <c r="APN7" s="179">
        <f>IFERROR(VLOOKUP(APN$1,PremiumIncome[[Ticker]:[Weight]],2,FALSE),0%)</f>
        <v>0</v>
      </c>
      <c r="APO7" s="179">
        <f>IFERROR(VLOOKUP(APO$1,PremiumIncome[[Ticker]:[Weight]],2,FALSE),0%)</f>
        <v>0</v>
      </c>
      <c r="APP7" s="179">
        <f>IFERROR(VLOOKUP(APP$1,PremiumIncome[[Ticker]:[Weight]],2,FALSE),0%)</f>
        <v>0</v>
      </c>
      <c r="APQ7" s="179">
        <f>IFERROR(VLOOKUP(APQ$1,PremiumIncome[[Ticker]:[Weight]],2,FALSE),0%)</f>
        <v>0</v>
      </c>
      <c r="APR7" s="179">
        <f>IFERROR(VLOOKUP(APR$1,PremiumIncome[[Ticker]:[Weight]],2,FALSE),0%)</f>
        <v>0</v>
      </c>
      <c r="APS7" s="179">
        <f>IFERROR(VLOOKUP(APS$1,PremiumIncome[[Ticker]:[Weight]],2,FALSE),0%)</f>
        <v>0</v>
      </c>
      <c r="APT7" s="179">
        <f>IFERROR(VLOOKUP(APT$1,PremiumIncome[[Ticker]:[Weight]],2,FALSE),0%)</f>
        <v>0</v>
      </c>
      <c r="APU7" s="179">
        <f>IFERROR(VLOOKUP(APU$1,PremiumIncome[[Ticker]:[Weight]],2,FALSE),0%)</f>
        <v>0</v>
      </c>
      <c r="APV7" s="179">
        <f>IFERROR(VLOOKUP(APV$1,PremiumIncome[[Ticker]:[Weight]],2,FALSE),0%)</f>
        <v>0</v>
      </c>
      <c r="APW7" s="179">
        <f>IFERROR(VLOOKUP(APW$1,PremiumIncome[[Ticker]:[Weight]],2,FALSE),0%)</f>
        <v>0</v>
      </c>
      <c r="APX7" s="179">
        <f>IFERROR(VLOOKUP(APX$1,PremiumIncome[[Ticker]:[Weight]],2,FALSE),0%)</f>
        <v>0</v>
      </c>
      <c r="APY7" s="179">
        <f>IFERROR(VLOOKUP(APY$1,PremiumIncome[[Ticker]:[Weight]],2,FALSE),0%)</f>
        <v>0</v>
      </c>
      <c r="APZ7" s="179">
        <f>IFERROR(VLOOKUP(APZ$1,PremiumIncome[[Ticker]:[Weight]],2,FALSE),0%)</f>
        <v>0</v>
      </c>
      <c r="AQA7" s="179">
        <f>IFERROR(VLOOKUP(AQA$1,PremiumIncome[[Ticker]:[Weight]],2,FALSE),0%)</f>
        <v>0</v>
      </c>
      <c r="AQB7" s="179">
        <f>IFERROR(VLOOKUP(AQB$1,PremiumIncome[[Ticker]:[Weight]],2,FALSE),0%)</f>
        <v>0</v>
      </c>
      <c r="AQC7" s="179">
        <f>IFERROR(VLOOKUP(AQC$1,PremiumIncome[[Ticker]:[Weight]],2,FALSE),0%)</f>
        <v>0</v>
      </c>
      <c r="AQD7" s="179">
        <f>IFERROR(VLOOKUP(AQD$1,PremiumIncome[[Ticker]:[Weight]],2,FALSE),0%)</f>
        <v>0</v>
      </c>
      <c r="AQE7" s="179">
        <f>IFERROR(VLOOKUP(AQE$1,PremiumIncome[[Ticker]:[Weight]],2,FALSE),0%)</f>
        <v>0</v>
      </c>
      <c r="AQF7" s="179">
        <f>IFERROR(VLOOKUP(AQF$1,PremiumIncome[[Ticker]:[Weight]],2,FALSE),0%)</f>
        <v>0</v>
      </c>
      <c r="AQG7" s="179">
        <f>IFERROR(VLOOKUP(AQG$1,PremiumIncome[[Ticker]:[Weight]],2,FALSE),0%)</f>
        <v>0</v>
      </c>
      <c r="AQH7" s="179">
        <f>IFERROR(VLOOKUP(AQH$1,PremiumIncome[[Ticker]:[Weight]],2,FALSE),0%)</f>
        <v>0</v>
      </c>
      <c r="AQI7" s="179">
        <f>IFERROR(VLOOKUP(AQI$1,PremiumIncome[[Ticker]:[Weight]],2,FALSE),0%)</f>
        <v>0</v>
      </c>
      <c r="AQJ7" s="179">
        <f>IFERROR(VLOOKUP(AQJ$1,PremiumIncome[[Ticker]:[Weight]],2,FALSE),0%)</f>
        <v>0</v>
      </c>
      <c r="AQK7" s="179">
        <f>IFERROR(VLOOKUP(AQK$1,PremiumIncome[[Ticker]:[Weight]],2,FALSE),0%)</f>
        <v>0</v>
      </c>
      <c r="AQL7" s="179">
        <f>IFERROR(VLOOKUP(AQL$1,PremiumIncome[[Ticker]:[Weight]],2,FALSE),0%)</f>
        <v>0</v>
      </c>
      <c r="AQM7" s="179">
        <f>IFERROR(VLOOKUP(AQM$1,PremiumIncome[[Ticker]:[Weight]],2,FALSE),0%)</f>
        <v>0</v>
      </c>
      <c r="AQN7" s="179">
        <f>IFERROR(VLOOKUP(AQN$1,PremiumIncome[[Ticker]:[Weight]],2,FALSE),0%)</f>
        <v>0</v>
      </c>
      <c r="AQO7" s="179">
        <f>IFERROR(VLOOKUP(AQO$1,PremiumIncome[[Ticker]:[Weight]],2,FALSE),0%)</f>
        <v>0</v>
      </c>
      <c r="AQP7" s="179">
        <f>IFERROR(VLOOKUP(AQP$1,PremiumIncome[[Ticker]:[Weight]],2,FALSE),0%)</f>
        <v>0</v>
      </c>
      <c r="AQQ7" s="179">
        <f>IFERROR(VLOOKUP(AQQ$1,PremiumIncome[[Ticker]:[Weight]],2,FALSE),0%)</f>
        <v>0</v>
      </c>
      <c r="AQR7" s="179">
        <f>IFERROR(VLOOKUP(AQR$1,PremiumIncome[[Ticker]:[Weight]],2,FALSE),0%)</f>
        <v>0</v>
      </c>
      <c r="AQS7" s="179">
        <f>IFERROR(VLOOKUP(AQS$1,PremiumIncome[[Ticker]:[Weight]],2,FALSE),0%)</f>
        <v>0</v>
      </c>
      <c r="AQT7" s="179">
        <f>IFERROR(VLOOKUP(AQT$1,PremiumIncome[[Ticker]:[Weight]],2,FALSE),0%)</f>
        <v>0</v>
      </c>
      <c r="AQU7" s="179">
        <f>IFERROR(VLOOKUP(AQU$1,PremiumIncome[[Ticker]:[Weight]],2,FALSE),0%)</f>
        <v>0</v>
      </c>
      <c r="AQV7" s="179">
        <f>IFERROR(VLOOKUP(AQV$1,PremiumIncome[[Ticker]:[Weight]],2,FALSE),0%)</f>
        <v>0</v>
      </c>
      <c r="AQW7" s="179">
        <f>IFERROR(VLOOKUP(AQW$1,PremiumIncome[[Ticker]:[Weight]],2,FALSE),0%)</f>
        <v>0</v>
      </c>
      <c r="AQX7" s="179">
        <f>IFERROR(VLOOKUP(AQX$1,PremiumIncome[[Ticker]:[Weight]],2,FALSE),0%)</f>
        <v>0</v>
      </c>
      <c r="AQY7" s="179">
        <f>IFERROR(VLOOKUP(AQY$1,PremiumIncome[[Ticker]:[Weight]],2,FALSE),0%)</f>
        <v>0</v>
      </c>
      <c r="AQZ7" s="179">
        <f>IFERROR(VLOOKUP(AQZ$1,PremiumIncome[[Ticker]:[Weight]],2,FALSE),0%)</f>
        <v>0</v>
      </c>
      <c r="ARA7" s="179">
        <f>IFERROR(VLOOKUP(ARA$1,PremiumIncome[[Ticker]:[Weight]],2,FALSE),0%)</f>
        <v>0</v>
      </c>
      <c r="ARB7" s="179">
        <f>IFERROR(VLOOKUP(ARB$1,PremiumIncome[[Ticker]:[Weight]],2,FALSE),0%)</f>
        <v>0</v>
      </c>
      <c r="ARC7" s="179">
        <f>IFERROR(VLOOKUP(ARC$1,PremiumIncome[[Ticker]:[Weight]],2,FALSE),0%)</f>
        <v>0</v>
      </c>
      <c r="ARD7" s="179">
        <f>IFERROR(VLOOKUP(ARD$1,PremiumIncome[[Ticker]:[Weight]],2,FALSE),0%)</f>
        <v>0</v>
      </c>
      <c r="ARE7" s="179">
        <f>IFERROR(VLOOKUP(ARE$1,PremiumIncome[[Ticker]:[Weight]],2,FALSE),0%)</f>
        <v>0</v>
      </c>
      <c r="ARF7" s="179">
        <f>IFERROR(VLOOKUP(ARF$1,PremiumIncome[[Ticker]:[Weight]],2,FALSE),0%)</f>
        <v>0</v>
      </c>
      <c r="ARG7" s="179">
        <f>IFERROR(VLOOKUP(ARG$1,PremiumIncome[[Ticker]:[Weight]],2,FALSE),0%)</f>
        <v>0</v>
      </c>
      <c r="ARH7" s="179">
        <f>IFERROR(VLOOKUP(ARH$1,PremiumIncome[[Ticker]:[Weight]],2,FALSE),0%)</f>
        <v>0</v>
      </c>
      <c r="ARI7" s="179">
        <f>IFERROR(VLOOKUP(ARI$1,PremiumIncome[[Ticker]:[Weight]],2,FALSE),0%)</f>
        <v>0</v>
      </c>
      <c r="ARJ7" s="179">
        <f>IFERROR(VLOOKUP(ARJ$1,PremiumIncome[[Ticker]:[Weight]],2,FALSE),0%)</f>
        <v>0</v>
      </c>
      <c r="ARK7" s="179">
        <f>IFERROR(VLOOKUP(ARK$1,PremiumIncome[[Ticker]:[Weight]],2,FALSE),0%)</f>
        <v>0</v>
      </c>
      <c r="ARL7" s="179">
        <f>IFERROR(VLOOKUP(ARL$1,PremiumIncome[[Ticker]:[Weight]],2,FALSE),0%)</f>
        <v>0</v>
      </c>
      <c r="ARM7" s="179">
        <f>IFERROR(VLOOKUP(ARM$1,PremiumIncome[[Ticker]:[Weight]],2,FALSE),0%)</f>
        <v>0</v>
      </c>
      <c r="ARN7" s="179">
        <f>IFERROR(VLOOKUP(ARN$1,PremiumIncome[[Ticker]:[Weight]],2,FALSE),0%)</f>
        <v>0</v>
      </c>
      <c r="ARO7" s="179">
        <f>IFERROR(VLOOKUP(ARO$1,PremiumIncome[[Ticker]:[Weight]],2,FALSE),0%)</f>
        <v>0</v>
      </c>
      <c r="ARP7" s="179">
        <f>IFERROR(VLOOKUP(ARP$1,PremiumIncome[[Ticker]:[Weight]],2,FALSE),0%)</f>
        <v>0</v>
      </c>
      <c r="ARQ7" s="179">
        <f>IFERROR(VLOOKUP(ARQ$1,PremiumIncome[[Ticker]:[Weight]],2,FALSE),0%)</f>
        <v>0</v>
      </c>
      <c r="ARR7" s="179">
        <f>IFERROR(VLOOKUP(ARR$1,PremiumIncome[[Ticker]:[Weight]],2,FALSE),0%)</f>
        <v>0</v>
      </c>
      <c r="ARS7" s="179">
        <f>IFERROR(VLOOKUP(ARS$1,PremiumIncome[[Ticker]:[Weight]],2,FALSE),0%)</f>
        <v>0</v>
      </c>
      <c r="ART7" s="179">
        <f>IFERROR(VLOOKUP(ART$1,PremiumIncome[[Ticker]:[Weight]],2,FALSE),0%)</f>
        <v>0</v>
      </c>
      <c r="ARU7" s="179">
        <f>IFERROR(VLOOKUP(ARU$1,PremiumIncome[[Ticker]:[Weight]],2,FALSE),0%)</f>
        <v>0</v>
      </c>
      <c r="ARV7" s="179">
        <f>IFERROR(VLOOKUP(ARV$1,PremiumIncome[[Ticker]:[Weight]],2,FALSE),0%)</f>
        <v>0</v>
      </c>
      <c r="ARW7" s="179">
        <f>IFERROR(VLOOKUP(ARW$1,PremiumIncome[[Ticker]:[Weight]],2,FALSE),0%)</f>
        <v>0</v>
      </c>
      <c r="ARX7" s="179">
        <f>IFERROR(VLOOKUP(ARX$1,PremiumIncome[[Ticker]:[Weight]],2,FALSE),0%)</f>
        <v>0</v>
      </c>
      <c r="ARY7" s="179">
        <f>IFERROR(VLOOKUP(ARY$1,PremiumIncome[[Ticker]:[Weight]],2,FALSE),0%)</f>
        <v>0</v>
      </c>
      <c r="ARZ7" s="179">
        <f>IFERROR(VLOOKUP(ARZ$1,PremiumIncome[[Ticker]:[Weight]],2,FALSE),0%)</f>
        <v>0</v>
      </c>
      <c r="ASA7" s="179">
        <f>IFERROR(VLOOKUP(ASA$1,PremiumIncome[[Ticker]:[Weight]],2,FALSE),0%)</f>
        <v>0</v>
      </c>
      <c r="ASB7" s="179">
        <f>IFERROR(VLOOKUP(ASB$1,PremiumIncome[[Ticker]:[Weight]],2,FALSE),0%)</f>
        <v>0</v>
      </c>
      <c r="ASC7" s="179">
        <f>IFERROR(VLOOKUP(ASC$1,PremiumIncome[[Ticker]:[Weight]],2,FALSE),0%)</f>
        <v>0</v>
      </c>
      <c r="ASD7" s="179">
        <f>IFERROR(VLOOKUP(ASD$1,PremiumIncome[[Ticker]:[Weight]],2,FALSE),0%)</f>
        <v>0</v>
      </c>
      <c r="ASE7" s="179">
        <f>IFERROR(VLOOKUP(ASE$1,PremiumIncome[[Ticker]:[Weight]],2,FALSE),0%)</f>
        <v>0</v>
      </c>
      <c r="ASF7" s="179">
        <f>IFERROR(VLOOKUP(ASF$1,PremiumIncome[[Ticker]:[Weight]],2,FALSE),0%)</f>
        <v>0</v>
      </c>
      <c r="ASG7" s="179">
        <f>IFERROR(VLOOKUP(ASG$1,PremiumIncome[[Ticker]:[Weight]],2,FALSE),0%)</f>
        <v>0</v>
      </c>
      <c r="ASH7" s="179">
        <f>IFERROR(VLOOKUP(ASH$1,PremiumIncome[[Ticker]:[Weight]],2,FALSE),0%)</f>
        <v>0</v>
      </c>
      <c r="ASI7" s="179">
        <f>IFERROR(VLOOKUP(ASI$1,PremiumIncome[[Ticker]:[Weight]],2,FALSE),0%)</f>
        <v>0</v>
      </c>
      <c r="ASJ7" s="179">
        <f>IFERROR(VLOOKUP(ASJ$1,PremiumIncome[[Ticker]:[Weight]],2,FALSE),0%)</f>
        <v>0</v>
      </c>
      <c r="ASK7" s="179">
        <f>IFERROR(VLOOKUP(ASK$1,PremiumIncome[[Ticker]:[Weight]],2,FALSE),0%)</f>
        <v>0</v>
      </c>
      <c r="ASL7" s="179">
        <f>IFERROR(VLOOKUP(ASL$1,PremiumIncome[[Ticker]:[Weight]],2,FALSE),0%)</f>
        <v>0</v>
      </c>
      <c r="ASM7" s="179">
        <f>IFERROR(VLOOKUP(ASM$1,PremiumIncome[[Ticker]:[Weight]],2,FALSE),0%)</f>
        <v>0</v>
      </c>
      <c r="ASN7" s="179">
        <f>IFERROR(VLOOKUP(ASN$1,PremiumIncome[[Ticker]:[Weight]],2,FALSE),0%)</f>
        <v>0</v>
      </c>
      <c r="ASO7" s="179">
        <f>IFERROR(VLOOKUP(ASO$1,PremiumIncome[[Ticker]:[Weight]],2,FALSE),0%)</f>
        <v>0</v>
      </c>
      <c r="ASP7" s="179">
        <f>IFERROR(VLOOKUP(ASP$1,PremiumIncome[[Ticker]:[Weight]],2,FALSE),0%)</f>
        <v>0</v>
      </c>
      <c r="ASQ7" s="179">
        <f>IFERROR(VLOOKUP(ASQ$1,PremiumIncome[[Ticker]:[Weight]],2,FALSE),0%)</f>
        <v>0</v>
      </c>
      <c r="ASR7" s="179">
        <f>IFERROR(VLOOKUP(ASR$1,PremiumIncome[[Ticker]:[Weight]],2,FALSE),0%)</f>
        <v>0</v>
      </c>
      <c r="ASS7" s="179">
        <f>IFERROR(VLOOKUP(ASS$1,PremiumIncome[[Ticker]:[Weight]],2,FALSE),0%)</f>
        <v>0</v>
      </c>
      <c r="AST7" s="179">
        <f>IFERROR(VLOOKUP(AST$1,PremiumIncome[[Ticker]:[Weight]],2,FALSE),0%)</f>
        <v>0</v>
      </c>
      <c r="ASU7" s="179">
        <f>IFERROR(VLOOKUP(ASU$1,PremiumIncome[[Ticker]:[Weight]],2,FALSE),0%)</f>
        <v>0</v>
      </c>
      <c r="ASV7" s="179">
        <f>IFERROR(VLOOKUP(ASV$1,PremiumIncome[[Ticker]:[Weight]],2,FALSE),0%)</f>
        <v>0</v>
      </c>
      <c r="ASW7" s="179">
        <f>IFERROR(VLOOKUP(ASW$1,PremiumIncome[[Ticker]:[Weight]],2,FALSE),0%)</f>
        <v>0</v>
      </c>
      <c r="ASX7" s="179">
        <f>IFERROR(VLOOKUP(ASX$1,PremiumIncome[[Ticker]:[Weight]],2,FALSE),0%)</f>
        <v>0</v>
      </c>
      <c r="ASY7" s="179">
        <f>IFERROR(VLOOKUP(ASY$1,PremiumIncome[[Ticker]:[Weight]],2,FALSE),0%)</f>
        <v>0</v>
      </c>
      <c r="ASZ7" s="179">
        <f>IFERROR(VLOOKUP(ASZ$1,PremiumIncome[[Ticker]:[Weight]],2,FALSE),0%)</f>
        <v>0</v>
      </c>
      <c r="ATA7" s="179">
        <f>IFERROR(VLOOKUP(ATA$1,PremiumIncome[[Ticker]:[Weight]],2,FALSE),0%)</f>
        <v>0</v>
      </c>
      <c r="ATB7" s="179">
        <f>IFERROR(VLOOKUP(ATB$1,PremiumIncome[[Ticker]:[Weight]],2,FALSE),0%)</f>
        <v>0</v>
      </c>
      <c r="ATC7" s="179">
        <f>IFERROR(VLOOKUP(ATC$1,PremiumIncome[[Ticker]:[Weight]],2,FALSE),0%)</f>
        <v>0</v>
      </c>
      <c r="ATD7" s="179">
        <f>IFERROR(VLOOKUP(ATD$1,PremiumIncome[[Ticker]:[Weight]],2,FALSE),0%)</f>
        <v>0</v>
      </c>
      <c r="ATE7" s="179">
        <f>IFERROR(VLOOKUP(ATE$1,PremiumIncome[[Ticker]:[Weight]],2,FALSE),0%)</f>
        <v>0</v>
      </c>
      <c r="ATF7" s="179">
        <f>IFERROR(VLOOKUP(ATF$1,PremiumIncome[[Ticker]:[Weight]],2,FALSE),0%)</f>
        <v>0</v>
      </c>
      <c r="ATG7" s="179">
        <f>IFERROR(VLOOKUP(ATG$1,PremiumIncome[[Ticker]:[Weight]],2,FALSE),0%)</f>
        <v>0</v>
      </c>
      <c r="ATH7" s="179">
        <f>IFERROR(VLOOKUP(ATH$1,PremiumIncome[[Ticker]:[Weight]],2,FALSE),0%)</f>
        <v>0</v>
      </c>
      <c r="ATI7" s="179">
        <f>IFERROR(VLOOKUP(ATI$1,PremiumIncome[[Ticker]:[Weight]],2,FALSE),0%)</f>
        <v>0</v>
      </c>
      <c r="ATJ7" s="179">
        <f>IFERROR(VLOOKUP(ATJ$1,PremiumIncome[[Ticker]:[Weight]],2,FALSE),0%)</f>
        <v>0</v>
      </c>
      <c r="ATK7" s="179">
        <f>IFERROR(VLOOKUP(ATK$1,PremiumIncome[[Ticker]:[Weight]],2,FALSE),0%)</f>
        <v>0</v>
      </c>
      <c r="ATL7" s="179">
        <f>IFERROR(VLOOKUP(ATL$1,PremiumIncome[[Ticker]:[Weight]],2,FALSE),0%)</f>
        <v>0</v>
      </c>
      <c r="ATM7" s="179">
        <f>IFERROR(VLOOKUP(ATM$1,PremiumIncome[[Ticker]:[Weight]],2,FALSE),0%)</f>
        <v>0</v>
      </c>
      <c r="ATN7" s="179">
        <f>IFERROR(VLOOKUP(ATN$1,PremiumIncome[[Ticker]:[Weight]],2,FALSE),0%)</f>
        <v>0</v>
      </c>
      <c r="ATO7" s="179">
        <f>IFERROR(VLOOKUP(ATO$1,PremiumIncome[[Ticker]:[Weight]],2,FALSE),0%)</f>
        <v>0</v>
      </c>
      <c r="ATP7" s="179">
        <f>IFERROR(VLOOKUP(ATP$1,PremiumIncome[[Ticker]:[Weight]],2,FALSE),0%)</f>
        <v>0</v>
      </c>
      <c r="ATQ7" s="179">
        <f>IFERROR(VLOOKUP(ATQ$1,PremiumIncome[[Ticker]:[Weight]],2,FALSE),0%)</f>
        <v>0</v>
      </c>
      <c r="ATR7" s="179">
        <f>IFERROR(VLOOKUP(ATR$1,PremiumIncome[[Ticker]:[Weight]],2,FALSE),0%)</f>
        <v>0</v>
      </c>
      <c r="ATS7" s="179">
        <f>IFERROR(VLOOKUP(ATS$1,PremiumIncome[[Ticker]:[Weight]],2,FALSE),0%)</f>
        <v>0</v>
      </c>
      <c r="ATT7" s="179">
        <f>IFERROR(VLOOKUP(ATT$1,PremiumIncome[[Ticker]:[Weight]],2,FALSE),0%)</f>
        <v>0</v>
      </c>
      <c r="ATU7" s="179">
        <f>IFERROR(VLOOKUP(ATU$1,PremiumIncome[[Ticker]:[Weight]],2,FALSE),0%)</f>
        <v>0</v>
      </c>
      <c r="ATV7" s="179">
        <f>IFERROR(VLOOKUP(ATV$1,PremiumIncome[[Ticker]:[Weight]],2,FALSE),0%)</f>
        <v>0</v>
      </c>
      <c r="ATW7" s="179">
        <f>IFERROR(VLOOKUP(ATW$1,PremiumIncome[[Ticker]:[Weight]],2,FALSE),0%)</f>
        <v>0</v>
      </c>
      <c r="ATX7" s="179">
        <f>IFERROR(VLOOKUP(ATX$1,PremiumIncome[[Ticker]:[Weight]],2,FALSE),0%)</f>
        <v>0</v>
      </c>
      <c r="ATY7" s="179">
        <f>IFERROR(VLOOKUP(ATY$1,PremiumIncome[[Ticker]:[Weight]],2,FALSE),0%)</f>
        <v>0</v>
      </c>
      <c r="ATZ7" s="179">
        <f>IFERROR(VLOOKUP(ATZ$1,PremiumIncome[[Ticker]:[Weight]],2,FALSE),0%)</f>
        <v>0</v>
      </c>
      <c r="AUA7" s="179">
        <f>IFERROR(VLOOKUP(AUA$1,PremiumIncome[[Ticker]:[Weight]],2,FALSE),0%)</f>
        <v>0</v>
      </c>
      <c r="AUB7" s="179">
        <f>IFERROR(VLOOKUP(AUB$1,PremiumIncome[[Ticker]:[Weight]],2,FALSE),0%)</f>
        <v>0</v>
      </c>
      <c r="AUC7" s="179">
        <f>IFERROR(VLOOKUP(AUC$1,PremiumIncome[[Ticker]:[Weight]],2,FALSE),0%)</f>
        <v>0</v>
      </c>
      <c r="AUD7" s="179">
        <f>IFERROR(VLOOKUP(AUD$1,PremiumIncome[[Ticker]:[Weight]],2,FALSE),0%)</f>
        <v>0</v>
      </c>
      <c r="AUE7" s="179">
        <f>IFERROR(VLOOKUP(AUE$1,PremiumIncome[[Ticker]:[Weight]],2,FALSE),0%)</f>
        <v>0</v>
      </c>
      <c r="AUF7" s="179">
        <f>IFERROR(VLOOKUP(AUF$1,PremiumIncome[[Ticker]:[Weight]],2,FALSE),0%)</f>
        <v>0</v>
      </c>
      <c r="AUG7" s="179">
        <f>IFERROR(VLOOKUP(AUG$1,PremiumIncome[[Ticker]:[Weight]],2,FALSE),0%)</f>
        <v>0</v>
      </c>
      <c r="AUH7" s="179">
        <f>IFERROR(VLOOKUP(AUH$1,PremiumIncome[[Ticker]:[Weight]],2,FALSE),0%)</f>
        <v>0</v>
      </c>
      <c r="AUI7" s="179">
        <f>IFERROR(VLOOKUP(AUI$1,PremiumIncome[[Ticker]:[Weight]],2,FALSE),0%)</f>
        <v>0</v>
      </c>
      <c r="AUJ7" s="179">
        <f>IFERROR(VLOOKUP(AUJ$1,PremiumIncome[[Ticker]:[Weight]],2,FALSE),0%)</f>
        <v>0</v>
      </c>
      <c r="AUK7" s="179">
        <f>IFERROR(VLOOKUP(AUK$1,PremiumIncome[[Ticker]:[Weight]],2,FALSE),0%)</f>
        <v>0</v>
      </c>
      <c r="AUL7" s="179">
        <f>IFERROR(VLOOKUP(AUL$1,PremiumIncome[[Ticker]:[Weight]],2,FALSE),0%)</f>
        <v>0</v>
      </c>
      <c r="AUM7" s="179">
        <f>IFERROR(VLOOKUP(AUM$1,PremiumIncome[[Ticker]:[Weight]],2,FALSE),0%)</f>
        <v>0</v>
      </c>
      <c r="AUN7" s="179">
        <f>IFERROR(VLOOKUP(AUN$1,PremiumIncome[[Ticker]:[Weight]],2,FALSE),0%)</f>
        <v>0</v>
      </c>
      <c r="AUO7" s="179">
        <f>IFERROR(VLOOKUP(AUO$1,PremiumIncome[[Ticker]:[Weight]],2,FALSE),0%)</f>
        <v>0</v>
      </c>
      <c r="AUP7" s="179">
        <f>IFERROR(VLOOKUP(AUP$1,PremiumIncome[[Ticker]:[Weight]],2,FALSE),0%)</f>
        <v>0</v>
      </c>
      <c r="AUQ7" s="179">
        <f>IFERROR(VLOOKUP(AUQ$1,PremiumIncome[[Ticker]:[Weight]],2,FALSE),0%)</f>
        <v>0</v>
      </c>
      <c r="AUR7" s="179">
        <f>IFERROR(VLOOKUP(AUR$1,PremiumIncome[[Ticker]:[Weight]],2,FALSE),0%)</f>
        <v>0</v>
      </c>
      <c r="AUS7" s="179">
        <f>IFERROR(VLOOKUP(AUS$1,PremiumIncome[[Ticker]:[Weight]],2,FALSE),0%)</f>
        <v>0</v>
      </c>
      <c r="AUT7" s="179">
        <f>IFERROR(VLOOKUP(AUT$1,PremiumIncome[[Ticker]:[Weight]],2,FALSE),0%)</f>
        <v>0</v>
      </c>
      <c r="AUU7" s="179">
        <f>IFERROR(VLOOKUP(AUU$1,PremiumIncome[[Ticker]:[Weight]],2,FALSE),0%)</f>
        <v>0</v>
      </c>
      <c r="AUV7" s="179">
        <f>IFERROR(VLOOKUP(AUV$1,PremiumIncome[[Ticker]:[Weight]],2,FALSE),0%)</f>
        <v>0</v>
      </c>
      <c r="AUW7" s="179">
        <f>IFERROR(VLOOKUP(AUW$1,PremiumIncome[[Ticker]:[Weight]],2,FALSE),0%)</f>
        <v>0</v>
      </c>
      <c r="AUX7" s="179">
        <f>IFERROR(VLOOKUP(AUX$1,PremiumIncome[[Ticker]:[Weight]],2,FALSE),0%)</f>
        <v>0</v>
      </c>
      <c r="AUY7" s="179">
        <f>IFERROR(VLOOKUP(AUY$1,PremiumIncome[[Ticker]:[Weight]],2,FALSE),0%)</f>
        <v>0</v>
      </c>
      <c r="AUZ7" s="179">
        <f>IFERROR(VLOOKUP(AUZ$1,PremiumIncome[[Ticker]:[Weight]],2,FALSE),0%)</f>
        <v>0</v>
      </c>
      <c r="AVA7" s="179">
        <f>IFERROR(VLOOKUP(AVA$1,PremiumIncome[[Ticker]:[Weight]],2,FALSE),0%)</f>
        <v>0</v>
      </c>
      <c r="AVB7" s="179">
        <f>IFERROR(VLOOKUP(AVB$1,PremiumIncome[[Ticker]:[Weight]],2,FALSE),0%)</f>
        <v>0</v>
      </c>
      <c r="AVC7" s="179">
        <f>IFERROR(VLOOKUP(AVC$1,PremiumIncome[[Ticker]:[Weight]],2,FALSE),0%)</f>
        <v>0</v>
      </c>
      <c r="AVD7" s="179">
        <f>IFERROR(VLOOKUP(AVD$1,PremiumIncome[[Ticker]:[Weight]],2,FALSE),0%)</f>
        <v>0</v>
      </c>
      <c r="AVE7" s="179">
        <f>IFERROR(VLOOKUP(AVE$1,PremiumIncome[[Ticker]:[Weight]],2,FALSE),0%)</f>
        <v>0</v>
      </c>
      <c r="AVF7" s="179">
        <f>IFERROR(VLOOKUP(AVF$1,PremiumIncome[[Ticker]:[Weight]],2,FALSE),0%)</f>
        <v>0</v>
      </c>
      <c r="AVG7" s="179">
        <f>IFERROR(VLOOKUP(AVG$1,PremiumIncome[[Ticker]:[Weight]],2,FALSE),0%)</f>
        <v>0</v>
      </c>
      <c r="AVH7" s="179">
        <f>IFERROR(VLOOKUP(AVH$1,PremiumIncome[[Ticker]:[Weight]],2,FALSE),0%)</f>
        <v>0</v>
      </c>
      <c r="AVI7" s="179">
        <f>IFERROR(VLOOKUP(AVI$1,PremiumIncome[[Ticker]:[Weight]],2,FALSE),0%)</f>
        <v>0</v>
      </c>
      <c r="AVJ7" s="179">
        <f>IFERROR(VLOOKUP(AVJ$1,PremiumIncome[[Ticker]:[Weight]],2,FALSE),0%)</f>
        <v>0</v>
      </c>
      <c r="AVK7" s="179">
        <f>IFERROR(VLOOKUP(AVK$1,PremiumIncome[[Ticker]:[Weight]],2,FALSE),0%)</f>
        <v>0</v>
      </c>
      <c r="AVL7" s="179">
        <f>IFERROR(VLOOKUP(AVL$1,PremiumIncome[[Ticker]:[Weight]],2,FALSE),0%)</f>
        <v>0</v>
      </c>
      <c r="AVM7" s="179">
        <f>IFERROR(VLOOKUP(AVM$1,PremiumIncome[[Ticker]:[Weight]],2,FALSE),0%)</f>
        <v>0</v>
      </c>
      <c r="AVN7" s="179">
        <f>IFERROR(VLOOKUP(AVN$1,PremiumIncome[[Ticker]:[Weight]],2,FALSE),0%)</f>
        <v>0</v>
      </c>
      <c r="AVO7" s="179">
        <f>IFERROR(VLOOKUP(AVO$1,PremiumIncome[[Ticker]:[Weight]],2,FALSE),0%)</f>
        <v>0</v>
      </c>
      <c r="AVP7" s="179">
        <f>IFERROR(VLOOKUP(AVP$1,PremiumIncome[[Ticker]:[Weight]],2,FALSE),0%)</f>
        <v>0</v>
      </c>
      <c r="AVQ7" s="179">
        <f>IFERROR(VLOOKUP(AVQ$1,PremiumIncome[[Ticker]:[Weight]],2,FALSE),0%)</f>
        <v>0</v>
      </c>
      <c r="AVR7" s="179">
        <f>IFERROR(VLOOKUP(AVR$1,PremiumIncome[[Ticker]:[Weight]],2,FALSE),0%)</f>
        <v>0</v>
      </c>
      <c r="AVS7" s="179">
        <f>IFERROR(VLOOKUP(AVS$1,PremiumIncome[[Ticker]:[Weight]],2,FALSE),0%)</f>
        <v>0</v>
      </c>
      <c r="AVT7" s="179">
        <f>IFERROR(VLOOKUP(AVT$1,PremiumIncome[[Ticker]:[Weight]],2,FALSE),0%)</f>
        <v>0</v>
      </c>
      <c r="AVU7" s="179">
        <f>IFERROR(VLOOKUP(AVU$1,PremiumIncome[[Ticker]:[Weight]],2,FALSE),0%)</f>
        <v>0</v>
      </c>
      <c r="AVV7" s="179">
        <f>IFERROR(VLOOKUP(AVV$1,PremiumIncome[[Ticker]:[Weight]],2,FALSE),0%)</f>
        <v>0</v>
      </c>
      <c r="AVW7" s="179">
        <f>IFERROR(VLOOKUP(AVW$1,PremiumIncome[[Ticker]:[Weight]],2,FALSE),0%)</f>
        <v>0</v>
      </c>
      <c r="AVX7" s="179">
        <f>IFERROR(VLOOKUP(AVX$1,PremiumIncome[[Ticker]:[Weight]],2,FALSE),0%)</f>
        <v>0</v>
      </c>
      <c r="AVY7" s="179">
        <f>IFERROR(VLOOKUP(AVY$1,PremiumIncome[[Ticker]:[Weight]],2,FALSE),0%)</f>
        <v>0</v>
      </c>
      <c r="AVZ7" s="179">
        <f>IFERROR(VLOOKUP(AVZ$1,PremiumIncome[[Ticker]:[Weight]],2,FALSE),0%)</f>
        <v>0</v>
      </c>
      <c r="AWA7" s="179">
        <f>IFERROR(VLOOKUP(AWA$1,PremiumIncome[[Ticker]:[Weight]],2,FALSE),0%)</f>
        <v>0</v>
      </c>
      <c r="AWB7" s="179">
        <f>IFERROR(VLOOKUP(AWB$1,PremiumIncome[[Ticker]:[Weight]],2,FALSE),0%)</f>
        <v>0</v>
      </c>
      <c r="AWC7" s="179">
        <f>IFERROR(VLOOKUP(AWC$1,PremiumIncome[[Ticker]:[Weight]],2,FALSE),0%)</f>
        <v>0</v>
      </c>
      <c r="AWD7" s="179">
        <f>IFERROR(VLOOKUP(AWD$1,PremiumIncome[[Ticker]:[Weight]],2,FALSE),0%)</f>
        <v>0</v>
      </c>
      <c r="AWE7" s="179">
        <f>IFERROR(VLOOKUP(AWE$1,PremiumIncome[[Ticker]:[Weight]],2,FALSE),0%)</f>
        <v>0</v>
      </c>
      <c r="AWF7" s="179">
        <f>IFERROR(VLOOKUP(AWF$1,PremiumIncome[[Ticker]:[Weight]],2,FALSE),0%)</f>
        <v>0</v>
      </c>
      <c r="AWG7" s="179">
        <f>IFERROR(VLOOKUP(AWG$1,PremiumIncome[[Ticker]:[Weight]],2,FALSE),0%)</f>
        <v>0</v>
      </c>
      <c r="AWH7" s="179">
        <f>IFERROR(VLOOKUP(AWH$1,PremiumIncome[[Ticker]:[Weight]],2,FALSE),0%)</f>
        <v>0</v>
      </c>
      <c r="AWI7" s="179">
        <f>IFERROR(VLOOKUP(AWI$1,PremiumIncome[[Ticker]:[Weight]],2,FALSE),0%)</f>
        <v>0</v>
      </c>
      <c r="AWJ7" s="179">
        <f>IFERROR(VLOOKUP(AWJ$1,PremiumIncome[[Ticker]:[Weight]],2,FALSE),0%)</f>
        <v>0</v>
      </c>
      <c r="AWK7" s="179">
        <f>IFERROR(VLOOKUP(AWK$1,PremiumIncome[[Ticker]:[Weight]],2,FALSE),0%)</f>
        <v>0</v>
      </c>
      <c r="AWL7" s="179">
        <f>IFERROR(VLOOKUP(AWL$1,PremiumIncome[[Ticker]:[Weight]],2,FALSE),0%)</f>
        <v>0</v>
      </c>
      <c r="AWM7" s="179">
        <f>IFERROR(VLOOKUP(AWM$1,PremiumIncome[[Ticker]:[Weight]],2,FALSE),0%)</f>
        <v>0</v>
      </c>
      <c r="AWN7" s="179">
        <f>IFERROR(VLOOKUP(AWN$1,PremiumIncome[[Ticker]:[Weight]],2,FALSE),0%)</f>
        <v>0</v>
      </c>
      <c r="AWO7" s="179">
        <f>IFERROR(VLOOKUP(AWO$1,PremiumIncome[[Ticker]:[Weight]],2,FALSE),0%)</f>
        <v>0</v>
      </c>
      <c r="AWP7" s="179">
        <f>IFERROR(VLOOKUP(AWP$1,PremiumIncome[[Ticker]:[Weight]],2,FALSE),0%)</f>
        <v>0</v>
      </c>
      <c r="AWQ7" s="179">
        <f>IFERROR(VLOOKUP(AWQ$1,PremiumIncome[[Ticker]:[Weight]],2,FALSE),0%)</f>
        <v>0</v>
      </c>
      <c r="AWR7" s="179">
        <f>IFERROR(VLOOKUP(AWR$1,PremiumIncome[[Ticker]:[Weight]],2,FALSE),0%)</f>
        <v>0</v>
      </c>
      <c r="AWS7" s="179">
        <f>IFERROR(VLOOKUP(AWS$1,PremiumIncome[[Ticker]:[Weight]],2,FALSE),0%)</f>
        <v>0</v>
      </c>
      <c r="AWT7" s="179">
        <f>IFERROR(VLOOKUP(AWT$1,PremiumIncome[[Ticker]:[Weight]],2,FALSE),0%)</f>
        <v>0</v>
      </c>
      <c r="AWU7" s="179">
        <f>IFERROR(VLOOKUP(AWU$1,PremiumIncome[[Ticker]:[Weight]],2,FALSE),0%)</f>
        <v>0</v>
      </c>
      <c r="AWV7" s="179">
        <f>IFERROR(VLOOKUP(AWV$1,PremiumIncome[[Ticker]:[Weight]],2,FALSE),0%)</f>
        <v>0</v>
      </c>
      <c r="AWW7" s="179">
        <f>IFERROR(VLOOKUP(AWW$1,PremiumIncome[[Ticker]:[Weight]],2,FALSE),0%)</f>
        <v>0</v>
      </c>
      <c r="AWX7" s="179">
        <f>IFERROR(VLOOKUP(AWX$1,PremiumIncome[[Ticker]:[Weight]],2,FALSE),0%)</f>
        <v>0</v>
      </c>
      <c r="AWY7" s="179">
        <f>IFERROR(VLOOKUP(AWY$1,PremiumIncome[[Ticker]:[Weight]],2,FALSE),0%)</f>
        <v>0</v>
      </c>
      <c r="AWZ7" s="179">
        <f>IFERROR(VLOOKUP(AWZ$1,PremiumIncome[[Ticker]:[Weight]],2,FALSE),0%)</f>
        <v>0</v>
      </c>
      <c r="AXA7" s="179">
        <f>IFERROR(VLOOKUP(AXA$1,PremiumIncome[[Ticker]:[Weight]],2,FALSE),0%)</f>
        <v>0</v>
      </c>
      <c r="AXB7" s="179">
        <f>IFERROR(VLOOKUP(AXB$1,PremiumIncome[[Ticker]:[Weight]],2,FALSE),0%)</f>
        <v>0</v>
      </c>
      <c r="AXC7" s="179">
        <f>IFERROR(VLOOKUP(AXC$1,PremiumIncome[[Ticker]:[Weight]],2,FALSE),0%)</f>
        <v>0</v>
      </c>
      <c r="AXD7" s="179">
        <f>IFERROR(VLOOKUP(AXD$1,PremiumIncome[[Ticker]:[Weight]],2,FALSE),0%)</f>
        <v>0</v>
      </c>
      <c r="AXE7" s="179">
        <f>IFERROR(VLOOKUP(AXE$1,PremiumIncome[[Ticker]:[Weight]],2,FALSE),0%)</f>
        <v>0</v>
      </c>
      <c r="AXF7" s="179">
        <f>IFERROR(VLOOKUP(AXF$1,PremiumIncome[[Ticker]:[Weight]],2,FALSE),0%)</f>
        <v>0</v>
      </c>
      <c r="AXG7" s="179">
        <f>IFERROR(VLOOKUP(AXG$1,PremiumIncome[[Ticker]:[Weight]],2,FALSE),0%)</f>
        <v>0</v>
      </c>
      <c r="AXH7" s="179">
        <f>IFERROR(VLOOKUP(AXH$1,PremiumIncome[[Ticker]:[Weight]],2,FALSE),0%)</f>
        <v>0</v>
      </c>
      <c r="AXI7" s="179">
        <f>IFERROR(VLOOKUP(AXI$1,PremiumIncome[[Ticker]:[Weight]],2,FALSE),0%)</f>
        <v>0</v>
      </c>
      <c r="AXJ7" s="179">
        <f>IFERROR(VLOOKUP(AXJ$1,PremiumIncome[[Ticker]:[Weight]],2,FALSE),0%)</f>
        <v>0</v>
      </c>
      <c r="AXK7" s="179">
        <f>IFERROR(VLOOKUP(AXK$1,PremiumIncome[[Ticker]:[Weight]],2,FALSE),0%)</f>
        <v>0</v>
      </c>
      <c r="AXL7" s="179">
        <f>IFERROR(VLOOKUP(AXL$1,PremiumIncome[[Ticker]:[Weight]],2,FALSE),0%)</f>
        <v>0</v>
      </c>
      <c r="AXM7" s="179">
        <f>IFERROR(VLOOKUP(AXM$1,PremiumIncome[[Ticker]:[Weight]],2,FALSE),0%)</f>
        <v>0</v>
      </c>
      <c r="AXN7" s="179">
        <f>IFERROR(VLOOKUP(AXN$1,PremiumIncome[[Ticker]:[Weight]],2,FALSE),0%)</f>
        <v>0</v>
      </c>
      <c r="AXO7" s="179">
        <f>IFERROR(VLOOKUP(AXO$1,PremiumIncome[[Ticker]:[Weight]],2,FALSE),0%)</f>
        <v>0</v>
      </c>
      <c r="AXP7" s="179">
        <f>IFERROR(VLOOKUP(AXP$1,PremiumIncome[[Ticker]:[Weight]],2,FALSE),0%)</f>
        <v>0</v>
      </c>
      <c r="AXQ7" s="179">
        <f>IFERROR(VLOOKUP(AXQ$1,PremiumIncome[[Ticker]:[Weight]],2,FALSE),0%)</f>
        <v>0</v>
      </c>
      <c r="AXR7" s="179">
        <f>IFERROR(VLOOKUP(AXR$1,PremiumIncome[[Ticker]:[Weight]],2,FALSE),0%)</f>
        <v>0</v>
      </c>
      <c r="AXS7" s="179">
        <f>IFERROR(VLOOKUP(AXS$1,PremiumIncome[[Ticker]:[Weight]],2,FALSE),0%)</f>
        <v>0</v>
      </c>
      <c r="AXT7" s="179">
        <f>IFERROR(VLOOKUP(AXT$1,PremiumIncome[[Ticker]:[Weight]],2,FALSE),0%)</f>
        <v>0</v>
      </c>
      <c r="AXU7" s="179">
        <f>IFERROR(VLOOKUP(AXU$1,PremiumIncome[[Ticker]:[Weight]],2,FALSE),0%)</f>
        <v>0</v>
      </c>
      <c r="AXV7" s="179">
        <f>IFERROR(VLOOKUP(AXV$1,PremiumIncome[[Ticker]:[Weight]],2,FALSE),0%)</f>
        <v>0</v>
      </c>
      <c r="AXW7" s="179">
        <f>IFERROR(VLOOKUP(AXW$1,PremiumIncome[[Ticker]:[Weight]],2,FALSE),0%)</f>
        <v>0</v>
      </c>
      <c r="AXX7" s="179">
        <f>IFERROR(VLOOKUP(AXX$1,PremiumIncome[[Ticker]:[Weight]],2,FALSE),0%)</f>
        <v>0</v>
      </c>
      <c r="AXY7" s="179">
        <f>IFERROR(VLOOKUP(AXY$1,PremiumIncome[[Ticker]:[Weight]],2,FALSE),0%)</f>
        <v>0</v>
      </c>
      <c r="AXZ7" s="179">
        <f>IFERROR(VLOOKUP(AXZ$1,PremiumIncome[[Ticker]:[Weight]],2,FALSE),0%)</f>
        <v>0</v>
      </c>
      <c r="AYA7" s="179">
        <f>IFERROR(VLOOKUP(AYA$1,PremiumIncome[[Ticker]:[Weight]],2,FALSE),0%)</f>
        <v>0</v>
      </c>
      <c r="AYB7" s="179">
        <f>IFERROR(VLOOKUP(AYB$1,PremiumIncome[[Ticker]:[Weight]],2,FALSE),0%)</f>
        <v>0</v>
      </c>
      <c r="AYC7" s="179">
        <f>IFERROR(VLOOKUP(AYC$1,PremiumIncome[[Ticker]:[Weight]],2,FALSE),0%)</f>
        <v>0</v>
      </c>
      <c r="AYD7" s="179">
        <f>IFERROR(VLOOKUP(AYD$1,PremiumIncome[[Ticker]:[Weight]],2,FALSE),0%)</f>
        <v>0</v>
      </c>
      <c r="AYE7" s="179">
        <f>IFERROR(VLOOKUP(AYE$1,PremiumIncome[[Ticker]:[Weight]],2,FALSE),0%)</f>
        <v>0</v>
      </c>
      <c r="AYF7" s="179">
        <f>IFERROR(VLOOKUP(AYF$1,PremiumIncome[[Ticker]:[Weight]],2,FALSE),0%)</f>
        <v>0</v>
      </c>
      <c r="AYG7" s="179">
        <f>IFERROR(VLOOKUP(AYG$1,PremiumIncome[[Ticker]:[Weight]],2,FALSE),0%)</f>
        <v>0</v>
      </c>
      <c r="AYH7" s="179">
        <f>IFERROR(VLOOKUP(AYH$1,PremiumIncome[[Ticker]:[Weight]],2,FALSE),0%)</f>
        <v>0</v>
      </c>
      <c r="AYI7" s="179">
        <f>IFERROR(VLOOKUP(AYI$1,PremiumIncome[[Ticker]:[Weight]],2,FALSE),0%)</f>
        <v>0</v>
      </c>
      <c r="AYJ7" s="179">
        <f>IFERROR(VLOOKUP(AYJ$1,PremiumIncome[[Ticker]:[Weight]],2,FALSE),0%)</f>
        <v>0</v>
      </c>
      <c r="AYK7" s="179">
        <f>IFERROR(VLOOKUP(AYK$1,PremiumIncome[[Ticker]:[Weight]],2,FALSE),0%)</f>
        <v>0</v>
      </c>
      <c r="AYL7" s="179">
        <f>IFERROR(VLOOKUP(AYL$1,PremiumIncome[[Ticker]:[Weight]],2,FALSE),0%)</f>
        <v>0</v>
      </c>
      <c r="AYM7" s="179">
        <f>IFERROR(VLOOKUP(AYM$1,PremiumIncome[[Ticker]:[Weight]],2,FALSE),0%)</f>
        <v>0</v>
      </c>
      <c r="AYN7" s="179">
        <f>IFERROR(VLOOKUP(AYN$1,PremiumIncome[[Ticker]:[Weight]],2,FALSE),0%)</f>
        <v>0</v>
      </c>
      <c r="AYO7" s="179">
        <f>IFERROR(VLOOKUP(AYO$1,PremiumIncome[[Ticker]:[Weight]],2,FALSE),0%)</f>
        <v>0</v>
      </c>
      <c r="AYP7" s="179">
        <f>IFERROR(VLOOKUP(AYP$1,PremiumIncome[[Ticker]:[Weight]],2,FALSE),0%)</f>
        <v>0</v>
      </c>
      <c r="AYQ7" s="179">
        <f>IFERROR(VLOOKUP(AYQ$1,PremiumIncome[[Ticker]:[Weight]],2,FALSE),0%)</f>
        <v>0</v>
      </c>
      <c r="AYR7" s="179">
        <f>IFERROR(VLOOKUP(AYR$1,PremiumIncome[[Ticker]:[Weight]],2,FALSE),0%)</f>
        <v>0</v>
      </c>
      <c r="AYS7" s="179">
        <f>IFERROR(VLOOKUP(AYS$1,PremiumIncome[[Ticker]:[Weight]],2,FALSE),0%)</f>
        <v>0</v>
      </c>
      <c r="AYT7" s="179">
        <f>IFERROR(VLOOKUP(AYT$1,PremiumIncome[[Ticker]:[Weight]],2,FALSE),0%)</f>
        <v>0</v>
      </c>
      <c r="AYU7" s="179">
        <f>IFERROR(VLOOKUP(AYU$1,PremiumIncome[[Ticker]:[Weight]],2,FALSE),0%)</f>
        <v>0</v>
      </c>
      <c r="AYV7" s="179">
        <f>IFERROR(VLOOKUP(AYV$1,PremiumIncome[[Ticker]:[Weight]],2,FALSE),0%)</f>
        <v>0</v>
      </c>
      <c r="AYW7" s="179">
        <f>IFERROR(VLOOKUP(AYW$1,PremiumIncome[[Ticker]:[Weight]],2,FALSE),0%)</f>
        <v>0</v>
      </c>
      <c r="AYX7" s="179">
        <f>IFERROR(VLOOKUP(AYX$1,PremiumIncome[[Ticker]:[Weight]],2,FALSE),0%)</f>
        <v>0</v>
      </c>
      <c r="AYY7" s="179">
        <f>IFERROR(VLOOKUP(AYY$1,PremiumIncome[[Ticker]:[Weight]],2,FALSE),0%)</f>
        <v>0</v>
      </c>
      <c r="AYZ7" s="179">
        <f>IFERROR(VLOOKUP(AYZ$1,PremiumIncome[[Ticker]:[Weight]],2,FALSE),0%)</f>
        <v>0</v>
      </c>
      <c r="AZA7" s="179">
        <f>IFERROR(VLOOKUP(AZA$1,PremiumIncome[[Ticker]:[Weight]],2,FALSE),0%)</f>
        <v>0</v>
      </c>
      <c r="AZB7" s="179">
        <f>IFERROR(VLOOKUP(AZB$1,PremiumIncome[[Ticker]:[Weight]],2,FALSE),0%)</f>
        <v>0</v>
      </c>
      <c r="AZC7" s="179">
        <f>IFERROR(VLOOKUP(AZC$1,PremiumIncome[[Ticker]:[Weight]],2,FALSE),0%)</f>
        <v>0</v>
      </c>
      <c r="AZD7" s="179">
        <f>IFERROR(VLOOKUP(AZD$1,PremiumIncome[[Ticker]:[Weight]],2,FALSE),0%)</f>
        <v>0</v>
      </c>
      <c r="AZE7" s="179">
        <f>IFERROR(VLOOKUP(AZE$1,PremiumIncome[[Ticker]:[Weight]],2,FALSE),0%)</f>
        <v>0</v>
      </c>
      <c r="AZF7" s="179">
        <f>IFERROR(VLOOKUP(AZF$1,PremiumIncome[[Ticker]:[Weight]],2,FALSE),0%)</f>
        <v>0</v>
      </c>
      <c r="AZG7" s="179">
        <f>IFERROR(VLOOKUP(AZG$1,PremiumIncome[[Ticker]:[Weight]],2,FALSE),0%)</f>
        <v>0</v>
      </c>
      <c r="AZH7" s="179">
        <f>IFERROR(VLOOKUP(AZH$1,PremiumIncome[[Ticker]:[Weight]],2,FALSE),0%)</f>
        <v>0</v>
      </c>
      <c r="AZI7" s="179">
        <f>IFERROR(VLOOKUP(AZI$1,PremiumIncome[[Ticker]:[Weight]],2,FALSE),0%)</f>
        <v>0</v>
      </c>
      <c r="AZJ7" s="179">
        <f>IFERROR(VLOOKUP(AZJ$1,PremiumIncome[[Ticker]:[Weight]],2,FALSE),0%)</f>
        <v>0</v>
      </c>
      <c r="AZK7" s="179">
        <f>IFERROR(VLOOKUP(AZK$1,PremiumIncome[[Ticker]:[Weight]],2,FALSE),0%)</f>
        <v>0</v>
      </c>
      <c r="AZL7" s="179">
        <f>IFERROR(VLOOKUP(AZL$1,PremiumIncome[[Ticker]:[Weight]],2,FALSE),0%)</f>
        <v>0</v>
      </c>
      <c r="AZM7" s="179">
        <f>IFERROR(VLOOKUP(AZM$1,PremiumIncome[[Ticker]:[Weight]],2,FALSE),0%)</f>
        <v>0</v>
      </c>
      <c r="AZN7" s="179">
        <f>IFERROR(VLOOKUP(AZN$1,PremiumIncome[[Ticker]:[Weight]],2,FALSE),0%)</f>
        <v>0</v>
      </c>
      <c r="AZO7" s="179">
        <f>IFERROR(VLOOKUP(AZO$1,PremiumIncome[[Ticker]:[Weight]],2,FALSE),0%)</f>
        <v>0</v>
      </c>
      <c r="AZP7" s="179">
        <f>IFERROR(VLOOKUP(AZP$1,PremiumIncome[[Ticker]:[Weight]],2,FALSE),0%)</f>
        <v>0</v>
      </c>
      <c r="AZQ7" s="179">
        <f>IFERROR(VLOOKUP(AZQ$1,PremiumIncome[[Ticker]:[Weight]],2,FALSE),0%)</f>
        <v>0</v>
      </c>
      <c r="AZR7" s="179">
        <f>IFERROR(VLOOKUP(AZR$1,PremiumIncome[[Ticker]:[Weight]],2,FALSE),0%)</f>
        <v>0</v>
      </c>
      <c r="AZS7" s="179">
        <f>IFERROR(VLOOKUP(AZS$1,PremiumIncome[[Ticker]:[Weight]],2,FALSE),0%)</f>
        <v>0</v>
      </c>
      <c r="AZT7" s="179">
        <f>IFERROR(VLOOKUP(AZT$1,PremiumIncome[[Ticker]:[Weight]],2,FALSE),0%)</f>
        <v>0</v>
      </c>
      <c r="AZU7" s="179">
        <f>IFERROR(VLOOKUP(AZU$1,PremiumIncome[[Ticker]:[Weight]],2,FALSE),0%)</f>
        <v>0</v>
      </c>
      <c r="AZV7" s="179">
        <f>IFERROR(VLOOKUP(AZV$1,PremiumIncome[[Ticker]:[Weight]],2,FALSE),0%)</f>
        <v>0</v>
      </c>
      <c r="AZW7" s="179">
        <f>IFERROR(VLOOKUP(AZW$1,PremiumIncome[[Ticker]:[Weight]],2,FALSE),0%)</f>
        <v>0</v>
      </c>
      <c r="AZX7" s="179">
        <f>IFERROR(VLOOKUP(AZX$1,PremiumIncome[[Ticker]:[Weight]],2,FALSE),0%)</f>
        <v>0</v>
      </c>
      <c r="AZY7" s="179">
        <f>IFERROR(VLOOKUP(AZY$1,PremiumIncome[[Ticker]:[Weight]],2,FALSE),0%)</f>
        <v>0</v>
      </c>
      <c r="AZZ7" s="179">
        <f>IFERROR(VLOOKUP(AZZ$1,PremiumIncome[[Ticker]:[Weight]],2,FALSE),0%)</f>
        <v>0</v>
      </c>
      <c r="BAA7" s="179">
        <f>IFERROR(VLOOKUP(BAA$1,PremiumIncome[[Ticker]:[Weight]],2,FALSE),0%)</f>
        <v>0</v>
      </c>
      <c r="BAB7" s="179">
        <f>IFERROR(VLOOKUP(BAB$1,PremiumIncome[[Ticker]:[Weight]],2,FALSE),0%)</f>
        <v>0</v>
      </c>
      <c r="BAC7" s="179">
        <f>IFERROR(VLOOKUP(BAC$1,PremiumIncome[[Ticker]:[Weight]],2,FALSE),0%)</f>
        <v>0</v>
      </c>
      <c r="BAD7" s="179">
        <f>IFERROR(VLOOKUP(BAD$1,PremiumIncome[[Ticker]:[Weight]],2,FALSE),0%)</f>
        <v>0</v>
      </c>
      <c r="BAE7" s="179">
        <f>IFERROR(VLOOKUP(BAE$1,PremiumIncome[[Ticker]:[Weight]],2,FALSE),0%)</f>
        <v>0</v>
      </c>
      <c r="BAF7" s="179">
        <f>IFERROR(VLOOKUP(BAF$1,PremiumIncome[[Ticker]:[Weight]],2,FALSE),0%)</f>
        <v>0</v>
      </c>
      <c r="BAG7" s="179">
        <f>IFERROR(VLOOKUP(BAG$1,PremiumIncome[[Ticker]:[Weight]],2,FALSE),0%)</f>
        <v>0</v>
      </c>
      <c r="BAH7" s="179">
        <f>IFERROR(VLOOKUP(BAH$1,PremiumIncome[[Ticker]:[Weight]],2,FALSE),0%)</f>
        <v>0</v>
      </c>
      <c r="BAI7" s="179">
        <f>IFERROR(VLOOKUP(BAI$1,PremiumIncome[[Ticker]:[Weight]],2,FALSE),0%)</f>
        <v>0</v>
      </c>
      <c r="BAJ7" s="179">
        <f>IFERROR(VLOOKUP(BAJ$1,PremiumIncome[[Ticker]:[Weight]],2,FALSE),0%)</f>
        <v>0</v>
      </c>
      <c r="BAK7" s="179">
        <f>IFERROR(VLOOKUP(BAK$1,PremiumIncome[[Ticker]:[Weight]],2,FALSE),0%)</f>
        <v>0</v>
      </c>
      <c r="BAL7" s="179">
        <f>IFERROR(VLOOKUP(BAL$1,PremiumIncome[[Ticker]:[Weight]],2,FALSE),0%)</f>
        <v>0</v>
      </c>
      <c r="BAM7" s="179">
        <f>IFERROR(VLOOKUP(BAM$1,PremiumIncome[[Ticker]:[Weight]],2,FALSE),0%)</f>
        <v>0</v>
      </c>
      <c r="BAN7" s="179">
        <f>IFERROR(VLOOKUP(BAN$1,PremiumIncome[[Ticker]:[Weight]],2,FALSE),0%)</f>
        <v>0</v>
      </c>
      <c r="BAO7" s="179">
        <f>IFERROR(VLOOKUP(BAO$1,PremiumIncome[[Ticker]:[Weight]],2,FALSE),0%)</f>
        <v>0</v>
      </c>
      <c r="BAP7" s="179">
        <f>IFERROR(VLOOKUP(BAP$1,PremiumIncome[[Ticker]:[Weight]],2,FALSE),0%)</f>
        <v>0</v>
      </c>
      <c r="BAQ7" s="179">
        <f>IFERROR(VLOOKUP(BAQ$1,PremiumIncome[[Ticker]:[Weight]],2,FALSE),0%)</f>
        <v>0</v>
      </c>
      <c r="BAR7" s="179">
        <f>IFERROR(VLOOKUP(BAR$1,PremiumIncome[[Ticker]:[Weight]],2,FALSE),0%)</f>
        <v>0</v>
      </c>
      <c r="BAS7" s="179">
        <f>IFERROR(VLOOKUP(BAS$1,PremiumIncome[[Ticker]:[Weight]],2,FALSE),0%)</f>
        <v>0</v>
      </c>
      <c r="BAT7" s="179">
        <f>IFERROR(VLOOKUP(BAT$1,PremiumIncome[[Ticker]:[Weight]],2,FALSE),0%)</f>
        <v>0</v>
      </c>
      <c r="BAU7" s="179">
        <f>IFERROR(VLOOKUP(BAU$1,PremiumIncome[[Ticker]:[Weight]],2,FALSE),0%)</f>
        <v>0</v>
      </c>
      <c r="BAV7" s="179">
        <f>IFERROR(VLOOKUP(BAV$1,PremiumIncome[[Ticker]:[Weight]],2,FALSE),0%)</f>
        <v>0</v>
      </c>
      <c r="BAW7" s="179">
        <f>IFERROR(VLOOKUP(BAW$1,PremiumIncome[[Ticker]:[Weight]],2,FALSE),0%)</f>
        <v>0</v>
      </c>
      <c r="BAX7" s="179">
        <f>IFERROR(VLOOKUP(BAX$1,PremiumIncome[[Ticker]:[Weight]],2,FALSE),0%)</f>
        <v>0</v>
      </c>
      <c r="BAY7" s="179">
        <f>IFERROR(VLOOKUP(BAY$1,PremiumIncome[[Ticker]:[Weight]],2,FALSE),0%)</f>
        <v>0</v>
      </c>
      <c r="BAZ7" s="179">
        <f>IFERROR(VLOOKUP(BAZ$1,PremiumIncome[[Ticker]:[Weight]],2,FALSE),0%)</f>
        <v>0</v>
      </c>
      <c r="BBA7" s="179">
        <f>IFERROR(VLOOKUP(BBA$1,PremiumIncome[[Ticker]:[Weight]],2,FALSE),0%)</f>
        <v>0</v>
      </c>
      <c r="BBB7" s="179">
        <f>IFERROR(VLOOKUP(BBB$1,PremiumIncome[[Ticker]:[Weight]],2,FALSE),0%)</f>
        <v>0</v>
      </c>
      <c r="BBC7" s="179">
        <f>IFERROR(VLOOKUP(BBC$1,PremiumIncome[[Ticker]:[Weight]],2,FALSE),0%)</f>
        <v>0</v>
      </c>
      <c r="BBD7" s="179">
        <f>IFERROR(VLOOKUP(BBD$1,PremiumIncome[[Ticker]:[Weight]],2,FALSE),0%)</f>
        <v>0</v>
      </c>
      <c r="BBE7" s="179">
        <f>IFERROR(VLOOKUP(BBE$1,PremiumIncome[[Ticker]:[Weight]],2,FALSE),0%)</f>
        <v>0</v>
      </c>
      <c r="BBF7" s="179">
        <f>IFERROR(VLOOKUP(BBF$1,PremiumIncome[[Ticker]:[Weight]],2,FALSE),0%)</f>
        <v>0</v>
      </c>
      <c r="BBG7" s="179">
        <f>IFERROR(VLOOKUP(BBG$1,PremiumIncome[[Ticker]:[Weight]],2,FALSE),0%)</f>
        <v>0</v>
      </c>
      <c r="BBH7" s="179">
        <f>IFERROR(VLOOKUP(BBH$1,PremiumIncome[[Ticker]:[Weight]],2,FALSE),0%)</f>
        <v>0</v>
      </c>
      <c r="BBI7" s="179">
        <f>IFERROR(VLOOKUP(BBI$1,PremiumIncome[[Ticker]:[Weight]],2,FALSE),0%)</f>
        <v>0</v>
      </c>
      <c r="BBJ7" s="179">
        <f>IFERROR(VLOOKUP(BBJ$1,PremiumIncome[[Ticker]:[Weight]],2,FALSE),0%)</f>
        <v>0</v>
      </c>
      <c r="BBK7" s="179">
        <f>IFERROR(VLOOKUP(BBK$1,PremiumIncome[[Ticker]:[Weight]],2,FALSE),0%)</f>
        <v>0</v>
      </c>
      <c r="BBL7" s="179">
        <f>IFERROR(VLOOKUP(BBL$1,PremiumIncome[[Ticker]:[Weight]],2,FALSE),0%)</f>
        <v>0</v>
      </c>
      <c r="BBM7" s="179">
        <f>IFERROR(VLOOKUP(BBM$1,PremiumIncome[[Ticker]:[Weight]],2,FALSE),0%)</f>
        <v>0</v>
      </c>
      <c r="BBN7" s="179">
        <f>IFERROR(VLOOKUP(BBN$1,PremiumIncome[[Ticker]:[Weight]],2,FALSE),0%)</f>
        <v>0</v>
      </c>
      <c r="BBO7" s="179">
        <f>IFERROR(VLOOKUP(BBO$1,PremiumIncome[[Ticker]:[Weight]],2,FALSE),0%)</f>
        <v>0</v>
      </c>
      <c r="BBP7" s="179">
        <f>IFERROR(VLOOKUP(BBP$1,PremiumIncome[[Ticker]:[Weight]],2,FALSE),0%)</f>
        <v>0</v>
      </c>
      <c r="BBQ7" s="179">
        <f>IFERROR(VLOOKUP(BBQ$1,PremiumIncome[[Ticker]:[Weight]],2,FALSE),0%)</f>
        <v>0</v>
      </c>
      <c r="BBR7" s="179">
        <f>IFERROR(VLOOKUP(BBR$1,PremiumIncome[[Ticker]:[Weight]],2,FALSE),0%)</f>
        <v>0</v>
      </c>
      <c r="BBS7" s="179">
        <f>IFERROR(VLOOKUP(BBS$1,PremiumIncome[[Ticker]:[Weight]],2,FALSE),0%)</f>
        <v>0</v>
      </c>
      <c r="BBT7" s="179">
        <f>IFERROR(VLOOKUP(BBT$1,PremiumIncome[[Ticker]:[Weight]],2,FALSE),0%)</f>
        <v>0</v>
      </c>
      <c r="BBU7" s="179">
        <f>IFERROR(VLOOKUP(BBU$1,PremiumIncome[[Ticker]:[Weight]],2,FALSE),0%)</f>
        <v>0</v>
      </c>
      <c r="BBV7" s="179">
        <f>IFERROR(VLOOKUP(BBV$1,PremiumIncome[[Ticker]:[Weight]],2,FALSE),0%)</f>
        <v>0</v>
      </c>
      <c r="BBW7" s="179">
        <f>IFERROR(VLOOKUP(BBW$1,PremiumIncome[[Ticker]:[Weight]],2,FALSE),0%)</f>
        <v>0</v>
      </c>
      <c r="BBX7" s="179">
        <f>IFERROR(VLOOKUP(BBX$1,PremiumIncome[[Ticker]:[Weight]],2,FALSE),0%)</f>
        <v>0</v>
      </c>
      <c r="BBY7" s="179">
        <f>IFERROR(VLOOKUP(BBY$1,PremiumIncome[[Ticker]:[Weight]],2,FALSE),0%)</f>
        <v>0</v>
      </c>
      <c r="BBZ7" s="179">
        <f>IFERROR(VLOOKUP(BBZ$1,PremiumIncome[[Ticker]:[Weight]],2,FALSE),0%)</f>
        <v>0</v>
      </c>
      <c r="BCA7" s="179">
        <f>IFERROR(VLOOKUP(BCA$1,PremiumIncome[[Ticker]:[Weight]],2,FALSE),0%)</f>
        <v>0</v>
      </c>
      <c r="BCB7" s="179">
        <f>IFERROR(VLOOKUP(BCB$1,PremiumIncome[[Ticker]:[Weight]],2,FALSE),0%)</f>
        <v>0</v>
      </c>
      <c r="BCC7" s="179">
        <f>IFERROR(VLOOKUP(BCC$1,PremiumIncome[[Ticker]:[Weight]],2,FALSE),0%)</f>
        <v>0</v>
      </c>
      <c r="BCD7" s="179">
        <f>IFERROR(VLOOKUP(BCD$1,PremiumIncome[[Ticker]:[Weight]],2,FALSE),0%)</f>
        <v>0</v>
      </c>
      <c r="BCE7" s="179">
        <f>IFERROR(VLOOKUP(BCE$1,PremiumIncome[[Ticker]:[Weight]],2,FALSE),0%)</f>
        <v>0</v>
      </c>
      <c r="BCF7" s="179">
        <f>IFERROR(VLOOKUP(BCF$1,PremiumIncome[[Ticker]:[Weight]],2,FALSE),0%)</f>
        <v>0</v>
      </c>
      <c r="BCG7" s="179">
        <f>IFERROR(VLOOKUP(BCG$1,PremiumIncome[[Ticker]:[Weight]],2,FALSE),0%)</f>
        <v>0</v>
      </c>
      <c r="BCH7" s="179">
        <f>IFERROR(VLOOKUP(BCH$1,PremiumIncome[[Ticker]:[Weight]],2,FALSE),0%)</f>
        <v>0</v>
      </c>
      <c r="BCI7" s="179">
        <f>IFERROR(VLOOKUP(BCI$1,PremiumIncome[[Ticker]:[Weight]],2,FALSE),0%)</f>
        <v>0</v>
      </c>
      <c r="BCJ7" s="179">
        <f>IFERROR(VLOOKUP(BCJ$1,PremiumIncome[[Ticker]:[Weight]],2,FALSE),0%)</f>
        <v>0</v>
      </c>
      <c r="BCK7" s="179">
        <f>IFERROR(VLOOKUP(BCK$1,PremiumIncome[[Ticker]:[Weight]],2,FALSE),0%)</f>
        <v>0</v>
      </c>
      <c r="BCL7" s="179">
        <f>IFERROR(VLOOKUP(BCL$1,PremiumIncome[[Ticker]:[Weight]],2,FALSE),0%)</f>
        <v>0</v>
      </c>
      <c r="BCM7" s="179">
        <f>IFERROR(VLOOKUP(BCM$1,PremiumIncome[[Ticker]:[Weight]],2,FALSE),0%)</f>
        <v>0</v>
      </c>
      <c r="BCN7" s="179">
        <f>IFERROR(VLOOKUP(BCN$1,PremiumIncome[[Ticker]:[Weight]],2,FALSE),0%)</f>
        <v>0</v>
      </c>
      <c r="BCO7" s="179">
        <f>IFERROR(VLOOKUP(BCO$1,PremiumIncome[[Ticker]:[Weight]],2,FALSE),0%)</f>
        <v>0</v>
      </c>
      <c r="BCP7" s="179">
        <f>IFERROR(VLOOKUP(BCP$1,PremiumIncome[[Ticker]:[Weight]],2,FALSE),0%)</f>
        <v>0</v>
      </c>
      <c r="BCQ7" s="179">
        <f>IFERROR(VLOOKUP(BCQ$1,PremiumIncome[[Ticker]:[Weight]],2,FALSE),0%)</f>
        <v>0</v>
      </c>
      <c r="BCR7" s="179">
        <f>IFERROR(VLOOKUP(BCR$1,PremiumIncome[[Ticker]:[Weight]],2,FALSE),0%)</f>
        <v>0</v>
      </c>
      <c r="BCS7" s="179">
        <f>IFERROR(VLOOKUP(BCS$1,PremiumIncome[[Ticker]:[Weight]],2,FALSE),0%)</f>
        <v>0</v>
      </c>
      <c r="BCT7" s="179">
        <f>IFERROR(VLOOKUP(BCT$1,PremiumIncome[[Ticker]:[Weight]],2,FALSE),0%)</f>
        <v>0</v>
      </c>
      <c r="BCU7" s="179">
        <f>IFERROR(VLOOKUP(BCU$1,PremiumIncome[[Ticker]:[Weight]],2,FALSE),0%)</f>
        <v>0</v>
      </c>
      <c r="BCV7" s="179">
        <f>IFERROR(VLOOKUP(BCV$1,PremiumIncome[[Ticker]:[Weight]],2,FALSE),0%)</f>
        <v>0</v>
      </c>
      <c r="BCW7" s="179">
        <f>IFERROR(VLOOKUP(BCW$1,PremiumIncome[[Ticker]:[Weight]],2,FALSE),0%)</f>
        <v>0</v>
      </c>
      <c r="BCX7" s="179">
        <f>IFERROR(VLOOKUP(BCX$1,PremiumIncome[[Ticker]:[Weight]],2,FALSE),0%)</f>
        <v>0</v>
      </c>
      <c r="BCY7" s="179">
        <f>IFERROR(VLOOKUP(BCY$1,PremiumIncome[[Ticker]:[Weight]],2,FALSE),0%)</f>
        <v>0</v>
      </c>
      <c r="BCZ7" s="179">
        <f>IFERROR(VLOOKUP(BCZ$1,PremiumIncome[[Ticker]:[Weight]],2,FALSE),0%)</f>
        <v>0</v>
      </c>
      <c r="BDA7" s="179">
        <f>IFERROR(VLOOKUP(BDA$1,PremiumIncome[[Ticker]:[Weight]],2,FALSE),0%)</f>
        <v>0</v>
      </c>
      <c r="BDB7" s="179">
        <f>IFERROR(VLOOKUP(BDB$1,PremiumIncome[[Ticker]:[Weight]],2,FALSE),0%)</f>
        <v>0</v>
      </c>
      <c r="BDC7" s="179">
        <f>IFERROR(VLOOKUP(BDC$1,PremiumIncome[[Ticker]:[Weight]],2,FALSE),0%)</f>
        <v>0</v>
      </c>
      <c r="BDD7" s="179">
        <f>IFERROR(VLOOKUP(BDD$1,PremiumIncome[[Ticker]:[Weight]],2,FALSE),0%)</f>
        <v>0</v>
      </c>
      <c r="BDE7" s="179">
        <f>IFERROR(VLOOKUP(BDE$1,PremiumIncome[[Ticker]:[Weight]],2,FALSE),0%)</f>
        <v>0</v>
      </c>
      <c r="BDF7" s="179">
        <f>IFERROR(VLOOKUP(BDF$1,PremiumIncome[[Ticker]:[Weight]],2,FALSE),0%)</f>
        <v>0</v>
      </c>
      <c r="BDG7" s="179">
        <f>IFERROR(VLOOKUP(BDG$1,PremiumIncome[[Ticker]:[Weight]],2,FALSE),0%)</f>
        <v>0</v>
      </c>
      <c r="BDH7" s="179">
        <f>IFERROR(VLOOKUP(BDH$1,PremiumIncome[[Ticker]:[Weight]],2,FALSE),0%)</f>
        <v>0</v>
      </c>
      <c r="BDI7" s="179">
        <f>IFERROR(VLOOKUP(BDI$1,PremiumIncome[[Ticker]:[Weight]],2,FALSE),0%)</f>
        <v>0</v>
      </c>
      <c r="BDJ7" s="179">
        <f>IFERROR(VLOOKUP(BDJ$1,PremiumIncome[[Ticker]:[Weight]],2,FALSE),0%)</f>
        <v>0</v>
      </c>
      <c r="BDK7" s="179">
        <f>IFERROR(VLOOKUP(BDK$1,PremiumIncome[[Ticker]:[Weight]],2,FALSE),0%)</f>
        <v>0</v>
      </c>
      <c r="BDL7" s="179">
        <f>IFERROR(VLOOKUP(BDL$1,PremiumIncome[[Ticker]:[Weight]],2,FALSE),0%)</f>
        <v>0</v>
      </c>
      <c r="BDM7" s="179">
        <f>IFERROR(VLOOKUP(BDM$1,PremiumIncome[[Ticker]:[Weight]],2,FALSE),0%)</f>
        <v>0</v>
      </c>
      <c r="BDN7" s="179">
        <f>IFERROR(VLOOKUP(BDN$1,PremiumIncome[[Ticker]:[Weight]],2,FALSE),0%)</f>
        <v>0</v>
      </c>
      <c r="BDO7" s="179">
        <f>IFERROR(VLOOKUP(BDO$1,PremiumIncome[[Ticker]:[Weight]],2,FALSE),0%)</f>
        <v>0</v>
      </c>
      <c r="BDP7" s="179">
        <f>IFERROR(VLOOKUP(BDP$1,PremiumIncome[[Ticker]:[Weight]],2,FALSE),0%)</f>
        <v>0</v>
      </c>
      <c r="BDQ7" s="179">
        <f>IFERROR(VLOOKUP(BDQ$1,PremiumIncome[[Ticker]:[Weight]],2,FALSE),0%)</f>
        <v>0</v>
      </c>
      <c r="BDR7" s="179">
        <f>IFERROR(VLOOKUP(BDR$1,PremiumIncome[[Ticker]:[Weight]],2,FALSE),0%)</f>
        <v>0</v>
      </c>
      <c r="BDS7" s="179">
        <f>IFERROR(VLOOKUP(BDS$1,PremiumIncome[[Ticker]:[Weight]],2,FALSE),0%)</f>
        <v>0</v>
      </c>
      <c r="BDT7" s="179">
        <f>IFERROR(VLOOKUP(BDT$1,PremiumIncome[[Ticker]:[Weight]],2,FALSE),0%)</f>
        <v>0</v>
      </c>
      <c r="BDU7" s="179">
        <f>IFERROR(VLOOKUP(BDU$1,PremiumIncome[[Ticker]:[Weight]],2,FALSE),0%)</f>
        <v>0</v>
      </c>
      <c r="BDV7" s="179">
        <f>IFERROR(VLOOKUP(BDV$1,PremiumIncome[[Ticker]:[Weight]],2,FALSE),0%)</f>
        <v>0</v>
      </c>
      <c r="BDW7" s="179">
        <f>IFERROR(VLOOKUP(BDW$1,PremiumIncome[[Ticker]:[Weight]],2,FALSE),0%)</f>
        <v>0</v>
      </c>
      <c r="BDX7" s="179">
        <f>IFERROR(VLOOKUP(BDX$1,PremiumIncome[[Ticker]:[Weight]],2,FALSE),0%)</f>
        <v>0</v>
      </c>
      <c r="BDY7" s="179">
        <f>IFERROR(VLOOKUP(BDY$1,PremiumIncome[[Ticker]:[Weight]],2,FALSE),0%)</f>
        <v>0</v>
      </c>
      <c r="BDZ7" s="179">
        <f>IFERROR(VLOOKUP(BDZ$1,PremiumIncome[[Ticker]:[Weight]],2,FALSE),0%)</f>
        <v>0</v>
      </c>
      <c r="BEA7" s="179">
        <f>IFERROR(VLOOKUP(BEA$1,PremiumIncome[[Ticker]:[Weight]],2,FALSE),0%)</f>
        <v>0</v>
      </c>
      <c r="BEB7" s="179">
        <f>IFERROR(VLOOKUP(BEB$1,PremiumIncome[[Ticker]:[Weight]],2,FALSE),0%)</f>
        <v>0</v>
      </c>
      <c r="BEC7" s="179">
        <f>IFERROR(VLOOKUP(BEC$1,PremiumIncome[[Ticker]:[Weight]],2,FALSE),0%)</f>
        <v>0</v>
      </c>
      <c r="BED7" s="179">
        <f>IFERROR(VLOOKUP(BED$1,PremiumIncome[[Ticker]:[Weight]],2,FALSE),0%)</f>
        <v>0</v>
      </c>
      <c r="BEE7" s="179">
        <f>IFERROR(VLOOKUP(BEE$1,PremiumIncome[[Ticker]:[Weight]],2,FALSE),0%)</f>
        <v>0</v>
      </c>
      <c r="BEF7" s="179">
        <f>IFERROR(VLOOKUP(BEF$1,PremiumIncome[[Ticker]:[Weight]],2,FALSE),0%)</f>
        <v>0</v>
      </c>
      <c r="BEG7" s="179">
        <f>IFERROR(VLOOKUP(BEG$1,PremiumIncome[[Ticker]:[Weight]],2,FALSE),0%)</f>
        <v>0</v>
      </c>
      <c r="BEH7" s="179">
        <f>IFERROR(VLOOKUP(BEH$1,PremiumIncome[[Ticker]:[Weight]],2,FALSE),0%)</f>
        <v>0</v>
      </c>
      <c r="BEI7" s="179">
        <f>IFERROR(VLOOKUP(BEI$1,PremiumIncome[[Ticker]:[Weight]],2,FALSE),0%)</f>
        <v>0</v>
      </c>
      <c r="BEJ7" s="179">
        <f>IFERROR(VLOOKUP(BEJ$1,PremiumIncome[[Ticker]:[Weight]],2,FALSE),0%)</f>
        <v>0</v>
      </c>
      <c r="BEK7" s="179">
        <f>IFERROR(VLOOKUP(BEK$1,PremiumIncome[[Ticker]:[Weight]],2,FALSE),0%)</f>
        <v>0</v>
      </c>
      <c r="BEL7" s="179">
        <f>IFERROR(VLOOKUP(BEL$1,PremiumIncome[[Ticker]:[Weight]],2,FALSE),0%)</f>
        <v>0</v>
      </c>
      <c r="BEM7" s="179">
        <f>IFERROR(VLOOKUP(BEM$1,PremiumIncome[[Ticker]:[Weight]],2,FALSE),0%)</f>
        <v>0</v>
      </c>
      <c r="BEN7" s="179">
        <f>IFERROR(VLOOKUP(BEN$1,PremiumIncome[[Ticker]:[Weight]],2,FALSE),0%)</f>
        <v>0</v>
      </c>
      <c r="BEO7" s="179">
        <f>IFERROR(VLOOKUP(BEO$1,PremiumIncome[[Ticker]:[Weight]],2,FALSE),0%)</f>
        <v>0</v>
      </c>
      <c r="BEP7" s="179">
        <f>IFERROR(VLOOKUP(BEP$1,PremiumIncome[[Ticker]:[Weight]],2,FALSE),0%)</f>
        <v>0</v>
      </c>
      <c r="BEQ7" s="179">
        <f>IFERROR(VLOOKUP(BEQ$1,PremiumIncome[[Ticker]:[Weight]],2,FALSE),0%)</f>
        <v>0</v>
      </c>
      <c r="BER7" s="179">
        <f>IFERROR(VLOOKUP(BER$1,PremiumIncome[[Ticker]:[Weight]],2,FALSE),0%)</f>
        <v>0</v>
      </c>
      <c r="BES7" s="179">
        <f>IFERROR(VLOOKUP(BES$1,PremiumIncome[[Ticker]:[Weight]],2,FALSE),0%)</f>
        <v>0</v>
      </c>
      <c r="BET7" s="179">
        <f>IFERROR(VLOOKUP(BET$1,PremiumIncome[[Ticker]:[Weight]],2,FALSE),0%)</f>
        <v>0</v>
      </c>
      <c r="BEU7" s="179">
        <f>IFERROR(VLOOKUP(BEU$1,PremiumIncome[[Ticker]:[Weight]],2,FALSE),0%)</f>
        <v>0</v>
      </c>
      <c r="BEV7" s="179">
        <f>IFERROR(VLOOKUP(BEV$1,PremiumIncome[[Ticker]:[Weight]],2,FALSE),0%)</f>
        <v>0</v>
      </c>
      <c r="BEW7" s="179">
        <f>IFERROR(VLOOKUP(BEW$1,PremiumIncome[[Ticker]:[Weight]],2,FALSE),0%)</f>
        <v>0</v>
      </c>
      <c r="BEX7" s="179">
        <f>IFERROR(VLOOKUP(BEX$1,PremiumIncome[[Ticker]:[Weight]],2,FALSE),0%)</f>
        <v>0</v>
      </c>
      <c r="BEY7" s="179">
        <f>IFERROR(VLOOKUP(BEY$1,PremiumIncome[[Ticker]:[Weight]],2,FALSE),0%)</f>
        <v>0</v>
      </c>
      <c r="BEZ7" s="179">
        <f>IFERROR(VLOOKUP(BEZ$1,PremiumIncome[[Ticker]:[Weight]],2,FALSE),0%)</f>
        <v>0</v>
      </c>
      <c r="BFA7" s="179">
        <f>IFERROR(VLOOKUP(BFA$1,PremiumIncome[[Ticker]:[Weight]],2,FALSE),0%)</f>
        <v>0</v>
      </c>
      <c r="BFB7" s="179">
        <f>IFERROR(VLOOKUP(BFB$1,PremiumIncome[[Ticker]:[Weight]],2,FALSE),0%)</f>
        <v>0</v>
      </c>
      <c r="BFC7" s="179">
        <f>IFERROR(VLOOKUP(BFC$1,PremiumIncome[[Ticker]:[Weight]],2,FALSE),0%)</f>
        <v>0</v>
      </c>
      <c r="BFD7" s="179">
        <f>IFERROR(VLOOKUP(BFD$1,PremiumIncome[[Ticker]:[Weight]],2,FALSE),0%)</f>
        <v>0</v>
      </c>
      <c r="BFE7" s="179">
        <f>IFERROR(VLOOKUP(BFE$1,PremiumIncome[[Ticker]:[Weight]],2,FALSE),0%)</f>
        <v>0</v>
      </c>
      <c r="BFF7" s="179">
        <f>IFERROR(VLOOKUP(BFF$1,PremiumIncome[[Ticker]:[Weight]],2,FALSE),0%)</f>
        <v>0</v>
      </c>
      <c r="BFG7" s="179">
        <f>IFERROR(VLOOKUP(BFG$1,PremiumIncome[[Ticker]:[Weight]],2,FALSE),0%)</f>
        <v>0</v>
      </c>
      <c r="BFH7" s="179">
        <f>IFERROR(VLOOKUP(BFH$1,PremiumIncome[[Ticker]:[Weight]],2,FALSE),0%)</f>
        <v>0</v>
      </c>
      <c r="BFI7" s="179">
        <f>IFERROR(VLOOKUP(BFI$1,PremiumIncome[[Ticker]:[Weight]],2,FALSE),0%)</f>
        <v>0</v>
      </c>
      <c r="BFJ7" s="179">
        <f>IFERROR(VLOOKUP(BFJ$1,PremiumIncome[[Ticker]:[Weight]],2,FALSE),0%)</f>
        <v>0</v>
      </c>
      <c r="BFK7" s="179">
        <f>IFERROR(VLOOKUP(BFK$1,PremiumIncome[[Ticker]:[Weight]],2,FALSE),0%)</f>
        <v>0</v>
      </c>
      <c r="BFL7" s="179">
        <f>IFERROR(VLOOKUP(BFL$1,PremiumIncome[[Ticker]:[Weight]],2,FALSE),0%)</f>
        <v>0</v>
      </c>
      <c r="BFM7" s="179">
        <f>IFERROR(VLOOKUP(BFM$1,PremiumIncome[[Ticker]:[Weight]],2,FALSE),0%)</f>
        <v>0</v>
      </c>
      <c r="BFN7" s="179">
        <f>IFERROR(VLOOKUP(BFN$1,PremiumIncome[[Ticker]:[Weight]],2,FALSE),0%)</f>
        <v>0</v>
      </c>
      <c r="BFO7" s="179">
        <f>IFERROR(VLOOKUP(BFO$1,PremiumIncome[[Ticker]:[Weight]],2,FALSE),0%)</f>
        <v>0</v>
      </c>
      <c r="BFP7" s="179">
        <f>IFERROR(VLOOKUP(BFP$1,PremiumIncome[[Ticker]:[Weight]],2,FALSE),0%)</f>
        <v>0</v>
      </c>
      <c r="BFQ7" s="179">
        <f>IFERROR(VLOOKUP(BFQ$1,PremiumIncome[[Ticker]:[Weight]],2,FALSE),0%)</f>
        <v>0</v>
      </c>
      <c r="BFR7" s="179">
        <f>IFERROR(VLOOKUP(BFR$1,PremiumIncome[[Ticker]:[Weight]],2,FALSE),0%)</f>
        <v>0</v>
      </c>
      <c r="BFS7" s="179">
        <f>IFERROR(VLOOKUP(BFS$1,PremiumIncome[[Ticker]:[Weight]],2,FALSE),0%)</f>
        <v>0</v>
      </c>
      <c r="BFT7" s="179">
        <f>IFERROR(VLOOKUP(BFT$1,PremiumIncome[[Ticker]:[Weight]],2,FALSE),0%)</f>
        <v>0</v>
      </c>
      <c r="BFU7" s="179">
        <f>IFERROR(VLOOKUP(BFU$1,PremiumIncome[[Ticker]:[Weight]],2,FALSE),0%)</f>
        <v>0</v>
      </c>
      <c r="BFV7" s="179">
        <f>IFERROR(VLOOKUP(BFV$1,PremiumIncome[[Ticker]:[Weight]],2,FALSE),0%)</f>
        <v>0</v>
      </c>
      <c r="BFW7" s="179">
        <f>IFERROR(VLOOKUP(BFW$1,PremiumIncome[[Ticker]:[Weight]],2,FALSE),0%)</f>
        <v>0</v>
      </c>
      <c r="BFX7" s="179">
        <f>IFERROR(VLOOKUP(BFX$1,PremiumIncome[[Ticker]:[Weight]],2,FALSE),0%)</f>
        <v>0</v>
      </c>
      <c r="BFY7" s="179">
        <f>IFERROR(VLOOKUP(BFY$1,PremiumIncome[[Ticker]:[Weight]],2,FALSE),0%)</f>
        <v>0</v>
      </c>
      <c r="BFZ7" s="179">
        <f>IFERROR(VLOOKUP(BFZ$1,PremiumIncome[[Ticker]:[Weight]],2,FALSE),0%)</f>
        <v>0</v>
      </c>
      <c r="BGA7" s="179">
        <f>IFERROR(VLOOKUP(BGA$1,PremiumIncome[[Ticker]:[Weight]],2,FALSE),0%)</f>
        <v>0</v>
      </c>
      <c r="BGB7" s="179">
        <f>IFERROR(VLOOKUP(BGB$1,PremiumIncome[[Ticker]:[Weight]],2,FALSE),0%)</f>
        <v>0</v>
      </c>
      <c r="BGC7" s="179">
        <f>IFERROR(VLOOKUP(BGC$1,PremiumIncome[[Ticker]:[Weight]],2,FALSE),0%)</f>
        <v>0</v>
      </c>
      <c r="BGD7" s="179">
        <f>IFERROR(VLOOKUP(BGD$1,PremiumIncome[[Ticker]:[Weight]],2,FALSE),0%)</f>
        <v>0</v>
      </c>
      <c r="BGE7" s="179">
        <f>IFERROR(VLOOKUP(BGE$1,PremiumIncome[[Ticker]:[Weight]],2,FALSE),0%)</f>
        <v>0</v>
      </c>
      <c r="BGF7" s="179">
        <f>IFERROR(VLOOKUP(BGF$1,PremiumIncome[[Ticker]:[Weight]],2,FALSE),0%)</f>
        <v>0</v>
      </c>
      <c r="BGG7" s="179">
        <f>IFERROR(VLOOKUP(BGG$1,PremiumIncome[[Ticker]:[Weight]],2,FALSE),0%)</f>
        <v>0</v>
      </c>
      <c r="BGH7" s="179">
        <f>IFERROR(VLOOKUP(BGH$1,PremiumIncome[[Ticker]:[Weight]],2,FALSE),0%)</f>
        <v>0</v>
      </c>
      <c r="BGI7" s="179">
        <f>IFERROR(VLOOKUP(BGI$1,PremiumIncome[[Ticker]:[Weight]],2,FALSE),0%)</f>
        <v>0</v>
      </c>
      <c r="BGJ7" s="179">
        <f>IFERROR(VLOOKUP(BGJ$1,PremiumIncome[[Ticker]:[Weight]],2,FALSE),0%)</f>
        <v>0</v>
      </c>
      <c r="BGK7" s="179">
        <f>IFERROR(VLOOKUP(BGK$1,PremiumIncome[[Ticker]:[Weight]],2,FALSE),0%)</f>
        <v>0</v>
      </c>
      <c r="BGL7" s="179">
        <f>IFERROR(VLOOKUP(BGL$1,PremiumIncome[[Ticker]:[Weight]],2,FALSE),0%)</f>
        <v>0</v>
      </c>
      <c r="BGM7" s="179">
        <f>IFERROR(VLOOKUP(BGM$1,PremiumIncome[[Ticker]:[Weight]],2,FALSE),0%)</f>
        <v>0</v>
      </c>
      <c r="BGN7" s="179">
        <f>IFERROR(VLOOKUP(BGN$1,PremiumIncome[[Ticker]:[Weight]],2,FALSE),0%)</f>
        <v>0</v>
      </c>
      <c r="BGO7" s="179">
        <f>IFERROR(VLOOKUP(BGO$1,PremiumIncome[[Ticker]:[Weight]],2,FALSE),0%)</f>
        <v>0</v>
      </c>
      <c r="BGP7" s="179">
        <f>IFERROR(VLOOKUP(BGP$1,PremiumIncome[[Ticker]:[Weight]],2,FALSE),0%)</f>
        <v>0</v>
      </c>
      <c r="BGQ7" s="179">
        <f>IFERROR(VLOOKUP(BGQ$1,PremiumIncome[[Ticker]:[Weight]],2,FALSE),0%)</f>
        <v>0</v>
      </c>
      <c r="BGR7" s="179">
        <f>IFERROR(VLOOKUP(BGR$1,PremiumIncome[[Ticker]:[Weight]],2,FALSE),0%)</f>
        <v>0</v>
      </c>
      <c r="BGS7" s="179">
        <f>IFERROR(VLOOKUP(BGS$1,PremiumIncome[[Ticker]:[Weight]],2,FALSE),0%)</f>
        <v>0</v>
      </c>
      <c r="BGT7" s="179">
        <f>IFERROR(VLOOKUP(BGT$1,PremiumIncome[[Ticker]:[Weight]],2,FALSE),0%)</f>
        <v>0</v>
      </c>
      <c r="BGU7" s="179">
        <f>IFERROR(VLOOKUP(BGU$1,PremiumIncome[[Ticker]:[Weight]],2,FALSE),0%)</f>
        <v>0</v>
      </c>
      <c r="BGV7" s="179">
        <f>IFERROR(VLOOKUP(BGV$1,PremiumIncome[[Ticker]:[Weight]],2,FALSE),0%)</f>
        <v>0</v>
      </c>
      <c r="BGW7" s="179">
        <f>IFERROR(VLOOKUP(BGW$1,PremiumIncome[[Ticker]:[Weight]],2,FALSE),0%)</f>
        <v>0</v>
      </c>
      <c r="BGX7" s="179">
        <f>IFERROR(VLOOKUP(BGX$1,PremiumIncome[[Ticker]:[Weight]],2,FALSE),0%)</f>
        <v>0</v>
      </c>
      <c r="BGY7" s="179">
        <f>IFERROR(VLOOKUP(BGY$1,PremiumIncome[[Ticker]:[Weight]],2,FALSE),0%)</f>
        <v>0</v>
      </c>
      <c r="BGZ7" s="179">
        <f>IFERROR(VLOOKUP(BGZ$1,PremiumIncome[[Ticker]:[Weight]],2,FALSE),0%)</f>
        <v>0</v>
      </c>
      <c r="BHA7" s="179">
        <f>IFERROR(VLOOKUP(BHA$1,PremiumIncome[[Ticker]:[Weight]],2,FALSE),0%)</f>
        <v>0</v>
      </c>
      <c r="BHB7" s="179">
        <f>IFERROR(VLOOKUP(BHB$1,PremiumIncome[[Ticker]:[Weight]],2,FALSE),0%)</f>
        <v>0</v>
      </c>
      <c r="BHC7" s="179">
        <f>IFERROR(VLOOKUP(BHC$1,PremiumIncome[[Ticker]:[Weight]],2,FALSE),0%)</f>
        <v>0</v>
      </c>
      <c r="BHD7" s="179">
        <f>IFERROR(VLOOKUP(BHD$1,PremiumIncome[[Ticker]:[Weight]],2,FALSE),0%)</f>
        <v>0</v>
      </c>
      <c r="BHE7" s="179">
        <f>IFERROR(VLOOKUP(BHE$1,PremiumIncome[[Ticker]:[Weight]],2,FALSE),0%)</f>
        <v>0</v>
      </c>
      <c r="BHF7" s="179">
        <f>IFERROR(VLOOKUP(BHF$1,PremiumIncome[[Ticker]:[Weight]],2,FALSE),0%)</f>
        <v>0</v>
      </c>
      <c r="BHG7" s="179">
        <f>IFERROR(VLOOKUP(BHG$1,PremiumIncome[[Ticker]:[Weight]],2,FALSE),0%)</f>
        <v>0</v>
      </c>
      <c r="BHH7" s="179">
        <f>IFERROR(VLOOKUP(BHH$1,PremiumIncome[[Ticker]:[Weight]],2,FALSE),0%)</f>
        <v>0</v>
      </c>
      <c r="BHI7" s="179">
        <f>IFERROR(VLOOKUP(BHI$1,PremiumIncome[[Ticker]:[Weight]],2,FALSE),0%)</f>
        <v>0</v>
      </c>
      <c r="BHJ7" s="179">
        <f>IFERROR(VLOOKUP(BHJ$1,PremiumIncome[[Ticker]:[Weight]],2,FALSE),0%)</f>
        <v>0</v>
      </c>
      <c r="BHK7" s="179">
        <f>IFERROR(VLOOKUP(BHK$1,PremiumIncome[[Ticker]:[Weight]],2,FALSE),0%)</f>
        <v>0</v>
      </c>
      <c r="BHL7" s="179">
        <f>IFERROR(VLOOKUP(BHL$1,PremiumIncome[[Ticker]:[Weight]],2,FALSE),0%)</f>
        <v>0</v>
      </c>
      <c r="BHM7" s="179">
        <f>IFERROR(VLOOKUP(BHM$1,PremiumIncome[[Ticker]:[Weight]],2,FALSE),0%)</f>
        <v>0</v>
      </c>
      <c r="BHN7" s="179">
        <f>IFERROR(VLOOKUP(BHN$1,PremiumIncome[[Ticker]:[Weight]],2,FALSE),0%)</f>
        <v>0</v>
      </c>
      <c r="BHO7" s="179">
        <f>IFERROR(VLOOKUP(BHO$1,PremiumIncome[[Ticker]:[Weight]],2,FALSE),0%)</f>
        <v>0</v>
      </c>
      <c r="BHP7" s="179">
        <f>IFERROR(VLOOKUP(BHP$1,PremiumIncome[[Ticker]:[Weight]],2,FALSE),0%)</f>
        <v>0</v>
      </c>
      <c r="BHQ7" s="179">
        <f>IFERROR(VLOOKUP(BHQ$1,PremiumIncome[[Ticker]:[Weight]],2,FALSE),0%)</f>
        <v>0</v>
      </c>
      <c r="BHR7" s="179">
        <f>IFERROR(VLOOKUP(BHR$1,PremiumIncome[[Ticker]:[Weight]],2,FALSE),0%)</f>
        <v>0</v>
      </c>
      <c r="BHS7" s="179">
        <f>IFERROR(VLOOKUP(BHS$1,PremiumIncome[[Ticker]:[Weight]],2,FALSE),0%)</f>
        <v>0</v>
      </c>
      <c r="BHT7" s="179">
        <f>IFERROR(VLOOKUP(BHT$1,PremiumIncome[[Ticker]:[Weight]],2,FALSE),0%)</f>
        <v>0</v>
      </c>
      <c r="BHU7" s="179">
        <f>IFERROR(VLOOKUP(BHU$1,PremiumIncome[[Ticker]:[Weight]],2,FALSE),0%)</f>
        <v>0</v>
      </c>
      <c r="BHV7" s="179">
        <f>IFERROR(VLOOKUP(BHV$1,PremiumIncome[[Ticker]:[Weight]],2,FALSE),0%)</f>
        <v>0</v>
      </c>
      <c r="BHW7" s="179">
        <f>IFERROR(VLOOKUP(BHW$1,PremiumIncome[[Ticker]:[Weight]],2,FALSE),0%)</f>
        <v>0</v>
      </c>
      <c r="BHX7" s="179">
        <f>IFERROR(VLOOKUP(BHX$1,PremiumIncome[[Ticker]:[Weight]],2,FALSE),0%)</f>
        <v>0</v>
      </c>
      <c r="BHY7" s="179">
        <f>IFERROR(VLOOKUP(BHY$1,PremiumIncome[[Ticker]:[Weight]],2,FALSE),0%)</f>
        <v>0</v>
      </c>
      <c r="BHZ7" s="179">
        <f>IFERROR(VLOOKUP(BHZ$1,PremiumIncome[[Ticker]:[Weight]],2,FALSE),0%)</f>
        <v>0</v>
      </c>
      <c r="BIA7" s="179">
        <f>IFERROR(VLOOKUP(BIA$1,PremiumIncome[[Ticker]:[Weight]],2,FALSE),0%)</f>
        <v>0</v>
      </c>
      <c r="BIB7" s="179">
        <f>IFERROR(VLOOKUP(BIB$1,PremiumIncome[[Ticker]:[Weight]],2,FALSE),0%)</f>
        <v>0</v>
      </c>
      <c r="BIC7" s="179">
        <f>IFERROR(VLOOKUP(BIC$1,PremiumIncome[[Ticker]:[Weight]],2,FALSE),0%)</f>
        <v>0</v>
      </c>
      <c r="BID7" s="179">
        <f>IFERROR(VLOOKUP(BID$1,PremiumIncome[[Ticker]:[Weight]],2,FALSE),0%)</f>
        <v>0</v>
      </c>
      <c r="BIE7" s="179">
        <f>IFERROR(VLOOKUP(BIE$1,PremiumIncome[[Ticker]:[Weight]],2,FALSE),0%)</f>
        <v>0</v>
      </c>
      <c r="BIF7" s="179">
        <f>IFERROR(VLOOKUP(BIF$1,PremiumIncome[[Ticker]:[Weight]],2,FALSE),0%)</f>
        <v>0</v>
      </c>
      <c r="BIG7" s="179">
        <f>IFERROR(VLOOKUP(BIG$1,PremiumIncome[[Ticker]:[Weight]],2,FALSE),0%)</f>
        <v>0</v>
      </c>
      <c r="BIH7" s="179">
        <f>IFERROR(VLOOKUP(BIH$1,PremiumIncome[[Ticker]:[Weight]],2,FALSE),0%)</f>
        <v>0</v>
      </c>
      <c r="BII7" s="179">
        <f>IFERROR(VLOOKUP(BII$1,PremiumIncome[[Ticker]:[Weight]],2,FALSE),0%)</f>
        <v>0</v>
      </c>
      <c r="BIJ7" s="179">
        <f>IFERROR(VLOOKUP(BIJ$1,PremiumIncome[[Ticker]:[Weight]],2,FALSE),0%)</f>
        <v>0</v>
      </c>
      <c r="BIK7" s="179">
        <f>IFERROR(VLOOKUP(BIK$1,PremiumIncome[[Ticker]:[Weight]],2,FALSE),0%)</f>
        <v>0</v>
      </c>
      <c r="BIL7" s="179">
        <f>IFERROR(VLOOKUP(BIL$1,PremiumIncome[[Ticker]:[Weight]],2,FALSE),0%)</f>
        <v>0</v>
      </c>
      <c r="BIM7" s="179">
        <f>IFERROR(VLOOKUP(BIM$1,PremiumIncome[[Ticker]:[Weight]],2,FALSE),0%)</f>
        <v>0</v>
      </c>
      <c r="BIN7" s="179">
        <f>IFERROR(VLOOKUP(BIN$1,PremiumIncome[[Ticker]:[Weight]],2,FALSE),0%)</f>
        <v>0</v>
      </c>
      <c r="BIO7" s="179">
        <f>IFERROR(VLOOKUP(BIO$1,PremiumIncome[[Ticker]:[Weight]],2,FALSE),0%)</f>
        <v>0</v>
      </c>
      <c r="BIP7" s="179">
        <f>IFERROR(VLOOKUP(BIP$1,PremiumIncome[[Ticker]:[Weight]],2,FALSE),0%)</f>
        <v>0</v>
      </c>
      <c r="BIQ7" s="179">
        <f>IFERROR(VLOOKUP(BIQ$1,PremiumIncome[[Ticker]:[Weight]],2,FALSE),0%)</f>
        <v>0</v>
      </c>
      <c r="BIR7" s="179">
        <f>IFERROR(VLOOKUP(BIR$1,PremiumIncome[[Ticker]:[Weight]],2,FALSE),0%)</f>
        <v>0</v>
      </c>
      <c r="BIS7" s="179">
        <f>IFERROR(VLOOKUP(BIS$1,PremiumIncome[[Ticker]:[Weight]],2,FALSE),0%)</f>
        <v>0</v>
      </c>
      <c r="BIT7" s="179">
        <f>IFERROR(VLOOKUP(BIT$1,PremiumIncome[[Ticker]:[Weight]],2,FALSE),0%)</f>
        <v>0</v>
      </c>
      <c r="BIU7" s="179">
        <f>IFERROR(VLOOKUP(BIU$1,PremiumIncome[[Ticker]:[Weight]],2,FALSE),0%)</f>
        <v>0</v>
      </c>
      <c r="BIV7" s="179">
        <f>IFERROR(VLOOKUP(BIV$1,PremiumIncome[[Ticker]:[Weight]],2,FALSE),0%)</f>
        <v>0</v>
      </c>
      <c r="BIW7" s="179">
        <f>IFERROR(VLOOKUP(BIW$1,PremiumIncome[[Ticker]:[Weight]],2,FALSE),0%)</f>
        <v>0</v>
      </c>
      <c r="BIX7" s="179">
        <f>IFERROR(VLOOKUP(BIX$1,PremiumIncome[[Ticker]:[Weight]],2,FALSE),0%)</f>
        <v>0</v>
      </c>
      <c r="BIY7" s="179">
        <f>IFERROR(VLOOKUP(BIY$1,PremiumIncome[[Ticker]:[Weight]],2,FALSE),0%)</f>
        <v>0</v>
      </c>
      <c r="BIZ7" s="179">
        <f>IFERROR(VLOOKUP(BIZ$1,PremiumIncome[[Ticker]:[Weight]],2,FALSE),0%)</f>
        <v>0</v>
      </c>
      <c r="BJA7" s="179">
        <f>IFERROR(VLOOKUP(BJA$1,PremiumIncome[[Ticker]:[Weight]],2,FALSE),0%)</f>
        <v>0</v>
      </c>
      <c r="BJB7" s="179">
        <f>IFERROR(VLOOKUP(BJB$1,PremiumIncome[[Ticker]:[Weight]],2,FALSE),0%)</f>
        <v>0</v>
      </c>
      <c r="BJC7" s="179">
        <f>IFERROR(VLOOKUP(BJC$1,PremiumIncome[[Ticker]:[Weight]],2,FALSE),0%)</f>
        <v>0</v>
      </c>
      <c r="BJD7" s="179">
        <f>IFERROR(VLOOKUP(BJD$1,PremiumIncome[[Ticker]:[Weight]],2,FALSE),0%)</f>
        <v>0</v>
      </c>
      <c r="BJE7" s="179">
        <f>IFERROR(VLOOKUP(BJE$1,PremiumIncome[[Ticker]:[Weight]],2,FALSE),0%)</f>
        <v>0</v>
      </c>
      <c r="BJF7" s="179">
        <f>IFERROR(VLOOKUP(BJF$1,PremiumIncome[[Ticker]:[Weight]],2,FALSE),0%)</f>
        <v>0</v>
      </c>
      <c r="BJG7" s="179">
        <f>IFERROR(VLOOKUP(BJG$1,PremiumIncome[[Ticker]:[Weight]],2,FALSE),0%)</f>
        <v>0</v>
      </c>
      <c r="BJH7" s="179">
        <f>IFERROR(VLOOKUP(BJH$1,PremiumIncome[[Ticker]:[Weight]],2,FALSE),0%)</f>
        <v>0</v>
      </c>
      <c r="BJI7" s="179">
        <f>IFERROR(VLOOKUP(BJI$1,PremiumIncome[[Ticker]:[Weight]],2,FALSE),0%)</f>
        <v>0</v>
      </c>
      <c r="BJJ7" s="179">
        <f>IFERROR(VLOOKUP(BJJ$1,PremiumIncome[[Ticker]:[Weight]],2,FALSE),0%)</f>
        <v>0</v>
      </c>
      <c r="BJK7" s="179">
        <f>IFERROR(VLOOKUP(BJK$1,PremiumIncome[[Ticker]:[Weight]],2,FALSE),0%)</f>
        <v>0</v>
      </c>
      <c r="BJL7" s="179">
        <f>IFERROR(VLOOKUP(BJL$1,PremiumIncome[[Ticker]:[Weight]],2,FALSE),0%)</f>
        <v>0</v>
      </c>
      <c r="BJM7" s="179">
        <f>IFERROR(VLOOKUP(BJM$1,PremiumIncome[[Ticker]:[Weight]],2,FALSE),0%)</f>
        <v>0</v>
      </c>
      <c r="BJN7" s="179">
        <f>IFERROR(VLOOKUP(BJN$1,PremiumIncome[[Ticker]:[Weight]],2,FALSE),0%)</f>
        <v>0</v>
      </c>
      <c r="BJO7" s="179">
        <f>IFERROR(VLOOKUP(BJO$1,PremiumIncome[[Ticker]:[Weight]],2,FALSE),0%)</f>
        <v>0</v>
      </c>
      <c r="BJP7" s="179">
        <f>IFERROR(VLOOKUP(BJP$1,PremiumIncome[[Ticker]:[Weight]],2,FALSE),0%)</f>
        <v>0</v>
      </c>
      <c r="BJQ7" s="179">
        <f>IFERROR(VLOOKUP(BJQ$1,PremiumIncome[[Ticker]:[Weight]],2,FALSE),0%)</f>
        <v>0</v>
      </c>
      <c r="BJR7" s="179">
        <f>IFERROR(VLOOKUP(BJR$1,PremiumIncome[[Ticker]:[Weight]],2,FALSE),0%)</f>
        <v>0</v>
      </c>
      <c r="BJS7" s="179">
        <f>IFERROR(VLOOKUP(BJS$1,PremiumIncome[[Ticker]:[Weight]],2,FALSE),0%)</f>
        <v>0</v>
      </c>
      <c r="BJT7" s="179">
        <f>IFERROR(VLOOKUP(BJT$1,PremiumIncome[[Ticker]:[Weight]],2,FALSE),0%)</f>
        <v>0</v>
      </c>
      <c r="BJU7" s="179">
        <f>IFERROR(VLOOKUP(BJU$1,PremiumIncome[[Ticker]:[Weight]],2,FALSE),0%)</f>
        <v>0</v>
      </c>
      <c r="BJV7" s="179">
        <f>IFERROR(VLOOKUP(BJV$1,PremiumIncome[[Ticker]:[Weight]],2,FALSE),0%)</f>
        <v>0</v>
      </c>
      <c r="BJW7" s="179">
        <f>IFERROR(VLOOKUP(BJW$1,PremiumIncome[[Ticker]:[Weight]],2,FALSE),0%)</f>
        <v>0</v>
      </c>
      <c r="BJX7" s="179">
        <f>IFERROR(VLOOKUP(BJX$1,PremiumIncome[[Ticker]:[Weight]],2,FALSE),0%)</f>
        <v>0</v>
      </c>
      <c r="BJY7" s="179">
        <f>IFERROR(VLOOKUP(BJY$1,PremiumIncome[[Ticker]:[Weight]],2,FALSE),0%)</f>
        <v>0</v>
      </c>
      <c r="BJZ7" s="179">
        <f>IFERROR(VLOOKUP(BJZ$1,PremiumIncome[[Ticker]:[Weight]],2,FALSE),0%)</f>
        <v>0</v>
      </c>
      <c r="BKA7" s="179">
        <f>IFERROR(VLOOKUP(BKA$1,PremiumIncome[[Ticker]:[Weight]],2,FALSE),0%)</f>
        <v>0</v>
      </c>
      <c r="BKB7" s="179">
        <f>IFERROR(VLOOKUP(BKB$1,PremiumIncome[[Ticker]:[Weight]],2,FALSE),0%)</f>
        <v>0</v>
      </c>
      <c r="BKC7" s="179">
        <f>IFERROR(VLOOKUP(BKC$1,PremiumIncome[[Ticker]:[Weight]],2,FALSE),0%)</f>
        <v>0</v>
      </c>
      <c r="BKD7" s="179">
        <f>IFERROR(VLOOKUP(BKD$1,PremiumIncome[[Ticker]:[Weight]],2,FALSE),0%)</f>
        <v>0</v>
      </c>
      <c r="BKE7" s="179">
        <f>IFERROR(VLOOKUP(BKE$1,PremiumIncome[[Ticker]:[Weight]],2,FALSE),0%)</f>
        <v>0</v>
      </c>
      <c r="BKF7" s="179">
        <f>IFERROR(VLOOKUP(BKF$1,PremiumIncome[[Ticker]:[Weight]],2,FALSE),0%)</f>
        <v>0</v>
      </c>
      <c r="BKG7" s="179">
        <f>IFERROR(VLOOKUP(BKG$1,PremiumIncome[[Ticker]:[Weight]],2,FALSE),0%)</f>
        <v>0</v>
      </c>
      <c r="BKH7" s="179">
        <f>IFERROR(VLOOKUP(BKH$1,PremiumIncome[[Ticker]:[Weight]],2,FALSE),0%)</f>
        <v>0</v>
      </c>
      <c r="BKI7" s="179">
        <f>IFERROR(VLOOKUP(BKI$1,PremiumIncome[[Ticker]:[Weight]],2,FALSE),0%)</f>
        <v>0</v>
      </c>
      <c r="BKJ7" s="179">
        <f>IFERROR(VLOOKUP(BKJ$1,PremiumIncome[[Ticker]:[Weight]],2,FALSE),0%)</f>
        <v>0</v>
      </c>
      <c r="BKK7" s="179">
        <f>IFERROR(VLOOKUP(BKK$1,PremiumIncome[[Ticker]:[Weight]],2,FALSE),0%)</f>
        <v>0</v>
      </c>
      <c r="BKL7" s="179">
        <f>IFERROR(VLOOKUP(BKL$1,PremiumIncome[[Ticker]:[Weight]],2,FALSE),0%)</f>
        <v>0</v>
      </c>
      <c r="BKM7" s="179">
        <f>IFERROR(VLOOKUP(BKM$1,PremiumIncome[[Ticker]:[Weight]],2,FALSE),0%)</f>
        <v>0</v>
      </c>
      <c r="BKN7" s="179">
        <f>IFERROR(VLOOKUP(BKN$1,PremiumIncome[[Ticker]:[Weight]],2,FALSE),0%)</f>
        <v>0</v>
      </c>
      <c r="BKO7" s="179">
        <f>IFERROR(VLOOKUP(BKO$1,PremiumIncome[[Ticker]:[Weight]],2,FALSE),0%)</f>
        <v>0</v>
      </c>
      <c r="BKP7" s="179">
        <f>IFERROR(VLOOKUP(BKP$1,PremiumIncome[[Ticker]:[Weight]],2,FALSE),0%)</f>
        <v>0</v>
      </c>
      <c r="BKQ7" s="179">
        <f>IFERROR(VLOOKUP(BKQ$1,PremiumIncome[[Ticker]:[Weight]],2,FALSE),0%)</f>
        <v>0</v>
      </c>
      <c r="BKR7" s="179">
        <f>IFERROR(VLOOKUP(BKR$1,PremiumIncome[[Ticker]:[Weight]],2,FALSE),0%)</f>
        <v>0</v>
      </c>
      <c r="BKS7" s="179">
        <f>IFERROR(VLOOKUP(BKS$1,PremiumIncome[[Ticker]:[Weight]],2,FALSE),0%)</f>
        <v>0</v>
      </c>
      <c r="BKT7" s="179">
        <f>IFERROR(VLOOKUP(BKT$1,PremiumIncome[[Ticker]:[Weight]],2,FALSE),0%)</f>
        <v>0</v>
      </c>
      <c r="BKU7" s="179">
        <f>IFERROR(VLOOKUP(BKU$1,PremiumIncome[[Ticker]:[Weight]],2,FALSE),0%)</f>
        <v>0</v>
      </c>
      <c r="BKV7" s="179">
        <f>IFERROR(VLOOKUP(BKV$1,PremiumIncome[[Ticker]:[Weight]],2,FALSE),0%)</f>
        <v>0</v>
      </c>
      <c r="BKW7" s="179">
        <f>IFERROR(VLOOKUP(BKW$1,PremiumIncome[[Ticker]:[Weight]],2,FALSE),0%)</f>
        <v>0</v>
      </c>
      <c r="BKX7" s="179">
        <f>IFERROR(VLOOKUP(BKX$1,PremiumIncome[[Ticker]:[Weight]],2,FALSE),0%)</f>
        <v>0</v>
      </c>
      <c r="BKY7" s="179">
        <f>IFERROR(VLOOKUP(BKY$1,PremiumIncome[[Ticker]:[Weight]],2,FALSE),0%)</f>
        <v>0</v>
      </c>
      <c r="BKZ7" s="179">
        <f>IFERROR(VLOOKUP(BKZ$1,PremiumIncome[[Ticker]:[Weight]],2,FALSE),0%)</f>
        <v>0.2228555252</v>
      </c>
      <c r="BLA7" s="179">
        <f>IFERROR(VLOOKUP(BLA$1,PremiumIncome[[Ticker]:[Weight]],2,FALSE),0%)</f>
        <v>0</v>
      </c>
      <c r="BLB7" s="179">
        <f>IFERROR(VLOOKUP(BLB$1,PremiumIncome[[Ticker]:[Weight]],2,FALSE),0%)</f>
        <v>0</v>
      </c>
      <c r="BLC7" s="179">
        <f>IFERROR(VLOOKUP(BLC$1,PremiumIncome[[Ticker]:[Weight]],2,FALSE),0%)</f>
        <v>0</v>
      </c>
      <c r="BLD7" s="179">
        <f>IFERROR(VLOOKUP(BLD$1,PremiumIncome[[Ticker]:[Weight]],2,FALSE),0%)</f>
        <v>0</v>
      </c>
      <c r="BLE7" s="179">
        <f>IFERROR(VLOOKUP(BLE$1,PremiumIncome[[Ticker]:[Weight]],2,FALSE),0%)</f>
        <v>0</v>
      </c>
      <c r="BLF7" s="179">
        <f>IFERROR(VLOOKUP(BLF$1,PremiumIncome[[Ticker]:[Weight]],2,FALSE),0%)</f>
        <v>0</v>
      </c>
      <c r="BLG7" s="179">
        <f>IFERROR(VLOOKUP(BLG$1,PremiumIncome[[Ticker]:[Weight]],2,FALSE),0%)</f>
        <v>0</v>
      </c>
      <c r="BLH7" s="179">
        <f>IFERROR(VLOOKUP(BLH$1,PremiumIncome[[Ticker]:[Weight]],2,FALSE),0%)</f>
        <v>0</v>
      </c>
      <c r="BLI7" s="179">
        <f>IFERROR(VLOOKUP(BLI$1,PremiumIncome[[Ticker]:[Weight]],2,FALSE),0%)</f>
        <v>0</v>
      </c>
      <c r="BLJ7" s="179">
        <f>IFERROR(VLOOKUP(BLJ$1,PremiumIncome[[Ticker]:[Weight]],2,FALSE),0%)</f>
        <v>0</v>
      </c>
      <c r="BLK7" s="179">
        <f>IFERROR(VLOOKUP(BLK$1,PremiumIncome[[Ticker]:[Weight]],2,FALSE),0%)</f>
        <v>0</v>
      </c>
      <c r="BLL7" s="179">
        <f>IFERROR(VLOOKUP(BLL$1,PremiumIncome[[Ticker]:[Weight]],2,FALSE),0%)</f>
        <v>0</v>
      </c>
      <c r="BLM7" s="179">
        <f>IFERROR(VLOOKUP(BLM$1,PremiumIncome[[Ticker]:[Weight]],2,FALSE),0%)</f>
        <v>0</v>
      </c>
      <c r="BLN7" s="179">
        <f>IFERROR(VLOOKUP(BLN$1,PremiumIncome[[Ticker]:[Weight]],2,FALSE),0%)</f>
        <v>0</v>
      </c>
      <c r="BLO7" s="179">
        <f>IFERROR(VLOOKUP(BLO$1,PremiumIncome[[Ticker]:[Weight]],2,FALSE),0%)</f>
        <v>0</v>
      </c>
      <c r="BLP7" s="179">
        <f>IFERROR(VLOOKUP(BLP$1,PremiumIncome[[Ticker]:[Weight]],2,FALSE),0%)</f>
        <v>0</v>
      </c>
      <c r="BLQ7" s="179">
        <f>IFERROR(VLOOKUP(BLQ$1,PremiumIncome[[Ticker]:[Weight]],2,FALSE),0%)</f>
        <v>0</v>
      </c>
      <c r="BLR7" s="179">
        <f>IFERROR(VLOOKUP(BLR$1,PremiumIncome[[Ticker]:[Weight]],2,FALSE),0%)</f>
        <v>0</v>
      </c>
      <c r="BLS7" s="179">
        <f>IFERROR(VLOOKUP(BLS$1,PremiumIncome[[Ticker]:[Weight]],2,FALSE),0%)</f>
        <v>0</v>
      </c>
      <c r="BLT7" s="179">
        <f>IFERROR(VLOOKUP(BLT$1,PremiumIncome[[Ticker]:[Weight]],2,FALSE),0%)</f>
        <v>0</v>
      </c>
      <c r="BLU7" s="179">
        <f>IFERROR(VLOOKUP(BLU$1,PremiumIncome[[Ticker]:[Weight]],2,FALSE),0%)</f>
        <v>0</v>
      </c>
      <c r="BLV7" s="179">
        <f>IFERROR(VLOOKUP(BLV$1,PremiumIncome[[Ticker]:[Weight]],2,FALSE),0%)</f>
        <v>0</v>
      </c>
      <c r="BLW7" s="179">
        <f>IFERROR(VLOOKUP(BLW$1,PremiumIncome[[Ticker]:[Weight]],2,FALSE),0%)</f>
        <v>0</v>
      </c>
      <c r="BLX7" s="179">
        <f>IFERROR(VLOOKUP(BLX$1,PremiumIncome[[Ticker]:[Weight]],2,FALSE),0%)</f>
        <v>0</v>
      </c>
      <c r="BLY7" s="179">
        <f>IFERROR(VLOOKUP(BLY$1,PremiumIncome[[Ticker]:[Weight]],2,FALSE),0%)</f>
        <v>0</v>
      </c>
      <c r="BLZ7" s="179">
        <f>IFERROR(VLOOKUP(BLZ$1,PremiumIncome[[Ticker]:[Weight]],2,FALSE),0%)</f>
        <v>0</v>
      </c>
      <c r="BMA7" s="179">
        <f>IFERROR(VLOOKUP(BMA$1,PremiumIncome[[Ticker]:[Weight]],2,FALSE),0%)</f>
        <v>0</v>
      </c>
      <c r="BMB7" s="179">
        <f>IFERROR(VLOOKUP(BMB$1,PremiumIncome[[Ticker]:[Weight]],2,FALSE),0%)</f>
        <v>0</v>
      </c>
      <c r="BMC7" s="179">
        <f>IFERROR(VLOOKUP(BMC$1,PremiumIncome[[Ticker]:[Weight]],2,FALSE),0%)</f>
        <v>0</v>
      </c>
      <c r="BMD7" s="179">
        <f>IFERROR(VLOOKUP(BMD$1,PremiumIncome[[Ticker]:[Weight]],2,FALSE),0%)</f>
        <v>0</v>
      </c>
      <c r="BME7" s="179">
        <f>IFERROR(VLOOKUP(BME$1,PremiumIncome[[Ticker]:[Weight]],2,FALSE),0%)</f>
        <v>0</v>
      </c>
      <c r="BMF7" s="179">
        <f>IFERROR(VLOOKUP(BMF$1,PremiumIncome[[Ticker]:[Weight]],2,FALSE),0%)</f>
        <v>0</v>
      </c>
      <c r="BMG7" s="179">
        <f>IFERROR(VLOOKUP(BMG$1,PremiumIncome[[Ticker]:[Weight]],2,FALSE),0%)</f>
        <v>0</v>
      </c>
      <c r="BMH7" s="179">
        <f>IFERROR(VLOOKUP(BMH$1,PremiumIncome[[Ticker]:[Weight]],2,FALSE),0%)</f>
        <v>0</v>
      </c>
      <c r="BMI7" s="179">
        <f>IFERROR(VLOOKUP(BMI$1,PremiumIncome[[Ticker]:[Weight]],2,FALSE),0%)</f>
        <v>0</v>
      </c>
      <c r="BMJ7" s="179">
        <f>IFERROR(VLOOKUP(BMJ$1,PremiumIncome[[Ticker]:[Weight]],2,FALSE),0%)</f>
        <v>0</v>
      </c>
      <c r="BMK7" s="179">
        <f>IFERROR(VLOOKUP(BMK$1,PremiumIncome[[Ticker]:[Weight]],2,FALSE),0%)</f>
        <v>0</v>
      </c>
      <c r="BML7" s="179">
        <f>IFERROR(VLOOKUP(BML$1,PremiumIncome[[Ticker]:[Weight]],2,FALSE),0%)</f>
        <v>0</v>
      </c>
      <c r="BMM7" s="179">
        <f>IFERROR(VLOOKUP(BMM$1,PremiumIncome[[Ticker]:[Weight]],2,FALSE),0%)</f>
        <v>0</v>
      </c>
      <c r="BMN7" s="179">
        <f>IFERROR(VLOOKUP(BMN$1,PremiumIncome[[Ticker]:[Weight]],2,FALSE),0%)</f>
        <v>0</v>
      </c>
      <c r="BMO7" s="179">
        <f>IFERROR(VLOOKUP(BMO$1,PremiumIncome[[Ticker]:[Weight]],2,FALSE),0%)</f>
        <v>0</v>
      </c>
      <c r="BMP7" s="179">
        <f>IFERROR(VLOOKUP(BMP$1,PremiumIncome[[Ticker]:[Weight]],2,FALSE),0%)</f>
        <v>0</v>
      </c>
      <c r="BMQ7" s="179">
        <f>IFERROR(VLOOKUP(BMQ$1,PremiumIncome[[Ticker]:[Weight]],2,FALSE),0%)</f>
        <v>0</v>
      </c>
      <c r="BMR7" s="179">
        <f>IFERROR(VLOOKUP(BMR$1,PremiumIncome[[Ticker]:[Weight]],2,FALSE),0%)</f>
        <v>0</v>
      </c>
      <c r="BMS7" s="179">
        <f>IFERROR(VLOOKUP(BMS$1,PremiumIncome[[Ticker]:[Weight]],2,FALSE),0%)</f>
        <v>0</v>
      </c>
      <c r="BMT7" s="179">
        <f>IFERROR(VLOOKUP(BMT$1,PremiumIncome[[Ticker]:[Weight]],2,FALSE),0%)</f>
        <v>0</v>
      </c>
      <c r="BMU7" s="179">
        <f>IFERROR(VLOOKUP(BMU$1,PremiumIncome[[Ticker]:[Weight]],2,FALSE),0%)</f>
        <v>0</v>
      </c>
      <c r="BMV7" s="179">
        <f>IFERROR(VLOOKUP(BMV$1,PremiumIncome[[Ticker]:[Weight]],2,FALSE),0%)</f>
        <v>0</v>
      </c>
      <c r="BMW7" s="179">
        <f>IFERROR(VLOOKUP(BMW$1,PremiumIncome[[Ticker]:[Weight]],2,FALSE),0%)</f>
        <v>0</v>
      </c>
      <c r="BMX7" s="179">
        <f>IFERROR(VLOOKUP(BMX$1,PremiumIncome[[Ticker]:[Weight]],2,FALSE),0%)</f>
        <v>0</v>
      </c>
      <c r="BMY7" s="179">
        <f>IFERROR(VLOOKUP(BMY$1,PremiumIncome[[Ticker]:[Weight]],2,FALSE),0%)</f>
        <v>0</v>
      </c>
      <c r="BMZ7" s="179">
        <f>IFERROR(VLOOKUP(BMZ$1,PremiumIncome[[Ticker]:[Weight]],2,FALSE),0%)</f>
        <v>0</v>
      </c>
      <c r="BNA7" s="179">
        <f>IFERROR(VLOOKUP(BNA$1,PremiumIncome[[Ticker]:[Weight]],2,FALSE),0%)</f>
        <v>0</v>
      </c>
      <c r="BNB7" s="179">
        <f>IFERROR(VLOOKUP(BNB$1,PremiumIncome[[Ticker]:[Weight]],2,FALSE),0%)</f>
        <v>0</v>
      </c>
      <c r="BNC7" s="179">
        <f>IFERROR(VLOOKUP(BNC$1,PremiumIncome[[Ticker]:[Weight]],2,FALSE),0%)</f>
        <v>0</v>
      </c>
      <c r="BND7" s="179">
        <f>IFERROR(VLOOKUP(BND$1,PremiumIncome[[Ticker]:[Weight]],2,FALSE),0%)</f>
        <v>0</v>
      </c>
      <c r="BNE7" s="179">
        <f>IFERROR(VLOOKUP(BNE$1,PremiumIncome[[Ticker]:[Weight]],2,FALSE),0%)</f>
        <v>0</v>
      </c>
      <c r="BNF7" s="179">
        <f>IFERROR(VLOOKUP(BNF$1,PremiumIncome[[Ticker]:[Weight]],2,FALSE),0%)</f>
        <v>0</v>
      </c>
      <c r="BNG7" s="179">
        <f>IFERROR(VLOOKUP(BNG$1,PremiumIncome[[Ticker]:[Weight]],2,FALSE),0%)</f>
        <v>0</v>
      </c>
      <c r="BNH7" s="179">
        <f>IFERROR(VLOOKUP(BNH$1,PremiumIncome[[Ticker]:[Weight]],2,FALSE),0%)</f>
        <v>0</v>
      </c>
      <c r="BNI7" s="179">
        <f>IFERROR(VLOOKUP(BNI$1,PremiumIncome[[Ticker]:[Weight]],2,FALSE),0%)</f>
        <v>0</v>
      </c>
      <c r="BNJ7" s="179">
        <f>IFERROR(VLOOKUP(BNJ$1,PremiumIncome[[Ticker]:[Weight]],2,FALSE),0%)</f>
        <v>0</v>
      </c>
      <c r="BNK7" s="179">
        <f>IFERROR(VLOOKUP(BNK$1,PremiumIncome[[Ticker]:[Weight]],2,FALSE),0%)</f>
        <v>0</v>
      </c>
      <c r="BNL7" s="179">
        <f>IFERROR(VLOOKUP(BNL$1,PremiumIncome[[Ticker]:[Weight]],2,FALSE),0%)</f>
        <v>0</v>
      </c>
      <c r="BNM7" s="179">
        <f>IFERROR(VLOOKUP(BNM$1,PremiumIncome[[Ticker]:[Weight]],2,FALSE),0%)</f>
        <v>0</v>
      </c>
      <c r="BNN7" s="179">
        <f>IFERROR(VLOOKUP(BNN$1,PremiumIncome[[Ticker]:[Weight]],2,FALSE),0%)</f>
        <v>0</v>
      </c>
      <c r="BNO7" s="179">
        <f>IFERROR(VLOOKUP(BNO$1,PremiumIncome[[Ticker]:[Weight]],2,FALSE),0%)</f>
        <v>0</v>
      </c>
      <c r="BNP7" s="179">
        <f>IFERROR(VLOOKUP(BNP$1,PremiumIncome[[Ticker]:[Weight]],2,FALSE),0%)</f>
        <v>0</v>
      </c>
      <c r="BNQ7" s="179">
        <f>IFERROR(VLOOKUP(BNQ$1,PremiumIncome[[Ticker]:[Weight]],2,FALSE),0%)</f>
        <v>0</v>
      </c>
      <c r="BNR7" s="179">
        <f>IFERROR(VLOOKUP(BNR$1,PremiumIncome[[Ticker]:[Weight]],2,FALSE),0%)</f>
        <v>0</v>
      </c>
      <c r="BNS7" s="179">
        <f>IFERROR(VLOOKUP(BNS$1,PremiumIncome[[Ticker]:[Weight]],2,FALSE),0%)</f>
        <v>0</v>
      </c>
      <c r="BNT7" s="179">
        <f>IFERROR(VLOOKUP(BNT$1,PremiumIncome[[Ticker]:[Weight]],2,FALSE),0%)</f>
        <v>0</v>
      </c>
      <c r="BNU7" s="179">
        <f>IFERROR(VLOOKUP(BNU$1,PremiumIncome[[Ticker]:[Weight]],2,FALSE),0%)</f>
        <v>0</v>
      </c>
      <c r="BNV7" s="179">
        <f>IFERROR(VLOOKUP(BNV$1,PremiumIncome[[Ticker]:[Weight]],2,FALSE),0%)</f>
        <v>0</v>
      </c>
      <c r="BNW7" s="179">
        <f>IFERROR(VLOOKUP(BNW$1,PremiumIncome[[Ticker]:[Weight]],2,FALSE),0%)</f>
        <v>0</v>
      </c>
      <c r="BNX7" s="179">
        <f>IFERROR(VLOOKUP(BNX$1,PremiumIncome[[Ticker]:[Weight]],2,FALSE),0%)</f>
        <v>0</v>
      </c>
      <c r="BNY7" s="179">
        <f>IFERROR(VLOOKUP(BNY$1,PremiumIncome[[Ticker]:[Weight]],2,FALSE),0%)</f>
        <v>0</v>
      </c>
      <c r="BNZ7" s="179">
        <f>IFERROR(VLOOKUP(BNZ$1,PremiumIncome[[Ticker]:[Weight]],2,FALSE),0%)</f>
        <v>0</v>
      </c>
      <c r="BOA7" s="179">
        <f>IFERROR(VLOOKUP(BOA$1,PremiumIncome[[Ticker]:[Weight]],2,FALSE),0%)</f>
        <v>0</v>
      </c>
      <c r="BOB7" s="179">
        <f>IFERROR(VLOOKUP(BOB$1,PremiumIncome[[Ticker]:[Weight]],2,FALSE),0%)</f>
        <v>0</v>
      </c>
      <c r="BOC7" s="179">
        <f>IFERROR(VLOOKUP(BOC$1,PremiumIncome[[Ticker]:[Weight]],2,FALSE),0%)</f>
        <v>0</v>
      </c>
      <c r="BOD7" s="179">
        <f>IFERROR(VLOOKUP(BOD$1,PremiumIncome[[Ticker]:[Weight]],2,FALSE),0%)</f>
        <v>0</v>
      </c>
      <c r="BOE7" s="179">
        <f>IFERROR(VLOOKUP(BOE$1,PremiumIncome[[Ticker]:[Weight]],2,FALSE),0%)</f>
        <v>0</v>
      </c>
      <c r="BOF7" s="179">
        <f>IFERROR(VLOOKUP(BOF$1,PremiumIncome[[Ticker]:[Weight]],2,FALSE),0%)</f>
        <v>0</v>
      </c>
      <c r="BOG7" s="179">
        <f>IFERROR(VLOOKUP(BOG$1,PremiumIncome[[Ticker]:[Weight]],2,FALSE),0%)</f>
        <v>0</v>
      </c>
      <c r="BOH7" s="179">
        <f>IFERROR(VLOOKUP(BOH$1,PremiumIncome[[Ticker]:[Weight]],2,FALSE),0%)</f>
        <v>0</v>
      </c>
      <c r="BOI7" s="179">
        <f>IFERROR(VLOOKUP(BOI$1,PremiumIncome[[Ticker]:[Weight]],2,FALSE),0%)</f>
        <v>0</v>
      </c>
      <c r="BOJ7" s="179">
        <f>IFERROR(VLOOKUP(BOJ$1,PremiumIncome[[Ticker]:[Weight]],2,FALSE),0%)</f>
        <v>0</v>
      </c>
      <c r="BOK7" s="179">
        <f>IFERROR(VLOOKUP(BOK$1,PremiumIncome[[Ticker]:[Weight]],2,FALSE),0%)</f>
        <v>0</v>
      </c>
      <c r="BOL7" s="179">
        <f>IFERROR(VLOOKUP(BOL$1,PremiumIncome[[Ticker]:[Weight]],2,FALSE),0%)</f>
        <v>0</v>
      </c>
      <c r="BOM7" s="179">
        <f>IFERROR(VLOOKUP(BOM$1,PremiumIncome[[Ticker]:[Weight]],2,FALSE),0%)</f>
        <v>0</v>
      </c>
      <c r="BON7" s="179">
        <f>IFERROR(VLOOKUP(BON$1,PremiumIncome[[Ticker]:[Weight]],2,FALSE),0%)</f>
        <v>0</v>
      </c>
      <c r="BOO7" s="179">
        <f>IFERROR(VLOOKUP(BOO$1,PremiumIncome[[Ticker]:[Weight]],2,FALSE),0%)</f>
        <v>0</v>
      </c>
      <c r="BOP7" s="179">
        <f>IFERROR(VLOOKUP(BOP$1,PremiumIncome[[Ticker]:[Weight]],2,FALSE),0%)</f>
        <v>0</v>
      </c>
      <c r="BOQ7" s="179">
        <f>IFERROR(VLOOKUP(BOQ$1,PremiumIncome[[Ticker]:[Weight]],2,FALSE),0%)</f>
        <v>0</v>
      </c>
      <c r="BOR7" s="179">
        <f>IFERROR(VLOOKUP(BOR$1,PremiumIncome[[Ticker]:[Weight]],2,FALSE),0%)</f>
        <v>0</v>
      </c>
      <c r="BOS7" s="179">
        <f>IFERROR(VLOOKUP(BOS$1,PremiumIncome[[Ticker]:[Weight]],2,FALSE),0%)</f>
        <v>0</v>
      </c>
      <c r="BOT7" s="179">
        <f>IFERROR(VLOOKUP(BOT$1,PremiumIncome[[Ticker]:[Weight]],2,FALSE),0%)</f>
        <v>0</v>
      </c>
      <c r="BOU7" s="179">
        <f>IFERROR(VLOOKUP(BOU$1,PremiumIncome[[Ticker]:[Weight]],2,FALSE),0%)</f>
        <v>0</v>
      </c>
      <c r="BOV7" s="179">
        <f>IFERROR(VLOOKUP(BOV$1,PremiumIncome[[Ticker]:[Weight]],2,FALSE),0%)</f>
        <v>0</v>
      </c>
      <c r="BOW7" s="179">
        <f>IFERROR(VLOOKUP(BOW$1,PremiumIncome[[Ticker]:[Weight]],2,FALSE),0%)</f>
        <v>0</v>
      </c>
      <c r="BOX7" s="179">
        <f>IFERROR(VLOOKUP(BOX$1,PremiumIncome[[Ticker]:[Weight]],2,FALSE),0%)</f>
        <v>0</v>
      </c>
      <c r="BOY7" s="179">
        <f>IFERROR(VLOOKUP(BOY$1,PremiumIncome[[Ticker]:[Weight]],2,FALSE),0%)</f>
        <v>0</v>
      </c>
      <c r="BOZ7" s="179">
        <f>IFERROR(VLOOKUP(BOZ$1,PremiumIncome[[Ticker]:[Weight]],2,FALSE),0%)</f>
        <v>0</v>
      </c>
      <c r="BPA7" s="179">
        <f>IFERROR(VLOOKUP(BPA$1,PremiumIncome[[Ticker]:[Weight]],2,FALSE),0%)</f>
        <v>0</v>
      </c>
      <c r="BPB7" s="179">
        <f>IFERROR(VLOOKUP(BPB$1,PremiumIncome[[Ticker]:[Weight]],2,FALSE),0%)</f>
        <v>0</v>
      </c>
      <c r="BPC7" s="179">
        <f>IFERROR(VLOOKUP(BPC$1,PremiumIncome[[Ticker]:[Weight]],2,FALSE),0%)</f>
        <v>0</v>
      </c>
      <c r="BPD7" s="179">
        <f>IFERROR(VLOOKUP(BPD$1,PremiumIncome[[Ticker]:[Weight]],2,FALSE),0%)</f>
        <v>0</v>
      </c>
      <c r="BPE7" s="179">
        <f>IFERROR(VLOOKUP(BPE$1,PremiumIncome[[Ticker]:[Weight]],2,FALSE),0%)</f>
        <v>0</v>
      </c>
      <c r="BPF7" s="179">
        <f>IFERROR(VLOOKUP(BPF$1,PremiumIncome[[Ticker]:[Weight]],2,FALSE),0%)</f>
        <v>0</v>
      </c>
      <c r="BPG7" s="179">
        <f>IFERROR(VLOOKUP(BPG$1,PremiumIncome[[Ticker]:[Weight]],2,FALSE),0%)</f>
        <v>0</v>
      </c>
      <c r="BPH7" s="179">
        <f>IFERROR(VLOOKUP(BPH$1,PremiumIncome[[Ticker]:[Weight]],2,FALSE),0%)</f>
        <v>0</v>
      </c>
      <c r="BPI7" s="179">
        <f>IFERROR(VLOOKUP(BPI$1,PremiumIncome[[Ticker]:[Weight]],2,FALSE),0%)</f>
        <v>0</v>
      </c>
      <c r="BPJ7" s="179">
        <f>IFERROR(VLOOKUP(BPJ$1,PremiumIncome[[Ticker]:[Weight]],2,FALSE),0%)</f>
        <v>0</v>
      </c>
      <c r="BPK7" s="179">
        <f>IFERROR(VLOOKUP(BPK$1,PremiumIncome[[Ticker]:[Weight]],2,FALSE),0%)</f>
        <v>0</v>
      </c>
      <c r="BPL7" s="179">
        <f>IFERROR(VLOOKUP(BPL$1,PremiumIncome[[Ticker]:[Weight]],2,FALSE),0%)</f>
        <v>0</v>
      </c>
      <c r="BPM7" s="179">
        <f>IFERROR(VLOOKUP(BPM$1,PremiumIncome[[Ticker]:[Weight]],2,FALSE),0%)</f>
        <v>0</v>
      </c>
      <c r="BPN7" s="179">
        <f>IFERROR(VLOOKUP(BPN$1,PremiumIncome[[Ticker]:[Weight]],2,FALSE),0%)</f>
        <v>0</v>
      </c>
      <c r="BPO7" s="179">
        <f>IFERROR(VLOOKUP(BPO$1,PremiumIncome[[Ticker]:[Weight]],2,FALSE),0%)</f>
        <v>0</v>
      </c>
      <c r="BPP7" s="179">
        <f>IFERROR(VLOOKUP(BPP$1,PremiumIncome[[Ticker]:[Weight]],2,FALSE),0%)</f>
        <v>0</v>
      </c>
      <c r="BPQ7" s="179">
        <f>IFERROR(VLOOKUP(BPQ$1,PremiumIncome[[Ticker]:[Weight]],2,FALSE),0%)</f>
        <v>0</v>
      </c>
      <c r="BPR7" s="179">
        <f>IFERROR(VLOOKUP(BPR$1,PremiumIncome[[Ticker]:[Weight]],2,FALSE),0%)</f>
        <v>0</v>
      </c>
      <c r="BPS7" s="179">
        <f>IFERROR(VLOOKUP(BPS$1,PremiumIncome[[Ticker]:[Weight]],2,FALSE),0%)</f>
        <v>0</v>
      </c>
      <c r="BPT7" s="179">
        <f>IFERROR(VLOOKUP(BPT$1,PremiumIncome[[Ticker]:[Weight]],2,FALSE),0%)</f>
        <v>0</v>
      </c>
      <c r="BPU7" s="179">
        <f>IFERROR(VLOOKUP(BPU$1,PremiumIncome[[Ticker]:[Weight]],2,FALSE),0%)</f>
        <v>0</v>
      </c>
      <c r="BPV7" s="179">
        <f>IFERROR(VLOOKUP(BPV$1,PremiumIncome[[Ticker]:[Weight]],2,FALSE),0%)</f>
        <v>0</v>
      </c>
      <c r="BPW7" s="179">
        <f>IFERROR(VLOOKUP(BPW$1,PremiumIncome[[Ticker]:[Weight]],2,FALSE),0%)</f>
        <v>0</v>
      </c>
      <c r="BPX7" s="179">
        <f>IFERROR(VLOOKUP(BPX$1,PremiumIncome[[Ticker]:[Weight]],2,FALSE),0%)</f>
        <v>0</v>
      </c>
      <c r="BPY7" s="179">
        <f>IFERROR(VLOOKUP(BPY$1,PremiumIncome[[Ticker]:[Weight]],2,FALSE),0%)</f>
        <v>0</v>
      </c>
      <c r="BPZ7" s="179">
        <f>IFERROR(VLOOKUP(BPZ$1,PremiumIncome[[Ticker]:[Weight]],2,FALSE),0%)</f>
        <v>0</v>
      </c>
      <c r="BQA7" s="179">
        <f>IFERROR(VLOOKUP(BQA$1,PremiumIncome[[Ticker]:[Weight]],2,FALSE),0%)</f>
        <v>0</v>
      </c>
      <c r="BQB7" s="179">
        <f>IFERROR(VLOOKUP(BQB$1,PremiumIncome[[Ticker]:[Weight]],2,FALSE),0%)</f>
        <v>0</v>
      </c>
      <c r="BQC7" s="179">
        <f>IFERROR(VLOOKUP(BQC$1,PremiumIncome[[Ticker]:[Weight]],2,FALSE),0%)</f>
        <v>0</v>
      </c>
      <c r="BQD7" s="179">
        <f>IFERROR(VLOOKUP(BQD$1,PremiumIncome[[Ticker]:[Weight]],2,FALSE),0%)</f>
        <v>0</v>
      </c>
      <c r="BQE7" s="179">
        <f>IFERROR(VLOOKUP(BQE$1,PremiumIncome[[Ticker]:[Weight]],2,FALSE),0%)</f>
        <v>0</v>
      </c>
      <c r="BQF7" s="179">
        <f>IFERROR(VLOOKUP(BQF$1,PremiumIncome[[Ticker]:[Weight]],2,FALSE),0%)</f>
        <v>0</v>
      </c>
      <c r="BQG7" s="179">
        <f>IFERROR(VLOOKUP(BQG$1,PremiumIncome[[Ticker]:[Weight]],2,FALSE),0%)</f>
        <v>0</v>
      </c>
      <c r="BQH7" s="179">
        <f>IFERROR(VLOOKUP(BQH$1,PremiumIncome[[Ticker]:[Weight]],2,FALSE),0%)</f>
        <v>0</v>
      </c>
      <c r="BQI7" s="179">
        <f>IFERROR(VLOOKUP(BQI$1,PremiumIncome[[Ticker]:[Weight]],2,FALSE),0%)</f>
        <v>0</v>
      </c>
      <c r="BQJ7" s="179">
        <f>IFERROR(VLOOKUP(BQJ$1,PremiumIncome[[Ticker]:[Weight]],2,FALSE),0%)</f>
        <v>0</v>
      </c>
      <c r="BQK7" s="179">
        <f>IFERROR(VLOOKUP(BQK$1,PremiumIncome[[Ticker]:[Weight]],2,FALSE),0%)</f>
        <v>0</v>
      </c>
      <c r="BQL7" s="179">
        <f>IFERROR(VLOOKUP(BQL$1,PremiumIncome[[Ticker]:[Weight]],2,FALSE),0%)</f>
        <v>0</v>
      </c>
      <c r="BQM7" s="179">
        <f>IFERROR(VLOOKUP(BQM$1,PremiumIncome[[Ticker]:[Weight]],2,FALSE),0%)</f>
        <v>0</v>
      </c>
      <c r="BQN7" s="179">
        <f>IFERROR(VLOOKUP(BQN$1,PremiumIncome[[Ticker]:[Weight]],2,FALSE),0%)</f>
        <v>0</v>
      </c>
      <c r="BQO7" s="179">
        <f>IFERROR(VLOOKUP(BQO$1,PremiumIncome[[Ticker]:[Weight]],2,FALSE),0%)</f>
        <v>0</v>
      </c>
      <c r="BQP7" s="179">
        <f>IFERROR(VLOOKUP(BQP$1,PremiumIncome[[Ticker]:[Weight]],2,FALSE),0%)</f>
        <v>0</v>
      </c>
      <c r="BQQ7" s="179">
        <f>IFERROR(VLOOKUP(BQQ$1,PremiumIncome[[Ticker]:[Weight]],2,FALSE),0%)</f>
        <v>0</v>
      </c>
      <c r="BQR7" s="179">
        <f>IFERROR(VLOOKUP(BQR$1,PremiumIncome[[Ticker]:[Weight]],2,FALSE),0%)</f>
        <v>0</v>
      </c>
      <c r="BQS7" s="179">
        <f>IFERROR(VLOOKUP(BQS$1,PremiumIncome[[Ticker]:[Weight]],2,FALSE),0%)</f>
        <v>0</v>
      </c>
      <c r="BQT7" s="179">
        <f>IFERROR(VLOOKUP(BQT$1,PremiumIncome[[Ticker]:[Weight]],2,FALSE),0%)</f>
        <v>0</v>
      </c>
      <c r="BQU7" s="179">
        <f>IFERROR(VLOOKUP(BQU$1,PremiumIncome[[Ticker]:[Weight]],2,FALSE),0%)</f>
        <v>0</v>
      </c>
      <c r="BQV7" s="179">
        <f>IFERROR(VLOOKUP(BQV$1,PremiumIncome[[Ticker]:[Weight]],2,FALSE),0%)</f>
        <v>0</v>
      </c>
      <c r="BQW7" s="179">
        <f>IFERROR(VLOOKUP(BQW$1,PremiumIncome[[Ticker]:[Weight]],2,FALSE),0%)</f>
        <v>0</v>
      </c>
      <c r="BQX7" s="179">
        <f>IFERROR(VLOOKUP(BQX$1,PremiumIncome[[Ticker]:[Weight]],2,FALSE),0%)</f>
        <v>0</v>
      </c>
      <c r="BQY7" s="179">
        <f>IFERROR(VLOOKUP(BQY$1,PremiumIncome[[Ticker]:[Weight]],2,FALSE),0%)</f>
        <v>0</v>
      </c>
      <c r="BQZ7" s="179">
        <f>IFERROR(VLOOKUP(BQZ$1,PremiumIncome[[Ticker]:[Weight]],2,FALSE),0%)</f>
        <v>0</v>
      </c>
      <c r="BRA7" s="179">
        <f>IFERROR(VLOOKUP(BRA$1,PremiumIncome[[Ticker]:[Weight]],2,FALSE),0%)</f>
        <v>0</v>
      </c>
      <c r="BRB7" s="179">
        <f>IFERROR(VLOOKUP(BRB$1,PremiumIncome[[Ticker]:[Weight]],2,FALSE),0%)</f>
        <v>0</v>
      </c>
      <c r="BRC7" s="179">
        <f>IFERROR(VLOOKUP(BRC$1,PremiumIncome[[Ticker]:[Weight]],2,FALSE),0%)</f>
        <v>0</v>
      </c>
      <c r="BRD7" s="179">
        <f>IFERROR(VLOOKUP(BRD$1,PremiumIncome[[Ticker]:[Weight]],2,FALSE),0%)</f>
        <v>0</v>
      </c>
      <c r="BRE7" s="179">
        <f>IFERROR(VLOOKUP(BRE$1,PremiumIncome[[Ticker]:[Weight]],2,FALSE),0%)</f>
        <v>0</v>
      </c>
      <c r="BRF7" s="179">
        <f>IFERROR(VLOOKUP(BRF$1,PremiumIncome[[Ticker]:[Weight]],2,FALSE),0%)</f>
        <v>0</v>
      </c>
      <c r="BRG7" s="179">
        <f>IFERROR(VLOOKUP(BRG$1,PremiumIncome[[Ticker]:[Weight]],2,FALSE),0%)</f>
        <v>0</v>
      </c>
      <c r="BRH7" s="179">
        <f>IFERROR(VLOOKUP(BRH$1,PremiumIncome[[Ticker]:[Weight]],2,FALSE),0%)</f>
        <v>0</v>
      </c>
      <c r="BRI7" s="179">
        <f>IFERROR(VLOOKUP(BRI$1,PremiumIncome[[Ticker]:[Weight]],2,FALSE),0%)</f>
        <v>0</v>
      </c>
      <c r="BRJ7" s="179">
        <f>IFERROR(VLOOKUP(BRJ$1,PremiumIncome[[Ticker]:[Weight]],2,FALSE),0%)</f>
        <v>0</v>
      </c>
      <c r="BRK7" s="179">
        <f>IFERROR(VLOOKUP(BRK$1,PremiumIncome[[Ticker]:[Weight]],2,FALSE),0%)</f>
        <v>0</v>
      </c>
      <c r="BRL7" s="179">
        <f>IFERROR(VLOOKUP(BRL$1,PremiumIncome[[Ticker]:[Weight]],2,FALSE),0%)</f>
        <v>0</v>
      </c>
      <c r="BRM7" s="179">
        <f>IFERROR(VLOOKUP(BRM$1,PremiumIncome[[Ticker]:[Weight]],2,FALSE),0%)</f>
        <v>0</v>
      </c>
      <c r="BRN7" s="179">
        <f>IFERROR(VLOOKUP(BRN$1,PremiumIncome[[Ticker]:[Weight]],2,FALSE),0%)</f>
        <v>0</v>
      </c>
      <c r="BRO7" s="179">
        <f>IFERROR(VLOOKUP(BRO$1,PremiumIncome[[Ticker]:[Weight]],2,FALSE),0%)</f>
        <v>0</v>
      </c>
      <c r="BRP7" s="179">
        <f>IFERROR(VLOOKUP(BRP$1,PremiumIncome[[Ticker]:[Weight]],2,FALSE),0%)</f>
        <v>0</v>
      </c>
      <c r="BRQ7" s="179">
        <f>IFERROR(VLOOKUP(BRQ$1,PremiumIncome[[Ticker]:[Weight]],2,FALSE),0%)</f>
        <v>0</v>
      </c>
      <c r="BRR7" s="179">
        <f>IFERROR(VLOOKUP(BRR$1,PremiumIncome[[Ticker]:[Weight]],2,FALSE),0%)</f>
        <v>0</v>
      </c>
      <c r="BRS7" s="179">
        <f>IFERROR(VLOOKUP(BRS$1,PremiumIncome[[Ticker]:[Weight]],2,FALSE),0%)</f>
        <v>0</v>
      </c>
      <c r="BRT7" s="179">
        <f>IFERROR(VLOOKUP(BRT$1,PremiumIncome[[Ticker]:[Weight]],2,FALSE),0%)</f>
        <v>0</v>
      </c>
      <c r="BRU7" s="179">
        <f>IFERROR(VLOOKUP(BRU$1,PremiumIncome[[Ticker]:[Weight]],2,FALSE),0%)</f>
        <v>0</v>
      </c>
      <c r="BRV7" s="179">
        <f>IFERROR(VLOOKUP(BRV$1,PremiumIncome[[Ticker]:[Weight]],2,FALSE),0%)</f>
        <v>0</v>
      </c>
      <c r="BRW7" s="179">
        <f>IFERROR(VLOOKUP(BRW$1,PremiumIncome[[Ticker]:[Weight]],2,FALSE),0%)</f>
        <v>0</v>
      </c>
      <c r="BRX7" s="179">
        <f>IFERROR(VLOOKUP(BRX$1,PremiumIncome[[Ticker]:[Weight]],2,FALSE),0%)</f>
        <v>0</v>
      </c>
      <c r="BRY7" s="179">
        <f>IFERROR(VLOOKUP(BRY$1,PremiumIncome[[Ticker]:[Weight]],2,FALSE),0%)</f>
        <v>0</v>
      </c>
      <c r="BRZ7" s="179">
        <f>IFERROR(VLOOKUP(BRZ$1,PremiumIncome[[Ticker]:[Weight]],2,FALSE),0%)</f>
        <v>0</v>
      </c>
      <c r="BSA7" s="179">
        <f>IFERROR(VLOOKUP(BSA$1,PremiumIncome[[Ticker]:[Weight]],2,FALSE),0%)</f>
        <v>0</v>
      </c>
      <c r="BSB7" s="179">
        <f>IFERROR(VLOOKUP(BSB$1,PremiumIncome[[Ticker]:[Weight]],2,FALSE),0%)</f>
        <v>0</v>
      </c>
      <c r="BSC7" s="179">
        <f>IFERROR(VLOOKUP(BSC$1,PremiumIncome[[Ticker]:[Weight]],2,FALSE),0%)</f>
        <v>0</v>
      </c>
      <c r="BSD7" s="179">
        <f>IFERROR(VLOOKUP(BSD$1,PremiumIncome[[Ticker]:[Weight]],2,FALSE),0%)</f>
        <v>0</v>
      </c>
      <c r="BSE7" s="179">
        <f>IFERROR(VLOOKUP(BSE$1,PremiumIncome[[Ticker]:[Weight]],2,FALSE),0%)</f>
        <v>0</v>
      </c>
      <c r="BSF7" s="179">
        <f>IFERROR(VLOOKUP(BSF$1,PremiumIncome[[Ticker]:[Weight]],2,FALSE),0%)</f>
        <v>0</v>
      </c>
      <c r="BSG7" s="179">
        <f>IFERROR(VLOOKUP(BSG$1,PremiumIncome[[Ticker]:[Weight]],2,FALSE),0%)</f>
        <v>0</v>
      </c>
      <c r="BSH7" s="179">
        <f>IFERROR(VLOOKUP(BSH$1,PremiumIncome[[Ticker]:[Weight]],2,FALSE),0%)</f>
        <v>0</v>
      </c>
      <c r="BSI7" s="179">
        <f>IFERROR(VLOOKUP(BSI$1,PremiumIncome[[Ticker]:[Weight]],2,FALSE),0%)</f>
        <v>0</v>
      </c>
      <c r="BSJ7" s="179">
        <f>IFERROR(VLOOKUP(BSJ$1,PremiumIncome[[Ticker]:[Weight]],2,FALSE),0%)</f>
        <v>0</v>
      </c>
      <c r="BSK7" s="179">
        <f>IFERROR(VLOOKUP(BSK$1,PremiumIncome[[Ticker]:[Weight]],2,FALSE),0%)</f>
        <v>0</v>
      </c>
      <c r="BSL7" s="179">
        <f>IFERROR(VLOOKUP(BSL$1,PremiumIncome[[Ticker]:[Weight]],2,FALSE),0%)</f>
        <v>0</v>
      </c>
      <c r="BSM7" s="179">
        <f>IFERROR(VLOOKUP(BSM$1,PremiumIncome[[Ticker]:[Weight]],2,FALSE),0%)</f>
        <v>0</v>
      </c>
      <c r="BSN7" s="179">
        <f>IFERROR(VLOOKUP(BSN$1,PremiumIncome[[Ticker]:[Weight]],2,FALSE),0%)</f>
        <v>0</v>
      </c>
      <c r="BSO7" s="179">
        <f>IFERROR(VLOOKUP(BSO$1,PremiumIncome[[Ticker]:[Weight]],2,FALSE),0%)</f>
        <v>0</v>
      </c>
      <c r="BSP7" s="179">
        <f>IFERROR(VLOOKUP(BSP$1,PremiumIncome[[Ticker]:[Weight]],2,FALSE),0%)</f>
        <v>0</v>
      </c>
      <c r="BSQ7" s="179">
        <f>IFERROR(VLOOKUP(BSQ$1,PremiumIncome[[Ticker]:[Weight]],2,FALSE),0%)</f>
        <v>0</v>
      </c>
      <c r="BSR7" s="179">
        <f>IFERROR(VLOOKUP(BSR$1,PremiumIncome[[Ticker]:[Weight]],2,FALSE),0%)</f>
        <v>0</v>
      </c>
      <c r="BSS7" s="179">
        <f>IFERROR(VLOOKUP(BSS$1,PremiumIncome[[Ticker]:[Weight]],2,FALSE),0%)</f>
        <v>0</v>
      </c>
      <c r="BST7" s="179">
        <f>IFERROR(VLOOKUP(BST$1,PremiumIncome[[Ticker]:[Weight]],2,FALSE),0%)</f>
        <v>0</v>
      </c>
      <c r="BSU7" s="179">
        <f>IFERROR(VLOOKUP(BSU$1,PremiumIncome[[Ticker]:[Weight]],2,FALSE),0%)</f>
        <v>0</v>
      </c>
      <c r="BSV7" s="179">
        <f>IFERROR(VLOOKUP(BSV$1,PremiumIncome[[Ticker]:[Weight]],2,FALSE),0%)</f>
        <v>0</v>
      </c>
      <c r="BSW7" s="179">
        <f>IFERROR(VLOOKUP(BSW$1,PremiumIncome[[Ticker]:[Weight]],2,FALSE),0%)</f>
        <v>0</v>
      </c>
      <c r="BSX7" s="179">
        <f>IFERROR(VLOOKUP(BSX$1,PremiumIncome[[Ticker]:[Weight]],2,FALSE),0%)</f>
        <v>0</v>
      </c>
      <c r="BSY7" s="179">
        <f>IFERROR(VLOOKUP(BSY$1,PremiumIncome[[Ticker]:[Weight]],2,FALSE),0%)</f>
        <v>0</v>
      </c>
      <c r="BSZ7" s="179">
        <f>IFERROR(VLOOKUP(BSZ$1,PremiumIncome[[Ticker]:[Weight]],2,FALSE),0%)</f>
        <v>0</v>
      </c>
      <c r="BTA7" s="179">
        <f>IFERROR(VLOOKUP(BTA$1,PremiumIncome[[Ticker]:[Weight]],2,FALSE),0%)</f>
        <v>0</v>
      </c>
      <c r="BTB7" s="179">
        <f>IFERROR(VLOOKUP(BTB$1,PremiumIncome[[Ticker]:[Weight]],2,FALSE),0%)</f>
        <v>0</v>
      </c>
      <c r="BTC7" s="179">
        <f>IFERROR(VLOOKUP(BTC$1,PremiumIncome[[Ticker]:[Weight]],2,FALSE),0%)</f>
        <v>0</v>
      </c>
      <c r="BTD7" s="179">
        <f>IFERROR(VLOOKUP(BTD$1,PremiumIncome[[Ticker]:[Weight]],2,FALSE),0%)</f>
        <v>0</v>
      </c>
      <c r="BTE7" s="179">
        <f>IFERROR(VLOOKUP(BTE$1,PremiumIncome[[Ticker]:[Weight]],2,FALSE),0%)</f>
        <v>0</v>
      </c>
      <c r="BTF7" s="179">
        <f>IFERROR(VLOOKUP(BTF$1,PremiumIncome[[Ticker]:[Weight]],2,FALSE),0%)</f>
        <v>0</v>
      </c>
      <c r="BTG7" s="179">
        <f>IFERROR(VLOOKUP(BTG$1,PremiumIncome[[Ticker]:[Weight]],2,FALSE),0%)</f>
        <v>0</v>
      </c>
      <c r="BTH7" s="179">
        <f>IFERROR(VLOOKUP(BTH$1,PremiumIncome[[Ticker]:[Weight]],2,FALSE),0%)</f>
        <v>0</v>
      </c>
      <c r="BTI7" s="179">
        <f>IFERROR(VLOOKUP(BTI$1,PremiumIncome[[Ticker]:[Weight]],2,FALSE),0%)</f>
        <v>0</v>
      </c>
      <c r="BTJ7" s="179">
        <f>IFERROR(VLOOKUP(BTJ$1,PremiumIncome[[Ticker]:[Weight]],2,FALSE),0%)</f>
        <v>0</v>
      </c>
      <c r="BTK7" s="179">
        <f>IFERROR(VLOOKUP(BTK$1,PremiumIncome[[Ticker]:[Weight]],2,FALSE),0%)</f>
        <v>0</v>
      </c>
      <c r="BTL7" s="179">
        <f>IFERROR(VLOOKUP(BTL$1,PremiumIncome[[Ticker]:[Weight]],2,FALSE),0%)</f>
        <v>0</v>
      </c>
      <c r="BTM7" s="179">
        <f>IFERROR(VLOOKUP(BTM$1,PremiumIncome[[Ticker]:[Weight]],2,FALSE),0%)</f>
        <v>0</v>
      </c>
      <c r="BTN7" s="179">
        <f>IFERROR(VLOOKUP(BTN$1,PremiumIncome[[Ticker]:[Weight]],2,FALSE),0%)</f>
        <v>0</v>
      </c>
      <c r="BTO7" s="179">
        <f>IFERROR(VLOOKUP(BTO$1,PremiumIncome[[Ticker]:[Weight]],2,FALSE),0%)</f>
        <v>0</v>
      </c>
      <c r="BTP7" s="179">
        <f>IFERROR(VLOOKUP(BTP$1,PremiumIncome[[Ticker]:[Weight]],2,FALSE),0%)</f>
        <v>0</v>
      </c>
      <c r="BTQ7" s="179">
        <f>IFERROR(VLOOKUP(BTQ$1,PremiumIncome[[Ticker]:[Weight]],2,FALSE),0%)</f>
        <v>0</v>
      </c>
      <c r="BTR7" s="179">
        <f>IFERROR(VLOOKUP(BTR$1,PremiumIncome[[Ticker]:[Weight]],2,FALSE),0%)</f>
        <v>0</v>
      </c>
      <c r="BTS7" s="179">
        <f>IFERROR(VLOOKUP(BTS$1,PremiumIncome[[Ticker]:[Weight]],2,FALSE),0%)</f>
        <v>0</v>
      </c>
      <c r="BTT7" s="179">
        <f>IFERROR(VLOOKUP(BTT$1,PremiumIncome[[Ticker]:[Weight]],2,FALSE),0%)</f>
        <v>0</v>
      </c>
      <c r="BTU7" s="179">
        <f>IFERROR(VLOOKUP(BTU$1,PremiumIncome[[Ticker]:[Weight]],2,FALSE),0%)</f>
        <v>0</v>
      </c>
      <c r="BTV7" s="179">
        <f>IFERROR(VLOOKUP(BTV$1,PremiumIncome[[Ticker]:[Weight]],2,FALSE),0%)</f>
        <v>0</v>
      </c>
      <c r="BTW7" s="179">
        <f>IFERROR(VLOOKUP(BTW$1,PremiumIncome[[Ticker]:[Weight]],2,FALSE),0%)</f>
        <v>0</v>
      </c>
      <c r="BTX7" s="179">
        <f>IFERROR(VLOOKUP(BTX$1,PremiumIncome[[Ticker]:[Weight]],2,FALSE),0%)</f>
        <v>0</v>
      </c>
      <c r="BTY7" s="179">
        <f>IFERROR(VLOOKUP(BTY$1,PremiumIncome[[Ticker]:[Weight]],2,FALSE),0%)</f>
        <v>0</v>
      </c>
      <c r="BTZ7" s="179">
        <f>IFERROR(VLOOKUP(BTZ$1,PremiumIncome[[Ticker]:[Weight]],2,FALSE),0%)</f>
        <v>0</v>
      </c>
      <c r="BUA7" s="179">
        <f>IFERROR(VLOOKUP(BUA$1,PremiumIncome[[Ticker]:[Weight]],2,FALSE),0%)</f>
        <v>0</v>
      </c>
      <c r="BUB7" s="179">
        <f>IFERROR(VLOOKUP(BUB$1,PremiumIncome[[Ticker]:[Weight]],2,FALSE),0%)</f>
        <v>0</v>
      </c>
      <c r="BUC7" s="179">
        <f>IFERROR(VLOOKUP(BUC$1,PremiumIncome[[Ticker]:[Weight]],2,FALSE),0%)</f>
        <v>0</v>
      </c>
      <c r="BUD7" s="179">
        <f>IFERROR(VLOOKUP(BUD$1,PremiumIncome[[Ticker]:[Weight]],2,FALSE),0%)</f>
        <v>0</v>
      </c>
      <c r="BUE7" s="179">
        <f>IFERROR(VLOOKUP(BUE$1,PremiumIncome[[Ticker]:[Weight]],2,FALSE),0%)</f>
        <v>0</v>
      </c>
      <c r="BUF7" s="179">
        <f>IFERROR(VLOOKUP(BUF$1,PremiumIncome[[Ticker]:[Weight]],2,FALSE),0%)</f>
        <v>0</v>
      </c>
      <c r="BUG7" s="179">
        <f>IFERROR(VLOOKUP(BUG$1,PremiumIncome[[Ticker]:[Weight]],2,FALSE),0%)</f>
        <v>0</v>
      </c>
      <c r="BUH7" s="179">
        <f>IFERROR(VLOOKUP(BUH$1,PremiumIncome[[Ticker]:[Weight]],2,FALSE),0%)</f>
        <v>0</v>
      </c>
      <c r="BUI7" s="179">
        <f>IFERROR(VLOOKUP(BUI$1,PremiumIncome[[Ticker]:[Weight]],2,FALSE),0%)</f>
        <v>0</v>
      </c>
      <c r="BUJ7" s="179">
        <f>IFERROR(VLOOKUP(BUJ$1,PremiumIncome[[Ticker]:[Weight]],2,FALSE),0%)</f>
        <v>0</v>
      </c>
      <c r="BUK7" s="179">
        <f>IFERROR(VLOOKUP(BUK$1,PremiumIncome[[Ticker]:[Weight]],2,FALSE),0%)</f>
        <v>0</v>
      </c>
      <c r="BUL7" s="179">
        <f>IFERROR(VLOOKUP(BUL$1,PremiumIncome[[Ticker]:[Weight]],2,FALSE),0%)</f>
        <v>0</v>
      </c>
      <c r="BUM7" s="179">
        <f>IFERROR(VLOOKUP(BUM$1,PremiumIncome[[Ticker]:[Weight]],2,FALSE),0%)</f>
        <v>0</v>
      </c>
      <c r="BUN7" s="179">
        <f>IFERROR(VLOOKUP(BUN$1,PremiumIncome[[Ticker]:[Weight]],2,FALSE),0%)</f>
        <v>0</v>
      </c>
      <c r="BUO7" s="179">
        <f>IFERROR(VLOOKUP(BUO$1,PremiumIncome[[Ticker]:[Weight]],2,FALSE),0%)</f>
        <v>0</v>
      </c>
      <c r="BUP7" s="179">
        <f>IFERROR(VLOOKUP(BUP$1,PremiumIncome[[Ticker]:[Weight]],2,FALSE),0%)</f>
        <v>0</v>
      </c>
      <c r="BUQ7" s="179">
        <f>IFERROR(VLOOKUP(BUQ$1,PremiumIncome[[Ticker]:[Weight]],2,FALSE),0%)</f>
        <v>0</v>
      </c>
      <c r="BUR7" s="179">
        <f>IFERROR(VLOOKUP(BUR$1,PremiumIncome[[Ticker]:[Weight]],2,FALSE),0%)</f>
        <v>0</v>
      </c>
      <c r="BUS7" s="179">
        <f>IFERROR(VLOOKUP(BUS$1,PremiumIncome[[Ticker]:[Weight]],2,FALSE),0%)</f>
        <v>0</v>
      </c>
      <c r="BUT7" s="179">
        <f>IFERROR(VLOOKUP(BUT$1,PremiumIncome[[Ticker]:[Weight]],2,FALSE),0%)</f>
        <v>0</v>
      </c>
      <c r="BUU7" s="179">
        <f>IFERROR(VLOOKUP(BUU$1,PremiumIncome[[Ticker]:[Weight]],2,FALSE),0%)</f>
        <v>0</v>
      </c>
      <c r="BUV7" s="179">
        <f>IFERROR(VLOOKUP(BUV$1,PremiumIncome[[Ticker]:[Weight]],2,FALSE),0%)</f>
        <v>0</v>
      </c>
      <c r="BUW7" s="179">
        <f>IFERROR(VLOOKUP(BUW$1,PremiumIncome[[Ticker]:[Weight]],2,FALSE),0%)</f>
        <v>0</v>
      </c>
      <c r="BUX7" s="179">
        <f>IFERROR(VLOOKUP(BUX$1,PremiumIncome[[Ticker]:[Weight]],2,FALSE),0%)</f>
        <v>0</v>
      </c>
      <c r="BUY7" s="179">
        <f>IFERROR(VLOOKUP(BUY$1,PremiumIncome[[Ticker]:[Weight]],2,FALSE),0%)</f>
        <v>0</v>
      </c>
      <c r="BUZ7" s="179">
        <f>IFERROR(VLOOKUP(BUZ$1,PremiumIncome[[Ticker]:[Weight]],2,FALSE),0%)</f>
        <v>0.1768475389</v>
      </c>
      <c r="BVA7" s="179">
        <f>IFERROR(VLOOKUP(BVA$1,PremiumIncome[[Ticker]:[Weight]],2,FALSE),0%)</f>
        <v>0</v>
      </c>
      <c r="BVB7" s="179">
        <f>IFERROR(VLOOKUP(BVB$1,PremiumIncome[[Ticker]:[Weight]],2,FALSE),0%)</f>
        <v>0</v>
      </c>
      <c r="BVC7" s="179">
        <f>IFERROR(VLOOKUP(BVC$1,PremiumIncome[[Ticker]:[Weight]],2,FALSE),0%)</f>
        <v>0</v>
      </c>
      <c r="BVD7" s="179">
        <f>IFERROR(VLOOKUP(BVD$1,PremiumIncome[[Ticker]:[Weight]],2,FALSE),0%)</f>
        <v>0</v>
      </c>
      <c r="BVE7" s="179">
        <f>IFERROR(VLOOKUP(BVE$1,PremiumIncome[[Ticker]:[Weight]],2,FALSE),0%)</f>
        <v>0</v>
      </c>
      <c r="BVF7" s="179">
        <f>IFERROR(VLOOKUP(BVF$1,PremiumIncome[[Ticker]:[Weight]],2,FALSE),0%)</f>
        <v>0</v>
      </c>
      <c r="BVG7" s="179">
        <f>IFERROR(VLOOKUP(BVG$1,PremiumIncome[[Ticker]:[Weight]],2,FALSE),0%)</f>
        <v>0</v>
      </c>
      <c r="BVH7" s="179">
        <f>IFERROR(VLOOKUP(BVH$1,PremiumIncome[[Ticker]:[Weight]],2,FALSE),0%)</f>
        <v>0</v>
      </c>
      <c r="BVI7" s="179">
        <f>IFERROR(VLOOKUP(BVI$1,PremiumIncome[[Ticker]:[Weight]],2,FALSE),0%)</f>
        <v>0</v>
      </c>
      <c r="BVJ7" s="179">
        <f>IFERROR(VLOOKUP(BVJ$1,PremiumIncome[[Ticker]:[Weight]],2,FALSE),0%)</f>
        <v>0</v>
      </c>
      <c r="BVK7" s="179">
        <f>IFERROR(VLOOKUP(BVK$1,PremiumIncome[[Ticker]:[Weight]],2,FALSE),0%)</f>
        <v>0</v>
      </c>
      <c r="BVL7" s="179">
        <f>IFERROR(VLOOKUP(BVL$1,PremiumIncome[[Ticker]:[Weight]],2,FALSE),0%)</f>
        <v>0</v>
      </c>
      <c r="BVM7" s="179">
        <f>IFERROR(VLOOKUP(BVM$1,PremiumIncome[[Ticker]:[Weight]],2,FALSE),0%)</f>
        <v>0</v>
      </c>
      <c r="BVN7" s="179">
        <f>IFERROR(VLOOKUP(BVN$1,PremiumIncome[[Ticker]:[Weight]],2,FALSE),0%)</f>
        <v>0</v>
      </c>
      <c r="BVO7" s="179">
        <f>IFERROR(VLOOKUP(BVO$1,PremiumIncome[[Ticker]:[Weight]],2,FALSE),0%)</f>
        <v>0</v>
      </c>
      <c r="BVP7" s="179">
        <f>IFERROR(VLOOKUP(BVP$1,PremiumIncome[[Ticker]:[Weight]],2,FALSE),0%)</f>
        <v>0</v>
      </c>
      <c r="BVQ7" s="179">
        <f>IFERROR(VLOOKUP(BVQ$1,PremiumIncome[[Ticker]:[Weight]],2,FALSE),0%)</f>
        <v>0</v>
      </c>
      <c r="BVR7" s="179">
        <f>IFERROR(VLOOKUP(BVR$1,PremiumIncome[[Ticker]:[Weight]],2,FALSE),0%)</f>
        <v>0</v>
      </c>
      <c r="BVS7" s="179">
        <f>IFERROR(VLOOKUP(BVS$1,PremiumIncome[[Ticker]:[Weight]],2,FALSE),0%)</f>
        <v>0</v>
      </c>
      <c r="BVT7" s="179">
        <f>IFERROR(VLOOKUP(BVT$1,PremiumIncome[[Ticker]:[Weight]],2,FALSE),0%)</f>
        <v>0</v>
      </c>
      <c r="BVU7" s="179">
        <f>IFERROR(VLOOKUP(BVU$1,PremiumIncome[[Ticker]:[Weight]],2,FALSE),0%)</f>
        <v>0</v>
      </c>
      <c r="BVV7" s="179">
        <f>IFERROR(VLOOKUP(BVV$1,PremiumIncome[[Ticker]:[Weight]],2,FALSE),0%)</f>
        <v>0</v>
      </c>
      <c r="BVW7" s="179">
        <f>IFERROR(VLOOKUP(BVW$1,PremiumIncome[[Ticker]:[Weight]],2,FALSE),0%)</f>
        <v>0</v>
      </c>
      <c r="BVX7" s="179">
        <f>IFERROR(VLOOKUP(BVX$1,PremiumIncome[[Ticker]:[Weight]],2,FALSE),0%)</f>
        <v>0</v>
      </c>
      <c r="BVY7" s="179">
        <f>IFERROR(VLOOKUP(BVY$1,PremiumIncome[[Ticker]:[Weight]],2,FALSE),0%)</f>
        <v>0</v>
      </c>
      <c r="BVZ7" s="179">
        <f>IFERROR(VLOOKUP(BVZ$1,PremiumIncome[[Ticker]:[Weight]],2,FALSE),0%)</f>
        <v>0</v>
      </c>
      <c r="BWA7" s="179">
        <f>IFERROR(VLOOKUP(BWA$1,PremiumIncome[[Ticker]:[Weight]],2,FALSE),0%)</f>
        <v>0</v>
      </c>
      <c r="BWB7" s="179">
        <f>IFERROR(VLOOKUP(BWB$1,PremiumIncome[[Ticker]:[Weight]],2,FALSE),0%)</f>
        <v>0</v>
      </c>
      <c r="BWC7" s="179">
        <f>IFERROR(VLOOKUP(BWC$1,PremiumIncome[[Ticker]:[Weight]],2,FALSE),0%)</f>
        <v>0</v>
      </c>
      <c r="BWD7" s="179">
        <f>IFERROR(VLOOKUP(BWD$1,PremiumIncome[[Ticker]:[Weight]],2,FALSE),0%)</f>
        <v>0</v>
      </c>
      <c r="BWE7" s="179">
        <f>IFERROR(VLOOKUP(BWE$1,PremiumIncome[[Ticker]:[Weight]],2,FALSE),0%)</f>
        <v>0</v>
      </c>
      <c r="BWF7" s="179">
        <f>IFERROR(VLOOKUP(BWF$1,PremiumIncome[[Ticker]:[Weight]],2,FALSE),0%)</f>
        <v>0</v>
      </c>
      <c r="BWG7" s="179">
        <f>IFERROR(VLOOKUP(BWG$1,PremiumIncome[[Ticker]:[Weight]],2,FALSE),0%)</f>
        <v>0</v>
      </c>
      <c r="BWH7" s="179">
        <f>IFERROR(VLOOKUP(BWH$1,PremiumIncome[[Ticker]:[Weight]],2,FALSE),0%)</f>
        <v>0</v>
      </c>
      <c r="BWI7" s="179">
        <f>IFERROR(VLOOKUP(BWI$1,PremiumIncome[[Ticker]:[Weight]],2,FALSE),0%)</f>
        <v>0</v>
      </c>
      <c r="BWJ7" s="179">
        <f>IFERROR(VLOOKUP(BWJ$1,PremiumIncome[[Ticker]:[Weight]],2,FALSE),0%)</f>
        <v>0</v>
      </c>
      <c r="BWK7" s="179">
        <f>IFERROR(VLOOKUP(BWK$1,PremiumIncome[[Ticker]:[Weight]],2,FALSE),0%)</f>
        <v>0</v>
      </c>
      <c r="BWL7" s="179">
        <f>IFERROR(VLOOKUP(BWL$1,PremiumIncome[[Ticker]:[Weight]],2,FALSE),0%)</f>
        <v>0</v>
      </c>
      <c r="BWM7" s="179">
        <f>IFERROR(VLOOKUP(BWM$1,PremiumIncome[[Ticker]:[Weight]],2,FALSE),0%)</f>
        <v>0</v>
      </c>
      <c r="BWN7" s="179">
        <f>IFERROR(VLOOKUP(BWN$1,PremiumIncome[[Ticker]:[Weight]],2,FALSE),0%)</f>
        <v>0</v>
      </c>
      <c r="BWO7" s="179">
        <f>IFERROR(VLOOKUP(BWO$1,PremiumIncome[[Ticker]:[Weight]],2,FALSE),0%)</f>
        <v>0</v>
      </c>
      <c r="BWP7" s="179">
        <f>IFERROR(VLOOKUP(BWP$1,PremiumIncome[[Ticker]:[Weight]],2,FALSE),0%)</f>
        <v>0</v>
      </c>
      <c r="BWQ7" s="179">
        <f>IFERROR(VLOOKUP(BWQ$1,PremiumIncome[[Ticker]:[Weight]],2,FALSE),0%)</f>
        <v>0</v>
      </c>
      <c r="BWR7" s="179">
        <f>IFERROR(VLOOKUP(BWR$1,PremiumIncome[[Ticker]:[Weight]],2,FALSE),0%)</f>
        <v>0</v>
      </c>
      <c r="BWS7" s="179">
        <f>IFERROR(VLOOKUP(BWS$1,PremiumIncome[[Ticker]:[Weight]],2,FALSE),0%)</f>
        <v>0</v>
      </c>
      <c r="BWT7" s="179">
        <f>IFERROR(VLOOKUP(BWT$1,PremiumIncome[[Ticker]:[Weight]],2,FALSE),0%)</f>
        <v>0</v>
      </c>
      <c r="BWU7" s="179">
        <f>IFERROR(VLOOKUP(BWU$1,PremiumIncome[[Ticker]:[Weight]],2,FALSE),0%)</f>
        <v>0</v>
      </c>
      <c r="BWV7" s="179">
        <f>IFERROR(VLOOKUP(BWV$1,PremiumIncome[[Ticker]:[Weight]],2,FALSE),0%)</f>
        <v>0</v>
      </c>
      <c r="BWW7" s="179">
        <f>IFERROR(VLOOKUP(BWW$1,PremiumIncome[[Ticker]:[Weight]],2,FALSE),0%)</f>
        <v>0</v>
      </c>
      <c r="BWX7" s="179">
        <f>IFERROR(VLOOKUP(BWX$1,PremiumIncome[[Ticker]:[Weight]],2,FALSE),0%)</f>
        <v>0</v>
      </c>
      <c r="BWY7" s="179">
        <f>IFERROR(VLOOKUP(BWY$1,PremiumIncome[[Ticker]:[Weight]],2,FALSE),0%)</f>
        <v>0</v>
      </c>
      <c r="BWZ7" s="179">
        <f>IFERROR(VLOOKUP(BWZ$1,PremiumIncome[[Ticker]:[Weight]],2,FALSE),0%)</f>
        <v>0</v>
      </c>
      <c r="BXA7" s="179">
        <f>IFERROR(VLOOKUP(BXA$1,PremiumIncome[[Ticker]:[Weight]],2,FALSE),0%)</f>
        <v>0</v>
      </c>
      <c r="BXB7" s="179">
        <f>IFERROR(VLOOKUP(BXB$1,PremiumIncome[[Ticker]:[Weight]],2,FALSE),0%)</f>
        <v>0</v>
      </c>
      <c r="BXC7" s="179">
        <f>IFERROR(VLOOKUP(BXC$1,PremiumIncome[[Ticker]:[Weight]],2,FALSE),0%)</f>
        <v>0</v>
      </c>
      <c r="BXD7" s="179">
        <f>IFERROR(VLOOKUP(BXD$1,PremiumIncome[[Ticker]:[Weight]],2,FALSE),0%)</f>
        <v>0</v>
      </c>
      <c r="BXE7" s="179">
        <f>IFERROR(VLOOKUP(BXE$1,PremiumIncome[[Ticker]:[Weight]],2,FALSE),0%)</f>
        <v>0</v>
      </c>
      <c r="BXF7" s="179">
        <f>IFERROR(VLOOKUP(BXF$1,PremiumIncome[[Ticker]:[Weight]],2,FALSE),0%)</f>
        <v>0</v>
      </c>
      <c r="BXG7" s="179">
        <f>IFERROR(VLOOKUP(BXG$1,PremiumIncome[[Ticker]:[Weight]],2,FALSE),0%)</f>
        <v>0</v>
      </c>
      <c r="BXH7" s="179">
        <f>IFERROR(VLOOKUP(BXH$1,PremiumIncome[[Ticker]:[Weight]],2,FALSE),0%)</f>
        <v>0</v>
      </c>
      <c r="BXI7" s="179">
        <f>IFERROR(VLOOKUP(BXI$1,PremiumIncome[[Ticker]:[Weight]],2,FALSE),0%)</f>
        <v>0</v>
      </c>
      <c r="BXJ7" s="179">
        <f>IFERROR(VLOOKUP(BXJ$1,PremiumIncome[[Ticker]:[Weight]],2,FALSE),0%)</f>
        <v>0</v>
      </c>
      <c r="BXK7" s="179">
        <f>IFERROR(VLOOKUP(BXK$1,PremiumIncome[[Ticker]:[Weight]],2,FALSE),0%)</f>
        <v>0</v>
      </c>
      <c r="BXL7" s="179">
        <f>IFERROR(VLOOKUP(BXL$1,PremiumIncome[[Ticker]:[Weight]],2,FALSE),0%)</f>
        <v>0</v>
      </c>
      <c r="BXM7" s="179">
        <f>IFERROR(VLOOKUP(BXM$1,PremiumIncome[[Ticker]:[Weight]],2,FALSE),0%)</f>
        <v>0</v>
      </c>
      <c r="BXN7" s="179">
        <f>IFERROR(VLOOKUP(BXN$1,PremiumIncome[[Ticker]:[Weight]],2,FALSE),0%)</f>
        <v>0</v>
      </c>
      <c r="BXO7" s="179">
        <f>IFERROR(VLOOKUP(BXO$1,PremiumIncome[[Ticker]:[Weight]],2,FALSE),0%)</f>
        <v>0</v>
      </c>
      <c r="BXP7" s="179">
        <f>IFERROR(VLOOKUP(BXP$1,PremiumIncome[[Ticker]:[Weight]],2,FALSE),0%)</f>
        <v>0</v>
      </c>
      <c r="BXQ7" s="179">
        <f>IFERROR(VLOOKUP(BXQ$1,PremiumIncome[[Ticker]:[Weight]],2,FALSE),0%)</f>
        <v>0</v>
      </c>
      <c r="BXR7" s="179">
        <f>IFERROR(VLOOKUP(BXR$1,PremiumIncome[[Ticker]:[Weight]],2,FALSE),0%)</f>
        <v>0</v>
      </c>
      <c r="BXS7" s="179">
        <f>IFERROR(VLOOKUP(BXS$1,PremiumIncome[[Ticker]:[Weight]],2,FALSE),0%)</f>
        <v>0</v>
      </c>
      <c r="BXT7" s="179">
        <f>IFERROR(VLOOKUP(BXT$1,PremiumIncome[[Ticker]:[Weight]],2,FALSE),0%)</f>
        <v>0</v>
      </c>
      <c r="BXU7" s="179">
        <f>IFERROR(VLOOKUP(BXU$1,PremiumIncome[[Ticker]:[Weight]],2,FALSE),0%)</f>
        <v>0</v>
      </c>
      <c r="BXV7" s="179">
        <f>IFERROR(VLOOKUP(BXV$1,PremiumIncome[[Ticker]:[Weight]],2,FALSE),0%)</f>
        <v>0</v>
      </c>
      <c r="BXW7" s="179">
        <f>IFERROR(VLOOKUP(BXW$1,PremiumIncome[[Ticker]:[Weight]],2,FALSE),0%)</f>
        <v>0</v>
      </c>
      <c r="BXX7" s="179">
        <f>IFERROR(VLOOKUP(BXX$1,PremiumIncome[[Ticker]:[Weight]],2,FALSE),0%)</f>
        <v>0</v>
      </c>
      <c r="BXY7" s="179">
        <f>IFERROR(VLOOKUP(BXY$1,PremiumIncome[[Ticker]:[Weight]],2,FALSE),0%)</f>
        <v>0</v>
      </c>
      <c r="BXZ7" s="179">
        <f>IFERROR(VLOOKUP(BXZ$1,PremiumIncome[[Ticker]:[Weight]],2,FALSE),0%)</f>
        <v>0</v>
      </c>
      <c r="BYA7" s="179">
        <f>IFERROR(VLOOKUP(BYA$1,PremiumIncome[[Ticker]:[Weight]],2,FALSE),0%)</f>
        <v>0</v>
      </c>
      <c r="BYB7" s="179">
        <f>IFERROR(VLOOKUP(BYB$1,PremiumIncome[[Ticker]:[Weight]],2,FALSE),0%)</f>
        <v>0</v>
      </c>
      <c r="BYC7" s="179">
        <f>IFERROR(VLOOKUP(BYC$1,PremiumIncome[[Ticker]:[Weight]],2,FALSE),0%)</f>
        <v>0</v>
      </c>
      <c r="BYD7" s="179">
        <f>IFERROR(VLOOKUP(BYD$1,PremiumIncome[[Ticker]:[Weight]],2,FALSE),0%)</f>
        <v>0</v>
      </c>
      <c r="BYE7" s="179">
        <f>IFERROR(VLOOKUP(BYE$1,PremiumIncome[[Ticker]:[Weight]],2,FALSE),0%)</f>
        <v>0</v>
      </c>
      <c r="BYF7" s="179">
        <f>IFERROR(VLOOKUP(BYF$1,PremiumIncome[[Ticker]:[Weight]],2,FALSE),0%)</f>
        <v>0</v>
      </c>
      <c r="BYG7" s="179">
        <f>IFERROR(VLOOKUP(BYG$1,PremiumIncome[[Ticker]:[Weight]],2,FALSE),0%)</f>
        <v>0</v>
      </c>
      <c r="BYH7" s="179">
        <f>IFERROR(VLOOKUP(BYH$1,PremiumIncome[[Ticker]:[Weight]],2,FALSE),0%)</f>
        <v>0</v>
      </c>
      <c r="BYI7" s="179">
        <f>IFERROR(VLOOKUP(BYI$1,PremiumIncome[[Ticker]:[Weight]],2,FALSE),0%)</f>
        <v>0</v>
      </c>
      <c r="BYJ7" s="179">
        <f>IFERROR(VLOOKUP(BYJ$1,PremiumIncome[[Ticker]:[Weight]],2,FALSE),0%)</f>
        <v>0</v>
      </c>
      <c r="BYK7" s="179">
        <f>IFERROR(VLOOKUP(BYK$1,PremiumIncome[[Ticker]:[Weight]],2,FALSE),0%)</f>
        <v>0</v>
      </c>
      <c r="BYL7" s="179">
        <f>IFERROR(VLOOKUP(BYL$1,PremiumIncome[[Ticker]:[Weight]],2,FALSE),0%)</f>
        <v>0</v>
      </c>
      <c r="BYM7" s="179">
        <f>IFERROR(VLOOKUP(BYM$1,PremiumIncome[[Ticker]:[Weight]],2,FALSE),0%)</f>
        <v>0</v>
      </c>
      <c r="BYN7" s="179">
        <f>IFERROR(VLOOKUP(BYN$1,PremiumIncome[[Ticker]:[Weight]],2,FALSE),0%)</f>
        <v>0</v>
      </c>
      <c r="BYO7" s="179">
        <f>IFERROR(VLOOKUP(BYO$1,PremiumIncome[[Ticker]:[Weight]],2,FALSE),0%)</f>
        <v>0</v>
      </c>
      <c r="BYP7" s="179">
        <f>IFERROR(VLOOKUP(BYP$1,PremiumIncome[[Ticker]:[Weight]],2,FALSE),0%)</f>
        <v>0</v>
      </c>
      <c r="BYQ7" s="179">
        <f>IFERROR(VLOOKUP(BYQ$1,PremiumIncome[[Ticker]:[Weight]],2,FALSE),0%)</f>
        <v>0</v>
      </c>
      <c r="BYR7" s="179">
        <f>IFERROR(VLOOKUP(BYR$1,PremiumIncome[[Ticker]:[Weight]],2,FALSE),0%)</f>
        <v>0</v>
      </c>
      <c r="BYS7" s="179">
        <f>IFERROR(VLOOKUP(BYS$1,PremiumIncome[[Ticker]:[Weight]],2,FALSE),0%)</f>
        <v>0</v>
      </c>
      <c r="BYT7" s="179">
        <f>IFERROR(VLOOKUP(BYT$1,PremiumIncome[[Ticker]:[Weight]],2,FALSE),0%)</f>
        <v>0</v>
      </c>
      <c r="BYU7" s="179">
        <f>IFERROR(VLOOKUP(BYU$1,PremiumIncome[[Ticker]:[Weight]],2,FALSE),0%)</f>
        <v>0.238253428</v>
      </c>
      <c r="BYV7" s="179">
        <f>IFERROR(VLOOKUP(BYV$1,PremiumIncome[[Ticker]:[Weight]],2,FALSE),0%)</f>
        <v>0</v>
      </c>
      <c r="BYW7" s="179">
        <f>IFERROR(VLOOKUP(BYW$1,PremiumIncome[[Ticker]:[Weight]],2,FALSE),0%)</f>
        <v>0</v>
      </c>
      <c r="BYX7" s="179">
        <f>IFERROR(VLOOKUP(BYX$1,PremiumIncome[[Ticker]:[Weight]],2,FALSE),0%)</f>
        <v>0</v>
      </c>
      <c r="BYY7" s="179">
        <f>IFERROR(VLOOKUP(BYY$1,PremiumIncome[[Ticker]:[Weight]],2,FALSE),0%)</f>
        <v>0</v>
      </c>
      <c r="BYZ7" s="179">
        <f>IFERROR(VLOOKUP(BYZ$1,PremiumIncome[[Ticker]:[Weight]],2,FALSE),0%)</f>
        <v>0</v>
      </c>
      <c r="BZA7" s="179">
        <f>IFERROR(VLOOKUP(BZA$1,PremiumIncome[[Ticker]:[Weight]],2,FALSE),0%)</f>
        <v>0</v>
      </c>
      <c r="BZB7" s="179">
        <f>IFERROR(VLOOKUP(BZB$1,PremiumIncome[[Ticker]:[Weight]],2,FALSE),0%)</f>
        <v>0</v>
      </c>
      <c r="BZC7" s="179">
        <f>IFERROR(VLOOKUP(BZC$1,PremiumIncome[[Ticker]:[Weight]],2,FALSE),0%)</f>
        <v>0</v>
      </c>
      <c r="BZD7" s="179">
        <f>IFERROR(VLOOKUP(BZD$1,PremiumIncome[[Ticker]:[Weight]],2,FALSE),0%)</f>
        <v>0</v>
      </c>
      <c r="BZE7" s="179">
        <f>IFERROR(VLOOKUP(BZE$1,PremiumIncome[[Ticker]:[Weight]],2,FALSE),0%)</f>
        <v>0</v>
      </c>
      <c r="BZF7" s="179">
        <f>IFERROR(VLOOKUP(BZF$1,PremiumIncome[[Ticker]:[Weight]],2,FALSE),0%)</f>
        <v>0</v>
      </c>
      <c r="BZG7" s="179">
        <f>IFERROR(VLOOKUP(BZG$1,PremiumIncome[[Ticker]:[Weight]],2,FALSE),0%)</f>
        <v>0</v>
      </c>
      <c r="BZH7" s="179">
        <f>IFERROR(VLOOKUP(BZH$1,PremiumIncome[[Ticker]:[Weight]],2,FALSE),0%)</f>
        <v>0</v>
      </c>
      <c r="BZI7" s="179">
        <f>IFERROR(VLOOKUP(BZI$1,PremiumIncome[[Ticker]:[Weight]],2,FALSE),0%)</f>
        <v>0</v>
      </c>
      <c r="BZJ7" s="179">
        <f>IFERROR(VLOOKUP(BZJ$1,PremiumIncome[[Ticker]:[Weight]],2,FALSE),0%)</f>
        <v>0</v>
      </c>
      <c r="BZK7" s="179">
        <f>IFERROR(VLOOKUP(BZK$1,PremiumIncome[[Ticker]:[Weight]],2,FALSE),0%)</f>
        <v>0</v>
      </c>
      <c r="BZL7" s="179">
        <f>IFERROR(VLOOKUP(BZL$1,PremiumIncome[[Ticker]:[Weight]],2,FALSE),0%)</f>
        <v>0</v>
      </c>
      <c r="BZM7" s="179">
        <f>IFERROR(VLOOKUP(BZM$1,PremiumIncome[[Ticker]:[Weight]],2,FALSE),0%)</f>
        <v>0</v>
      </c>
      <c r="BZN7" s="179">
        <f>IFERROR(VLOOKUP(BZN$1,PremiumIncome[[Ticker]:[Weight]],2,FALSE),0%)</f>
        <v>0</v>
      </c>
      <c r="BZO7" s="179">
        <f>IFERROR(VLOOKUP(BZO$1,PremiumIncome[[Ticker]:[Weight]],2,FALSE),0%)</f>
        <v>0</v>
      </c>
      <c r="BZP7" s="179">
        <f>IFERROR(VLOOKUP(BZP$1,PremiumIncome[[Ticker]:[Weight]],2,FALSE),0%)</f>
        <v>0</v>
      </c>
      <c r="BZQ7" s="179">
        <f>IFERROR(VLOOKUP(BZQ$1,PremiumIncome[[Ticker]:[Weight]],2,FALSE),0%)</f>
        <v>0</v>
      </c>
      <c r="BZR7" s="179">
        <f>IFERROR(VLOOKUP(BZR$1,PremiumIncome[[Ticker]:[Weight]],2,FALSE),0%)</f>
        <v>0</v>
      </c>
      <c r="BZS7" s="179">
        <f>IFERROR(VLOOKUP(BZS$1,PremiumIncome[[Ticker]:[Weight]],2,FALSE),0%)</f>
        <v>0</v>
      </c>
      <c r="BZT7" s="179">
        <f>IFERROR(VLOOKUP(BZT$1,PremiumIncome[[Ticker]:[Weight]],2,FALSE),0%)</f>
        <v>0</v>
      </c>
      <c r="BZU7" s="179">
        <f>IFERROR(VLOOKUP(BZU$1,PremiumIncome[[Ticker]:[Weight]],2,FALSE),0%)</f>
        <v>0</v>
      </c>
      <c r="BZV7" s="179">
        <f>IFERROR(VLOOKUP(BZV$1,PremiumIncome[[Ticker]:[Weight]],2,FALSE),0%)</f>
        <v>0</v>
      </c>
      <c r="BZW7" s="179">
        <f>IFERROR(VLOOKUP(BZW$1,PremiumIncome[[Ticker]:[Weight]],2,FALSE),0%)</f>
        <v>0</v>
      </c>
      <c r="BZX7" s="179">
        <f>IFERROR(VLOOKUP(BZX$1,PremiumIncome[[Ticker]:[Weight]],2,FALSE),0%)</f>
        <v>0</v>
      </c>
      <c r="BZY7" s="179">
        <f>IFERROR(VLOOKUP(BZY$1,PremiumIncome[[Ticker]:[Weight]],2,FALSE),0%)</f>
        <v>0.0867216053</v>
      </c>
      <c r="BZZ7" s="179">
        <f>IFERROR(VLOOKUP(BZZ$1,PremiumIncome[[Ticker]:[Weight]],2,FALSE),0%)</f>
        <v>0</v>
      </c>
      <c r="CAA7" s="179">
        <f>IFERROR(VLOOKUP(CAA$1,PremiumIncome[[Ticker]:[Weight]],2,FALSE),0%)</f>
        <v>0</v>
      </c>
      <c r="CAB7" s="179">
        <f>IFERROR(VLOOKUP(CAB$1,PremiumIncome[[Ticker]:[Weight]],2,FALSE),0%)</f>
        <v>0</v>
      </c>
      <c r="CAC7" s="179">
        <f>IFERROR(VLOOKUP(CAC$1,PremiumIncome[[Ticker]:[Weight]],2,FALSE),0%)</f>
        <v>0</v>
      </c>
      <c r="CAD7" s="179">
        <f>IFERROR(VLOOKUP(CAD$1,PremiumIncome[[Ticker]:[Weight]],2,FALSE),0%)</f>
        <v>0</v>
      </c>
      <c r="CAE7" s="179">
        <f>IFERROR(VLOOKUP(CAE$1,PremiumIncome[[Ticker]:[Weight]],2,FALSE),0%)</f>
        <v>0</v>
      </c>
      <c r="CAF7" s="179">
        <f>IFERROR(VLOOKUP(CAF$1,PremiumIncome[[Ticker]:[Weight]],2,FALSE),0%)</f>
        <v>0</v>
      </c>
      <c r="CAG7" s="179">
        <f>IFERROR(VLOOKUP(CAG$1,PremiumIncome[[Ticker]:[Weight]],2,FALSE),0%)</f>
        <v>0</v>
      </c>
      <c r="CAH7" s="179">
        <f>IFERROR(VLOOKUP(CAH$1,PremiumIncome[[Ticker]:[Weight]],2,FALSE),0%)</f>
        <v>0</v>
      </c>
      <c r="CAI7" s="179">
        <f>IFERROR(VLOOKUP(CAI$1,PremiumIncome[[Ticker]:[Weight]],2,FALSE),0%)</f>
        <v>0</v>
      </c>
      <c r="CAJ7" s="179">
        <f>IFERROR(VLOOKUP(CAJ$1,PremiumIncome[[Ticker]:[Weight]],2,FALSE),0%)</f>
        <v>0</v>
      </c>
      <c r="CAK7" s="179">
        <f>IFERROR(VLOOKUP(CAK$1,PremiumIncome[[Ticker]:[Weight]],2,FALSE),0%)</f>
        <v>0</v>
      </c>
      <c r="CAL7" s="179">
        <f>IFERROR(VLOOKUP(CAL$1,PremiumIncome[[Ticker]:[Weight]],2,FALSE),0%)</f>
        <v>0</v>
      </c>
      <c r="CAM7" s="179">
        <f>IFERROR(VLOOKUP(CAM$1,PremiumIncome[[Ticker]:[Weight]],2,FALSE),0%)</f>
        <v>0</v>
      </c>
      <c r="CAN7" s="179">
        <f>IFERROR(VLOOKUP(CAN$1,PremiumIncome[[Ticker]:[Weight]],2,FALSE),0%)</f>
        <v>0</v>
      </c>
      <c r="CAO7" s="179">
        <f>IFERROR(VLOOKUP(CAO$1,PremiumIncome[[Ticker]:[Weight]],2,FALSE),0%)</f>
        <v>0</v>
      </c>
      <c r="CAP7" s="179">
        <f>IFERROR(VLOOKUP(CAP$1,PremiumIncome[[Ticker]:[Weight]],2,FALSE),0%)</f>
        <v>0</v>
      </c>
      <c r="CAQ7" s="179">
        <f>IFERROR(VLOOKUP(CAQ$1,PremiumIncome[[Ticker]:[Weight]],2,FALSE),0%)</f>
        <v>0</v>
      </c>
      <c r="CAR7" s="179">
        <f>IFERROR(VLOOKUP(CAR$1,PremiumIncome[[Ticker]:[Weight]],2,FALSE),0%)</f>
        <v>0</v>
      </c>
      <c r="CAS7" s="179">
        <f>IFERROR(VLOOKUP(CAS$1,PremiumIncome[[Ticker]:[Weight]],2,FALSE),0%)</f>
        <v>0</v>
      </c>
      <c r="CAT7" s="179">
        <f>IFERROR(VLOOKUP(CAT$1,PremiumIncome[[Ticker]:[Weight]],2,FALSE),0%)</f>
        <v>0</v>
      </c>
      <c r="CAU7" s="179">
        <f>IFERROR(VLOOKUP(CAU$1,PremiumIncome[[Ticker]:[Weight]],2,FALSE),0%)</f>
        <v>0</v>
      </c>
      <c r="CAV7" s="179">
        <f>IFERROR(VLOOKUP(CAV$1,PremiumIncome[[Ticker]:[Weight]],2,FALSE),0%)</f>
        <v>0</v>
      </c>
      <c r="CAW7" s="179">
        <f>IFERROR(VLOOKUP(CAW$1,PremiumIncome[[Ticker]:[Weight]],2,FALSE),0%)</f>
        <v>0</v>
      </c>
      <c r="CAX7" s="179">
        <f>IFERROR(VLOOKUP(CAX$1,PremiumIncome[[Ticker]:[Weight]],2,FALSE),0%)</f>
        <v>0</v>
      </c>
      <c r="CAY7" s="179">
        <f>IFERROR(VLOOKUP(CAY$1,PremiumIncome[[Ticker]:[Weight]],2,FALSE),0%)</f>
        <v>0.1873649394</v>
      </c>
      <c r="CAZ7" s="179">
        <f>IFERROR(VLOOKUP(CAZ$1,PremiumIncome[[Ticker]:[Weight]],2,FALSE),0%)</f>
        <v>0</v>
      </c>
      <c r="CBA7" s="179">
        <f>IFERROR(VLOOKUP(CBA$1,PremiumIncome[[Ticker]:[Weight]],2,FALSE),0%)</f>
        <v>0</v>
      </c>
      <c r="CBB7" s="179">
        <f>IFERROR(VLOOKUP(CBB$1,PremiumIncome[[Ticker]:[Weight]],2,FALSE),0%)</f>
        <v>0</v>
      </c>
      <c r="CBC7" s="179">
        <f>IFERROR(VLOOKUP(CBC$1,PremiumIncome[[Ticker]:[Weight]],2,FALSE),0%)</f>
        <v>0</v>
      </c>
      <c r="CBD7" s="179">
        <f>IFERROR(VLOOKUP(CBD$1,PremiumIncome[[Ticker]:[Weight]],2,FALSE),0%)</f>
        <v>0</v>
      </c>
      <c r="CBE7" s="179">
        <f>IFERROR(VLOOKUP(CBE$1,PremiumIncome[[Ticker]:[Weight]],2,FALSE),0%)</f>
        <v>0</v>
      </c>
      <c r="CBF7" s="179">
        <f>IFERROR(VLOOKUP(CBF$1,PremiumIncome[[Ticker]:[Weight]],2,FALSE),0%)</f>
        <v>0</v>
      </c>
      <c r="CBG7" s="179">
        <f>IFERROR(VLOOKUP(CBG$1,PremiumIncome[[Ticker]:[Weight]],2,FALSE),0%)</f>
        <v>0</v>
      </c>
      <c r="CBH7" s="179">
        <f>IFERROR(VLOOKUP(CBH$1,PremiumIncome[[Ticker]:[Weight]],2,FALSE),0%)</f>
        <v>0</v>
      </c>
      <c r="CBI7" s="179">
        <f>IFERROR(VLOOKUP(CBI$1,PremiumIncome[[Ticker]:[Weight]],2,FALSE),0%)</f>
        <v>0</v>
      </c>
      <c r="CBJ7" s="179">
        <f>IFERROR(VLOOKUP(CBJ$1,PremiumIncome[[Ticker]:[Weight]],2,FALSE),0%)</f>
        <v>0</v>
      </c>
      <c r="CBK7" s="179">
        <f>IFERROR(VLOOKUP(CBK$1,PremiumIncome[[Ticker]:[Weight]],2,FALSE),0%)</f>
        <v>0</v>
      </c>
      <c r="CBL7" s="179">
        <f>IFERROR(VLOOKUP(CBL$1,PremiumIncome[[Ticker]:[Weight]],2,FALSE),0%)</f>
        <v>0</v>
      </c>
      <c r="CBM7" s="179">
        <f>IFERROR(VLOOKUP(CBM$1,PremiumIncome[[Ticker]:[Weight]],2,FALSE),0%)</f>
        <v>0</v>
      </c>
      <c r="CBN7" s="179">
        <f>IFERROR(VLOOKUP(CBN$1,PremiumIncome[[Ticker]:[Weight]],2,FALSE),0%)</f>
        <v>0</v>
      </c>
      <c r="CBO7" s="179">
        <f>IFERROR(VLOOKUP(CBO$1,PremiumIncome[[Ticker]:[Weight]],2,FALSE),0%)</f>
        <v>0</v>
      </c>
      <c r="CBP7" s="179">
        <f>IFERROR(VLOOKUP(CBP$1,PremiumIncome[[Ticker]:[Weight]],2,FALSE),0%)</f>
        <v>0</v>
      </c>
      <c r="CBQ7" s="179">
        <f>IFERROR(VLOOKUP(CBQ$1,PremiumIncome[[Ticker]:[Weight]],2,FALSE),0%)</f>
        <v>0</v>
      </c>
      <c r="CBR7" s="179">
        <f>IFERROR(VLOOKUP(CBR$1,PremiumIncome[[Ticker]:[Weight]],2,FALSE),0%)</f>
        <v>0</v>
      </c>
      <c r="CBS7" s="179">
        <f>IFERROR(VLOOKUP(CBS$1,PremiumIncome[[Ticker]:[Weight]],2,FALSE),0%)</f>
        <v>0</v>
      </c>
      <c r="CBT7" s="179">
        <f>IFERROR(VLOOKUP(CBT$1,PremiumIncome[[Ticker]:[Weight]],2,FALSE),0%)</f>
        <v>0</v>
      </c>
      <c r="CBU7" s="179">
        <f>IFERROR(VLOOKUP(CBU$1,PremiumIncome[[Ticker]:[Weight]],2,FALSE),0%)</f>
        <v>0</v>
      </c>
      <c r="CBV7" s="179">
        <f>IFERROR(VLOOKUP(CBV$1,PremiumIncome[[Ticker]:[Weight]],2,FALSE),0%)</f>
        <v>0</v>
      </c>
      <c r="CBW7" s="179">
        <f t="shared" si="1"/>
        <v>1</v>
      </c>
    </row>
    <row r="8">
      <c r="A8" s="147" t="s">
        <v>2337</v>
      </c>
      <c r="B8" s="179">
        <f>IFERROR(VLOOKUP(B$1,FactorAlfa[[Ticker]:[Weight]],2,FALSE),0%)</f>
        <v>0</v>
      </c>
      <c r="C8" s="179">
        <f>IFERROR(VLOOKUP(C$1,FactorAlfa[[Ticker]:[Weight]],2,FALSE),0%)</f>
        <v>0</v>
      </c>
      <c r="D8" s="179">
        <f>IFERROR(VLOOKUP(D$1,FactorAlfa[[Ticker]:[Weight]],2,FALSE),0%)</f>
        <v>0</v>
      </c>
      <c r="E8" s="179">
        <f>IFERROR(VLOOKUP(E$1,FactorAlfa[[Ticker]:[Weight]],2,FALSE),0%)</f>
        <v>0</v>
      </c>
      <c r="F8" s="179">
        <f>IFERROR(VLOOKUP(F$1,FactorAlfa[[Ticker]:[Weight]],2,FALSE),0%)</f>
        <v>0</v>
      </c>
      <c r="G8" s="179">
        <f>IFERROR(VLOOKUP(G$1,FactorAlfa[[Ticker]:[Weight]],2,FALSE),0%)</f>
        <v>0</v>
      </c>
      <c r="H8" s="179">
        <f>IFERROR(VLOOKUP(H$1,FactorAlfa[[Ticker]:[Weight]],2,FALSE),0%)</f>
        <v>0</v>
      </c>
      <c r="I8" s="179">
        <f>IFERROR(VLOOKUP(I$1,FactorAlfa[[Ticker]:[Weight]],2,FALSE),0%)</f>
        <v>0</v>
      </c>
      <c r="J8" s="179">
        <f>IFERROR(VLOOKUP(J$1,FactorAlfa[[Ticker]:[Weight]],2,FALSE),0%)</f>
        <v>0</v>
      </c>
      <c r="K8" s="179">
        <f>IFERROR(VLOOKUP(K$1,FactorAlfa[[Ticker]:[Weight]],2,FALSE),0%)</f>
        <v>0</v>
      </c>
      <c r="L8" s="179">
        <f>IFERROR(VLOOKUP(L$1,FactorAlfa[[Ticker]:[Weight]],2,FALSE),0%)</f>
        <v>0</v>
      </c>
      <c r="M8" s="179">
        <f>IFERROR(VLOOKUP(M$1,FactorAlfa[[Ticker]:[Weight]],2,FALSE),0%)</f>
        <v>0</v>
      </c>
      <c r="N8" s="179">
        <f>IFERROR(VLOOKUP(N$1,FactorAlfa[[Ticker]:[Weight]],2,FALSE),0%)</f>
        <v>0</v>
      </c>
      <c r="O8" s="179">
        <f>IFERROR(VLOOKUP(O$1,FactorAlfa[[Ticker]:[Weight]],2,FALSE),0%)</f>
        <v>0</v>
      </c>
      <c r="P8" s="179">
        <f>IFERROR(VLOOKUP(P$1,FactorAlfa[[Ticker]:[Weight]],2,FALSE),0%)</f>
        <v>0</v>
      </c>
      <c r="Q8" s="179">
        <f>IFERROR(VLOOKUP(Q$1,FactorAlfa[[Ticker]:[Weight]],2,FALSE),0%)</f>
        <v>0</v>
      </c>
      <c r="R8" s="179">
        <f>IFERROR(VLOOKUP(R$1,FactorAlfa[[Ticker]:[Weight]],2,FALSE),0%)</f>
        <v>0</v>
      </c>
      <c r="S8" s="179">
        <f>IFERROR(VLOOKUP(S$1,FactorAlfa[[Ticker]:[Weight]],2,FALSE),0%)</f>
        <v>0</v>
      </c>
      <c r="T8" s="179">
        <f>IFERROR(VLOOKUP(T$1,FactorAlfa[[Ticker]:[Weight]],2,FALSE),0%)</f>
        <v>0</v>
      </c>
      <c r="U8" s="179">
        <f>IFERROR(VLOOKUP(U$1,FactorAlfa[[Ticker]:[Weight]],2,FALSE),0%)</f>
        <v>0</v>
      </c>
      <c r="V8" s="179">
        <f>IFERROR(VLOOKUP(V$1,FactorAlfa[[Ticker]:[Weight]],2,FALSE),0%)</f>
        <v>0</v>
      </c>
      <c r="W8" s="179">
        <f>IFERROR(VLOOKUP(W$1,FactorAlfa[[Ticker]:[Weight]],2,FALSE),0%)</f>
        <v>0</v>
      </c>
      <c r="X8" s="179">
        <f>IFERROR(VLOOKUP(X$1,FactorAlfa[[Ticker]:[Weight]],2,FALSE),0%)</f>
        <v>0</v>
      </c>
      <c r="Y8" s="179">
        <f>IFERROR(VLOOKUP(Y$1,FactorAlfa[[Ticker]:[Weight]],2,FALSE),0%)</f>
        <v>0</v>
      </c>
      <c r="Z8" s="179">
        <f>IFERROR(VLOOKUP(Z$1,FactorAlfa[[Ticker]:[Weight]],2,FALSE),0%)</f>
        <v>0</v>
      </c>
      <c r="AA8" s="179">
        <f>IFERROR(VLOOKUP(AA$1,FactorAlfa[[Ticker]:[Weight]],2,FALSE),0%)</f>
        <v>0</v>
      </c>
      <c r="AB8" s="179">
        <f>IFERROR(VLOOKUP(AB$1,FactorAlfa[[Ticker]:[Weight]],2,FALSE),0%)</f>
        <v>0</v>
      </c>
      <c r="AC8" s="179">
        <f>IFERROR(VLOOKUP(AC$1,FactorAlfa[[Ticker]:[Weight]],2,FALSE),0%)</f>
        <v>0</v>
      </c>
      <c r="AD8" s="179">
        <f>IFERROR(VLOOKUP(AD$1,FactorAlfa[[Ticker]:[Weight]],2,FALSE),0%)</f>
        <v>0.04166</v>
      </c>
      <c r="AE8" s="179">
        <f>IFERROR(VLOOKUP(AE$1,FactorAlfa[[Ticker]:[Weight]],2,FALSE),0%)</f>
        <v>0</v>
      </c>
      <c r="AF8" s="179">
        <f>IFERROR(VLOOKUP(AF$1,FactorAlfa[[Ticker]:[Weight]],2,FALSE),0%)</f>
        <v>0</v>
      </c>
      <c r="AG8" s="179">
        <f>IFERROR(VLOOKUP(AG$1,FactorAlfa[[Ticker]:[Weight]],2,FALSE),0%)</f>
        <v>0</v>
      </c>
      <c r="AH8" s="179">
        <f>IFERROR(VLOOKUP(AH$1,FactorAlfa[[Ticker]:[Weight]],2,FALSE),0%)</f>
        <v>0</v>
      </c>
      <c r="AI8" s="179">
        <f>IFERROR(VLOOKUP(AI$1,FactorAlfa[[Ticker]:[Weight]],2,FALSE),0%)</f>
        <v>0</v>
      </c>
      <c r="AJ8" s="179">
        <f>IFERROR(VLOOKUP(AJ$1,FactorAlfa[[Ticker]:[Weight]],2,FALSE),0%)</f>
        <v>0</v>
      </c>
      <c r="AK8" s="179">
        <f>IFERROR(VLOOKUP(AK$1,FactorAlfa[[Ticker]:[Weight]],2,FALSE),0%)</f>
        <v>0</v>
      </c>
      <c r="AL8" s="179">
        <f>IFERROR(VLOOKUP(AL$1,FactorAlfa[[Ticker]:[Weight]],2,FALSE),0%)</f>
        <v>0.04166</v>
      </c>
      <c r="AM8" s="179">
        <f>IFERROR(VLOOKUP(AM$1,FactorAlfa[[Ticker]:[Weight]],2,FALSE),0%)</f>
        <v>0</v>
      </c>
      <c r="AN8" s="179">
        <f>IFERROR(VLOOKUP(AN$1,FactorAlfa[[Ticker]:[Weight]],2,FALSE),0%)</f>
        <v>0</v>
      </c>
      <c r="AO8" s="179">
        <f>IFERROR(VLOOKUP(AO$1,FactorAlfa[[Ticker]:[Weight]],2,FALSE),0%)</f>
        <v>0</v>
      </c>
      <c r="AP8" s="179">
        <f>IFERROR(VLOOKUP(AP$1,FactorAlfa[[Ticker]:[Weight]],2,FALSE),0%)</f>
        <v>0</v>
      </c>
      <c r="AQ8" s="179">
        <f>IFERROR(VLOOKUP(AQ$1,FactorAlfa[[Ticker]:[Weight]],2,FALSE),0%)</f>
        <v>0</v>
      </c>
      <c r="AR8" s="179">
        <f>IFERROR(VLOOKUP(AR$1,FactorAlfa[[Ticker]:[Weight]],2,FALSE),0%)</f>
        <v>0</v>
      </c>
      <c r="AS8" s="179">
        <f>IFERROR(VLOOKUP(AS$1,FactorAlfa[[Ticker]:[Weight]],2,FALSE),0%)</f>
        <v>0</v>
      </c>
      <c r="AT8" s="179">
        <f>IFERROR(VLOOKUP(AT$1,FactorAlfa[[Ticker]:[Weight]],2,FALSE),0%)</f>
        <v>0</v>
      </c>
      <c r="AU8" s="179">
        <f>IFERROR(VLOOKUP(AU$1,FactorAlfa[[Ticker]:[Weight]],2,FALSE),0%)</f>
        <v>0</v>
      </c>
      <c r="AV8" s="179">
        <f>IFERROR(VLOOKUP(AV$1,FactorAlfa[[Ticker]:[Weight]],2,FALSE),0%)</f>
        <v>0</v>
      </c>
      <c r="AW8" s="179">
        <f>IFERROR(VLOOKUP(AW$1,FactorAlfa[[Ticker]:[Weight]],2,FALSE),0%)</f>
        <v>0</v>
      </c>
      <c r="AX8" s="179">
        <f>IFERROR(VLOOKUP(AX$1,FactorAlfa[[Ticker]:[Weight]],2,FALSE),0%)</f>
        <v>0</v>
      </c>
      <c r="AY8" s="179">
        <f>IFERROR(VLOOKUP(AY$1,FactorAlfa[[Ticker]:[Weight]],2,FALSE),0%)</f>
        <v>0</v>
      </c>
      <c r="AZ8" s="179">
        <f>IFERROR(VLOOKUP(AZ$1,FactorAlfa[[Ticker]:[Weight]],2,FALSE),0%)</f>
        <v>0</v>
      </c>
      <c r="BA8" s="179">
        <f>IFERROR(VLOOKUP(BA$1,FactorAlfa[[Ticker]:[Weight]],2,FALSE),0%)</f>
        <v>0</v>
      </c>
      <c r="BB8" s="179">
        <f>IFERROR(VLOOKUP(BB$1,FactorAlfa[[Ticker]:[Weight]],2,FALSE),0%)</f>
        <v>0</v>
      </c>
      <c r="BC8" s="179">
        <f>IFERROR(VLOOKUP(BC$1,FactorAlfa[[Ticker]:[Weight]],2,FALSE),0%)</f>
        <v>0</v>
      </c>
      <c r="BD8" s="179">
        <f>IFERROR(VLOOKUP(BD$1,FactorAlfa[[Ticker]:[Weight]],2,FALSE),0%)</f>
        <v>0</v>
      </c>
      <c r="BE8" s="179">
        <f>IFERROR(VLOOKUP(BE$1,FactorAlfa[[Ticker]:[Weight]],2,FALSE),0%)</f>
        <v>0</v>
      </c>
      <c r="BF8" s="179">
        <f>IFERROR(VLOOKUP(BF$1,FactorAlfa[[Ticker]:[Weight]],2,FALSE),0%)</f>
        <v>0</v>
      </c>
      <c r="BG8" s="179">
        <f>IFERROR(VLOOKUP(BG$1,FactorAlfa[[Ticker]:[Weight]],2,FALSE),0%)</f>
        <v>0</v>
      </c>
      <c r="BH8" s="179">
        <f>IFERROR(VLOOKUP(BH$1,FactorAlfa[[Ticker]:[Weight]],2,FALSE),0%)</f>
        <v>0</v>
      </c>
      <c r="BI8" s="179">
        <f>IFERROR(VLOOKUP(BI$1,FactorAlfa[[Ticker]:[Weight]],2,FALSE),0%)</f>
        <v>0</v>
      </c>
      <c r="BJ8" s="179">
        <f>IFERROR(VLOOKUP(BJ$1,FactorAlfa[[Ticker]:[Weight]],2,FALSE),0%)</f>
        <v>0</v>
      </c>
      <c r="BK8" s="179">
        <f>IFERROR(VLOOKUP(BK$1,FactorAlfa[[Ticker]:[Weight]],2,FALSE),0%)</f>
        <v>0</v>
      </c>
      <c r="BL8" s="179">
        <f>IFERROR(VLOOKUP(BL$1,FactorAlfa[[Ticker]:[Weight]],2,FALSE),0%)</f>
        <v>0</v>
      </c>
      <c r="BM8" s="179">
        <f>IFERROR(VLOOKUP(BM$1,FactorAlfa[[Ticker]:[Weight]],2,FALSE),0%)</f>
        <v>0</v>
      </c>
      <c r="BN8" s="179">
        <f>IFERROR(VLOOKUP(BN$1,FactorAlfa[[Ticker]:[Weight]],2,FALSE),0%)</f>
        <v>0</v>
      </c>
      <c r="BO8" s="179">
        <f>IFERROR(VLOOKUP(BO$1,FactorAlfa[[Ticker]:[Weight]],2,FALSE),0%)</f>
        <v>0</v>
      </c>
      <c r="BP8" s="179">
        <f>IFERROR(VLOOKUP(BP$1,FactorAlfa[[Ticker]:[Weight]],2,FALSE),0%)</f>
        <v>0</v>
      </c>
      <c r="BQ8" s="179">
        <f>IFERROR(VLOOKUP(BQ$1,FactorAlfa[[Ticker]:[Weight]],2,FALSE),0%)</f>
        <v>0</v>
      </c>
      <c r="BR8" s="179">
        <f>IFERROR(VLOOKUP(BR$1,FactorAlfa[[Ticker]:[Weight]],2,FALSE),0%)</f>
        <v>0</v>
      </c>
      <c r="BS8" s="179">
        <f>IFERROR(VLOOKUP(BS$1,FactorAlfa[[Ticker]:[Weight]],2,FALSE),0%)</f>
        <v>0</v>
      </c>
      <c r="BT8" s="179">
        <f>IFERROR(VLOOKUP(BT$1,FactorAlfa[[Ticker]:[Weight]],2,FALSE),0%)</f>
        <v>0</v>
      </c>
      <c r="BU8" s="179">
        <f>IFERROR(VLOOKUP(BU$1,FactorAlfa[[Ticker]:[Weight]],2,FALSE),0%)</f>
        <v>0</v>
      </c>
      <c r="BV8" s="179">
        <f>IFERROR(VLOOKUP(BV$1,FactorAlfa[[Ticker]:[Weight]],2,FALSE),0%)</f>
        <v>0</v>
      </c>
      <c r="BW8" s="179">
        <f>IFERROR(VLOOKUP(BW$1,FactorAlfa[[Ticker]:[Weight]],2,FALSE),0%)</f>
        <v>0</v>
      </c>
      <c r="BX8" s="179">
        <f>IFERROR(VLOOKUP(BX$1,FactorAlfa[[Ticker]:[Weight]],2,FALSE),0%)</f>
        <v>0</v>
      </c>
      <c r="BY8" s="179">
        <f>IFERROR(VLOOKUP(BY$1,FactorAlfa[[Ticker]:[Weight]],2,FALSE),0%)</f>
        <v>0</v>
      </c>
      <c r="BZ8" s="179">
        <f>IFERROR(VLOOKUP(BZ$1,FactorAlfa[[Ticker]:[Weight]],2,FALSE),0%)</f>
        <v>0</v>
      </c>
      <c r="CA8" s="179">
        <f>IFERROR(VLOOKUP(CA$1,FactorAlfa[[Ticker]:[Weight]],2,FALSE),0%)</f>
        <v>0</v>
      </c>
      <c r="CB8" s="179">
        <f>IFERROR(VLOOKUP(CB$1,FactorAlfa[[Ticker]:[Weight]],2,FALSE),0%)</f>
        <v>0</v>
      </c>
      <c r="CC8" s="179">
        <f>IFERROR(VLOOKUP(CC$1,FactorAlfa[[Ticker]:[Weight]],2,FALSE),0%)</f>
        <v>0</v>
      </c>
      <c r="CD8" s="179">
        <f>IFERROR(VLOOKUP(CD$1,FactorAlfa[[Ticker]:[Weight]],2,FALSE),0%)</f>
        <v>0</v>
      </c>
      <c r="CE8" s="179">
        <f>IFERROR(VLOOKUP(CE$1,FactorAlfa[[Ticker]:[Weight]],2,FALSE),0%)</f>
        <v>0</v>
      </c>
      <c r="CF8" s="179">
        <f>IFERROR(VLOOKUP(CF$1,FactorAlfa[[Ticker]:[Weight]],2,FALSE),0%)</f>
        <v>0</v>
      </c>
      <c r="CG8" s="179">
        <f>IFERROR(VLOOKUP(CG$1,FactorAlfa[[Ticker]:[Weight]],2,FALSE),0%)</f>
        <v>0</v>
      </c>
      <c r="CH8" s="179">
        <f>IFERROR(VLOOKUP(CH$1,FactorAlfa[[Ticker]:[Weight]],2,FALSE),0%)</f>
        <v>0</v>
      </c>
      <c r="CI8" s="179">
        <f>IFERROR(VLOOKUP(CI$1,FactorAlfa[[Ticker]:[Weight]],2,FALSE),0%)</f>
        <v>0</v>
      </c>
      <c r="CJ8" s="179">
        <f>IFERROR(VLOOKUP(CJ$1,FactorAlfa[[Ticker]:[Weight]],2,FALSE),0%)</f>
        <v>0</v>
      </c>
      <c r="CK8" s="179">
        <f>IFERROR(VLOOKUP(CK$1,FactorAlfa[[Ticker]:[Weight]],2,FALSE),0%)</f>
        <v>0</v>
      </c>
      <c r="CL8" s="179">
        <f>IFERROR(VLOOKUP(CL$1,FactorAlfa[[Ticker]:[Weight]],2,FALSE),0%)</f>
        <v>0</v>
      </c>
      <c r="CM8" s="179">
        <f>IFERROR(VLOOKUP(CM$1,FactorAlfa[[Ticker]:[Weight]],2,FALSE),0%)</f>
        <v>0</v>
      </c>
      <c r="CN8" s="179">
        <f>IFERROR(VLOOKUP(CN$1,FactorAlfa[[Ticker]:[Weight]],2,FALSE),0%)</f>
        <v>0</v>
      </c>
      <c r="CO8" s="179">
        <f>IFERROR(VLOOKUP(CO$1,FactorAlfa[[Ticker]:[Weight]],2,FALSE),0%)</f>
        <v>0</v>
      </c>
      <c r="CP8" s="179">
        <f>IFERROR(VLOOKUP(CP$1,FactorAlfa[[Ticker]:[Weight]],2,FALSE),0%)</f>
        <v>0</v>
      </c>
      <c r="CQ8" s="179">
        <f>IFERROR(VLOOKUP(CQ$1,FactorAlfa[[Ticker]:[Weight]],2,FALSE),0%)</f>
        <v>0</v>
      </c>
      <c r="CR8" s="179">
        <f>IFERROR(VLOOKUP(CR$1,FactorAlfa[[Ticker]:[Weight]],2,FALSE),0%)</f>
        <v>0</v>
      </c>
      <c r="CS8" s="179">
        <f>IFERROR(VLOOKUP(CS$1,FactorAlfa[[Ticker]:[Weight]],2,FALSE),0%)</f>
        <v>0</v>
      </c>
      <c r="CT8" s="179">
        <f>IFERROR(VLOOKUP(CT$1,FactorAlfa[[Ticker]:[Weight]],2,FALSE),0%)</f>
        <v>0</v>
      </c>
      <c r="CU8" s="179">
        <f>IFERROR(VLOOKUP(CU$1,FactorAlfa[[Ticker]:[Weight]],2,FALSE),0%)</f>
        <v>0</v>
      </c>
      <c r="CV8" s="179">
        <f>IFERROR(VLOOKUP(CV$1,FactorAlfa[[Ticker]:[Weight]],2,FALSE),0%)</f>
        <v>0</v>
      </c>
      <c r="CW8" s="179">
        <f>IFERROR(VLOOKUP(CW$1,FactorAlfa[[Ticker]:[Weight]],2,FALSE),0%)</f>
        <v>0</v>
      </c>
      <c r="CX8" s="179">
        <f>IFERROR(VLOOKUP(CX$1,FactorAlfa[[Ticker]:[Weight]],2,FALSE),0%)</f>
        <v>0</v>
      </c>
      <c r="CY8" s="179">
        <f>IFERROR(VLOOKUP(CY$1,FactorAlfa[[Ticker]:[Weight]],2,FALSE),0%)</f>
        <v>0</v>
      </c>
      <c r="CZ8" s="179">
        <f>IFERROR(VLOOKUP(CZ$1,FactorAlfa[[Ticker]:[Weight]],2,FALSE),0%)</f>
        <v>0</v>
      </c>
      <c r="DA8" s="179">
        <f>IFERROR(VLOOKUP(DA$1,FactorAlfa[[Ticker]:[Weight]],2,FALSE),0%)</f>
        <v>0</v>
      </c>
      <c r="DB8" s="179">
        <f>IFERROR(VLOOKUP(DB$1,FactorAlfa[[Ticker]:[Weight]],2,FALSE),0%)</f>
        <v>0</v>
      </c>
      <c r="DC8" s="179">
        <f>IFERROR(VLOOKUP(DC$1,FactorAlfa[[Ticker]:[Weight]],2,FALSE),0%)</f>
        <v>0</v>
      </c>
      <c r="DD8" s="179">
        <f>IFERROR(VLOOKUP(DD$1,FactorAlfa[[Ticker]:[Weight]],2,FALSE),0%)</f>
        <v>0</v>
      </c>
      <c r="DE8" s="179">
        <f>IFERROR(VLOOKUP(DE$1,FactorAlfa[[Ticker]:[Weight]],2,FALSE),0%)</f>
        <v>0</v>
      </c>
      <c r="DF8" s="179">
        <f>IFERROR(VLOOKUP(DF$1,FactorAlfa[[Ticker]:[Weight]],2,FALSE),0%)</f>
        <v>0</v>
      </c>
      <c r="DG8" s="179">
        <f>IFERROR(VLOOKUP(DG$1,FactorAlfa[[Ticker]:[Weight]],2,FALSE),0%)</f>
        <v>0</v>
      </c>
      <c r="DH8" s="179">
        <f>IFERROR(VLOOKUP(DH$1,FactorAlfa[[Ticker]:[Weight]],2,FALSE),0%)</f>
        <v>0</v>
      </c>
      <c r="DI8" s="179">
        <f>IFERROR(VLOOKUP(DI$1,FactorAlfa[[Ticker]:[Weight]],2,FALSE),0%)</f>
        <v>0</v>
      </c>
      <c r="DJ8" s="179">
        <f>IFERROR(VLOOKUP(DJ$1,FactorAlfa[[Ticker]:[Weight]],2,FALSE),0%)</f>
        <v>0</v>
      </c>
      <c r="DK8" s="179">
        <f>IFERROR(VLOOKUP(DK$1,FactorAlfa[[Ticker]:[Weight]],2,FALSE),0%)</f>
        <v>0</v>
      </c>
      <c r="DL8" s="179">
        <f>IFERROR(VLOOKUP(DL$1,FactorAlfa[[Ticker]:[Weight]],2,FALSE),0%)</f>
        <v>0</v>
      </c>
      <c r="DM8" s="179">
        <f>IFERROR(VLOOKUP(DM$1,FactorAlfa[[Ticker]:[Weight]],2,FALSE),0%)</f>
        <v>0</v>
      </c>
      <c r="DN8" s="179">
        <f>IFERROR(VLOOKUP(DN$1,FactorAlfa[[Ticker]:[Weight]],2,FALSE),0%)</f>
        <v>0</v>
      </c>
      <c r="DO8" s="179">
        <f>IFERROR(VLOOKUP(DO$1,FactorAlfa[[Ticker]:[Weight]],2,FALSE),0%)</f>
        <v>0</v>
      </c>
      <c r="DP8" s="179">
        <f>IFERROR(VLOOKUP(DP$1,FactorAlfa[[Ticker]:[Weight]],2,FALSE),0%)</f>
        <v>0</v>
      </c>
      <c r="DQ8" s="179">
        <f>IFERROR(VLOOKUP(DQ$1,FactorAlfa[[Ticker]:[Weight]],2,FALSE),0%)</f>
        <v>0</v>
      </c>
      <c r="DR8" s="179">
        <f>IFERROR(VLOOKUP(DR$1,FactorAlfa[[Ticker]:[Weight]],2,FALSE),0%)</f>
        <v>0</v>
      </c>
      <c r="DS8" s="179">
        <f>IFERROR(VLOOKUP(DS$1,FactorAlfa[[Ticker]:[Weight]],2,FALSE),0%)</f>
        <v>0</v>
      </c>
      <c r="DT8" s="179">
        <f>IFERROR(VLOOKUP(DT$1,FactorAlfa[[Ticker]:[Weight]],2,FALSE),0%)</f>
        <v>0</v>
      </c>
      <c r="DU8" s="179">
        <f>IFERROR(VLOOKUP(DU$1,FactorAlfa[[Ticker]:[Weight]],2,FALSE),0%)</f>
        <v>0</v>
      </c>
      <c r="DV8" s="179">
        <f>IFERROR(VLOOKUP(DV$1,FactorAlfa[[Ticker]:[Weight]],2,FALSE),0%)</f>
        <v>0</v>
      </c>
      <c r="DW8" s="179">
        <f>IFERROR(VLOOKUP(DW$1,FactorAlfa[[Ticker]:[Weight]],2,FALSE),0%)</f>
        <v>0</v>
      </c>
      <c r="DX8" s="179">
        <f>IFERROR(VLOOKUP(DX$1,FactorAlfa[[Ticker]:[Weight]],2,FALSE),0%)</f>
        <v>0.04166</v>
      </c>
      <c r="DY8" s="179">
        <f>IFERROR(VLOOKUP(DY$1,FactorAlfa[[Ticker]:[Weight]],2,FALSE),0%)</f>
        <v>0</v>
      </c>
      <c r="DZ8" s="179">
        <f>IFERROR(VLOOKUP(DZ$1,FactorAlfa[[Ticker]:[Weight]],2,FALSE),0%)</f>
        <v>0</v>
      </c>
      <c r="EA8" s="179">
        <f>IFERROR(VLOOKUP(EA$1,FactorAlfa[[Ticker]:[Weight]],2,FALSE),0%)</f>
        <v>0</v>
      </c>
      <c r="EB8" s="179">
        <f>IFERROR(VLOOKUP(EB$1,FactorAlfa[[Ticker]:[Weight]],2,FALSE),0%)</f>
        <v>0</v>
      </c>
      <c r="EC8" s="179">
        <f>IFERROR(VLOOKUP(EC$1,FactorAlfa[[Ticker]:[Weight]],2,FALSE),0%)</f>
        <v>0</v>
      </c>
      <c r="ED8" s="179">
        <f>IFERROR(VLOOKUP(ED$1,FactorAlfa[[Ticker]:[Weight]],2,FALSE),0%)</f>
        <v>0</v>
      </c>
      <c r="EE8" s="179">
        <f>IFERROR(VLOOKUP(EE$1,FactorAlfa[[Ticker]:[Weight]],2,FALSE),0%)</f>
        <v>0</v>
      </c>
      <c r="EF8" s="179">
        <f>IFERROR(VLOOKUP(EF$1,FactorAlfa[[Ticker]:[Weight]],2,FALSE),0%)</f>
        <v>0</v>
      </c>
      <c r="EG8" s="179">
        <f>IFERROR(VLOOKUP(EG$1,FactorAlfa[[Ticker]:[Weight]],2,FALSE),0%)</f>
        <v>0</v>
      </c>
      <c r="EH8" s="179">
        <f>IFERROR(VLOOKUP(EH$1,FactorAlfa[[Ticker]:[Weight]],2,FALSE),0%)</f>
        <v>0</v>
      </c>
      <c r="EI8" s="179">
        <f>IFERROR(VLOOKUP(EI$1,FactorAlfa[[Ticker]:[Weight]],2,FALSE),0%)</f>
        <v>0</v>
      </c>
      <c r="EJ8" s="179">
        <f>IFERROR(VLOOKUP(EJ$1,FactorAlfa[[Ticker]:[Weight]],2,FALSE),0%)</f>
        <v>0</v>
      </c>
      <c r="EK8" s="179">
        <f>IFERROR(VLOOKUP(EK$1,FactorAlfa[[Ticker]:[Weight]],2,FALSE),0%)</f>
        <v>0</v>
      </c>
      <c r="EL8" s="179">
        <f>IFERROR(VLOOKUP(EL$1,FactorAlfa[[Ticker]:[Weight]],2,FALSE),0%)</f>
        <v>0</v>
      </c>
      <c r="EM8" s="179">
        <f>IFERROR(VLOOKUP(EM$1,FactorAlfa[[Ticker]:[Weight]],2,FALSE),0%)</f>
        <v>0</v>
      </c>
      <c r="EN8" s="179">
        <f>IFERROR(VLOOKUP(EN$1,FactorAlfa[[Ticker]:[Weight]],2,FALSE),0%)</f>
        <v>0</v>
      </c>
      <c r="EO8" s="179">
        <f>IFERROR(VLOOKUP(EO$1,FactorAlfa[[Ticker]:[Weight]],2,FALSE),0%)</f>
        <v>0</v>
      </c>
      <c r="EP8" s="179">
        <f>IFERROR(VLOOKUP(EP$1,FactorAlfa[[Ticker]:[Weight]],2,FALSE),0%)</f>
        <v>0</v>
      </c>
      <c r="EQ8" s="179">
        <f>IFERROR(VLOOKUP(EQ$1,FactorAlfa[[Ticker]:[Weight]],2,FALSE),0%)</f>
        <v>0</v>
      </c>
      <c r="ER8" s="179">
        <f>IFERROR(VLOOKUP(ER$1,FactorAlfa[[Ticker]:[Weight]],2,FALSE),0%)</f>
        <v>0</v>
      </c>
      <c r="ES8" s="179">
        <f>IFERROR(VLOOKUP(ES$1,FactorAlfa[[Ticker]:[Weight]],2,FALSE),0%)</f>
        <v>0</v>
      </c>
      <c r="ET8" s="179">
        <f>IFERROR(VLOOKUP(ET$1,FactorAlfa[[Ticker]:[Weight]],2,FALSE),0%)</f>
        <v>0</v>
      </c>
      <c r="EU8" s="179">
        <f>IFERROR(VLOOKUP(EU$1,FactorAlfa[[Ticker]:[Weight]],2,FALSE),0%)</f>
        <v>0</v>
      </c>
      <c r="EV8" s="179">
        <f>IFERROR(VLOOKUP(EV$1,FactorAlfa[[Ticker]:[Weight]],2,FALSE),0%)</f>
        <v>0</v>
      </c>
      <c r="EW8" s="179">
        <f>IFERROR(VLOOKUP(EW$1,FactorAlfa[[Ticker]:[Weight]],2,FALSE),0%)</f>
        <v>0</v>
      </c>
      <c r="EX8" s="179">
        <f>IFERROR(VLOOKUP(EX$1,FactorAlfa[[Ticker]:[Weight]],2,FALSE),0%)</f>
        <v>0</v>
      </c>
      <c r="EY8" s="179">
        <f>IFERROR(VLOOKUP(EY$1,FactorAlfa[[Ticker]:[Weight]],2,FALSE),0%)</f>
        <v>0</v>
      </c>
      <c r="EZ8" s="179">
        <f>IFERROR(VLOOKUP(EZ$1,FactorAlfa[[Ticker]:[Weight]],2,FALSE),0%)</f>
        <v>0</v>
      </c>
      <c r="FA8" s="179">
        <f>IFERROR(VLOOKUP(FA$1,FactorAlfa[[Ticker]:[Weight]],2,FALSE),0%)</f>
        <v>0</v>
      </c>
      <c r="FB8" s="179">
        <f>IFERROR(VLOOKUP(FB$1,FactorAlfa[[Ticker]:[Weight]],2,FALSE),0%)</f>
        <v>0</v>
      </c>
      <c r="FC8" s="179">
        <f>IFERROR(VLOOKUP(FC$1,FactorAlfa[[Ticker]:[Weight]],2,FALSE),0%)</f>
        <v>0</v>
      </c>
      <c r="FD8" s="179">
        <f>IFERROR(VLOOKUP(FD$1,FactorAlfa[[Ticker]:[Weight]],2,FALSE),0%)</f>
        <v>0</v>
      </c>
      <c r="FE8" s="179">
        <f>IFERROR(VLOOKUP(FE$1,FactorAlfa[[Ticker]:[Weight]],2,FALSE),0%)</f>
        <v>0</v>
      </c>
      <c r="FF8" s="179">
        <f>IFERROR(VLOOKUP(FF$1,FactorAlfa[[Ticker]:[Weight]],2,FALSE),0%)</f>
        <v>0</v>
      </c>
      <c r="FG8" s="179">
        <f>IFERROR(VLOOKUP(FG$1,FactorAlfa[[Ticker]:[Weight]],2,FALSE),0%)</f>
        <v>0</v>
      </c>
      <c r="FH8" s="179">
        <f>IFERROR(VLOOKUP(FH$1,FactorAlfa[[Ticker]:[Weight]],2,FALSE),0%)</f>
        <v>0</v>
      </c>
      <c r="FI8" s="179">
        <f>IFERROR(VLOOKUP(FI$1,FactorAlfa[[Ticker]:[Weight]],2,FALSE),0%)</f>
        <v>0</v>
      </c>
      <c r="FJ8" s="179">
        <f>IFERROR(VLOOKUP(FJ$1,FactorAlfa[[Ticker]:[Weight]],2,FALSE),0%)</f>
        <v>0</v>
      </c>
      <c r="FK8" s="179">
        <f>IFERROR(VLOOKUP(FK$1,FactorAlfa[[Ticker]:[Weight]],2,FALSE),0%)</f>
        <v>0</v>
      </c>
      <c r="FL8" s="179">
        <f>IFERROR(VLOOKUP(FL$1,FactorAlfa[[Ticker]:[Weight]],2,FALSE),0%)</f>
        <v>0</v>
      </c>
      <c r="FM8" s="179">
        <f>IFERROR(VLOOKUP(FM$1,FactorAlfa[[Ticker]:[Weight]],2,FALSE),0%)</f>
        <v>0</v>
      </c>
      <c r="FN8" s="179">
        <f>IFERROR(VLOOKUP(FN$1,FactorAlfa[[Ticker]:[Weight]],2,FALSE),0%)</f>
        <v>0</v>
      </c>
      <c r="FO8" s="179">
        <f>IFERROR(VLOOKUP(FO$1,FactorAlfa[[Ticker]:[Weight]],2,FALSE),0%)</f>
        <v>0</v>
      </c>
      <c r="FP8" s="179">
        <f>IFERROR(VLOOKUP(FP$1,FactorAlfa[[Ticker]:[Weight]],2,FALSE),0%)</f>
        <v>0</v>
      </c>
      <c r="FQ8" s="179">
        <f>IFERROR(VLOOKUP(FQ$1,FactorAlfa[[Ticker]:[Weight]],2,FALSE),0%)</f>
        <v>0</v>
      </c>
      <c r="FR8" s="179">
        <f>IFERROR(VLOOKUP(FR$1,FactorAlfa[[Ticker]:[Weight]],2,FALSE),0%)</f>
        <v>0</v>
      </c>
      <c r="FS8" s="179">
        <f>IFERROR(VLOOKUP(FS$1,FactorAlfa[[Ticker]:[Weight]],2,FALSE),0%)</f>
        <v>0</v>
      </c>
      <c r="FT8" s="179">
        <f>IFERROR(VLOOKUP(FT$1,FactorAlfa[[Ticker]:[Weight]],2,FALSE),0%)</f>
        <v>0</v>
      </c>
      <c r="FU8" s="179">
        <f>IFERROR(VLOOKUP(FU$1,FactorAlfa[[Ticker]:[Weight]],2,FALSE),0%)</f>
        <v>0</v>
      </c>
      <c r="FV8" s="179">
        <f>IFERROR(VLOOKUP(FV$1,FactorAlfa[[Ticker]:[Weight]],2,FALSE),0%)</f>
        <v>0</v>
      </c>
      <c r="FW8" s="179">
        <f>IFERROR(VLOOKUP(FW$1,FactorAlfa[[Ticker]:[Weight]],2,FALSE),0%)</f>
        <v>0</v>
      </c>
      <c r="FX8" s="179">
        <f>IFERROR(VLOOKUP(FX$1,FactorAlfa[[Ticker]:[Weight]],2,FALSE),0%)</f>
        <v>0</v>
      </c>
      <c r="FY8" s="179">
        <f>IFERROR(VLOOKUP(FY$1,FactorAlfa[[Ticker]:[Weight]],2,FALSE),0%)</f>
        <v>0</v>
      </c>
      <c r="FZ8" s="179">
        <f>IFERROR(VLOOKUP(FZ$1,FactorAlfa[[Ticker]:[Weight]],2,FALSE),0%)</f>
        <v>0</v>
      </c>
      <c r="GA8" s="179">
        <f>IFERROR(VLOOKUP(GA$1,FactorAlfa[[Ticker]:[Weight]],2,FALSE),0%)</f>
        <v>0</v>
      </c>
      <c r="GB8" s="179">
        <f>IFERROR(VLOOKUP(GB$1,FactorAlfa[[Ticker]:[Weight]],2,FALSE),0%)</f>
        <v>0</v>
      </c>
      <c r="GC8" s="179">
        <f>IFERROR(VLOOKUP(GC$1,FactorAlfa[[Ticker]:[Weight]],2,FALSE),0%)</f>
        <v>0</v>
      </c>
      <c r="GD8" s="179">
        <f>IFERROR(VLOOKUP(GD$1,FactorAlfa[[Ticker]:[Weight]],2,FALSE),0%)</f>
        <v>0</v>
      </c>
      <c r="GE8" s="179">
        <f>IFERROR(VLOOKUP(GE$1,FactorAlfa[[Ticker]:[Weight]],2,FALSE),0%)</f>
        <v>0</v>
      </c>
      <c r="GF8" s="179">
        <f>IFERROR(VLOOKUP(GF$1,FactorAlfa[[Ticker]:[Weight]],2,FALSE),0%)</f>
        <v>0</v>
      </c>
      <c r="GG8" s="179">
        <f>IFERROR(VLOOKUP(GG$1,FactorAlfa[[Ticker]:[Weight]],2,FALSE),0%)</f>
        <v>0</v>
      </c>
      <c r="GH8" s="179">
        <f>IFERROR(VLOOKUP(GH$1,FactorAlfa[[Ticker]:[Weight]],2,FALSE),0%)</f>
        <v>0</v>
      </c>
      <c r="GI8" s="179">
        <f>IFERROR(VLOOKUP(GI$1,FactorAlfa[[Ticker]:[Weight]],2,FALSE),0%)</f>
        <v>0</v>
      </c>
      <c r="GJ8" s="179">
        <f>IFERROR(VLOOKUP(GJ$1,FactorAlfa[[Ticker]:[Weight]],2,FALSE),0%)</f>
        <v>0</v>
      </c>
      <c r="GK8" s="179">
        <f>IFERROR(VLOOKUP(GK$1,FactorAlfa[[Ticker]:[Weight]],2,FALSE),0%)</f>
        <v>0</v>
      </c>
      <c r="GL8" s="179">
        <f>IFERROR(VLOOKUP(GL$1,FactorAlfa[[Ticker]:[Weight]],2,FALSE),0%)</f>
        <v>0</v>
      </c>
      <c r="GM8" s="179">
        <f>IFERROR(VLOOKUP(GM$1,FactorAlfa[[Ticker]:[Weight]],2,FALSE),0%)</f>
        <v>0</v>
      </c>
      <c r="GN8" s="179">
        <f>IFERROR(VLOOKUP(GN$1,FactorAlfa[[Ticker]:[Weight]],2,FALSE),0%)</f>
        <v>0</v>
      </c>
      <c r="GO8" s="179">
        <f>IFERROR(VLOOKUP(GO$1,FactorAlfa[[Ticker]:[Weight]],2,FALSE),0%)</f>
        <v>0</v>
      </c>
      <c r="GP8" s="179">
        <f>IFERROR(VLOOKUP(GP$1,FactorAlfa[[Ticker]:[Weight]],2,FALSE),0%)</f>
        <v>0</v>
      </c>
      <c r="GQ8" s="179">
        <f>IFERROR(VLOOKUP(GQ$1,FactorAlfa[[Ticker]:[Weight]],2,FALSE),0%)</f>
        <v>0</v>
      </c>
      <c r="GR8" s="179">
        <f>IFERROR(VLOOKUP(GR$1,FactorAlfa[[Ticker]:[Weight]],2,FALSE),0%)</f>
        <v>0</v>
      </c>
      <c r="GS8" s="179">
        <f>IFERROR(VLOOKUP(GS$1,FactorAlfa[[Ticker]:[Weight]],2,FALSE),0%)</f>
        <v>0</v>
      </c>
      <c r="GT8" s="179">
        <f>IFERROR(VLOOKUP(GT$1,FactorAlfa[[Ticker]:[Weight]],2,FALSE),0%)</f>
        <v>0</v>
      </c>
      <c r="GU8" s="179">
        <f>IFERROR(VLOOKUP(GU$1,FactorAlfa[[Ticker]:[Weight]],2,FALSE),0%)</f>
        <v>0</v>
      </c>
      <c r="GV8" s="179">
        <f>IFERROR(VLOOKUP(GV$1,FactorAlfa[[Ticker]:[Weight]],2,FALSE),0%)</f>
        <v>0</v>
      </c>
      <c r="GW8" s="179">
        <f>IFERROR(VLOOKUP(GW$1,FactorAlfa[[Ticker]:[Weight]],2,FALSE),0%)</f>
        <v>0</v>
      </c>
      <c r="GX8" s="179">
        <f>IFERROR(VLOOKUP(GX$1,FactorAlfa[[Ticker]:[Weight]],2,FALSE),0%)</f>
        <v>0</v>
      </c>
      <c r="GY8" s="179">
        <f>IFERROR(VLOOKUP(GY$1,FactorAlfa[[Ticker]:[Weight]],2,FALSE),0%)</f>
        <v>0</v>
      </c>
      <c r="GZ8" s="179">
        <f>IFERROR(VLOOKUP(GZ$1,FactorAlfa[[Ticker]:[Weight]],2,FALSE),0%)</f>
        <v>0</v>
      </c>
      <c r="HA8" s="179">
        <f>IFERROR(VLOOKUP(HA$1,FactorAlfa[[Ticker]:[Weight]],2,FALSE),0%)</f>
        <v>0</v>
      </c>
      <c r="HB8" s="179">
        <f>IFERROR(VLOOKUP(HB$1,FactorAlfa[[Ticker]:[Weight]],2,FALSE),0%)</f>
        <v>0</v>
      </c>
      <c r="HC8" s="179">
        <f>IFERROR(VLOOKUP(HC$1,FactorAlfa[[Ticker]:[Weight]],2,FALSE),0%)</f>
        <v>0</v>
      </c>
      <c r="HD8" s="179">
        <f>IFERROR(VLOOKUP(HD$1,FactorAlfa[[Ticker]:[Weight]],2,FALSE),0%)</f>
        <v>0</v>
      </c>
      <c r="HE8" s="179">
        <f>IFERROR(VLOOKUP(HE$1,FactorAlfa[[Ticker]:[Weight]],2,FALSE),0%)</f>
        <v>0</v>
      </c>
      <c r="HF8" s="179">
        <f>IFERROR(VLOOKUP(HF$1,FactorAlfa[[Ticker]:[Weight]],2,FALSE),0%)</f>
        <v>0</v>
      </c>
      <c r="HG8" s="179">
        <f>IFERROR(VLOOKUP(HG$1,FactorAlfa[[Ticker]:[Weight]],2,FALSE),0%)</f>
        <v>0</v>
      </c>
      <c r="HH8" s="179">
        <f>IFERROR(VLOOKUP(HH$1,FactorAlfa[[Ticker]:[Weight]],2,FALSE),0%)</f>
        <v>0</v>
      </c>
      <c r="HI8" s="179">
        <f>IFERROR(VLOOKUP(HI$1,FactorAlfa[[Ticker]:[Weight]],2,FALSE),0%)</f>
        <v>0</v>
      </c>
      <c r="HJ8" s="179">
        <f>IFERROR(VLOOKUP(HJ$1,FactorAlfa[[Ticker]:[Weight]],2,FALSE),0%)</f>
        <v>0</v>
      </c>
      <c r="HK8" s="179">
        <f>IFERROR(VLOOKUP(HK$1,FactorAlfa[[Ticker]:[Weight]],2,FALSE),0%)</f>
        <v>0</v>
      </c>
      <c r="HL8" s="179">
        <f>IFERROR(VLOOKUP(HL$1,FactorAlfa[[Ticker]:[Weight]],2,FALSE),0%)</f>
        <v>0</v>
      </c>
      <c r="HM8" s="179">
        <f>IFERROR(VLOOKUP(HM$1,FactorAlfa[[Ticker]:[Weight]],2,FALSE),0%)</f>
        <v>0</v>
      </c>
      <c r="HN8" s="179">
        <f>IFERROR(VLOOKUP(HN$1,FactorAlfa[[Ticker]:[Weight]],2,FALSE),0%)</f>
        <v>0</v>
      </c>
      <c r="HO8" s="179">
        <f>IFERROR(VLOOKUP(HO$1,FactorAlfa[[Ticker]:[Weight]],2,FALSE),0%)</f>
        <v>0</v>
      </c>
      <c r="HP8" s="179">
        <f>IFERROR(VLOOKUP(HP$1,FactorAlfa[[Ticker]:[Weight]],2,FALSE),0%)</f>
        <v>0</v>
      </c>
      <c r="HQ8" s="179">
        <f>IFERROR(VLOOKUP(HQ$1,FactorAlfa[[Ticker]:[Weight]],2,FALSE),0%)</f>
        <v>0</v>
      </c>
      <c r="HR8" s="179">
        <f>IFERROR(VLOOKUP(HR$1,FactorAlfa[[Ticker]:[Weight]],2,FALSE),0%)</f>
        <v>0</v>
      </c>
      <c r="HS8" s="179">
        <f>IFERROR(VLOOKUP(HS$1,FactorAlfa[[Ticker]:[Weight]],2,FALSE),0%)</f>
        <v>0</v>
      </c>
      <c r="HT8" s="179">
        <f>IFERROR(VLOOKUP(HT$1,FactorAlfa[[Ticker]:[Weight]],2,FALSE),0%)</f>
        <v>0</v>
      </c>
      <c r="HU8" s="179">
        <f>IFERROR(VLOOKUP(HU$1,FactorAlfa[[Ticker]:[Weight]],2,FALSE),0%)</f>
        <v>0</v>
      </c>
      <c r="HV8" s="179">
        <f>IFERROR(VLOOKUP(HV$1,FactorAlfa[[Ticker]:[Weight]],2,FALSE),0%)</f>
        <v>0</v>
      </c>
      <c r="HW8" s="179">
        <f>IFERROR(VLOOKUP(HW$1,FactorAlfa[[Ticker]:[Weight]],2,FALSE),0%)</f>
        <v>0</v>
      </c>
      <c r="HX8" s="179">
        <f>IFERROR(VLOOKUP(HX$1,FactorAlfa[[Ticker]:[Weight]],2,FALSE),0%)</f>
        <v>0</v>
      </c>
      <c r="HY8" s="179">
        <f>IFERROR(VLOOKUP(HY$1,FactorAlfa[[Ticker]:[Weight]],2,FALSE),0%)</f>
        <v>0</v>
      </c>
      <c r="HZ8" s="179">
        <f>IFERROR(VLOOKUP(HZ$1,FactorAlfa[[Ticker]:[Weight]],2,FALSE),0%)</f>
        <v>0</v>
      </c>
      <c r="IA8" s="179">
        <f>IFERROR(VLOOKUP(IA$1,FactorAlfa[[Ticker]:[Weight]],2,FALSE),0%)</f>
        <v>0</v>
      </c>
      <c r="IB8" s="179">
        <f>IFERROR(VLOOKUP(IB$1,FactorAlfa[[Ticker]:[Weight]],2,FALSE),0%)</f>
        <v>0</v>
      </c>
      <c r="IC8" s="179">
        <f>IFERROR(VLOOKUP(IC$1,FactorAlfa[[Ticker]:[Weight]],2,FALSE),0%)</f>
        <v>0</v>
      </c>
      <c r="ID8" s="179">
        <f>IFERROR(VLOOKUP(ID$1,FactorAlfa[[Ticker]:[Weight]],2,FALSE),0%)</f>
        <v>0</v>
      </c>
      <c r="IE8" s="179">
        <f>IFERROR(VLOOKUP(IE$1,FactorAlfa[[Ticker]:[Weight]],2,FALSE),0%)</f>
        <v>0</v>
      </c>
      <c r="IF8" s="179">
        <f>IFERROR(VLOOKUP(IF$1,FactorAlfa[[Ticker]:[Weight]],2,FALSE),0%)</f>
        <v>0</v>
      </c>
      <c r="IG8" s="179">
        <f>IFERROR(VLOOKUP(IG$1,FactorAlfa[[Ticker]:[Weight]],2,FALSE),0%)</f>
        <v>0</v>
      </c>
      <c r="IH8" s="179">
        <f>IFERROR(VLOOKUP(IH$1,FactorAlfa[[Ticker]:[Weight]],2,FALSE),0%)</f>
        <v>0</v>
      </c>
      <c r="II8" s="179">
        <f>IFERROR(VLOOKUP(II$1,FactorAlfa[[Ticker]:[Weight]],2,FALSE),0%)</f>
        <v>0</v>
      </c>
      <c r="IJ8" s="179">
        <f>IFERROR(VLOOKUP(IJ$1,FactorAlfa[[Ticker]:[Weight]],2,FALSE),0%)</f>
        <v>0</v>
      </c>
      <c r="IK8" s="179">
        <f>IFERROR(VLOOKUP(IK$1,FactorAlfa[[Ticker]:[Weight]],2,FALSE),0%)</f>
        <v>0</v>
      </c>
      <c r="IL8" s="179">
        <f>IFERROR(VLOOKUP(IL$1,FactorAlfa[[Ticker]:[Weight]],2,FALSE),0%)</f>
        <v>0</v>
      </c>
      <c r="IM8" s="179">
        <f>IFERROR(VLOOKUP(IM$1,FactorAlfa[[Ticker]:[Weight]],2,FALSE),0%)</f>
        <v>0</v>
      </c>
      <c r="IN8" s="179">
        <f>IFERROR(VLOOKUP(IN$1,FactorAlfa[[Ticker]:[Weight]],2,FALSE),0%)</f>
        <v>0</v>
      </c>
      <c r="IO8" s="179">
        <f>IFERROR(VLOOKUP(IO$1,FactorAlfa[[Ticker]:[Weight]],2,FALSE),0%)</f>
        <v>0</v>
      </c>
      <c r="IP8" s="179">
        <f>IFERROR(VLOOKUP(IP$1,FactorAlfa[[Ticker]:[Weight]],2,FALSE),0%)</f>
        <v>0</v>
      </c>
      <c r="IQ8" s="179">
        <f>IFERROR(VLOOKUP(IQ$1,FactorAlfa[[Ticker]:[Weight]],2,FALSE),0%)</f>
        <v>0</v>
      </c>
      <c r="IR8" s="179">
        <f>IFERROR(VLOOKUP(IR$1,FactorAlfa[[Ticker]:[Weight]],2,FALSE),0%)</f>
        <v>0</v>
      </c>
      <c r="IS8" s="179">
        <f>IFERROR(VLOOKUP(IS$1,FactorAlfa[[Ticker]:[Weight]],2,FALSE),0%)</f>
        <v>0</v>
      </c>
      <c r="IT8" s="179">
        <f>IFERROR(VLOOKUP(IT$1,FactorAlfa[[Ticker]:[Weight]],2,FALSE),0%)</f>
        <v>0</v>
      </c>
      <c r="IU8" s="179">
        <f>IFERROR(VLOOKUP(IU$1,FactorAlfa[[Ticker]:[Weight]],2,FALSE),0%)</f>
        <v>0</v>
      </c>
      <c r="IV8" s="179">
        <f>IFERROR(VLOOKUP(IV$1,FactorAlfa[[Ticker]:[Weight]],2,FALSE),0%)</f>
        <v>0</v>
      </c>
      <c r="IW8" s="179">
        <f>IFERROR(VLOOKUP(IW$1,FactorAlfa[[Ticker]:[Weight]],2,FALSE),0%)</f>
        <v>0</v>
      </c>
      <c r="IX8" s="179">
        <f>IFERROR(VLOOKUP(IX$1,FactorAlfa[[Ticker]:[Weight]],2,FALSE),0%)</f>
        <v>0</v>
      </c>
      <c r="IY8" s="179">
        <f>IFERROR(VLOOKUP(IY$1,FactorAlfa[[Ticker]:[Weight]],2,FALSE),0%)</f>
        <v>0</v>
      </c>
      <c r="IZ8" s="179">
        <f>IFERROR(VLOOKUP(IZ$1,FactorAlfa[[Ticker]:[Weight]],2,FALSE),0%)</f>
        <v>0</v>
      </c>
      <c r="JA8" s="179">
        <f>IFERROR(VLOOKUP(JA$1,FactorAlfa[[Ticker]:[Weight]],2,FALSE),0%)</f>
        <v>0</v>
      </c>
      <c r="JB8" s="179">
        <f>IFERROR(VLOOKUP(JB$1,FactorAlfa[[Ticker]:[Weight]],2,FALSE),0%)</f>
        <v>0</v>
      </c>
      <c r="JC8" s="179">
        <f>IFERROR(VLOOKUP(JC$1,FactorAlfa[[Ticker]:[Weight]],2,FALSE),0%)</f>
        <v>0</v>
      </c>
      <c r="JD8" s="179">
        <f>IFERROR(VLOOKUP(JD$1,FactorAlfa[[Ticker]:[Weight]],2,FALSE),0%)</f>
        <v>0</v>
      </c>
      <c r="JE8" s="179">
        <f>IFERROR(VLOOKUP(JE$1,FactorAlfa[[Ticker]:[Weight]],2,FALSE),0%)</f>
        <v>0</v>
      </c>
      <c r="JF8" s="179">
        <f>IFERROR(VLOOKUP(JF$1,FactorAlfa[[Ticker]:[Weight]],2,FALSE),0%)</f>
        <v>0</v>
      </c>
      <c r="JG8" s="179">
        <f>IFERROR(VLOOKUP(JG$1,FactorAlfa[[Ticker]:[Weight]],2,FALSE),0%)</f>
        <v>0</v>
      </c>
      <c r="JH8" s="179">
        <f>IFERROR(VLOOKUP(JH$1,FactorAlfa[[Ticker]:[Weight]],2,FALSE),0%)</f>
        <v>0</v>
      </c>
      <c r="JI8" s="179">
        <f>IFERROR(VLOOKUP(JI$1,FactorAlfa[[Ticker]:[Weight]],2,FALSE),0%)</f>
        <v>0</v>
      </c>
      <c r="JJ8" s="179">
        <f>IFERROR(VLOOKUP(JJ$1,FactorAlfa[[Ticker]:[Weight]],2,FALSE),0%)</f>
        <v>0</v>
      </c>
      <c r="JK8" s="179">
        <f>IFERROR(VLOOKUP(JK$1,FactorAlfa[[Ticker]:[Weight]],2,FALSE),0%)</f>
        <v>0</v>
      </c>
      <c r="JL8" s="179">
        <f>IFERROR(VLOOKUP(JL$1,FactorAlfa[[Ticker]:[Weight]],2,FALSE),0%)</f>
        <v>0</v>
      </c>
      <c r="JM8" s="179">
        <f>IFERROR(VLOOKUP(JM$1,FactorAlfa[[Ticker]:[Weight]],2,FALSE),0%)</f>
        <v>0</v>
      </c>
      <c r="JN8" s="179">
        <f>IFERROR(VLOOKUP(JN$1,FactorAlfa[[Ticker]:[Weight]],2,FALSE),0%)</f>
        <v>0</v>
      </c>
      <c r="JO8" s="179">
        <f>IFERROR(VLOOKUP(JO$1,FactorAlfa[[Ticker]:[Weight]],2,FALSE),0%)</f>
        <v>0</v>
      </c>
      <c r="JP8" s="179">
        <f>IFERROR(VLOOKUP(JP$1,FactorAlfa[[Ticker]:[Weight]],2,FALSE),0%)</f>
        <v>0</v>
      </c>
      <c r="JQ8" s="179">
        <f>IFERROR(VLOOKUP(JQ$1,FactorAlfa[[Ticker]:[Weight]],2,FALSE),0%)</f>
        <v>0</v>
      </c>
      <c r="JR8" s="179">
        <f>IFERROR(VLOOKUP(JR$1,FactorAlfa[[Ticker]:[Weight]],2,FALSE),0%)</f>
        <v>0</v>
      </c>
      <c r="JS8" s="179">
        <f>IFERROR(VLOOKUP(JS$1,FactorAlfa[[Ticker]:[Weight]],2,FALSE),0%)</f>
        <v>0</v>
      </c>
      <c r="JT8" s="179">
        <f>IFERROR(VLOOKUP(JT$1,FactorAlfa[[Ticker]:[Weight]],2,FALSE),0%)</f>
        <v>0</v>
      </c>
      <c r="JU8" s="179">
        <f>IFERROR(VLOOKUP(JU$1,FactorAlfa[[Ticker]:[Weight]],2,FALSE),0%)</f>
        <v>0</v>
      </c>
      <c r="JV8" s="179">
        <f>IFERROR(VLOOKUP(JV$1,FactorAlfa[[Ticker]:[Weight]],2,FALSE),0%)</f>
        <v>0</v>
      </c>
      <c r="JW8" s="179">
        <f>IFERROR(VLOOKUP(JW$1,FactorAlfa[[Ticker]:[Weight]],2,FALSE),0%)</f>
        <v>0</v>
      </c>
      <c r="JX8" s="179">
        <f>IFERROR(VLOOKUP(JX$1,FactorAlfa[[Ticker]:[Weight]],2,FALSE),0%)</f>
        <v>0</v>
      </c>
      <c r="JY8" s="179">
        <f>IFERROR(VLOOKUP(JY$1,FactorAlfa[[Ticker]:[Weight]],2,FALSE),0%)</f>
        <v>0</v>
      </c>
      <c r="JZ8" s="179">
        <f>IFERROR(VLOOKUP(JZ$1,FactorAlfa[[Ticker]:[Weight]],2,FALSE),0%)</f>
        <v>0</v>
      </c>
      <c r="KA8" s="179">
        <f>IFERROR(VLOOKUP(KA$1,FactorAlfa[[Ticker]:[Weight]],2,FALSE),0%)</f>
        <v>0</v>
      </c>
      <c r="KB8" s="179">
        <f>IFERROR(VLOOKUP(KB$1,FactorAlfa[[Ticker]:[Weight]],2,FALSE),0%)</f>
        <v>0</v>
      </c>
      <c r="KC8" s="179">
        <f>IFERROR(VLOOKUP(KC$1,FactorAlfa[[Ticker]:[Weight]],2,FALSE),0%)</f>
        <v>0</v>
      </c>
      <c r="KD8" s="179">
        <f>IFERROR(VLOOKUP(KD$1,FactorAlfa[[Ticker]:[Weight]],2,FALSE),0%)</f>
        <v>0</v>
      </c>
      <c r="KE8" s="179">
        <f>IFERROR(VLOOKUP(KE$1,FactorAlfa[[Ticker]:[Weight]],2,FALSE),0%)</f>
        <v>0</v>
      </c>
      <c r="KF8" s="179">
        <f>IFERROR(VLOOKUP(KF$1,FactorAlfa[[Ticker]:[Weight]],2,FALSE),0%)</f>
        <v>0</v>
      </c>
      <c r="KG8" s="179">
        <f>IFERROR(VLOOKUP(KG$1,FactorAlfa[[Ticker]:[Weight]],2,FALSE),0%)</f>
        <v>0</v>
      </c>
      <c r="KH8" s="179">
        <f>IFERROR(VLOOKUP(KH$1,FactorAlfa[[Ticker]:[Weight]],2,FALSE),0%)</f>
        <v>0</v>
      </c>
      <c r="KI8" s="179">
        <f>IFERROR(VLOOKUP(KI$1,FactorAlfa[[Ticker]:[Weight]],2,FALSE),0%)</f>
        <v>0</v>
      </c>
      <c r="KJ8" s="179">
        <f>IFERROR(VLOOKUP(KJ$1,FactorAlfa[[Ticker]:[Weight]],2,FALSE),0%)</f>
        <v>0</v>
      </c>
      <c r="KK8" s="179">
        <f>IFERROR(VLOOKUP(KK$1,FactorAlfa[[Ticker]:[Weight]],2,FALSE),0%)</f>
        <v>0</v>
      </c>
      <c r="KL8" s="179">
        <f>IFERROR(VLOOKUP(KL$1,FactorAlfa[[Ticker]:[Weight]],2,FALSE),0%)</f>
        <v>0</v>
      </c>
      <c r="KM8" s="179">
        <f>IFERROR(VLOOKUP(KM$1,FactorAlfa[[Ticker]:[Weight]],2,FALSE),0%)</f>
        <v>0</v>
      </c>
      <c r="KN8" s="179">
        <f>IFERROR(VLOOKUP(KN$1,FactorAlfa[[Ticker]:[Weight]],2,FALSE),0%)</f>
        <v>0</v>
      </c>
      <c r="KO8" s="179">
        <f>IFERROR(VLOOKUP(KO$1,FactorAlfa[[Ticker]:[Weight]],2,FALSE),0%)</f>
        <v>0</v>
      </c>
      <c r="KP8" s="179">
        <f>IFERROR(VLOOKUP(KP$1,FactorAlfa[[Ticker]:[Weight]],2,FALSE),0%)</f>
        <v>0</v>
      </c>
      <c r="KQ8" s="179">
        <f>IFERROR(VLOOKUP(KQ$1,FactorAlfa[[Ticker]:[Weight]],2,FALSE),0%)</f>
        <v>0</v>
      </c>
      <c r="KR8" s="179">
        <f>IFERROR(VLOOKUP(KR$1,FactorAlfa[[Ticker]:[Weight]],2,FALSE),0%)</f>
        <v>0</v>
      </c>
      <c r="KS8" s="179">
        <f>IFERROR(VLOOKUP(KS$1,FactorAlfa[[Ticker]:[Weight]],2,FALSE),0%)</f>
        <v>0</v>
      </c>
      <c r="KT8" s="179">
        <f>IFERROR(VLOOKUP(KT$1,FactorAlfa[[Ticker]:[Weight]],2,FALSE),0%)</f>
        <v>0</v>
      </c>
      <c r="KU8" s="179">
        <f>IFERROR(VLOOKUP(KU$1,FactorAlfa[[Ticker]:[Weight]],2,FALSE),0%)</f>
        <v>0</v>
      </c>
      <c r="KV8" s="179">
        <f>IFERROR(VLOOKUP(KV$1,FactorAlfa[[Ticker]:[Weight]],2,FALSE),0%)</f>
        <v>0</v>
      </c>
      <c r="KW8" s="179">
        <f>IFERROR(VLOOKUP(KW$1,FactorAlfa[[Ticker]:[Weight]],2,FALSE),0%)</f>
        <v>0</v>
      </c>
      <c r="KX8" s="179">
        <f>IFERROR(VLOOKUP(KX$1,FactorAlfa[[Ticker]:[Weight]],2,FALSE),0%)</f>
        <v>0</v>
      </c>
      <c r="KY8" s="179">
        <f>IFERROR(VLOOKUP(KY$1,FactorAlfa[[Ticker]:[Weight]],2,FALSE),0%)</f>
        <v>0</v>
      </c>
      <c r="KZ8" s="179">
        <f>IFERROR(VLOOKUP(KZ$1,FactorAlfa[[Ticker]:[Weight]],2,FALSE),0%)</f>
        <v>0</v>
      </c>
      <c r="LA8" s="179">
        <f>IFERROR(VLOOKUP(LA$1,FactorAlfa[[Ticker]:[Weight]],2,FALSE),0%)</f>
        <v>0</v>
      </c>
      <c r="LB8" s="179">
        <f>IFERROR(VLOOKUP(LB$1,FactorAlfa[[Ticker]:[Weight]],2,FALSE),0%)</f>
        <v>0</v>
      </c>
      <c r="LC8" s="179">
        <f>IFERROR(VLOOKUP(LC$1,FactorAlfa[[Ticker]:[Weight]],2,FALSE),0%)</f>
        <v>0</v>
      </c>
      <c r="LD8" s="179">
        <f>IFERROR(VLOOKUP(LD$1,FactorAlfa[[Ticker]:[Weight]],2,FALSE),0%)</f>
        <v>0</v>
      </c>
      <c r="LE8" s="179">
        <f>IFERROR(VLOOKUP(LE$1,FactorAlfa[[Ticker]:[Weight]],2,FALSE),0%)</f>
        <v>0</v>
      </c>
      <c r="LF8" s="179">
        <f>IFERROR(VLOOKUP(LF$1,FactorAlfa[[Ticker]:[Weight]],2,FALSE),0%)</f>
        <v>0</v>
      </c>
      <c r="LG8" s="179">
        <f>IFERROR(VLOOKUP(LG$1,FactorAlfa[[Ticker]:[Weight]],2,FALSE),0%)</f>
        <v>0</v>
      </c>
      <c r="LH8" s="179">
        <f>IFERROR(VLOOKUP(LH$1,FactorAlfa[[Ticker]:[Weight]],2,FALSE),0%)</f>
        <v>0</v>
      </c>
      <c r="LI8" s="179">
        <f>IFERROR(VLOOKUP(LI$1,FactorAlfa[[Ticker]:[Weight]],2,FALSE),0%)</f>
        <v>0</v>
      </c>
      <c r="LJ8" s="179">
        <f>IFERROR(VLOOKUP(LJ$1,FactorAlfa[[Ticker]:[Weight]],2,FALSE),0%)</f>
        <v>0</v>
      </c>
      <c r="LK8" s="179">
        <f>IFERROR(VLOOKUP(LK$1,FactorAlfa[[Ticker]:[Weight]],2,FALSE),0%)</f>
        <v>0</v>
      </c>
      <c r="LL8" s="179">
        <f>IFERROR(VLOOKUP(LL$1,FactorAlfa[[Ticker]:[Weight]],2,FALSE),0%)</f>
        <v>0</v>
      </c>
      <c r="LM8" s="179">
        <f>IFERROR(VLOOKUP(LM$1,FactorAlfa[[Ticker]:[Weight]],2,FALSE),0%)</f>
        <v>0</v>
      </c>
      <c r="LN8" s="179">
        <f>IFERROR(VLOOKUP(LN$1,FactorAlfa[[Ticker]:[Weight]],2,FALSE),0%)</f>
        <v>0</v>
      </c>
      <c r="LO8" s="179">
        <f>IFERROR(VLOOKUP(LO$1,FactorAlfa[[Ticker]:[Weight]],2,FALSE),0%)</f>
        <v>0</v>
      </c>
      <c r="LP8" s="179">
        <f>IFERROR(VLOOKUP(LP$1,FactorAlfa[[Ticker]:[Weight]],2,FALSE),0%)</f>
        <v>0</v>
      </c>
      <c r="LQ8" s="179">
        <f>IFERROR(VLOOKUP(LQ$1,FactorAlfa[[Ticker]:[Weight]],2,FALSE),0%)</f>
        <v>0</v>
      </c>
      <c r="LR8" s="179">
        <f>IFERROR(VLOOKUP(LR$1,FactorAlfa[[Ticker]:[Weight]],2,FALSE),0%)</f>
        <v>0</v>
      </c>
      <c r="LS8" s="179">
        <f>IFERROR(VLOOKUP(LS$1,FactorAlfa[[Ticker]:[Weight]],2,FALSE),0%)</f>
        <v>0</v>
      </c>
      <c r="LT8" s="179">
        <f>IFERROR(VLOOKUP(LT$1,FactorAlfa[[Ticker]:[Weight]],2,FALSE),0%)</f>
        <v>0</v>
      </c>
      <c r="LU8" s="179">
        <f>IFERROR(VLOOKUP(LU$1,FactorAlfa[[Ticker]:[Weight]],2,FALSE),0%)</f>
        <v>0</v>
      </c>
      <c r="LV8" s="179">
        <f>IFERROR(VLOOKUP(LV$1,FactorAlfa[[Ticker]:[Weight]],2,FALSE),0%)</f>
        <v>0</v>
      </c>
      <c r="LW8" s="179">
        <f>IFERROR(VLOOKUP(LW$1,FactorAlfa[[Ticker]:[Weight]],2,FALSE),0%)</f>
        <v>0</v>
      </c>
      <c r="LX8" s="179">
        <f>IFERROR(VLOOKUP(LX$1,FactorAlfa[[Ticker]:[Weight]],2,FALSE),0%)</f>
        <v>0</v>
      </c>
      <c r="LY8" s="179">
        <f>IFERROR(VLOOKUP(LY$1,FactorAlfa[[Ticker]:[Weight]],2,FALSE),0%)</f>
        <v>0</v>
      </c>
      <c r="LZ8" s="179">
        <f>IFERROR(VLOOKUP(LZ$1,FactorAlfa[[Ticker]:[Weight]],2,FALSE),0%)</f>
        <v>0</v>
      </c>
      <c r="MA8" s="179">
        <f>IFERROR(VLOOKUP(MA$1,FactorAlfa[[Ticker]:[Weight]],2,FALSE),0%)</f>
        <v>0</v>
      </c>
      <c r="MB8" s="179">
        <f>IFERROR(VLOOKUP(MB$1,FactorAlfa[[Ticker]:[Weight]],2,FALSE),0%)</f>
        <v>0</v>
      </c>
      <c r="MC8" s="179">
        <f>IFERROR(VLOOKUP(MC$1,FactorAlfa[[Ticker]:[Weight]],2,FALSE),0%)</f>
        <v>0</v>
      </c>
      <c r="MD8" s="179">
        <f>IFERROR(VLOOKUP(MD$1,FactorAlfa[[Ticker]:[Weight]],2,FALSE),0%)</f>
        <v>0</v>
      </c>
      <c r="ME8" s="179">
        <f>IFERROR(VLOOKUP(ME$1,FactorAlfa[[Ticker]:[Weight]],2,FALSE),0%)</f>
        <v>0</v>
      </c>
      <c r="MF8" s="179">
        <f>IFERROR(VLOOKUP(MF$1,FactorAlfa[[Ticker]:[Weight]],2,FALSE),0%)</f>
        <v>0</v>
      </c>
      <c r="MG8" s="179">
        <f>IFERROR(VLOOKUP(MG$1,FactorAlfa[[Ticker]:[Weight]],2,FALSE),0%)</f>
        <v>0</v>
      </c>
      <c r="MH8" s="179">
        <f>IFERROR(VLOOKUP(MH$1,FactorAlfa[[Ticker]:[Weight]],2,FALSE),0%)</f>
        <v>0</v>
      </c>
      <c r="MI8" s="179">
        <f>IFERROR(VLOOKUP(MI$1,FactorAlfa[[Ticker]:[Weight]],2,FALSE),0%)</f>
        <v>0</v>
      </c>
      <c r="MJ8" s="179">
        <f>IFERROR(VLOOKUP(MJ$1,FactorAlfa[[Ticker]:[Weight]],2,FALSE),0%)</f>
        <v>0</v>
      </c>
      <c r="MK8" s="179">
        <f>IFERROR(VLOOKUP(MK$1,FactorAlfa[[Ticker]:[Weight]],2,FALSE),0%)</f>
        <v>0</v>
      </c>
      <c r="ML8" s="179">
        <f>IFERROR(VLOOKUP(ML$1,FactorAlfa[[Ticker]:[Weight]],2,FALSE),0%)</f>
        <v>0</v>
      </c>
      <c r="MM8" s="179">
        <f>IFERROR(VLOOKUP(MM$1,FactorAlfa[[Ticker]:[Weight]],2,FALSE),0%)</f>
        <v>0</v>
      </c>
      <c r="MN8" s="179">
        <f>IFERROR(VLOOKUP(MN$1,FactorAlfa[[Ticker]:[Weight]],2,FALSE),0%)</f>
        <v>0</v>
      </c>
      <c r="MO8" s="179">
        <f>IFERROR(VLOOKUP(MO$1,FactorAlfa[[Ticker]:[Weight]],2,FALSE),0%)</f>
        <v>0</v>
      </c>
      <c r="MP8" s="179">
        <f>IFERROR(VLOOKUP(MP$1,FactorAlfa[[Ticker]:[Weight]],2,FALSE),0%)</f>
        <v>0</v>
      </c>
      <c r="MQ8" s="179">
        <f>IFERROR(VLOOKUP(MQ$1,FactorAlfa[[Ticker]:[Weight]],2,FALSE),0%)</f>
        <v>0</v>
      </c>
      <c r="MR8" s="179">
        <f>IFERROR(VLOOKUP(MR$1,FactorAlfa[[Ticker]:[Weight]],2,FALSE),0%)</f>
        <v>0</v>
      </c>
      <c r="MS8" s="179">
        <f>IFERROR(VLOOKUP(MS$1,FactorAlfa[[Ticker]:[Weight]],2,FALSE),0%)</f>
        <v>0</v>
      </c>
      <c r="MT8" s="179">
        <f>IFERROR(VLOOKUP(MT$1,FactorAlfa[[Ticker]:[Weight]],2,FALSE),0%)</f>
        <v>0</v>
      </c>
      <c r="MU8" s="179">
        <f>IFERROR(VLOOKUP(MU$1,FactorAlfa[[Ticker]:[Weight]],2,FALSE),0%)</f>
        <v>0</v>
      </c>
      <c r="MV8" s="179">
        <f>IFERROR(VLOOKUP(MV$1,FactorAlfa[[Ticker]:[Weight]],2,FALSE),0%)</f>
        <v>0</v>
      </c>
      <c r="MW8" s="179">
        <f>IFERROR(VLOOKUP(MW$1,FactorAlfa[[Ticker]:[Weight]],2,FALSE),0%)</f>
        <v>0</v>
      </c>
      <c r="MX8" s="179">
        <f>IFERROR(VLOOKUP(MX$1,FactorAlfa[[Ticker]:[Weight]],2,FALSE),0%)</f>
        <v>0</v>
      </c>
      <c r="MY8" s="179">
        <f>IFERROR(VLOOKUP(MY$1,FactorAlfa[[Ticker]:[Weight]],2,FALSE),0%)</f>
        <v>0</v>
      </c>
      <c r="MZ8" s="179">
        <f>IFERROR(VLOOKUP(MZ$1,FactorAlfa[[Ticker]:[Weight]],2,FALSE),0%)</f>
        <v>0</v>
      </c>
      <c r="NA8" s="179">
        <f>IFERROR(VLOOKUP(NA$1,FactorAlfa[[Ticker]:[Weight]],2,FALSE),0%)</f>
        <v>0</v>
      </c>
      <c r="NB8" s="179">
        <f>IFERROR(VLOOKUP(NB$1,FactorAlfa[[Ticker]:[Weight]],2,FALSE),0%)</f>
        <v>0</v>
      </c>
      <c r="NC8" s="179">
        <f>IFERROR(VLOOKUP(NC$1,FactorAlfa[[Ticker]:[Weight]],2,FALSE),0%)</f>
        <v>0</v>
      </c>
      <c r="ND8" s="179">
        <f>IFERROR(VLOOKUP(ND$1,FactorAlfa[[Ticker]:[Weight]],2,FALSE),0%)</f>
        <v>0</v>
      </c>
      <c r="NE8" s="179">
        <f>IFERROR(VLOOKUP(NE$1,FactorAlfa[[Ticker]:[Weight]],2,FALSE),0%)</f>
        <v>0</v>
      </c>
      <c r="NF8" s="179">
        <f>IFERROR(VLOOKUP(NF$1,FactorAlfa[[Ticker]:[Weight]],2,FALSE),0%)</f>
        <v>0</v>
      </c>
      <c r="NG8" s="179">
        <f>IFERROR(VLOOKUP(NG$1,FactorAlfa[[Ticker]:[Weight]],2,FALSE),0%)</f>
        <v>0</v>
      </c>
      <c r="NH8" s="179">
        <f>IFERROR(VLOOKUP(NH$1,FactorAlfa[[Ticker]:[Weight]],2,FALSE),0%)</f>
        <v>0</v>
      </c>
      <c r="NI8" s="179">
        <f>IFERROR(VLOOKUP(NI$1,FactorAlfa[[Ticker]:[Weight]],2,FALSE),0%)</f>
        <v>0</v>
      </c>
      <c r="NJ8" s="179">
        <f>IFERROR(VLOOKUP(NJ$1,FactorAlfa[[Ticker]:[Weight]],2,FALSE),0%)</f>
        <v>0</v>
      </c>
      <c r="NK8" s="179">
        <f>IFERROR(VLOOKUP(NK$1,FactorAlfa[[Ticker]:[Weight]],2,FALSE),0%)</f>
        <v>0</v>
      </c>
      <c r="NL8" s="179">
        <f>IFERROR(VLOOKUP(NL$1,FactorAlfa[[Ticker]:[Weight]],2,FALSE),0%)</f>
        <v>0</v>
      </c>
      <c r="NM8" s="179">
        <f>IFERROR(VLOOKUP(NM$1,FactorAlfa[[Ticker]:[Weight]],2,FALSE),0%)</f>
        <v>0</v>
      </c>
      <c r="NN8" s="179">
        <f>IFERROR(VLOOKUP(NN$1,FactorAlfa[[Ticker]:[Weight]],2,FALSE),0%)</f>
        <v>0</v>
      </c>
      <c r="NO8" s="179">
        <f>IFERROR(VLOOKUP(NO$1,FactorAlfa[[Ticker]:[Weight]],2,FALSE),0%)</f>
        <v>0</v>
      </c>
      <c r="NP8" s="179">
        <f>IFERROR(VLOOKUP(NP$1,FactorAlfa[[Ticker]:[Weight]],2,FALSE),0%)</f>
        <v>0</v>
      </c>
      <c r="NQ8" s="179">
        <f>IFERROR(VLOOKUP(NQ$1,FactorAlfa[[Ticker]:[Weight]],2,FALSE),0%)</f>
        <v>0.04166</v>
      </c>
      <c r="NR8" s="179">
        <f>IFERROR(VLOOKUP(NR$1,FactorAlfa[[Ticker]:[Weight]],2,FALSE),0%)</f>
        <v>0</v>
      </c>
      <c r="NS8" s="179">
        <f>IFERROR(VLOOKUP(NS$1,FactorAlfa[[Ticker]:[Weight]],2,FALSE),0%)</f>
        <v>0</v>
      </c>
      <c r="NT8" s="179">
        <f>IFERROR(VLOOKUP(NT$1,FactorAlfa[[Ticker]:[Weight]],2,FALSE),0%)</f>
        <v>0</v>
      </c>
      <c r="NU8" s="179">
        <f>IFERROR(VLOOKUP(NU$1,FactorAlfa[[Ticker]:[Weight]],2,FALSE),0%)</f>
        <v>0</v>
      </c>
      <c r="NV8" s="179">
        <f>IFERROR(VLOOKUP(NV$1,FactorAlfa[[Ticker]:[Weight]],2,FALSE),0%)</f>
        <v>0</v>
      </c>
      <c r="NW8" s="179">
        <f>IFERROR(VLOOKUP(NW$1,FactorAlfa[[Ticker]:[Weight]],2,FALSE),0%)</f>
        <v>0</v>
      </c>
      <c r="NX8" s="179">
        <f>IFERROR(VLOOKUP(NX$1,FactorAlfa[[Ticker]:[Weight]],2,FALSE),0%)</f>
        <v>0</v>
      </c>
      <c r="NY8" s="179">
        <f>IFERROR(VLOOKUP(NY$1,FactorAlfa[[Ticker]:[Weight]],2,FALSE),0%)</f>
        <v>0</v>
      </c>
      <c r="NZ8" s="179">
        <f>IFERROR(VLOOKUP(NZ$1,FactorAlfa[[Ticker]:[Weight]],2,FALSE),0%)</f>
        <v>0</v>
      </c>
      <c r="OA8" s="179">
        <f>IFERROR(VLOOKUP(OA$1,FactorAlfa[[Ticker]:[Weight]],2,FALSE),0%)</f>
        <v>0</v>
      </c>
      <c r="OB8" s="179">
        <f>IFERROR(VLOOKUP(OB$1,FactorAlfa[[Ticker]:[Weight]],2,FALSE),0%)</f>
        <v>0</v>
      </c>
      <c r="OC8" s="179">
        <f>IFERROR(VLOOKUP(OC$1,FactorAlfa[[Ticker]:[Weight]],2,FALSE),0%)</f>
        <v>0</v>
      </c>
      <c r="OD8" s="179">
        <f>IFERROR(VLOOKUP(OD$1,FactorAlfa[[Ticker]:[Weight]],2,FALSE),0%)</f>
        <v>0</v>
      </c>
      <c r="OE8" s="179">
        <f>IFERROR(VLOOKUP(OE$1,FactorAlfa[[Ticker]:[Weight]],2,FALSE),0%)</f>
        <v>0</v>
      </c>
      <c r="OF8" s="179">
        <f>IFERROR(VLOOKUP(OF$1,FactorAlfa[[Ticker]:[Weight]],2,FALSE),0%)</f>
        <v>0</v>
      </c>
      <c r="OG8" s="179">
        <f>IFERROR(VLOOKUP(OG$1,FactorAlfa[[Ticker]:[Weight]],2,FALSE),0%)</f>
        <v>0</v>
      </c>
      <c r="OH8" s="179">
        <f>IFERROR(VLOOKUP(OH$1,FactorAlfa[[Ticker]:[Weight]],2,FALSE),0%)</f>
        <v>0</v>
      </c>
      <c r="OI8" s="179">
        <f>IFERROR(VLOOKUP(OI$1,FactorAlfa[[Ticker]:[Weight]],2,FALSE),0%)</f>
        <v>0</v>
      </c>
      <c r="OJ8" s="179">
        <f>IFERROR(VLOOKUP(OJ$1,FactorAlfa[[Ticker]:[Weight]],2,FALSE),0%)</f>
        <v>0</v>
      </c>
      <c r="OK8" s="179">
        <f>IFERROR(VLOOKUP(OK$1,FactorAlfa[[Ticker]:[Weight]],2,FALSE),0%)</f>
        <v>0</v>
      </c>
      <c r="OL8" s="179">
        <f>IFERROR(VLOOKUP(OL$1,FactorAlfa[[Ticker]:[Weight]],2,FALSE),0%)</f>
        <v>0</v>
      </c>
      <c r="OM8" s="179">
        <f>IFERROR(VLOOKUP(OM$1,FactorAlfa[[Ticker]:[Weight]],2,FALSE),0%)</f>
        <v>0</v>
      </c>
      <c r="ON8" s="179">
        <f>IFERROR(VLOOKUP(ON$1,FactorAlfa[[Ticker]:[Weight]],2,FALSE),0%)</f>
        <v>0</v>
      </c>
      <c r="OO8" s="179">
        <f>IFERROR(VLOOKUP(OO$1,FactorAlfa[[Ticker]:[Weight]],2,FALSE),0%)</f>
        <v>0</v>
      </c>
      <c r="OP8" s="179">
        <f>IFERROR(VLOOKUP(OP$1,FactorAlfa[[Ticker]:[Weight]],2,FALSE),0%)</f>
        <v>0</v>
      </c>
      <c r="OQ8" s="179">
        <f>IFERROR(VLOOKUP(OQ$1,FactorAlfa[[Ticker]:[Weight]],2,FALSE),0%)</f>
        <v>0</v>
      </c>
      <c r="OR8" s="179">
        <f>IFERROR(VLOOKUP(OR$1,FactorAlfa[[Ticker]:[Weight]],2,FALSE),0%)</f>
        <v>0</v>
      </c>
      <c r="OS8" s="179">
        <f>IFERROR(VLOOKUP(OS$1,FactorAlfa[[Ticker]:[Weight]],2,FALSE),0%)</f>
        <v>0</v>
      </c>
      <c r="OT8" s="179">
        <f>IFERROR(VLOOKUP(OT$1,FactorAlfa[[Ticker]:[Weight]],2,FALSE),0%)</f>
        <v>0</v>
      </c>
      <c r="OU8" s="179">
        <f>IFERROR(VLOOKUP(OU$1,FactorAlfa[[Ticker]:[Weight]],2,FALSE),0%)</f>
        <v>0</v>
      </c>
      <c r="OV8" s="179">
        <f>IFERROR(VLOOKUP(OV$1,FactorAlfa[[Ticker]:[Weight]],2,FALSE),0%)</f>
        <v>0</v>
      </c>
      <c r="OW8" s="179">
        <f>IFERROR(VLOOKUP(OW$1,FactorAlfa[[Ticker]:[Weight]],2,FALSE),0%)</f>
        <v>0</v>
      </c>
      <c r="OX8" s="179">
        <f>IFERROR(VLOOKUP(OX$1,FactorAlfa[[Ticker]:[Weight]],2,FALSE),0%)</f>
        <v>0</v>
      </c>
      <c r="OY8" s="179">
        <f>IFERROR(VLOOKUP(OY$1,FactorAlfa[[Ticker]:[Weight]],2,FALSE),0%)</f>
        <v>0</v>
      </c>
      <c r="OZ8" s="179">
        <f>IFERROR(VLOOKUP(OZ$1,FactorAlfa[[Ticker]:[Weight]],2,FALSE),0%)</f>
        <v>0</v>
      </c>
      <c r="PA8" s="179">
        <f>IFERROR(VLOOKUP(PA$1,FactorAlfa[[Ticker]:[Weight]],2,FALSE),0%)</f>
        <v>0</v>
      </c>
      <c r="PB8" s="179">
        <f>IFERROR(VLOOKUP(PB$1,FactorAlfa[[Ticker]:[Weight]],2,FALSE),0%)</f>
        <v>0</v>
      </c>
      <c r="PC8" s="179">
        <f>IFERROR(VLOOKUP(PC$1,FactorAlfa[[Ticker]:[Weight]],2,FALSE),0%)</f>
        <v>0</v>
      </c>
      <c r="PD8" s="179">
        <f>IFERROR(VLOOKUP(PD$1,FactorAlfa[[Ticker]:[Weight]],2,FALSE),0%)</f>
        <v>0</v>
      </c>
      <c r="PE8" s="179">
        <f>IFERROR(VLOOKUP(PE$1,FactorAlfa[[Ticker]:[Weight]],2,FALSE),0%)</f>
        <v>0</v>
      </c>
      <c r="PF8" s="179">
        <f>IFERROR(VLOOKUP(PF$1,FactorAlfa[[Ticker]:[Weight]],2,FALSE),0%)</f>
        <v>0</v>
      </c>
      <c r="PG8" s="179">
        <f>IFERROR(VLOOKUP(PG$1,FactorAlfa[[Ticker]:[Weight]],2,FALSE),0%)</f>
        <v>0</v>
      </c>
      <c r="PH8" s="179">
        <f>IFERROR(VLOOKUP(PH$1,FactorAlfa[[Ticker]:[Weight]],2,FALSE),0%)</f>
        <v>0</v>
      </c>
      <c r="PI8" s="179">
        <f>IFERROR(VLOOKUP(PI$1,FactorAlfa[[Ticker]:[Weight]],2,FALSE),0%)</f>
        <v>0</v>
      </c>
      <c r="PJ8" s="179">
        <f>IFERROR(VLOOKUP(PJ$1,FactorAlfa[[Ticker]:[Weight]],2,FALSE),0%)</f>
        <v>0</v>
      </c>
      <c r="PK8" s="179">
        <f>IFERROR(VLOOKUP(PK$1,FactorAlfa[[Ticker]:[Weight]],2,FALSE),0%)</f>
        <v>0</v>
      </c>
      <c r="PL8" s="179">
        <f>IFERROR(VLOOKUP(PL$1,FactorAlfa[[Ticker]:[Weight]],2,FALSE),0%)</f>
        <v>0</v>
      </c>
      <c r="PM8" s="179">
        <f>IFERROR(VLOOKUP(PM$1,FactorAlfa[[Ticker]:[Weight]],2,FALSE),0%)</f>
        <v>0</v>
      </c>
      <c r="PN8" s="179">
        <f>IFERROR(VLOOKUP(PN$1,FactorAlfa[[Ticker]:[Weight]],2,FALSE),0%)</f>
        <v>0</v>
      </c>
      <c r="PO8" s="179">
        <f>IFERROR(VLOOKUP(PO$1,FactorAlfa[[Ticker]:[Weight]],2,FALSE),0%)</f>
        <v>0</v>
      </c>
      <c r="PP8" s="179">
        <f>IFERROR(VLOOKUP(PP$1,FactorAlfa[[Ticker]:[Weight]],2,FALSE),0%)</f>
        <v>0</v>
      </c>
      <c r="PQ8" s="179">
        <f>IFERROR(VLOOKUP(PQ$1,FactorAlfa[[Ticker]:[Weight]],2,FALSE),0%)</f>
        <v>0</v>
      </c>
      <c r="PR8" s="179">
        <f>IFERROR(VLOOKUP(PR$1,FactorAlfa[[Ticker]:[Weight]],2,FALSE),0%)</f>
        <v>0</v>
      </c>
      <c r="PS8" s="179">
        <f>IFERROR(VLOOKUP(PS$1,FactorAlfa[[Ticker]:[Weight]],2,FALSE),0%)</f>
        <v>0</v>
      </c>
      <c r="PT8" s="179">
        <f>IFERROR(VLOOKUP(PT$1,FactorAlfa[[Ticker]:[Weight]],2,FALSE),0%)</f>
        <v>0</v>
      </c>
      <c r="PU8" s="179">
        <f>IFERROR(VLOOKUP(PU$1,FactorAlfa[[Ticker]:[Weight]],2,FALSE),0%)</f>
        <v>0</v>
      </c>
      <c r="PV8" s="179">
        <f>IFERROR(VLOOKUP(PV$1,FactorAlfa[[Ticker]:[Weight]],2,FALSE),0%)</f>
        <v>0</v>
      </c>
      <c r="PW8" s="179">
        <f>IFERROR(VLOOKUP(PW$1,FactorAlfa[[Ticker]:[Weight]],2,FALSE),0%)</f>
        <v>0</v>
      </c>
      <c r="PX8" s="179">
        <f>IFERROR(VLOOKUP(PX$1,FactorAlfa[[Ticker]:[Weight]],2,FALSE),0%)</f>
        <v>0</v>
      </c>
      <c r="PY8" s="179">
        <f>IFERROR(VLOOKUP(PY$1,FactorAlfa[[Ticker]:[Weight]],2,FALSE),0%)</f>
        <v>0</v>
      </c>
      <c r="PZ8" s="179">
        <f>IFERROR(VLOOKUP(PZ$1,FactorAlfa[[Ticker]:[Weight]],2,FALSE),0%)</f>
        <v>0</v>
      </c>
      <c r="QA8" s="179">
        <f>IFERROR(VLOOKUP(QA$1,FactorAlfa[[Ticker]:[Weight]],2,FALSE),0%)</f>
        <v>0</v>
      </c>
      <c r="QB8" s="179">
        <f>IFERROR(VLOOKUP(QB$1,FactorAlfa[[Ticker]:[Weight]],2,FALSE),0%)</f>
        <v>0</v>
      </c>
      <c r="QC8" s="179">
        <f>IFERROR(VLOOKUP(QC$1,FactorAlfa[[Ticker]:[Weight]],2,FALSE),0%)</f>
        <v>0</v>
      </c>
      <c r="QD8" s="179">
        <f>IFERROR(VLOOKUP(QD$1,FactorAlfa[[Ticker]:[Weight]],2,FALSE),0%)</f>
        <v>0</v>
      </c>
      <c r="QE8" s="179">
        <f>IFERROR(VLOOKUP(QE$1,FactorAlfa[[Ticker]:[Weight]],2,FALSE),0%)</f>
        <v>0</v>
      </c>
      <c r="QF8" s="179">
        <f>IFERROR(VLOOKUP(QF$1,FactorAlfa[[Ticker]:[Weight]],2,FALSE),0%)</f>
        <v>0</v>
      </c>
      <c r="QG8" s="179">
        <f>IFERROR(VLOOKUP(QG$1,FactorAlfa[[Ticker]:[Weight]],2,FALSE),0%)</f>
        <v>0</v>
      </c>
      <c r="QH8" s="179">
        <f>IFERROR(VLOOKUP(QH$1,FactorAlfa[[Ticker]:[Weight]],2,FALSE),0%)</f>
        <v>0</v>
      </c>
      <c r="QI8" s="179">
        <f>IFERROR(VLOOKUP(QI$1,FactorAlfa[[Ticker]:[Weight]],2,FALSE),0%)</f>
        <v>0</v>
      </c>
      <c r="QJ8" s="179">
        <f>IFERROR(VLOOKUP(QJ$1,FactorAlfa[[Ticker]:[Weight]],2,FALSE),0%)</f>
        <v>0</v>
      </c>
      <c r="QK8" s="179">
        <f>IFERROR(VLOOKUP(QK$1,FactorAlfa[[Ticker]:[Weight]],2,FALSE),0%)</f>
        <v>0</v>
      </c>
      <c r="QL8" s="179">
        <f>IFERROR(VLOOKUP(QL$1,FactorAlfa[[Ticker]:[Weight]],2,FALSE),0%)</f>
        <v>0</v>
      </c>
      <c r="QM8" s="179">
        <f>IFERROR(VLOOKUP(QM$1,FactorAlfa[[Ticker]:[Weight]],2,FALSE),0%)</f>
        <v>0</v>
      </c>
      <c r="QN8" s="179">
        <f>IFERROR(VLOOKUP(QN$1,FactorAlfa[[Ticker]:[Weight]],2,FALSE),0%)</f>
        <v>0</v>
      </c>
      <c r="QO8" s="179">
        <f>IFERROR(VLOOKUP(QO$1,FactorAlfa[[Ticker]:[Weight]],2,FALSE),0%)</f>
        <v>0</v>
      </c>
      <c r="QP8" s="179">
        <f>IFERROR(VLOOKUP(QP$1,FactorAlfa[[Ticker]:[Weight]],2,FALSE),0%)</f>
        <v>0</v>
      </c>
      <c r="QQ8" s="179">
        <f>IFERROR(VLOOKUP(QQ$1,FactorAlfa[[Ticker]:[Weight]],2,FALSE),0%)</f>
        <v>0</v>
      </c>
      <c r="QR8" s="179">
        <f>IFERROR(VLOOKUP(QR$1,FactorAlfa[[Ticker]:[Weight]],2,FALSE),0%)</f>
        <v>0</v>
      </c>
      <c r="QS8" s="179">
        <f>IFERROR(VLOOKUP(QS$1,FactorAlfa[[Ticker]:[Weight]],2,FALSE),0%)</f>
        <v>0</v>
      </c>
      <c r="QT8" s="179">
        <f>IFERROR(VLOOKUP(QT$1,FactorAlfa[[Ticker]:[Weight]],2,FALSE),0%)</f>
        <v>0</v>
      </c>
      <c r="QU8" s="179">
        <f>IFERROR(VLOOKUP(QU$1,FactorAlfa[[Ticker]:[Weight]],2,FALSE),0%)</f>
        <v>0</v>
      </c>
      <c r="QV8" s="179">
        <f>IFERROR(VLOOKUP(QV$1,FactorAlfa[[Ticker]:[Weight]],2,FALSE),0%)</f>
        <v>0</v>
      </c>
      <c r="QW8" s="179">
        <f>IFERROR(VLOOKUP(QW$1,FactorAlfa[[Ticker]:[Weight]],2,FALSE),0%)</f>
        <v>0</v>
      </c>
      <c r="QX8" s="179">
        <f>IFERROR(VLOOKUP(QX$1,FactorAlfa[[Ticker]:[Weight]],2,FALSE),0%)</f>
        <v>0</v>
      </c>
      <c r="QY8" s="179">
        <f>IFERROR(VLOOKUP(QY$1,FactorAlfa[[Ticker]:[Weight]],2,FALSE),0%)</f>
        <v>0</v>
      </c>
      <c r="QZ8" s="179">
        <f>IFERROR(VLOOKUP(QZ$1,FactorAlfa[[Ticker]:[Weight]],2,FALSE),0%)</f>
        <v>0</v>
      </c>
      <c r="RA8" s="179">
        <f>IFERROR(VLOOKUP(RA$1,FactorAlfa[[Ticker]:[Weight]],2,FALSE),0%)</f>
        <v>0</v>
      </c>
      <c r="RB8" s="179">
        <f>IFERROR(VLOOKUP(RB$1,FactorAlfa[[Ticker]:[Weight]],2,FALSE),0%)</f>
        <v>0</v>
      </c>
      <c r="RC8" s="179">
        <f>IFERROR(VLOOKUP(RC$1,FactorAlfa[[Ticker]:[Weight]],2,FALSE),0%)</f>
        <v>0</v>
      </c>
      <c r="RD8" s="179">
        <f>IFERROR(VLOOKUP(RD$1,FactorAlfa[[Ticker]:[Weight]],2,FALSE),0%)</f>
        <v>0</v>
      </c>
      <c r="RE8" s="179">
        <f>IFERROR(VLOOKUP(RE$1,FactorAlfa[[Ticker]:[Weight]],2,FALSE),0%)</f>
        <v>0</v>
      </c>
      <c r="RF8" s="179">
        <f>IFERROR(VLOOKUP(RF$1,FactorAlfa[[Ticker]:[Weight]],2,FALSE),0%)</f>
        <v>0</v>
      </c>
      <c r="RG8" s="179">
        <f>IFERROR(VLOOKUP(RG$1,FactorAlfa[[Ticker]:[Weight]],2,FALSE),0%)</f>
        <v>0</v>
      </c>
      <c r="RH8" s="179">
        <f>IFERROR(VLOOKUP(RH$1,FactorAlfa[[Ticker]:[Weight]],2,FALSE),0%)</f>
        <v>0</v>
      </c>
      <c r="RI8" s="179">
        <f>IFERROR(VLOOKUP(RI$1,FactorAlfa[[Ticker]:[Weight]],2,FALSE),0%)</f>
        <v>0</v>
      </c>
      <c r="RJ8" s="179">
        <f>IFERROR(VLOOKUP(RJ$1,FactorAlfa[[Ticker]:[Weight]],2,FALSE),0%)</f>
        <v>0</v>
      </c>
      <c r="RK8" s="179">
        <f>IFERROR(VLOOKUP(RK$1,FactorAlfa[[Ticker]:[Weight]],2,FALSE),0%)</f>
        <v>0</v>
      </c>
      <c r="RL8" s="179">
        <f>IFERROR(VLOOKUP(RL$1,FactorAlfa[[Ticker]:[Weight]],2,FALSE),0%)</f>
        <v>0</v>
      </c>
      <c r="RM8" s="179">
        <f>IFERROR(VLOOKUP(RM$1,FactorAlfa[[Ticker]:[Weight]],2,FALSE),0%)</f>
        <v>0</v>
      </c>
      <c r="RN8" s="179">
        <f>IFERROR(VLOOKUP(RN$1,FactorAlfa[[Ticker]:[Weight]],2,FALSE),0%)</f>
        <v>0</v>
      </c>
      <c r="RO8" s="179">
        <f>IFERROR(VLOOKUP(RO$1,FactorAlfa[[Ticker]:[Weight]],2,FALSE),0%)</f>
        <v>0</v>
      </c>
      <c r="RP8" s="179">
        <f>IFERROR(VLOOKUP(RP$1,FactorAlfa[[Ticker]:[Weight]],2,FALSE),0%)</f>
        <v>0</v>
      </c>
      <c r="RQ8" s="179">
        <f>IFERROR(VLOOKUP(RQ$1,FactorAlfa[[Ticker]:[Weight]],2,FALSE),0%)</f>
        <v>0</v>
      </c>
      <c r="RR8" s="179">
        <f>IFERROR(VLOOKUP(RR$1,FactorAlfa[[Ticker]:[Weight]],2,FALSE),0%)</f>
        <v>0</v>
      </c>
      <c r="RS8" s="179">
        <f>IFERROR(VLOOKUP(RS$1,FactorAlfa[[Ticker]:[Weight]],2,FALSE),0%)</f>
        <v>0</v>
      </c>
      <c r="RT8" s="179">
        <f>IFERROR(VLOOKUP(RT$1,FactorAlfa[[Ticker]:[Weight]],2,FALSE),0%)</f>
        <v>0</v>
      </c>
      <c r="RU8" s="179">
        <f>IFERROR(VLOOKUP(RU$1,FactorAlfa[[Ticker]:[Weight]],2,FALSE),0%)</f>
        <v>0</v>
      </c>
      <c r="RV8" s="179">
        <f>IFERROR(VLOOKUP(RV$1,FactorAlfa[[Ticker]:[Weight]],2,FALSE),0%)</f>
        <v>0</v>
      </c>
      <c r="RW8" s="179">
        <f>IFERROR(VLOOKUP(RW$1,FactorAlfa[[Ticker]:[Weight]],2,FALSE),0%)</f>
        <v>0</v>
      </c>
      <c r="RX8" s="179">
        <f>IFERROR(VLOOKUP(RX$1,FactorAlfa[[Ticker]:[Weight]],2,FALSE),0%)</f>
        <v>0</v>
      </c>
      <c r="RY8" s="179">
        <f>IFERROR(VLOOKUP(RY$1,FactorAlfa[[Ticker]:[Weight]],2,FALSE),0%)</f>
        <v>0</v>
      </c>
      <c r="RZ8" s="179">
        <f>IFERROR(VLOOKUP(RZ$1,FactorAlfa[[Ticker]:[Weight]],2,FALSE),0%)</f>
        <v>0</v>
      </c>
      <c r="SA8" s="179">
        <f>IFERROR(VLOOKUP(SA$1,FactorAlfa[[Ticker]:[Weight]],2,FALSE),0%)</f>
        <v>0</v>
      </c>
      <c r="SB8" s="179">
        <f>IFERROR(VLOOKUP(SB$1,FactorAlfa[[Ticker]:[Weight]],2,FALSE),0%)</f>
        <v>0</v>
      </c>
      <c r="SC8" s="179">
        <f>IFERROR(VLOOKUP(SC$1,FactorAlfa[[Ticker]:[Weight]],2,FALSE),0%)</f>
        <v>0</v>
      </c>
      <c r="SD8" s="179">
        <f>IFERROR(VLOOKUP(SD$1,FactorAlfa[[Ticker]:[Weight]],2,FALSE),0%)</f>
        <v>0</v>
      </c>
      <c r="SE8" s="179">
        <f>IFERROR(VLOOKUP(SE$1,FactorAlfa[[Ticker]:[Weight]],2,FALSE),0%)</f>
        <v>0</v>
      </c>
      <c r="SF8" s="179">
        <f>IFERROR(VLOOKUP(SF$1,FactorAlfa[[Ticker]:[Weight]],2,FALSE),0%)</f>
        <v>0</v>
      </c>
      <c r="SG8" s="179">
        <f>IFERROR(VLOOKUP(SG$1,FactorAlfa[[Ticker]:[Weight]],2,FALSE),0%)</f>
        <v>0</v>
      </c>
      <c r="SH8" s="179">
        <f>IFERROR(VLOOKUP(SH$1,FactorAlfa[[Ticker]:[Weight]],2,FALSE),0%)</f>
        <v>0</v>
      </c>
      <c r="SI8" s="179">
        <f>IFERROR(VLOOKUP(SI$1,FactorAlfa[[Ticker]:[Weight]],2,FALSE),0%)</f>
        <v>0</v>
      </c>
      <c r="SJ8" s="179">
        <f>IFERROR(VLOOKUP(SJ$1,FactorAlfa[[Ticker]:[Weight]],2,FALSE),0%)</f>
        <v>0</v>
      </c>
      <c r="SK8" s="179">
        <f>IFERROR(VLOOKUP(SK$1,FactorAlfa[[Ticker]:[Weight]],2,FALSE),0%)</f>
        <v>0</v>
      </c>
      <c r="SL8" s="179">
        <f>IFERROR(VLOOKUP(SL$1,FactorAlfa[[Ticker]:[Weight]],2,FALSE),0%)</f>
        <v>0</v>
      </c>
      <c r="SM8" s="179">
        <f>IFERROR(VLOOKUP(SM$1,FactorAlfa[[Ticker]:[Weight]],2,FALSE),0%)</f>
        <v>0</v>
      </c>
      <c r="SN8" s="179">
        <f>IFERROR(VLOOKUP(SN$1,FactorAlfa[[Ticker]:[Weight]],2,FALSE),0%)</f>
        <v>0</v>
      </c>
      <c r="SO8" s="179">
        <f>IFERROR(VLOOKUP(SO$1,FactorAlfa[[Ticker]:[Weight]],2,FALSE),0%)</f>
        <v>0</v>
      </c>
      <c r="SP8" s="179">
        <f>IFERROR(VLOOKUP(SP$1,FactorAlfa[[Ticker]:[Weight]],2,FALSE),0%)</f>
        <v>0</v>
      </c>
      <c r="SQ8" s="179">
        <f>IFERROR(VLOOKUP(SQ$1,FactorAlfa[[Ticker]:[Weight]],2,FALSE),0%)</f>
        <v>0</v>
      </c>
      <c r="SR8" s="179">
        <f>IFERROR(VLOOKUP(SR$1,FactorAlfa[[Ticker]:[Weight]],2,FALSE),0%)</f>
        <v>0</v>
      </c>
      <c r="SS8" s="179">
        <f>IFERROR(VLOOKUP(SS$1,FactorAlfa[[Ticker]:[Weight]],2,FALSE),0%)</f>
        <v>0</v>
      </c>
      <c r="ST8" s="179">
        <f>IFERROR(VLOOKUP(ST$1,FactorAlfa[[Ticker]:[Weight]],2,FALSE),0%)</f>
        <v>0</v>
      </c>
      <c r="SU8" s="179">
        <f>IFERROR(VLOOKUP(SU$1,FactorAlfa[[Ticker]:[Weight]],2,FALSE),0%)</f>
        <v>0</v>
      </c>
      <c r="SV8" s="179">
        <f>IFERROR(VLOOKUP(SV$1,FactorAlfa[[Ticker]:[Weight]],2,FALSE),0%)</f>
        <v>0</v>
      </c>
      <c r="SW8" s="179">
        <f>IFERROR(VLOOKUP(SW$1,FactorAlfa[[Ticker]:[Weight]],2,FALSE),0%)</f>
        <v>0</v>
      </c>
      <c r="SX8" s="179">
        <f>IFERROR(VLOOKUP(SX$1,FactorAlfa[[Ticker]:[Weight]],2,FALSE),0%)</f>
        <v>0</v>
      </c>
      <c r="SY8" s="179">
        <f>IFERROR(VLOOKUP(SY$1,FactorAlfa[[Ticker]:[Weight]],2,FALSE),0%)</f>
        <v>0</v>
      </c>
      <c r="SZ8" s="179">
        <f>IFERROR(VLOOKUP(SZ$1,FactorAlfa[[Ticker]:[Weight]],2,FALSE),0%)</f>
        <v>0</v>
      </c>
      <c r="TA8" s="179">
        <f>IFERROR(VLOOKUP(TA$1,FactorAlfa[[Ticker]:[Weight]],2,FALSE),0%)</f>
        <v>0</v>
      </c>
      <c r="TB8" s="179">
        <f>IFERROR(VLOOKUP(TB$1,FactorAlfa[[Ticker]:[Weight]],2,FALSE),0%)</f>
        <v>0</v>
      </c>
      <c r="TC8" s="179">
        <f>IFERROR(VLOOKUP(TC$1,FactorAlfa[[Ticker]:[Weight]],2,FALSE),0%)</f>
        <v>0</v>
      </c>
      <c r="TD8" s="179">
        <f>IFERROR(VLOOKUP(TD$1,FactorAlfa[[Ticker]:[Weight]],2,FALSE),0%)</f>
        <v>0</v>
      </c>
      <c r="TE8" s="179">
        <f>IFERROR(VLOOKUP(TE$1,FactorAlfa[[Ticker]:[Weight]],2,FALSE),0%)</f>
        <v>0</v>
      </c>
      <c r="TF8" s="179">
        <f>IFERROR(VLOOKUP(TF$1,FactorAlfa[[Ticker]:[Weight]],2,FALSE),0%)</f>
        <v>0</v>
      </c>
      <c r="TG8" s="179">
        <f>IFERROR(VLOOKUP(TG$1,FactorAlfa[[Ticker]:[Weight]],2,FALSE),0%)</f>
        <v>0</v>
      </c>
      <c r="TH8" s="179">
        <f>IFERROR(VLOOKUP(TH$1,FactorAlfa[[Ticker]:[Weight]],2,FALSE),0%)</f>
        <v>0</v>
      </c>
      <c r="TI8" s="179">
        <f>IFERROR(VLOOKUP(TI$1,FactorAlfa[[Ticker]:[Weight]],2,FALSE),0%)</f>
        <v>0</v>
      </c>
      <c r="TJ8" s="179">
        <f>IFERROR(VLOOKUP(TJ$1,FactorAlfa[[Ticker]:[Weight]],2,FALSE),0%)</f>
        <v>0</v>
      </c>
      <c r="TK8" s="179">
        <f>IFERROR(VLOOKUP(TK$1,FactorAlfa[[Ticker]:[Weight]],2,FALSE),0%)</f>
        <v>0</v>
      </c>
      <c r="TL8" s="179">
        <f>IFERROR(VLOOKUP(TL$1,FactorAlfa[[Ticker]:[Weight]],2,FALSE),0%)</f>
        <v>0</v>
      </c>
      <c r="TM8" s="179">
        <f>IFERROR(VLOOKUP(TM$1,FactorAlfa[[Ticker]:[Weight]],2,FALSE),0%)</f>
        <v>0</v>
      </c>
      <c r="TN8" s="179">
        <f>IFERROR(VLOOKUP(TN$1,FactorAlfa[[Ticker]:[Weight]],2,FALSE),0%)</f>
        <v>0</v>
      </c>
      <c r="TO8" s="179">
        <f>IFERROR(VLOOKUP(TO$1,FactorAlfa[[Ticker]:[Weight]],2,FALSE),0%)</f>
        <v>0</v>
      </c>
      <c r="TP8" s="179">
        <f>IFERROR(VLOOKUP(TP$1,FactorAlfa[[Ticker]:[Weight]],2,FALSE),0%)</f>
        <v>0</v>
      </c>
      <c r="TQ8" s="179">
        <f>IFERROR(VLOOKUP(TQ$1,FactorAlfa[[Ticker]:[Weight]],2,FALSE),0%)</f>
        <v>0</v>
      </c>
      <c r="TR8" s="179">
        <f>IFERROR(VLOOKUP(TR$1,FactorAlfa[[Ticker]:[Weight]],2,FALSE),0%)</f>
        <v>0</v>
      </c>
      <c r="TS8" s="179">
        <f>IFERROR(VLOOKUP(TS$1,FactorAlfa[[Ticker]:[Weight]],2,FALSE),0%)</f>
        <v>0</v>
      </c>
      <c r="TT8" s="179">
        <f>IFERROR(VLOOKUP(TT$1,FactorAlfa[[Ticker]:[Weight]],2,FALSE),0%)</f>
        <v>0</v>
      </c>
      <c r="TU8" s="179">
        <f>IFERROR(VLOOKUP(TU$1,FactorAlfa[[Ticker]:[Weight]],2,FALSE),0%)</f>
        <v>0</v>
      </c>
      <c r="TV8" s="179">
        <f>IFERROR(VLOOKUP(TV$1,FactorAlfa[[Ticker]:[Weight]],2,FALSE),0%)</f>
        <v>0</v>
      </c>
      <c r="TW8" s="179">
        <f>IFERROR(VLOOKUP(TW$1,FactorAlfa[[Ticker]:[Weight]],2,FALSE),0%)</f>
        <v>0</v>
      </c>
      <c r="TX8" s="179">
        <f>IFERROR(VLOOKUP(TX$1,FactorAlfa[[Ticker]:[Weight]],2,FALSE),0%)</f>
        <v>0</v>
      </c>
      <c r="TY8" s="179">
        <f>IFERROR(VLOOKUP(TY$1,FactorAlfa[[Ticker]:[Weight]],2,FALSE),0%)</f>
        <v>0</v>
      </c>
      <c r="TZ8" s="179">
        <f>IFERROR(VLOOKUP(TZ$1,FactorAlfa[[Ticker]:[Weight]],2,FALSE),0%)</f>
        <v>0</v>
      </c>
      <c r="UA8" s="179">
        <f>IFERROR(VLOOKUP(UA$1,FactorAlfa[[Ticker]:[Weight]],2,FALSE),0%)</f>
        <v>0</v>
      </c>
      <c r="UB8" s="179">
        <f>IFERROR(VLOOKUP(UB$1,FactorAlfa[[Ticker]:[Weight]],2,FALSE),0%)</f>
        <v>0</v>
      </c>
      <c r="UC8" s="179">
        <f>IFERROR(VLOOKUP(UC$1,FactorAlfa[[Ticker]:[Weight]],2,FALSE),0%)</f>
        <v>0</v>
      </c>
      <c r="UD8" s="179">
        <f>IFERROR(VLOOKUP(UD$1,FactorAlfa[[Ticker]:[Weight]],2,FALSE),0%)</f>
        <v>0</v>
      </c>
      <c r="UE8" s="179">
        <f>IFERROR(VLOOKUP(UE$1,FactorAlfa[[Ticker]:[Weight]],2,FALSE),0%)</f>
        <v>0</v>
      </c>
      <c r="UF8" s="179">
        <f>IFERROR(VLOOKUP(UF$1,FactorAlfa[[Ticker]:[Weight]],2,FALSE),0%)</f>
        <v>0</v>
      </c>
      <c r="UG8" s="179">
        <f>IFERROR(VLOOKUP(UG$1,FactorAlfa[[Ticker]:[Weight]],2,FALSE),0%)</f>
        <v>0</v>
      </c>
      <c r="UH8" s="179">
        <f>IFERROR(VLOOKUP(UH$1,FactorAlfa[[Ticker]:[Weight]],2,FALSE),0%)</f>
        <v>0</v>
      </c>
      <c r="UI8" s="179">
        <f>IFERROR(VLOOKUP(UI$1,FactorAlfa[[Ticker]:[Weight]],2,FALSE),0%)</f>
        <v>0</v>
      </c>
      <c r="UJ8" s="179">
        <f>IFERROR(VLOOKUP(UJ$1,FactorAlfa[[Ticker]:[Weight]],2,FALSE),0%)</f>
        <v>0</v>
      </c>
      <c r="UK8" s="179">
        <f>IFERROR(VLOOKUP(UK$1,FactorAlfa[[Ticker]:[Weight]],2,FALSE),0%)</f>
        <v>0</v>
      </c>
      <c r="UL8" s="179">
        <f>IFERROR(VLOOKUP(UL$1,FactorAlfa[[Ticker]:[Weight]],2,FALSE),0%)</f>
        <v>0</v>
      </c>
      <c r="UM8" s="179">
        <f>IFERROR(VLOOKUP(UM$1,FactorAlfa[[Ticker]:[Weight]],2,FALSE),0%)</f>
        <v>0</v>
      </c>
      <c r="UN8" s="179">
        <f>IFERROR(VLOOKUP(UN$1,FactorAlfa[[Ticker]:[Weight]],2,FALSE),0%)</f>
        <v>0</v>
      </c>
      <c r="UO8" s="179">
        <f>IFERROR(VLOOKUP(UO$1,FactorAlfa[[Ticker]:[Weight]],2,FALSE),0%)</f>
        <v>0</v>
      </c>
      <c r="UP8" s="179">
        <f>IFERROR(VLOOKUP(UP$1,FactorAlfa[[Ticker]:[Weight]],2,FALSE),0%)</f>
        <v>0</v>
      </c>
      <c r="UQ8" s="179">
        <f>IFERROR(VLOOKUP(UQ$1,FactorAlfa[[Ticker]:[Weight]],2,FALSE),0%)</f>
        <v>0</v>
      </c>
      <c r="UR8" s="179">
        <f>IFERROR(VLOOKUP(UR$1,FactorAlfa[[Ticker]:[Weight]],2,FALSE),0%)</f>
        <v>0</v>
      </c>
      <c r="US8" s="179">
        <f>IFERROR(VLOOKUP(US$1,FactorAlfa[[Ticker]:[Weight]],2,FALSE),0%)</f>
        <v>0</v>
      </c>
      <c r="UT8" s="179">
        <f>IFERROR(VLOOKUP(UT$1,FactorAlfa[[Ticker]:[Weight]],2,FALSE),0%)</f>
        <v>0</v>
      </c>
      <c r="UU8" s="179">
        <f>IFERROR(VLOOKUP(UU$1,FactorAlfa[[Ticker]:[Weight]],2,FALSE),0%)</f>
        <v>0</v>
      </c>
      <c r="UV8" s="179">
        <f>IFERROR(VLOOKUP(UV$1,FactorAlfa[[Ticker]:[Weight]],2,FALSE),0%)</f>
        <v>0</v>
      </c>
      <c r="UW8" s="179">
        <f>IFERROR(VLOOKUP(UW$1,FactorAlfa[[Ticker]:[Weight]],2,FALSE),0%)</f>
        <v>0</v>
      </c>
      <c r="UX8" s="179">
        <f>IFERROR(VLOOKUP(UX$1,FactorAlfa[[Ticker]:[Weight]],2,FALSE),0%)</f>
        <v>0</v>
      </c>
      <c r="UY8" s="179">
        <f>IFERROR(VLOOKUP(UY$1,FactorAlfa[[Ticker]:[Weight]],2,FALSE),0%)</f>
        <v>0</v>
      </c>
      <c r="UZ8" s="179">
        <f>IFERROR(VLOOKUP(UZ$1,FactorAlfa[[Ticker]:[Weight]],2,FALSE),0%)</f>
        <v>0</v>
      </c>
      <c r="VA8" s="179">
        <f>IFERROR(VLOOKUP(VA$1,FactorAlfa[[Ticker]:[Weight]],2,FALSE),0%)</f>
        <v>0</v>
      </c>
      <c r="VB8" s="179">
        <f>IFERROR(VLOOKUP(VB$1,FactorAlfa[[Ticker]:[Weight]],2,FALSE),0%)</f>
        <v>0</v>
      </c>
      <c r="VC8" s="179">
        <f>IFERROR(VLOOKUP(VC$1,FactorAlfa[[Ticker]:[Weight]],2,FALSE),0%)</f>
        <v>0</v>
      </c>
      <c r="VD8" s="179">
        <f>IFERROR(VLOOKUP(VD$1,FactorAlfa[[Ticker]:[Weight]],2,FALSE),0%)</f>
        <v>0</v>
      </c>
      <c r="VE8" s="179">
        <f>IFERROR(VLOOKUP(VE$1,FactorAlfa[[Ticker]:[Weight]],2,FALSE),0%)</f>
        <v>0</v>
      </c>
      <c r="VF8" s="179">
        <f>IFERROR(VLOOKUP(VF$1,FactorAlfa[[Ticker]:[Weight]],2,FALSE),0%)</f>
        <v>0</v>
      </c>
      <c r="VG8" s="179">
        <f>IFERROR(VLOOKUP(VG$1,FactorAlfa[[Ticker]:[Weight]],2,FALSE),0%)</f>
        <v>0</v>
      </c>
      <c r="VH8" s="179">
        <f>IFERROR(VLOOKUP(VH$1,FactorAlfa[[Ticker]:[Weight]],2,FALSE),0%)</f>
        <v>0</v>
      </c>
      <c r="VI8" s="179">
        <f>IFERROR(VLOOKUP(VI$1,FactorAlfa[[Ticker]:[Weight]],2,FALSE),0%)</f>
        <v>0</v>
      </c>
      <c r="VJ8" s="179">
        <f>IFERROR(VLOOKUP(VJ$1,FactorAlfa[[Ticker]:[Weight]],2,FALSE),0%)</f>
        <v>0</v>
      </c>
      <c r="VK8" s="179">
        <f>IFERROR(VLOOKUP(VK$1,FactorAlfa[[Ticker]:[Weight]],2,FALSE),0%)</f>
        <v>0</v>
      </c>
      <c r="VL8" s="179">
        <f>IFERROR(VLOOKUP(VL$1,FactorAlfa[[Ticker]:[Weight]],2,FALSE),0%)</f>
        <v>0</v>
      </c>
      <c r="VM8" s="179">
        <f>IFERROR(VLOOKUP(VM$1,FactorAlfa[[Ticker]:[Weight]],2,FALSE),0%)</f>
        <v>0</v>
      </c>
      <c r="VN8" s="179">
        <f>IFERROR(VLOOKUP(VN$1,FactorAlfa[[Ticker]:[Weight]],2,FALSE),0%)</f>
        <v>0</v>
      </c>
      <c r="VO8" s="179">
        <f>IFERROR(VLOOKUP(VO$1,FactorAlfa[[Ticker]:[Weight]],2,FALSE),0%)</f>
        <v>0</v>
      </c>
      <c r="VP8" s="179">
        <f>IFERROR(VLOOKUP(VP$1,FactorAlfa[[Ticker]:[Weight]],2,FALSE),0%)</f>
        <v>0</v>
      </c>
      <c r="VQ8" s="179">
        <f>IFERROR(VLOOKUP(VQ$1,FactorAlfa[[Ticker]:[Weight]],2,FALSE),0%)</f>
        <v>0</v>
      </c>
      <c r="VR8" s="179">
        <f>IFERROR(VLOOKUP(VR$1,FactorAlfa[[Ticker]:[Weight]],2,FALSE),0%)</f>
        <v>0</v>
      </c>
      <c r="VS8" s="179">
        <f>IFERROR(VLOOKUP(VS$1,FactorAlfa[[Ticker]:[Weight]],2,FALSE),0%)</f>
        <v>0</v>
      </c>
      <c r="VT8" s="179">
        <f>IFERROR(VLOOKUP(VT$1,FactorAlfa[[Ticker]:[Weight]],2,FALSE),0%)</f>
        <v>0</v>
      </c>
      <c r="VU8" s="179">
        <f>IFERROR(VLOOKUP(VU$1,FactorAlfa[[Ticker]:[Weight]],2,FALSE),0%)</f>
        <v>0</v>
      </c>
      <c r="VV8" s="179">
        <f>IFERROR(VLOOKUP(VV$1,FactorAlfa[[Ticker]:[Weight]],2,FALSE),0%)</f>
        <v>0</v>
      </c>
      <c r="VW8" s="179">
        <f>IFERROR(VLOOKUP(VW$1,FactorAlfa[[Ticker]:[Weight]],2,FALSE),0%)</f>
        <v>0</v>
      </c>
      <c r="VX8" s="179">
        <f>IFERROR(VLOOKUP(VX$1,FactorAlfa[[Ticker]:[Weight]],2,FALSE),0%)</f>
        <v>0</v>
      </c>
      <c r="VY8" s="179">
        <f>IFERROR(VLOOKUP(VY$1,FactorAlfa[[Ticker]:[Weight]],2,FALSE),0%)</f>
        <v>0</v>
      </c>
      <c r="VZ8" s="179">
        <f>IFERROR(VLOOKUP(VZ$1,FactorAlfa[[Ticker]:[Weight]],2,FALSE),0%)</f>
        <v>0</v>
      </c>
      <c r="WA8" s="179">
        <f>IFERROR(VLOOKUP(WA$1,FactorAlfa[[Ticker]:[Weight]],2,FALSE),0%)</f>
        <v>0</v>
      </c>
      <c r="WB8" s="179">
        <f>IFERROR(VLOOKUP(WB$1,FactorAlfa[[Ticker]:[Weight]],2,FALSE),0%)</f>
        <v>0</v>
      </c>
      <c r="WC8" s="179">
        <f>IFERROR(VLOOKUP(WC$1,FactorAlfa[[Ticker]:[Weight]],2,FALSE),0%)</f>
        <v>0</v>
      </c>
      <c r="WD8" s="179">
        <f>IFERROR(VLOOKUP(WD$1,FactorAlfa[[Ticker]:[Weight]],2,FALSE),0%)</f>
        <v>0</v>
      </c>
      <c r="WE8" s="179">
        <f>IFERROR(VLOOKUP(WE$1,FactorAlfa[[Ticker]:[Weight]],2,FALSE),0%)</f>
        <v>0</v>
      </c>
      <c r="WF8" s="179">
        <f>IFERROR(VLOOKUP(WF$1,FactorAlfa[[Ticker]:[Weight]],2,FALSE),0%)</f>
        <v>0</v>
      </c>
      <c r="WG8" s="179">
        <f>IFERROR(VLOOKUP(WG$1,FactorAlfa[[Ticker]:[Weight]],2,FALSE),0%)</f>
        <v>0</v>
      </c>
      <c r="WH8" s="179">
        <f>IFERROR(VLOOKUP(WH$1,FactorAlfa[[Ticker]:[Weight]],2,FALSE),0%)</f>
        <v>0</v>
      </c>
      <c r="WI8" s="179">
        <f>IFERROR(VLOOKUP(WI$1,FactorAlfa[[Ticker]:[Weight]],2,FALSE),0%)</f>
        <v>0</v>
      </c>
      <c r="WJ8" s="179">
        <f>IFERROR(VLOOKUP(WJ$1,FactorAlfa[[Ticker]:[Weight]],2,FALSE),0%)</f>
        <v>0</v>
      </c>
      <c r="WK8" s="179">
        <f>IFERROR(VLOOKUP(WK$1,FactorAlfa[[Ticker]:[Weight]],2,FALSE),0%)</f>
        <v>0</v>
      </c>
      <c r="WL8" s="179">
        <f>IFERROR(VLOOKUP(WL$1,FactorAlfa[[Ticker]:[Weight]],2,FALSE),0%)</f>
        <v>0</v>
      </c>
      <c r="WM8" s="179">
        <f>IFERROR(VLOOKUP(WM$1,FactorAlfa[[Ticker]:[Weight]],2,FALSE),0%)</f>
        <v>0</v>
      </c>
      <c r="WN8" s="179">
        <f>IFERROR(VLOOKUP(WN$1,FactorAlfa[[Ticker]:[Weight]],2,FALSE),0%)</f>
        <v>0</v>
      </c>
      <c r="WO8" s="179">
        <f>IFERROR(VLOOKUP(WO$1,FactorAlfa[[Ticker]:[Weight]],2,FALSE),0%)</f>
        <v>0</v>
      </c>
      <c r="WP8" s="179">
        <f>IFERROR(VLOOKUP(WP$1,FactorAlfa[[Ticker]:[Weight]],2,FALSE),0%)</f>
        <v>0</v>
      </c>
      <c r="WQ8" s="179">
        <f>IFERROR(VLOOKUP(WQ$1,FactorAlfa[[Ticker]:[Weight]],2,FALSE),0%)</f>
        <v>0</v>
      </c>
      <c r="WR8" s="179">
        <f>IFERROR(VLOOKUP(WR$1,FactorAlfa[[Ticker]:[Weight]],2,FALSE),0%)</f>
        <v>0</v>
      </c>
      <c r="WS8" s="179">
        <f>IFERROR(VLOOKUP(WS$1,FactorAlfa[[Ticker]:[Weight]],2,FALSE),0%)</f>
        <v>0</v>
      </c>
      <c r="WT8" s="179">
        <f>IFERROR(VLOOKUP(WT$1,FactorAlfa[[Ticker]:[Weight]],2,FALSE),0%)</f>
        <v>0</v>
      </c>
      <c r="WU8" s="179">
        <f>IFERROR(VLOOKUP(WU$1,FactorAlfa[[Ticker]:[Weight]],2,FALSE),0%)</f>
        <v>0</v>
      </c>
      <c r="WV8" s="179">
        <f>IFERROR(VLOOKUP(WV$1,FactorAlfa[[Ticker]:[Weight]],2,FALSE),0%)</f>
        <v>0</v>
      </c>
      <c r="WW8" s="179">
        <f>IFERROR(VLOOKUP(WW$1,FactorAlfa[[Ticker]:[Weight]],2,FALSE),0%)</f>
        <v>0</v>
      </c>
      <c r="WX8" s="179">
        <f>IFERROR(VLOOKUP(WX$1,FactorAlfa[[Ticker]:[Weight]],2,FALSE),0%)</f>
        <v>0</v>
      </c>
      <c r="WY8" s="179">
        <f>IFERROR(VLOOKUP(WY$1,FactorAlfa[[Ticker]:[Weight]],2,FALSE),0%)</f>
        <v>0</v>
      </c>
      <c r="WZ8" s="179">
        <f>IFERROR(VLOOKUP(WZ$1,FactorAlfa[[Ticker]:[Weight]],2,FALSE),0%)</f>
        <v>0</v>
      </c>
      <c r="XA8" s="179">
        <f>IFERROR(VLOOKUP(XA$1,FactorAlfa[[Ticker]:[Weight]],2,FALSE),0%)</f>
        <v>0</v>
      </c>
      <c r="XB8" s="179">
        <f>IFERROR(VLOOKUP(XB$1,FactorAlfa[[Ticker]:[Weight]],2,FALSE),0%)</f>
        <v>0</v>
      </c>
      <c r="XC8" s="179">
        <f>IFERROR(VLOOKUP(XC$1,FactorAlfa[[Ticker]:[Weight]],2,FALSE),0%)</f>
        <v>0</v>
      </c>
      <c r="XD8" s="179">
        <f>IFERROR(VLOOKUP(XD$1,FactorAlfa[[Ticker]:[Weight]],2,FALSE),0%)</f>
        <v>0</v>
      </c>
      <c r="XE8" s="179">
        <f>IFERROR(VLOOKUP(XE$1,FactorAlfa[[Ticker]:[Weight]],2,FALSE),0%)</f>
        <v>0</v>
      </c>
      <c r="XF8" s="179">
        <f>IFERROR(VLOOKUP(XF$1,FactorAlfa[[Ticker]:[Weight]],2,FALSE),0%)</f>
        <v>0</v>
      </c>
      <c r="XG8" s="179">
        <f>IFERROR(VLOOKUP(XG$1,FactorAlfa[[Ticker]:[Weight]],2,FALSE),0%)</f>
        <v>0</v>
      </c>
      <c r="XH8" s="179">
        <f>IFERROR(VLOOKUP(XH$1,FactorAlfa[[Ticker]:[Weight]],2,FALSE),0%)</f>
        <v>0</v>
      </c>
      <c r="XI8" s="179">
        <f>IFERROR(VLOOKUP(XI$1,FactorAlfa[[Ticker]:[Weight]],2,FALSE),0%)</f>
        <v>0</v>
      </c>
      <c r="XJ8" s="179">
        <f>IFERROR(VLOOKUP(XJ$1,FactorAlfa[[Ticker]:[Weight]],2,FALSE),0%)</f>
        <v>0</v>
      </c>
      <c r="XK8" s="179">
        <f>IFERROR(VLOOKUP(XK$1,FactorAlfa[[Ticker]:[Weight]],2,FALSE),0%)</f>
        <v>0</v>
      </c>
      <c r="XL8" s="179">
        <f>IFERROR(VLOOKUP(XL$1,FactorAlfa[[Ticker]:[Weight]],2,FALSE),0%)</f>
        <v>0</v>
      </c>
      <c r="XM8" s="179">
        <f>IFERROR(VLOOKUP(XM$1,FactorAlfa[[Ticker]:[Weight]],2,FALSE),0%)</f>
        <v>0</v>
      </c>
      <c r="XN8" s="179">
        <f>IFERROR(VLOOKUP(XN$1,FactorAlfa[[Ticker]:[Weight]],2,FALSE),0%)</f>
        <v>0</v>
      </c>
      <c r="XO8" s="179">
        <f>IFERROR(VLOOKUP(XO$1,FactorAlfa[[Ticker]:[Weight]],2,FALSE),0%)</f>
        <v>0</v>
      </c>
      <c r="XP8" s="179">
        <f>IFERROR(VLOOKUP(XP$1,FactorAlfa[[Ticker]:[Weight]],2,FALSE),0%)</f>
        <v>0</v>
      </c>
      <c r="XQ8" s="179">
        <f>IFERROR(VLOOKUP(XQ$1,FactorAlfa[[Ticker]:[Weight]],2,FALSE),0%)</f>
        <v>0</v>
      </c>
      <c r="XR8" s="179">
        <f>IFERROR(VLOOKUP(XR$1,FactorAlfa[[Ticker]:[Weight]],2,FALSE),0%)</f>
        <v>0</v>
      </c>
      <c r="XS8" s="179">
        <f>IFERROR(VLOOKUP(XS$1,FactorAlfa[[Ticker]:[Weight]],2,FALSE),0%)</f>
        <v>0</v>
      </c>
      <c r="XT8" s="179">
        <f>IFERROR(VLOOKUP(XT$1,FactorAlfa[[Ticker]:[Weight]],2,FALSE),0%)</f>
        <v>0</v>
      </c>
      <c r="XU8" s="179">
        <f>IFERROR(VLOOKUP(XU$1,FactorAlfa[[Ticker]:[Weight]],2,FALSE),0%)</f>
        <v>0</v>
      </c>
      <c r="XV8" s="179">
        <f>IFERROR(VLOOKUP(XV$1,FactorAlfa[[Ticker]:[Weight]],2,FALSE),0%)</f>
        <v>0</v>
      </c>
      <c r="XW8" s="179">
        <f>IFERROR(VLOOKUP(XW$1,FactorAlfa[[Ticker]:[Weight]],2,FALSE),0%)</f>
        <v>0</v>
      </c>
      <c r="XX8" s="179">
        <f>IFERROR(VLOOKUP(XX$1,FactorAlfa[[Ticker]:[Weight]],2,FALSE),0%)</f>
        <v>0</v>
      </c>
      <c r="XY8" s="179">
        <f>IFERROR(VLOOKUP(XY$1,FactorAlfa[[Ticker]:[Weight]],2,FALSE),0%)</f>
        <v>0</v>
      </c>
      <c r="XZ8" s="179">
        <f>IFERROR(VLOOKUP(XZ$1,FactorAlfa[[Ticker]:[Weight]],2,FALSE),0%)</f>
        <v>0</v>
      </c>
      <c r="YA8" s="179">
        <f>IFERROR(VLOOKUP(YA$1,FactorAlfa[[Ticker]:[Weight]],2,FALSE),0%)</f>
        <v>0</v>
      </c>
      <c r="YB8" s="179">
        <f>IFERROR(VLOOKUP(YB$1,FactorAlfa[[Ticker]:[Weight]],2,FALSE),0%)</f>
        <v>0</v>
      </c>
      <c r="YC8" s="179">
        <f>IFERROR(VLOOKUP(YC$1,FactorAlfa[[Ticker]:[Weight]],2,FALSE),0%)</f>
        <v>0</v>
      </c>
      <c r="YD8" s="179">
        <f>IFERROR(VLOOKUP(YD$1,FactorAlfa[[Ticker]:[Weight]],2,FALSE),0%)</f>
        <v>0</v>
      </c>
      <c r="YE8" s="179">
        <f>IFERROR(VLOOKUP(YE$1,FactorAlfa[[Ticker]:[Weight]],2,FALSE),0%)</f>
        <v>0</v>
      </c>
      <c r="YF8" s="179">
        <f>IFERROR(VLOOKUP(YF$1,FactorAlfa[[Ticker]:[Weight]],2,FALSE),0%)</f>
        <v>0</v>
      </c>
      <c r="YG8" s="179">
        <f>IFERROR(VLOOKUP(YG$1,FactorAlfa[[Ticker]:[Weight]],2,FALSE),0%)</f>
        <v>0</v>
      </c>
      <c r="YH8" s="179">
        <f>IFERROR(VLOOKUP(YH$1,FactorAlfa[[Ticker]:[Weight]],2,FALSE),0%)</f>
        <v>0</v>
      </c>
      <c r="YI8" s="179">
        <f>IFERROR(VLOOKUP(YI$1,FactorAlfa[[Ticker]:[Weight]],2,FALSE),0%)</f>
        <v>0</v>
      </c>
      <c r="YJ8" s="179">
        <f>IFERROR(VLOOKUP(YJ$1,FactorAlfa[[Ticker]:[Weight]],2,FALSE),0%)</f>
        <v>0</v>
      </c>
      <c r="YK8" s="179">
        <f>IFERROR(VLOOKUP(YK$1,FactorAlfa[[Ticker]:[Weight]],2,FALSE),0%)</f>
        <v>0</v>
      </c>
      <c r="YL8" s="179">
        <f>IFERROR(VLOOKUP(YL$1,FactorAlfa[[Ticker]:[Weight]],2,FALSE),0%)</f>
        <v>0</v>
      </c>
      <c r="YM8" s="179">
        <f>IFERROR(VLOOKUP(YM$1,FactorAlfa[[Ticker]:[Weight]],2,FALSE),0%)</f>
        <v>0</v>
      </c>
      <c r="YN8" s="179">
        <f>IFERROR(VLOOKUP(YN$1,FactorAlfa[[Ticker]:[Weight]],2,FALSE),0%)</f>
        <v>0</v>
      </c>
      <c r="YO8" s="179">
        <f>IFERROR(VLOOKUP(YO$1,FactorAlfa[[Ticker]:[Weight]],2,FALSE),0%)</f>
        <v>0</v>
      </c>
      <c r="YP8" s="179">
        <f>IFERROR(VLOOKUP(YP$1,FactorAlfa[[Ticker]:[Weight]],2,FALSE),0%)</f>
        <v>0</v>
      </c>
      <c r="YQ8" s="179">
        <f>IFERROR(VLOOKUP(YQ$1,FactorAlfa[[Ticker]:[Weight]],2,FALSE),0%)</f>
        <v>0</v>
      </c>
      <c r="YR8" s="179">
        <f>IFERROR(VLOOKUP(YR$1,FactorAlfa[[Ticker]:[Weight]],2,FALSE),0%)</f>
        <v>0</v>
      </c>
      <c r="YS8" s="179">
        <f>IFERROR(VLOOKUP(YS$1,FactorAlfa[[Ticker]:[Weight]],2,FALSE),0%)</f>
        <v>0</v>
      </c>
      <c r="YT8" s="179">
        <f>IFERROR(VLOOKUP(YT$1,FactorAlfa[[Ticker]:[Weight]],2,FALSE),0%)</f>
        <v>0</v>
      </c>
      <c r="YU8" s="179">
        <f>IFERROR(VLOOKUP(YU$1,FactorAlfa[[Ticker]:[Weight]],2,FALSE),0%)</f>
        <v>0</v>
      </c>
      <c r="YV8" s="179">
        <f>IFERROR(VLOOKUP(YV$1,FactorAlfa[[Ticker]:[Weight]],2,FALSE),0%)</f>
        <v>0</v>
      </c>
      <c r="YW8" s="179">
        <f>IFERROR(VLOOKUP(YW$1,FactorAlfa[[Ticker]:[Weight]],2,FALSE),0%)</f>
        <v>0</v>
      </c>
      <c r="YX8" s="179">
        <f>IFERROR(VLOOKUP(YX$1,FactorAlfa[[Ticker]:[Weight]],2,FALSE),0%)</f>
        <v>0</v>
      </c>
      <c r="YY8" s="179">
        <f>IFERROR(VLOOKUP(YY$1,FactorAlfa[[Ticker]:[Weight]],2,FALSE),0%)</f>
        <v>0</v>
      </c>
      <c r="YZ8" s="179">
        <f>IFERROR(VLOOKUP(YZ$1,FactorAlfa[[Ticker]:[Weight]],2,FALSE),0%)</f>
        <v>0</v>
      </c>
      <c r="ZA8" s="179">
        <f>IFERROR(VLOOKUP(ZA$1,FactorAlfa[[Ticker]:[Weight]],2,FALSE),0%)</f>
        <v>0</v>
      </c>
      <c r="ZB8" s="179">
        <f>IFERROR(VLOOKUP(ZB$1,FactorAlfa[[Ticker]:[Weight]],2,FALSE),0%)</f>
        <v>0</v>
      </c>
      <c r="ZC8" s="179">
        <f>IFERROR(VLOOKUP(ZC$1,FactorAlfa[[Ticker]:[Weight]],2,FALSE),0%)</f>
        <v>0</v>
      </c>
      <c r="ZD8" s="179">
        <f>IFERROR(VLOOKUP(ZD$1,FactorAlfa[[Ticker]:[Weight]],2,FALSE),0%)</f>
        <v>0</v>
      </c>
      <c r="ZE8" s="179">
        <f>IFERROR(VLOOKUP(ZE$1,FactorAlfa[[Ticker]:[Weight]],2,FALSE),0%)</f>
        <v>0</v>
      </c>
      <c r="ZF8" s="179">
        <f>IFERROR(VLOOKUP(ZF$1,FactorAlfa[[Ticker]:[Weight]],2,FALSE),0%)</f>
        <v>0</v>
      </c>
      <c r="ZG8" s="179">
        <f>IFERROR(VLOOKUP(ZG$1,FactorAlfa[[Ticker]:[Weight]],2,FALSE),0%)</f>
        <v>0</v>
      </c>
      <c r="ZH8" s="179">
        <f>IFERROR(VLOOKUP(ZH$1,FactorAlfa[[Ticker]:[Weight]],2,FALSE),0%)</f>
        <v>0</v>
      </c>
      <c r="ZI8" s="179">
        <f>IFERROR(VLOOKUP(ZI$1,FactorAlfa[[Ticker]:[Weight]],2,FALSE),0%)</f>
        <v>0</v>
      </c>
      <c r="ZJ8" s="179">
        <f>IFERROR(VLOOKUP(ZJ$1,FactorAlfa[[Ticker]:[Weight]],2,FALSE),0%)</f>
        <v>0</v>
      </c>
      <c r="ZK8" s="179">
        <f>IFERROR(VLOOKUP(ZK$1,FactorAlfa[[Ticker]:[Weight]],2,FALSE),0%)</f>
        <v>0</v>
      </c>
      <c r="ZL8" s="179">
        <f>IFERROR(VLOOKUP(ZL$1,FactorAlfa[[Ticker]:[Weight]],2,FALSE),0%)</f>
        <v>0</v>
      </c>
      <c r="ZM8" s="179">
        <f>IFERROR(VLOOKUP(ZM$1,FactorAlfa[[Ticker]:[Weight]],2,FALSE),0%)</f>
        <v>0</v>
      </c>
      <c r="ZN8" s="179">
        <f>IFERROR(VLOOKUP(ZN$1,FactorAlfa[[Ticker]:[Weight]],2,FALSE),0%)</f>
        <v>0</v>
      </c>
      <c r="ZO8" s="179">
        <f>IFERROR(VLOOKUP(ZO$1,FactorAlfa[[Ticker]:[Weight]],2,FALSE),0%)</f>
        <v>0.04166</v>
      </c>
      <c r="ZP8" s="179">
        <f>IFERROR(VLOOKUP(ZP$1,FactorAlfa[[Ticker]:[Weight]],2,FALSE),0%)</f>
        <v>0</v>
      </c>
      <c r="ZQ8" s="179">
        <f>IFERROR(VLOOKUP(ZQ$1,FactorAlfa[[Ticker]:[Weight]],2,FALSE),0%)</f>
        <v>0</v>
      </c>
      <c r="ZR8" s="179">
        <f>IFERROR(VLOOKUP(ZR$1,FactorAlfa[[Ticker]:[Weight]],2,FALSE),0%)</f>
        <v>0</v>
      </c>
      <c r="ZS8" s="179">
        <f>IFERROR(VLOOKUP(ZS$1,FactorAlfa[[Ticker]:[Weight]],2,FALSE),0%)</f>
        <v>0</v>
      </c>
      <c r="ZT8" s="179">
        <f>IFERROR(VLOOKUP(ZT$1,FactorAlfa[[Ticker]:[Weight]],2,FALSE),0%)</f>
        <v>0</v>
      </c>
      <c r="ZU8" s="179">
        <f>IFERROR(VLOOKUP(ZU$1,FactorAlfa[[Ticker]:[Weight]],2,FALSE),0%)</f>
        <v>0</v>
      </c>
      <c r="ZV8" s="179">
        <f>IFERROR(VLOOKUP(ZV$1,FactorAlfa[[Ticker]:[Weight]],2,FALSE),0%)</f>
        <v>0</v>
      </c>
      <c r="ZW8" s="179">
        <f>IFERROR(VLOOKUP(ZW$1,FactorAlfa[[Ticker]:[Weight]],2,FALSE),0%)</f>
        <v>0</v>
      </c>
      <c r="ZX8" s="179">
        <f>IFERROR(VLOOKUP(ZX$1,FactorAlfa[[Ticker]:[Weight]],2,FALSE),0%)</f>
        <v>0</v>
      </c>
      <c r="ZY8" s="179">
        <f>IFERROR(VLOOKUP(ZY$1,FactorAlfa[[Ticker]:[Weight]],2,FALSE),0%)</f>
        <v>0</v>
      </c>
      <c r="ZZ8" s="179">
        <f>IFERROR(VLOOKUP(ZZ$1,FactorAlfa[[Ticker]:[Weight]],2,FALSE),0%)</f>
        <v>0</v>
      </c>
      <c r="AAA8" s="179">
        <f>IFERROR(VLOOKUP(AAA$1,FactorAlfa[[Ticker]:[Weight]],2,FALSE),0%)</f>
        <v>0</v>
      </c>
      <c r="AAB8" s="179">
        <f>IFERROR(VLOOKUP(AAB$1,FactorAlfa[[Ticker]:[Weight]],2,FALSE),0%)</f>
        <v>0</v>
      </c>
      <c r="AAC8" s="179">
        <f>IFERROR(VLOOKUP(AAC$1,FactorAlfa[[Ticker]:[Weight]],2,FALSE),0%)</f>
        <v>0</v>
      </c>
      <c r="AAD8" s="179">
        <f>IFERROR(VLOOKUP(AAD$1,FactorAlfa[[Ticker]:[Weight]],2,FALSE),0%)</f>
        <v>0</v>
      </c>
      <c r="AAE8" s="179">
        <f>IFERROR(VLOOKUP(AAE$1,FactorAlfa[[Ticker]:[Weight]],2,FALSE),0%)</f>
        <v>0</v>
      </c>
      <c r="AAF8" s="179">
        <f>IFERROR(VLOOKUP(AAF$1,FactorAlfa[[Ticker]:[Weight]],2,FALSE),0%)</f>
        <v>0</v>
      </c>
      <c r="AAG8" s="179">
        <f>IFERROR(VLOOKUP(AAG$1,FactorAlfa[[Ticker]:[Weight]],2,FALSE),0%)</f>
        <v>0</v>
      </c>
      <c r="AAH8" s="179">
        <f>IFERROR(VLOOKUP(AAH$1,FactorAlfa[[Ticker]:[Weight]],2,FALSE),0%)</f>
        <v>0</v>
      </c>
      <c r="AAI8" s="179">
        <f>IFERROR(VLOOKUP(AAI$1,FactorAlfa[[Ticker]:[Weight]],2,FALSE),0%)</f>
        <v>0</v>
      </c>
      <c r="AAJ8" s="179">
        <f>IFERROR(VLOOKUP(AAJ$1,FactorAlfa[[Ticker]:[Weight]],2,FALSE),0%)</f>
        <v>0</v>
      </c>
      <c r="AAK8" s="179">
        <f>IFERROR(VLOOKUP(AAK$1,FactorAlfa[[Ticker]:[Weight]],2,FALSE),0%)</f>
        <v>0</v>
      </c>
      <c r="AAL8" s="179">
        <f>IFERROR(VLOOKUP(AAL$1,FactorAlfa[[Ticker]:[Weight]],2,FALSE),0%)</f>
        <v>0</v>
      </c>
      <c r="AAM8" s="179">
        <f>IFERROR(VLOOKUP(AAM$1,FactorAlfa[[Ticker]:[Weight]],2,FALSE),0%)</f>
        <v>0</v>
      </c>
      <c r="AAN8" s="179">
        <f>IFERROR(VLOOKUP(AAN$1,FactorAlfa[[Ticker]:[Weight]],2,FALSE),0%)</f>
        <v>0</v>
      </c>
      <c r="AAO8" s="179">
        <f>IFERROR(VLOOKUP(AAO$1,FactorAlfa[[Ticker]:[Weight]],2,FALSE),0%)</f>
        <v>0</v>
      </c>
      <c r="AAP8" s="179">
        <f>IFERROR(VLOOKUP(AAP$1,FactorAlfa[[Ticker]:[Weight]],2,FALSE),0%)</f>
        <v>0</v>
      </c>
      <c r="AAQ8" s="179">
        <f>IFERROR(VLOOKUP(AAQ$1,FactorAlfa[[Ticker]:[Weight]],2,FALSE),0%)</f>
        <v>0</v>
      </c>
      <c r="AAR8" s="179">
        <f>IFERROR(VLOOKUP(AAR$1,FactorAlfa[[Ticker]:[Weight]],2,FALSE),0%)</f>
        <v>0</v>
      </c>
      <c r="AAS8" s="179">
        <f>IFERROR(VLOOKUP(AAS$1,FactorAlfa[[Ticker]:[Weight]],2,FALSE),0%)</f>
        <v>0</v>
      </c>
      <c r="AAT8" s="179">
        <f>IFERROR(VLOOKUP(AAT$1,FactorAlfa[[Ticker]:[Weight]],2,FALSE),0%)</f>
        <v>0</v>
      </c>
      <c r="AAU8" s="179">
        <f>IFERROR(VLOOKUP(AAU$1,FactorAlfa[[Ticker]:[Weight]],2,FALSE),0%)</f>
        <v>0</v>
      </c>
      <c r="AAV8" s="179">
        <f>IFERROR(VLOOKUP(AAV$1,FactorAlfa[[Ticker]:[Weight]],2,FALSE),0%)</f>
        <v>0</v>
      </c>
      <c r="AAW8" s="179">
        <f>IFERROR(VLOOKUP(AAW$1,FactorAlfa[[Ticker]:[Weight]],2,FALSE),0%)</f>
        <v>0</v>
      </c>
      <c r="AAX8" s="179">
        <f>IFERROR(VLOOKUP(AAX$1,FactorAlfa[[Ticker]:[Weight]],2,FALSE),0%)</f>
        <v>0</v>
      </c>
      <c r="AAY8" s="179">
        <f>IFERROR(VLOOKUP(AAY$1,FactorAlfa[[Ticker]:[Weight]],2,FALSE),0%)</f>
        <v>0</v>
      </c>
      <c r="AAZ8" s="179">
        <f>IFERROR(VLOOKUP(AAZ$1,FactorAlfa[[Ticker]:[Weight]],2,FALSE),0%)</f>
        <v>0</v>
      </c>
      <c r="ABA8" s="179">
        <f>IFERROR(VLOOKUP(ABA$1,FactorAlfa[[Ticker]:[Weight]],2,FALSE),0%)</f>
        <v>0</v>
      </c>
      <c r="ABB8" s="179">
        <f>IFERROR(VLOOKUP(ABB$1,FactorAlfa[[Ticker]:[Weight]],2,FALSE),0%)</f>
        <v>0</v>
      </c>
      <c r="ABC8" s="179">
        <f>IFERROR(VLOOKUP(ABC$1,FactorAlfa[[Ticker]:[Weight]],2,FALSE),0%)</f>
        <v>0</v>
      </c>
      <c r="ABD8" s="179">
        <f>IFERROR(VLOOKUP(ABD$1,FactorAlfa[[Ticker]:[Weight]],2,FALSE),0%)</f>
        <v>0</v>
      </c>
      <c r="ABE8" s="179">
        <f>IFERROR(VLOOKUP(ABE$1,FactorAlfa[[Ticker]:[Weight]],2,FALSE),0%)</f>
        <v>0</v>
      </c>
      <c r="ABF8" s="179">
        <f>IFERROR(VLOOKUP(ABF$1,FactorAlfa[[Ticker]:[Weight]],2,FALSE),0%)</f>
        <v>0</v>
      </c>
      <c r="ABG8" s="179">
        <f>IFERROR(VLOOKUP(ABG$1,FactorAlfa[[Ticker]:[Weight]],2,FALSE),0%)</f>
        <v>0</v>
      </c>
      <c r="ABH8" s="179">
        <f>IFERROR(VLOOKUP(ABH$1,FactorAlfa[[Ticker]:[Weight]],2,FALSE),0%)</f>
        <v>0</v>
      </c>
      <c r="ABI8" s="179">
        <f>IFERROR(VLOOKUP(ABI$1,FactorAlfa[[Ticker]:[Weight]],2,FALSE),0%)</f>
        <v>0</v>
      </c>
      <c r="ABJ8" s="179">
        <f>IFERROR(VLOOKUP(ABJ$1,FactorAlfa[[Ticker]:[Weight]],2,FALSE),0%)</f>
        <v>0</v>
      </c>
      <c r="ABK8" s="179">
        <f>IFERROR(VLOOKUP(ABK$1,FactorAlfa[[Ticker]:[Weight]],2,FALSE),0%)</f>
        <v>0</v>
      </c>
      <c r="ABL8" s="179">
        <f>IFERROR(VLOOKUP(ABL$1,FactorAlfa[[Ticker]:[Weight]],2,FALSE),0%)</f>
        <v>0</v>
      </c>
      <c r="ABM8" s="179">
        <f>IFERROR(VLOOKUP(ABM$1,FactorAlfa[[Ticker]:[Weight]],2,FALSE),0%)</f>
        <v>0</v>
      </c>
      <c r="ABN8" s="179">
        <f>IFERROR(VLOOKUP(ABN$1,FactorAlfa[[Ticker]:[Weight]],2,FALSE),0%)</f>
        <v>0</v>
      </c>
      <c r="ABO8" s="179">
        <f>IFERROR(VLOOKUP(ABO$1,FactorAlfa[[Ticker]:[Weight]],2,FALSE),0%)</f>
        <v>0</v>
      </c>
      <c r="ABP8" s="179">
        <f>IFERROR(VLOOKUP(ABP$1,FactorAlfa[[Ticker]:[Weight]],2,FALSE),0%)</f>
        <v>0</v>
      </c>
      <c r="ABQ8" s="179">
        <f>IFERROR(VLOOKUP(ABQ$1,FactorAlfa[[Ticker]:[Weight]],2,FALSE),0%)</f>
        <v>0</v>
      </c>
      <c r="ABR8" s="179">
        <f>IFERROR(VLOOKUP(ABR$1,FactorAlfa[[Ticker]:[Weight]],2,FALSE),0%)</f>
        <v>0</v>
      </c>
      <c r="ABS8" s="179">
        <f>IFERROR(VLOOKUP(ABS$1,FactorAlfa[[Ticker]:[Weight]],2,FALSE),0%)</f>
        <v>0</v>
      </c>
      <c r="ABT8" s="179">
        <f>IFERROR(VLOOKUP(ABT$1,FactorAlfa[[Ticker]:[Weight]],2,FALSE),0%)</f>
        <v>0</v>
      </c>
      <c r="ABU8" s="179">
        <f>IFERROR(VLOOKUP(ABU$1,FactorAlfa[[Ticker]:[Weight]],2,FALSE),0%)</f>
        <v>0</v>
      </c>
      <c r="ABV8" s="179">
        <f>IFERROR(VLOOKUP(ABV$1,FactorAlfa[[Ticker]:[Weight]],2,FALSE),0%)</f>
        <v>0</v>
      </c>
      <c r="ABW8" s="179">
        <f>IFERROR(VLOOKUP(ABW$1,FactorAlfa[[Ticker]:[Weight]],2,FALSE),0%)</f>
        <v>0</v>
      </c>
      <c r="ABX8" s="179">
        <f>IFERROR(VLOOKUP(ABX$1,FactorAlfa[[Ticker]:[Weight]],2,FALSE),0%)</f>
        <v>0</v>
      </c>
      <c r="ABY8" s="179">
        <f>IFERROR(VLOOKUP(ABY$1,FactorAlfa[[Ticker]:[Weight]],2,FALSE),0%)</f>
        <v>0</v>
      </c>
      <c r="ABZ8" s="179">
        <f>IFERROR(VLOOKUP(ABZ$1,FactorAlfa[[Ticker]:[Weight]],2,FALSE),0%)</f>
        <v>0</v>
      </c>
      <c r="ACA8" s="179">
        <f>IFERROR(VLOOKUP(ACA$1,FactorAlfa[[Ticker]:[Weight]],2,FALSE),0%)</f>
        <v>0</v>
      </c>
      <c r="ACB8" s="179">
        <f>IFERROR(VLOOKUP(ACB$1,FactorAlfa[[Ticker]:[Weight]],2,FALSE),0%)</f>
        <v>0</v>
      </c>
      <c r="ACC8" s="179">
        <f>IFERROR(VLOOKUP(ACC$1,FactorAlfa[[Ticker]:[Weight]],2,FALSE),0%)</f>
        <v>0</v>
      </c>
      <c r="ACD8" s="179">
        <f>IFERROR(VLOOKUP(ACD$1,FactorAlfa[[Ticker]:[Weight]],2,FALSE),0%)</f>
        <v>0</v>
      </c>
      <c r="ACE8" s="179">
        <f>IFERROR(VLOOKUP(ACE$1,FactorAlfa[[Ticker]:[Weight]],2,FALSE),0%)</f>
        <v>0</v>
      </c>
      <c r="ACF8" s="179">
        <f>IFERROR(VLOOKUP(ACF$1,FactorAlfa[[Ticker]:[Weight]],2,FALSE),0%)</f>
        <v>0</v>
      </c>
      <c r="ACG8" s="179">
        <f>IFERROR(VLOOKUP(ACG$1,FactorAlfa[[Ticker]:[Weight]],2,FALSE),0%)</f>
        <v>0</v>
      </c>
      <c r="ACH8" s="179">
        <f>IFERROR(VLOOKUP(ACH$1,FactorAlfa[[Ticker]:[Weight]],2,FALSE),0%)</f>
        <v>0</v>
      </c>
      <c r="ACI8" s="179">
        <f>IFERROR(VLOOKUP(ACI$1,FactorAlfa[[Ticker]:[Weight]],2,FALSE),0%)</f>
        <v>0</v>
      </c>
      <c r="ACJ8" s="179">
        <f>IFERROR(VLOOKUP(ACJ$1,FactorAlfa[[Ticker]:[Weight]],2,FALSE),0%)</f>
        <v>0</v>
      </c>
      <c r="ACK8" s="179">
        <f>IFERROR(VLOOKUP(ACK$1,FactorAlfa[[Ticker]:[Weight]],2,FALSE),0%)</f>
        <v>0</v>
      </c>
      <c r="ACL8" s="179">
        <f>IFERROR(VLOOKUP(ACL$1,FactorAlfa[[Ticker]:[Weight]],2,FALSE),0%)</f>
        <v>0</v>
      </c>
      <c r="ACM8" s="179">
        <f>IFERROR(VLOOKUP(ACM$1,FactorAlfa[[Ticker]:[Weight]],2,FALSE),0%)</f>
        <v>0</v>
      </c>
      <c r="ACN8" s="179">
        <f>IFERROR(VLOOKUP(ACN$1,FactorAlfa[[Ticker]:[Weight]],2,FALSE),0%)</f>
        <v>0</v>
      </c>
      <c r="ACO8" s="179">
        <f>IFERROR(VLOOKUP(ACO$1,FactorAlfa[[Ticker]:[Weight]],2,FALSE),0%)</f>
        <v>0</v>
      </c>
      <c r="ACP8" s="179">
        <f>IFERROR(VLOOKUP(ACP$1,FactorAlfa[[Ticker]:[Weight]],2,FALSE),0%)</f>
        <v>0</v>
      </c>
      <c r="ACQ8" s="179">
        <f>IFERROR(VLOOKUP(ACQ$1,FactorAlfa[[Ticker]:[Weight]],2,FALSE),0%)</f>
        <v>0</v>
      </c>
      <c r="ACR8" s="179">
        <f>IFERROR(VLOOKUP(ACR$1,FactorAlfa[[Ticker]:[Weight]],2,FALSE),0%)</f>
        <v>0</v>
      </c>
      <c r="ACS8" s="179">
        <f>IFERROR(VLOOKUP(ACS$1,FactorAlfa[[Ticker]:[Weight]],2,FALSE),0%)</f>
        <v>0</v>
      </c>
      <c r="ACT8" s="179">
        <f>IFERROR(VLOOKUP(ACT$1,FactorAlfa[[Ticker]:[Weight]],2,FALSE),0%)</f>
        <v>0</v>
      </c>
      <c r="ACU8" s="179">
        <f>IFERROR(VLOOKUP(ACU$1,FactorAlfa[[Ticker]:[Weight]],2,FALSE),0%)</f>
        <v>0</v>
      </c>
      <c r="ACV8" s="179">
        <f>IFERROR(VLOOKUP(ACV$1,FactorAlfa[[Ticker]:[Weight]],2,FALSE),0%)</f>
        <v>0</v>
      </c>
      <c r="ACW8" s="179">
        <f>IFERROR(VLOOKUP(ACW$1,FactorAlfa[[Ticker]:[Weight]],2,FALSE),0%)</f>
        <v>0</v>
      </c>
      <c r="ACX8" s="179">
        <f>IFERROR(VLOOKUP(ACX$1,FactorAlfa[[Ticker]:[Weight]],2,FALSE),0%)</f>
        <v>0</v>
      </c>
      <c r="ACY8" s="179">
        <f>IFERROR(VLOOKUP(ACY$1,FactorAlfa[[Ticker]:[Weight]],2,FALSE),0%)</f>
        <v>0</v>
      </c>
      <c r="ACZ8" s="179">
        <f>IFERROR(VLOOKUP(ACZ$1,FactorAlfa[[Ticker]:[Weight]],2,FALSE),0%)</f>
        <v>0</v>
      </c>
      <c r="ADA8" s="179">
        <f>IFERROR(VLOOKUP(ADA$1,FactorAlfa[[Ticker]:[Weight]],2,FALSE),0%)</f>
        <v>0</v>
      </c>
      <c r="ADB8" s="179">
        <f>IFERROR(VLOOKUP(ADB$1,FactorAlfa[[Ticker]:[Weight]],2,FALSE),0%)</f>
        <v>0</v>
      </c>
      <c r="ADC8" s="179">
        <f>IFERROR(VLOOKUP(ADC$1,FactorAlfa[[Ticker]:[Weight]],2,FALSE),0%)</f>
        <v>0</v>
      </c>
      <c r="ADD8" s="179">
        <f>IFERROR(VLOOKUP(ADD$1,FactorAlfa[[Ticker]:[Weight]],2,FALSE),0%)</f>
        <v>0</v>
      </c>
      <c r="ADE8" s="179">
        <f>IFERROR(VLOOKUP(ADE$1,FactorAlfa[[Ticker]:[Weight]],2,FALSE),0%)</f>
        <v>0</v>
      </c>
      <c r="ADF8" s="179">
        <f>IFERROR(VLOOKUP(ADF$1,FactorAlfa[[Ticker]:[Weight]],2,FALSE),0%)</f>
        <v>0</v>
      </c>
      <c r="ADG8" s="179">
        <f>IFERROR(VLOOKUP(ADG$1,FactorAlfa[[Ticker]:[Weight]],2,FALSE),0%)</f>
        <v>0</v>
      </c>
      <c r="ADH8" s="179">
        <f>IFERROR(VLOOKUP(ADH$1,FactorAlfa[[Ticker]:[Weight]],2,FALSE),0%)</f>
        <v>0</v>
      </c>
      <c r="ADI8" s="179">
        <f>IFERROR(VLOOKUP(ADI$1,FactorAlfa[[Ticker]:[Weight]],2,FALSE),0%)</f>
        <v>0</v>
      </c>
      <c r="ADJ8" s="179">
        <f>IFERROR(VLOOKUP(ADJ$1,FactorAlfa[[Ticker]:[Weight]],2,FALSE),0%)</f>
        <v>0</v>
      </c>
      <c r="ADK8" s="179">
        <f>IFERROR(VLOOKUP(ADK$1,FactorAlfa[[Ticker]:[Weight]],2,FALSE),0%)</f>
        <v>0</v>
      </c>
      <c r="ADL8" s="179">
        <f>IFERROR(VLOOKUP(ADL$1,FactorAlfa[[Ticker]:[Weight]],2,FALSE),0%)</f>
        <v>0</v>
      </c>
      <c r="ADM8" s="179">
        <f>IFERROR(VLOOKUP(ADM$1,FactorAlfa[[Ticker]:[Weight]],2,FALSE),0%)</f>
        <v>0</v>
      </c>
      <c r="ADN8" s="179">
        <f>IFERROR(VLOOKUP(ADN$1,FactorAlfa[[Ticker]:[Weight]],2,FALSE),0%)</f>
        <v>0</v>
      </c>
      <c r="ADO8" s="179">
        <f>IFERROR(VLOOKUP(ADO$1,FactorAlfa[[Ticker]:[Weight]],2,FALSE),0%)</f>
        <v>0</v>
      </c>
      <c r="ADP8" s="179">
        <f>IFERROR(VLOOKUP(ADP$1,FactorAlfa[[Ticker]:[Weight]],2,FALSE),0%)</f>
        <v>0</v>
      </c>
      <c r="ADQ8" s="179">
        <f>IFERROR(VLOOKUP(ADQ$1,FactorAlfa[[Ticker]:[Weight]],2,FALSE),0%)</f>
        <v>0</v>
      </c>
      <c r="ADR8" s="179">
        <f>IFERROR(VLOOKUP(ADR$1,FactorAlfa[[Ticker]:[Weight]],2,FALSE),0%)</f>
        <v>0</v>
      </c>
      <c r="ADS8" s="179">
        <f>IFERROR(VLOOKUP(ADS$1,FactorAlfa[[Ticker]:[Weight]],2,FALSE),0%)</f>
        <v>0</v>
      </c>
      <c r="ADT8" s="179">
        <f>IFERROR(VLOOKUP(ADT$1,FactorAlfa[[Ticker]:[Weight]],2,FALSE),0%)</f>
        <v>0</v>
      </c>
      <c r="ADU8" s="179">
        <f>IFERROR(VLOOKUP(ADU$1,FactorAlfa[[Ticker]:[Weight]],2,FALSE),0%)</f>
        <v>0</v>
      </c>
      <c r="ADV8" s="179">
        <f>IFERROR(VLOOKUP(ADV$1,FactorAlfa[[Ticker]:[Weight]],2,FALSE),0%)</f>
        <v>0</v>
      </c>
      <c r="ADW8" s="179">
        <f>IFERROR(VLOOKUP(ADW$1,FactorAlfa[[Ticker]:[Weight]],2,FALSE),0%)</f>
        <v>0</v>
      </c>
      <c r="ADX8" s="179">
        <f>IFERROR(VLOOKUP(ADX$1,FactorAlfa[[Ticker]:[Weight]],2,FALSE),0%)</f>
        <v>0</v>
      </c>
      <c r="ADY8" s="179">
        <f>IFERROR(VLOOKUP(ADY$1,FactorAlfa[[Ticker]:[Weight]],2,FALSE),0%)</f>
        <v>0</v>
      </c>
      <c r="ADZ8" s="179">
        <f>IFERROR(VLOOKUP(ADZ$1,FactorAlfa[[Ticker]:[Weight]],2,FALSE),0%)</f>
        <v>0</v>
      </c>
      <c r="AEA8" s="179">
        <f>IFERROR(VLOOKUP(AEA$1,FactorAlfa[[Ticker]:[Weight]],2,FALSE),0%)</f>
        <v>0</v>
      </c>
      <c r="AEB8" s="179">
        <f>IFERROR(VLOOKUP(AEB$1,FactorAlfa[[Ticker]:[Weight]],2,FALSE),0%)</f>
        <v>0</v>
      </c>
      <c r="AEC8" s="179">
        <f>IFERROR(VLOOKUP(AEC$1,FactorAlfa[[Ticker]:[Weight]],2,FALSE),0%)</f>
        <v>0</v>
      </c>
      <c r="AED8" s="179">
        <f>IFERROR(VLOOKUP(AED$1,FactorAlfa[[Ticker]:[Weight]],2,FALSE),0%)</f>
        <v>0</v>
      </c>
      <c r="AEE8" s="179">
        <f>IFERROR(VLOOKUP(AEE$1,FactorAlfa[[Ticker]:[Weight]],2,FALSE),0%)</f>
        <v>0</v>
      </c>
      <c r="AEF8" s="179">
        <f>IFERROR(VLOOKUP(AEF$1,FactorAlfa[[Ticker]:[Weight]],2,FALSE),0%)</f>
        <v>0</v>
      </c>
      <c r="AEG8" s="179">
        <f>IFERROR(VLOOKUP(AEG$1,FactorAlfa[[Ticker]:[Weight]],2,FALSE),0%)</f>
        <v>0</v>
      </c>
      <c r="AEH8" s="179">
        <f>IFERROR(VLOOKUP(AEH$1,FactorAlfa[[Ticker]:[Weight]],2,FALSE),0%)</f>
        <v>0</v>
      </c>
      <c r="AEI8" s="179">
        <f>IFERROR(VLOOKUP(AEI$1,FactorAlfa[[Ticker]:[Weight]],2,FALSE),0%)</f>
        <v>0</v>
      </c>
      <c r="AEJ8" s="179">
        <f>IFERROR(VLOOKUP(AEJ$1,FactorAlfa[[Ticker]:[Weight]],2,FALSE),0%)</f>
        <v>0</v>
      </c>
      <c r="AEK8" s="179">
        <f>IFERROR(VLOOKUP(AEK$1,FactorAlfa[[Ticker]:[Weight]],2,FALSE),0%)</f>
        <v>0</v>
      </c>
      <c r="AEL8" s="179">
        <f>IFERROR(VLOOKUP(AEL$1,FactorAlfa[[Ticker]:[Weight]],2,FALSE),0%)</f>
        <v>0</v>
      </c>
      <c r="AEM8" s="179">
        <f>IFERROR(VLOOKUP(AEM$1,FactorAlfa[[Ticker]:[Weight]],2,FALSE),0%)</f>
        <v>0</v>
      </c>
      <c r="AEN8" s="179">
        <f>IFERROR(VLOOKUP(AEN$1,FactorAlfa[[Ticker]:[Weight]],2,FALSE),0%)</f>
        <v>0</v>
      </c>
      <c r="AEO8" s="179">
        <f>IFERROR(VLOOKUP(AEO$1,FactorAlfa[[Ticker]:[Weight]],2,FALSE),0%)</f>
        <v>0</v>
      </c>
      <c r="AEP8" s="179">
        <f>IFERROR(VLOOKUP(AEP$1,FactorAlfa[[Ticker]:[Weight]],2,FALSE),0%)</f>
        <v>0</v>
      </c>
      <c r="AEQ8" s="179">
        <f>IFERROR(VLOOKUP(AEQ$1,FactorAlfa[[Ticker]:[Weight]],2,FALSE),0%)</f>
        <v>0</v>
      </c>
      <c r="AER8" s="179">
        <f>IFERROR(VLOOKUP(AER$1,FactorAlfa[[Ticker]:[Weight]],2,FALSE),0%)</f>
        <v>0</v>
      </c>
      <c r="AES8" s="179">
        <f>IFERROR(VLOOKUP(AES$1,FactorAlfa[[Ticker]:[Weight]],2,FALSE),0%)</f>
        <v>0</v>
      </c>
      <c r="AET8" s="179">
        <f>IFERROR(VLOOKUP(AET$1,FactorAlfa[[Ticker]:[Weight]],2,FALSE),0%)</f>
        <v>0</v>
      </c>
      <c r="AEU8" s="179">
        <f>IFERROR(VLOOKUP(AEU$1,FactorAlfa[[Ticker]:[Weight]],2,FALSE),0%)</f>
        <v>0</v>
      </c>
      <c r="AEV8" s="179">
        <f>IFERROR(VLOOKUP(AEV$1,FactorAlfa[[Ticker]:[Weight]],2,FALSE),0%)</f>
        <v>0</v>
      </c>
      <c r="AEW8" s="179">
        <f>IFERROR(VLOOKUP(AEW$1,FactorAlfa[[Ticker]:[Weight]],2,FALSE),0%)</f>
        <v>0</v>
      </c>
      <c r="AEX8" s="179">
        <f>IFERROR(VLOOKUP(AEX$1,FactorAlfa[[Ticker]:[Weight]],2,FALSE),0%)</f>
        <v>0</v>
      </c>
      <c r="AEY8" s="179">
        <f>IFERROR(VLOOKUP(AEY$1,FactorAlfa[[Ticker]:[Weight]],2,FALSE),0%)</f>
        <v>0</v>
      </c>
      <c r="AEZ8" s="179">
        <f>IFERROR(VLOOKUP(AEZ$1,FactorAlfa[[Ticker]:[Weight]],2,FALSE),0%)</f>
        <v>0</v>
      </c>
      <c r="AFA8" s="179">
        <f>IFERROR(VLOOKUP(AFA$1,FactorAlfa[[Ticker]:[Weight]],2,FALSE),0%)</f>
        <v>0</v>
      </c>
      <c r="AFB8" s="179">
        <f>IFERROR(VLOOKUP(AFB$1,FactorAlfa[[Ticker]:[Weight]],2,FALSE),0%)</f>
        <v>0</v>
      </c>
      <c r="AFC8" s="179">
        <f>IFERROR(VLOOKUP(AFC$1,FactorAlfa[[Ticker]:[Weight]],2,FALSE),0%)</f>
        <v>0</v>
      </c>
      <c r="AFD8" s="179">
        <f>IFERROR(VLOOKUP(AFD$1,FactorAlfa[[Ticker]:[Weight]],2,FALSE),0%)</f>
        <v>0</v>
      </c>
      <c r="AFE8" s="179">
        <f>IFERROR(VLOOKUP(AFE$1,FactorAlfa[[Ticker]:[Weight]],2,FALSE),0%)</f>
        <v>0</v>
      </c>
      <c r="AFF8" s="179">
        <f>IFERROR(VLOOKUP(AFF$1,FactorAlfa[[Ticker]:[Weight]],2,FALSE),0%)</f>
        <v>0</v>
      </c>
      <c r="AFG8" s="179">
        <f>IFERROR(VLOOKUP(AFG$1,FactorAlfa[[Ticker]:[Weight]],2,FALSE),0%)</f>
        <v>0</v>
      </c>
      <c r="AFH8" s="179">
        <f>IFERROR(VLOOKUP(AFH$1,FactorAlfa[[Ticker]:[Weight]],2,FALSE),0%)</f>
        <v>0</v>
      </c>
      <c r="AFI8" s="179">
        <f>IFERROR(VLOOKUP(AFI$1,FactorAlfa[[Ticker]:[Weight]],2,FALSE),0%)</f>
        <v>0</v>
      </c>
      <c r="AFJ8" s="179">
        <f>IFERROR(VLOOKUP(AFJ$1,FactorAlfa[[Ticker]:[Weight]],2,FALSE),0%)</f>
        <v>0</v>
      </c>
      <c r="AFK8" s="179">
        <f>IFERROR(VLOOKUP(AFK$1,FactorAlfa[[Ticker]:[Weight]],2,FALSE),0%)</f>
        <v>0</v>
      </c>
      <c r="AFL8" s="179">
        <f>IFERROR(VLOOKUP(AFL$1,FactorAlfa[[Ticker]:[Weight]],2,FALSE),0%)</f>
        <v>0</v>
      </c>
      <c r="AFM8" s="179">
        <f>IFERROR(VLOOKUP(AFM$1,FactorAlfa[[Ticker]:[Weight]],2,FALSE),0%)</f>
        <v>0</v>
      </c>
      <c r="AFN8" s="179">
        <f>IFERROR(VLOOKUP(AFN$1,FactorAlfa[[Ticker]:[Weight]],2,FALSE),0%)</f>
        <v>0</v>
      </c>
      <c r="AFO8" s="179">
        <f>IFERROR(VLOOKUP(AFO$1,FactorAlfa[[Ticker]:[Weight]],2,FALSE),0%)</f>
        <v>0</v>
      </c>
      <c r="AFP8" s="179">
        <f>IFERROR(VLOOKUP(AFP$1,FactorAlfa[[Ticker]:[Weight]],2,FALSE),0%)</f>
        <v>0</v>
      </c>
      <c r="AFQ8" s="179">
        <f>IFERROR(VLOOKUP(AFQ$1,FactorAlfa[[Ticker]:[Weight]],2,FALSE),0%)</f>
        <v>0</v>
      </c>
      <c r="AFR8" s="179">
        <f>IFERROR(VLOOKUP(AFR$1,FactorAlfa[[Ticker]:[Weight]],2,FALSE),0%)</f>
        <v>0</v>
      </c>
      <c r="AFS8" s="179">
        <f>IFERROR(VLOOKUP(AFS$1,FactorAlfa[[Ticker]:[Weight]],2,FALSE),0%)</f>
        <v>0</v>
      </c>
      <c r="AFT8" s="179">
        <f>IFERROR(VLOOKUP(AFT$1,FactorAlfa[[Ticker]:[Weight]],2,FALSE),0%)</f>
        <v>0</v>
      </c>
      <c r="AFU8" s="179">
        <f>IFERROR(VLOOKUP(AFU$1,FactorAlfa[[Ticker]:[Weight]],2,FALSE),0%)</f>
        <v>0</v>
      </c>
      <c r="AFV8" s="179">
        <f>IFERROR(VLOOKUP(AFV$1,FactorAlfa[[Ticker]:[Weight]],2,FALSE),0%)</f>
        <v>0</v>
      </c>
      <c r="AFW8" s="179">
        <f>IFERROR(VLOOKUP(AFW$1,FactorAlfa[[Ticker]:[Weight]],2,FALSE),0%)</f>
        <v>0</v>
      </c>
      <c r="AFX8" s="179">
        <f>IFERROR(VLOOKUP(AFX$1,FactorAlfa[[Ticker]:[Weight]],2,FALSE),0%)</f>
        <v>0</v>
      </c>
      <c r="AFY8" s="179">
        <f>IFERROR(VLOOKUP(AFY$1,FactorAlfa[[Ticker]:[Weight]],2,FALSE),0%)</f>
        <v>0</v>
      </c>
      <c r="AFZ8" s="179">
        <f>IFERROR(VLOOKUP(AFZ$1,FactorAlfa[[Ticker]:[Weight]],2,FALSE),0%)</f>
        <v>0</v>
      </c>
      <c r="AGA8" s="179">
        <f>IFERROR(VLOOKUP(AGA$1,FactorAlfa[[Ticker]:[Weight]],2,FALSE),0%)</f>
        <v>0</v>
      </c>
      <c r="AGB8" s="179">
        <f>IFERROR(VLOOKUP(AGB$1,FactorAlfa[[Ticker]:[Weight]],2,FALSE),0%)</f>
        <v>0</v>
      </c>
      <c r="AGC8" s="179">
        <f>IFERROR(VLOOKUP(AGC$1,FactorAlfa[[Ticker]:[Weight]],2,FALSE),0%)</f>
        <v>0</v>
      </c>
      <c r="AGD8" s="179">
        <f>IFERROR(VLOOKUP(AGD$1,FactorAlfa[[Ticker]:[Weight]],2,FALSE),0%)</f>
        <v>0</v>
      </c>
      <c r="AGE8" s="179">
        <f>IFERROR(VLOOKUP(AGE$1,FactorAlfa[[Ticker]:[Weight]],2,FALSE),0%)</f>
        <v>0</v>
      </c>
      <c r="AGF8" s="179">
        <f>IFERROR(VLOOKUP(AGF$1,FactorAlfa[[Ticker]:[Weight]],2,FALSE),0%)</f>
        <v>0</v>
      </c>
      <c r="AGG8" s="179">
        <f>IFERROR(VLOOKUP(AGG$1,FactorAlfa[[Ticker]:[Weight]],2,FALSE),0%)</f>
        <v>0</v>
      </c>
      <c r="AGH8" s="179">
        <f>IFERROR(VLOOKUP(AGH$1,FactorAlfa[[Ticker]:[Weight]],2,FALSE),0%)</f>
        <v>0</v>
      </c>
      <c r="AGI8" s="179">
        <f>IFERROR(VLOOKUP(AGI$1,FactorAlfa[[Ticker]:[Weight]],2,FALSE),0%)</f>
        <v>0</v>
      </c>
      <c r="AGJ8" s="179">
        <f>IFERROR(VLOOKUP(AGJ$1,FactorAlfa[[Ticker]:[Weight]],2,FALSE),0%)</f>
        <v>0</v>
      </c>
      <c r="AGK8" s="179">
        <f>IFERROR(VLOOKUP(AGK$1,FactorAlfa[[Ticker]:[Weight]],2,FALSE),0%)</f>
        <v>0</v>
      </c>
      <c r="AGL8" s="179">
        <f>IFERROR(VLOOKUP(AGL$1,FactorAlfa[[Ticker]:[Weight]],2,FALSE),0%)</f>
        <v>0</v>
      </c>
      <c r="AGM8" s="179">
        <f>IFERROR(VLOOKUP(AGM$1,FactorAlfa[[Ticker]:[Weight]],2,FALSE),0%)</f>
        <v>0</v>
      </c>
      <c r="AGN8" s="179">
        <f>IFERROR(VLOOKUP(AGN$1,FactorAlfa[[Ticker]:[Weight]],2,FALSE),0%)</f>
        <v>0</v>
      </c>
      <c r="AGO8" s="179">
        <f>IFERROR(VLOOKUP(AGO$1,FactorAlfa[[Ticker]:[Weight]],2,FALSE),0%)</f>
        <v>0</v>
      </c>
      <c r="AGP8" s="179">
        <f>IFERROR(VLOOKUP(AGP$1,FactorAlfa[[Ticker]:[Weight]],2,FALSE),0%)</f>
        <v>0</v>
      </c>
      <c r="AGQ8" s="179">
        <f>IFERROR(VLOOKUP(AGQ$1,FactorAlfa[[Ticker]:[Weight]],2,FALSE),0%)</f>
        <v>0</v>
      </c>
      <c r="AGR8" s="179">
        <f>IFERROR(VLOOKUP(AGR$1,FactorAlfa[[Ticker]:[Weight]],2,FALSE),0%)</f>
        <v>0</v>
      </c>
      <c r="AGS8" s="179">
        <f>IFERROR(VLOOKUP(AGS$1,FactorAlfa[[Ticker]:[Weight]],2,FALSE),0%)</f>
        <v>0.04166</v>
      </c>
      <c r="AGT8" s="179">
        <f>IFERROR(VLOOKUP(AGT$1,FactorAlfa[[Ticker]:[Weight]],2,FALSE),0%)</f>
        <v>0</v>
      </c>
      <c r="AGU8" s="179">
        <f>IFERROR(VLOOKUP(AGU$1,FactorAlfa[[Ticker]:[Weight]],2,FALSE),0%)</f>
        <v>0</v>
      </c>
      <c r="AGV8" s="179">
        <f>IFERROR(VLOOKUP(AGV$1,FactorAlfa[[Ticker]:[Weight]],2,FALSE),0%)</f>
        <v>0.04166</v>
      </c>
      <c r="AGW8" s="179">
        <f>IFERROR(VLOOKUP(AGW$1,FactorAlfa[[Ticker]:[Weight]],2,FALSE),0%)</f>
        <v>0</v>
      </c>
      <c r="AGX8" s="179">
        <f>IFERROR(VLOOKUP(AGX$1,FactorAlfa[[Ticker]:[Weight]],2,FALSE),0%)</f>
        <v>0</v>
      </c>
      <c r="AGY8" s="179">
        <f>IFERROR(VLOOKUP(AGY$1,FactorAlfa[[Ticker]:[Weight]],2,FALSE),0%)</f>
        <v>0</v>
      </c>
      <c r="AGZ8" s="179">
        <f>IFERROR(VLOOKUP(AGZ$1,FactorAlfa[[Ticker]:[Weight]],2,FALSE),0%)</f>
        <v>0</v>
      </c>
      <c r="AHA8" s="179">
        <f>IFERROR(VLOOKUP(AHA$1,FactorAlfa[[Ticker]:[Weight]],2,FALSE),0%)</f>
        <v>0</v>
      </c>
      <c r="AHB8" s="179">
        <f>IFERROR(VLOOKUP(AHB$1,FactorAlfa[[Ticker]:[Weight]],2,FALSE),0%)</f>
        <v>0</v>
      </c>
      <c r="AHC8" s="179">
        <f>IFERROR(VLOOKUP(AHC$1,FactorAlfa[[Ticker]:[Weight]],2,FALSE),0%)</f>
        <v>0</v>
      </c>
      <c r="AHD8" s="179">
        <f>IFERROR(VLOOKUP(AHD$1,FactorAlfa[[Ticker]:[Weight]],2,FALSE),0%)</f>
        <v>0</v>
      </c>
      <c r="AHE8" s="179">
        <f>IFERROR(VLOOKUP(AHE$1,FactorAlfa[[Ticker]:[Weight]],2,FALSE),0%)</f>
        <v>0</v>
      </c>
      <c r="AHF8" s="179">
        <f>IFERROR(VLOOKUP(AHF$1,FactorAlfa[[Ticker]:[Weight]],2,FALSE),0%)</f>
        <v>0</v>
      </c>
      <c r="AHG8" s="179">
        <f>IFERROR(VLOOKUP(AHG$1,FactorAlfa[[Ticker]:[Weight]],2,FALSE),0%)</f>
        <v>0</v>
      </c>
      <c r="AHH8" s="179">
        <f>IFERROR(VLOOKUP(AHH$1,FactorAlfa[[Ticker]:[Weight]],2,FALSE),0%)</f>
        <v>0</v>
      </c>
      <c r="AHI8" s="179">
        <f>IFERROR(VLOOKUP(AHI$1,FactorAlfa[[Ticker]:[Weight]],2,FALSE),0%)</f>
        <v>0</v>
      </c>
      <c r="AHJ8" s="179">
        <f>IFERROR(VLOOKUP(AHJ$1,FactorAlfa[[Ticker]:[Weight]],2,FALSE),0%)</f>
        <v>0</v>
      </c>
      <c r="AHK8" s="179">
        <f>IFERROR(VLOOKUP(AHK$1,FactorAlfa[[Ticker]:[Weight]],2,FALSE),0%)</f>
        <v>0</v>
      </c>
      <c r="AHL8" s="179">
        <f>IFERROR(VLOOKUP(AHL$1,FactorAlfa[[Ticker]:[Weight]],2,FALSE),0%)</f>
        <v>0</v>
      </c>
      <c r="AHM8" s="179">
        <f>IFERROR(VLOOKUP(AHM$1,FactorAlfa[[Ticker]:[Weight]],2,FALSE),0%)</f>
        <v>0</v>
      </c>
      <c r="AHN8" s="179">
        <f>IFERROR(VLOOKUP(AHN$1,FactorAlfa[[Ticker]:[Weight]],2,FALSE),0%)</f>
        <v>0</v>
      </c>
      <c r="AHO8" s="179">
        <f>IFERROR(VLOOKUP(AHO$1,FactorAlfa[[Ticker]:[Weight]],2,FALSE),0%)</f>
        <v>0</v>
      </c>
      <c r="AHP8" s="179">
        <f>IFERROR(VLOOKUP(AHP$1,FactorAlfa[[Ticker]:[Weight]],2,FALSE),0%)</f>
        <v>0</v>
      </c>
      <c r="AHQ8" s="179">
        <f>IFERROR(VLOOKUP(AHQ$1,FactorAlfa[[Ticker]:[Weight]],2,FALSE),0%)</f>
        <v>0</v>
      </c>
      <c r="AHR8" s="179">
        <f>IFERROR(VLOOKUP(AHR$1,FactorAlfa[[Ticker]:[Weight]],2,FALSE),0%)</f>
        <v>0</v>
      </c>
      <c r="AHS8" s="179">
        <f>IFERROR(VLOOKUP(AHS$1,FactorAlfa[[Ticker]:[Weight]],2,FALSE),0%)</f>
        <v>0</v>
      </c>
      <c r="AHT8" s="179">
        <f>IFERROR(VLOOKUP(AHT$1,FactorAlfa[[Ticker]:[Weight]],2,FALSE),0%)</f>
        <v>0</v>
      </c>
      <c r="AHU8" s="179">
        <f>IFERROR(VLOOKUP(AHU$1,FactorAlfa[[Ticker]:[Weight]],2,FALSE),0%)</f>
        <v>0</v>
      </c>
      <c r="AHV8" s="179">
        <f>IFERROR(VLOOKUP(AHV$1,FactorAlfa[[Ticker]:[Weight]],2,FALSE),0%)</f>
        <v>0</v>
      </c>
      <c r="AHW8" s="179">
        <f>IFERROR(VLOOKUP(AHW$1,FactorAlfa[[Ticker]:[Weight]],2,FALSE),0%)</f>
        <v>0</v>
      </c>
      <c r="AHX8" s="179">
        <f>IFERROR(VLOOKUP(AHX$1,FactorAlfa[[Ticker]:[Weight]],2,FALSE),0%)</f>
        <v>0</v>
      </c>
      <c r="AHY8" s="179">
        <f>IFERROR(VLOOKUP(AHY$1,FactorAlfa[[Ticker]:[Weight]],2,FALSE),0%)</f>
        <v>0</v>
      </c>
      <c r="AHZ8" s="179">
        <f>IFERROR(VLOOKUP(AHZ$1,FactorAlfa[[Ticker]:[Weight]],2,FALSE),0%)</f>
        <v>0</v>
      </c>
      <c r="AIA8" s="179">
        <f>IFERROR(VLOOKUP(AIA$1,FactorAlfa[[Ticker]:[Weight]],2,FALSE),0%)</f>
        <v>0</v>
      </c>
      <c r="AIB8" s="179">
        <f>IFERROR(VLOOKUP(AIB$1,FactorAlfa[[Ticker]:[Weight]],2,FALSE),0%)</f>
        <v>0</v>
      </c>
      <c r="AIC8" s="179">
        <f>IFERROR(VLOOKUP(AIC$1,FactorAlfa[[Ticker]:[Weight]],2,FALSE),0%)</f>
        <v>0</v>
      </c>
      <c r="AID8" s="179">
        <f>IFERROR(VLOOKUP(AID$1,FactorAlfa[[Ticker]:[Weight]],2,FALSE),0%)</f>
        <v>0</v>
      </c>
      <c r="AIE8" s="179">
        <f>IFERROR(VLOOKUP(AIE$1,FactorAlfa[[Ticker]:[Weight]],2,FALSE),0%)</f>
        <v>0</v>
      </c>
      <c r="AIF8" s="179">
        <f>IFERROR(VLOOKUP(AIF$1,FactorAlfa[[Ticker]:[Weight]],2,FALSE),0%)</f>
        <v>0</v>
      </c>
      <c r="AIG8" s="179">
        <f>IFERROR(VLOOKUP(AIG$1,FactorAlfa[[Ticker]:[Weight]],2,FALSE),0%)</f>
        <v>0</v>
      </c>
      <c r="AIH8" s="179">
        <f>IFERROR(VLOOKUP(AIH$1,FactorAlfa[[Ticker]:[Weight]],2,FALSE),0%)</f>
        <v>0</v>
      </c>
      <c r="AII8" s="179">
        <f>IFERROR(VLOOKUP(AII$1,FactorAlfa[[Ticker]:[Weight]],2,FALSE),0%)</f>
        <v>0</v>
      </c>
      <c r="AIJ8" s="179">
        <f>IFERROR(VLOOKUP(AIJ$1,FactorAlfa[[Ticker]:[Weight]],2,FALSE),0%)</f>
        <v>0</v>
      </c>
      <c r="AIK8" s="179">
        <f>IFERROR(VLOOKUP(AIK$1,FactorAlfa[[Ticker]:[Weight]],2,FALSE),0%)</f>
        <v>0</v>
      </c>
      <c r="AIL8" s="179">
        <f>IFERROR(VLOOKUP(AIL$1,FactorAlfa[[Ticker]:[Weight]],2,FALSE),0%)</f>
        <v>0</v>
      </c>
      <c r="AIM8" s="179">
        <f>IFERROR(VLOOKUP(AIM$1,FactorAlfa[[Ticker]:[Weight]],2,FALSE),0%)</f>
        <v>0</v>
      </c>
      <c r="AIN8" s="179">
        <f>IFERROR(VLOOKUP(AIN$1,FactorAlfa[[Ticker]:[Weight]],2,FALSE),0%)</f>
        <v>0</v>
      </c>
      <c r="AIO8" s="179">
        <f>IFERROR(VLOOKUP(AIO$1,FactorAlfa[[Ticker]:[Weight]],2,FALSE),0%)</f>
        <v>0</v>
      </c>
      <c r="AIP8" s="179">
        <f>IFERROR(VLOOKUP(AIP$1,FactorAlfa[[Ticker]:[Weight]],2,FALSE),0%)</f>
        <v>0</v>
      </c>
      <c r="AIQ8" s="179">
        <f>IFERROR(VLOOKUP(AIQ$1,FactorAlfa[[Ticker]:[Weight]],2,FALSE),0%)</f>
        <v>0</v>
      </c>
      <c r="AIR8" s="179">
        <f>IFERROR(VLOOKUP(AIR$1,FactorAlfa[[Ticker]:[Weight]],2,FALSE),0%)</f>
        <v>0</v>
      </c>
      <c r="AIS8" s="179">
        <f>IFERROR(VLOOKUP(AIS$1,FactorAlfa[[Ticker]:[Weight]],2,FALSE),0%)</f>
        <v>0</v>
      </c>
      <c r="AIT8" s="179">
        <f>IFERROR(VLOOKUP(AIT$1,FactorAlfa[[Ticker]:[Weight]],2,FALSE),0%)</f>
        <v>0</v>
      </c>
      <c r="AIU8" s="179">
        <f>IFERROR(VLOOKUP(AIU$1,FactorAlfa[[Ticker]:[Weight]],2,FALSE),0%)</f>
        <v>0</v>
      </c>
      <c r="AIV8" s="179">
        <f>IFERROR(VLOOKUP(AIV$1,FactorAlfa[[Ticker]:[Weight]],2,FALSE),0%)</f>
        <v>0</v>
      </c>
      <c r="AIW8" s="179">
        <f>IFERROR(VLOOKUP(AIW$1,FactorAlfa[[Ticker]:[Weight]],2,FALSE),0%)</f>
        <v>0</v>
      </c>
      <c r="AIX8" s="179">
        <f>IFERROR(VLOOKUP(AIX$1,FactorAlfa[[Ticker]:[Weight]],2,FALSE),0%)</f>
        <v>0</v>
      </c>
      <c r="AIY8" s="179">
        <f>IFERROR(VLOOKUP(AIY$1,FactorAlfa[[Ticker]:[Weight]],2,FALSE),0%)</f>
        <v>0</v>
      </c>
      <c r="AIZ8" s="179">
        <f>IFERROR(VLOOKUP(AIZ$1,FactorAlfa[[Ticker]:[Weight]],2,FALSE),0%)</f>
        <v>0.04166</v>
      </c>
      <c r="AJA8" s="179">
        <f>IFERROR(VLOOKUP(AJA$1,FactorAlfa[[Ticker]:[Weight]],2,FALSE),0%)</f>
        <v>0</v>
      </c>
      <c r="AJB8" s="179">
        <f>IFERROR(VLOOKUP(AJB$1,FactorAlfa[[Ticker]:[Weight]],2,FALSE),0%)</f>
        <v>0</v>
      </c>
      <c r="AJC8" s="179">
        <f>IFERROR(VLOOKUP(AJC$1,FactorAlfa[[Ticker]:[Weight]],2,FALSE),0%)</f>
        <v>0</v>
      </c>
      <c r="AJD8" s="179">
        <f>IFERROR(VLOOKUP(AJD$1,FactorAlfa[[Ticker]:[Weight]],2,FALSE),0%)</f>
        <v>0</v>
      </c>
      <c r="AJE8" s="179">
        <f>IFERROR(VLOOKUP(AJE$1,FactorAlfa[[Ticker]:[Weight]],2,FALSE),0%)</f>
        <v>0</v>
      </c>
      <c r="AJF8" s="179">
        <f>IFERROR(VLOOKUP(AJF$1,FactorAlfa[[Ticker]:[Weight]],2,FALSE),0%)</f>
        <v>0</v>
      </c>
      <c r="AJG8" s="179">
        <f>IFERROR(VLOOKUP(AJG$1,FactorAlfa[[Ticker]:[Weight]],2,FALSE),0%)</f>
        <v>0</v>
      </c>
      <c r="AJH8" s="179">
        <f>IFERROR(VLOOKUP(AJH$1,FactorAlfa[[Ticker]:[Weight]],2,FALSE),0%)</f>
        <v>0</v>
      </c>
      <c r="AJI8" s="179">
        <f>IFERROR(VLOOKUP(AJI$1,FactorAlfa[[Ticker]:[Weight]],2,FALSE),0%)</f>
        <v>0</v>
      </c>
      <c r="AJJ8" s="179">
        <f>IFERROR(VLOOKUP(AJJ$1,FactorAlfa[[Ticker]:[Weight]],2,FALSE),0%)</f>
        <v>0</v>
      </c>
      <c r="AJK8" s="179">
        <f>IFERROR(VLOOKUP(AJK$1,FactorAlfa[[Ticker]:[Weight]],2,FALSE),0%)</f>
        <v>0</v>
      </c>
      <c r="AJL8" s="179">
        <f>IFERROR(VLOOKUP(AJL$1,FactorAlfa[[Ticker]:[Weight]],2,FALSE),0%)</f>
        <v>0</v>
      </c>
      <c r="AJM8" s="179">
        <f>IFERROR(VLOOKUP(AJM$1,FactorAlfa[[Ticker]:[Weight]],2,FALSE),0%)</f>
        <v>0</v>
      </c>
      <c r="AJN8" s="179">
        <f>IFERROR(VLOOKUP(AJN$1,FactorAlfa[[Ticker]:[Weight]],2,FALSE),0%)</f>
        <v>0</v>
      </c>
      <c r="AJO8" s="179">
        <f>IFERROR(VLOOKUP(AJO$1,FactorAlfa[[Ticker]:[Weight]],2,FALSE),0%)</f>
        <v>0</v>
      </c>
      <c r="AJP8" s="179">
        <f>IFERROR(VLOOKUP(AJP$1,FactorAlfa[[Ticker]:[Weight]],2,FALSE),0%)</f>
        <v>0</v>
      </c>
      <c r="AJQ8" s="179">
        <f>IFERROR(VLOOKUP(AJQ$1,FactorAlfa[[Ticker]:[Weight]],2,FALSE),0%)</f>
        <v>0</v>
      </c>
      <c r="AJR8" s="179">
        <f>IFERROR(VLOOKUP(AJR$1,FactorAlfa[[Ticker]:[Weight]],2,FALSE),0%)</f>
        <v>0</v>
      </c>
      <c r="AJS8" s="179">
        <f>IFERROR(VLOOKUP(AJS$1,FactorAlfa[[Ticker]:[Weight]],2,FALSE),0%)</f>
        <v>0</v>
      </c>
      <c r="AJT8" s="179">
        <f>IFERROR(VLOOKUP(AJT$1,FactorAlfa[[Ticker]:[Weight]],2,FALSE),0%)</f>
        <v>0</v>
      </c>
      <c r="AJU8" s="179">
        <f>IFERROR(VLOOKUP(AJU$1,FactorAlfa[[Ticker]:[Weight]],2,FALSE),0%)</f>
        <v>0</v>
      </c>
      <c r="AJV8" s="179">
        <f>IFERROR(VLOOKUP(AJV$1,FactorAlfa[[Ticker]:[Weight]],2,FALSE),0%)</f>
        <v>0</v>
      </c>
      <c r="AJW8" s="179">
        <f>IFERROR(VLOOKUP(AJW$1,FactorAlfa[[Ticker]:[Weight]],2,FALSE),0%)</f>
        <v>0</v>
      </c>
      <c r="AJX8" s="179">
        <f>IFERROR(VLOOKUP(AJX$1,FactorAlfa[[Ticker]:[Weight]],2,FALSE),0%)</f>
        <v>0</v>
      </c>
      <c r="AJY8" s="179">
        <f>IFERROR(VLOOKUP(AJY$1,FactorAlfa[[Ticker]:[Weight]],2,FALSE),0%)</f>
        <v>0</v>
      </c>
      <c r="AJZ8" s="179">
        <f>IFERROR(VLOOKUP(AJZ$1,FactorAlfa[[Ticker]:[Weight]],2,FALSE),0%)</f>
        <v>0</v>
      </c>
      <c r="AKA8" s="179">
        <f>IFERROR(VLOOKUP(AKA$1,FactorAlfa[[Ticker]:[Weight]],2,FALSE),0%)</f>
        <v>0</v>
      </c>
      <c r="AKB8" s="179">
        <f>IFERROR(VLOOKUP(AKB$1,FactorAlfa[[Ticker]:[Weight]],2,FALSE),0%)</f>
        <v>0</v>
      </c>
      <c r="AKC8" s="179">
        <f>IFERROR(VLOOKUP(AKC$1,FactorAlfa[[Ticker]:[Weight]],2,FALSE),0%)</f>
        <v>0</v>
      </c>
      <c r="AKD8" s="179">
        <f>IFERROR(VLOOKUP(AKD$1,FactorAlfa[[Ticker]:[Weight]],2,FALSE),0%)</f>
        <v>0</v>
      </c>
      <c r="AKE8" s="179">
        <f>IFERROR(VLOOKUP(AKE$1,FactorAlfa[[Ticker]:[Weight]],2,FALSE),0%)</f>
        <v>0</v>
      </c>
      <c r="AKF8" s="179">
        <f>IFERROR(VLOOKUP(AKF$1,FactorAlfa[[Ticker]:[Weight]],2,FALSE),0%)</f>
        <v>0</v>
      </c>
      <c r="AKG8" s="179">
        <f>IFERROR(VLOOKUP(AKG$1,FactorAlfa[[Ticker]:[Weight]],2,FALSE),0%)</f>
        <v>0</v>
      </c>
      <c r="AKH8" s="179">
        <f>IFERROR(VLOOKUP(AKH$1,FactorAlfa[[Ticker]:[Weight]],2,FALSE),0%)</f>
        <v>0</v>
      </c>
      <c r="AKI8" s="179">
        <f>IFERROR(VLOOKUP(AKI$1,FactorAlfa[[Ticker]:[Weight]],2,FALSE),0%)</f>
        <v>0</v>
      </c>
      <c r="AKJ8" s="179">
        <f>IFERROR(VLOOKUP(AKJ$1,FactorAlfa[[Ticker]:[Weight]],2,FALSE),0%)</f>
        <v>0</v>
      </c>
      <c r="AKK8" s="179">
        <f>IFERROR(VLOOKUP(AKK$1,FactorAlfa[[Ticker]:[Weight]],2,FALSE),0%)</f>
        <v>0</v>
      </c>
      <c r="AKL8" s="179">
        <f>IFERROR(VLOOKUP(AKL$1,FactorAlfa[[Ticker]:[Weight]],2,FALSE),0%)</f>
        <v>0</v>
      </c>
      <c r="AKM8" s="179">
        <f>IFERROR(VLOOKUP(AKM$1,FactorAlfa[[Ticker]:[Weight]],2,FALSE),0%)</f>
        <v>0</v>
      </c>
      <c r="AKN8" s="179">
        <f>IFERROR(VLOOKUP(AKN$1,FactorAlfa[[Ticker]:[Weight]],2,FALSE),0%)</f>
        <v>0</v>
      </c>
      <c r="AKO8" s="179">
        <f>IFERROR(VLOOKUP(AKO$1,FactorAlfa[[Ticker]:[Weight]],2,FALSE),0%)</f>
        <v>0</v>
      </c>
      <c r="AKP8" s="179">
        <f>IFERROR(VLOOKUP(AKP$1,FactorAlfa[[Ticker]:[Weight]],2,FALSE),0%)</f>
        <v>0</v>
      </c>
      <c r="AKQ8" s="179">
        <f>IFERROR(VLOOKUP(AKQ$1,FactorAlfa[[Ticker]:[Weight]],2,FALSE),0%)</f>
        <v>0</v>
      </c>
      <c r="AKR8" s="179">
        <f>IFERROR(VLOOKUP(AKR$1,FactorAlfa[[Ticker]:[Weight]],2,FALSE),0%)</f>
        <v>0</v>
      </c>
      <c r="AKS8" s="179">
        <f>IFERROR(VLOOKUP(AKS$1,FactorAlfa[[Ticker]:[Weight]],2,FALSE),0%)</f>
        <v>0</v>
      </c>
      <c r="AKT8" s="179">
        <f>IFERROR(VLOOKUP(AKT$1,FactorAlfa[[Ticker]:[Weight]],2,FALSE),0%)</f>
        <v>0</v>
      </c>
      <c r="AKU8" s="179">
        <f>IFERROR(VLOOKUP(AKU$1,FactorAlfa[[Ticker]:[Weight]],2,FALSE),0%)</f>
        <v>0</v>
      </c>
      <c r="AKV8" s="179">
        <f>IFERROR(VLOOKUP(AKV$1,FactorAlfa[[Ticker]:[Weight]],2,FALSE),0%)</f>
        <v>0</v>
      </c>
      <c r="AKW8" s="179">
        <f>IFERROR(VLOOKUP(AKW$1,FactorAlfa[[Ticker]:[Weight]],2,FALSE),0%)</f>
        <v>0</v>
      </c>
      <c r="AKX8" s="179">
        <f>IFERROR(VLOOKUP(AKX$1,FactorAlfa[[Ticker]:[Weight]],2,FALSE),0%)</f>
        <v>0</v>
      </c>
      <c r="AKY8" s="179">
        <f>IFERROR(VLOOKUP(AKY$1,FactorAlfa[[Ticker]:[Weight]],2,FALSE),0%)</f>
        <v>0</v>
      </c>
      <c r="AKZ8" s="179">
        <f>IFERROR(VLOOKUP(AKZ$1,FactorAlfa[[Ticker]:[Weight]],2,FALSE),0%)</f>
        <v>0</v>
      </c>
      <c r="ALA8" s="179">
        <f>IFERROR(VLOOKUP(ALA$1,FactorAlfa[[Ticker]:[Weight]],2,FALSE),0%)</f>
        <v>0</v>
      </c>
      <c r="ALB8" s="179">
        <f>IFERROR(VLOOKUP(ALB$1,FactorAlfa[[Ticker]:[Weight]],2,FALSE),0%)</f>
        <v>0</v>
      </c>
      <c r="ALC8" s="179">
        <f>IFERROR(VLOOKUP(ALC$1,FactorAlfa[[Ticker]:[Weight]],2,FALSE),0%)</f>
        <v>0</v>
      </c>
      <c r="ALD8" s="179">
        <f>IFERROR(VLOOKUP(ALD$1,FactorAlfa[[Ticker]:[Weight]],2,FALSE),0%)</f>
        <v>0</v>
      </c>
      <c r="ALE8" s="179">
        <f>IFERROR(VLOOKUP(ALE$1,FactorAlfa[[Ticker]:[Weight]],2,FALSE),0%)</f>
        <v>0</v>
      </c>
      <c r="ALF8" s="179">
        <f>IFERROR(VLOOKUP(ALF$1,FactorAlfa[[Ticker]:[Weight]],2,FALSE),0%)</f>
        <v>0</v>
      </c>
      <c r="ALG8" s="179">
        <f>IFERROR(VLOOKUP(ALG$1,FactorAlfa[[Ticker]:[Weight]],2,FALSE),0%)</f>
        <v>0</v>
      </c>
      <c r="ALH8" s="179">
        <f>IFERROR(VLOOKUP(ALH$1,FactorAlfa[[Ticker]:[Weight]],2,FALSE),0%)</f>
        <v>0</v>
      </c>
      <c r="ALI8" s="179">
        <f>IFERROR(VLOOKUP(ALI$1,FactorAlfa[[Ticker]:[Weight]],2,FALSE),0%)</f>
        <v>0</v>
      </c>
      <c r="ALJ8" s="179">
        <f>IFERROR(VLOOKUP(ALJ$1,FactorAlfa[[Ticker]:[Weight]],2,FALSE),0%)</f>
        <v>0</v>
      </c>
      <c r="ALK8" s="179">
        <f>IFERROR(VLOOKUP(ALK$1,FactorAlfa[[Ticker]:[Weight]],2,FALSE),0%)</f>
        <v>0</v>
      </c>
      <c r="ALL8" s="179">
        <f>IFERROR(VLOOKUP(ALL$1,FactorAlfa[[Ticker]:[Weight]],2,FALSE),0%)</f>
        <v>0</v>
      </c>
      <c r="ALM8" s="179">
        <f>IFERROR(VLOOKUP(ALM$1,FactorAlfa[[Ticker]:[Weight]],2,FALSE),0%)</f>
        <v>0</v>
      </c>
      <c r="ALN8" s="179">
        <f>IFERROR(VLOOKUP(ALN$1,FactorAlfa[[Ticker]:[Weight]],2,FALSE),0%)</f>
        <v>0</v>
      </c>
      <c r="ALO8" s="179">
        <f>IFERROR(VLOOKUP(ALO$1,FactorAlfa[[Ticker]:[Weight]],2,FALSE),0%)</f>
        <v>0</v>
      </c>
      <c r="ALP8" s="179">
        <f>IFERROR(VLOOKUP(ALP$1,FactorAlfa[[Ticker]:[Weight]],2,FALSE),0%)</f>
        <v>0</v>
      </c>
      <c r="ALQ8" s="179">
        <f>IFERROR(VLOOKUP(ALQ$1,FactorAlfa[[Ticker]:[Weight]],2,FALSE),0%)</f>
        <v>0</v>
      </c>
      <c r="ALR8" s="179">
        <f>IFERROR(VLOOKUP(ALR$1,FactorAlfa[[Ticker]:[Weight]],2,FALSE),0%)</f>
        <v>0</v>
      </c>
      <c r="ALS8" s="179">
        <f>IFERROR(VLOOKUP(ALS$1,FactorAlfa[[Ticker]:[Weight]],2,FALSE),0%)</f>
        <v>0</v>
      </c>
      <c r="ALT8" s="179">
        <f>IFERROR(VLOOKUP(ALT$1,FactorAlfa[[Ticker]:[Weight]],2,FALSE),0%)</f>
        <v>0</v>
      </c>
      <c r="ALU8" s="179">
        <f>IFERROR(VLOOKUP(ALU$1,FactorAlfa[[Ticker]:[Weight]],2,FALSE),0%)</f>
        <v>0</v>
      </c>
      <c r="ALV8" s="179">
        <f>IFERROR(VLOOKUP(ALV$1,FactorAlfa[[Ticker]:[Weight]],2,FALSE),0%)</f>
        <v>0</v>
      </c>
      <c r="ALW8" s="179">
        <f>IFERROR(VLOOKUP(ALW$1,FactorAlfa[[Ticker]:[Weight]],2,FALSE),0%)</f>
        <v>0</v>
      </c>
      <c r="ALX8" s="179">
        <f>IFERROR(VLOOKUP(ALX$1,FactorAlfa[[Ticker]:[Weight]],2,FALSE),0%)</f>
        <v>0</v>
      </c>
      <c r="ALY8" s="179">
        <f>IFERROR(VLOOKUP(ALY$1,FactorAlfa[[Ticker]:[Weight]],2,FALSE),0%)</f>
        <v>0</v>
      </c>
      <c r="ALZ8" s="179">
        <f>IFERROR(VLOOKUP(ALZ$1,FactorAlfa[[Ticker]:[Weight]],2,FALSE),0%)</f>
        <v>0</v>
      </c>
      <c r="AMA8" s="179">
        <f>IFERROR(VLOOKUP(AMA$1,FactorAlfa[[Ticker]:[Weight]],2,FALSE),0%)</f>
        <v>0</v>
      </c>
      <c r="AMB8" s="179">
        <f>IFERROR(VLOOKUP(AMB$1,FactorAlfa[[Ticker]:[Weight]],2,FALSE),0%)</f>
        <v>0</v>
      </c>
      <c r="AMC8" s="179">
        <f>IFERROR(VLOOKUP(AMC$1,FactorAlfa[[Ticker]:[Weight]],2,FALSE),0%)</f>
        <v>0</v>
      </c>
      <c r="AMD8" s="179">
        <f>IFERROR(VLOOKUP(AMD$1,FactorAlfa[[Ticker]:[Weight]],2,FALSE),0%)</f>
        <v>0</v>
      </c>
      <c r="AME8" s="179">
        <f>IFERROR(VLOOKUP(AME$1,FactorAlfa[[Ticker]:[Weight]],2,FALSE),0%)</f>
        <v>0</v>
      </c>
      <c r="AMF8" s="179">
        <f>IFERROR(VLOOKUP(AMF$1,FactorAlfa[[Ticker]:[Weight]],2,FALSE),0%)</f>
        <v>0</v>
      </c>
      <c r="AMG8" s="179">
        <f>IFERROR(VLOOKUP(AMG$1,FactorAlfa[[Ticker]:[Weight]],2,FALSE),0%)</f>
        <v>0</v>
      </c>
      <c r="AMH8" s="179">
        <f>IFERROR(VLOOKUP(AMH$1,FactorAlfa[[Ticker]:[Weight]],2,FALSE),0%)</f>
        <v>0</v>
      </c>
      <c r="AMI8" s="179">
        <f>IFERROR(VLOOKUP(AMI$1,FactorAlfa[[Ticker]:[Weight]],2,FALSE),0%)</f>
        <v>0</v>
      </c>
      <c r="AMJ8" s="179">
        <f>IFERROR(VLOOKUP(AMJ$1,FactorAlfa[[Ticker]:[Weight]],2,FALSE),0%)</f>
        <v>0</v>
      </c>
      <c r="AMK8" s="179">
        <f>IFERROR(VLOOKUP(AMK$1,FactorAlfa[[Ticker]:[Weight]],2,FALSE),0%)</f>
        <v>0</v>
      </c>
      <c r="AML8" s="179">
        <f>IFERROR(VLOOKUP(AML$1,FactorAlfa[[Ticker]:[Weight]],2,FALSE),0%)</f>
        <v>0</v>
      </c>
      <c r="AMM8" s="179">
        <f>IFERROR(VLOOKUP(AMM$1,FactorAlfa[[Ticker]:[Weight]],2,FALSE),0%)</f>
        <v>0</v>
      </c>
      <c r="AMN8" s="179">
        <f>IFERROR(VLOOKUP(AMN$1,FactorAlfa[[Ticker]:[Weight]],2,FALSE),0%)</f>
        <v>0</v>
      </c>
      <c r="AMO8" s="179">
        <f>IFERROR(VLOOKUP(AMO$1,FactorAlfa[[Ticker]:[Weight]],2,FALSE),0%)</f>
        <v>0</v>
      </c>
      <c r="AMP8" s="179">
        <f>IFERROR(VLOOKUP(AMP$1,FactorAlfa[[Ticker]:[Weight]],2,FALSE),0%)</f>
        <v>0.04166</v>
      </c>
      <c r="AMQ8" s="179">
        <f>IFERROR(VLOOKUP(AMQ$1,FactorAlfa[[Ticker]:[Weight]],2,FALSE),0%)</f>
        <v>0</v>
      </c>
      <c r="AMR8" s="179">
        <f>IFERROR(VLOOKUP(AMR$1,FactorAlfa[[Ticker]:[Weight]],2,FALSE),0%)</f>
        <v>0</v>
      </c>
      <c r="AMS8" s="179">
        <f>IFERROR(VLOOKUP(AMS$1,FactorAlfa[[Ticker]:[Weight]],2,FALSE),0%)</f>
        <v>0</v>
      </c>
      <c r="AMT8" s="179">
        <f>IFERROR(VLOOKUP(AMT$1,FactorAlfa[[Ticker]:[Weight]],2,FALSE),0%)</f>
        <v>0.04166</v>
      </c>
      <c r="AMU8" s="179">
        <f>IFERROR(VLOOKUP(AMU$1,FactorAlfa[[Ticker]:[Weight]],2,FALSE),0%)</f>
        <v>0</v>
      </c>
      <c r="AMV8" s="179">
        <f>IFERROR(VLOOKUP(AMV$1,FactorAlfa[[Ticker]:[Weight]],2,FALSE),0%)</f>
        <v>0</v>
      </c>
      <c r="AMW8" s="179">
        <f>IFERROR(VLOOKUP(AMW$1,FactorAlfa[[Ticker]:[Weight]],2,FALSE),0%)</f>
        <v>0</v>
      </c>
      <c r="AMX8" s="179">
        <f>IFERROR(VLOOKUP(AMX$1,FactorAlfa[[Ticker]:[Weight]],2,FALSE),0%)</f>
        <v>0</v>
      </c>
      <c r="AMY8" s="179">
        <f>IFERROR(VLOOKUP(AMY$1,FactorAlfa[[Ticker]:[Weight]],2,FALSE),0%)</f>
        <v>0</v>
      </c>
      <c r="AMZ8" s="179">
        <f>IFERROR(VLOOKUP(AMZ$1,FactorAlfa[[Ticker]:[Weight]],2,FALSE),0%)</f>
        <v>0</v>
      </c>
      <c r="ANA8" s="179">
        <f>IFERROR(VLOOKUP(ANA$1,FactorAlfa[[Ticker]:[Weight]],2,FALSE),0%)</f>
        <v>0</v>
      </c>
      <c r="ANB8" s="179">
        <f>IFERROR(VLOOKUP(ANB$1,FactorAlfa[[Ticker]:[Weight]],2,FALSE),0%)</f>
        <v>0</v>
      </c>
      <c r="ANC8" s="179">
        <f>IFERROR(VLOOKUP(ANC$1,FactorAlfa[[Ticker]:[Weight]],2,FALSE),0%)</f>
        <v>0</v>
      </c>
      <c r="AND8" s="179">
        <f>IFERROR(VLOOKUP(AND$1,FactorAlfa[[Ticker]:[Weight]],2,FALSE),0%)</f>
        <v>0</v>
      </c>
      <c r="ANE8" s="179">
        <f>IFERROR(VLOOKUP(ANE$1,FactorAlfa[[Ticker]:[Weight]],2,FALSE),0%)</f>
        <v>0</v>
      </c>
      <c r="ANF8" s="179">
        <f>IFERROR(VLOOKUP(ANF$1,FactorAlfa[[Ticker]:[Weight]],2,FALSE),0%)</f>
        <v>0</v>
      </c>
      <c r="ANG8" s="179">
        <f>IFERROR(VLOOKUP(ANG$1,FactorAlfa[[Ticker]:[Weight]],2,FALSE),0%)</f>
        <v>0</v>
      </c>
      <c r="ANH8" s="179">
        <f>IFERROR(VLOOKUP(ANH$1,FactorAlfa[[Ticker]:[Weight]],2,FALSE),0%)</f>
        <v>0</v>
      </c>
      <c r="ANI8" s="179">
        <f>IFERROR(VLOOKUP(ANI$1,FactorAlfa[[Ticker]:[Weight]],2,FALSE),0%)</f>
        <v>0</v>
      </c>
      <c r="ANJ8" s="179">
        <f>IFERROR(VLOOKUP(ANJ$1,FactorAlfa[[Ticker]:[Weight]],2,FALSE),0%)</f>
        <v>0</v>
      </c>
      <c r="ANK8" s="179">
        <f>IFERROR(VLOOKUP(ANK$1,FactorAlfa[[Ticker]:[Weight]],2,FALSE),0%)</f>
        <v>0</v>
      </c>
      <c r="ANL8" s="179">
        <f>IFERROR(VLOOKUP(ANL$1,FactorAlfa[[Ticker]:[Weight]],2,FALSE),0%)</f>
        <v>0</v>
      </c>
      <c r="ANM8" s="179">
        <f>IFERROR(VLOOKUP(ANM$1,FactorAlfa[[Ticker]:[Weight]],2,FALSE),0%)</f>
        <v>0</v>
      </c>
      <c r="ANN8" s="179">
        <f>IFERROR(VLOOKUP(ANN$1,FactorAlfa[[Ticker]:[Weight]],2,FALSE),0%)</f>
        <v>0</v>
      </c>
      <c r="ANO8" s="179">
        <f>IFERROR(VLOOKUP(ANO$1,FactorAlfa[[Ticker]:[Weight]],2,FALSE),0%)</f>
        <v>0</v>
      </c>
      <c r="ANP8" s="179">
        <f>IFERROR(VLOOKUP(ANP$1,FactorAlfa[[Ticker]:[Weight]],2,FALSE),0%)</f>
        <v>0</v>
      </c>
      <c r="ANQ8" s="179">
        <f>IFERROR(VLOOKUP(ANQ$1,FactorAlfa[[Ticker]:[Weight]],2,FALSE),0%)</f>
        <v>0</v>
      </c>
      <c r="ANR8" s="179">
        <f>IFERROR(VLOOKUP(ANR$1,FactorAlfa[[Ticker]:[Weight]],2,FALSE),0%)</f>
        <v>0</v>
      </c>
      <c r="ANS8" s="179">
        <f>IFERROR(VLOOKUP(ANS$1,FactorAlfa[[Ticker]:[Weight]],2,FALSE),0%)</f>
        <v>0</v>
      </c>
      <c r="ANT8" s="179">
        <f>IFERROR(VLOOKUP(ANT$1,FactorAlfa[[Ticker]:[Weight]],2,FALSE),0%)</f>
        <v>0</v>
      </c>
      <c r="ANU8" s="179">
        <f>IFERROR(VLOOKUP(ANU$1,FactorAlfa[[Ticker]:[Weight]],2,FALSE),0%)</f>
        <v>0</v>
      </c>
      <c r="ANV8" s="179">
        <f>IFERROR(VLOOKUP(ANV$1,FactorAlfa[[Ticker]:[Weight]],2,FALSE),0%)</f>
        <v>0</v>
      </c>
      <c r="ANW8" s="179">
        <f>IFERROR(VLOOKUP(ANW$1,FactorAlfa[[Ticker]:[Weight]],2,FALSE),0%)</f>
        <v>0</v>
      </c>
      <c r="ANX8" s="179">
        <f>IFERROR(VLOOKUP(ANX$1,FactorAlfa[[Ticker]:[Weight]],2,FALSE),0%)</f>
        <v>0</v>
      </c>
      <c r="ANY8" s="179">
        <f>IFERROR(VLOOKUP(ANY$1,FactorAlfa[[Ticker]:[Weight]],2,FALSE),0%)</f>
        <v>0</v>
      </c>
      <c r="ANZ8" s="179">
        <f>IFERROR(VLOOKUP(ANZ$1,FactorAlfa[[Ticker]:[Weight]],2,FALSE),0%)</f>
        <v>0</v>
      </c>
      <c r="AOA8" s="179">
        <f>IFERROR(VLOOKUP(AOA$1,FactorAlfa[[Ticker]:[Weight]],2,FALSE),0%)</f>
        <v>0</v>
      </c>
      <c r="AOB8" s="179">
        <f>IFERROR(VLOOKUP(AOB$1,FactorAlfa[[Ticker]:[Weight]],2,FALSE),0%)</f>
        <v>0</v>
      </c>
      <c r="AOC8" s="179">
        <f>IFERROR(VLOOKUP(AOC$1,FactorAlfa[[Ticker]:[Weight]],2,FALSE),0%)</f>
        <v>0</v>
      </c>
      <c r="AOD8" s="179">
        <f>IFERROR(VLOOKUP(AOD$1,FactorAlfa[[Ticker]:[Weight]],2,FALSE),0%)</f>
        <v>0</v>
      </c>
      <c r="AOE8" s="179">
        <f>IFERROR(VLOOKUP(AOE$1,FactorAlfa[[Ticker]:[Weight]],2,FALSE),0%)</f>
        <v>0</v>
      </c>
      <c r="AOF8" s="179">
        <f>IFERROR(VLOOKUP(AOF$1,FactorAlfa[[Ticker]:[Weight]],2,FALSE),0%)</f>
        <v>0</v>
      </c>
      <c r="AOG8" s="179">
        <f>IFERROR(VLOOKUP(AOG$1,FactorAlfa[[Ticker]:[Weight]],2,FALSE),0%)</f>
        <v>0</v>
      </c>
      <c r="AOH8" s="179">
        <f>IFERROR(VLOOKUP(AOH$1,FactorAlfa[[Ticker]:[Weight]],2,FALSE),0%)</f>
        <v>0</v>
      </c>
      <c r="AOI8" s="179">
        <f>IFERROR(VLOOKUP(AOI$1,FactorAlfa[[Ticker]:[Weight]],2,FALSE),0%)</f>
        <v>0</v>
      </c>
      <c r="AOJ8" s="179">
        <f>IFERROR(VLOOKUP(AOJ$1,FactorAlfa[[Ticker]:[Weight]],2,FALSE),0%)</f>
        <v>0.04166</v>
      </c>
      <c r="AOK8" s="179">
        <f>IFERROR(VLOOKUP(AOK$1,FactorAlfa[[Ticker]:[Weight]],2,FALSE),0%)</f>
        <v>0</v>
      </c>
      <c r="AOL8" s="179">
        <f>IFERROR(VLOOKUP(AOL$1,FactorAlfa[[Ticker]:[Weight]],2,FALSE),0%)</f>
        <v>0</v>
      </c>
      <c r="AOM8" s="179">
        <f>IFERROR(VLOOKUP(AOM$1,FactorAlfa[[Ticker]:[Weight]],2,FALSE),0%)</f>
        <v>0</v>
      </c>
      <c r="AON8" s="179">
        <f>IFERROR(VLOOKUP(AON$1,FactorAlfa[[Ticker]:[Weight]],2,FALSE),0%)</f>
        <v>0</v>
      </c>
      <c r="AOO8" s="179">
        <f>IFERROR(VLOOKUP(AOO$1,FactorAlfa[[Ticker]:[Weight]],2,FALSE),0%)</f>
        <v>0</v>
      </c>
      <c r="AOP8" s="179">
        <f>IFERROR(VLOOKUP(AOP$1,FactorAlfa[[Ticker]:[Weight]],2,FALSE),0%)</f>
        <v>0</v>
      </c>
      <c r="AOQ8" s="179">
        <f>IFERROR(VLOOKUP(AOQ$1,FactorAlfa[[Ticker]:[Weight]],2,FALSE),0%)</f>
        <v>0</v>
      </c>
      <c r="AOR8" s="179">
        <f>IFERROR(VLOOKUP(AOR$1,FactorAlfa[[Ticker]:[Weight]],2,FALSE),0%)</f>
        <v>0</v>
      </c>
      <c r="AOS8" s="179">
        <f>IFERROR(VLOOKUP(AOS$1,FactorAlfa[[Ticker]:[Weight]],2,FALSE),0%)</f>
        <v>0</v>
      </c>
      <c r="AOT8" s="179">
        <f>IFERROR(VLOOKUP(AOT$1,FactorAlfa[[Ticker]:[Weight]],2,FALSE),0%)</f>
        <v>0</v>
      </c>
      <c r="AOU8" s="179">
        <f>IFERROR(VLOOKUP(AOU$1,FactorAlfa[[Ticker]:[Weight]],2,FALSE),0%)</f>
        <v>0</v>
      </c>
      <c r="AOV8" s="179">
        <f>IFERROR(VLOOKUP(AOV$1,FactorAlfa[[Ticker]:[Weight]],2,FALSE),0%)</f>
        <v>0</v>
      </c>
      <c r="AOW8" s="179">
        <f>IFERROR(VLOOKUP(AOW$1,FactorAlfa[[Ticker]:[Weight]],2,FALSE),0%)</f>
        <v>0</v>
      </c>
      <c r="AOX8" s="179">
        <f>IFERROR(VLOOKUP(AOX$1,FactorAlfa[[Ticker]:[Weight]],2,FALSE),0%)</f>
        <v>0</v>
      </c>
      <c r="AOY8" s="179">
        <f>IFERROR(VLOOKUP(AOY$1,FactorAlfa[[Ticker]:[Weight]],2,FALSE),0%)</f>
        <v>0</v>
      </c>
      <c r="AOZ8" s="179">
        <f>IFERROR(VLOOKUP(AOZ$1,FactorAlfa[[Ticker]:[Weight]],2,FALSE),0%)</f>
        <v>0</v>
      </c>
      <c r="APA8" s="179">
        <f>IFERROR(VLOOKUP(APA$1,FactorAlfa[[Ticker]:[Weight]],2,FALSE),0%)</f>
        <v>0</v>
      </c>
      <c r="APB8" s="179">
        <f>IFERROR(VLOOKUP(APB$1,FactorAlfa[[Ticker]:[Weight]],2,FALSE),0%)</f>
        <v>0</v>
      </c>
      <c r="APC8" s="179">
        <f>IFERROR(VLOOKUP(APC$1,FactorAlfa[[Ticker]:[Weight]],2,FALSE),0%)</f>
        <v>0</v>
      </c>
      <c r="APD8" s="179">
        <f>IFERROR(VLOOKUP(APD$1,FactorAlfa[[Ticker]:[Weight]],2,FALSE),0%)</f>
        <v>0</v>
      </c>
      <c r="APE8" s="179">
        <f>IFERROR(VLOOKUP(APE$1,FactorAlfa[[Ticker]:[Weight]],2,FALSE),0%)</f>
        <v>0</v>
      </c>
      <c r="APF8" s="179">
        <f>IFERROR(VLOOKUP(APF$1,FactorAlfa[[Ticker]:[Weight]],2,FALSE),0%)</f>
        <v>0</v>
      </c>
      <c r="APG8" s="179">
        <f>IFERROR(VLOOKUP(APG$1,FactorAlfa[[Ticker]:[Weight]],2,FALSE),0%)</f>
        <v>0</v>
      </c>
      <c r="APH8" s="179">
        <f>IFERROR(VLOOKUP(APH$1,FactorAlfa[[Ticker]:[Weight]],2,FALSE),0%)</f>
        <v>0</v>
      </c>
      <c r="API8" s="179">
        <f>IFERROR(VLOOKUP(API$1,FactorAlfa[[Ticker]:[Weight]],2,FALSE),0%)</f>
        <v>0</v>
      </c>
      <c r="APJ8" s="179">
        <f>IFERROR(VLOOKUP(APJ$1,FactorAlfa[[Ticker]:[Weight]],2,FALSE),0%)</f>
        <v>0</v>
      </c>
      <c r="APK8" s="179">
        <f>IFERROR(VLOOKUP(APK$1,FactorAlfa[[Ticker]:[Weight]],2,FALSE),0%)</f>
        <v>0</v>
      </c>
      <c r="APL8" s="179">
        <f>IFERROR(VLOOKUP(APL$1,FactorAlfa[[Ticker]:[Weight]],2,FALSE),0%)</f>
        <v>0</v>
      </c>
      <c r="APM8" s="179">
        <f>IFERROR(VLOOKUP(APM$1,FactorAlfa[[Ticker]:[Weight]],2,FALSE),0%)</f>
        <v>0</v>
      </c>
      <c r="APN8" s="179">
        <f>IFERROR(VLOOKUP(APN$1,FactorAlfa[[Ticker]:[Weight]],2,FALSE),0%)</f>
        <v>0</v>
      </c>
      <c r="APO8" s="179">
        <f>IFERROR(VLOOKUP(APO$1,FactorAlfa[[Ticker]:[Weight]],2,FALSE),0%)</f>
        <v>0</v>
      </c>
      <c r="APP8" s="179">
        <f>IFERROR(VLOOKUP(APP$1,FactorAlfa[[Ticker]:[Weight]],2,FALSE),0%)</f>
        <v>0</v>
      </c>
      <c r="APQ8" s="179">
        <f>IFERROR(VLOOKUP(APQ$1,FactorAlfa[[Ticker]:[Weight]],2,FALSE),0%)</f>
        <v>0</v>
      </c>
      <c r="APR8" s="179">
        <f>IFERROR(VLOOKUP(APR$1,FactorAlfa[[Ticker]:[Weight]],2,FALSE),0%)</f>
        <v>0</v>
      </c>
      <c r="APS8" s="179">
        <f>IFERROR(VLOOKUP(APS$1,FactorAlfa[[Ticker]:[Weight]],2,FALSE),0%)</f>
        <v>0</v>
      </c>
      <c r="APT8" s="179">
        <f>IFERROR(VLOOKUP(APT$1,FactorAlfa[[Ticker]:[Weight]],2,FALSE),0%)</f>
        <v>0</v>
      </c>
      <c r="APU8" s="179">
        <f>IFERROR(VLOOKUP(APU$1,FactorAlfa[[Ticker]:[Weight]],2,FALSE),0%)</f>
        <v>0</v>
      </c>
      <c r="APV8" s="179">
        <f>IFERROR(VLOOKUP(APV$1,FactorAlfa[[Ticker]:[Weight]],2,FALSE),0%)</f>
        <v>0</v>
      </c>
      <c r="APW8" s="179">
        <f>IFERROR(VLOOKUP(APW$1,FactorAlfa[[Ticker]:[Weight]],2,FALSE),0%)</f>
        <v>0</v>
      </c>
      <c r="APX8" s="179">
        <f>IFERROR(VLOOKUP(APX$1,FactorAlfa[[Ticker]:[Weight]],2,FALSE),0%)</f>
        <v>0</v>
      </c>
      <c r="APY8" s="179">
        <f>IFERROR(VLOOKUP(APY$1,FactorAlfa[[Ticker]:[Weight]],2,FALSE),0%)</f>
        <v>0</v>
      </c>
      <c r="APZ8" s="179">
        <f>IFERROR(VLOOKUP(APZ$1,FactorAlfa[[Ticker]:[Weight]],2,FALSE),0%)</f>
        <v>0</v>
      </c>
      <c r="AQA8" s="179">
        <f>IFERROR(VLOOKUP(AQA$1,FactorAlfa[[Ticker]:[Weight]],2,FALSE),0%)</f>
        <v>0</v>
      </c>
      <c r="AQB8" s="179">
        <f>IFERROR(VLOOKUP(AQB$1,FactorAlfa[[Ticker]:[Weight]],2,FALSE),0%)</f>
        <v>0</v>
      </c>
      <c r="AQC8" s="179">
        <f>IFERROR(VLOOKUP(AQC$1,FactorAlfa[[Ticker]:[Weight]],2,FALSE),0%)</f>
        <v>0</v>
      </c>
      <c r="AQD8" s="179">
        <f>IFERROR(VLOOKUP(AQD$1,FactorAlfa[[Ticker]:[Weight]],2,FALSE),0%)</f>
        <v>0</v>
      </c>
      <c r="AQE8" s="179">
        <f>IFERROR(VLOOKUP(AQE$1,FactorAlfa[[Ticker]:[Weight]],2,FALSE),0%)</f>
        <v>0</v>
      </c>
      <c r="AQF8" s="179">
        <f>IFERROR(VLOOKUP(AQF$1,FactorAlfa[[Ticker]:[Weight]],2,FALSE),0%)</f>
        <v>0</v>
      </c>
      <c r="AQG8" s="179">
        <f>IFERROR(VLOOKUP(AQG$1,FactorAlfa[[Ticker]:[Weight]],2,FALSE),0%)</f>
        <v>0</v>
      </c>
      <c r="AQH8" s="179">
        <f>IFERROR(VLOOKUP(AQH$1,FactorAlfa[[Ticker]:[Weight]],2,FALSE),0%)</f>
        <v>0</v>
      </c>
      <c r="AQI8" s="179">
        <f>IFERROR(VLOOKUP(AQI$1,FactorAlfa[[Ticker]:[Weight]],2,FALSE),0%)</f>
        <v>0</v>
      </c>
      <c r="AQJ8" s="179">
        <f>IFERROR(VLOOKUP(AQJ$1,FactorAlfa[[Ticker]:[Weight]],2,FALSE),0%)</f>
        <v>0</v>
      </c>
      <c r="AQK8" s="179">
        <f>IFERROR(VLOOKUP(AQK$1,FactorAlfa[[Ticker]:[Weight]],2,FALSE),0%)</f>
        <v>0</v>
      </c>
      <c r="AQL8" s="179">
        <f>IFERROR(VLOOKUP(AQL$1,FactorAlfa[[Ticker]:[Weight]],2,FALSE),0%)</f>
        <v>0</v>
      </c>
      <c r="AQM8" s="179">
        <f>IFERROR(VLOOKUP(AQM$1,FactorAlfa[[Ticker]:[Weight]],2,FALSE),0%)</f>
        <v>0</v>
      </c>
      <c r="AQN8" s="179">
        <f>IFERROR(VLOOKUP(AQN$1,FactorAlfa[[Ticker]:[Weight]],2,FALSE),0%)</f>
        <v>0</v>
      </c>
      <c r="AQO8" s="179">
        <f>IFERROR(VLOOKUP(AQO$1,FactorAlfa[[Ticker]:[Weight]],2,FALSE),0%)</f>
        <v>0</v>
      </c>
      <c r="AQP8" s="179">
        <f>IFERROR(VLOOKUP(AQP$1,FactorAlfa[[Ticker]:[Weight]],2,FALSE),0%)</f>
        <v>0</v>
      </c>
      <c r="AQQ8" s="179">
        <f>IFERROR(VLOOKUP(AQQ$1,FactorAlfa[[Ticker]:[Weight]],2,FALSE),0%)</f>
        <v>0</v>
      </c>
      <c r="AQR8" s="179">
        <f>IFERROR(VLOOKUP(AQR$1,FactorAlfa[[Ticker]:[Weight]],2,FALSE),0%)</f>
        <v>0</v>
      </c>
      <c r="AQS8" s="179">
        <f>IFERROR(VLOOKUP(AQS$1,FactorAlfa[[Ticker]:[Weight]],2,FALSE),0%)</f>
        <v>0</v>
      </c>
      <c r="AQT8" s="179">
        <f>IFERROR(VLOOKUP(AQT$1,FactorAlfa[[Ticker]:[Weight]],2,FALSE),0%)</f>
        <v>0</v>
      </c>
      <c r="AQU8" s="179">
        <f>IFERROR(VLOOKUP(AQU$1,FactorAlfa[[Ticker]:[Weight]],2,FALSE),0%)</f>
        <v>0</v>
      </c>
      <c r="AQV8" s="179">
        <f>IFERROR(VLOOKUP(AQV$1,FactorAlfa[[Ticker]:[Weight]],2,FALSE),0%)</f>
        <v>0</v>
      </c>
      <c r="AQW8" s="179">
        <f>IFERROR(VLOOKUP(AQW$1,FactorAlfa[[Ticker]:[Weight]],2,FALSE),0%)</f>
        <v>0</v>
      </c>
      <c r="AQX8" s="179">
        <f>IFERROR(VLOOKUP(AQX$1,FactorAlfa[[Ticker]:[Weight]],2,FALSE),0%)</f>
        <v>0</v>
      </c>
      <c r="AQY8" s="179">
        <f>IFERROR(VLOOKUP(AQY$1,FactorAlfa[[Ticker]:[Weight]],2,FALSE),0%)</f>
        <v>0</v>
      </c>
      <c r="AQZ8" s="179">
        <f>IFERROR(VLOOKUP(AQZ$1,FactorAlfa[[Ticker]:[Weight]],2,FALSE),0%)</f>
        <v>0</v>
      </c>
      <c r="ARA8" s="179">
        <f>IFERROR(VLOOKUP(ARA$1,FactorAlfa[[Ticker]:[Weight]],2,FALSE),0%)</f>
        <v>0</v>
      </c>
      <c r="ARB8" s="179">
        <f>IFERROR(VLOOKUP(ARB$1,FactorAlfa[[Ticker]:[Weight]],2,FALSE),0%)</f>
        <v>0</v>
      </c>
      <c r="ARC8" s="179">
        <f>IFERROR(VLOOKUP(ARC$1,FactorAlfa[[Ticker]:[Weight]],2,FALSE),0%)</f>
        <v>0</v>
      </c>
      <c r="ARD8" s="179">
        <f>IFERROR(VLOOKUP(ARD$1,FactorAlfa[[Ticker]:[Weight]],2,FALSE),0%)</f>
        <v>0</v>
      </c>
      <c r="ARE8" s="179">
        <f>IFERROR(VLOOKUP(ARE$1,FactorAlfa[[Ticker]:[Weight]],2,FALSE),0%)</f>
        <v>0</v>
      </c>
      <c r="ARF8" s="179">
        <f>IFERROR(VLOOKUP(ARF$1,FactorAlfa[[Ticker]:[Weight]],2,FALSE),0%)</f>
        <v>0</v>
      </c>
      <c r="ARG8" s="179">
        <f>IFERROR(VLOOKUP(ARG$1,FactorAlfa[[Ticker]:[Weight]],2,FALSE),0%)</f>
        <v>0</v>
      </c>
      <c r="ARH8" s="179">
        <f>IFERROR(VLOOKUP(ARH$1,FactorAlfa[[Ticker]:[Weight]],2,FALSE),0%)</f>
        <v>0</v>
      </c>
      <c r="ARI8" s="179">
        <f>IFERROR(VLOOKUP(ARI$1,FactorAlfa[[Ticker]:[Weight]],2,FALSE),0%)</f>
        <v>0</v>
      </c>
      <c r="ARJ8" s="179">
        <f>IFERROR(VLOOKUP(ARJ$1,FactorAlfa[[Ticker]:[Weight]],2,FALSE),0%)</f>
        <v>0</v>
      </c>
      <c r="ARK8" s="179">
        <f>IFERROR(VLOOKUP(ARK$1,FactorAlfa[[Ticker]:[Weight]],2,FALSE),0%)</f>
        <v>0</v>
      </c>
      <c r="ARL8" s="179">
        <f>IFERROR(VLOOKUP(ARL$1,FactorAlfa[[Ticker]:[Weight]],2,FALSE),0%)</f>
        <v>0</v>
      </c>
      <c r="ARM8" s="179">
        <f>IFERROR(VLOOKUP(ARM$1,FactorAlfa[[Ticker]:[Weight]],2,FALSE),0%)</f>
        <v>0</v>
      </c>
      <c r="ARN8" s="179">
        <f>IFERROR(VLOOKUP(ARN$1,FactorAlfa[[Ticker]:[Weight]],2,FALSE),0%)</f>
        <v>0</v>
      </c>
      <c r="ARO8" s="179">
        <f>IFERROR(VLOOKUP(ARO$1,FactorAlfa[[Ticker]:[Weight]],2,FALSE),0%)</f>
        <v>0</v>
      </c>
      <c r="ARP8" s="179">
        <f>IFERROR(VLOOKUP(ARP$1,FactorAlfa[[Ticker]:[Weight]],2,FALSE),0%)</f>
        <v>0</v>
      </c>
      <c r="ARQ8" s="179">
        <f>IFERROR(VLOOKUP(ARQ$1,FactorAlfa[[Ticker]:[Weight]],2,FALSE),0%)</f>
        <v>0</v>
      </c>
      <c r="ARR8" s="179">
        <f>IFERROR(VLOOKUP(ARR$1,FactorAlfa[[Ticker]:[Weight]],2,FALSE),0%)</f>
        <v>0</v>
      </c>
      <c r="ARS8" s="179">
        <f>IFERROR(VLOOKUP(ARS$1,FactorAlfa[[Ticker]:[Weight]],2,FALSE),0%)</f>
        <v>0</v>
      </c>
      <c r="ART8" s="179">
        <f>IFERROR(VLOOKUP(ART$1,FactorAlfa[[Ticker]:[Weight]],2,FALSE),0%)</f>
        <v>0</v>
      </c>
      <c r="ARU8" s="179">
        <f>IFERROR(VLOOKUP(ARU$1,FactorAlfa[[Ticker]:[Weight]],2,FALSE),0%)</f>
        <v>0</v>
      </c>
      <c r="ARV8" s="179">
        <f>IFERROR(VLOOKUP(ARV$1,FactorAlfa[[Ticker]:[Weight]],2,FALSE),0%)</f>
        <v>0</v>
      </c>
      <c r="ARW8" s="179">
        <f>IFERROR(VLOOKUP(ARW$1,FactorAlfa[[Ticker]:[Weight]],2,FALSE),0%)</f>
        <v>0</v>
      </c>
      <c r="ARX8" s="179">
        <f>IFERROR(VLOOKUP(ARX$1,FactorAlfa[[Ticker]:[Weight]],2,FALSE),0%)</f>
        <v>0</v>
      </c>
      <c r="ARY8" s="179">
        <f>IFERROR(VLOOKUP(ARY$1,FactorAlfa[[Ticker]:[Weight]],2,FALSE),0%)</f>
        <v>0.04166</v>
      </c>
      <c r="ARZ8" s="179">
        <f>IFERROR(VLOOKUP(ARZ$1,FactorAlfa[[Ticker]:[Weight]],2,FALSE),0%)</f>
        <v>0</v>
      </c>
      <c r="ASA8" s="179">
        <f>IFERROR(VLOOKUP(ASA$1,FactorAlfa[[Ticker]:[Weight]],2,FALSE),0%)</f>
        <v>0</v>
      </c>
      <c r="ASB8" s="179">
        <f>IFERROR(VLOOKUP(ASB$1,FactorAlfa[[Ticker]:[Weight]],2,FALSE),0%)</f>
        <v>0</v>
      </c>
      <c r="ASC8" s="179">
        <f>IFERROR(VLOOKUP(ASC$1,FactorAlfa[[Ticker]:[Weight]],2,FALSE),0%)</f>
        <v>0</v>
      </c>
      <c r="ASD8" s="179">
        <f>IFERROR(VLOOKUP(ASD$1,FactorAlfa[[Ticker]:[Weight]],2,FALSE),0%)</f>
        <v>0</v>
      </c>
      <c r="ASE8" s="179">
        <f>IFERROR(VLOOKUP(ASE$1,FactorAlfa[[Ticker]:[Weight]],2,FALSE),0%)</f>
        <v>0</v>
      </c>
      <c r="ASF8" s="179">
        <f>IFERROR(VLOOKUP(ASF$1,FactorAlfa[[Ticker]:[Weight]],2,FALSE),0%)</f>
        <v>0</v>
      </c>
      <c r="ASG8" s="179">
        <f>IFERROR(VLOOKUP(ASG$1,FactorAlfa[[Ticker]:[Weight]],2,FALSE),0%)</f>
        <v>0</v>
      </c>
      <c r="ASH8" s="179">
        <f>IFERROR(VLOOKUP(ASH$1,FactorAlfa[[Ticker]:[Weight]],2,FALSE),0%)</f>
        <v>0</v>
      </c>
      <c r="ASI8" s="179">
        <f>IFERROR(VLOOKUP(ASI$1,FactorAlfa[[Ticker]:[Weight]],2,FALSE),0%)</f>
        <v>0</v>
      </c>
      <c r="ASJ8" s="179">
        <f>IFERROR(VLOOKUP(ASJ$1,FactorAlfa[[Ticker]:[Weight]],2,FALSE),0%)</f>
        <v>0</v>
      </c>
      <c r="ASK8" s="179">
        <f>IFERROR(VLOOKUP(ASK$1,FactorAlfa[[Ticker]:[Weight]],2,FALSE),0%)</f>
        <v>0</v>
      </c>
      <c r="ASL8" s="179">
        <f>IFERROR(VLOOKUP(ASL$1,FactorAlfa[[Ticker]:[Weight]],2,FALSE),0%)</f>
        <v>0</v>
      </c>
      <c r="ASM8" s="179">
        <f>IFERROR(VLOOKUP(ASM$1,FactorAlfa[[Ticker]:[Weight]],2,FALSE),0%)</f>
        <v>0</v>
      </c>
      <c r="ASN8" s="179">
        <f>IFERROR(VLOOKUP(ASN$1,FactorAlfa[[Ticker]:[Weight]],2,FALSE),0%)</f>
        <v>0</v>
      </c>
      <c r="ASO8" s="179">
        <f>IFERROR(VLOOKUP(ASO$1,FactorAlfa[[Ticker]:[Weight]],2,FALSE),0%)</f>
        <v>0</v>
      </c>
      <c r="ASP8" s="179">
        <f>IFERROR(VLOOKUP(ASP$1,FactorAlfa[[Ticker]:[Weight]],2,FALSE),0%)</f>
        <v>0</v>
      </c>
      <c r="ASQ8" s="179">
        <f>IFERROR(VLOOKUP(ASQ$1,FactorAlfa[[Ticker]:[Weight]],2,FALSE),0%)</f>
        <v>0</v>
      </c>
      <c r="ASR8" s="179">
        <f>IFERROR(VLOOKUP(ASR$1,FactorAlfa[[Ticker]:[Weight]],2,FALSE),0%)</f>
        <v>0</v>
      </c>
      <c r="ASS8" s="179">
        <f>IFERROR(VLOOKUP(ASS$1,FactorAlfa[[Ticker]:[Weight]],2,FALSE),0%)</f>
        <v>0</v>
      </c>
      <c r="AST8" s="179">
        <f>IFERROR(VLOOKUP(AST$1,FactorAlfa[[Ticker]:[Weight]],2,FALSE),0%)</f>
        <v>0</v>
      </c>
      <c r="ASU8" s="179">
        <f>IFERROR(VLOOKUP(ASU$1,FactorAlfa[[Ticker]:[Weight]],2,FALSE),0%)</f>
        <v>0</v>
      </c>
      <c r="ASV8" s="179">
        <f>IFERROR(VLOOKUP(ASV$1,FactorAlfa[[Ticker]:[Weight]],2,FALSE),0%)</f>
        <v>0</v>
      </c>
      <c r="ASW8" s="179">
        <f>IFERROR(VLOOKUP(ASW$1,FactorAlfa[[Ticker]:[Weight]],2,FALSE),0%)</f>
        <v>0</v>
      </c>
      <c r="ASX8" s="179">
        <f>IFERROR(VLOOKUP(ASX$1,FactorAlfa[[Ticker]:[Weight]],2,FALSE),0%)</f>
        <v>0</v>
      </c>
      <c r="ASY8" s="179">
        <f>IFERROR(VLOOKUP(ASY$1,FactorAlfa[[Ticker]:[Weight]],2,FALSE),0%)</f>
        <v>0</v>
      </c>
      <c r="ASZ8" s="179">
        <f>IFERROR(VLOOKUP(ASZ$1,FactorAlfa[[Ticker]:[Weight]],2,FALSE),0%)</f>
        <v>0</v>
      </c>
      <c r="ATA8" s="179">
        <f>IFERROR(VLOOKUP(ATA$1,FactorAlfa[[Ticker]:[Weight]],2,FALSE),0%)</f>
        <v>0</v>
      </c>
      <c r="ATB8" s="179">
        <f>IFERROR(VLOOKUP(ATB$1,FactorAlfa[[Ticker]:[Weight]],2,FALSE),0%)</f>
        <v>0</v>
      </c>
      <c r="ATC8" s="179">
        <f>IFERROR(VLOOKUP(ATC$1,FactorAlfa[[Ticker]:[Weight]],2,FALSE),0%)</f>
        <v>0</v>
      </c>
      <c r="ATD8" s="179">
        <f>IFERROR(VLOOKUP(ATD$1,FactorAlfa[[Ticker]:[Weight]],2,FALSE),0%)</f>
        <v>0</v>
      </c>
      <c r="ATE8" s="179">
        <f>IFERROR(VLOOKUP(ATE$1,FactorAlfa[[Ticker]:[Weight]],2,FALSE),0%)</f>
        <v>0</v>
      </c>
      <c r="ATF8" s="179">
        <f>IFERROR(VLOOKUP(ATF$1,FactorAlfa[[Ticker]:[Weight]],2,FALSE),0%)</f>
        <v>0</v>
      </c>
      <c r="ATG8" s="179">
        <f>IFERROR(VLOOKUP(ATG$1,FactorAlfa[[Ticker]:[Weight]],2,FALSE),0%)</f>
        <v>0</v>
      </c>
      <c r="ATH8" s="179">
        <f>IFERROR(VLOOKUP(ATH$1,FactorAlfa[[Ticker]:[Weight]],2,FALSE),0%)</f>
        <v>0</v>
      </c>
      <c r="ATI8" s="179">
        <f>IFERROR(VLOOKUP(ATI$1,FactorAlfa[[Ticker]:[Weight]],2,FALSE),0%)</f>
        <v>0</v>
      </c>
      <c r="ATJ8" s="179">
        <f>IFERROR(VLOOKUP(ATJ$1,FactorAlfa[[Ticker]:[Weight]],2,FALSE),0%)</f>
        <v>0</v>
      </c>
      <c r="ATK8" s="179">
        <f>IFERROR(VLOOKUP(ATK$1,FactorAlfa[[Ticker]:[Weight]],2,FALSE),0%)</f>
        <v>0</v>
      </c>
      <c r="ATL8" s="179">
        <f>IFERROR(VLOOKUP(ATL$1,FactorAlfa[[Ticker]:[Weight]],2,FALSE),0%)</f>
        <v>0</v>
      </c>
      <c r="ATM8" s="179">
        <f>IFERROR(VLOOKUP(ATM$1,FactorAlfa[[Ticker]:[Weight]],2,FALSE),0%)</f>
        <v>0</v>
      </c>
      <c r="ATN8" s="179">
        <f>IFERROR(VLOOKUP(ATN$1,FactorAlfa[[Ticker]:[Weight]],2,FALSE),0%)</f>
        <v>0</v>
      </c>
      <c r="ATO8" s="179">
        <f>IFERROR(VLOOKUP(ATO$1,FactorAlfa[[Ticker]:[Weight]],2,FALSE),0%)</f>
        <v>0</v>
      </c>
      <c r="ATP8" s="179">
        <f>IFERROR(VLOOKUP(ATP$1,FactorAlfa[[Ticker]:[Weight]],2,FALSE),0%)</f>
        <v>0</v>
      </c>
      <c r="ATQ8" s="179">
        <f>IFERROR(VLOOKUP(ATQ$1,FactorAlfa[[Ticker]:[Weight]],2,FALSE),0%)</f>
        <v>0</v>
      </c>
      <c r="ATR8" s="179">
        <f>IFERROR(VLOOKUP(ATR$1,FactorAlfa[[Ticker]:[Weight]],2,FALSE),0%)</f>
        <v>0</v>
      </c>
      <c r="ATS8" s="179">
        <f>IFERROR(VLOOKUP(ATS$1,FactorAlfa[[Ticker]:[Weight]],2,FALSE),0%)</f>
        <v>0</v>
      </c>
      <c r="ATT8" s="179">
        <f>IFERROR(VLOOKUP(ATT$1,FactorAlfa[[Ticker]:[Weight]],2,FALSE),0%)</f>
        <v>0</v>
      </c>
      <c r="ATU8" s="179">
        <f>IFERROR(VLOOKUP(ATU$1,FactorAlfa[[Ticker]:[Weight]],2,FALSE),0%)</f>
        <v>0</v>
      </c>
      <c r="ATV8" s="179">
        <f>IFERROR(VLOOKUP(ATV$1,FactorAlfa[[Ticker]:[Weight]],2,FALSE),0%)</f>
        <v>0</v>
      </c>
      <c r="ATW8" s="179">
        <f>IFERROR(VLOOKUP(ATW$1,FactorAlfa[[Ticker]:[Weight]],2,FALSE),0%)</f>
        <v>0</v>
      </c>
      <c r="ATX8" s="179">
        <f>IFERROR(VLOOKUP(ATX$1,FactorAlfa[[Ticker]:[Weight]],2,FALSE),0%)</f>
        <v>0</v>
      </c>
      <c r="ATY8" s="179">
        <f>IFERROR(VLOOKUP(ATY$1,FactorAlfa[[Ticker]:[Weight]],2,FALSE),0%)</f>
        <v>0</v>
      </c>
      <c r="ATZ8" s="179">
        <f>IFERROR(VLOOKUP(ATZ$1,FactorAlfa[[Ticker]:[Weight]],2,FALSE),0%)</f>
        <v>0</v>
      </c>
      <c r="AUA8" s="179">
        <f>IFERROR(VLOOKUP(AUA$1,FactorAlfa[[Ticker]:[Weight]],2,FALSE),0%)</f>
        <v>0</v>
      </c>
      <c r="AUB8" s="179">
        <f>IFERROR(VLOOKUP(AUB$1,FactorAlfa[[Ticker]:[Weight]],2,FALSE),0%)</f>
        <v>0</v>
      </c>
      <c r="AUC8" s="179">
        <f>IFERROR(VLOOKUP(AUC$1,FactorAlfa[[Ticker]:[Weight]],2,FALSE),0%)</f>
        <v>0</v>
      </c>
      <c r="AUD8" s="179">
        <f>IFERROR(VLOOKUP(AUD$1,FactorAlfa[[Ticker]:[Weight]],2,FALSE),0%)</f>
        <v>0</v>
      </c>
      <c r="AUE8" s="179">
        <f>IFERROR(VLOOKUP(AUE$1,FactorAlfa[[Ticker]:[Weight]],2,FALSE),0%)</f>
        <v>0</v>
      </c>
      <c r="AUF8" s="179">
        <f>IFERROR(VLOOKUP(AUF$1,FactorAlfa[[Ticker]:[Weight]],2,FALSE),0%)</f>
        <v>0</v>
      </c>
      <c r="AUG8" s="179">
        <f>IFERROR(VLOOKUP(AUG$1,FactorAlfa[[Ticker]:[Weight]],2,FALSE),0%)</f>
        <v>0</v>
      </c>
      <c r="AUH8" s="179">
        <f>IFERROR(VLOOKUP(AUH$1,FactorAlfa[[Ticker]:[Weight]],2,FALSE),0%)</f>
        <v>0</v>
      </c>
      <c r="AUI8" s="179">
        <f>IFERROR(VLOOKUP(AUI$1,FactorAlfa[[Ticker]:[Weight]],2,FALSE),0%)</f>
        <v>0</v>
      </c>
      <c r="AUJ8" s="179">
        <f>IFERROR(VLOOKUP(AUJ$1,FactorAlfa[[Ticker]:[Weight]],2,FALSE),0%)</f>
        <v>0</v>
      </c>
      <c r="AUK8" s="179">
        <f>IFERROR(VLOOKUP(AUK$1,FactorAlfa[[Ticker]:[Weight]],2,FALSE),0%)</f>
        <v>0</v>
      </c>
      <c r="AUL8" s="179">
        <f>IFERROR(VLOOKUP(AUL$1,FactorAlfa[[Ticker]:[Weight]],2,FALSE),0%)</f>
        <v>0</v>
      </c>
      <c r="AUM8" s="179">
        <f>IFERROR(VLOOKUP(AUM$1,FactorAlfa[[Ticker]:[Weight]],2,FALSE),0%)</f>
        <v>0</v>
      </c>
      <c r="AUN8" s="179">
        <f>IFERROR(VLOOKUP(AUN$1,FactorAlfa[[Ticker]:[Weight]],2,FALSE),0%)</f>
        <v>0</v>
      </c>
      <c r="AUO8" s="179">
        <f>IFERROR(VLOOKUP(AUO$1,FactorAlfa[[Ticker]:[Weight]],2,FALSE),0%)</f>
        <v>0</v>
      </c>
      <c r="AUP8" s="179">
        <f>IFERROR(VLOOKUP(AUP$1,FactorAlfa[[Ticker]:[Weight]],2,FALSE),0%)</f>
        <v>0</v>
      </c>
      <c r="AUQ8" s="179">
        <f>IFERROR(VLOOKUP(AUQ$1,FactorAlfa[[Ticker]:[Weight]],2,FALSE),0%)</f>
        <v>0</v>
      </c>
      <c r="AUR8" s="179">
        <f>IFERROR(VLOOKUP(AUR$1,FactorAlfa[[Ticker]:[Weight]],2,FALSE),0%)</f>
        <v>0.04166</v>
      </c>
      <c r="AUS8" s="179">
        <f>IFERROR(VLOOKUP(AUS$1,FactorAlfa[[Ticker]:[Weight]],2,FALSE),0%)</f>
        <v>0</v>
      </c>
      <c r="AUT8" s="179">
        <f>IFERROR(VLOOKUP(AUT$1,FactorAlfa[[Ticker]:[Weight]],2,FALSE),0%)</f>
        <v>0</v>
      </c>
      <c r="AUU8" s="179">
        <f>IFERROR(VLOOKUP(AUU$1,FactorAlfa[[Ticker]:[Weight]],2,FALSE),0%)</f>
        <v>0</v>
      </c>
      <c r="AUV8" s="179">
        <f>IFERROR(VLOOKUP(AUV$1,FactorAlfa[[Ticker]:[Weight]],2,FALSE),0%)</f>
        <v>0</v>
      </c>
      <c r="AUW8" s="179">
        <f>IFERROR(VLOOKUP(AUW$1,FactorAlfa[[Ticker]:[Weight]],2,FALSE),0%)</f>
        <v>0</v>
      </c>
      <c r="AUX8" s="179">
        <f>IFERROR(VLOOKUP(AUX$1,FactorAlfa[[Ticker]:[Weight]],2,FALSE),0%)</f>
        <v>0</v>
      </c>
      <c r="AUY8" s="179">
        <f>IFERROR(VLOOKUP(AUY$1,FactorAlfa[[Ticker]:[Weight]],2,FALSE),0%)</f>
        <v>0</v>
      </c>
      <c r="AUZ8" s="179">
        <f>IFERROR(VLOOKUP(AUZ$1,FactorAlfa[[Ticker]:[Weight]],2,FALSE),0%)</f>
        <v>0.04166</v>
      </c>
      <c r="AVA8" s="179">
        <f>IFERROR(VLOOKUP(AVA$1,FactorAlfa[[Ticker]:[Weight]],2,FALSE),0%)</f>
        <v>0</v>
      </c>
      <c r="AVB8" s="179">
        <f>IFERROR(VLOOKUP(AVB$1,FactorAlfa[[Ticker]:[Weight]],2,FALSE),0%)</f>
        <v>0</v>
      </c>
      <c r="AVC8" s="179">
        <f>IFERROR(VLOOKUP(AVC$1,FactorAlfa[[Ticker]:[Weight]],2,FALSE),0%)</f>
        <v>0</v>
      </c>
      <c r="AVD8" s="179">
        <f>IFERROR(VLOOKUP(AVD$1,FactorAlfa[[Ticker]:[Weight]],2,FALSE),0%)</f>
        <v>0</v>
      </c>
      <c r="AVE8" s="179">
        <f>IFERROR(VLOOKUP(AVE$1,FactorAlfa[[Ticker]:[Weight]],2,FALSE),0%)</f>
        <v>0</v>
      </c>
      <c r="AVF8" s="179">
        <f>IFERROR(VLOOKUP(AVF$1,FactorAlfa[[Ticker]:[Weight]],2,FALSE),0%)</f>
        <v>0</v>
      </c>
      <c r="AVG8" s="179">
        <f>IFERROR(VLOOKUP(AVG$1,FactorAlfa[[Ticker]:[Weight]],2,FALSE),0%)</f>
        <v>0</v>
      </c>
      <c r="AVH8" s="179">
        <f>IFERROR(VLOOKUP(AVH$1,FactorAlfa[[Ticker]:[Weight]],2,FALSE),0%)</f>
        <v>0</v>
      </c>
      <c r="AVI8" s="179">
        <f>IFERROR(VLOOKUP(AVI$1,FactorAlfa[[Ticker]:[Weight]],2,FALSE),0%)</f>
        <v>0</v>
      </c>
      <c r="AVJ8" s="179">
        <f>IFERROR(VLOOKUP(AVJ$1,FactorAlfa[[Ticker]:[Weight]],2,FALSE),0%)</f>
        <v>0</v>
      </c>
      <c r="AVK8" s="179">
        <f>IFERROR(VLOOKUP(AVK$1,FactorAlfa[[Ticker]:[Weight]],2,FALSE),0%)</f>
        <v>0</v>
      </c>
      <c r="AVL8" s="179">
        <f>IFERROR(VLOOKUP(AVL$1,FactorAlfa[[Ticker]:[Weight]],2,FALSE),0%)</f>
        <v>0</v>
      </c>
      <c r="AVM8" s="179">
        <f>IFERROR(VLOOKUP(AVM$1,FactorAlfa[[Ticker]:[Weight]],2,FALSE),0%)</f>
        <v>0</v>
      </c>
      <c r="AVN8" s="179">
        <f>IFERROR(VLOOKUP(AVN$1,FactorAlfa[[Ticker]:[Weight]],2,FALSE),0%)</f>
        <v>0</v>
      </c>
      <c r="AVO8" s="179">
        <f>IFERROR(VLOOKUP(AVO$1,FactorAlfa[[Ticker]:[Weight]],2,FALSE),0%)</f>
        <v>0</v>
      </c>
      <c r="AVP8" s="179">
        <f>IFERROR(VLOOKUP(AVP$1,FactorAlfa[[Ticker]:[Weight]],2,FALSE),0%)</f>
        <v>0</v>
      </c>
      <c r="AVQ8" s="179">
        <f>IFERROR(VLOOKUP(AVQ$1,FactorAlfa[[Ticker]:[Weight]],2,FALSE),0%)</f>
        <v>0</v>
      </c>
      <c r="AVR8" s="179">
        <f>IFERROR(VLOOKUP(AVR$1,FactorAlfa[[Ticker]:[Weight]],2,FALSE),0%)</f>
        <v>0</v>
      </c>
      <c r="AVS8" s="179">
        <f>IFERROR(VLOOKUP(AVS$1,FactorAlfa[[Ticker]:[Weight]],2,FALSE),0%)</f>
        <v>0</v>
      </c>
      <c r="AVT8" s="179">
        <f>IFERROR(VLOOKUP(AVT$1,FactorAlfa[[Ticker]:[Weight]],2,FALSE),0%)</f>
        <v>0</v>
      </c>
      <c r="AVU8" s="179">
        <f>IFERROR(VLOOKUP(AVU$1,FactorAlfa[[Ticker]:[Weight]],2,FALSE),0%)</f>
        <v>0</v>
      </c>
      <c r="AVV8" s="179">
        <f>IFERROR(VLOOKUP(AVV$1,FactorAlfa[[Ticker]:[Weight]],2,FALSE),0%)</f>
        <v>0</v>
      </c>
      <c r="AVW8" s="179">
        <f>IFERROR(VLOOKUP(AVW$1,FactorAlfa[[Ticker]:[Weight]],2,FALSE),0%)</f>
        <v>0</v>
      </c>
      <c r="AVX8" s="179">
        <f>IFERROR(VLOOKUP(AVX$1,FactorAlfa[[Ticker]:[Weight]],2,FALSE),0%)</f>
        <v>0</v>
      </c>
      <c r="AVY8" s="179">
        <f>IFERROR(VLOOKUP(AVY$1,FactorAlfa[[Ticker]:[Weight]],2,FALSE),0%)</f>
        <v>0</v>
      </c>
      <c r="AVZ8" s="179">
        <f>IFERROR(VLOOKUP(AVZ$1,FactorAlfa[[Ticker]:[Weight]],2,FALSE),0%)</f>
        <v>0</v>
      </c>
      <c r="AWA8" s="179">
        <f>IFERROR(VLOOKUP(AWA$1,FactorAlfa[[Ticker]:[Weight]],2,FALSE),0%)</f>
        <v>0.04166</v>
      </c>
      <c r="AWB8" s="179">
        <f>IFERROR(VLOOKUP(AWB$1,FactorAlfa[[Ticker]:[Weight]],2,FALSE),0%)</f>
        <v>0</v>
      </c>
      <c r="AWC8" s="179">
        <f>IFERROR(VLOOKUP(AWC$1,FactorAlfa[[Ticker]:[Weight]],2,FALSE),0%)</f>
        <v>0</v>
      </c>
      <c r="AWD8" s="179">
        <f>IFERROR(VLOOKUP(AWD$1,FactorAlfa[[Ticker]:[Weight]],2,FALSE),0%)</f>
        <v>0</v>
      </c>
      <c r="AWE8" s="179">
        <f>IFERROR(VLOOKUP(AWE$1,FactorAlfa[[Ticker]:[Weight]],2,FALSE),0%)</f>
        <v>0</v>
      </c>
      <c r="AWF8" s="179">
        <f>IFERROR(VLOOKUP(AWF$1,FactorAlfa[[Ticker]:[Weight]],2,FALSE),0%)</f>
        <v>0</v>
      </c>
      <c r="AWG8" s="179">
        <f>IFERROR(VLOOKUP(AWG$1,FactorAlfa[[Ticker]:[Weight]],2,FALSE),0%)</f>
        <v>0</v>
      </c>
      <c r="AWH8" s="179">
        <f>IFERROR(VLOOKUP(AWH$1,FactorAlfa[[Ticker]:[Weight]],2,FALSE),0%)</f>
        <v>0</v>
      </c>
      <c r="AWI8" s="179">
        <f>IFERROR(VLOOKUP(AWI$1,FactorAlfa[[Ticker]:[Weight]],2,FALSE),0%)</f>
        <v>0</v>
      </c>
      <c r="AWJ8" s="179">
        <f>IFERROR(VLOOKUP(AWJ$1,FactorAlfa[[Ticker]:[Weight]],2,FALSE),0%)</f>
        <v>0</v>
      </c>
      <c r="AWK8" s="179">
        <f>IFERROR(VLOOKUP(AWK$1,FactorAlfa[[Ticker]:[Weight]],2,FALSE),0%)</f>
        <v>0</v>
      </c>
      <c r="AWL8" s="179">
        <f>IFERROR(VLOOKUP(AWL$1,FactorAlfa[[Ticker]:[Weight]],2,FALSE),0%)</f>
        <v>0</v>
      </c>
      <c r="AWM8" s="179">
        <f>IFERROR(VLOOKUP(AWM$1,FactorAlfa[[Ticker]:[Weight]],2,FALSE),0%)</f>
        <v>0</v>
      </c>
      <c r="AWN8" s="179">
        <f>IFERROR(VLOOKUP(AWN$1,FactorAlfa[[Ticker]:[Weight]],2,FALSE),0%)</f>
        <v>0</v>
      </c>
      <c r="AWO8" s="179">
        <f>IFERROR(VLOOKUP(AWO$1,FactorAlfa[[Ticker]:[Weight]],2,FALSE),0%)</f>
        <v>0</v>
      </c>
      <c r="AWP8" s="179">
        <f>IFERROR(VLOOKUP(AWP$1,FactorAlfa[[Ticker]:[Weight]],2,FALSE),0%)</f>
        <v>0</v>
      </c>
      <c r="AWQ8" s="179">
        <f>IFERROR(VLOOKUP(AWQ$1,FactorAlfa[[Ticker]:[Weight]],2,FALSE),0%)</f>
        <v>0</v>
      </c>
      <c r="AWR8" s="179">
        <f>IFERROR(VLOOKUP(AWR$1,FactorAlfa[[Ticker]:[Weight]],2,FALSE),0%)</f>
        <v>0</v>
      </c>
      <c r="AWS8" s="179">
        <f>IFERROR(VLOOKUP(AWS$1,FactorAlfa[[Ticker]:[Weight]],2,FALSE),0%)</f>
        <v>0</v>
      </c>
      <c r="AWT8" s="179">
        <f>IFERROR(VLOOKUP(AWT$1,FactorAlfa[[Ticker]:[Weight]],2,FALSE),0%)</f>
        <v>0</v>
      </c>
      <c r="AWU8" s="179">
        <f>IFERROR(VLOOKUP(AWU$1,FactorAlfa[[Ticker]:[Weight]],2,FALSE),0%)</f>
        <v>0</v>
      </c>
      <c r="AWV8" s="179">
        <f>IFERROR(VLOOKUP(AWV$1,FactorAlfa[[Ticker]:[Weight]],2,FALSE),0%)</f>
        <v>0</v>
      </c>
      <c r="AWW8" s="179">
        <f>IFERROR(VLOOKUP(AWW$1,FactorAlfa[[Ticker]:[Weight]],2,FALSE),0%)</f>
        <v>0</v>
      </c>
      <c r="AWX8" s="179">
        <f>IFERROR(VLOOKUP(AWX$1,FactorAlfa[[Ticker]:[Weight]],2,FALSE),0%)</f>
        <v>0</v>
      </c>
      <c r="AWY8" s="179">
        <f>IFERROR(VLOOKUP(AWY$1,FactorAlfa[[Ticker]:[Weight]],2,FALSE),0%)</f>
        <v>0</v>
      </c>
      <c r="AWZ8" s="179">
        <f>IFERROR(VLOOKUP(AWZ$1,FactorAlfa[[Ticker]:[Weight]],2,FALSE),0%)</f>
        <v>0</v>
      </c>
      <c r="AXA8" s="179">
        <f>IFERROR(VLOOKUP(AXA$1,FactorAlfa[[Ticker]:[Weight]],2,FALSE),0%)</f>
        <v>0</v>
      </c>
      <c r="AXB8" s="179">
        <f>IFERROR(VLOOKUP(AXB$1,FactorAlfa[[Ticker]:[Weight]],2,FALSE),0%)</f>
        <v>0</v>
      </c>
      <c r="AXC8" s="179">
        <f>IFERROR(VLOOKUP(AXC$1,FactorAlfa[[Ticker]:[Weight]],2,FALSE),0%)</f>
        <v>0</v>
      </c>
      <c r="AXD8" s="179">
        <f>IFERROR(VLOOKUP(AXD$1,FactorAlfa[[Ticker]:[Weight]],2,FALSE),0%)</f>
        <v>0</v>
      </c>
      <c r="AXE8" s="179">
        <f>IFERROR(VLOOKUP(AXE$1,FactorAlfa[[Ticker]:[Weight]],2,FALSE),0%)</f>
        <v>0</v>
      </c>
      <c r="AXF8" s="179">
        <f>IFERROR(VLOOKUP(AXF$1,FactorAlfa[[Ticker]:[Weight]],2,FALSE),0%)</f>
        <v>0</v>
      </c>
      <c r="AXG8" s="179">
        <f>IFERROR(VLOOKUP(AXG$1,FactorAlfa[[Ticker]:[Weight]],2,FALSE),0%)</f>
        <v>0</v>
      </c>
      <c r="AXH8" s="179">
        <f>IFERROR(VLOOKUP(AXH$1,FactorAlfa[[Ticker]:[Weight]],2,FALSE),0%)</f>
        <v>0</v>
      </c>
      <c r="AXI8" s="179">
        <f>IFERROR(VLOOKUP(AXI$1,FactorAlfa[[Ticker]:[Weight]],2,FALSE),0%)</f>
        <v>0</v>
      </c>
      <c r="AXJ8" s="179">
        <f>IFERROR(VLOOKUP(AXJ$1,FactorAlfa[[Ticker]:[Weight]],2,FALSE),0%)</f>
        <v>0</v>
      </c>
      <c r="AXK8" s="179">
        <f>IFERROR(VLOOKUP(AXK$1,FactorAlfa[[Ticker]:[Weight]],2,FALSE),0%)</f>
        <v>0</v>
      </c>
      <c r="AXL8" s="179">
        <f>IFERROR(VLOOKUP(AXL$1,FactorAlfa[[Ticker]:[Weight]],2,FALSE),0%)</f>
        <v>0</v>
      </c>
      <c r="AXM8" s="179">
        <f>IFERROR(VLOOKUP(AXM$1,FactorAlfa[[Ticker]:[Weight]],2,FALSE),0%)</f>
        <v>0</v>
      </c>
      <c r="AXN8" s="179">
        <f>IFERROR(VLOOKUP(AXN$1,FactorAlfa[[Ticker]:[Weight]],2,FALSE),0%)</f>
        <v>0</v>
      </c>
      <c r="AXO8" s="179">
        <f>IFERROR(VLOOKUP(AXO$1,FactorAlfa[[Ticker]:[Weight]],2,FALSE),0%)</f>
        <v>0</v>
      </c>
      <c r="AXP8" s="179">
        <f>IFERROR(VLOOKUP(AXP$1,FactorAlfa[[Ticker]:[Weight]],2,FALSE),0%)</f>
        <v>0</v>
      </c>
      <c r="AXQ8" s="179">
        <f>IFERROR(VLOOKUP(AXQ$1,FactorAlfa[[Ticker]:[Weight]],2,FALSE),0%)</f>
        <v>0</v>
      </c>
      <c r="AXR8" s="179">
        <f>IFERROR(VLOOKUP(AXR$1,FactorAlfa[[Ticker]:[Weight]],2,FALSE),0%)</f>
        <v>0</v>
      </c>
      <c r="AXS8" s="179">
        <f>IFERROR(VLOOKUP(AXS$1,FactorAlfa[[Ticker]:[Weight]],2,FALSE),0%)</f>
        <v>0</v>
      </c>
      <c r="AXT8" s="179">
        <f>IFERROR(VLOOKUP(AXT$1,FactorAlfa[[Ticker]:[Weight]],2,FALSE),0%)</f>
        <v>0</v>
      </c>
      <c r="AXU8" s="179">
        <f>IFERROR(VLOOKUP(AXU$1,FactorAlfa[[Ticker]:[Weight]],2,FALSE),0%)</f>
        <v>0</v>
      </c>
      <c r="AXV8" s="179">
        <f>IFERROR(VLOOKUP(AXV$1,FactorAlfa[[Ticker]:[Weight]],2,FALSE),0%)</f>
        <v>0</v>
      </c>
      <c r="AXW8" s="179">
        <f>IFERROR(VLOOKUP(AXW$1,FactorAlfa[[Ticker]:[Weight]],2,FALSE),0%)</f>
        <v>0</v>
      </c>
      <c r="AXX8" s="179">
        <f>IFERROR(VLOOKUP(AXX$1,FactorAlfa[[Ticker]:[Weight]],2,FALSE),0%)</f>
        <v>0</v>
      </c>
      <c r="AXY8" s="179">
        <f>IFERROR(VLOOKUP(AXY$1,FactorAlfa[[Ticker]:[Weight]],2,FALSE),0%)</f>
        <v>0</v>
      </c>
      <c r="AXZ8" s="179">
        <f>IFERROR(VLOOKUP(AXZ$1,FactorAlfa[[Ticker]:[Weight]],2,FALSE),0%)</f>
        <v>0</v>
      </c>
      <c r="AYA8" s="179">
        <f>IFERROR(VLOOKUP(AYA$1,FactorAlfa[[Ticker]:[Weight]],2,FALSE),0%)</f>
        <v>0</v>
      </c>
      <c r="AYB8" s="179">
        <f>IFERROR(VLOOKUP(AYB$1,FactorAlfa[[Ticker]:[Weight]],2,FALSE),0%)</f>
        <v>0</v>
      </c>
      <c r="AYC8" s="179">
        <f>IFERROR(VLOOKUP(AYC$1,FactorAlfa[[Ticker]:[Weight]],2,FALSE),0%)</f>
        <v>0</v>
      </c>
      <c r="AYD8" s="179">
        <f>IFERROR(VLOOKUP(AYD$1,FactorAlfa[[Ticker]:[Weight]],2,FALSE),0%)</f>
        <v>0</v>
      </c>
      <c r="AYE8" s="179">
        <f>IFERROR(VLOOKUP(AYE$1,FactorAlfa[[Ticker]:[Weight]],2,FALSE),0%)</f>
        <v>0</v>
      </c>
      <c r="AYF8" s="179">
        <f>IFERROR(VLOOKUP(AYF$1,FactorAlfa[[Ticker]:[Weight]],2,FALSE),0%)</f>
        <v>0</v>
      </c>
      <c r="AYG8" s="179">
        <f>IFERROR(VLOOKUP(AYG$1,FactorAlfa[[Ticker]:[Weight]],2,FALSE),0%)</f>
        <v>0</v>
      </c>
      <c r="AYH8" s="179">
        <f>IFERROR(VLOOKUP(AYH$1,FactorAlfa[[Ticker]:[Weight]],2,FALSE),0%)</f>
        <v>0</v>
      </c>
      <c r="AYI8" s="179">
        <f>IFERROR(VLOOKUP(AYI$1,FactorAlfa[[Ticker]:[Weight]],2,FALSE),0%)</f>
        <v>0</v>
      </c>
      <c r="AYJ8" s="179">
        <f>IFERROR(VLOOKUP(AYJ$1,FactorAlfa[[Ticker]:[Weight]],2,FALSE),0%)</f>
        <v>0</v>
      </c>
      <c r="AYK8" s="179">
        <f>IFERROR(VLOOKUP(AYK$1,FactorAlfa[[Ticker]:[Weight]],2,FALSE),0%)</f>
        <v>0</v>
      </c>
      <c r="AYL8" s="179">
        <f>IFERROR(VLOOKUP(AYL$1,FactorAlfa[[Ticker]:[Weight]],2,FALSE),0%)</f>
        <v>0</v>
      </c>
      <c r="AYM8" s="179">
        <f>IFERROR(VLOOKUP(AYM$1,FactorAlfa[[Ticker]:[Weight]],2,FALSE),0%)</f>
        <v>0</v>
      </c>
      <c r="AYN8" s="179">
        <f>IFERROR(VLOOKUP(AYN$1,FactorAlfa[[Ticker]:[Weight]],2,FALSE),0%)</f>
        <v>0</v>
      </c>
      <c r="AYO8" s="179">
        <f>IFERROR(VLOOKUP(AYO$1,FactorAlfa[[Ticker]:[Weight]],2,FALSE),0%)</f>
        <v>0</v>
      </c>
      <c r="AYP8" s="179">
        <f>IFERROR(VLOOKUP(AYP$1,FactorAlfa[[Ticker]:[Weight]],2,FALSE),0%)</f>
        <v>0</v>
      </c>
      <c r="AYQ8" s="179">
        <f>IFERROR(VLOOKUP(AYQ$1,FactorAlfa[[Ticker]:[Weight]],2,FALSE),0%)</f>
        <v>0</v>
      </c>
      <c r="AYR8" s="179">
        <f>IFERROR(VLOOKUP(AYR$1,FactorAlfa[[Ticker]:[Weight]],2,FALSE),0%)</f>
        <v>0</v>
      </c>
      <c r="AYS8" s="179">
        <f>IFERROR(VLOOKUP(AYS$1,FactorAlfa[[Ticker]:[Weight]],2,FALSE),0%)</f>
        <v>0</v>
      </c>
      <c r="AYT8" s="179">
        <f>IFERROR(VLOOKUP(AYT$1,FactorAlfa[[Ticker]:[Weight]],2,FALSE),0%)</f>
        <v>0</v>
      </c>
      <c r="AYU8" s="179">
        <f>IFERROR(VLOOKUP(AYU$1,FactorAlfa[[Ticker]:[Weight]],2,FALSE),0%)</f>
        <v>0</v>
      </c>
      <c r="AYV8" s="179">
        <f>IFERROR(VLOOKUP(AYV$1,FactorAlfa[[Ticker]:[Weight]],2,FALSE),0%)</f>
        <v>0</v>
      </c>
      <c r="AYW8" s="179">
        <f>IFERROR(VLOOKUP(AYW$1,FactorAlfa[[Ticker]:[Weight]],2,FALSE),0%)</f>
        <v>0</v>
      </c>
      <c r="AYX8" s="179">
        <f>IFERROR(VLOOKUP(AYX$1,FactorAlfa[[Ticker]:[Weight]],2,FALSE),0%)</f>
        <v>0</v>
      </c>
      <c r="AYY8" s="179">
        <f>IFERROR(VLOOKUP(AYY$1,FactorAlfa[[Ticker]:[Weight]],2,FALSE),0%)</f>
        <v>0</v>
      </c>
      <c r="AYZ8" s="179">
        <f>IFERROR(VLOOKUP(AYZ$1,FactorAlfa[[Ticker]:[Weight]],2,FALSE),0%)</f>
        <v>0</v>
      </c>
      <c r="AZA8" s="179">
        <f>IFERROR(VLOOKUP(AZA$1,FactorAlfa[[Ticker]:[Weight]],2,FALSE),0%)</f>
        <v>0</v>
      </c>
      <c r="AZB8" s="179">
        <f>IFERROR(VLOOKUP(AZB$1,FactorAlfa[[Ticker]:[Weight]],2,FALSE),0%)</f>
        <v>0</v>
      </c>
      <c r="AZC8" s="179">
        <f>IFERROR(VLOOKUP(AZC$1,FactorAlfa[[Ticker]:[Weight]],2,FALSE),0%)</f>
        <v>0</v>
      </c>
      <c r="AZD8" s="179">
        <f>IFERROR(VLOOKUP(AZD$1,FactorAlfa[[Ticker]:[Weight]],2,FALSE),0%)</f>
        <v>0</v>
      </c>
      <c r="AZE8" s="179">
        <f>IFERROR(VLOOKUP(AZE$1,FactorAlfa[[Ticker]:[Weight]],2,FALSE),0%)</f>
        <v>0</v>
      </c>
      <c r="AZF8" s="179">
        <f>IFERROR(VLOOKUP(AZF$1,FactorAlfa[[Ticker]:[Weight]],2,FALSE),0%)</f>
        <v>0</v>
      </c>
      <c r="AZG8" s="179">
        <f>IFERROR(VLOOKUP(AZG$1,FactorAlfa[[Ticker]:[Weight]],2,FALSE),0%)</f>
        <v>0</v>
      </c>
      <c r="AZH8" s="179">
        <f>IFERROR(VLOOKUP(AZH$1,FactorAlfa[[Ticker]:[Weight]],2,FALSE),0%)</f>
        <v>0</v>
      </c>
      <c r="AZI8" s="179">
        <f>IFERROR(VLOOKUP(AZI$1,FactorAlfa[[Ticker]:[Weight]],2,FALSE),0%)</f>
        <v>0</v>
      </c>
      <c r="AZJ8" s="179">
        <f>IFERROR(VLOOKUP(AZJ$1,FactorAlfa[[Ticker]:[Weight]],2,FALSE),0%)</f>
        <v>0</v>
      </c>
      <c r="AZK8" s="179">
        <f>IFERROR(VLOOKUP(AZK$1,FactorAlfa[[Ticker]:[Weight]],2,FALSE),0%)</f>
        <v>0</v>
      </c>
      <c r="AZL8" s="179">
        <f>IFERROR(VLOOKUP(AZL$1,FactorAlfa[[Ticker]:[Weight]],2,FALSE),0%)</f>
        <v>0</v>
      </c>
      <c r="AZM8" s="179">
        <f>IFERROR(VLOOKUP(AZM$1,FactorAlfa[[Ticker]:[Weight]],2,FALSE),0%)</f>
        <v>0</v>
      </c>
      <c r="AZN8" s="179">
        <f>IFERROR(VLOOKUP(AZN$1,FactorAlfa[[Ticker]:[Weight]],2,FALSE),0%)</f>
        <v>0</v>
      </c>
      <c r="AZO8" s="179">
        <f>IFERROR(VLOOKUP(AZO$1,FactorAlfa[[Ticker]:[Weight]],2,FALSE),0%)</f>
        <v>0</v>
      </c>
      <c r="AZP8" s="179">
        <f>IFERROR(VLOOKUP(AZP$1,FactorAlfa[[Ticker]:[Weight]],2,FALSE),0%)</f>
        <v>0</v>
      </c>
      <c r="AZQ8" s="179">
        <f>IFERROR(VLOOKUP(AZQ$1,FactorAlfa[[Ticker]:[Weight]],2,FALSE),0%)</f>
        <v>0</v>
      </c>
      <c r="AZR8" s="179">
        <f>IFERROR(VLOOKUP(AZR$1,FactorAlfa[[Ticker]:[Weight]],2,FALSE),0%)</f>
        <v>0</v>
      </c>
      <c r="AZS8" s="179">
        <f>IFERROR(VLOOKUP(AZS$1,FactorAlfa[[Ticker]:[Weight]],2,FALSE),0%)</f>
        <v>0</v>
      </c>
      <c r="AZT8" s="179">
        <f>IFERROR(VLOOKUP(AZT$1,FactorAlfa[[Ticker]:[Weight]],2,FALSE),0%)</f>
        <v>0</v>
      </c>
      <c r="AZU8" s="179">
        <f>IFERROR(VLOOKUP(AZU$1,FactorAlfa[[Ticker]:[Weight]],2,FALSE),0%)</f>
        <v>0</v>
      </c>
      <c r="AZV8" s="179">
        <f>IFERROR(VLOOKUP(AZV$1,FactorAlfa[[Ticker]:[Weight]],2,FALSE),0%)</f>
        <v>0</v>
      </c>
      <c r="AZW8" s="179">
        <f>IFERROR(VLOOKUP(AZW$1,FactorAlfa[[Ticker]:[Weight]],2,FALSE),0%)</f>
        <v>0</v>
      </c>
      <c r="AZX8" s="179">
        <f>IFERROR(VLOOKUP(AZX$1,FactorAlfa[[Ticker]:[Weight]],2,FALSE),0%)</f>
        <v>0</v>
      </c>
      <c r="AZY8" s="179">
        <f>IFERROR(VLOOKUP(AZY$1,FactorAlfa[[Ticker]:[Weight]],2,FALSE),0%)</f>
        <v>0</v>
      </c>
      <c r="AZZ8" s="179">
        <f>IFERROR(VLOOKUP(AZZ$1,FactorAlfa[[Ticker]:[Weight]],2,FALSE),0%)</f>
        <v>0</v>
      </c>
      <c r="BAA8" s="179">
        <f>IFERROR(VLOOKUP(BAA$1,FactorAlfa[[Ticker]:[Weight]],2,FALSE),0%)</f>
        <v>0</v>
      </c>
      <c r="BAB8" s="179">
        <f>IFERROR(VLOOKUP(BAB$1,FactorAlfa[[Ticker]:[Weight]],2,FALSE),0%)</f>
        <v>0</v>
      </c>
      <c r="BAC8" s="179">
        <f>IFERROR(VLOOKUP(BAC$1,FactorAlfa[[Ticker]:[Weight]],2,FALSE),0%)</f>
        <v>0</v>
      </c>
      <c r="BAD8" s="179">
        <f>IFERROR(VLOOKUP(BAD$1,FactorAlfa[[Ticker]:[Weight]],2,FALSE),0%)</f>
        <v>0</v>
      </c>
      <c r="BAE8" s="179">
        <f>IFERROR(VLOOKUP(BAE$1,FactorAlfa[[Ticker]:[Weight]],2,FALSE),0%)</f>
        <v>0</v>
      </c>
      <c r="BAF8" s="179">
        <f>IFERROR(VLOOKUP(BAF$1,FactorAlfa[[Ticker]:[Weight]],2,FALSE),0%)</f>
        <v>0</v>
      </c>
      <c r="BAG8" s="179">
        <f>IFERROR(VLOOKUP(BAG$1,FactorAlfa[[Ticker]:[Weight]],2,FALSE),0%)</f>
        <v>0</v>
      </c>
      <c r="BAH8" s="179">
        <f>IFERROR(VLOOKUP(BAH$1,FactorAlfa[[Ticker]:[Weight]],2,FALSE),0%)</f>
        <v>0</v>
      </c>
      <c r="BAI8" s="179">
        <f>IFERROR(VLOOKUP(BAI$1,FactorAlfa[[Ticker]:[Weight]],2,FALSE),0%)</f>
        <v>0</v>
      </c>
      <c r="BAJ8" s="179">
        <f>IFERROR(VLOOKUP(BAJ$1,FactorAlfa[[Ticker]:[Weight]],2,FALSE),0%)</f>
        <v>0</v>
      </c>
      <c r="BAK8" s="179">
        <f>IFERROR(VLOOKUP(BAK$1,FactorAlfa[[Ticker]:[Weight]],2,FALSE),0%)</f>
        <v>0</v>
      </c>
      <c r="BAL8" s="179">
        <f>IFERROR(VLOOKUP(BAL$1,FactorAlfa[[Ticker]:[Weight]],2,FALSE),0%)</f>
        <v>0</v>
      </c>
      <c r="BAM8" s="179">
        <f>IFERROR(VLOOKUP(BAM$1,FactorAlfa[[Ticker]:[Weight]],2,FALSE),0%)</f>
        <v>0</v>
      </c>
      <c r="BAN8" s="179">
        <f>IFERROR(VLOOKUP(BAN$1,FactorAlfa[[Ticker]:[Weight]],2,FALSE),0%)</f>
        <v>0</v>
      </c>
      <c r="BAO8" s="179">
        <f>IFERROR(VLOOKUP(BAO$1,FactorAlfa[[Ticker]:[Weight]],2,FALSE),0%)</f>
        <v>0</v>
      </c>
      <c r="BAP8" s="179">
        <f>IFERROR(VLOOKUP(BAP$1,FactorAlfa[[Ticker]:[Weight]],2,FALSE),0%)</f>
        <v>0</v>
      </c>
      <c r="BAQ8" s="179">
        <f>IFERROR(VLOOKUP(BAQ$1,FactorAlfa[[Ticker]:[Weight]],2,FALSE),0%)</f>
        <v>0</v>
      </c>
      <c r="BAR8" s="179">
        <f>IFERROR(VLOOKUP(BAR$1,FactorAlfa[[Ticker]:[Weight]],2,FALSE),0%)</f>
        <v>0</v>
      </c>
      <c r="BAS8" s="179">
        <f>IFERROR(VLOOKUP(BAS$1,FactorAlfa[[Ticker]:[Weight]],2,FALSE),0%)</f>
        <v>0</v>
      </c>
      <c r="BAT8" s="179">
        <f>IFERROR(VLOOKUP(BAT$1,FactorAlfa[[Ticker]:[Weight]],2,FALSE),0%)</f>
        <v>0</v>
      </c>
      <c r="BAU8" s="179">
        <f>IFERROR(VLOOKUP(BAU$1,FactorAlfa[[Ticker]:[Weight]],2,FALSE),0%)</f>
        <v>0</v>
      </c>
      <c r="BAV8" s="179">
        <f>IFERROR(VLOOKUP(BAV$1,FactorAlfa[[Ticker]:[Weight]],2,FALSE),0%)</f>
        <v>0</v>
      </c>
      <c r="BAW8" s="179">
        <f>IFERROR(VLOOKUP(BAW$1,FactorAlfa[[Ticker]:[Weight]],2,FALSE),0%)</f>
        <v>0</v>
      </c>
      <c r="BAX8" s="179">
        <f>IFERROR(VLOOKUP(BAX$1,FactorAlfa[[Ticker]:[Weight]],2,FALSE),0%)</f>
        <v>0</v>
      </c>
      <c r="BAY8" s="179">
        <f>IFERROR(VLOOKUP(BAY$1,FactorAlfa[[Ticker]:[Weight]],2,FALSE),0%)</f>
        <v>0</v>
      </c>
      <c r="BAZ8" s="179">
        <f>IFERROR(VLOOKUP(BAZ$1,FactorAlfa[[Ticker]:[Weight]],2,FALSE),0%)</f>
        <v>0</v>
      </c>
      <c r="BBA8" s="179">
        <f>IFERROR(VLOOKUP(BBA$1,FactorAlfa[[Ticker]:[Weight]],2,FALSE),0%)</f>
        <v>0</v>
      </c>
      <c r="BBB8" s="179">
        <f>IFERROR(VLOOKUP(BBB$1,FactorAlfa[[Ticker]:[Weight]],2,FALSE),0%)</f>
        <v>0</v>
      </c>
      <c r="BBC8" s="179">
        <f>IFERROR(VLOOKUP(BBC$1,FactorAlfa[[Ticker]:[Weight]],2,FALSE),0%)</f>
        <v>0</v>
      </c>
      <c r="BBD8" s="179">
        <f>IFERROR(VLOOKUP(BBD$1,FactorAlfa[[Ticker]:[Weight]],2,FALSE),0%)</f>
        <v>0</v>
      </c>
      <c r="BBE8" s="179">
        <f>IFERROR(VLOOKUP(BBE$1,FactorAlfa[[Ticker]:[Weight]],2,FALSE),0%)</f>
        <v>0</v>
      </c>
      <c r="BBF8" s="179">
        <f>IFERROR(VLOOKUP(BBF$1,FactorAlfa[[Ticker]:[Weight]],2,FALSE),0%)</f>
        <v>0</v>
      </c>
      <c r="BBG8" s="179">
        <f>IFERROR(VLOOKUP(BBG$1,FactorAlfa[[Ticker]:[Weight]],2,FALSE),0%)</f>
        <v>0</v>
      </c>
      <c r="BBH8" s="179">
        <f>IFERROR(VLOOKUP(BBH$1,FactorAlfa[[Ticker]:[Weight]],2,FALSE),0%)</f>
        <v>0</v>
      </c>
      <c r="BBI8" s="179">
        <f>IFERROR(VLOOKUP(BBI$1,FactorAlfa[[Ticker]:[Weight]],2,FALSE),0%)</f>
        <v>0</v>
      </c>
      <c r="BBJ8" s="179">
        <f>IFERROR(VLOOKUP(BBJ$1,FactorAlfa[[Ticker]:[Weight]],2,FALSE),0%)</f>
        <v>0</v>
      </c>
      <c r="BBK8" s="179">
        <f>IFERROR(VLOOKUP(BBK$1,FactorAlfa[[Ticker]:[Weight]],2,FALSE),0%)</f>
        <v>0</v>
      </c>
      <c r="BBL8" s="179">
        <f>IFERROR(VLOOKUP(BBL$1,FactorAlfa[[Ticker]:[Weight]],2,FALSE),0%)</f>
        <v>0</v>
      </c>
      <c r="BBM8" s="179">
        <f>IFERROR(VLOOKUP(BBM$1,FactorAlfa[[Ticker]:[Weight]],2,FALSE),0%)</f>
        <v>0</v>
      </c>
      <c r="BBN8" s="179">
        <f>IFERROR(VLOOKUP(BBN$1,FactorAlfa[[Ticker]:[Weight]],2,FALSE),0%)</f>
        <v>0</v>
      </c>
      <c r="BBO8" s="179">
        <f>IFERROR(VLOOKUP(BBO$1,FactorAlfa[[Ticker]:[Weight]],2,FALSE),0%)</f>
        <v>0</v>
      </c>
      <c r="BBP8" s="179">
        <f>IFERROR(VLOOKUP(BBP$1,FactorAlfa[[Ticker]:[Weight]],2,FALSE),0%)</f>
        <v>0</v>
      </c>
      <c r="BBQ8" s="179">
        <f>IFERROR(VLOOKUP(BBQ$1,FactorAlfa[[Ticker]:[Weight]],2,FALSE),0%)</f>
        <v>0</v>
      </c>
      <c r="BBR8" s="179">
        <f>IFERROR(VLOOKUP(BBR$1,FactorAlfa[[Ticker]:[Weight]],2,FALSE),0%)</f>
        <v>0</v>
      </c>
      <c r="BBS8" s="179">
        <f>IFERROR(VLOOKUP(BBS$1,FactorAlfa[[Ticker]:[Weight]],2,FALSE),0%)</f>
        <v>0</v>
      </c>
      <c r="BBT8" s="179">
        <f>IFERROR(VLOOKUP(BBT$1,FactorAlfa[[Ticker]:[Weight]],2,FALSE),0%)</f>
        <v>0</v>
      </c>
      <c r="BBU8" s="179">
        <f>IFERROR(VLOOKUP(BBU$1,FactorAlfa[[Ticker]:[Weight]],2,FALSE),0%)</f>
        <v>0</v>
      </c>
      <c r="BBV8" s="179">
        <f>IFERROR(VLOOKUP(BBV$1,FactorAlfa[[Ticker]:[Weight]],2,FALSE),0%)</f>
        <v>0</v>
      </c>
      <c r="BBW8" s="179">
        <f>IFERROR(VLOOKUP(BBW$1,FactorAlfa[[Ticker]:[Weight]],2,FALSE),0%)</f>
        <v>0</v>
      </c>
      <c r="BBX8" s="179">
        <f>IFERROR(VLOOKUP(BBX$1,FactorAlfa[[Ticker]:[Weight]],2,FALSE),0%)</f>
        <v>0</v>
      </c>
      <c r="BBY8" s="179">
        <f>IFERROR(VLOOKUP(BBY$1,FactorAlfa[[Ticker]:[Weight]],2,FALSE),0%)</f>
        <v>0</v>
      </c>
      <c r="BBZ8" s="179">
        <f>IFERROR(VLOOKUP(BBZ$1,FactorAlfa[[Ticker]:[Weight]],2,FALSE),0%)</f>
        <v>0</v>
      </c>
      <c r="BCA8" s="179">
        <f>IFERROR(VLOOKUP(BCA$1,FactorAlfa[[Ticker]:[Weight]],2,FALSE),0%)</f>
        <v>0</v>
      </c>
      <c r="BCB8" s="179">
        <f>IFERROR(VLOOKUP(BCB$1,FactorAlfa[[Ticker]:[Weight]],2,FALSE),0%)</f>
        <v>0</v>
      </c>
      <c r="BCC8" s="179">
        <f>IFERROR(VLOOKUP(BCC$1,FactorAlfa[[Ticker]:[Weight]],2,FALSE),0%)</f>
        <v>0</v>
      </c>
      <c r="BCD8" s="179">
        <f>IFERROR(VLOOKUP(BCD$1,FactorAlfa[[Ticker]:[Weight]],2,FALSE),0%)</f>
        <v>0</v>
      </c>
      <c r="BCE8" s="179">
        <f>IFERROR(VLOOKUP(BCE$1,FactorAlfa[[Ticker]:[Weight]],2,FALSE),0%)</f>
        <v>0</v>
      </c>
      <c r="BCF8" s="179">
        <f>IFERROR(VLOOKUP(BCF$1,FactorAlfa[[Ticker]:[Weight]],2,FALSE),0%)</f>
        <v>0</v>
      </c>
      <c r="BCG8" s="179">
        <f>IFERROR(VLOOKUP(BCG$1,FactorAlfa[[Ticker]:[Weight]],2,FALSE),0%)</f>
        <v>0</v>
      </c>
      <c r="BCH8" s="179">
        <f>IFERROR(VLOOKUP(BCH$1,FactorAlfa[[Ticker]:[Weight]],2,FALSE),0%)</f>
        <v>0</v>
      </c>
      <c r="BCI8" s="179">
        <f>IFERROR(VLOOKUP(BCI$1,FactorAlfa[[Ticker]:[Weight]],2,FALSE),0%)</f>
        <v>0</v>
      </c>
      <c r="BCJ8" s="179">
        <f>IFERROR(VLOOKUP(BCJ$1,FactorAlfa[[Ticker]:[Weight]],2,FALSE),0%)</f>
        <v>0</v>
      </c>
      <c r="BCK8" s="179">
        <f>IFERROR(VLOOKUP(BCK$1,FactorAlfa[[Ticker]:[Weight]],2,FALSE),0%)</f>
        <v>0</v>
      </c>
      <c r="BCL8" s="179">
        <f>IFERROR(VLOOKUP(BCL$1,FactorAlfa[[Ticker]:[Weight]],2,FALSE),0%)</f>
        <v>0</v>
      </c>
      <c r="BCM8" s="179">
        <f>IFERROR(VLOOKUP(BCM$1,FactorAlfa[[Ticker]:[Weight]],2,FALSE),0%)</f>
        <v>0</v>
      </c>
      <c r="BCN8" s="179">
        <f>IFERROR(VLOOKUP(BCN$1,FactorAlfa[[Ticker]:[Weight]],2,FALSE),0%)</f>
        <v>0</v>
      </c>
      <c r="BCO8" s="179">
        <f>IFERROR(VLOOKUP(BCO$1,FactorAlfa[[Ticker]:[Weight]],2,FALSE),0%)</f>
        <v>0</v>
      </c>
      <c r="BCP8" s="179">
        <f>IFERROR(VLOOKUP(BCP$1,FactorAlfa[[Ticker]:[Weight]],2,FALSE),0%)</f>
        <v>0</v>
      </c>
      <c r="BCQ8" s="179">
        <f>IFERROR(VLOOKUP(BCQ$1,FactorAlfa[[Ticker]:[Weight]],2,FALSE),0%)</f>
        <v>0</v>
      </c>
      <c r="BCR8" s="179">
        <f>IFERROR(VLOOKUP(BCR$1,FactorAlfa[[Ticker]:[Weight]],2,FALSE),0%)</f>
        <v>0</v>
      </c>
      <c r="BCS8" s="179">
        <f>IFERROR(VLOOKUP(BCS$1,FactorAlfa[[Ticker]:[Weight]],2,FALSE),0%)</f>
        <v>0</v>
      </c>
      <c r="BCT8" s="179">
        <f>IFERROR(VLOOKUP(BCT$1,FactorAlfa[[Ticker]:[Weight]],2,FALSE),0%)</f>
        <v>0</v>
      </c>
      <c r="BCU8" s="179">
        <f>IFERROR(VLOOKUP(BCU$1,FactorAlfa[[Ticker]:[Weight]],2,FALSE),0%)</f>
        <v>0</v>
      </c>
      <c r="BCV8" s="179">
        <f>IFERROR(VLOOKUP(BCV$1,FactorAlfa[[Ticker]:[Weight]],2,FALSE),0%)</f>
        <v>0</v>
      </c>
      <c r="BCW8" s="179">
        <f>IFERROR(VLOOKUP(BCW$1,FactorAlfa[[Ticker]:[Weight]],2,FALSE),0%)</f>
        <v>0</v>
      </c>
      <c r="BCX8" s="179">
        <f>IFERROR(VLOOKUP(BCX$1,FactorAlfa[[Ticker]:[Weight]],2,FALSE),0%)</f>
        <v>0</v>
      </c>
      <c r="BCY8" s="179">
        <f>IFERROR(VLOOKUP(BCY$1,FactorAlfa[[Ticker]:[Weight]],2,FALSE),0%)</f>
        <v>0</v>
      </c>
      <c r="BCZ8" s="179">
        <f>IFERROR(VLOOKUP(BCZ$1,FactorAlfa[[Ticker]:[Weight]],2,FALSE),0%)</f>
        <v>0</v>
      </c>
      <c r="BDA8" s="179">
        <f>IFERROR(VLOOKUP(BDA$1,FactorAlfa[[Ticker]:[Weight]],2,FALSE),0%)</f>
        <v>0</v>
      </c>
      <c r="BDB8" s="179">
        <f>IFERROR(VLOOKUP(BDB$1,FactorAlfa[[Ticker]:[Weight]],2,FALSE),0%)</f>
        <v>0</v>
      </c>
      <c r="BDC8" s="179">
        <f>IFERROR(VLOOKUP(BDC$1,FactorAlfa[[Ticker]:[Weight]],2,FALSE),0%)</f>
        <v>0</v>
      </c>
      <c r="BDD8" s="179">
        <f>IFERROR(VLOOKUP(BDD$1,FactorAlfa[[Ticker]:[Weight]],2,FALSE),0%)</f>
        <v>0</v>
      </c>
      <c r="BDE8" s="179">
        <f>IFERROR(VLOOKUP(BDE$1,FactorAlfa[[Ticker]:[Weight]],2,FALSE),0%)</f>
        <v>0</v>
      </c>
      <c r="BDF8" s="179">
        <f>IFERROR(VLOOKUP(BDF$1,FactorAlfa[[Ticker]:[Weight]],2,FALSE),0%)</f>
        <v>0</v>
      </c>
      <c r="BDG8" s="179">
        <f>IFERROR(VLOOKUP(BDG$1,FactorAlfa[[Ticker]:[Weight]],2,FALSE),0%)</f>
        <v>0</v>
      </c>
      <c r="BDH8" s="179">
        <f>IFERROR(VLOOKUP(BDH$1,FactorAlfa[[Ticker]:[Weight]],2,FALSE),0%)</f>
        <v>0</v>
      </c>
      <c r="BDI8" s="179">
        <f>IFERROR(VLOOKUP(BDI$1,FactorAlfa[[Ticker]:[Weight]],2,FALSE),0%)</f>
        <v>0</v>
      </c>
      <c r="BDJ8" s="179">
        <f>IFERROR(VLOOKUP(BDJ$1,FactorAlfa[[Ticker]:[Weight]],2,FALSE),0%)</f>
        <v>0</v>
      </c>
      <c r="BDK8" s="179">
        <f>IFERROR(VLOOKUP(BDK$1,FactorAlfa[[Ticker]:[Weight]],2,FALSE),0%)</f>
        <v>0</v>
      </c>
      <c r="BDL8" s="179">
        <f>IFERROR(VLOOKUP(BDL$1,FactorAlfa[[Ticker]:[Weight]],2,FALSE),0%)</f>
        <v>0</v>
      </c>
      <c r="BDM8" s="179">
        <f>IFERROR(VLOOKUP(BDM$1,FactorAlfa[[Ticker]:[Weight]],2,FALSE),0%)</f>
        <v>0</v>
      </c>
      <c r="BDN8" s="179">
        <f>IFERROR(VLOOKUP(BDN$1,FactorAlfa[[Ticker]:[Weight]],2,FALSE),0%)</f>
        <v>0</v>
      </c>
      <c r="BDO8" s="179">
        <f>IFERROR(VLOOKUP(BDO$1,FactorAlfa[[Ticker]:[Weight]],2,FALSE),0%)</f>
        <v>0</v>
      </c>
      <c r="BDP8" s="179">
        <f>IFERROR(VLOOKUP(BDP$1,FactorAlfa[[Ticker]:[Weight]],2,FALSE),0%)</f>
        <v>0</v>
      </c>
      <c r="BDQ8" s="179">
        <f>IFERROR(VLOOKUP(BDQ$1,FactorAlfa[[Ticker]:[Weight]],2,FALSE),0%)</f>
        <v>0.04166</v>
      </c>
      <c r="BDR8" s="179">
        <f>IFERROR(VLOOKUP(BDR$1,FactorAlfa[[Ticker]:[Weight]],2,FALSE),0%)</f>
        <v>0</v>
      </c>
      <c r="BDS8" s="179">
        <f>IFERROR(VLOOKUP(BDS$1,FactorAlfa[[Ticker]:[Weight]],2,FALSE),0%)</f>
        <v>0</v>
      </c>
      <c r="BDT8" s="179">
        <f>IFERROR(VLOOKUP(BDT$1,FactorAlfa[[Ticker]:[Weight]],2,FALSE),0%)</f>
        <v>0</v>
      </c>
      <c r="BDU8" s="179">
        <f>IFERROR(VLOOKUP(BDU$1,FactorAlfa[[Ticker]:[Weight]],2,FALSE),0%)</f>
        <v>0</v>
      </c>
      <c r="BDV8" s="179">
        <f>IFERROR(VLOOKUP(BDV$1,FactorAlfa[[Ticker]:[Weight]],2,FALSE),0%)</f>
        <v>0</v>
      </c>
      <c r="BDW8" s="179">
        <f>IFERROR(VLOOKUP(BDW$1,FactorAlfa[[Ticker]:[Weight]],2,FALSE),0%)</f>
        <v>0</v>
      </c>
      <c r="BDX8" s="179">
        <f>IFERROR(VLOOKUP(BDX$1,FactorAlfa[[Ticker]:[Weight]],2,FALSE),0%)</f>
        <v>0</v>
      </c>
      <c r="BDY8" s="179">
        <f>IFERROR(VLOOKUP(BDY$1,FactorAlfa[[Ticker]:[Weight]],2,FALSE),0%)</f>
        <v>0</v>
      </c>
      <c r="BDZ8" s="179">
        <f>IFERROR(VLOOKUP(BDZ$1,FactorAlfa[[Ticker]:[Weight]],2,FALSE),0%)</f>
        <v>0</v>
      </c>
      <c r="BEA8" s="179">
        <f>IFERROR(VLOOKUP(BEA$1,FactorAlfa[[Ticker]:[Weight]],2,FALSE),0%)</f>
        <v>0</v>
      </c>
      <c r="BEB8" s="179">
        <f>IFERROR(VLOOKUP(BEB$1,FactorAlfa[[Ticker]:[Weight]],2,FALSE),0%)</f>
        <v>0</v>
      </c>
      <c r="BEC8" s="179">
        <f>IFERROR(VLOOKUP(BEC$1,FactorAlfa[[Ticker]:[Weight]],2,FALSE),0%)</f>
        <v>0</v>
      </c>
      <c r="BED8" s="179">
        <f>IFERROR(VLOOKUP(BED$1,FactorAlfa[[Ticker]:[Weight]],2,FALSE),0%)</f>
        <v>0</v>
      </c>
      <c r="BEE8" s="179">
        <f>IFERROR(VLOOKUP(BEE$1,FactorAlfa[[Ticker]:[Weight]],2,FALSE),0%)</f>
        <v>0</v>
      </c>
      <c r="BEF8" s="179">
        <f>IFERROR(VLOOKUP(BEF$1,FactorAlfa[[Ticker]:[Weight]],2,FALSE),0%)</f>
        <v>0</v>
      </c>
      <c r="BEG8" s="179">
        <f>IFERROR(VLOOKUP(BEG$1,FactorAlfa[[Ticker]:[Weight]],2,FALSE),0%)</f>
        <v>0</v>
      </c>
      <c r="BEH8" s="179">
        <f>IFERROR(VLOOKUP(BEH$1,FactorAlfa[[Ticker]:[Weight]],2,FALSE),0%)</f>
        <v>0</v>
      </c>
      <c r="BEI8" s="179">
        <f>IFERROR(VLOOKUP(BEI$1,FactorAlfa[[Ticker]:[Weight]],2,FALSE),0%)</f>
        <v>0</v>
      </c>
      <c r="BEJ8" s="179">
        <f>IFERROR(VLOOKUP(BEJ$1,FactorAlfa[[Ticker]:[Weight]],2,FALSE),0%)</f>
        <v>0</v>
      </c>
      <c r="BEK8" s="179">
        <f>IFERROR(VLOOKUP(BEK$1,FactorAlfa[[Ticker]:[Weight]],2,FALSE),0%)</f>
        <v>0</v>
      </c>
      <c r="BEL8" s="179">
        <f>IFERROR(VLOOKUP(BEL$1,FactorAlfa[[Ticker]:[Weight]],2,FALSE),0%)</f>
        <v>0</v>
      </c>
      <c r="BEM8" s="179">
        <f>IFERROR(VLOOKUP(BEM$1,FactorAlfa[[Ticker]:[Weight]],2,FALSE),0%)</f>
        <v>0</v>
      </c>
      <c r="BEN8" s="179">
        <f>IFERROR(VLOOKUP(BEN$1,FactorAlfa[[Ticker]:[Weight]],2,FALSE),0%)</f>
        <v>0</v>
      </c>
      <c r="BEO8" s="179">
        <f>IFERROR(VLOOKUP(BEO$1,FactorAlfa[[Ticker]:[Weight]],2,FALSE),0%)</f>
        <v>0</v>
      </c>
      <c r="BEP8" s="179">
        <f>IFERROR(VLOOKUP(BEP$1,FactorAlfa[[Ticker]:[Weight]],2,FALSE),0%)</f>
        <v>0</v>
      </c>
      <c r="BEQ8" s="179">
        <f>IFERROR(VLOOKUP(BEQ$1,FactorAlfa[[Ticker]:[Weight]],2,FALSE),0%)</f>
        <v>0</v>
      </c>
      <c r="BER8" s="179">
        <f>IFERROR(VLOOKUP(BER$1,FactorAlfa[[Ticker]:[Weight]],2,FALSE),0%)</f>
        <v>0</v>
      </c>
      <c r="BES8" s="179">
        <f>IFERROR(VLOOKUP(BES$1,FactorAlfa[[Ticker]:[Weight]],2,FALSE),0%)</f>
        <v>0</v>
      </c>
      <c r="BET8" s="179">
        <f>IFERROR(VLOOKUP(BET$1,FactorAlfa[[Ticker]:[Weight]],2,FALSE),0%)</f>
        <v>0</v>
      </c>
      <c r="BEU8" s="179">
        <f>IFERROR(VLOOKUP(BEU$1,FactorAlfa[[Ticker]:[Weight]],2,FALSE),0%)</f>
        <v>0</v>
      </c>
      <c r="BEV8" s="179">
        <f>IFERROR(VLOOKUP(BEV$1,FactorAlfa[[Ticker]:[Weight]],2,FALSE),0%)</f>
        <v>0</v>
      </c>
      <c r="BEW8" s="179">
        <f>IFERROR(VLOOKUP(BEW$1,FactorAlfa[[Ticker]:[Weight]],2,FALSE),0%)</f>
        <v>0</v>
      </c>
      <c r="BEX8" s="179">
        <f>IFERROR(VLOOKUP(BEX$1,FactorAlfa[[Ticker]:[Weight]],2,FALSE),0%)</f>
        <v>0</v>
      </c>
      <c r="BEY8" s="179">
        <f>IFERROR(VLOOKUP(BEY$1,FactorAlfa[[Ticker]:[Weight]],2,FALSE),0%)</f>
        <v>0</v>
      </c>
      <c r="BEZ8" s="179">
        <f>IFERROR(VLOOKUP(BEZ$1,FactorAlfa[[Ticker]:[Weight]],2,FALSE),0%)</f>
        <v>0</v>
      </c>
      <c r="BFA8" s="179">
        <f>IFERROR(VLOOKUP(BFA$1,FactorAlfa[[Ticker]:[Weight]],2,FALSE),0%)</f>
        <v>0</v>
      </c>
      <c r="BFB8" s="179">
        <f>IFERROR(VLOOKUP(BFB$1,FactorAlfa[[Ticker]:[Weight]],2,FALSE),0%)</f>
        <v>0.04166</v>
      </c>
      <c r="BFC8" s="179">
        <f>IFERROR(VLOOKUP(BFC$1,FactorAlfa[[Ticker]:[Weight]],2,FALSE),0%)</f>
        <v>0</v>
      </c>
      <c r="BFD8" s="179">
        <f>IFERROR(VLOOKUP(BFD$1,FactorAlfa[[Ticker]:[Weight]],2,FALSE),0%)</f>
        <v>0</v>
      </c>
      <c r="BFE8" s="179">
        <f>IFERROR(VLOOKUP(BFE$1,FactorAlfa[[Ticker]:[Weight]],2,FALSE),0%)</f>
        <v>0</v>
      </c>
      <c r="BFF8" s="179">
        <f>IFERROR(VLOOKUP(BFF$1,FactorAlfa[[Ticker]:[Weight]],2,FALSE),0%)</f>
        <v>0</v>
      </c>
      <c r="BFG8" s="179">
        <f>IFERROR(VLOOKUP(BFG$1,FactorAlfa[[Ticker]:[Weight]],2,FALSE),0%)</f>
        <v>0</v>
      </c>
      <c r="BFH8" s="179">
        <f>IFERROR(VLOOKUP(BFH$1,FactorAlfa[[Ticker]:[Weight]],2,FALSE),0%)</f>
        <v>0</v>
      </c>
      <c r="BFI8" s="179">
        <f>IFERROR(VLOOKUP(BFI$1,FactorAlfa[[Ticker]:[Weight]],2,FALSE),0%)</f>
        <v>0</v>
      </c>
      <c r="BFJ8" s="179">
        <f>IFERROR(VLOOKUP(BFJ$1,FactorAlfa[[Ticker]:[Weight]],2,FALSE),0%)</f>
        <v>0</v>
      </c>
      <c r="BFK8" s="179">
        <f>IFERROR(VLOOKUP(BFK$1,FactorAlfa[[Ticker]:[Weight]],2,FALSE),0%)</f>
        <v>0</v>
      </c>
      <c r="BFL8" s="179">
        <f>IFERROR(VLOOKUP(BFL$1,FactorAlfa[[Ticker]:[Weight]],2,FALSE),0%)</f>
        <v>0</v>
      </c>
      <c r="BFM8" s="179">
        <f>IFERROR(VLOOKUP(BFM$1,FactorAlfa[[Ticker]:[Weight]],2,FALSE),0%)</f>
        <v>0</v>
      </c>
      <c r="BFN8" s="179">
        <f>IFERROR(VLOOKUP(BFN$1,FactorAlfa[[Ticker]:[Weight]],2,FALSE),0%)</f>
        <v>0</v>
      </c>
      <c r="BFO8" s="179">
        <f>IFERROR(VLOOKUP(BFO$1,FactorAlfa[[Ticker]:[Weight]],2,FALSE),0%)</f>
        <v>0</v>
      </c>
      <c r="BFP8" s="179">
        <f>IFERROR(VLOOKUP(BFP$1,FactorAlfa[[Ticker]:[Weight]],2,FALSE),0%)</f>
        <v>0</v>
      </c>
      <c r="BFQ8" s="179">
        <f>IFERROR(VLOOKUP(BFQ$1,FactorAlfa[[Ticker]:[Weight]],2,FALSE),0%)</f>
        <v>0</v>
      </c>
      <c r="BFR8" s="179">
        <f>IFERROR(VLOOKUP(BFR$1,FactorAlfa[[Ticker]:[Weight]],2,FALSE),0%)</f>
        <v>0</v>
      </c>
      <c r="BFS8" s="179">
        <f>IFERROR(VLOOKUP(BFS$1,FactorAlfa[[Ticker]:[Weight]],2,FALSE),0%)</f>
        <v>0</v>
      </c>
      <c r="BFT8" s="179">
        <f>IFERROR(VLOOKUP(BFT$1,FactorAlfa[[Ticker]:[Weight]],2,FALSE),0%)</f>
        <v>0.04166</v>
      </c>
      <c r="BFU8" s="179">
        <f>IFERROR(VLOOKUP(BFU$1,FactorAlfa[[Ticker]:[Weight]],2,FALSE),0%)</f>
        <v>0</v>
      </c>
      <c r="BFV8" s="179">
        <f>IFERROR(VLOOKUP(BFV$1,FactorAlfa[[Ticker]:[Weight]],2,FALSE),0%)</f>
        <v>0</v>
      </c>
      <c r="BFW8" s="179">
        <f>IFERROR(VLOOKUP(BFW$1,FactorAlfa[[Ticker]:[Weight]],2,FALSE),0%)</f>
        <v>0</v>
      </c>
      <c r="BFX8" s="179">
        <f>IFERROR(VLOOKUP(BFX$1,FactorAlfa[[Ticker]:[Weight]],2,FALSE),0%)</f>
        <v>0</v>
      </c>
      <c r="BFY8" s="179">
        <f>IFERROR(VLOOKUP(BFY$1,FactorAlfa[[Ticker]:[Weight]],2,FALSE),0%)</f>
        <v>0</v>
      </c>
      <c r="BFZ8" s="179">
        <f>IFERROR(VLOOKUP(BFZ$1,FactorAlfa[[Ticker]:[Weight]],2,FALSE),0%)</f>
        <v>0</v>
      </c>
      <c r="BGA8" s="179">
        <f>IFERROR(VLOOKUP(BGA$1,FactorAlfa[[Ticker]:[Weight]],2,FALSE),0%)</f>
        <v>0</v>
      </c>
      <c r="BGB8" s="179">
        <f>IFERROR(VLOOKUP(BGB$1,FactorAlfa[[Ticker]:[Weight]],2,FALSE),0%)</f>
        <v>0</v>
      </c>
      <c r="BGC8" s="179">
        <f>IFERROR(VLOOKUP(BGC$1,FactorAlfa[[Ticker]:[Weight]],2,FALSE),0%)</f>
        <v>0</v>
      </c>
      <c r="BGD8" s="179">
        <f>IFERROR(VLOOKUP(BGD$1,FactorAlfa[[Ticker]:[Weight]],2,FALSE),0%)</f>
        <v>0</v>
      </c>
      <c r="BGE8" s="179">
        <f>IFERROR(VLOOKUP(BGE$1,FactorAlfa[[Ticker]:[Weight]],2,FALSE),0%)</f>
        <v>0</v>
      </c>
      <c r="BGF8" s="179">
        <f>IFERROR(VLOOKUP(BGF$1,FactorAlfa[[Ticker]:[Weight]],2,FALSE),0%)</f>
        <v>0</v>
      </c>
      <c r="BGG8" s="179">
        <f>IFERROR(VLOOKUP(BGG$1,FactorAlfa[[Ticker]:[Weight]],2,FALSE),0%)</f>
        <v>0</v>
      </c>
      <c r="BGH8" s="179">
        <f>IFERROR(VLOOKUP(BGH$1,FactorAlfa[[Ticker]:[Weight]],2,FALSE),0%)</f>
        <v>0</v>
      </c>
      <c r="BGI8" s="179">
        <f>IFERROR(VLOOKUP(BGI$1,FactorAlfa[[Ticker]:[Weight]],2,FALSE),0%)</f>
        <v>0</v>
      </c>
      <c r="BGJ8" s="179">
        <f>IFERROR(VLOOKUP(BGJ$1,FactorAlfa[[Ticker]:[Weight]],2,FALSE),0%)</f>
        <v>0</v>
      </c>
      <c r="BGK8" s="179">
        <f>IFERROR(VLOOKUP(BGK$1,FactorAlfa[[Ticker]:[Weight]],2,FALSE),0%)</f>
        <v>0</v>
      </c>
      <c r="BGL8" s="179">
        <f>IFERROR(VLOOKUP(BGL$1,FactorAlfa[[Ticker]:[Weight]],2,FALSE),0%)</f>
        <v>0</v>
      </c>
      <c r="BGM8" s="179">
        <f>IFERROR(VLOOKUP(BGM$1,FactorAlfa[[Ticker]:[Weight]],2,FALSE),0%)</f>
        <v>0</v>
      </c>
      <c r="BGN8" s="179">
        <f>IFERROR(VLOOKUP(BGN$1,FactorAlfa[[Ticker]:[Weight]],2,FALSE),0%)</f>
        <v>0</v>
      </c>
      <c r="BGO8" s="179">
        <f>IFERROR(VLOOKUP(BGO$1,FactorAlfa[[Ticker]:[Weight]],2,FALSE),0%)</f>
        <v>0</v>
      </c>
      <c r="BGP8" s="179">
        <f>IFERROR(VLOOKUP(BGP$1,FactorAlfa[[Ticker]:[Weight]],2,FALSE),0%)</f>
        <v>0</v>
      </c>
      <c r="BGQ8" s="179">
        <f>IFERROR(VLOOKUP(BGQ$1,FactorAlfa[[Ticker]:[Weight]],2,FALSE),0%)</f>
        <v>0</v>
      </c>
      <c r="BGR8" s="179">
        <f>IFERROR(VLOOKUP(BGR$1,FactorAlfa[[Ticker]:[Weight]],2,FALSE),0%)</f>
        <v>0</v>
      </c>
      <c r="BGS8" s="179">
        <f>IFERROR(VLOOKUP(BGS$1,FactorAlfa[[Ticker]:[Weight]],2,FALSE),0%)</f>
        <v>0</v>
      </c>
      <c r="BGT8" s="179">
        <f>IFERROR(VLOOKUP(BGT$1,FactorAlfa[[Ticker]:[Weight]],2,FALSE),0%)</f>
        <v>0</v>
      </c>
      <c r="BGU8" s="179">
        <f>IFERROR(VLOOKUP(BGU$1,FactorAlfa[[Ticker]:[Weight]],2,FALSE),0%)</f>
        <v>0</v>
      </c>
      <c r="BGV8" s="179">
        <f>IFERROR(VLOOKUP(BGV$1,FactorAlfa[[Ticker]:[Weight]],2,FALSE),0%)</f>
        <v>0</v>
      </c>
      <c r="BGW8" s="179">
        <f>IFERROR(VLOOKUP(BGW$1,FactorAlfa[[Ticker]:[Weight]],2,FALSE),0%)</f>
        <v>0</v>
      </c>
      <c r="BGX8" s="179">
        <f>IFERROR(VLOOKUP(BGX$1,FactorAlfa[[Ticker]:[Weight]],2,FALSE),0%)</f>
        <v>0</v>
      </c>
      <c r="BGY8" s="179">
        <f>IFERROR(VLOOKUP(BGY$1,FactorAlfa[[Ticker]:[Weight]],2,FALSE),0%)</f>
        <v>0</v>
      </c>
      <c r="BGZ8" s="179">
        <f>IFERROR(VLOOKUP(BGZ$1,FactorAlfa[[Ticker]:[Weight]],2,FALSE),0%)</f>
        <v>0</v>
      </c>
      <c r="BHA8" s="179">
        <f>IFERROR(VLOOKUP(BHA$1,FactorAlfa[[Ticker]:[Weight]],2,FALSE),0%)</f>
        <v>0</v>
      </c>
      <c r="BHB8" s="179">
        <f>IFERROR(VLOOKUP(BHB$1,FactorAlfa[[Ticker]:[Weight]],2,FALSE),0%)</f>
        <v>0</v>
      </c>
      <c r="BHC8" s="179">
        <f>IFERROR(VLOOKUP(BHC$1,FactorAlfa[[Ticker]:[Weight]],2,FALSE),0%)</f>
        <v>0</v>
      </c>
      <c r="BHD8" s="179">
        <f>IFERROR(VLOOKUP(BHD$1,FactorAlfa[[Ticker]:[Weight]],2,FALSE),0%)</f>
        <v>0</v>
      </c>
      <c r="BHE8" s="179">
        <f>IFERROR(VLOOKUP(BHE$1,FactorAlfa[[Ticker]:[Weight]],2,FALSE),0%)</f>
        <v>0</v>
      </c>
      <c r="BHF8" s="179">
        <f>IFERROR(VLOOKUP(BHF$1,FactorAlfa[[Ticker]:[Weight]],2,FALSE),0%)</f>
        <v>0</v>
      </c>
      <c r="BHG8" s="179">
        <f>IFERROR(VLOOKUP(BHG$1,FactorAlfa[[Ticker]:[Weight]],2,FALSE),0%)</f>
        <v>0</v>
      </c>
      <c r="BHH8" s="179">
        <f>IFERROR(VLOOKUP(BHH$1,FactorAlfa[[Ticker]:[Weight]],2,FALSE),0%)</f>
        <v>0</v>
      </c>
      <c r="BHI8" s="179">
        <f>IFERROR(VLOOKUP(BHI$1,FactorAlfa[[Ticker]:[Weight]],2,FALSE),0%)</f>
        <v>0</v>
      </c>
      <c r="BHJ8" s="179">
        <f>IFERROR(VLOOKUP(BHJ$1,FactorAlfa[[Ticker]:[Weight]],2,FALSE),0%)</f>
        <v>0</v>
      </c>
      <c r="BHK8" s="179">
        <f>IFERROR(VLOOKUP(BHK$1,FactorAlfa[[Ticker]:[Weight]],2,FALSE),0%)</f>
        <v>0</v>
      </c>
      <c r="BHL8" s="179">
        <f>IFERROR(VLOOKUP(BHL$1,FactorAlfa[[Ticker]:[Weight]],2,FALSE),0%)</f>
        <v>0</v>
      </c>
      <c r="BHM8" s="179">
        <f>IFERROR(VLOOKUP(BHM$1,FactorAlfa[[Ticker]:[Weight]],2,FALSE),0%)</f>
        <v>0</v>
      </c>
      <c r="BHN8" s="179">
        <f>IFERROR(VLOOKUP(BHN$1,FactorAlfa[[Ticker]:[Weight]],2,FALSE),0%)</f>
        <v>0</v>
      </c>
      <c r="BHO8" s="179">
        <f>IFERROR(VLOOKUP(BHO$1,FactorAlfa[[Ticker]:[Weight]],2,FALSE),0%)</f>
        <v>0</v>
      </c>
      <c r="BHP8" s="179">
        <f>IFERROR(VLOOKUP(BHP$1,FactorAlfa[[Ticker]:[Weight]],2,FALSE),0%)</f>
        <v>0</v>
      </c>
      <c r="BHQ8" s="179">
        <f>IFERROR(VLOOKUP(BHQ$1,FactorAlfa[[Ticker]:[Weight]],2,FALSE),0%)</f>
        <v>0</v>
      </c>
      <c r="BHR8" s="179">
        <f>IFERROR(VLOOKUP(BHR$1,FactorAlfa[[Ticker]:[Weight]],2,FALSE),0%)</f>
        <v>0</v>
      </c>
      <c r="BHS8" s="179">
        <f>IFERROR(VLOOKUP(BHS$1,FactorAlfa[[Ticker]:[Weight]],2,FALSE),0%)</f>
        <v>0</v>
      </c>
      <c r="BHT8" s="179">
        <f>IFERROR(VLOOKUP(BHT$1,FactorAlfa[[Ticker]:[Weight]],2,FALSE),0%)</f>
        <v>0</v>
      </c>
      <c r="BHU8" s="179">
        <f>IFERROR(VLOOKUP(BHU$1,FactorAlfa[[Ticker]:[Weight]],2,FALSE),0%)</f>
        <v>0</v>
      </c>
      <c r="BHV8" s="179">
        <f>IFERROR(VLOOKUP(BHV$1,FactorAlfa[[Ticker]:[Weight]],2,FALSE),0%)</f>
        <v>0</v>
      </c>
      <c r="BHW8" s="179">
        <f>IFERROR(VLOOKUP(BHW$1,FactorAlfa[[Ticker]:[Weight]],2,FALSE),0%)</f>
        <v>0</v>
      </c>
      <c r="BHX8" s="179">
        <f>IFERROR(VLOOKUP(BHX$1,FactorAlfa[[Ticker]:[Weight]],2,FALSE),0%)</f>
        <v>0</v>
      </c>
      <c r="BHY8" s="179">
        <f>IFERROR(VLOOKUP(BHY$1,FactorAlfa[[Ticker]:[Weight]],2,FALSE),0%)</f>
        <v>0</v>
      </c>
      <c r="BHZ8" s="179">
        <f>IFERROR(VLOOKUP(BHZ$1,FactorAlfa[[Ticker]:[Weight]],2,FALSE),0%)</f>
        <v>0</v>
      </c>
      <c r="BIA8" s="179">
        <f>IFERROR(VLOOKUP(BIA$1,FactorAlfa[[Ticker]:[Weight]],2,FALSE),0%)</f>
        <v>0</v>
      </c>
      <c r="BIB8" s="179">
        <f>IFERROR(VLOOKUP(BIB$1,FactorAlfa[[Ticker]:[Weight]],2,FALSE),0%)</f>
        <v>0</v>
      </c>
      <c r="BIC8" s="179">
        <f>IFERROR(VLOOKUP(BIC$1,FactorAlfa[[Ticker]:[Weight]],2,FALSE),0%)</f>
        <v>0</v>
      </c>
      <c r="BID8" s="179">
        <f>IFERROR(VLOOKUP(BID$1,FactorAlfa[[Ticker]:[Weight]],2,FALSE),0%)</f>
        <v>0</v>
      </c>
      <c r="BIE8" s="179">
        <f>IFERROR(VLOOKUP(BIE$1,FactorAlfa[[Ticker]:[Weight]],2,FALSE),0%)</f>
        <v>0</v>
      </c>
      <c r="BIF8" s="179">
        <f>IFERROR(VLOOKUP(BIF$1,FactorAlfa[[Ticker]:[Weight]],2,FALSE),0%)</f>
        <v>0</v>
      </c>
      <c r="BIG8" s="179">
        <f>IFERROR(VLOOKUP(BIG$1,FactorAlfa[[Ticker]:[Weight]],2,FALSE),0%)</f>
        <v>0</v>
      </c>
      <c r="BIH8" s="179">
        <f>IFERROR(VLOOKUP(BIH$1,FactorAlfa[[Ticker]:[Weight]],2,FALSE),0%)</f>
        <v>0</v>
      </c>
      <c r="BII8" s="179">
        <f>IFERROR(VLOOKUP(BII$1,FactorAlfa[[Ticker]:[Weight]],2,FALSE),0%)</f>
        <v>0</v>
      </c>
      <c r="BIJ8" s="179">
        <f>IFERROR(VLOOKUP(BIJ$1,FactorAlfa[[Ticker]:[Weight]],2,FALSE),0%)</f>
        <v>0</v>
      </c>
      <c r="BIK8" s="179">
        <f>IFERROR(VLOOKUP(BIK$1,FactorAlfa[[Ticker]:[Weight]],2,FALSE),0%)</f>
        <v>0</v>
      </c>
      <c r="BIL8" s="179">
        <f>IFERROR(VLOOKUP(BIL$1,FactorAlfa[[Ticker]:[Weight]],2,FALSE),0%)</f>
        <v>0</v>
      </c>
      <c r="BIM8" s="179">
        <f>IFERROR(VLOOKUP(BIM$1,FactorAlfa[[Ticker]:[Weight]],2,FALSE),0%)</f>
        <v>0</v>
      </c>
      <c r="BIN8" s="179">
        <f>IFERROR(VLOOKUP(BIN$1,FactorAlfa[[Ticker]:[Weight]],2,FALSE),0%)</f>
        <v>0</v>
      </c>
      <c r="BIO8" s="179">
        <f>IFERROR(VLOOKUP(BIO$1,FactorAlfa[[Ticker]:[Weight]],2,FALSE),0%)</f>
        <v>0</v>
      </c>
      <c r="BIP8" s="179">
        <f>IFERROR(VLOOKUP(BIP$1,FactorAlfa[[Ticker]:[Weight]],2,FALSE),0%)</f>
        <v>0</v>
      </c>
      <c r="BIQ8" s="179">
        <f>IFERROR(VLOOKUP(BIQ$1,FactorAlfa[[Ticker]:[Weight]],2,FALSE),0%)</f>
        <v>0</v>
      </c>
      <c r="BIR8" s="179">
        <f>IFERROR(VLOOKUP(BIR$1,FactorAlfa[[Ticker]:[Weight]],2,FALSE),0%)</f>
        <v>0</v>
      </c>
      <c r="BIS8" s="179">
        <f>IFERROR(VLOOKUP(BIS$1,FactorAlfa[[Ticker]:[Weight]],2,FALSE),0%)</f>
        <v>0</v>
      </c>
      <c r="BIT8" s="179">
        <f>IFERROR(VLOOKUP(BIT$1,FactorAlfa[[Ticker]:[Weight]],2,FALSE),0%)</f>
        <v>0</v>
      </c>
      <c r="BIU8" s="179">
        <f>IFERROR(VLOOKUP(BIU$1,FactorAlfa[[Ticker]:[Weight]],2,FALSE),0%)</f>
        <v>0</v>
      </c>
      <c r="BIV8" s="179">
        <f>IFERROR(VLOOKUP(BIV$1,FactorAlfa[[Ticker]:[Weight]],2,FALSE),0%)</f>
        <v>0</v>
      </c>
      <c r="BIW8" s="179">
        <f>IFERROR(VLOOKUP(BIW$1,FactorAlfa[[Ticker]:[Weight]],2,FALSE),0%)</f>
        <v>0</v>
      </c>
      <c r="BIX8" s="179">
        <f>IFERROR(VLOOKUP(BIX$1,FactorAlfa[[Ticker]:[Weight]],2,FALSE),0%)</f>
        <v>0</v>
      </c>
      <c r="BIY8" s="179">
        <f>IFERROR(VLOOKUP(BIY$1,FactorAlfa[[Ticker]:[Weight]],2,FALSE),0%)</f>
        <v>0</v>
      </c>
      <c r="BIZ8" s="179">
        <f>IFERROR(VLOOKUP(BIZ$1,FactorAlfa[[Ticker]:[Weight]],2,FALSE),0%)</f>
        <v>0</v>
      </c>
      <c r="BJA8" s="179">
        <f>IFERROR(VLOOKUP(BJA$1,FactorAlfa[[Ticker]:[Weight]],2,FALSE),0%)</f>
        <v>0</v>
      </c>
      <c r="BJB8" s="179">
        <f>IFERROR(VLOOKUP(BJB$1,FactorAlfa[[Ticker]:[Weight]],2,FALSE),0%)</f>
        <v>0</v>
      </c>
      <c r="BJC8" s="179">
        <f>IFERROR(VLOOKUP(BJC$1,FactorAlfa[[Ticker]:[Weight]],2,FALSE),0%)</f>
        <v>0</v>
      </c>
      <c r="BJD8" s="179">
        <f>IFERROR(VLOOKUP(BJD$1,FactorAlfa[[Ticker]:[Weight]],2,FALSE),0%)</f>
        <v>0</v>
      </c>
      <c r="BJE8" s="179">
        <f>IFERROR(VLOOKUP(BJE$1,FactorAlfa[[Ticker]:[Weight]],2,FALSE),0%)</f>
        <v>0</v>
      </c>
      <c r="BJF8" s="179">
        <f>IFERROR(VLOOKUP(BJF$1,FactorAlfa[[Ticker]:[Weight]],2,FALSE),0%)</f>
        <v>0</v>
      </c>
      <c r="BJG8" s="179">
        <f>IFERROR(VLOOKUP(BJG$1,FactorAlfa[[Ticker]:[Weight]],2,FALSE),0%)</f>
        <v>0</v>
      </c>
      <c r="BJH8" s="179">
        <f>IFERROR(VLOOKUP(BJH$1,FactorAlfa[[Ticker]:[Weight]],2,FALSE),0%)</f>
        <v>0</v>
      </c>
      <c r="BJI8" s="179">
        <f>IFERROR(VLOOKUP(BJI$1,FactorAlfa[[Ticker]:[Weight]],2,FALSE),0%)</f>
        <v>0</v>
      </c>
      <c r="BJJ8" s="179">
        <f>IFERROR(VLOOKUP(BJJ$1,FactorAlfa[[Ticker]:[Weight]],2,FALSE),0%)</f>
        <v>0</v>
      </c>
      <c r="BJK8" s="179">
        <f>IFERROR(VLOOKUP(BJK$1,FactorAlfa[[Ticker]:[Weight]],2,FALSE),0%)</f>
        <v>0</v>
      </c>
      <c r="BJL8" s="179">
        <f>IFERROR(VLOOKUP(BJL$1,FactorAlfa[[Ticker]:[Weight]],2,FALSE),0%)</f>
        <v>0.04166</v>
      </c>
      <c r="BJM8" s="179">
        <f>IFERROR(VLOOKUP(BJM$1,FactorAlfa[[Ticker]:[Weight]],2,FALSE),0%)</f>
        <v>0</v>
      </c>
      <c r="BJN8" s="179">
        <f>IFERROR(VLOOKUP(BJN$1,FactorAlfa[[Ticker]:[Weight]],2,FALSE),0%)</f>
        <v>0</v>
      </c>
      <c r="BJO8" s="179">
        <f>IFERROR(VLOOKUP(BJO$1,FactorAlfa[[Ticker]:[Weight]],2,FALSE),0%)</f>
        <v>0</v>
      </c>
      <c r="BJP8" s="179">
        <f>IFERROR(VLOOKUP(BJP$1,FactorAlfa[[Ticker]:[Weight]],2,FALSE),0%)</f>
        <v>0</v>
      </c>
      <c r="BJQ8" s="179">
        <f>IFERROR(VLOOKUP(BJQ$1,FactorAlfa[[Ticker]:[Weight]],2,FALSE),0%)</f>
        <v>0</v>
      </c>
      <c r="BJR8" s="179">
        <f>IFERROR(VLOOKUP(BJR$1,FactorAlfa[[Ticker]:[Weight]],2,FALSE),0%)</f>
        <v>0</v>
      </c>
      <c r="BJS8" s="179">
        <f>IFERROR(VLOOKUP(BJS$1,FactorAlfa[[Ticker]:[Weight]],2,FALSE),0%)</f>
        <v>0</v>
      </c>
      <c r="BJT8" s="179">
        <f>IFERROR(VLOOKUP(BJT$1,FactorAlfa[[Ticker]:[Weight]],2,FALSE),0%)</f>
        <v>0</v>
      </c>
      <c r="BJU8" s="179">
        <f>IFERROR(VLOOKUP(BJU$1,FactorAlfa[[Ticker]:[Weight]],2,FALSE),0%)</f>
        <v>0</v>
      </c>
      <c r="BJV8" s="179">
        <f>IFERROR(VLOOKUP(BJV$1,FactorAlfa[[Ticker]:[Weight]],2,FALSE),0%)</f>
        <v>0.04166</v>
      </c>
      <c r="BJW8" s="179">
        <f>IFERROR(VLOOKUP(BJW$1,FactorAlfa[[Ticker]:[Weight]],2,FALSE),0%)</f>
        <v>0</v>
      </c>
      <c r="BJX8" s="179">
        <f>IFERROR(VLOOKUP(BJX$1,FactorAlfa[[Ticker]:[Weight]],2,FALSE),0%)</f>
        <v>0</v>
      </c>
      <c r="BJY8" s="179">
        <f>IFERROR(VLOOKUP(BJY$1,FactorAlfa[[Ticker]:[Weight]],2,FALSE),0%)</f>
        <v>0</v>
      </c>
      <c r="BJZ8" s="179">
        <f>IFERROR(VLOOKUP(BJZ$1,FactorAlfa[[Ticker]:[Weight]],2,FALSE),0%)</f>
        <v>0</v>
      </c>
      <c r="BKA8" s="179">
        <f>IFERROR(VLOOKUP(BKA$1,FactorAlfa[[Ticker]:[Weight]],2,FALSE),0%)</f>
        <v>0</v>
      </c>
      <c r="BKB8" s="179">
        <f>IFERROR(VLOOKUP(BKB$1,FactorAlfa[[Ticker]:[Weight]],2,FALSE),0%)</f>
        <v>0</v>
      </c>
      <c r="BKC8" s="179">
        <f>IFERROR(VLOOKUP(BKC$1,FactorAlfa[[Ticker]:[Weight]],2,FALSE),0%)</f>
        <v>0</v>
      </c>
      <c r="BKD8" s="179">
        <f>IFERROR(VLOOKUP(BKD$1,FactorAlfa[[Ticker]:[Weight]],2,FALSE),0%)</f>
        <v>0</v>
      </c>
      <c r="BKE8" s="179">
        <f>IFERROR(VLOOKUP(BKE$1,FactorAlfa[[Ticker]:[Weight]],2,FALSE),0%)</f>
        <v>0</v>
      </c>
      <c r="BKF8" s="179">
        <f>IFERROR(VLOOKUP(BKF$1,FactorAlfa[[Ticker]:[Weight]],2,FALSE),0%)</f>
        <v>0</v>
      </c>
      <c r="BKG8" s="179">
        <f>IFERROR(VLOOKUP(BKG$1,FactorAlfa[[Ticker]:[Weight]],2,FALSE),0%)</f>
        <v>0</v>
      </c>
      <c r="BKH8" s="179">
        <f>IFERROR(VLOOKUP(BKH$1,FactorAlfa[[Ticker]:[Weight]],2,FALSE),0%)</f>
        <v>0</v>
      </c>
      <c r="BKI8" s="179">
        <f>IFERROR(VLOOKUP(BKI$1,FactorAlfa[[Ticker]:[Weight]],2,FALSE),0%)</f>
        <v>0</v>
      </c>
      <c r="BKJ8" s="179">
        <f>IFERROR(VLOOKUP(BKJ$1,FactorAlfa[[Ticker]:[Weight]],2,FALSE),0%)</f>
        <v>0</v>
      </c>
      <c r="BKK8" s="179">
        <f>IFERROR(VLOOKUP(BKK$1,FactorAlfa[[Ticker]:[Weight]],2,FALSE),0%)</f>
        <v>0</v>
      </c>
      <c r="BKL8" s="179">
        <f>IFERROR(VLOOKUP(BKL$1,FactorAlfa[[Ticker]:[Weight]],2,FALSE),0%)</f>
        <v>0</v>
      </c>
      <c r="BKM8" s="179">
        <f>IFERROR(VLOOKUP(BKM$1,FactorAlfa[[Ticker]:[Weight]],2,FALSE),0%)</f>
        <v>0</v>
      </c>
      <c r="BKN8" s="179">
        <f>IFERROR(VLOOKUP(BKN$1,FactorAlfa[[Ticker]:[Weight]],2,FALSE),0%)</f>
        <v>0</v>
      </c>
      <c r="BKO8" s="179">
        <f>IFERROR(VLOOKUP(BKO$1,FactorAlfa[[Ticker]:[Weight]],2,FALSE),0%)</f>
        <v>0</v>
      </c>
      <c r="BKP8" s="179">
        <f>IFERROR(VLOOKUP(BKP$1,FactorAlfa[[Ticker]:[Weight]],2,FALSE),0%)</f>
        <v>0</v>
      </c>
      <c r="BKQ8" s="179">
        <f>IFERROR(VLOOKUP(BKQ$1,FactorAlfa[[Ticker]:[Weight]],2,FALSE),0%)</f>
        <v>0</v>
      </c>
      <c r="BKR8" s="179">
        <f>IFERROR(VLOOKUP(BKR$1,FactorAlfa[[Ticker]:[Weight]],2,FALSE),0%)</f>
        <v>0</v>
      </c>
      <c r="BKS8" s="179">
        <f>IFERROR(VLOOKUP(BKS$1,FactorAlfa[[Ticker]:[Weight]],2,FALSE),0%)</f>
        <v>0</v>
      </c>
      <c r="BKT8" s="179">
        <f>IFERROR(VLOOKUP(BKT$1,FactorAlfa[[Ticker]:[Weight]],2,FALSE),0%)</f>
        <v>0</v>
      </c>
      <c r="BKU8" s="179">
        <f>IFERROR(VLOOKUP(BKU$1,FactorAlfa[[Ticker]:[Weight]],2,FALSE),0%)</f>
        <v>0</v>
      </c>
      <c r="BKV8" s="179">
        <f>IFERROR(VLOOKUP(BKV$1,FactorAlfa[[Ticker]:[Weight]],2,FALSE),0%)</f>
        <v>0</v>
      </c>
      <c r="BKW8" s="179">
        <f>IFERROR(VLOOKUP(BKW$1,FactorAlfa[[Ticker]:[Weight]],2,FALSE),0%)</f>
        <v>0</v>
      </c>
      <c r="BKX8" s="179">
        <f>IFERROR(VLOOKUP(BKX$1,FactorAlfa[[Ticker]:[Weight]],2,FALSE),0%)</f>
        <v>0</v>
      </c>
      <c r="BKY8" s="179">
        <f>IFERROR(VLOOKUP(BKY$1,FactorAlfa[[Ticker]:[Weight]],2,FALSE),0%)</f>
        <v>0</v>
      </c>
      <c r="BKZ8" s="179">
        <f>IFERROR(VLOOKUP(BKZ$1,FactorAlfa[[Ticker]:[Weight]],2,FALSE),0%)</f>
        <v>0</v>
      </c>
      <c r="BLA8" s="179">
        <f>IFERROR(VLOOKUP(BLA$1,FactorAlfa[[Ticker]:[Weight]],2,FALSE),0%)</f>
        <v>0</v>
      </c>
      <c r="BLB8" s="179">
        <f>IFERROR(VLOOKUP(BLB$1,FactorAlfa[[Ticker]:[Weight]],2,FALSE),0%)</f>
        <v>0</v>
      </c>
      <c r="BLC8" s="179">
        <f>IFERROR(VLOOKUP(BLC$1,FactorAlfa[[Ticker]:[Weight]],2,FALSE),0%)</f>
        <v>0</v>
      </c>
      <c r="BLD8" s="179">
        <f>IFERROR(VLOOKUP(BLD$1,FactorAlfa[[Ticker]:[Weight]],2,FALSE),0%)</f>
        <v>0</v>
      </c>
      <c r="BLE8" s="179">
        <f>IFERROR(VLOOKUP(BLE$1,FactorAlfa[[Ticker]:[Weight]],2,FALSE),0%)</f>
        <v>0</v>
      </c>
      <c r="BLF8" s="179">
        <f>IFERROR(VLOOKUP(BLF$1,FactorAlfa[[Ticker]:[Weight]],2,FALSE),0%)</f>
        <v>0</v>
      </c>
      <c r="BLG8" s="179">
        <f>IFERROR(VLOOKUP(BLG$1,FactorAlfa[[Ticker]:[Weight]],2,FALSE),0%)</f>
        <v>0</v>
      </c>
      <c r="BLH8" s="179">
        <f>IFERROR(VLOOKUP(BLH$1,FactorAlfa[[Ticker]:[Weight]],2,FALSE),0%)</f>
        <v>0</v>
      </c>
      <c r="BLI8" s="179">
        <f>IFERROR(VLOOKUP(BLI$1,FactorAlfa[[Ticker]:[Weight]],2,FALSE),0%)</f>
        <v>0</v>
      </c>
      <c r="BLJ8" s="179">
        <f>IFERROR(VLOOKUP(BLJ$1,FactorAlfa[[Ticker]:[Weight]],2,FALSE),0%)</f>
        <v>0</v>
      </c>
      <c r="BLK8" s="179">
        <f>IFERROR(VLOOKUP(BLK$1,FactorAlfa[[Ticker]:[Weight]],2,FALSE),0%)</f>
        <v>0</v>
      </c>
      <c r="BLL8" s="179">
        <f>IFERROR(VLOOKUP(BLL$1,FactorAlfa[[Ticker]:[Weight]],2,FALSE),0%)</f>
        <v>0</v>
      </c>
      <c r="BLM8" s="179">
        <f>IFERROR(VLOOKUP(BLM$1,FactorAlfa[[Ticker]:[Weight]],2,FALSE),0%)</f>
        <v>0</v>
      </c>
      <c r="BLN8" s="179">
        <f>IFERROR(VLOOKUP(BLN$1,FactorAlfa[[Ticker]:[Weight]],2,FALSE),0%)</f>
        <v>0</v>
      </c>
      <c r="BLO8" s="179">
        <f>IFERROR(VLOOKUP(BLO$1,FactorAlfa[[Ticker]:[Weight]],2,FALSE),0%)</f>
        <v>0</v>
      </c>
      <c r="BLP8" s="179">
        <f>IFERROR(VLOOKUP(BLP$1,FactorAlfa[[Ticker]:[Weight]],2,FALSE),0%)</f>
        <v>0</v>
      </c>
      <c r="BLQ8" s="179">
        <f>IFERROR(VLOOKUP(BLQ$1,FactorAlfa[[Ticker]:[Weight]],2,FALSE),0%)</f>
        <v>0</v>
      </c>
      <c r="BLR8" s="179">
        <f>IFERROR(VLOOKUP(BLR$1,FactorAlfa[[Ticker]:[Weight]],2,FALSE),0%)</f>
        <v>0</v>
      </c>
      <c r="BLS8" s="179">
        <f>IFERROR(VLOOKUP(BLS$1,FactorAlfa[[Ticker]:[Weight]],2,FALSE),0%)</f>
        <v>0</v>
      </c>
      <c r="BLT8" s="179">
        <f>IFERROR(VLOOKUP(BLT$1,FactorAlfa[[Ticker]:[Weight]],2,FALSE),0%)</f>
        <v>0</v>
      </c>
      <c r="BLU8" s="179">
        <f>IFERROR(VLOOKUP(BLU$1,FactorAlfa[[Ticker]:[Weight]],2,FALSE),0%)</f>
        <v>0</v>
      </c>
      <c r="BLV8" s="179">
        <f>IFERROR(VLOOKUP(BLV$1,FactorAlfa[[Ticker]:[Weight]],2,FALSE),0%)</f>
        <v>0</v>
      </c>
      <c r="BLW8" s="179">
        <f>IFERROR(VLOOKUP(BLW$1,FactorAlfa[[Ticker]:[Weight]],2,FALSE),0%)</f>
        <v>0</v>
      </c>
      <c r="BLX8" s="179">
        <f>IFERROR(VLOOKUP(BLX$1,FactorAlfa[[Ticker]:[Weight]],2,FALSE),0%)</f>
        <v>0</v>
      </c>
      <c r="BLY8" s="179">
        <f>IFERROR(VLOOKUP(BLY$1,FactorAlfa[[Ticker]:[Weight]],2,FALSE),0%)</f>
        <v>0</v>
      </c>
      <c r="BLZ8" s="179">
        <f>IFERROR(VLOOKUP(BLZ$1,FactorAlfa[[Ticker]:[Weight]],2,FALSE),0%)</f>
        <v>0</v>
      </c>
      <c r="BMA8" s="179">
        <f>IFERROR(VLOOKUP(BMA$1,FactorAlfa[[Ticker]:[Weight]],2,FALSE),0%)</f>
        <v>0</v>
      </c>
      <c r="BMB8" s="179">
        <f>IFERROR(VLOOKUP(BMB$1,FactorAlfa[[Ticker]:[Weight]],2,FALSE),0%)</f>
        <v>0</v>
      </c>
      <c r="BMC8" s="179">
        <f>IFERROR(VLOOKUP(BMC$1,FactorAlfa[[Ticker]:[Weight]],2,FALSE),0%)</f>
        <v>0</v>
      </c>
      <c r="BMD8" s="179">
        <f>IFERROR(VLOOKUP(BMD$1,FactorAlfa[[Ticker]:[Weight]],2,FALSE),0%)</f>
        <v>0</v>
      </c>
      <c r="BME8" s="179">
        <f>IFERROR(VLOOKUP(BME$1,FactorAlfa[[Ticker]:[Weight]],2,FALSE),0%)</f>
        <v>0</v>
      </c>
      <c r="BMF8" s="179">
        <f>IFERROR(VLOOKUP(BMF$1,FactorAlfa[[Ticker]:[Weight]],2,FALSE),0%)</f>
        <v>0</v>
      </c>
      <c r="BMG8" s="179">
        <f>IFERROR(VLOOKUP(BMG$1,FactorAlfa[[Ticker]:[Weight]],2,FALSE),0%)</f>
        <v>0</v>
      </c>
      <c r="BMH8" s="179">
        <f>IFERROR(VLOOKUP(BMH$1,FactorAlfa[[Ticker]:[Weight]],2,FALSE),0%)</f>
        <v>0</v>
      </c>
      <c r="BMI8" s="179">
        <f>IFERROR(VLOOKUP(BMI$1,FactorAlfa[[Ticker]:[Weight]],2,FALSE),0%)</f>
        <v>0</v>
      </c>
      <c r="BMJ8" s="179">
        <f>IFERROR(VLOOKUP(BMJ$1,FactorAlfa[[Ticker]:[Weight]],2,FALSE),0%)</f>
        <v>0</v>
      </c>
      <c r="BMK8" s="179">
        <f>IFERROR(VLOOKUP(BMK$1,FactorAlfa[[Ticker]:[Weight]],2,FALSE),0%)</f>
        <v>0</v>
      </c>
      <c r="BML8" s="179">
        <f>IFERROR(VLOOKUP(BML$1,FactorAlfa[[Ticker]:[Weight]],2,FALSE),0%)</f>
        <v>0</v>
      </c>
      <c r="BMM8" s="179">
        <f>IFERROR(VLOOKUP(BMM$1,FactorAlfa[[Ticker]:[Weight]],2,FALSE),0%)</f>
        <v>0</v>
      </c>
      <c r="BMN8" s="179">
        <f>IFERROR(VLOOKUP(BMN$1,FactorAlfa[[Ticker]:[Weight]],2,FALSE),0%)</f>
        <v>0</v>
      </c>
      <c r="BMO8" s="179">
        <f>IFERROR(VLOOKUP(BMO$1,FactorAlfa[[Ticker]:[Weight]],2,FALSE),0%)</f>
        <v>0</v>
      </c>
      <c r="BMP8" s="179">
        <f>IFERROR(VLOOKUP(BMP$1,FactorAlfa[[Ticker]:[Weight]],2,FALSE),0%)</f>
        <v>0</v>
      </c>
      <c r="BMQ8" s="179">
        <f>IFERROR(VLOOKUP(BMQ$1,FactorAlfa[[Ticker]:[Weight]],2,FALSE),0%)</f>
        <v>0</v>
      </c>
      <c r="BMR8" s="179">
        <f>IFERROR(VLOOKUP(BMR$1,FactorAlfa[[Ticker]:[Weight]],2,FALSE),0%)</f>
        <v>0</v>
      </c>
      <c r="BMS8" s="179">
        <f>IFERROR(VLOOKUP(BMS$1,FactorAlfa[[Ticker]:[Weight]],2,FALSE),0%)</f>
        <v>0</v>
      </c>
      <c r="BMT8" s="179">
        <f>IFERROR(VLOOKUP(BMT$1,FactorAlfa[[Ticker]:[Weight]],2,FALSE),0%)</f>
        <v>0</v>
      </c>
      <c r="BMU8" s="179">
        <f>IFERROR(VLOOKUP(BMU$1,FactorAlfa[[Ticker]:[Weight]],2,FALSE),0%)</f>
        <v>0</v>
      </c>
      <c r="BMV8" s="179">
        <f>IFERROR(VLOOKUP(BMV$1,FactorAlfa[[Ticker]:[Weight]],2,FALSE),0%)</f>
        <v>0</v>
      </c>
      <c r="BMW8" s="179">
        <f>IFERROR(VLOOKUP(BMW$1,FactorAlfa[[Ticker]:[Weight]],2,FALSE),0%)</f>
        <v>0</v>
      </c>
      <c r="BMX8" s="179">
        <f>IFERROR(VLOOKUP(BMX$1,FactorAlfa[[Ticker]:[Weight]],2,FALSE),0%)</f>
        <v>0</v>
      </c>
      <c r="BMY8" s="179">
        <f>IFERROR(VLOOKUP(BMY$1,FactorAlfa[[Ticker]:[Weight]],2,FALSE),0%)</f>
        <v>0</v>
      </c>
      <c r="BMZ8" s="179">
        <f>IFERROR(VLOOKUP(BMZ$1,FactorAlfa[[Ticker]:[Weight]],2,FALSE),0%)</f>
        <v>0</v>
      </c>
      <c r="BNA8" s="179">
        <f>IFERROR(VLOOKUP(BNA$1,FactorAlfa[[Ticker]:[Weight]],2,FALSE),0%)</f>
        <v>0</v>
      </c>
      <c r="BNB8" s="179">
        <f>IFERROR(VLOOKUP(BNB$1,FactorAlfa[[Ticker]:[Weight]],2,FALSE),0%)</f>
        <v>0</v>
      </c>
      <c r="BNC8" s="179">
        <f>IFERROR(VLOOKUP(BNC$1,FactorAlfa[[Ticker]:[Weight]],2,FALSE),0%)</f>
        <v>0</v>
      </c>
      <c r="BND8" s="179">
        <f>IFERROR(VLOOKUP(BND$1,FactorAlfa[[Ticker]:[Weight]],2,FALSE),0%)</f>
        <v>0</v>
      </c>
      <c r="BNE8" s="179">
        <f>IFERROR(VLOOKUP(BNE$1,FactorAlfa[[Ticker]:[Weight]],2,FALSE),0%)</f>
        <v>0</v>
      </c>
      <c r="BNF8" s="179">
        <f>IFERROR(VLOOKUP(BNF$1,FactorAlfa[[Ticker]:[Weight]],2,FALSE),0%)</f>
        <v>0</v>
      </c>
      <c r="BNG8" s="179">
        <f>IFERROR(VLOOKUP(BNG$1,FactorAlfa[[Ticker]:[Weight]],2,FALSE),0%)</f>
        <v>0</v>
      </c>
      <c r="BNH8" s="179">
        <f>IFERROR(VLOOKUP(BNH$1,FactorAlfa[[Ticker]:[Weight]],2,FALSE),0%)</f>
        <v>0</v>
      </c>
      <c r="BNI8" s="179">
        <f>IFERROR(VLOOKUP(BNI$1,FactorAlfa[[Ticker]:[Weight]],2,FALSE),0%)</f>
        <v>0</v>
      </c>
      <c r="BNJ8" s="179">
        <f>IFERROR(VLOOKUP(BNJ$1,FactorAlfa[[Ticker]:[Weight]],2,FALSE),0%)</f>
        <v>0</v>
      </c>
      <c r="BNK8" s="179">
        <f>IFERROR(VLOOKUP(BNK$1,FactorAlfa[[Ticker]:[Weight]],2,FALSE),0%)</f>
        <v>0</v>
      </c>
      <c r="BNL8" s="179">
        <f>IFERROR(VLOOKUP(BNL$1,FactorAlfa[[Ticker]:[Weight]],2,FALSE),0%)</f>
        <v>0</v>
      </c>
      <c r="BNM8" s="179">
        <f>IFERROR(VLOOKUP(BNM$1,FactorAlfa[[Ticker]:[Weight]],2,FALSE),0%)</f>
        <v>0</v>
      </c>
      <c r="BNN8" s="179">
        <f>IFERROR(VLOOKUP(BNN$1,FactorAlfa[[Ticker]:[Weight]],2,FALSE),0%)</f>
        <v>0</v>
      </c>
      <c r="BNO8" s="179">
        <f>IFERROR(VLOOKUP(BNO$1,FactorAlfa[[Ticker]:[Weight]],2,FALSE),0%)</f>
        <v>0</v>
      </c>
      <c r="BNP8" s="179">
        <f>IFERROR(VLOOKUP(BNP$1,FactorAlfa[[Ticker]:[Weight]],2,FALSE),0%)</f>
        <v>0</v>
      </c>
      <c r="BNQ8" s="179">
        <f>IFERROR(VLOOKUP(BNQ$1,FactorAlfa[[Ticker]:[Weight]],2,FALSE),0%)</f>
        <v>0</v>
      </c>
      <c r="BNR8" s="179">
        <f>IFERROR(VLOOKUP(BNR$1,FactorAlfa[[Ticker]:[Weight]],2,FALSE),0%)</f>
        <v>0</v>
      </c>
      <c r="BNS8" s="179">
        <f>IFERROR(VLOOKUP(BNS$1,FactorAlfa[[Ticker]:[Weight]],2,FALSE),0%)</f>
        <v>0</v>
      </c>
      <c r="BNT8" s="179">
        <f>IFERROR(VLOOKUP(BNT$1,FactorAlfa[[Ticker]:[Weight]],2,FALSE),0%)</f>
        <v>0</v>
      </c>
      <c r="BNU8" s="179">
        <f>IFERROR(VLOOKUP(BNU$1,FactorAlfa[[Ticker]:[Weight]],2,FALSE),0%)</f>
        <v>0</v>
      </c>
      <c r="BNV8" s="179">
        <f>IFERROR(VLOOKUP(BNV$1,FactorAlfa[[Ticker]:[Weight]],2,FALSE),0%)</f>
        <v>0</v>
      </c>
      <c r="BNW8" s="179">
        <f>IFERROR(VLOOKUP(BNW$1,FactorAlfa[[Ticker]:[Weight]],2,FALSE),0%)</f>
        <v>0</v>
      </c>
      <c r="BNX8" s="179">
        <f>IFERROR(VLOOKUP(BNX$1,FactorAlfa[[Ticker]:[Weight]],2,FALSE),0%)</f>
        <v>0</v>
      </c>
      <c r="BNY8" s="179">
        <f>IFERROR(VLOOKUP(BNY$1,FactorAlfa[[Ticker]:[Weight]],2,FALSE),0%)</f>
        <v>0</v>
      </c>
      <c r="BNZ8" s="179">
        <f>IFERROR(VLOOKUP(BNZ$1,FactorAlfa[[Ticker]:[Weight]],2,FALSE),0%)</f>
        <v>0</v>
      </c>
      <c r="BOA8" s="179">
        <f>IFERROR(VLOOKUP(BOA$1,FactorAlfa[[Ticker]:[Weight]],2,FALSE),0%)</f>
        <v>0</v>
      </c>
      <c r="BOB8" s="179">
        <f>IFERROR(VLOOKUP(BOB$1,FactorAlfa[[Ticker]:[Weight]],2,FALSE),0%)</f>
        <v>0</v>
      </c>
      <c r="BOC8" s="179">
        <f>IFERROR(VLOOKUP(BOC$1,FactorAlfa[[Ticker]:[Weight]],2,FALSE),0%)</f>
        <v>0</v>
      </c>
      <c r="BOD8" s="179">
        <f>IFERROR(VLOOKUP(BOD$1,FactorAlfa[[Ticker]:[Weight]],2,FALSE),0%)</f>
        <v>0</v>
      </c>
      <c r="BOE8" s="179">
        <f>IFERROR(VLOOKUP(BOE$1,FactorAlfa[[Ticker]:[Weight]],2,FALSE),0%)</f>
        <v>0</v>
      </c>
      <c r="BOF8" s="179">
        <f>IFERROR(VLOOKUP(BOF$1,FactorAlfa[[Ticker]:[Weight]],2,FALSE),0%)</f>
        <v>0</v>
      </c>
      <c r="BOG8" s="179">
        <f>IFERROR(VLOOKUP(BOG$1,FactorAlfa[[Ticker]:[Weight]],2,FALSE),0%)</f>
        <v>0</v>
      </c>
      <c r="BOH8" s="179">
        <f>IFERROR(VLOOKUP(BOH$1,FactorAlfa[[Ticker]:[Weight]],2,FALSE),0%)</f>
        <v>0</v>
      </c>
      <c r="BOI8" s="179">
        <f>IFERROR(VLOOKUP(BOI$1,FactorAlfa[[Ticker]:[Weight]],2,FALSE),0%)</f>
        <v>0</v>
      </c>
      <c r="BOJ8" s="179">
        <f>IFERROR(VLOOKUP(BOJ$1,FactorAlfa[[Ticker]:[Weight]],2,FALSE),0%)</f>
        <v>0</v>
      </c>
      <c r="BOK8" s="179">
        <f>IFERROR(VLOOKUP(BOK$1,FactorAlfa[[Ticker]:[Weight]],2,FALSE),0%)</f>
        <v>0</v>
      </c>
      <c r="BOL8" s="179">
        <f>IFERROR(VLOOKUP(BOL$1,FactorAlfa[[Ticker]:[Weight]],2,FALSE),0%)</f>
        <v>0</v>
      </c>
      <c r="BOM8" s="179">
        <f>IFERROR(VLOOKUP(BOM$1,FactorAlfa[[Ticker]:[Weight]],2,FALSE),0%)</f>
        <v>0</v>
      </c>
      <c r="BON8" s="179">
        <f>IFERROR(VLOOKUP(BON$1,FactorAlfa[[Ticker]:[Weight]],2,FALSE),0%)</f>
        <v>0</v>
      </c>
      <c r="BOO8" s="179">
        <f>IFERROR(VLOOKUP(BOO$1,FactorAlfa[[Ticker]:[Weight]],2,FALSE),0%)</f>
        <v>0</v>
      </c>
      <c r="BOP8" s="179">
        <f>IFERROR(VLOOKUP(BOP$1,FactorAlfa[[Ticker]:[Weight]],2,FALSE),0%)</f>
        <v>0</v>
      </c>
      <c r="BOQ8" s="179">
        <f>IFERROR(VLOOKUP(BOQ$1,FactorAlfa[[Ticker]:[Weight]],2,FALSE),0%)</f>
        <v>0</v>
      </c>
      <c r="BOR8" s="179">
        <f>IFERROR(VLOOKUP(BOR$1,FactorAlfa[[Ticker]:[Weight]],2,FALSE),0%)</f>
        <v>0</v>
      </c>
      <c r="BOS8" s="179">
        <f>IFERROR(VLOOKUP(BOS$1,FactorAlfa[[Ticker]:[Weight]],2,FALSE),0%)</f>
        <v>0</v>
      </c>
      <c r="BOT8" s="179">
        <f>IFERROR(VLOOKUP(BOT$1,FactorAlfa[[Ticker]:[Weight]],2,FALSE),0%)</f>
        <v>0</v>
      </c>
      <c r="BOU8" s="179">
        <f>IFERROR(VLOOKUP(BOU$1,FactorAlfa[[Ticker]:[Weight]],2,FALSE),0%)</f>
        <v>0</v>
      </c>
      <c r="BOV8" s="179">
        <f>IFERROR(VLOOKUP(BOV$1,FactorAlfa[[Ticker]:[Weight]],2,FALSE),0%)</f>
        <v>0</v>
      </c>
      <c r="BOW8" s="179">
        <f>IFERROR(VLOOKUP(BOW$1,FactorAlfa[[Ticker]:[Weight]],2,FALSE),0%)</f>
        <v>0</v>
      </c>
      <c r="BOX8" s="179">
        <f>IFERROR(VLOOKUP(BOX$1,FactorAlfa[[Ticker]:[Weight]],2,FALSE),0%)</f>
        <v>0</v>
      </c>
      <c r="BOY8" s="179">
        <f>IFERROR(VLOOKUP(BOY$1,FactorAlfa[[Ticker]:[Weight]],2,FALSE),0%)</f>
        <v>0</v>
      </c>
      <c r="BOZ8" s="179">
        <f>IFERROR(VLOOKUP(BOZ$1,FactorAlfa[[Ticker]:[Weight]],2,FALSE),0%)</f>
        <v>0</v>
      </c>
      <c r="BPA8" s="179">
        <f>IFERROR(VLOOKUP(BPA$1,FactorAlfa[[Ticker]:[Weight]],2,FALSE),0%)</f>
        <v>0</v>
      </c>
      <c r="BPB8" s="179">
        <f>IFERROR(VLOOKUP(BPB$1,FactorAlfa[[Ticker]:[Weight]],2,FALSE),0%)</f>
        <v>0</v>
      </c>
      <c r="BPC8" s="179">
        <f>IFERROR(VLOOKUP(BPC$1,FactorAlfa[[Ticker]:[Weight]],2,FALSE),0%)</f>
        <v>0</v>
      </c>
      <c r="BPD8" s="179">
        <f>IFERROR(VLOOKUP(BPD$1,FactorAlfa[[Ticker]:[Weight]],2,FALSE),0%)</f>
        <v>0</v>
      </c>
      <c r="BPE8" s="179">
        <f>IFERROR(VLOOKUP(BPE$1,FactorAlfa[[Ticker]:[Weight]],2,FALSE),0%)</f>
        <v>0</v>
      </c>
      <c r="BPF8" s="179">
        <f>IFERROR(VLOOKUP(BPF$1,FactorAlfa[[Ticker]:[Weight]],2,FALSE),0%)</f>
        <v>0</v>
      </c>
      <c r="BPG8" s="179">
        <f>IFERROR(VLOOKUP(BPG$1,FactorAlfa[[Ticker]:[Weight]],2,FALSE),0%)</f>
        <v>0</v>
      </c>
      <c r="BPH8" s="179">
        <f>IFERROR(VLOOKUP(BPH$1,FactorAlfa[[Ticker]:[Weight]],2,FALSE),0%)</f>
        <v>0</v>
      </c>
      <c r="BPI8" s="179">
        <f>IFERROR(VLOOKUP(BPI$1,FactorAlfa[[Ticker]:[Weight]],2,FALSE),0%)</f>
        <v>0</v>
      </c>
      <c r="BPJ8" s="179">
        <f>IFERROR(VLOOKUP(BPJ$1,FactorAlfa[[Ticker]:[Weight]],2,FALSE),0%)</f>
        <v>0</v>
      </c>
      <c r="BPK8" s="179">
        <f>IFERROR(VLOOKUP(BPK$1,FactorAlfa[[Ticker]:[Weight]],2,FALSE),0%)</f>
        <v>0</v>
      </c>
      <c r="BPL8" s="179">
        <f>IFERROR(VLOOKUP(BPL$1,FactorAlfa[[Ticker]:[Weight]],2,FALSE),0%)</f>
        <v>0</v>
      </c>
      <c r="BPM8" s="179">
        <f>IFERROR(VLOOKUP(BPM$1,FactorAlfa[[Ticker]:[Weight]],2,FALSE),0%)</f>
        <v>0</v>
      </c>
      <c r="BPN8" s="179">
        <f>IFERROR(VLOOKUP(BPN$1,FactorAlfa[[Ticker]:[Weight]],2,FALSE),0%)</f>
        <v>0</v>
      </c>
      <c r="BPO8" s="179">
        <f>IFERROR(VLOOKUP(BPO$1,FactorAlfa[[Ticker]:[Weight]],2,FALSE),0%)</f>
        <v>0</v>
      </c>
      <c r="BPP8" s="179">
        <f>IFERROR(VLOOKUP(BPP$1,FactorAlfa[[Ticker]:[Weight]],2,FALSE),0%)</f>
        <v>0</v>
      </c>
      <c r="BPQ8" s="179">
        <f>IFERROR(VLOOKUP(BPQ$1,FactorAlfa[[Ticker]:[Weight]],2,FALSE),0%)</f>
        <v>0</v>
      </c>
      <c r="BPR8" s="179">
        <f>IFERROR(VLOOKUP(BPR$1,FactorAlfa[[Ticker]:[Weight]],2,FALSE),0%)</f>
        <v>0</v>
      </c>
      <c r="BPS8" s="179">
        <f>IFERROR(VLOOKUP(BPS$1,FactorAlfa[[Ticker]:[Weight]],2,FALSE),0%)</f>
        <v>0</v>
      </c>
      <c r="BPT8" s="179">
        <f>IFERROR(VLOOKUP(BPT$1,FactorAlfa[[Ticker]:[Weight]],2,FALSE),0%)</f>
        <v>0</v>
      </c>
      <c r="BPU8" s="179">
        <f>IFERROR(VLOOKUP(BPU$1,FactorAlfa[[Ticker]:[Weight]],2,FALSE),0%)</f>
        <v>0</v>
      </c>
      <c r="BPV8" s="179">
        <f>IFERROR(VLOOKUP(BPV$1,FactorAlfa[[Ticker]:[Weight]],2,FALSE),0%)</f>
        <v>0</v>
      </c>
      <c r="BPW8" s="179">
        <f>IFERROR(VLOOKUP(BPW$1,FactorAlfa[[Ticker]:[Weight]],2,FALSE),0%)</f>
        <v>0</v>
      </c>
      <c r="BPX8" s="179">
        <f>IFERROR(VLOOKUP(BPX$1,FactorAlfa[[Ticker]:[Weight]],2,FALSE),0%)</f>
        <v>0</v>
      </c>
      <c r="BPY8" s="179">
        <f>IFERROR(VLOOKUP(BPY$1,FactorAlfa[[Ticker]:[Weight]],2,FALSE),0%)</f>
        <v>0</v>
      </c>
      <c r="BPZ8" s="179">
        <f>IFERROR(VLOOKUP(BPZ$1,FactorAlfa[[Ticker]:[Weight]],2,FALSE),0%)</f>
        <v>0</v>
      </c>
      <c r="BQA8" s="179">
        <f>IFERROR(VLOOKUP(BQA$1,FactorAlfa[[Ticker]:[Weight]],2,FALSE),0%)</f>
        <v>0</v>
      </c>
      <c r="BQB8" s="179">
        <f>IFERROR(VLOOKUP(BQB$1,FactorAlfa[[Ticker]:[Weight]],2,FALSE),0%)</f>
        <v>0</v>
      </c>
      <c r="BQC8" s="179">
        <f>IFERROR(VLOOKUP(BQC$1,FactorAlfa[[Ticker]:[Weight]],2,FALSE),0%)</f>
        <v>0</v>
      </c>
      <c r="BQD8" s="179">
        <f>IFERROR(VLOOKUP(BQD$1,FactorAlfa[[Ticker]:[Weight]],2,FALSE),0%)</f>
        <v>0</v>
      </c>
      <c r="BQE8" s="179">
        <f>IFERROR(VLOOKUP(BQE$1,FactorAlfa[[Ticker]:[Weight]],2,FALSE),0%)</f>
        <v>0</v>
      </c>
      <c r="BQF8" s="179">
        <f>IFERROR(VLOOKUP(BQF$1,FactorAlfa[[Ticker]:[Weight]],2,FALSE),0%)</f>
        <v>0</v>
      </c>
      <c r="BQG8" s="179">
        <f>IFERROR(VLOOKUP(BQG$1,FactorAlfa[[Ticker]:[Weight]],2,FALSE),0%)</f>
        <v>0</v>
      </c>
      <c r="BQH8" s="179">
        <f>IFERROR(VLOOKUP(BQH$1,FactorAlfa[[Ticker]:[Weight]],2,FALSE),0%)</f>
        <v>0</v>
      </c>
      <c r="BQI8" s="179">
        <f>IFERROR(VLOOKUP(BQI$1,FactorAlfa[[Ticker]:[Weight]],2,FALSE),0%)</f>
        <v>0</v>
      </c>
      <c r="BQJ8" s="179">
        <f>IFERROR(VLOOKUP(BQJ$1,FactorAlfa[[Ticker]:[Weight]],2,FALSE),0%)</f>
        <v>0</v>
      </c>
      <c r="BQK8" s="179">
        <f>IFERROR(VLOOKUP(BQK$1,FactorAlfa[[Ticker]:[Weight]],2,FALSE),0%)</f>
        <v>0</v>
      </c>
      <c r="BQL8" s="179">
        <f>IFERROR(VLOOKUP(BQL$1,FactorAlfa[[Ticker]:[Weight]],2,FALSE),0%)</f>
        <v>0</v>
      </c>
      <c r="BQM8" s="179">
        <f>IFERROR(VLOOKUP(BQM$1,FactorAlfa[[Ticker]:[Weight]],2,FALSE),0%)</f>
        <v>0</v>
      </c>
      <c r="BQN8" s="179">
        <f>IFERROR(VLOOKUP(BQN$1,FactorAlfa[[Ticker]:[Weight]],2,FALSE),0%)</f>
        <v>0</v>
      </c>
      <c r="BQO8" s="179">
        <f>IFERROR(VLOOKUP(BQO$1,FactorAlfa[[Ticker]:[Weight]],2,FALSE),0%)</f>
        <v>0</v>
      </c>
      <c r="BQP8" s="179">
        <f>IFERROR(VLOOKUP(BQP$1,FactorAlfa[[Ticker]:[Weight]],2,FALSE),0%)</f>
        <v>0</v>
      </c>
      <c r="BQQ8" s="179">
        <f>IFERROR(VLOOKUP(BQQ$1,FactorAlfa[[Ticker]:[Weight]],2,FALSE),0%)</f>
        <v>0</v>
      </c>
      <c r="BQR8" s="179">
        <f>IFERROR(VLOOKUP(BQR$1,FactorAlfa[[Ticker]:[Weight]],2,FALSE),0%)</f>
        <v>0</v>
      </c>
      <c r="BQS8" s="179">
        <f>IFERROR(VLOOKUP(BQS$1,FactorAlfa[[Ticker]:[Weight]],2,FALSE),0%)</f>
        <v>0</v>
      </c>
      <c r="BQT8" s="179">
        <f>IFERROR(VLOOKUP(BQT$1,FactorAlfa[[Ticker]:[Weight]],2,FALSE),0%)</f>
        <v>0</v>
      </c>
      <c r="BQU8" s="179">
        <f>IFERROR(VLOOKUP(BQU$1,FactorAlfa[[Ticker]:[Weight]],2,FALSE),0%)</f>
        <v>0</v>
      </c>
      <c r="BQV8" s="179">
        <f>IFERROR(VLOOKUP(BQV$1,FactorAlfa[[Ticker]:[Weight]],2,FALSE),0%)</f>
        <v>0</v>
      </c>
      <c r="BQW8" s="179">
        <f>IFERROR(VLOOKUP(BQW$1,FactorAlfa[[Ticker]:[Weight]],2,FALSE),0%)</f>
        <v>0</v>
      </c>
      <c r="BQX8" s="179">
        <f>IFERROR(VLOOKUP(BQX$1,FactorAlfa[[Ticker]:[Weight]],2,FALSE),0%)</f>
        <v>0</v>
      </c>
      <c r="BQY8" s="179">
        <f>IFERROR(VLOOKUP(BQY$1,FactorAlfa[[Ticker]:[Weight]],2,FALSE),0%)</f>
        <v>0</v>
      </c>
      <c r="BQZ8" s="179">
        <f>IFERROR(VLOOKUP(BQZ$1,FactorAlfa[[Ticker]:[Weight]],2,FALSE),0%)</f>
        <v>0</v>
      </c>
      <c r="BRA8" s="179">
        <f>IFERROR(VLOOKUP(BRA$1,FactorAlfa[[Ticker]:[Weight]],2,FALSE),0%)</f>
        <v>0</v>
      </c>
      <c r="BRB8" s="179">
        <f>IFERROR(VLOOKUP(BRB$1,FactorAlfa[[Ticker]:[Weight]],2,FALSE),0%)</f>
        <v>0</v>
      </c>
      <c r="BRC8" s="179">
        <f>IFERROR(VLOOKUP(BRC$1,FactorAlfa[[Ticker]:[Weight]],2,FALSE),0%)</f>
        <v>0</v>
      </c>
      <c r="BRD8" s="179">
        <f>IFERROR(VLOOKUP(BRD$1,FactorAlfa[[Ticker]:[Weight]],2,FALSE),0%)</f>
        <v>0</v>
      </c>
      <c r="BRE8" s="179">
        <f>IFERROR(VLOOKUP(BRE$1,FactorAlfa[[Ticker]:[Weight]],2,FALSE),0%)</f>
        <v>0</v>
      </c>
      <c r="BRF8" s="179">
        <f>IFERROR(VLOOKUP(BRF$1,FactorAlfa[[Ticker]:[Weight]],2,FALSE),0%)</f>
        <v>0</v>
      </c>
      <c r="BRG8" s="179">
        <f>IFERROR(VLOOKUP(BRG$1,FactorAlfa[[Ticker]:[Weight]],2,FALSE),0%)</f>
        <v>0</v>
      </c>
      <c r="BRH8" s="179">
        <f>IFERROR(VLOOKUP(BRH$1,FactorAlfa[[Ticker]:[Weight]],2,FALSE),0%)</f>
        <v>0</v>
      </c>
      <c r="BRI8" s="179">
        <f>IFERROR(VLOOKUP(BRI$1,FactorAlfa[[Ticker]:[Weight]],2,FALSE),0%)</f>
        <v>0</v>
      </c>
      <c r="BRJ8" s="179">
        <f>IFERROR(VLOOKUP(BRJ$1,FactorAlfa[[Ticker]:[Weight]],2,FALSE),0%)</f>
        <v>0</v>
      </c>
      <c r="BRK8" s="179">
        <f>IFERROR(VLOOKUP(BRK$1,FactorAlfa[[Ticker]:[Weight]],2,FALSE),0%)</f>
        <v>0</v>
      </c>
      <c r="BRL8" s="179">
        <f>IFERROR(VLOOKUP(BRL$1,FactorAlfa[[Ticker]:[Weight]],2,FALSE),0%)</f>
        <v>0</v>
      </c>
      <c r="BRM8" s="179">
        <f>IFERROR(VLOOKUP(BRM$1,FactorAlfa[[Ticker]:[Weight]],2,FALSE),0%)</f>
        <v>0</v>
      </c>
      <c r="BRN8" s="179">
        <f>IFERROR(VLOOKUP(BRN$1,FactorAlfa[[Ticker]:[Weight]],2,FALSE),0%)</f>
        <v>0</v>
      </c>
      <c r="BRO8" s="179">
        <f>IFERROR(VLOOKUP(BRO$1,FactorAlfa[[Ticker]:[Weight]],2,FALSE),0%)</f>
        <v>0</v>
      </c>
      <c r="BRP8" s="179">
        <f>IFERROR(VLOOKUP(BRP$1,FactorAlfa[[Ticker]:[Weight]],2,FALSE),0%)</f>
        <v>0</v>
      </c>
      <c r="BRQ8" s="179">
        <f>IFERROR(VLOOKUP(BRQ$1,FactorAlfa[[Ticker]:[Weight]],2,FALSE),0%)</f>
        <v>0</v>
      </c>
      <c r="BRR8" s="179">
        <f>IFERROR(VLOOKUP(BRR$1,FactorAlfa[[Ticker]:[Weight]],2,FALSE),0%)</f>
        <v>0</v>
      </c>
      <c r="BRS8" s="179">
        <f>IFERROR(VLOOKUP(BRS$1,FactorAlfa[[Ticker]:[Weight]],2,FALSE),0%)</f>
        <v>0</v>
      </c>
      <c r="BRT8" s="179">
        <f>IFERROR(VLOOKUP(BRT$1,FactorAlfa[[Ticker]:[Weight]],2,FALSE),0%)</f>
        <v>0.04166</v>
      </c>
      <c r="BRU8" s="179">
        <f>IFERROR(VLOOKUP(BRU$1,FactorAlfa[[Ticker]:[Weight]],2,FALSE),0%)</f>
        <v>0</v>
      </c>
      <c r="BRV8" s="179">
        <f>IFERROR(VLOOKUP(BRV$1,FactorAlfa[[Ticker]:[Weight]],2,FALSE),0%)</f>
        <v>0</v>
      </c>
      <c r="BRW8" s="179">
        <f>IFERROR(VLOOKUP(BRW$1,FactorAlfa[[Ticker]:[Weight]],2,FALSE),0%)</f>
        <v>0</v>
      </c>
      <c r="BRX8" s="179">
        <f>IFERROR(VLOOKUP(BRX$1,FactorAlfa[[Ticker]:[Weight]],2,FALSE),0%)</f>
        <v>0</v>
      </c>
      <c r="BRY8" s="179">
        <f>IFERROR(VLOOKUP(BRY$1,FactorAlfa[[Ticker]:[Weight]],2,FALSE),0%)</f>
        <v>0</v>
      </c>
      <c r="BRZ8" s="179">
        <f>IFERROR(VLOOKUP(BRZ$1,FactorAlfa[[Ticker]:[Weight]],2,FALSE),0%)</f>
        <v>0</v>
      </c>
      <c r="BSA8" s="179">
        <f>IFERROR(VLOOKUP(BSA$1,FactorAlfa[[Ticker]:[Weight]],2,FALSE),0%)</f>
        <v>0</v>
      </c>
      <c r="BSB8" s="179">
        <f>IFERROR(VLOOKUP(BSB$1,FactorAlfa[[Ticker]:[Weight]],2,FALSE),0%)</f>
        <v>0.04166</v>
      </c>
      <c r="BSC8" s="179">
        <f>IFERROR(VLOOKUP(BSC$1,FactorAlfa[[Ticker]:[Weight]],2,FALSE),0%)</f>
        <v>0</v>
      </c>
      <c r="BSD8" s="179">
        <f>IFERROR(VLOOKUP(BSD$1,FactorAlfa[[Ticker]:[Weight]],2,FALSE),0%)</f>
        <v>0.04166</v>
      </c>
      <c r="BSE8" s="179">
        <f>IFERROR(VLOOKUP(BSE$1,FactorAlfa[[Ticker]:[Weight]],2,FALSE),0%)</f>
        <v>0</v>
      </c>
      <c r="BSF8" s="179">
        <f>IFERROR(VLOOKUP(BSF$1,FactorAlfa[[Ticker]:[Weight]],2,FALSE),0%)</f>
        <v>0</v>
      </c>
      <c r="BSG8" s="179">
        <f>IFERROR(VLOOKUP(BSG$1,FactorAlfa[[Ticker]:[Weight]],2,FALSE),0%)</f>
        <v>0</v>
      </c>
      <c r="BSH8" s="179">
        <f>IFERROR(VLOOKUP(BSH$1,FactorAlfa[[Ticker]:[Weight]],2,FALSE),0%)</f>
        <v>0</v>
      </c>
      <c r="BSI8" s="179">
        <f>IFERROR(VLOOKUP(BSI$1,FactorAlfa[[Ticker]:[Weight]],2,FALSE),0%)</f>
        <v>0</v>
      </c>
      <c r="BSJ8" s="179">
        <f>IFERROR(VLOOKUP(BSJ$1,FactorAlfa[[Ticker]:[Weight]],2,FALSE),0%)</f>
        <v>0</v>
      </c>
      <c r="BSK8" s="179">
        <f>IFERROR(VLOOKUP(BSK$1,FactorAlfa[[Ticker]:[Weight]],2,FALSE),0%)</f>
        <v>0</v>
      </c>
      <c r="BSL8" s="179">
        <f>IFERROR(VLOOKUP(BSL$1,FactorAlfa[[Ticker]:[Weight]],2,FALSE),0%)</f>
        <v>0</v>
      </c>
      <c r="BSM8" s="179">
        <f>IFERROR(VLOOKUP(BSM$1,FactorAlfa[[Ticker]:[Weight]],2,FALSE),0%)</f>
        <v>0</v>
      </c>
      <c r="BSN8" s="179">
        <f>IFERROR(VLOOKUP(BSN$1,FactorAlfa[[Ticker]:[Weight]],2,FALSE),0%)</f>
        <v>0</v>
      </c>
      <c r="BSO8" s="179">
        <f>IFERROR(VLOOKUP(BSO$1,FactorAlfa[[Ticker]:[Weight]],2,FALSE),0%)</f>
        <v>0</v>
      </c>
      <c r="BSP8" s="179">
        <f>IFERROR(VLOOKUP(BSP$1,FactorAlfa[[Ticker]:[Weight]],2,FALSE),0%)</f>
        <v>0</v>
      </c>
      <c r="BSQ8" s="179">
        <f>IFERROR(VLOOKUP(BSQ$1,FactorAlfa[[Ticker]:[Weight]],2,FALSE),0%)</f>
        <v>0</v>
      </c>
      <c r="BSR8" s="179">
        <f>IFERROR(VLOOKUP(BSR$1,FactorAlfa[[Ticker]:[Weight]],2,FALSE),0%)</f>
        <v>0</v>
      </c>
      <c r="BSS8" s="179">
        <f>IFERROR(VLOOKUP(BSS$1,FactorAlfa[[Ticker]:[Weight]],2,FALSE),0%)</f>
        <v>0</v>
      </c>
      <c r="BST8" s="179">
        <f>IFERROR(VLOOKUP(BST$1,FactorAlfa[[Ticker]:[Weight]],2,FALSE),0%)</f>
        <v>0</v>
      </c>
      <c r="BSU8" s="179">
        <f>IFERROR(VLOOKUP(BSU$1,FactorAlfa[[Ticker]:[Weight]],2,FALSE),0%)</f>
        <v>0</v>
      </c>
      <c r="BSV8" s="179">
        <f>IFERROR(VLOOKUP(BSV$1,FactorAlfa[[Ticker]:[Weight]],2,FALSE),0%)</f>
        <v>0</v>
      </c>
      <c r="BSW8" s="179">
        <f>IFERROR(VLOOKUP(BSW$1,FactorAlfa[[Ticker]:[Weight]],2,FALSE),0%)</f>
        <v>0</v>
      </c>
      <c r="BSX8" s="179">
        <f>IFERROR(VLOOKUP(BSX$1,FactorAlfa[[Ticker]:[Weight]],2,FALSE),0%)</f>
        <v>0</v>
      </c>
      <c r="BSY8" s="179">
        <f>IFERROR(VLOOKUP(BSY$1,FactorAlfa[[Ticker]:[Weight]],2,FALSE),0%)</f>
        <v>0</v>
      </c>
      <c r="BSZ8" s="179">
        <f>IFERROR(VLOOKUP(BSZ$1,FactorAlfa[[Ticker]:[Weight]],2,FALSE),0%)</f>
        <v>0</v>
      </c>
      <c r="BTA8" s="179">
        <f>IFERROR(VLOOKUP(BTA$1,FactorAlfa[[Ticker]:[Weight]],2,FALSE),0%)</f>
        <v>0</v>
      </c>
      <c r="BTB8" s="179">
        <f>IFERROR(VLOOKUP(BTB$1,FactorAlfa[[Ticker]:[Weight]],2,FALSE),0%)</f>
        <v>0</v>
      </c>
      <c r="BTC8" s="179">
        <f>IFERROR(VLOOKUP(BTC$1,FactorAlfa[[Ticker]:[Weight]],2,FALSE),0%)</f>
        <v>0</v>
      </c>
      <c r="BTD8" s="179">
        <f>IFERROR(VLOOKUP(BTD$1,FactorAlfa[[Ticker]:[Weight]],2,FALSE),0%)</f>
        <v>0</v>
      </c>
      <c r="BTE8" s="179">
        <f>IFERROR(VLOOKUP(BTE$1,FactorAlfa[[Ticker]:[Weight]],2,FALSE),0%)</f>
        <v>0</v>
      </c>
      <c r="BTF8" s="179">
        <f>IFERROR(VLOOKUP(BTF$1,FactorAlfa[[Ticker]:[Weight]],2,FALSE),0%)</f>
        <v>0</v>
      </c>
      <c r="BTG8" s="179">
        <f>IFERROR(VLOOKUP(BTG$1,FactorAlfa[[Ticker]:[Weight]],2,FALSE),0%)</f>
        <v>0</v>
      </c>
      <c r="BTH8" s="179">
        <f>IFERROR(VLOOKUP(BTH$1,FactorAlfa[[Ticker]:[Weight]],2,FALSE),0%)</f>
        <v>0</v>
      </c>
      <c r="BTI8" s="179">
        <f>IFERROR(VLOOKUP(BTI$1,FactorAlfa[[Ticker]:[Weight]],2,FALSE),0%)</f>
        <v>0</v>
      </c>
      <c r="BTJ8" s="179">
        <f>IFERROR(VLOOKUP(BTJ$1,FactorAlfa[[Ticker]:[Weight]],2,FALSE),0%)</f>
        <v>0</v>
      </c>
      <c r="BTK8" s="179">
        <f>IFERROR(VLOOKUP(BTK$1,FactorAlfa[[Ticker]:[Weight]],2,FALSE),0%)</f>
        <v>0</v>
      </c>
      <c r="BTL8" s="179">
        <f>IFERROR(VLOOKUP(BTL$1,FactorAlfa[[Ticker]:[Weight]],2,FALSE),0%)</f>
        <v>0</v>
      </c>
      <c r="BTM8" s="179">
        <f>IFERROR(VLOOKUP(BTM$1,FactorAlfa[[Ticker]:[Weight]],2,FALSE),0%)</f>
        <v>0</v>
      </c>
      <c r="BTN8" s="179">
        <f>IFERROR(VLOOKUP(BTN$1,FactorAlfa[[Ticker]:[Weight]],2,FALSE),0%)</f>
        <v>0</v>
      </c>
      <c r="BTO8" s="179">
        <f>IFERROR(VLOOKUP(BTO$1,FactorAlfa[[Ticker]:[Weight]],2,FALSE),0%)</f>
        <v>0</v>
      </c>
      <c r="BTP8" s="179">
        <f>IFERROR(VLOOKUP(BTP$1,FactorAlfa[[Ticker]:[Weight]],2,FALSE),0%)</f>
        <v>0</v>
      </c>
      <c r="BTQ8" s="179">
        <f>IFERROR(VLOOKUP(BTQ$1,FactorAlfa[[Ticker]:[Weight]],2,FALSE),0%)</f>
        <v>0</v>
      </c>
      <c r="BTR8" s="179">
        <f>IFERROR(VLOOKUP(BTR$1,FactorAlfa[[Ticker]:[Weight]],2,FALSE),0%)</f>
        <v>0</v>
      </c>
      <c r="BTS8" s="179">
        <f>IFERROR(VLOOKUP(BTS$1,FactorAlfa[[Ticker]:[Weight]],2,FALSE),0%)</f>
        <v>0</v>
      </c>
      <c r="BTT8" s="179">
        <f>IFERROR(VLOOKUP(BTT$1,FactorAlfa[[Ticker]:[Weight]],2,FALSE),0%)</f>
        <v>0</v>
      </c>
      <c r="BTU8" s="179">
        <f>IFERROR(VLOOKUP(BTU$1,FactorAlfa[[Ticker]:[Weight]],2,FALSE),0%)</f>
        <v>0</v>
      </c>
      <c r="BTV8" s="179">
        <f>IFERROR(VLOOKUP(BTV$1,FactorAlfa[[Ticker]:[Weight]],2,FALSE),0%)</f>
        <v>0</v>
      </c>
      <c r="BTW8" s="179">
        <f>IFERROR(VLOOKUP(BTW$1,FactorAlfa[[Ticker]:[Weight]],2,FALSE),0%)</f>
        <v>0</v>
      </c>
      <c r="BTX8" s="179">
        <f>IFERROR(VLOOKUP(BTX$1,FactorAlfa[[Ticker]:[Weight]],2,FALSE),0%)</f>
        <v>0</v>
      </c>
      <c r="BTY8" s="179">
        <f>IFERROR(VLOOKUP(BTY$1,FactorAlfa[[Ticker]:[Weight]],2,FALSE),0%)</f>
        <v>0</v>
      </c>
      <c r="BTZ8" s="179">
        <f>IFERROR(VLOOKUP(BTZ$1,FactorAlfa[[Ticker]:[Weight]],2,FALSE),0%)</f>
        <v>0.04166</v>
      </c>
      <c r="BUA8" s="179">
        <f>IFERROR(VLOOKUP(BUA$1,FactorAlfa[[Ticker]:[Weight]],2,FALSE),0%)</f>
        <v>0</v>
      </c>
      <c r="BUB8" s="179">
        <f>IFERROR(VLOOKUP(BUB$1,FactorAlfa[[Ticker]:[Weight]],2,FALSE),0%)</f>
        <v>0</v>
      </c>
      <c r="BUC8" s="179">
        <f>IFERROR(VLOOKUP(BUC$1,FactorAlfa[[Ticker]:[Weight]],2,FALSE),0%)</f>
        <v>0</v>
      </c>
      <c r="BUD8" s="179">
        <f>IFERROR(VLOOKUP(BUD$1,FactorAlfa[[Ticker]:[Weight]],2,FALSE),0%)</f>
        <v>0</v>
      </c>
      <c r="BUE8" s="179">
        <f>IFERROR(VLOOKUP(BUE$1,FactorAlfa[[Ticker]:[Weight]],2,FALSE),0%)</f>
        <v>0</v>
      </c>
      <c r="BUF8" s="179">
        <f>IFERROR(VLOOKUP(BUF$1,FactorAlfa[[Ticker]:[Weight]],2,FALSE),0%)</f>
        <v>0</v>
      </c>
      <c r="BUG8" s="179">
        <f>IFERROR(VLOOKUP(BUG$1,FactorAlfa[[Ticker]:[Weight]],2,FALSE),0%)</f>
        <v>0</v>
      </c>
      <c r="BUH8" s="179">
        <f>IFERROR(VLOOKUP(BUH$1,FactorAlfa[[Ticker]:[Weight]],2,FALSE),0%)</f>
        <v>0</v>
      </c>
      <c r="BUI8" s="179">
        <f>IFERROR(VLOOKUP(BUI$1,FactorAlfa[[Ticker]:[Weight]],2,FALSE),0%)</f>
        <v>0</v>
      </c>
      <c r="BUJ8" s="179">
        <f>IFERROR(VLOOKUP(BUJ$1,FactorAlfa[[Ticker]:[Weight]],2,FALSE),0%)</f>
        <v>0</v>
      </c>
      <c r="BUK8" s="179">
        <f>IFERROR(VLOOKUP(BUK$1,FactorAlfa[[Ticker]:[Weight]],2,FALSE),0%)</f>
        <v>0</v>
      </c>
      <c r="BUL8" s="179">
        <f>IFERROR(VLOOKUP(BUL$1,FactorAlfa[[Ticker]:[Weight]],2,FALSE),0%)</f>
        <v>0</v>
      </c>
      <c r="BUM8" s="179">
        <f>IFERROR(VLOOKUP(BUM$1,FactorAlfa[[Ticker]:[Weight]],2,FALSE),0%)</f>
        <v>0</v>
      </c>
      <c r="BUN8" s="179">
        <f>IFERROR(VLOOKUP(BUN$1,FactorAlfa[[Ticker]:[Weight]],2,FALSE),0%)</f>
        <v>0</v>
      </c>
      <c r="BUO8" s="179">
        <f>IFERROR(VLOOKUP(BUO$1,FactorAlfa[[Ticker]:[Weight]],2,FALSE),0%)</f>
        <v>0</v>
      </c>
      <c r="BUP8" s="179">
        <f>IFERROR(VLOOKUP(BUP$1,FactorAlfa[[Ticker]:[Weight]],2,FALSE),0%)</f>
        <v>0</v>
      </c>
      <c r="BUQ8" s="179">
        <f>IFERROR(VLOOKUP(BUQ$1,FactorAlfa[[Ticker]:[Weight]],2,FALSE),0%)</f>
        <v>0</v>
      </c>
      <c r="BUR8" s="179">
        <f>IFERROR(VLOOKUP(BUR$1,FactorAlfa[[Ticker]:[Weight]],2,FALSE),0%)</f>
        <v>0</v>
      </c>
      <c r="BUS8" s="179">
        <f>IFERROR(VLOOKUP(BUS$1,FactorAlfa[[Ticker]:[Weight]],2,FALSE),0%)</f>
        <v>0</v>
      </c>
      <c r="BUT8" s="179">
        <f>IFERROR(VLOOKUP(BUT$1,FactorAlfa[[Ticker]:[Weight]],2,FALSE),0%)</f>
        <v>0</v>
      </c>
      <c r="BUU8" s="179">
        <f>IFERROR(VLOOKUP(BUU$1,FactorAlfa[[Ticker]:[Weight]],2,FALSE),0%)</f>
        <v>0</v>
      </c>
      <c r="BUV8" s="179">
        <f>IFERROR(VLOOKUP(BUV$1,FactorAlfa[[Ticker]:[Weight]],2,FALSE),0%)</f>
        <v>0</v>
      </c>
      <c r="BUW8" s="179">
        <f>IFERROR(VLOOKUP(BUW$1,FactorAlfa[[Ticker]:[Weight]],2,FALSE),0%)</f>
        <v>0</v>
      </c>
      <c r="BUX8" s="179">
        <f>IFERROR(VLOOKUP(BUX$1,FactorAlfa[[Ticker]:[Weight]],2,FALSE),0%)</f>
        <v>0</v>
      </c>
      <c r="BUY8" s="179">
        <f>IFERROR(VLOOKUP(BUY$1,FactorAlfa[[Ticker]:[Weight]],2,FALSE),0%)</f>
        <v>0</v>
      </c>
      <c r="BUZ8" s="179">
        <f>IFERROR(VLOOKUP(BUZ$1,FactorAlfa[[Ticker]:[Weight]],2,FALSE),0%)</f>
        <v>0</v>
      </c>
      <c r="BVA8" s="179">
        <f>IFERROR(VLOOKUP(BVA$1,FactorAlfa[[Ticker]:[Weight]],2,FALSE),0%)</f>
        <v>0</v>
      </c>
      <c r="BVB8" s="179">
        <f>IFERROR(VLOOKUP(BVB$1,FactorAlfa[[Ticker]:[Weight]],2,FALSE),0%)</f>
        <v>0</v>
      </c>
      <c r="BVC8" s="179">
        <f>IFERROR(VLOOKUP(BVC$1,FactorAlfa[[Ticker]:[Weight]],2,FALSE),0%)</f>
        <v>0</v>
      </c>
      <c r="BVD8" s="179">
        <f>IFERROR(VLOOKUP(BVD$1,FactorAlfa[[Ticker]:[Weight]],2,FALSE),0%)</f>
        <v>0</v>
      </c>
      <c r="BVE8" s="179">
        <f>IFERROR(VLOOKUP(BVE$1,FactorAlfa[[Ticker]:[Weight]],2,FALSE),0%)</f>
        <v>0</v>
      </c>
      <c r="BVF8" s="179">
        <f>IFERROR(VLOOKUP(BVF$1,FactorAlfa[[Ticker]:[Weight]],2,FALSE),0%)</f>
        <v>0</v>
      </c>
      <c r="BVG8" s="179">
        <f>IFERROR(VLOOKUP(BVG$1,FactorAlfa[[Ticker]:[Weight]],2,FALSE),0%)</f>
        <v>0</v>
      </c>
      <c r="BVH8" s="179">
        <f>IFERROR(VLOOKUP(BVH$1,FactorAlfa[[Ticker]:[Weight]],2,FALSE),0%)</f>
        <v>0</v>
      </c>
      <c r="BVI8" s="179">
        <f>IFERROR(VLOOKUP(BVI$1,FactorAlfa[[Ticker]:[Weight]],2,FALSE),0%)</f>
        <v>0</v>
      </c>
      <c r="BVJ8" s="179">
        <f>IFERROR(VLOOKUP(BVJ$1,FactorAlfa[[Ticker]:[Weight]],2,FALSE),0%)</f>
        <v>0</v>
      </c>
      <c r="BVK8" s="179">
        <f>IFERROR(VLOOKUP(BVK$1,FactorAlfa[[Ticker]:[Weight]],2,FALSE),0%)</f>
        <v>0</v>
      </c>
      <c r="BVL8" s="179">
        <f>IFERROR(VLOOKUP(BVL$1,FactorAlfa[[Ticker]:[Weight]],2,FALSE),0%)</f>
        <v>0</v>
      </c>
      <c r="BVM8" s="179">
        <f>IFERROR(VLOOKUP(BVM$1,FactorAlfa[[Ticker]:[Weight]],2,FALSE),0%)</f>
        <v>0</v>
      </c>
      <c r="BVN8" s="179">
        <f>IFERROR(VLOOKUP(BVN$1,FactorAlfa[[Ticker]:[Weight]],2,FALSE),0%)</f>
        <v>0</v>
      </c>
      <c r="BVO8" s="179">
        <f>IFERROR(VLOOKUP(BVO$1,FactorAlfa[[Ticker]:[Weight]],2,FALSE),0%)</f>
        <v>0</v>
      </c>
      <c r="BVP8" s="179">
        <f>IFERROR(VLOOKUP(BVP$1,FactorAlfa[[Ticker]:[Weight]],2,FALSE),0%)</f>
        <v>0</v>
      </c>
      <c r="BVQ8" s="179">
        <f>IFERROR(VLOOKUP(BVQ$1,FactorAlfa[[Ticker]:[Weight]],2,FALSE),0%)</f>
        <v>0</v>
      </c>
      <c r="BVR8" s="179">
        <f>IFERROR(VLOOKUP(BVR$1,FactorAlfa[[Ticker]:[Weight]],2,FALSE),0%)</f>
        <v>0</v>
      </c>
      <c r="BVS8" s="179">
        <f>IFERROR(VLOOKUP(BVS$1,FactorAlfa[[Ticker]:[Weight]],2,FALSE),0%)</f>
        <v>0</v>
      </c>
      <c r="BVT8" s="179">
        <f>IFERROR(VLOOKUP(BVT$1,FactorAlfa[[Ticker]:[Weight]],2,FALSE),0%)</f>
        <v>0</v>
      </c>
      <c r="BVU8" s="179">
        <f>IFERROR(VLOOKUP(BVU$1,FactorAlfa[[Ticker]:[Weight]],2,FALSE),0%)</f>
        <v>0</v>
      </c>
      <c r="BVV8" s="179">
        <f>IFERROR(VLOOKUP(BVV$1,FactorAlfa[[Ticker]:[Weight]],2,FALSE),0%)</f>
        <v>0</v>
      </c>
      <c r="BVW8" s="179">
        <f>IFERROR(VLOOKUP(BVW$1,FactorAlfa[[Ticker]:[Weight]],2,FALSE),0%)</f>
        <v>0</v>
      </c>
      <c r="BVX8" s="179">
        <f>IFERROR(VLOOKUP(BVX$1,FactorAlfa[[Ticker]:[Weight]],2,FALSE),0%)</f>
        <v>0</v>
      </c>
      <c r="BVY8" s="179">
        <f>IFERROR(VLOOKUP(BVY$1,FactorAlfa[[Ticker]:[Weight]],2,FALSE),0%)</f>
        <v>0</v>
      </c>
      <c r="BVZ8" s="179">
        <f>IFERROR(VLOOKUP(BVZ$1,FactorAlfa[[Ticker]:[Weight]],2,FALSE),0%)</f>
        <v>0</v>
      </c>
      <c r="BWA8" s="179">
        <f>IFERROR(VLOOKUP(BWA$1,FactorAlfa[[Ticker]:[Weight]],2,FALSE),0%)</f>
        <v>0</v>
      </c>
      <c r="BWB8" s="179">
        <f>IFERROR(VLOOKUP(BWB$1,FactorAlfa[[Ticker]:[Weight]],2,FALSE),0%)</f>
        <v>0</v>
      </c>
      <c r="BWC8" s="179">
        <f>IFERROR(VLOOKUP(BWC$1,FactorAlfa[[Ticker]:[Weight]],2,FALSE),0%)</f>
        <v>0</v>
      </c>
      <c r="BWD8" s="179">
        <f>IFERROR(VLOOKUP(BWD$1,FactorAlfa[[Ticker]:[Weight]],2,FALSE),0%)</f>
        <v>0</v>
      </c>
      <c r="BWE8" s="179">
        <f>IFERROR(VLOOKUP(BWE$1,FactorAlfa[[Ticker]:[Weight]],2,FALSE),0%)</f>
        <v>0</v>
      </c>
      <c r="BWF8" s="179">
        <f>IFERROR(VLOOKUP(BWF$1,FactorAlfa[[Ticker]:[Weight]],2,FALSE),0%)</f>
        <v>0</v>
      </c>
      <c r="BWG8" s="179">
        <f>IFERROR(VLOOKUP(BWG$1,FactorAlfa[[Ticker]:[Weight]],2,FALSE),0%)</f>
        <v>0</v>
      </c>
      <c r="BWH8" s="179">
        <f>IFERROR(VLOOKUP(BWH$1,FactorAlfa[[Ticker]:[Weight]],2,FALSE),0%)</f>
        <v>0</v>
      </c>
      <c r="BWI8" s="179">
        <f>IFERROR(VLOOKUP(BWI$1,FactorAlfa[[Ticker]:[Weight]],2,FALSE),0%)</f>
        <v>0</v>
      </c>
      <c r="BWJ8" s="179">
        <f>IFERROR(VLOOKUP(BWJ$1,FactorAlfa[[Ticker]:[Weight]],2,FALSE),0%)</f>
        <v>0</v>
      </c>
      <c r="BWK8" s="179">
        <f>IFERROR(VLOOKUP(BWK$1,FactorAlfa[[Ticker]:[Weight]],2,FALSE),0%)</f>
        <v>0</v>
      </c>
      <c r="BWL8" s="179">
        <f>IFERROR(VLOOKUP(BWL$1,FactorAlfa[[Ticker]:[Weight]],2,FALSE),0%)</f>
        <v>0</v>
      </c>
      <c r="BWM8" s="179">
        <f>IFERROR(VLOOKUP(BWM$1,FactorAlfa[[Ticker]:[Weight]],2,FALSE),0%)</f>
        <v>0</v>
      </c>
      <c r="BWN8" s="179">
        <f>IFERROR(VLOOKUP(BWN$1,FactorAlfa[[Ticker]:[Weight]],2,FALSE),0%)</f>
        <v>0</v>
      </c>
      <c r="BWO8" s="179">
        <f>IFERROR(VLOOKUP(BWO$1,FactorAlfa[[Ticker]:[Weight]],2,FALSE),0%)</f>
        <v>0</v>
      </c>
      <c r="BWP8" s="179">
        <f>IFERROR(VLOOKUP(BWP$1,FactorAlfa[[Ticker]:[Weight]],2,FALSE),0%)</f>
        <v>0</v>
      </c>
      <c r="BWQ8" s="179">
        <f>IFERROR(VLOOKUP(BWQ$1,FactorAlfa[[Ticker]:[Weight]],2,FALSE),0%)</f>
        <v>0</v>
      </c>
      <c r="BWR8" s="179">
        <f>IFERROR(VLOOKUP(BWR$1,FactorAlfa[[Ticker]:[Weight]],2,FALSE),0%)</f>
        <v>0</v>
      </c>
      <c r="BWS8" s="179">
        <f>IFERROR(VLOOKUP(BWS$1,FactorAlfa[[Ticker]:[Weight]],2,FALSE),0%)</f>
        <v>0</v>
      </c>
      <c r="BWT8" s="179">
        <f>IFERROR(VLOOKUP(BWT$1,FactorAlfa[[Ticker]:[Weight]],2,FALSE),0%)</f>
        <v>0</v>
      </c>
      <c r="BWU8" s="179">
        <f>IFERROR(VLOOKUP(BWU$1,FactorAlfa[[Ticker]:[Weight]],2,FALSE),0%)</f>
        <v>0</v>
      </c>
      <c r="BWV8" s="179">
        <f>IFERROR(VLOOKUP(BWV$1,FactorAlfa[[Ticker]:[Weight]],2,FALSE),0%)</f>
        <v>0</v>
      </c>
      <c r="BWW8" s="179">
        <f>IFERROR(VLOOKUP(BWW$1,FactorAlfa[[Ticker]:[Weight]],2,FALSE),0%)</f>
        <v>0</v>
      </c>
      <c r="BWX8" s="179">
        <f>IFERROR(VLOOKUP(BWX$1,FactorAlfa[[Ticker]:[Weight]],2,FALSE),0%)</f>
        <v>0</v>
      </c>
      <c r="BWY8" s="179">
        <f>IFERROR(VLOOKUP(BWY$1,FactorAlfa[[Ticker]:[Weight]],2,FALSE),0%)</f>
        <v>0</v>
      </c>
      <c r="BWZ8" s="179">
        <f>IFERROR(VLOOKUP(BWZ$1,FactorAlfa[[Ticker]:[Weight]],2,FALSE),0%)</f>
        <v>0</v>
      </c>
      <c r="BXA8" s="179">
        <f>IFERROR(VLOOKUP(BXA$1,FactorAlfa[[Ticker]:[Weight]],2,FALSE),0%)</f>
        <v>0</v>
      </c>
      <c r="BXB8" s="179">
        <f>IFERROR(VLOOKUP(BXB$1,FactorAlfa[[Ticker]:[Weight]],2,FALSE),0%)</f>
        <v>0</v>
      </c>
      <c r="BXC8" s="179">
        <f>IFERROR(VLOOKUP(BXC$1,FactorAlfa[[Ticker]:[Weight]],2,FALSE),0%)</f>
        <v>0</v>
      </c>
      <c r="BXD8" s="179">
        <f>IFERROR(VLOOKUP(BXD$1,FactorAlfa[[Ticker]:[Weight]],2,FALSE),0%)</f>
        <v>0</v>
      </c>
      <c r="BXE8" s="179">
        <f>IFERROR(VLOOKUP(BXE$1,FactorAlfa[[Ticker]:[Weight]],2,FALSE),0%)</f>
        <v>0</v>
      </c>
      <c r="BXF8" s="179">
        <f>IFERROR(VLOOKUP(BXF$1,FactorAlfa[[Ticker]:[Weight]],2,FALSE),0%)</f>
        <v>0</v>
      </c>
      <c r="BXG8" s="179">
        <f>IFERROR(VLOOKUP(BXG$1,FactorAlfa[[Ticker]:[Weight]],2,FALSE),0%)</f>
        <v>0</v>
      </c>
      <c r="BXH8" s="179">
        <f>IFERROR(VLOOKUP(BXH$1,FactorAlfa[[Ticker]:[Weight]],2,FALSE),0%)</f>
        <v>0</v>
      </c>
      <c r="BXI8" s="179">
        <f>IFERROR(VLOOKUP(BXI$1,FactorAlfa[[Ticker]:[Weight]],2,FALSE),0%)</f>
        <v>0</v>
      </c>
      <c r="BXJ8" s="179">
        <f>IFERROR(VLOOKUP(BXJ$1,FactorAlfa[[Ticker]:[Weight]],2,FALSE),0%)</f>
        <v>0</v>
      </c>
      <c r="BXK8" s="179">
        <f>IFERROR(VLOOKUP(BXK$1,FactorAlfa[[Ticker]:[Weight]],2,FALSE),0%)</f>
        <v>0</v>
      </c>
      <c r="BXL8" s="179">
        <f>IFERROR(VLOOKUP(BXL$1,FactorAlfa[[Ticker]:[Weight]],2,FALSE),0%)</f>
        <v>0</v>
      </c>
      <c r="BXM8" s="179">
        <f>IFERROR(VLOOKUP(BXM$1,FactorAlfa[[Ticker]:[Weight]],2,FALSE),0%)</f>
        <v>0</v>
      </c>
      <c r="BXN8" s="179">
        <f>IFERROR(VLOOKUP(BXN$1,FactorAlfa[[Ticker]:[Weight]],2,FALSE),0%)</f>
        <v>0</v>
      </c>
      <c r="BXO8" s="179">
        <f>IFERROR(VLOOKUP(BXO$1,FactorAlfa[[Ticker]:[Weight]],2,FALSE),0%)</f>
        <v>0</v>
      </c>
      <c r="BXP8" s="179">
        <f>IFERROR(VLOOKUP(BXP$1,FactorAlfa[[Ticker]:[Weight]],2,FALSE),0%)</f>
        <v>0</v>
      </c>
      <c r="BXQ8" s="179">
        <f>IFERROR(VLOOKUP(BXQ$1,FactorAlfa[[Ticker]:[Weight]],2,FALSE),0%)</f>
        <v>0</v>
      </c>
      <c r="BXR8" s="179">
        <f>IFERROR(VLOOKUP(BXR$1,FactorAlfa[[Ticker]:[Weight]],2,FALSE),0%)</f>
        <v>0</v>
      </c>
      <c r="BXS8" s="179">
        <f>IFERROR(VLOOKUP(BXS$1,FactorAlfa[[Ticker]:[Weight]],2,FALSE),0%)</f>
        <v>0</v>
      </c>
      <c r="BXT8" s="179">
        <f>IFERROR(VLOOKUP(BXT$1,FactorAlfa[[Ticker]:[Weight]],2,FALSE),0%)</f>
        <v>0</v>
      </c>
      <c r="BXU8" s="179">
        <f>IFERROR(VLOOKUP(BXU$1,FactorAlfa[[Ticker]:[Weight]],2,FALSE),0%)</f>
        <v>0</v>
      </c>
      <c r="BXV8" s="179">
        <f>IFERROR(VLOOKUP(BXV$1,FactorAlfa[[Ticker]:[Weight]],2,FALSE),0%)</f>
        <v>0</v>
      </c>
      <c r="BXW8" s="179">
        <f>IFERROR(VLOOKUP(BXW$1,FactorAlfa[[Ticker]:[Weight]],2,FALSE),0%)</f>
        <v>0</v>
      </c>
      <c r="BXX8" s="179">
        <f>IFERROR(VLOOKUP(BXX$1,FactorAlfa[[Ticker]:[Weight]],2,FALSE),0%)</f>
        <v>0</v>
      </c>
      <c r="BXY8" s="179">
        <f>IFERROR(VLOOKUP(BXY$1,FactorAlfa[[Ticker]:[Weight]],2,FALSE),0%)</f>
        <v>0</v>
      </c>
      <c r="BXZ8" s="179">
        <f>IFERROR(VLOOKUP(BXZ$1,FactorAlfa[[Ticker]:[Weight]],2,FALSE),0%)</f>
        <v>0</v>
      </c>
      <c r="BYA8" s="179">
        <f>IFERROR(VLOOKUP(BYA$1,FactorAlfa[[Ticker]:[Weight]],2,FALSE),0%)</f>
        <v>0</v>
      </c>
      <c r="BYB8" s="179">
        <f>IFERROR(VLOOKUP(BYB$1,FactorAlfa[[Ticker]:[Weight]],2,FALSE),0%)</f>
        <v>0</v>
      </c>
      <c r="BYC8" s="179">
        <f>IFERROR(VLOOKUP(BYC$1,FactorAlfa[[Ticker]:[Weight]],2,FALSE),0%)</f>
        <v>0</v>
      </c>
      <c r="BYD8" s="179">
        <f>IFERROR(VLOOKUP(BYD$1,FactorAlfa[[Ticker]:[Weight]],2,FALSE),0%)</f>
        <v>0</v>
      </c>
      <c r="BYE8" s="179">
        <f>IFERROR(VLOOKUP(BYE$1,FactorAlfa[[Ticker]:[Weight]],2,FALSE),0%)</f>
        <v>0</v>
      </c>
      <c r="BYF8" s="179">
        <f>IFERROR(VLOOKUP(BYF$1,FactorAlfa[[Ticker]:[Weight]],2,FALSE),0%)</f>
        <v>0</v>
      </c>
      <c r="BYG8" s="179">
        <f>IFERROR(VLOOKUP(BYG$1,FactorAlfa[[Ticker]:[Weight]],2,FALSE),0%)</f>
        <v>0</v>
      </c>
      <c r="BYH8" s="179">
        <f>IFERROR(VLOOKUP(BYH$1,FactorAlfa[[Ticker]:[Weight]],2,FALSE),0%)</f>
        <v>0</v>
      </c>
      <c r="BYI8" s="179">
        <f>IFERROR(VLOOKUP(BYI$1,FactorAlfa[[Ticker]:[Weight]],2,FALSE),0%)</f>
        <v>0</v>
      </c>
      <c r="BYJ8" s="179">
        <f>IFERROR(VLOOKUP(BYJ$1,FactorAlfa[[Ticker]:[Weight]],2,FALSE),0%)</f>
        <v>0</v>
      </c>
      <c r="BYK8" s="179">
        <f>IFERROR(VLOOKUP(BYK$1,FactorAlfa[[Ticker]:[Weight]],2,FALSE),0%)</f>
        <v>0</v>
      </c>
      <c r="BYL8" s="179">
        <f>IFERROR(VLOOKUP(BYL$1,FactorAlfa[[Ticker]:[Weight]],2,FALSE),0%)</f>
        <v>0</v>
      </c>
      <c r="BYM8" s="179">
        <f>IFERROR(VLOOKUP(BYM$1,FactorAlfa[[Ticker]:[Weight]],2,FALSE),0%)</f>
        <v>0</v>
      </c>
      <c r="BYN8" s="179">
        <f>IFERROR(VLOOKUP(BYN$1,FactorAlfa[[Ticker]:[Weight]],2,FALSE),0%)</f>
        <v>0</v>
      </c>
      <c r="BYO8" s="179">
        <f>IFERROR(VLOOKUP(BYO$1,FactorAlfa[[Ticker]:[Weight]],2,FALSE),0%)</f>
        <v>0</v>
      </c>
      <c r="BYP8" s="179">
        <f>IFERROR(VLOOKUP(BYP$1,FactorAlfa[[Ticker]:[Weight]],2,FALSE),0%)</f>
        <v>0</v>
      </c>
      <c r="BYQ8" s="179">
        <f>IFERROR(VLOOKUP(BYQ$1,FactorAlfa[[Ticker]:[Weight]],2,FALSE),0%)</f>
        <v>0</v>
      </c>
      <c r="BYR8" s="179">
        <f>IFERROR(VLOOKUP(BYR$1,FactorAlfa[[Ticker]:[Weight]],2,FALSE),0%)</f>
        <v>0</v>
      </c>
      <c r="BYS8" s="179">
        <f>IFERROR(VLOOKUP(BYS$1,FactorAlfa[[Ticker]:[Weight]],2,FALSE),0%)</f>
        <v>0</v>
      </c>
      <c r="BYT8" s="179">
        <f>IFERROR(VLOOKUP(BYT$1,FactorAlfa[[Ticker]:[Weight]],2,FALSE),0%)</f>
        <v>0</v>
      </c>
      <c r="BYU8" s="179">
        <f>IFERROR(VLOOKUP(BYU$1,FactorAlfa[[Ticker]:[Weight]],2,FALSE),0%)</f>
        <v>0</v>
      </c>
      <c r="BYV8" s="179">
        <f>IFERROR(VLOOKUP(BYV$1,FactorAlfa[[Ticker]:[Weight]],2,FALSE),0%)</f>
        <v>0</v>
      </c>
      <c r="BYW8" s="179">
        <f>IFERROR(VLOOKUP(BYW$1,FactorAlfa[[Ticker]:[Weight]],2,FALSE),0%)</f>
        <v>0</v>
      </c>
      <c r="BYX8" s="179">
        <f>IFERROR(VLOOKUP(BYX$1,FactorAlfa[[Ticker]:[Weight]],2,FALSE),0%)</f>
        <v>0</v>
      </c>
      <c r="BYY8" s="179">
        <f>IFERROR(VLOOKUP(BYY$1,FactorAlfa[[Ticker]:[Weight]],2,FALSE),0%)</f>
        <v>0</v>
      </c>
      <c r="BYZ8" s="179">
        <f>IFERROR(VLOOKUP(BYZ$1,FactorAlfa[[Ticker]:[Weight]],2,FALSE),0%)</f>
        <v>0</v>
      </c>
      <c r="BZA8" s="179">
        <f>IFERROR(VLOOKUP(BZA$1,FactorAlfa[[Ticker]:[Weight]],2,FALSE),0%)</f>
        <v>0</v>
      </c>
      <c r="BZB8" s="179">
        <f>IFERROR(VLOOKUP(BZB$1,FactorAlfa[[Ticker]:[Weight]],2,FALSE),0%)</f>
        <v>0</v>
      </c>
      <c r="BZC8" s="179">
        <f>IFERROR(VLOOKUP(BZC$1,FactorAlfa[[Ticker]:[Weight]],2,FALSE),0%)</f>
        <v>0</v>
      </c>
      <c r="BZD8" s="179">
        <f>IFERROR(VLOOKUP(BZD$1,FactorAlfa[[Ticker]:[Weight]],2,FALSE),0%)</f>
        <v>0</v>
      </c>
      <c r="BZE8" s="179">
        <f>IFERROR(VLOOKUP(BZE$1,FactorAlfa[[Ticker]:[Weight]],2,FALSE),0%)</f>
        <v>0</v>
      </c>
      <c r="BZF8" s="179">
        <f>IFERROR(VLOOKUP(BZF$1,FactorAlfa[[Ticker]:[Weight]],2,FALSE),0%)</f>
        <v>0</v>
      </c>
      <c r="BZG8" s="179">
        <f>IFERROR(VLOOKUP(BZG$1,FactorAlfa[[Ticker]:[Weight]],2,FALSE),0%)</f>
        <v>0</v>
      </c>
      <c r="BZH8" s="179">
        <f>IFERROR(VLOOKUP(BZH$1,FactorAlfa[[Ticker]:[Weight]],2,FALSE),0%)</f>
        <v>0</v>
      </c>
      <c r="BZI8" s="179">
        <f>IFERROR(VLOOKUP(BZI$1,FactorAlfa[[Ticker]:[Weight]],2,FALSE),0%)</f>
        <v>0</v>
      </c>
      <c r="BZJ8" s="179">
        <f>IFERROR(VLOOKUP(BZJ$1,FactorAlfa[[Ticker]:[Weight]],2,FALSE),0%)</f>
        <v>0</v>
      </c>
      <c r="BZK8" s="179">
        <f>IFERROR(VLOOKUP(BZK$1,FactorAlfa[[Ticker]:[Weight]],2,FALSE),0%)</f>
        <v>0</v>
      </c>
      <c r="BZL8" s="179">
        <f>IFERROR(VLOOKUP(BZL$1,FactorAlfa[[Ticker]:[Weight]],2,FALSE),0%)</f>
        <v>0</v>
      </c>
      <c r="BZM8" s="179">
        <f>IFERROR(VLOOKUP(BZM$1,FactorAlfa[[Ticker]:[Weight]],2,FALSE),0%)</f>
        <v>0</v>
      </c>
      <c r="BZN8" s="179">
        <f>IFERROR(VLOOKUP(BZN$1,FactorAlfa[[Ticker]:[Weight]],2,FALSE),0%)</f>
        <v>0</v>
      </c>
      <c r="BZO8" s="179">
        <f>IFERROR(VLOOKUP(BZO$1,FactorAlfa[[Ticker]:[Weight]],2,FALSE),0%)</f>
        <v>0</v>
      </c>
      <c r="BZP8" s="179">
        <f>IFERROR(VLOOKUP(BZP$1,FactorAlfa[[Ticker]:[Weight]],2,FALSE),0%)</f>
        <v>0</v>
      </c>
      <c r="BZQ8" s="179">
        <f>IFERROR(VLOOKUP(BZQ$1,FactorAlfa[[Ticker]:[Weight]],2,FALSE),0%)</f>
        <v>0</v>
      </c>
      <c r="BZR8" s="179">
        <f>IFERROR(VLOOKUP(BZR$1,FactorAlfa[[Ticker]:[Weight]],2,FALSE),0%)</f>
        <v>0</v>
      </c>
      <c r="BZS8" s="179">
        <f>IFERROR(VLOOKUP(BZS$1,FactorAlfa[[Ticker]:[Weight]],2,FALSE),0%)</f>
        <v>0</v>
      </c>
      <c r="BZT8" s="179">
        <f>IFERROR(VLOOKUP(BZT$1,FactorAlfa[[Ticker]:[Weight]],2,FALSE),0%)</f>
        <v>0</v>
      </c>
      <c r="BZU8" s="179">
        <f>IFERROR(VLOOKUP(BZU$1,FactorAlfa[[Ticker]:[Weight]],2,FALSE),0%)</f>
        <v>0</v>
      </c>
      <c r="BZV8" s="179">
        <f>IFERROR(VLOOKUP(BZV$1,FactorAlfa[[Ticker]:[Weight]],2,FALSE),0%)</f>
        <v>0</v>
      </c>
      <c r="BZW8" s="179">
        <f>IFERROR(VLOOKUP(BZW$1,FactorAlfa[[Ticker]:[Weight]],2,FALSE),0%)</f>
        <v>0</v>
      </c>
      <c r="BZX8" s="179">
        <f>IFERROR(VLOOKUP(BZX$1,FactorAlfa[[Ticker]:[Weight]],2,FALSE),0%)</f>
        <v>0</v>
      </c>
      <c r="BZY8" s="179">
        <f>IFERROR(VLOOKUP(BZY$1,FactorAlfa[[Ticker]:[Weight]],2,FALSE),0%)</f>
        <v>0</v>
      </c>
      <c r="BZZ8" s="179">
        <f>IFERROR(VLOOKUP(BZZ$1,FactorAlfa[[Ticker]:[Weight]],2,FALSE),0%)</f>
        <v>0</v>
      </c>
      <c r="CAA8" s="179">
        <f>IFERROR(VLOOKUP(CAA$1,FactorAlfa[[Ticker]:[Weight]],2,FALSE),0%)</f>
        <v>0</v>
      </c>
      <c r="CAB8" s="179">
        <f>IFERROR(VLOOKUP(CAB$1,FactorAlfa[[Ticker]:[Weight]],2,FALSE),0%)</f>
        <v>0</v>
      </c>
      <c r="CAC8" s="179">
        <f>IFERROR(VLOOKUP(CAC$1,FactorAlfa[[Ticker]:[Weight]],2,FALSE),0%)</f>
        <v>0</v>
      </c>
      <c r="CAD8" s="179">
        <f>IFERROR(VLOOKUP(CAD$1,FactorAlfa[[Ticker]:[Weight]],2,FALSE),0%)</f>
        <v>0</v>
      </c>
      <c r="CAE8" s="179">
        <f>IFERROR(VLOOKUP(CAE$1,FactorAlfa[[Ticker]:[Weight]],2,FALSE),0%)</f>
        <v>0</v>
      </c>
      <c r="CAF8" s="179">
        <f>IFERROR(VLOOKUP(CAF$1,FactorAlfa[[Ticker]:[Weight]],2,FALSE),0%)</f>
        <v>0</v>
      </c>
      <c r="CAG8" s="179">
        <f>IFERROR(VLOOKUP(CAG$1,FactorAlfa[[Ticker]:[Weight]],2,FALSE),0%)</f>
        <v>0</v>
      </c>
      <c r="CAH8" s="179">
        <f>IFERROR(VLOOKUP(CAH$1,FactorAlfa[[Ticker]:[Weight]],2,FALSE),0%)</f>
        <v>0</v>
      </c>
      <c r="CAI8" s="179">
        <f>IFERROR(VLOOKUP(CAI$1,FactorAlfa[[Ticker]:[Weight]],2,FALSE),0%)</f>
        <v>0</v>
      </c>
      <c r="CAJ8" s="179">
        <f>IFERROR(VLOOKUP(CAJ$1,FactorAlfa[[Ticker]:[Weight]],2,FALSE),0%)</f>
        <v>0</v>
      </c>
      <c r="CAK8" s="179">
        <f>IFERROR(VLOOKUP(CAK$1,FactorAlfa[[Ticker]:[Weight]],2,FALSE),0%)</f>
        <v>0</v>
      </c>
      <c r="CAL8" s="179">
        <f>IFERROR(VLOOKUP(CAL$1,FactorAlfa[[Ticker]:[Weight]],2,FALSE),0%)</f>
        <v>0</v>
      </c>
      <c r="CAM8" s="179">
        <f>IFERROR(VLOOKUP(CAM$1,FactorAlfa[[Ticker]:[Weight]],2,FALSE),0%)</f>
        <v>0</v>
      </c>
      <c r="CAN8" s="179">
        <f>IFERROR(VLOOKUP(CAN$1,FactorAlfa[[Ticker]:[Weight]],2,FALSE),0%)</f>
        <v>0</v>
      </c>
      <c r="CAO8" s="179">
        <f>IFERROR(VLOOKUP(CAO$1,FactorAlfa[[Ticker]:[Weight]],2,FALSE),0%)</f>
        <v>0</v>
      </c>
      <c r="CAP8" s="179">
        <f>IFERROR(VLOOKUP(CAP$1,FactorAlfa[[Ticker]:[Weight]],2,FALSE),0%)</f>
        <v>0</v>
      </c>
      <c r="CAQ8" s="179">
        <f>IFERROR(VLOOKUP(CAQ$1,FactorAlfa[[Ticker]:[Weight]],2,FALSE),0%)</f>
        <v>0</v>
      </c>
      <c r="CAR8" s="179">
        <f>IFERROR(VLOOKUP(CAR$1,FactorAlfa[[Ticker]:[Weight]],2,FALSE),0%)</f>
        <v>0</v>
      </c>
      <c r="CAS8" s="179">
        <f>IFERROR(VLOOKUP(CAS$1,FactorAlfa[[Ticker]:[Weight]],2,FALSE),0%)</f>
        <v>0</v>
      </c>
      <c r="CAT8" s="179">
        <f>IFERROR(VLOOKUP(CAT$1,FactorAlfa[[Ticker]:[Weight]],2,FALSE),0%)</f>
        <v>0</v>
      </c>
      <c r="CAU8" s="179">
        <f>IFERROR(VLOOKUP(CAU$1,FactorAlfa[[Ticker]:[Weight]],2,FALSE),0%)</f>
        <v>0</v>
      </c>
      <c r="CAV8" s="179">
        <f>IFERROR(VLOOKUP(CAV$1,FactorAlfa[[Ticker]:[Weight]],2,FALSE),0%)</f>
        <v>0</v>
      </c>
      <c r="CAW8" s="179">
        <f>IFERROR(VLOOKUP(CAW$1,FactorAlfa[[Ticker]:[Weight]],2,FALSE),0%)</f>
        <v>0</v>
      </c>
      <c r="CAX8" s="179">
        <f>IFERROR(VLOOKUP(CAX$1,FactorAlfa[[Ticker]:[Weight]],2,FALSE),0%)</f>
        <v>0</v>
      </c>
      <c r="CAY8" s="179">
        <f>IFERROR(VLOOKUP(CAY$1,FactorAlfa[[Ticker]:[Weight]],2,FALSE),0%)</f>
        <v>0</v>
      </c>
      <c r="CAZ8" s="179">
        <f>IFERROR(VLOOKUP(CAZ$1,FactorAlfa[[Ticker]:[Weight]],2,FALSE),0%)</f>
        <v>0</v>
      </c>
      <c r="CBA8" s="179">
        <f>IFERROR(VLOOKUP(CBA$1,FactorAlfa[[Ticker]:[Weight]],2,FALSE),0%)</f>
        <v>0</v>
      </c>
      <c r="CBB8" s="179">
        <f>IFERROR(VLOOKUP(CBB$1,FactorAlfa[[Ticker]:[Weight]],2,FALSE),0%)</f>
        <v>0</v>
      </c>
      <c r="CBC8" s="179">
        <f>IFERROR(VLOOKUP(CBC$1,FactorAlfa[[Ticker]:[Weight]],2,FALSE),0%)</f>
        <v>0</v>
      </c>
      <c r="CBD8" s="179">
        <f>IFERROR(VLOOKUP(CBD$1,FactorAlfa[[Ticker]:[Weight]],2,FALSE),0%)</f>
        <v>0</v>
      </c>
      <c r="CBE8" s="179">
        <f>IFERROR(VLOOKUP(CBE$1,FactorAlfa[[Ticker]:[Weight]],2,FALSE),0%)</f>
        <v>0</v>
      </c>
      <c r="CBF8" s="179">
        <f>IFERROR(VLOOKUP(CBF$1,FactorAlfa[[Ticker]:[Weight]],2,FALSE),0%)</f>
        <v>0</v>
      </c>
      <c r="CBG8" s="179">
        <f>IFERROR(VLOOKUP(CBG$1,FactorAlfa[[Ticker]:[Weight]],2,FALSE),0%)</f>
        <v>0</v>
      </c>
      <c r="CBH8" s="179">
        <f>IFERROR(VLOOKUP(CBH$1,FactorAlfa[[Ticker]:[Weight]],2,FALSE),0%)</f>
        <v>0</v>
      </c>
      <c r="CBI8" s="179">
        <f>IFERROR(VLOOKUP(CBI$1,FactorAlfa[[Ticker]:[Weight]],2,FALSE),0%)</f>
        <v>0</v>
      </c>
      <c r="CBJ8" s="179">
        <f>IFERROR(VLOOKUP(CBJ$1,FactorAlfa[[Ticker]:[Weight]],2,FALSE),0%)</f>
        <v>0</v>
      </c>
      <c r="CBK8" s="179">
        <f>IFERROR(VLOOKUP(CBK$1,FactorAlfa[[Ticker]:[Weight]],2,FALSE),0%)</f>
        <v>0</v>
      </c>
      <c r="CBL8" s="179">
        <f>IFERROR(VLOOKUP(CBL$1,FactorAlfa[[Ticker]:[Weight]],2,FALSE),0%)</f>
        <v>0</v>
      </c>
      <c r="CBM8" s="179">
        <f>IFERROR(VLOOKUP(CBM$1,FactorAlfa[[Ticker]:[Weight]],2,FALSE),0%)</f>
        <v>0</v>
      </c>
      <c r="CBN8" s="179">
        <f>IFERROR(VLOOKUP(CBN$1,FactorAlfa[[Ticker]:[Weight]],2,FALSE),0%)</f>
        <v>0</v>
      </c>
      <c r="CBO8" s="179">
        <f>IFERROR(VLOOKUP(CBO$1,FactorAlfa[[Ticker]:[Weight]],2,FALSE),0%)</f>
        <v>0</v>
      </c>
      <c r="CBP8" s="179">
        <f>IFERROR(VLOOKUP(CBP$1,FactorAlfa[[Ticker]:[Weight]],2,FALSE),0%)</f>
        <v>0</v>
      </c>
      <c r="CBQ8" s="179">
        <f>IFERROR(VLOOKUP(CBQ$1,FactorAlfa[[Ticker]:[Weight]],2,FALSE),0%)</f>
        <v>0</v>
      </c>
      <c r="CBR8" s="179">
        <f>IFERROR(VLOOKUP(CBR$1,FactorAlfa[[Ticker]:[Weight]],2,FALSE),0%)</f>
        <v>0</v>
      </c>
      <c r="CBS8" s="179">
        <f>IFERROR(VLOOKUP(CBS$1,FactorAlfa[[Ticker]:[Weight]],2,FALSE),0%)</f>
        <v>0</v>
      </c>
      <c r="CBT8" s="179">
        <f>IFERROR(VLOOKUP(CBT$1,FactorAlfa[[Ticker]:[Weight]],2,FALSE),0%)</f>
        <v>0</v>
      </c>
      <c r="CBU8" s="179">
        <f>IFERROR(VLOOKUP(CBU$1,FactorAlfa[[Ticker]:[Weight]],2,FALSE),0%)</f>
        <v>0</v>
      </c>
      <c r="CBV8" s="179">
        <f>IFERROR(VLOOKUP(CBV$1,FactorAlfa[[Ticker]:[Weight]],2,FALSE),0%)</f>
        <v>0</v>
      </c>
      <c r="CBW8" s="179">
        <f t="shared" si="1"/>
        <v>0.99984</v>
      </c>
    </row>
  </sheetData>
  <hyperlinks>
    <hyperlink r:id="rId1" ref="EO1"/>
  </hyperlinks>
  <drawing r:id="rId2"/>
</worksheet>
</file>