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ling\Desktop\Work\py\quant\"/>
    </mc:Choice>
  </mc:AlternateContent>
  <xr:revisionPtr revIDLastSave="0" documentId="13_ncr:1_{F58FFF45-9AB0-4690-B8D3-85E4018A5079}" xr6:coauthVersionLast="47" xr6:coauthVersionMax="47" xr10:uidLastSave="{00000000-0000-0000-0000-000000000000}"/>
  <bookViews>
    <workbookView xWindow="22932" yWindow="-108" windowWidth="23256" windowHeight="12456" activeTab="2" xr2:uid="{30E669DC-2816-414F-BE32-52D815836B44}"/>
  </bookViews>
  <sheets>
    <sheet name="Datos pesos" sheetId="1" r:id="rId1"/>
    <sheet name="Datos USD" sheetId="2" r:id="rId2"/>
    <sheet name="Model US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2" i="3" l="1"/>
  <c r="R26" i="3" s="1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30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8" i="3"/>
  <c r="U7" i="3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Q7" i="3" s="1"/>
  <c r="BR7" i="3" s="1"/>
  <c r="BS7" i="3" s="1"/>
  <c r="BT7" i="3" s="1"/>
  <c r="BU7" i="3" s="1"/>
  <c r="BV7" i="3" s="1"/>
  <c r="BW7" i="3" s="1"/>
  <c r="BX7" i="3" s="1"/>
  <c r="BY7" i="3" s="1"/>
  <c r="BZ7" i="3" s="1"/>
  <c r="CA7" i="3" s="1"/>
  <c r="CB7" i="3" s="1"/>
  <c r="CC7" i="3" s="1"/>
  <c r="CD7" i="3" s="1"/>
  <c r="CE7" i="3" s="1"/>
  <c r="CF7" i="3" s="1"/>
  <c r="CG7" i="3" s="1"/>
  <c r="CH7" i="3" s="1"/>
  <c r="CI7" i="3" s="1"/>
  <c r="CJ7" i="3" s="1"/>
  <c r="CK7" i="3" s="1"/>
  <c r="CL7" i="3" s="1"/>
  <c r="CM7" i="3" s="1"/>
  <c r="CN7" i="3" s="1"/>
  <c r="CO7" i="3" s="1"/>
  <c r="CP7" i="3" s="1"/>
  <c r="CQ7" i="3" s="1"/>
  <c r="CR7" i="3" s="1"/>
  <c r="CS7" i="3" s="1"/>
  <c r="CT7" i="3" s="1"/>
  <c r="CU7" i="3" s="1"/>
  <c r="CV7" i="3" s="1"/>
  <c r="CW7" i="3" s="1"/>
  <c r="CX7" i="3" s="1"/>
  <c r="CY7" i="3" s="1"/>
  <c r="CZ7" i="3" s="1"/>
  <c r="DA7" i="3" s="1"/>
  <c r="DB7" i="3" s="1"/>
  <c r="DC7" i="3" s="1"/>
  <c r="DD7" i="3" s="1"/>
  <c r="DE7" i="3" s="1"/>
  <c r="DF7" i="3" s="1"/>
  <c r="DG7" i="3" s="1"/>
  <c r="DH7" i="3" s="1"/>
  <c r="DI7" i="3" s="1"/>
  <c r="DJ7" i="3" s="1"/>
  <c r="DK7" i="3" s="1"/>
  <c r="DL7" i="3" s="1"/>
  <c r="DM7" i="3" s="1"/>
  <c r="DN7" i="3" s="1"/>
  <c r="DO7" i="3" s="1"/>
  <c r="DP7" i="3" s="1"/>
  <c r="DQ7" i="3" s="1"/>
  <c r="DR7" i="3" s="1"/>
  <c r="DS7" i="3" s="1"/>
  <c r="DT7" i="3" s="1"/>
  <c r="DU7" i="3" s="1"/>
  <c r="DV7" i="3" s="1"/>
  <c r="DW7" i="3" s="1"/>
  <c r="DX7" i="3" s="1"/>
  <c r="DY7" i="3" s="1"/>
  <c r="DZ7" i="3" s="1"/>
  <c r="EA7" i="3" s="1"/>
  <c r="EB7" i="3" s="1"/>
  <c r="EC7" i="3" s="1"/>
  <c r="ED7" i="3" s="1"/>
  <c r="EE7" i="3" s="1"/>
  <c r="EF7" i="3" s="1"/>
  <c r="EG7" i="3" s="1"/>
  <c r="EH7" i="3" s="1"/>
  <c r="EI7" i="3" s="1"/>
  <c r="EJ7" i="3" s="1"/>
  <c r="EK7" i="3" s="1"/>
  <c r="EL7" i="3" s="1"/>
  <c r="EM7" i="3" s="1"/>
  <c r="EN7" i="3" s="1"/>
  <c r="EO7" i="3" s="1"/>
  <c r="EP7" i="3" s="1"/>
  <c r="EQ7" i="3" s="1"/>
  <c r="ER7" i="3" s="1"/>
  <c r="ES7" i="3" s="1"/>
  <c r="ET7" i="3" s="1"/>
  <c r="T7" i="3"/>
  <c r="G31" i="3"/>
  <c r="G32" i="3"/>
  <c r="G33" i="3"/>
  <c r="G34" i="3"/>
  <c r="G35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30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8" i="3"/>
  <c r="F2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8" i="3"/>
  <c r="D26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8" i="3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D32" i="2"/>
  <c r="E32" i="2"/>
  <c r="F32" i="2"/>
  <c r="G32" i="2"/>
  <c r="H32" i="2"/>
  <c r="I32" i="2"/>
  <c r="J32" i="2"/>
  <c r="K32" i="2"/>
  <c r="L32" i="2"/>
  <c r="M32" i="2"/>
  <c r="N32" i="2"/>
  <c r="O32" i="2"/>
  <c r="Q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C5" i="2"/>
  <c r="C6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" i="2"/>
  <c r="B5" i="2"/>
  <c r="B6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" i="2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R28" i="3" l="1"/>
  <c r="S22" i="3"/>
  <c r="S26" i="3" s="1"/>
  <c r="S28" i="3" l="1"/>
  <c r="T22" i="3" l="1"/>
  <c r="T26" i="3" s="1"/>
  <c r="T28" i="3"/>
  <c r="U22" i="3" s="1"/>
  <c r="U28" i="3" l="1"/>
  <c r="V22" i="3" s="1"/>
  <c r="U26" i="3"/>
  <c r="V28" i="3" l="1"/>
  <c r="W22" i="3" s="1"/>
  <c r="V26" i="3"/>
  <c r="W28" i="3" l="1"/>
  <c r="X22" i="3" s="1"/>
  <c r="W26" i="3"/>
  <c r="X28" i="3" l="1"/>
  <c r="Y22" i="3" s="1"/>
  <c r="X26" i="3"/>
  <c r="Y28" i="3" l="1"/>
  <c r="Z22" i="3" s="1"/>
  <c r="Y26" i="3"/>
  <c r="Z28" i="3" l="1"/>
  <c r="Z26" i="3"/>
  <c r="AA22" i="3" l="1"/>
  <c r="AA26" i="3" s="1"/>
  <c r="AA28" i="3" l="1"/>
  <c r="AB22" i="3" l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BX26" i="3" s="1"/>
  <c r="BY26" i="3" s="1"/>
  <c r="BZ26" i="3" s="1"/>
  <c r="CA26" i="3" s="1"/>
  <c r="CB26" i="3" s="1"/>
  <c r="CC26" i="3" s="1"/>
  <c r="CD26" i="3" s="1"/>
  <c r="CE26" i="3" s="1"/>
  <c r="CF26" i="3" s="1"/>
  <c r="CG26" i="3" s="1"/>
  <c r="CH26" i="3" s="1"/>
  <c r="CI26" i="3" s="1"/>
  <c r="CJ26" i="3" s="1"/>
  <c r="CK26" i="3" s="1"/>
  <c r="CL26" i="3" s="1"/>
  <c r="CM26" i="3" s="1"/>
  <c r="CN26" i="3" s="1"/>
  <c r="CO26" i="3" s="1"/>
  <c r="CP26" i="3" s="1"/>
  <c r="CQ26" i="3" s="1"/>
  <c r="CR26" i="3" s="1"/>
  <c r="CS26" i="3" s="1"/>
  <c r="CT26" i="3" s="1"/>
  <c r="CU26" i="3" s="1"/>
  <c r="CV26" i="3" s="1"/>
  <c r="CW26" i="3" s="1"/>
  <c r="CX26" i="3" s="1"/>
  <c r="CY26" i="3" s="1"/>
  <c r="CZ26" i="3" s="1"/>
  <c r="DA26" i="3" s="1"/>
  <c r="DB26" i="3" s="1"/>
  <c r="DC26" i="3" s="1"/>
  <c r="DD26" i="3" s="1"/>
  <c r="DE26" i="3" s="1"/>
  <c r="DF26" i="3" s="1"/>
  <c r="DG26" i="3" s="1"/>
  <c r="DH26" i="3" s="1"/>
  <c r="DI26" i="3" s="1"/>
  <c r="DJ26" i="3" s="1"/>
  <c r="DK26" i="3" s="1"/>
  <c r="DL26" i="3" s="1"/>
  <c r="DM26" i="3" s="1"/>
  <c r="DN26" i="3" s="1"/>
  <c r="DO26" i="3" s="1"/>
  <c r="DP26" i="3" s="1"/>
  <c r="DQ26" i="3" s="1"/>
  <c r="DR26" i="3" s="1"/>
  <c r="DS26" i="3" s="1"/>
  <c r="DT26" i="3" s="1"/>
  <c r="DU26" i="3" s="1"/>
  <c r="DV26" i="3" s="1"/>
  <c r="DW26" i="3" s="1"/>
  <c r="DX26" i="3" s="1"/>
  <c r="DY26" i="3" s="1"/>
  <c r="DZ26" i="3" s="1"/>
  <c r="EA26" i="3" s="1"/>
  <c r="EB26" i="3" s="1"/>
  <c r="EC26" i="3" s="1"/>
  <c r="ED26" i="3" s="1"/>
  <c r="EE26" i="3" s="1"/>
  <c r="EF26" i="3" s="1"/>
  <c r="EG26" i="3" s="1"/>
  <c r="EH26" i="3" s="1"/>
  <c r="EI26" i="3" s="1"/>
  <c r="EJ26" i="3" s="1"/>
  <c r="EK26" i="3" s="1"/>
  <c r="EL26" i="3" s="1"/>
  <c r="EM26" i="3" s="1"/>
  <c r="EN26" i="3" s="1"/>
  <c r="EO26" i="3" s="1"/>
  <c r="EP26" i="3" s="1"/>
  <c r="EQ26" i="3" s="1"/>
  <c r="ER26" i="3" s="1"/>
  <c r="ES26" i="3" s="1"/>
  <c r="ET26" i="3" s="1"/>
  <c r="B4" i="3" s="1"/>
  <c r="AB28" i="3"/>
</calcChain>
</file>

<file path=xl/sharedStrings.xml><?xml version="1.0" encoding="utf-8"?>
<sst xmlns="http://schemas.openxmlformats.org/spreadsheetml/2006/main" count="147" uniqueCount="55">
  <si>
    <t>AGC</t>
  </si>
  <si>
    <t>Sailing</t>
  </si>
  <si>
    <t>Revenues</t>
  </si>
  <si>
    <t>COGS AGC</t>
  </si>
  <si>
    <t>-</t>
  </si>
  <si>
    <t>COGS Sailing</t>
  </si>
  <si>
    <t>COGS total</t>
  </si>
  <si>
    <t>Gross income</t>
  </si>
  <si>
    <t>Operating costs AGC</t>
  </si>
  <si>
    <t>Operating costs Sailing</t>
  </si>
  <si>
    <t>EBITDA</t>
  </si>
  <si>
    <t>D&amp;A</t>
  </si>
  <si>
    <t>Operating Income</t>
  </si>
  <si>
    <t>Financial results from AGC</t>
  </si>
  <si>
    <t>Financial results from Sailing</t>
  </si>
  <si>
    <t>Financial results total</t>
  </si>
  <si>
    <t>Pretax Income</t>
  </si>
  <si>
    <t>Income tax</t>
  </si>
  <si>
    <t>Net income</t>
  </si>
  <si>
    <t>Current Assets</t>
  </si>
  <si>
    <t>Short-Term Investments</t>
  </si>
  <si>
    <t>Operational credtis</t>
  </si>
  <si>
    <t>Other credits</t>
  </si>
  <si>
    <t>Total Current Assets</t>
  </si>
  <si>
    <t>Goodwill/Intangibles</t>
  </si>
  <si>
    <t>Bienes de uso</t>
  </si>
  <si>
    <t>Total del activo no corriente</t>
  </si>
  <si>
    <t>TOTAL DE ACTIVO</t>
  </si>
  <si>
    <t>PATRIMONIO NETO</t>
  </si>
  <si>
    <t>Operatings costs less D&amp;A</t>
  </si>
  <si>
    <t>Fiscal debt</t>
  </si>
  <si>
    <t>Social debt</t>
  </si>
  <si>
    <t>Total current liabilities</t>
  </si>
  <si>
    <t>Liabilities</t>
  </si>
  <si>
    <t>WC</t>
  </si>
  <si>
    <t>Equity</t>
  </si>
  <si>
    <t>Cash</t>
  </si>
  <si>
    <t>Operational debt</t>
  </si>
  <si>
    <t>Commercial debt</t>
  </si>
  <si>
    <t>Q124</t>
  </si>
  <si>
    <t>Q224</t>
  </si>
  <si>
    <t>Q324</t>
  </si>
  <si>
    <t>Q424</t>
  </si>
  <si>
    <t>Q125</t>
  </si>
  <si>
    <t>Maturity</t>
  </si>
  <si>
    <t>Discount</t>
  </si>
  <si>
    <t>NPV</t>
  </si>
  <si>
    <t>ROIC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</si>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</sst>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Fill="1" applyBorder="1"/>
    <xf numFmtId="17" fontId="2" fillId="0" borderId="0" xfId="0" applyNumberFormat="1" applyFont="1" applyFill="1" applyBorder="1" applyAlignment="1">
      <alignment horizontal="center" vertical="center"/>
    </xf>
    <xf numFmtId="44" fontId="2" fillId="0" borderId="0" xfId="2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/>
    <xf numFmtId="164" fontId="4" fillId="0" borderId="0" xfId="0" applyNumberFormat="1" applyFont="1" applyFill="1" applyBorder="1"/>
    <xf numFmtId="0" fontId="3" fillId="0" borderId="0" xfId="0" applyFont="1" applyFill="1" applyBorder="1"/>
    <xf numFmtId="164" fontId="2" fillId="0" borderId="0" xfId="1" applyNumberFormat="1" applyFont="1" applyFill="1" applyBorder="1"/>
    <xf numFmtId="0" fontId="6" fillId="0" borderId="0" xfId="0" applyFont="1" applyFill="1" applyBorder="1"/>
    <xf numFmtId="3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3" fontId="2" fillId="0" borderId="0" xfId="0" applyNumberFormat="1" applyFont="1" applyFill="1" applyBorder="1" applyAlignment="1">
      <alignment horizontal="right" wrapText="1"/>
    </xf>
    <xf numFmtId="3" fontId="2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3" fontId="5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wrapText="1"/>
    </xf>
    <xf numFmtId="0" fontId="5" fillId="2" borderId="0" xfId="0" applyFont="1" applyFill="1" applyBorder="1"/>
    <xf numFmtId="44" fontId="5" fillId="2" borderId="0" xfId="2" applyFont="1" applyFill="1" applyBorder="1"/>
    <xf numFmtId="0" fontId="5" fillId="0" borderId="0" xfId="0" applyFont="1"/>
    <xf numFmtId="3" fontId="2" fillId="0" borderId="0" xfId="1" applyNumberFormat="1" applyFont="1"/>
    <xf numFmtId="3" fontId="5" fillId="0" borderId="0" xfId="1" applyNumberFormat="1" applyFont="1"/>
    <xf numFmtId="9" fontId="2" fillId="0" borderId="0" xfId="0" applyNumberFormat="1" applyFont="1"/>
    <xf numFmtId="8" fontId="2" fillId="0" borderId="0" xfId="0" applyNumberFormat="1" applyFont="1"/>
    <xf numFmtId="3" fontId="2" fillId="0" borderId="0" xfId="0" applyNumberFormat="1" applyFont="1"/>
    <xf numFmtId="3" fontId="5" fillId="0" borderId="0" xfId="0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7A0F-F804-41C6-86D4-2DCF5A1638A5}">
  <dimension ref="A1:Q46"/>
  <sheetViews>
    <sheetView zoomScale="145" zoomScaleNormal="145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A18" sqref="A18"/>
    </sheetView>
  </sheetViews>
  <sheetFormatPr baseColWidth="10" defaultColWidth="16.77734375" defaultRowHeight="13.2" x14ac:dyDescent="0.25"/>
  <cols>
    <col min="1" max="1" width="25.6640625" style="2" bestFit="1" customWidth="1"/>
    <col min="2" max="16384" width="16.77734375" style="2"/>
  </cols>
  <sheetData>
    <row r="1" spans="1:17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17" x14ac:dyDescent="0.25">
      <c r="B2" s="3">
        <v>45292</v>
      </c>
      <c r="C2" s="3">
        <v>45323</v>
      </c>
      <c r="D2" s="3">
        <v>45382</v>
      </c>
      <c r="E2" s="3">
        <v>45383</v>
      </c>
      <c r="F2" s="3">
        <v>45443</v>
      </c>
      <c r="G2" s="3">
        <v>45444</v>
      </c>
      <c r="H2" s="3">
        <v>45504</v>
      </c>
      <c r="I2" s="3">
        <v>45505</v>
      </c>
      <c r="J2" s="3">
        <v>45565</v>
      </c>
      <c r="K2" s="3">
        <v>45566</v>
      </c>
      <c r="L2" s="3">
        <v>45597</v>
      </c>
      <c r="M2" s="3">
        <v>45992</v>
      </c>
      <c r="N2" s="3">
        <v>45688</v>
      </c>
      <c r="O2" s="3">
        <v>45689</v>
      </c>
      <c r="P2" s="3">
        <v>45747</v>
      </c>
      <c r="Q2" s="3">
        <v>45748</v>
      </c>
    </row>
    <row r="3" spans="1:17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2" t="s">
        <v>0</v>
      </c>
      <c r="B4" s="5">
        <v>53881033.515716702</v>
      </c>
      <c r="C4" s="5">
        <v>20963936.553822301</v>
      </c>
      <c r="D4" s="5">
        <v>44692243.264536299</v>
      </c>
      <c r="E4" s="5">
        <v>38082941.549913898</v>
      </c>
      <c r="F4" s="5">
        <v>61682740.726166502</v>
      </c>
      <c r="G4" s="11">
        <v>36939440</v>
      </c>
      <c r="H4" s="11">
        <v>42664677</v>
      </c>
      <c r="I4" s="11">
        <v>28340416</v>
      </c>
      <c r="J4" s="11">
        <v>38131286</v>
      </c>
      <c r="K4" s="11">
        <v>32030555</v>
      </c>
      <c r="L4" s="11">
        <v>17470562</v>
      </c>
      <c r="M4" s="11">
        <v>55781137</v>
      </c>
      <c r="N4" s="11">
        <v>22956087</v>
      </c>
      <c r="O4" s="11">
        <v>25600892</v>
      </c>
      <c r="P4" s="11">
        <v>53528822</v>
      </c>
      <c r="Q4" s="11">
        <v>25216930</v>
      </c>
    </row>
    <row r="5" spans="1:17" x14ac:dyDescent="0.25">
      <c r="A5" s="2" t="s">
        <v>1</v>
      </c>
      <c r="B5" s="5">
        <v>20403149.580527551</v>
      </c>
      <c r="C5" s="5">
        <v>19557884.021099798</v>
      </c>
      <c r="D5" s="5">
        <v>20027511.157186311</v>
      </c>
      <c r="E5" s="5">
        <v>36083085.761139899</v>
      </c>
      <c r="F5" s="5">
        <v>41916510.726108201</v>
      </c>
      <c r="G5" s="11">
        <v>26930564</v>
      </c>
      <c r="H5" s="11">
        <v>21563684</v>
      </c>
      <c r="I5" s="11">
        <v>26415950</v>
      </c>
      <c r="J5" s="11">
        <v>41050992</v>
      </c>
      <c r="K5" s="11">
        <v>35406312</v>
      </c>
      <c r="L5" s="11">
        <v>73513466</v>
      </c>
      <c r="M5" s="11">
        <v>67499258</v>
      </c>
      <c r="N5" s="11">
        <v>108650789</v>
      </c>
      <c r="O5" s="11">
        <v>72287909</v>
      </c>
      <c r="P5" s="11">
        <v>68071789</v>
      </c>
      <c r="Q5" s="11">
        <v>110837988</v>
      </c>
    </row>
    <row r="6" spans="1:17" x14ac:dyDescent="0.25">
      <c r="A6" s="6" t="s">
        <v>2</v>
      </c>
      <c r="B6" s="7">
        <v>74284183.096244246</v>
      </c>
      <c r="C6" s="7">
        <v>40521820.5749221</v>
      </c>
      <c r="D6" s="7">
        <v>64719754.421722606</v>
      </c>
      <c r="E6" s="7">
        <v>74166027.311053798</v>
      </c>
      <c r="F6" s="7">
        <v>103599251.45227471</v>
      </c>
      <c r="G6" s="7">
        <v>63870003.889604554</v>
      </c>
      <c r="H6" s="7">
        <v>64228361.233173355</v>
      </c>
      <c r="I6" s="7">
        <v>54756366.438370563</v>
      </c>
      <c r="J6" s="7">
        <v>79182277.535907492</v>
      </c>
      <c r="K6" s="7">
        <v>67436867.091284901</v>
      </c>
      <c r="L6" s="7">
        <v>90984027.808683306</v>
      </c>
      <c r="M6" s="7">
        <v>123280394.73855051</v>
      </c>
      <c r="N6" s="7">
        <v>131606876.05343109</v>
      </c>
      <c r="O6" s="7">
        <v>97888801.213088915</v>
      </c>
      <c r="P6" s="7">
        <v>121600611.79634471</v>
      </c>
      <c r="Q6" s="7">
        <v>136054918.15004981</v>
      </c>
    </row>
    <row r="7" spans="1:17" x14ac:dyDescent="0.25">
      <c r="A7" s="8" t="s">
        <v>3</v>
      </c>
      <c r="B7" s="12" t="s">
        <v>4</v>
      </c>
      <c r="C7" s="12" t="s">
        <v>4</v>
      </c>
      <c r="D7" s="12"/>
      <c r="E7" s="12" t="s">
        <v>4</v>
      </c>
      <c r="F7" s="12" t="s">
        <v>4</v>
      </c>
      <c r="G7" s="12" t="s">
        <v>4</v>
      </c>
      <c r="H7" s="12" t="s">
        <v>4</v>
      </c>
      <c r="I7" s="12" t="s">
        <v>4</v>
      </c>
      <c r="J7" s="12" t="s">
        <v>4</v>
      </c>
      <c r="K7" s="12" t="s">
        <v>4</v>
      </c>
      <c r="L7" s="12" t="s">
        <v>4</v>
      </c>
      <c r="M7" s="12" t="s">
        <v>4</v>
      </c>
      <c r="N7" s="12" t="s">
        <v>4</v>
      </c>
      <c r="O7" s="12" t="s">
        <v>4</v>
      </c>
      <c r="P7" s="12" t="s">
        <v>4</v>
      </c>
      <c r="Q7" s="12" t="s">
        <v>4</v>
      </c>
    </row>
    <row r="8" spans="1:17" x14ac:dyDescent="0.25">
      <c r="A8" s="8" t="s">
        <v>5</v>
      </c>
      <c r="B8" s="11">
        <v>-4562769</v>
      </c>
      <c r="C8" s="11">
        <v>-3568071</v>
      </c>
      <c r="D8" s="11">
        <v>-2978255</v>
      </c>
      <c r="E8" s="11">
        <v>-4766775</v>
      </c>
      <c r="F8" s="11">
        <v>-5659831</v>
      </c>
      <c r="G8" s="11">
        <v>-1887826</v>
      </c>
      <c r="H8" s="11">
        <v>-4126436</v>
      </c>
      <c r="I8" s="11">
        <v>-4153176</v>
      </c>
      <c r="J8" s="11">
        <v>-7890378</v>
      </c>
      <c r="K8" s="11">
        <v>-3880908</v>
      </c>
      <c r="L8" s="11">
        <v>-6631218</v>
      </c>
      <c r="M8" s="11">
        <v>-5765951</v>
      </c>
      <c r="N8" s="11">
        <v>-3318515</v>
      </c>
      <c r="O8" s="11">
        <v>-3293817</v>
      </c>
      <c r="P8" s="11">
        <v>-4774721</v>
      </c>
      <c r="Q8" s="5">
        <v>0</v>
      </c>
    </row>
    <row r="9" spans="1:17" x14ac:dyDescent="0.25">
      <c r="A9" s="8" t="s">
        <v>6</v>
      </c>
      <c r="B9" s="5">
        <v>-4562768.8844050001</v>
      </c>
      <c r="C9" s="5">
        <v>-3568070.8778574951</v>
      </c>
      <c r="D9" s="5">
        <v>-2978254.6839699997</v>
      </c>
      <c r="E9" s="5">
        <v>-4766774.7888425002</v>
      </c>
      <c r="F9" s="5">
        <v>-5659831.4478349993</v>
      </c>
      <c r="G9" s="5">
        <v>-1887825.6577390572</v>
      </c>
      <c r="H9" s="5">
        <v>-4126435.623175004</v>
      </c>
      <c r="I9" s="5">
        <v>-4153175.9923300003</v>
      </c>
      <c r="J9" s="5">
        <v>-7890377.7338074995</v>
      </c>
      <c r="K9" s="5">
        <v>-3880908.4503250467</v>
      </c>
      <c r="L9" s="5">
        <v>-6631218.0227850573</v>
      </c>
      <c r="M9" s="5">
        <v>-5765951.0189550351</v>
      </c>
      <c r="N9" s="5">
        <v>-3318515.2899998473</v>
      </c>
      <c r="O9" s="5">
        <v>-3293817.0800001528</v>
      </c>
      <c r="P9" s="5">
        <v>-4774721.0899992362</v>
      </c>
      <c r="Q9" s="5">
        <v>-4418874.8399995416</v>
      </c>
    </row>
    <row r="10" spans="1:17" x14ac:dyDescent="0.25">
      <c r="A10" s="6" t="s">
        <v>7</v>
      </c>
      <c r="B10" s="7">
        <v>69721414.211839244</v>
      </c>
      <c r="C10" s="7">
        <v>36953749.697064608</v>
      </c>
      <c r="D10" s="7">
        <v>61741499.737752609</v>
      </c>
      <c r="E10" s="7">
        <v>69399252.522211298</v>
      </c>
      <c r="F10" s="7">
        <v>97939420.004439712</v>
      </c>
      <c r="G10" s="7">
        <v>61982178.231865495</v>
      </c>
      <c r="H10" s="7">
        <v>60101925.609998353</v>
      </c>
      <c r="I10" s="7">
        <v>50603190.446040563</v>
      </c>
      <c r="J10" s="7">
        <v>71291899.802099988</v>
      </c>
      <c r="K10" s="7">
        <v>63555958.640959851</v>
      </c>
      <c r="L10" s="7">
        <v>84352809.785898253</v>
      </c>
      <c r="M10" s="7">
        <v>117514443.71959548</v>
      </c>
      <c r="N10" s="7">
        <v>128288360.76343125</v>
      </c>
      <c r="O10" s="7">
        <v>94594984.133088768</v>
      </c>
      <c r="P10" s="7">
        <v>116825890.70634547</v>
      </c>
      <c r="Q10" s="7">
        <v>131636043.31005026</v>
      </c>
    </row>
    <row r="11" spans="1:17" x14ac:dyDescent="0.25">
      <c r="A11" s="8" t="s">
        <v>8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11">
        <v>-6418000</v>
      </c>
      <c r="P11" s="11">
        <v>-10460000</v>
      </c>
      <c r="Q11" s="11">
        <v>-8781074</v>
      </c>
    </row>
    <row r="12" spans="1:17" x14ac:dyDescent="0.25">
      <c r="A12" s="8" t="s">
        <v>9</v>
      </c>
      <c r="B12" s="5">
        <f>B13</f>
        <v>-23528049.664444447</v>
      </c>
      <c r="C12" s="5">
        <f>C13</f>
        <v>-28351341.447777778</v>
      </c>
      <c r="D12" s="5">
        <f>D13</f>
        <v>-39642167.89992328</v>
      </c>
      <c r="E12" s="5">
        <f>E13</f>
        <v>-40094929.236665279</v>
      </c>
      <c r="F12" s="5">
        <f>F13</f>
        <v>-45718436.438151225</v>
      </c>
      <c r="G12" s="5">
        <f>G13</f>
        <v>-50658840.731562659</v>
      </c>
      <c r="H12" s="5">
        <f>H13</f>
        <v>-47721368.060000002</v>
      </c>
      <c r="I12" s="5">
        <f>I13</f>
        <v>-44982080.12447226</v>
      </c>
      <c r="J12" s="5">
        <f>J13</f>
        <v>-70781240.43056944</v>
      </c>
      <c r="K12" s="5">
        <f>K13</f>
        <v>-114022852.9601167</v>
      </c>
      <c r="L12" s="5">
        <f>L13</f>
        <v>-107599833.73427501</v>
      </c>
      <c r="M12" s="5">
        <f>M13</f>
        <v>-123677146.07008328</v>
      </c>
      <c r="N12" s="5">
        <f>N13</f>
        <v>-118365689.38021532</v>
      </c>
      <c r="O12" s="11">
        <v>-100091106</v>
      </c>
      <c r="P12" s="11">
        <v>-117012562</v>
      </c>
      <c r="Q12" s="11">
        <v>-99911035</v>
      </c>
    </row>
    <row r="13" spans="1:17" x14ac:dyDescent="0.25">
      <c r="A13" s="8" t="s">
        <v>29</v>
      </c>
      <c r="B13" s="5">
        <v>-23528049.664444447</v>
      </c>
      <c r="C13" s="5">
        <v>-28351341.447777778</v>
      </c>
      <c r="D13" s="5">
        <v>-39642167.89992328</v>
      </c>
      <c r="E13" s="5">
        <v>-40094929.236665279</v>
      </c>
      <c r="F13" s="5">
        <v>-45718436.438151225</v>
      </c>
      <c r="G13" s="5">
        <v>-50658840.731562659</v>
      </c>
      <c r="H13" s="5">
        <v>-47721368.060000002</v>
      </c>
      <c r="I13" s="5">
        <v>-44982080.12447226</v>
      </c>
      <c r="J13" s="5">
        <v>-70781240.43056944</v>
      </c>
      <c r="K13" s="5">
        <v>-114022852.9601167</v>
      </c>
      <c r="L13" s="5">
        <v>-107599833.73427501</v>
      </c>
      <c r="M13" s="5">
        <v>-123677146.07008328</v>
      </c>
      <c r="N13" s="5">
        <v>-118365689.38021532</v>
      </c>
      <c r="O13" s="5">
        <v>-106509105.62535352</v>
      </c>
      <c r="P13" s="5">
        <v>-127472561.85892549</v>
      </c>
      <c r="Q13" s="5">
        <v>-108692108.60192661</v>
      </c>
    </row>
    <row r="14" spans="1:17" x14ac:dyDescent="0.25">
      <c r="A14" s="6" t="s">
        <v>10</v>
      </c>
      <c r="B14" s="7">
        <v>46193364.547394797</v>
      </c>
      <c r="C14" s="7">
        <v>8602408.2492868286</v>
      </c>
      <c r="D14" s="7">
        <v>22099331.837829329</v>
      </c>
      <c r="E14" s="7">
        <v>29304323.285546012</v>
      </c>
      <c r="F14" s="7">
        <v>52220983.566288494</v>
      </c>
      <c r="G14" s="7">
        <v>11323337.500302836</v>
      </c>
      <c r="H14" s="7">
        <v>12380557.549998358</v>
      </c>
      <c r="I14" s="7">
        <v>5621110.3215683065</v>
      </c>
      <c r="J14" s="7">
        <v>510659.37153055309</v>
      </c>
      <c r="K14" s="7">
        <v>-50466894.319156848</v>
      </c>
      <c r="L14" s="7">
        <v>-23247023.948376752</v>
      </c>
      <c r="M14" s="7">
        <v>-6162702.3504877985</v>
      </c>
      <c r="N14" s="7">
        <v>9922671.383215934</v>
      </c>
      <c r="O14" s="7">
        <v>-11914121.492264748</v>
      </c>
      <c r="P14" s="7">
        <v>-10646671.152580023</v>
      </c>
      <c r="Q14" s="7">
        <v>22943934.708123654</v>
      </c>
    </row>
    <row r="15" spans="1:17" x14ac:dyDescent="0.25">
      <c r="A15" s="8" t="s">
        <v>11</v>
      </c>
      <c r="B15" s="9">
        <v>-22322.92</v>
      </c>
      <c r="C15" s="9">
        <v>-22322.92</v>
      </c>
      <c r="D15" s="9">
        <v>-29249.58666666667</v>
      </c>
      <c r="E15" s="9">
        <v>-29249.58666666667</v>
      </c>
      <c r="F15" s="9">
        <v>-29249.58666666667</v>
      </c>
      <c r="G15" s="9">
        <v>-29249.58666666667</v>
      </c>
      <c r="H15" s="9">
        <v>-29249.586666666666</v>
      </c>
      <c r="I15" s="9">
        <v>-29249.58666666667</v>
      </c>
      <c r="J15" s="9">
        <v>-44249.58666666667</v>
      </c>
      <c r="K15" s="9">
        <v>-52582.920000000006</v>
      </c>
      <c r="L15" s="9">
        <v>-64249.58666666667</v>
      </c>
      <c r="M15" s="9">
        <v>-68999.58666666667</v>
      </c>
      <c r="N15" s="9">
        <v>-76916.253333333341</v>
      </c>
      <c r="O15" s="9">
        <v>-76916.253333333341</v>
      </c>
      <c r="P15" s="9">
        <v>-91082.920000000013</v>
      </c>
      <c r="Q15" s="9">
        <v>-91082.920000000013</v>
      </c>
    </row>
    <row r="16" spans="1:17" x14ac:dyDescent="0.25">
      <c r="A16" s="8" t="s">
        <v>12</v>
      </c>
      <c r="B16" s="9">
        <f>B15+B14</f>
        <v>46171041.627394795</v>
      </c>
      <c r="C16" s="9">
        <f>C15+C14</f>
        <v>8580085.3292868286</v>
      </c>
      <c r="D16" s="9">
        <f>D15+D14</f>
        <v>22070082.251162663</v>
      </c>
      <c r="E16" s="9">
        <f>E15+E14</f>
        <v>29275073.698879346</v>
      </c>
      <c r="F16" s="9">
        <f>F15+F14</f>
        <v>52191733.979621828</v>
      </c>
      <c r="G16" s="9">
        <f>G15+G14</f>
        <v>11294087.91363617</v>
      </c>
      <c r="H16" s="9">
        <f>H15+H14</f>
        <v>12351307.963331692</v>
      </c>
      <c r="I16" s="9">
        <f>I15+I14</f>
        <v>5591860.7349016396</v>
      </c>
      <c r="J16" s="9">
        <f>J15+J14</f>
        <v>466409.78486388642</v>
      </c>
      <c r="K16" s="9">
        <f>K15+K14</f>
        <v>-50519477.23915685</v>
      </c>
      <c r="L16" s="9">
        <f>L15+L14</f>
        <v>-23311273.535043418</v>
      </c>
      <c r="M16" s="9">
        <f>M15+M14</f>
        <v>-6231701.9371544654</v>
      </c>
      <c r="N16" s="9">
        <f>N15+N14</f>
        <v>9845755.1298826002</v>
      </c>
      <c r="O16" s="9">
        <f>O15+O14</f>
        <v>-11991037.745598081</v>
      </c>
      <c r="P16" s="9">
        <f>P15+P14</f>
        <v>-10737754.072580023</v>
      </c>
      <c r="Q16" s="9">
        <f>Q15+Q14</f>
        <v>22852851.788123652</v>
      </c>
    </row>
    <row r="17" spans="1:17" x14ac:dyDescent="0.25">
      <c r="A17" s="8" t="s">
        <v>13</v>
      </c>
      <c r="B17" s="11">
        <v>5823772</v>
      </c>
      <c r="C17" s="11">
        <v>-2843350</v>
      </c>
      <c r="D17" s="13">
        <v>-310395</v>
      </c>
      <c r="E17" s="11">
        <v>1251089</v>
      </c>
      <c r="F17" s="11">
        <v>5400421</v>
      </c>
      <c r="G17" s="11">
        <v>1040798</v>
      </c>
      <c r="H17" s="13">
        <v>-952237</v>
      </c>
      <c r="I17" s="11">
        <v>-2524808</v>
      </c>
      <c r="J17" s="13">
        <v>-352967</v>
      </c>
      <c r="K17" s="11">
        <v>1705635</v>
      </c>
      <c r="L17" s="11">
        <v>4960986</v>
      </c>
      <c r="M17" s="11">
        <v>-20050020</v>
      </c>
      <c r="N17" s="13">
        <v>-140965</v>
      </c>
      <c r="O17" s="11">
        <v>-2514069</v>
      </c>
      <c r="P17" s="11">
        <v>-18263159</v>
      </c>
      <c r="Q17" s="11">
        <v>24585568</v>
      </c>
    </row>
    <row r="18" spans="1:17" x14ac:dyDescent="0.25">
      <c r="A18" s="8" t="s">
        <v>14</v>
      </c>
      <c r="B18" s="11">
        <v>162098229</v>
      </c>
      <c r="C18" s="11">
        <v>-64754666</v>
      </c>
      <c r="D18" s="11">
        <v>96870395</v>
      </c>
      <c r="E18" s="11">
        <v>82198492</v>
      </c>
      <c r="F18" s="11">
        <v>111022562</v>
      </c>
      <c r="G18" s="11">
        <v>-32124514</v>
      </c>
      <c r="H18" s="11">
        <v>-60598360</v>
      </c>
      <c r="I18" s="11">
        <v>112233928</v>
      </c>
      <c r="J18" s="11">
        <v>-7962475</v>
      </c>
      <c r="K18" s="11">
        <v>27705321</v>
      </c>
      <c r="L18" s="11">
        <v>18777995</v>
      </c>
      <c r="M18" s="11">
        <v>142323223</v>
      </c>
      <c r="N18" s="11">
        <v>192192921</v>
      </c>
      <c r="O18" s="11">
        <v>-249804761</v>
      </c>
      <c r="P18" s="11">
        <v>-1849641</v>
      </c>
      <c r="Q18" s="11">
        <v>-86076522</v>
      </c>
    </row>
    <row r="19" spans="1:17" x14ac:dyDescent="0.25">
      <c r="A19" s="8" t="s">
        <v>15</v>
      </c>
      <c r="B19" s="5">
        <v>167922000.27102354</v>
      </c>
      <c r="C19" s="5">
        <v>-67598016.643694192</v>
      </c>
      <c r="D19" s="5">
        <v>96560000.585601225</v>
      </c>
      <c r="E19" s="5">
        <v>83449580.445492327</v>
      </c>
      <c r="F19" s="5">
        <v>116422982.58275405</v>
      </c>
      <c r="G19" s="5">
        <v>-31083715.275269419</v>
      </c>
      <c r="H19" s="5">
        <v>-61550597.085000105</v>
      </c>
      <c r="I19" s="5">
        <v>109709119.82315946</v>
      </c>
      <c r="J19" s="5">
        <v>-8315442.6149578216</v>
      </c>
      <c r="K19" s="5">
        <v>29410956.408059649</v>
      </c>
      <c r="L19" s="5">
        <v>23738980.952328797</v>
      </c>
      <c r="M19" s="5">
        <v>122273202.75993675</v>
      </c>
      <c r="N19" s="5">
        <v>192051955.89000154</v>
      </c>
      <c r="O19" s="5">
        <v>-252318830.19289219</v>
      </c>
      <c r="P19" s="5">
        <v>-20112799.692642137</v>
      </c>
      <c r="Q19" s="5">
        <v>-61490954.542337328</v>
      </c>
    </row>
    <row r="20" spans="1:17" x14ac:dyDescent="0.25">
      <c r="A20" s="6" t="s">
        <v>16</v>
      </c>
      <c r="B20" s="7">
        <v>214093041.89841837</v>
      </c>
      <c r="C20" s="7">
        <v>-59017931.314407364</v>
      </c>
      <c r="D20" s="7">
        <v>118630082.83676389</v>
      </c>
      <c r="E20" s="7">
        <v>112724654.14437166</v>
      </c>
      <c r="F20" s="7">
        <v>168614716.56237587</v>
      </c>
      <c r="G20" s="7">
        <v>-19789627.361633249</v>
      </c>
      <c r="H20" s="7">
        <v>-49199289.121668413</v>
      </c>
      <c r="I20" s="7">
        <v>115300980.55806109</v>
      </c>
      <c r="J20" s="7">
        <v>-7849032.8300939351</v>
      </c>
      <c r="K20" s="7">
        <v>-21108520.831097201</v>
      </c>
      <c r="L20" s="7">
        <v>427707.41728537902</v>
      </c>
      <c r="M20" s="7">
        <v>116041500.82278228</v>
      </c>
      <c r="N20" s="7">
        <v>201897711.01988414</v>
      </c>
      <c r="O20" s="7">
        <v>-264309867.93849027</v>
      </c>
      <c r="P20" s="7">
        <v>-30850553.765222162</v>
      </c>
      <c r="Q20" s="7">
        <v>-38638102.754213676</v>
      </c>
    </row>
    <row r="21" spans="1:17" x14ac:dyDescent="0.25">
      <c r="A21" s="8" t="s">
        <v>17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-4120995.4335000291</v>
      </c>
      <c r="O21" s="5">
        <v>3708100.3761883201</v>
      </c>
      <c r="P21" s="5">
        <v>-377761.69015589496</v>
      </c>
      <c r="Q21" s="5">
        <v>790656.747467604</v>
      </c>
    </row>
    <row r="22" spans="1:17" x14ac:dyDescent="0.25">
      <c r="A22" s="8" t="s">
        <v>18</v>
      </c>
      <c r="B22" s="7">
        <v>214093041.89841837</v>
      </c>
      <c r="C22" s="7">
        <v>-59017931.314407364</v>
      </c>
      <c r="D22" s="7">
        <v>118630082.83676389</v>
      </c>
      <c r="E22" s="7">
        <v>112724654.14437166</v>
      </c>
      <c r="F22" s="7">
        <v>168614716.56237587</v>
      </c>
      <c r="G22" s="7">
        <v>-19789627.361633249</v>
      </c>
      <c r="H22" s="7">
        <v>-49199289.121668413</v>
      </c>
      <c r="I22" s="7">
        <v>115300980.55806109</v>
      </c>
      <c r="J22" s="7">
        <v>-7849032.8300939351</v>
      </c>
      <c r="K22" s="7">
        <v>-21108520.831097201</v>
      </c>
      <c r="L22" s="7">
        <v>427707.41728537902</v>
      </c>
      <c r="M22" s="7">
        <v>116041500.82278228</v>
      </c>
      <c r="N22" s="7">
        <v>197776715.58638412</v>
      </c>
      <c r="O22" s="7">
        <v>-260601767.56230196</v>
      </c>
      <c r="P22" s="7">
        <v>-31228315.455378056</v>
      </c>
      <c r="Q22" s="7">
        <v>-37847446.006746069</v>
      </c>
    </row>
    <row r="24" spans="1:17" x14ac:dyDescent="0.25">
      <c r="A24" s="8"/>
    </row>
    <row r="25" spans="1:17" x14ac:dyDescent="0.25">
      <c r="A25" s="6" t="s">
        <v>19</v>
      </c>
    </row>
    <row r="26" spans="1:17" x14ac:dyDescent="0.25">
      <c r="A26" s="2" t="s">
        <v>36</v>
      </c>
      <c r="B26" s="11">
        <v>696746348</v>
      </c>
      <c r="C26" s="11">
        <v>679286384</v>
      </c>
      <c r="D26" s="11">
        <v>492899799</v>
      </c>
      <c r="E26" s="11">
        <v>680215868</v>
      </c>
      <c r="F26" s="11">
        <v>510151456</v>
      </c>
      <c r="G26" s="11">
        <v>584124853</v>
      </c>
      <c r="H26" s="11">
        <v>548840262</v>
      </c>
      <c r="I26" s="11">
        <v>499609742</v>
      </c>
      <c r="J26" s="11">
        <v>1110225795</v>
      </c>
      <c r="K26" s="11">
        <v>426829134</v>
      </c>
      <c r="L26" s="11">
        <v>495888756</v>
      </c>
      <c r="M26" s="11">
        <v>436326755</v>
      </c>
      <c r="N26" s="11">
        <v>357160028</v>
      </c>
      <c r="O26" s="11">
        <v>887567908</v>
      </c>
      <c r="P26" s="11">
        <v>627517013</v>
      </c>
      <c r="Q26" s="11">
        <v>447741539</v>
      </c>
    </row>
    <row r="27" spans="1:17" x14ac:dyDescent="0.25">
      <c r="A27" s="8" t="s">
        <v>20</v>
      </c>
      <c r="B27" s="11">
        <v>879440834</v>
      </c>
      <c r="C27" s="11">
        <v>847774337</v>
      </c>
      <c r="D27" s="11">
        <v>965091034</v>
      </c>
      <c r="E27" s="11">
        <v>1003126928</v>
      </c>
      <c r="F27" s="11">
        <v>1316620219</v>
      </c>
      <c r="G27" s="11">
        <v>680241904</v>
      </c>
      <c r="H27" s="11">
        <v>1330779610</v>
      </c>
      <c r="I27" s="11">
        <v>1432687607</v>
      </c>
      <c r="J27" s="11">
        <v>989241208</v>
      </c>
      <c r="K27" s="11">
        <v>1404842137</v>
      </c>
      <c r="L27" s="11">
        <v>1404842137</v>
      </c>
      <c r="M27" s="11">
        <v>1936406570</v>
      </c>
      <c r="N27" s="11">
        <v>950975301</v>
      </c>
      <c r="O27" s="11">
        <v>2735737638</v>
      </c>
      <c r="P27" s="11">
        <v>2560467595</v>
      </c>
      <c r="Q27" s="11">
        <v>2026376944</v>
      </c>
    </row>
    <row r="28" spans="1:17" x14ac:dyDescent="0.25">
      <c r="A28" s="8" t="s">
        <v>21</v>
      </c>
      <c r="B28" s="11">
        <v>175557820</v>
      </c>
      <c r="C28" s="11">
        <v>166978963</v>
      </c>
      <c r="D28" s="11">
        <v>163597789</v>
      </c>
      <c r="E28" s="11">
        <v>466246129</v>
      </c>
      <c r="F28" s="11">
        <v>-254990642</v>
      </c>
      <c r="G28" s="11">
        <v>390098075</v>
      </c>
      <c r="H28" s="11">
        <v>-161307282</v>
      </c>
      <c r="I28" s="11">
        <v>-43799416</v>
      </c>
      <c r="J28" s="11">
        <v>8778256</v>
      </c>
      <c r="K28" s="11">
        <v>-404918060</v>
      </c>
      <c r="L28" s="11">
        <v>-404918060</v>
      </c>
      <c r="M28" s="11">
        <v>-571631552</v>
      </c>
      <c r="N28" s="11">
        <v>729696147</v>
      </c>
      <c r="O28" s="14">
        <v>-1235255802</v>
      </c>
      <c r="P28" s="11">
        <v>-1157278992</v>
      </c>
      <c r="Q28" s="11">
        <v>-926059025</v>
      </c>
    </row>
    <row r="29" spans="1:17" x14ac:dyDescent="0.25">
      <c r="A29" s="8" t="s">
        <v>22</v>
      </c>
      <c r="B29" s="11">
        <v>16417357</v>
      </c>
      <c r="C29" s="11">
        <v>14121768</v>
      </c>
      <c r="D29" s="11">
        <v>13831814</v>
      </c>
      <c r="E29" s="11">
        <v>11823211</v>
      </c>
      <c r="F29" s="11">
        <v>10116473</v>
      </c>
      <c r="G29" s="11">
        <v>24562266</v>
      </c>
      <c r="H29" s="11">
        <v>28485968</v>
      </c>
      <c r="I29" s="11">
        <v>33444537</v>
      </c>
      <c r="J29" s="11">
        <v>45562936</v>
      </c>
      <c r="K29" s="11">
        <v>50627124</v>
      </c>
      <c r="L29" s="11">
        <v>50627124</v>
      </c>
      <c r="M29" s="11">
        <v>51941466</v>
      </c>
      <c r="N29" s="11">
        <v>59558262</v>
      </c>
      <c r="O29" s="11">
        <v>77986568</v>
      </c>
      <c r="P29" s="11">
        <v>95350193</v>
      </c>
      <c r="Q29" s="11">
        <v>97012532</v>
      </c>
    </row>
    <row r="30" spans="1:17" x14ac:dyDescent="0.25">
      <c r="A30" s="2" t="s">
        <v>23</v>
      </c>
      <c r="B30" s="15">
        <v>1768162360</v>
      </c>
      <c r="C30" s="15">
        <v>1708161452</v>
      </c>
      <c r="D30" s="15">
        <v>1635420437</v>
      </c>
      <c r="E30" s="15">
        <v>2161412136</v>
      </c>
      <c r="F30" s="15">
        <v>1581897506</v>
      </c>
      <c r="G30" s="15">
        <v>1679027098</v>
      </c>
      <c r="H30" s="15">
        <v>1746798559</v>
      </c>
      <c r="I30" s="15">
        <v>1921942470</v>
      </c>
      <c r="J30" s="15">
        <v>2153808194</v>
      </c>
      <c r="K30" s="15">
        <v>1477380336</v>
      </c>
      <c r="L30" s="15">
        <v>1546439958</v>
      </c>
      <c r="M30" s="15">
        <v>1853043238</v>
      </c>
      <c r="N30" s="15">
        <v>2097389737</v>
      </c>
      <c r="O30" s="15">
        <v>2466036312</v>
      </c>
      <c r="P30" s="15">
        <v>2126055808</v>
      </c>
      <c r="Q30" s="15">
        <v>1645071990</v>
      </c>
    </row>
    <row r="31" spans="1:17" x14ac:dyDescent="0.25">
      <c r="A31" s="2" t="s">
        <v>24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x14ac:dyDescent="0.25">
      <c r="A32" s="2" t="s">
        <v>25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2" t="s">
        <v>4</v>
      </c>
      <c r="Q32" s="11">
        <v>60714375</v>
      </c>
    </row>
    <row r="33" spans="1:17" x14ac:dyDescent="0.25">
      <c r="A33" s="6" t="s">
        <v>26</v>
      </c>
      <c r="B33" s="11">
        <v>9507645</v>
      </c>
      <c r="C33" s="11">
        <v>25874825</v>
      </c>
      <c r="D33" s="11">
        <v>26676775</v>
      </c>
      <c r="E33" s="11">
        <v>26647526</v>
      </c>
      <c r="F33" s="11">
        <v>26618276</v>
      </c>
      <c r="G33" s="11">
        <v>26589026</v>
      </c>
      <c r="H33" s="11">
        <v>26559777</v>
      </c>
      <c r="I33" s="11">
        <v>26530527</v>
      </c>
      <c r="J33" s="11">
        <v>28286278</v>
      </c>
      <c r="K33" s="11">
        <v>29233695</v>
      </c>
      <c r="L33" s="11">
        <v>29233695</v>
      </c>
      <c r="M33" s="11">
        <v>30569445</v>
      </c>
      <c r="N33" s="11">
        <v>31070446</v>
      </c>
      <c r="O33" s="11">
        <v>31943529</v>
      </c>
      <c r="P33" s="11">
        <v>59196541</v>
      </c>
      <c r="Q33" s="12" t="s">
        <v>4</v>
      </c>
    </row>
    <row r="34" spans="1:17" x14ac:dyDescent="0.25">
      <c r="A34" s="6" t="s">
        <v>27</v>
      </c>
      <c r="B34" s="15">
        <v>1777670005</v>
      </c>
      <c r="C34" s="15">
        <v>1734036277</v>
      </c>
      <c r="D34" s="15">
        <v>1662097213</v>
      </c>
      <c r="E34" s="15">
        <v>2188059662</v>
      </c>
      <c r="F34" s="15">
        <v>1608515782</v>
      </c>
      <c r="G34" s="15">
        <v>1705616125</v>
      </c>
      <c r="H34" s="15">
        <v>1773358336</v>
      </c>
      <c r="I34" s="15">
        <v>1948472998</v>
      </c>
      <c r="J34" s="15">
        <v>2182094472</v>
      </c>
      <c r="K34" s="15">
        <v>1506614030</v>
      </c>
      <c r="L34" s="15">
        <v>1575673653</v>
      </c>
      <c r="M34" s="15">
        <v>1883612683</v>
      </c>
      <c r="N34" s="15">
        <v>2128460183</v>
      </c>
      <c r="O34" s="15">
        <v>2497979842</v>
      </c>
      <c r="P34" s="15">
        <v>2185252349</v>
      </c>
      <c r="Q34" s="15">
        <v>1705786365</v>
      </c>
    </row>
    <row r="35" spans="1:17" x14ac:dyDescent="0.25">
      <c r="A35" s="6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25">
      <c r="A36" s="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25">
      <c r="A37" s="8" t="s">
        <v>33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25">
      <c r="A38" s="2" t="s">
        <v>37</v>
      </c>
      <c r="B38" s="11">
        <v>-1088814594</v>
      </c>
      <c r="C38" s="11">
        <v>-1135570722</v>
      </c>
      <c r="D38" s="11">
        <v>-957627051</v>
      </c>
      <c r="E38" s="11">
        <v>-1386491729</v>
      </c>
      <c r="F38" s="11">
        <v>-714556547</v>
      </c>
      <c r="G38" s="11">
        <v>-873548532</v>
      </c>
      <c r="H38" s="11">
        <v>-1008742249</v>
      </c>
      <c r="I38" s="11">
        <v>-1080318100</v>
      </c>
      <c r="J38" s="11">
        <v>-1322898253</v>
      </c>
      <c r="K38" s="11">
        <v>-637809841</v>
      </c>
      <c r="L38" s="11">
        <v>-735980515</v>
      </c>
      <c r="M38" s="11">
        <v>-1016714794</v>
      </c>
      <c r="N38" s="11">
        <v>-1171757218</v>
      </c>
      <c r="O38" s="14">
        <v>-1333846112</v>
      </c>
      <c r="P38" s="11">
        <v>-1246617770</v>
      </c>
      <c r="Q38" s="11">
        <v>-810081059</v>
      </c>
    </row>
    <row r="39" spans="1:17" x14ac:dyDescent="0.25">
      <c r="A39" s="8" t="s">
        <v>38</v>
      </c>
      <c r="B39" s="11">
        <v>-5811224</v>
      </c>
      <c r="C39" s="11">
        <v>-5136582</v>
      </c>
      <c r="D39" s="11">
        <v>-4660346</v>
      </c>
      <c r="E39" s="11">
        <v>-5299930</v>
      </c>
      <c r="F39" s="11">
        <v>-6765780</v>
      </c>
      <c r="G39" s="11">
        <v>-6227080</v>
      </c>
      <c r="H39" s="11">
        <v>-6435841</v>
      </c>
      <c r="I39" s="11">
        <v>-6530439</v>
      </c>
      <c r="J39" s="11">
        <v>-8169281</v>
      </c>
      <c r="K39" s="11">
        <v>-6363497</v>
      </c>
      <c r="L39" s="11">
        <v>-8040174</v>
      </c>
      <c r="M39" s="11">
        <v>-30197982</v>
      </c>
      <c r="N39" s="11">
        <v>-13207957</v>
      </c>
      <c r="O39" s="11">
        <v>-14542102</v>
      </c>
      <c r="P39" s="11">
        <v>-10152107</v>
      </c>
      <c r="Q39" s="11">
        <v>-14951839</v>
      </c>
    </row>
    <row r="40" spans="1:17" x14ac:dyDescent="0.25">
      <c r="A40" s="8" t="s">
        <v>30</v>
      </c>
      <c r="B40" s="11">
        <v>-2556121</v>
      </c>
      <c r="C40" s="11">
        <v>-3944682</v>
      </c>
      <c r="D40" s="11">
        <v>-6131420</v>
      </c>
      <c r="E40" s="11">
        <v>-7971689</v>
      </c>
      <c r="F40" s="11">
        <v>-10144684</v>
      </c>
      <c r="G40" s="11">
        <v>-5041079</v>
      </c>
      <c r="H40" s="11">
        <v>-6310715</v>
      </c>
      <c r="I40" s="11">
        <v>-7490147</v>
      </c>
      <c r="J40" s="11">
        <v>-10136936</v>
      </c>
      <c r="K40" s="11">
        <v>-8830697</v>
      </c>
      <c r="L40" s="11">
        <v>-12765009</v>
      </c>
      <c r="M40" s="11">
        <v>-15169508</v>
      </c>
      <c r="N40" s="11">
        <v>-6261185</v>
      </c>
      <c r="O40" s="11">
        <v>-10374999</v>
      </c>
      <c r="P40" s="11">
        <v>-15672781</v>
      </c>
      <c r="Q40" s="11">
        <v>-36378720</v>
      </c>
    </row>
    <row r="41" spans="1:17" x14ac:dyDescent="0.25">
      <c r="A41" s="8" t="s">
        <v>31</v>
      </c>
      <c r="B41" s="11">
        <v>-2893922</v>
      </c>
      <c r="C41" s="11">
        <v>-78181551</v>
      </c>
      <c r="D41" s="11">
        <v>-78176726</v>
      </c>
      <c r="E41" s="11">
        <v>-79069988</v>
      </c>
      <c r="F41" s="11">
        <v>-19207729</v>
      </c>
      <c r="G41" s="11">
        <v>-18448019</v>
      </c>
      <c r="H41" s="11">
        <v>-18142406</v>
      </c>
      <c r="I41" s="11">
        <v>-18406205</v>
      </c>
      <c r="J41" s="11">
        <v>-19110930</v>
      </c>
      <c r="K41" s="11">
        <v>-19141823</v>
      </c>
      <c r="L41" s="11">
        <v>-19141823</v>
      </c>
      <c r="M41" s="11">
        <v>-21352640</v>
      </c>
      <c r="N41" s="11">
        <v>-21014562</v>
      </c>
      <c r="O41" s="11">
        <v>-25233797</v>
      </c>
      <c r="P41" s="11">
        <v>-51402741</v>
      </c>
      <c r="Q41" s="11">
        <v>-52043560</v>
      </c>
    </row>
    <row r="42" spans="1:17" x14ac:dyDescent="0.25">
      <c r="A42" s="6" t="s">
        <v>32</v>
      </c>
      <c r="B42" s="15">
        <v>-1100075862</v>
      </c>
      <c r="C42" s="15">
        <v>-1222833538</v>
      </c>
      <c r="D42" s="15">
        <v>-1046595542</v>
      </c>
      <c r="E42" s="15">
        <v>-1478833337</v>
      </c>
      <c r="F42" s="15">
        <v>-750674740</v>
      </c>
      <c r="G42" s="15">
        <v>-903264710</v>
      </c>
      <c r="H42" s="15">
        <v>-1039631210</v>
      </c>
      <c r="I42" s="15">
        <v>-1112744891</v>
      </c>
      <c r="J42" s="15">
        <v>-1360315399</v>
      </c>
      <c r="K42" s="15">
        <v>-672145859</v>
      </c>
      <c r="L42" s="15">
        <v>-775927521</v>
      </c>
      <c r="M42" s="15">
        <v>-1083434924</v>
      </c>
      <c r="N42" s="15">
        <v>-1212240923</v>
      </c>
      <c r="O42" s="17">
        <v>-1383997010</v>
      </c>
      <c r="P42" s="15">
        <v>-1323845399</v>
      </c>
      <c r="Q42" s="15">
        <v>-913455177</v>
      </c>
    </row>
    <row r="43" spans="1:17" x14ac:dyDescent="0.25">
      <c r="A43" s="10" t="s">
        <v>34</v>
      </c>
      <c r="B43" s="18">
        <v>668086498</v>
      </c>
      <c r="C43" s="18">
        <v>485327915</v>
      </c>
      <c r="D43" s="18">
        <v>588824895</v>
      </c>
      <c r="E43" s="18">
        <v>682578799</v>
      </c>
      <c r="F43" s="18">
        <v>831222766</v>
      </c>
      <c r="G43" s="18">
        <v>775762388</v>
      </c>
      <c r="H43" s="18">
        <v>707167348</v>
      </c>
      <c r="I43" s="18">
        <v>809197579</v>
      </c>
      <c r="J43" s="18">
        <v>793492795</v>
      </c>
      <c r="K43" s="18">
        <v>805234477</v>
      </c>
      <c r="L43" s="18">
        <v>770512436</v>
      </c>
      <c r="M43" s="18">
        <v>769608314</v>
      </c>
      <c r="N43" s="18">
        <v>885148815</v>
      </c>
      <c r="O43" s="18">
        <v>1082039302</v>
      </c>
      <c r="P43" s="18">
        <v>802210409</v>
      </c>
      <c r="Q43" s="18">
        <v>731616814</v>
      </c>
    </row>
    <row r="44" spans="1:17" x14ac:dyDescent="0.25">
      <c r="A44" s="6" t="s">
        <v>28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25">
      <c r="A45" s="6" t="s">
        <v>35</v>
      </c>
      <c r="B45" s="11">
        <v>-677594145</v>
      </c>
      <c r="C45" s="11">
        <v>-511202741</v>
      </c>
      <c r="D45" s="11">
        <v>-615501672</v>
      </c>
      <c r="E45" s="11">
        <v>-709226327</v>
      </c>
      <c r="F45" s="11">
        <v>-857841043</v>
      </c>
      <c r="G45" s="11">
        <v>-802351416</v>
      </c>
      <c r="H45" s="11">
        <v>-733727127</v>
      </c>
      <c r="I45" s="11">
        <v>-835728107</v>
      </c>
      <c r="J45" s="11">
        <v>-821779074</v>
      </c>
      <c r="K45" s="11">
        <v>-834468173</v>
      </c>
      <c r="L45" s="11">
        <v>-799746133</v>
      </c>
      <c r="M45" s="11">
        <v>-800177761</v>
      </c>
      <c r="N45" s="11">
        <v>-916219262</v>
      </c>
      <c r="O45" s="14">
        <v>-1113982832</v>
      </c>
      <c r="P45" s="11">
        <v>-861406950</v>
      </c>
      <c r="Q45" s="11">
        <v>-792331191</v>
      </c>
    </row>
    <row r="46" spans="1:17" x14ac:dyDescent="0.25">
      <c r="B46" s="15">
        <v>-1777670007</v>
      </c>
      <c r="C46" s="15">
        <v>-1734036279</v>
      </c>
      <c r="D46" s="15">
        <v>-1662097214</v>
      </c>
      <c r="E46" s="15">
        <v>-2188059664</v>
      </c>
      <c r="F46" s="15">
        <v>-1608515783</v>
      </c>
      <c r="G46" s="15">
        <v>-1705616126</v>
      </c>
      <c r="H46" s="15">
        <v>-1773358337</v>
      </c>
      <c r="I46" s="15">
        <v>-1948472998</v>
      </c>
      <c r="J46" s="15">
        <v>-2182094474</v>
      </c>
      <c r="K46" s="15">
        <v>-1506614031</v>
      </c>
      <c r="L46" s="15">
        <v>-1575673654</v>
      </c>
      <c r="M46" s="15">
        <v>-1883612685</v>
      </c>
      <c r="N46" s="15">
        <v>-2128460184</v>
      </c>
      <c r="O46" s="17">
        <v>-2497979842</v>
      </c>
      <c r="P46" s="15">
        <v>-2185252349</v>
      </c>
      <c r="Q46" s="15">
        <v>-875607733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711D-4D8F-4013-B133-F188144C8C5E}">
  <dimension ref="A1:Q45"/>
  <sheetViews>
    <sheetView zoomScale="145" zoomScaleNormal="145" workbookViewId="0">
      <pane xSplit="1" ySplit="2" topLeftCell="M27" activePane="bottomRight" state="frozen"/>
      <selection pane="topRight" activeCell="B1" sqref="B1"/>
      <selection pane="bottomLeft" activeCell="A3" sqref="A3"/>
      <selection pane="bottomRight" activeCell="Q33" sqref="Q33"/>
    </sheetView>
  </sheetViews>
  <sheetFormatPr baseColWidth="10" defaultColWidth="16.77734375" defaultRowHeight="13.2" x14ac:dyDescent="0.25"/>
  <cols>
    <col min="1" max="1" width="25.6640625" style="2" bestFit="1" customWidth="1"/>
    <col min="2" max="16384" width="16.77734375" style="2"/>
  </cols>
  <sheetData>
    <row r="1" spans="1:17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17" x14ac:dyDescent="0.25">
      <c r="B2" s="3">
        <v>45292</v>
      </c>
      <c r="C2" s="3">
        <v>45323</v>
      </c>
      <c r="D2" s="3">
        <v>45382</v>
      </c>
      <c r="E2" s="3">
        <v>45383</v>
      </c>
      <c r="F2" s="3">
        <v>45443</v>
      </c>
      <c r="G2" s="3">
        <v>45444</v>
      </c>
      <c r="H2" s="3">
        <v>45504</v>
      </c>
      <c r="I2" s="3">
        <v>45505</v>
      </c>
      <c r="J2" s="3">
        <v>45565</v>
      </c>
      <c r="K2" s="3">
        <v>45566</v>
      </c>
      <c r="L2" s="3">
        <v>45597</v>
      </c>
      <c r="M2" s="3">
        <v>45992</v>
      </c>
      <c r="N2" s="3">
        <v>45688</v>
      </c>
      <c r="O2" s="3">
        <v>45689</v>
      </c>
      <c r="P2" s="3">
        <v>45747</v>
      </c>
      <c r="Q2" s="3">
        <v>45748</v>
      </c>
    </row>
    <row r="3" spans="1:17" s="19" customFormat="1" x14ac:dyDescent="0.25">
      <c r="B3" s="20">
        <v>1176</v>
      </c>
      <c r="C3" s="20">
        <v>1109</v>
      </c>
      <c r="D3" s="20">
        <v>1000</v>
      </c>
      <c r="E3" s="20">
        <v>1014.09</v>
      </c>
      <c r="F3" s="20">
        <v>1117.4100000000001</v>
      </c>
      <c r="G3" s="20">
        <v>1284.4100000000001</v>
      </c>
      <c r="H3" s="20">
        <v>1347.4</v>
      </c>
      <c r="I3" s="20">
        <v>1295.3599999999999</v>
      </c>
      <c r="J3" s="20">
        <v>1228.6400000000001</v>
      </c>
      <c r="K3" s="20">
        <v>1161.01</v>
      </c>
      <c r="L3" s="20">
        <v>1106.51</v>
      </c>
      <c r="M3" s="20">
        <v>1105.82</v>
      </c>
      <c r="N3" s="20">
        <v>1164.47</v>
      </c>
      <c r="O3" s="20">
        <v>1198.3599999999999</v>
      </c>
      <c r="P3" s="20">
        <v>1264.71</v>
      </c>
      <c r="Q3" s="20">
        <v>1250.0999999999999</v>
      </c>
    </row>
    <row r="4" spans="1:17" x14ac:dyDescent="0.25">
      <c r="A4" s="2" t="s">
        <v>0</v>
      </c>
      <c r="B4" s="5">
        <f>'Datos pesos'!B4/'Datos USD'!B$3</f>
        <v>45817.205370507399</v>
      </c>
      <c r="C4" s="5">
        <f>'Datos pesos'!C4/'Datos USD'!C$3</f>
        <v>18903.459471435799</v>
      </c>
      <c r="D4" s="5">
        <f>'Datos pesos'!D4/'Datos USD'!D$3</f>
        <v>44692.243264536301</v>
      </c>
      <c r="E4" s="5">
        <f>'Datos pesos'!E4/'Datos USD'!E$3</f>
        <v>37553.808389702979</v>
      </c>
      <c r="F4" s="5">
        <f>'Datos pesos'!F4/'Datos USD'!F$3</f>
        <v>55201.529184602339</v>
      </c>
      <c r="G4" s="5">
        <f>'Datos pesos'!G4/'Datos USD'!G$3</f>
        <v>28759.850826449496</v>
      </c>
      <c r="H4" s="5">
        <f>'Datos pesos'!H4/'Datos USD'!H$3</f>
        <v>31664.447825441588</v>
      </c>
      <c r="I4" s="5">
        <f>'Datos pesos'!I4/'Datos USD'!I$3</f>
        <v>21878.409090909092</v>
      </c>
      <c r="J4" s="5">
        <f>'Datos pesos'!J4/'Datos USD'!J$3</f>
        <v>31035.361049615833</v>
      </c>
      <c r="K4" s="5">
        <f>'Datos pesos'!K4/'Datos USD'!K$3</f>
        <v>27588.526369281917</v>
      </c>
      <c r="L4" s="5">
        <f>'Datos pesos'!L4/'Datos USD'!L$3</f>
        <v>15788.887583483203</v>
      </c>
      <c r="M4" s="5">
        <f>'Datos pesos'!M4/'Datos USD'!M$3</f>
        <v>50443.233980213779</v>
      </c>
      <c r="N4" s="5">
        <f>'Datos pesos'!N4/'Datos USD'!N$3</f>
        <v>19713.764201739847</v>
      </c>
      <c r="O4" s="5">
        <f>'Datos pesos'!O4/'Datos USD'!O$3</f>
        <v>21363.273139957946</v>
      </c>
      <c r="P4" s="5">
        <f>'Datos pesos'!P4/'Datos USD'!P$3</f>
        <v>42324.977267515875</v>
      </c>
      <c r="Q4" s="5">
        <f>'Datos pesos'!Q4/'Datos USD'!Q$3</f>
        <v>20171.930245580355</v>
      </c>
    </row>
    <row r="5" spans="1:17" x14ac:dyDescent="0.25">
      <c r="A5" s="2" t="s">
        <v>1</v>
      </c>
      <c r="B5" s="5">
        <f>'Datos pesos'!B5/'Datos USD'!B$3</f>
        <v>17349.616990244518</v>
      </c>
      <c r="C5" s="5">
        <f>'Datos pesos'!C5/'Datos USD'!C$3</f>
        <v>17635.603265193688</v>
      </c>
      <c r="D5" s="5">
        <f>'Datos pesos'!D5/'Datos USD'!D$3</f>
        <v>20027.511157186309</v>
      </c>
      <c r="E5" s="5">
        <f>'Datos pesos'!E5/'Datos USD'!E$3</f>
        <v>35581.739057815284</v>
      </c>
      <c r="F5" s="5">
        <f>'Datos pesos'!F5/'Datos USD'!F$3</f>
        <v>37512.202974833046</v>
      </c>
      <c r="G5" s="5">
        <f>'Datos pesos'!G5/'Datos USD'!G$3</f>
        <v>20967.26434705429</v>
      </c>
      <c r="H5" s="5">
        <f>'Datos pesos'!H5/'Datos USD'!H$3</f>
        <v>16003.921626836869</v>
      </c>
      <c r="I5" s="5">
        <f>'Datos pesos'!I5/'Datos USD'!I$3</f>
        <v>20392.747961956524</v>
      </c>
      <c r="J5" s="5">
        <f>'Datos pesos'!J5/'Datos USD'!J$3</f>
        <v>33411.733298606589</v>
      </c>
      <c r="K5" s="5">
        <f>'Datos pesos'!K5/'Datos USD'!K$3</f>
        <v>30496.130093625379</v>
      </c>
      <c r="L5" s="5">
        <f>'Datos pesos'!L5/'Datos USD'!L$3</f>
        <v>66437.235994252202</v>
      </c>
      <c r="M5" s="5">
        <f>'Datos pesos'!M5/'Datos USD'!M$3</f>
        <v>61040.004702392798</v>
      </c>
      <c r="N5" s="5">
        <f>'Datos pesos'!N5/'Datos USD'!N$3</f>
        <v>93304.927563612626</v>
      </c>
      <c r="O5" s="5">
        <f>'Datos pesos'!O5/'Datos USD'!O$3</f>
        <v>60322.364731800131</v>
      </c>
      <c r="P5" s="5">
        <f>'Datos pesos'!P5/'Datos USD'!P$3</f>
        <v>53824.030014785996</v>
      </c>
      <c r="Q5" s="5">
        <f>'Datos pesos'!Q5/'Datos USD'!Q$3</f>
        <v>88663.297336213116</v>
      </c>
    </row>
    <row r="6" spans="1:17" x14ac:dyDescent="0.25">
      <c r="A6" s="6" t="s">
        <v>2</v>
      </c>
      <c r="B6" s="5">
        <f>'Datos pesos'!B6/'Datos USD'!B$3</f>
        <v>63166.82236075191</v>
      </c>
      <c r="C6" s="5">
        <f>'Datos pesos'!C6/'Datos USD'!C$3</f>
        <v>36539.062736629487</v>
      </c>
      <c r="D6" s="5">
        <f>'Datos pesos'!D6/'Datos USD'!D$3</f>
        <v>64719.754421722602</v>
      </c>
      <c r="E6" s="5">
        <f>'Datos pesos'!E6/'Datos USD'!E$3</f>
        <v>73135.547447518256</v>
      </c>
      <c r="F6" s="5">
        <f>'Datos pesos'!F6/'Datos USD'!F$3</f>
        <v>92713.7321594354</v>
      </c>
      <c r="G6" s="5">
        <f>'Datos pesos'!G6/'Datos USD'!G$3</f>
        <v>49727.115087553466</v>
      </c>
      <c r="H6" s="5">
        <f>'Datos pesos'!H6/'Datos USD'!H$3</f>
        <v>47668.369625332751</v>
      </c>
      <c r="I6" s="5">
        <f>'Datos pesos'!I6/'Datos USD'!I$3</f>
        <v>42271.157391281624</v>
      </c>
      <c r="J6" s="5">
        <f>'Datos pesos'!J6/'Datos USD'!J$3</f>
        <v>64447.093970493785</v>
      </c>
      <c r="K6" s="5">
        <f>'Datos pesos'!K6/'Datos USD'!K$3</f>
        <v>58084.65654153272</v>
      </c>
      <c r="L6" s="5">
        <f>'Datos pesos'!L6/'Datos USD'!L$3</f>
        <v>82226.12340483439</v>
      </c>
      <c r="M6" s="5">
        <f>'Datos pesos'!M6/'Datos USD'!M$3</f>
        <v>111483.23844617615</v>
      </c>
      <c r="N6" s="5">
        <f>'Datos pesos'!N6/'Datos USD'!N$3</f>
        <v>113018.69181123695</v>
      </c>
      <c r="O6" s="5">
        <f>'Datos pesos'!O6/'Datos USD'!O$3</f>
        <v>81685.638049575195</v>
      </c>
      <c r="P6" s="5">
        <f>'Datos pesos'!P6/'Datos USD'!P$3</f>
        <v>96149.007911967725</v>
      </c>
      <c r="Q6" s="5">
        <f>'Datos pesos'!Q6/'Datos USD'!Q$3</f>
        <v>108835.22770182371</v>
      </c>
    </row>
    <row r="7" spans="1:17" x14ac:dyDescent="0.25">
      <c r="A7" s="8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spans="1:17" x14ac:dyDescent="0.25">
      <c r="A8" s="8" t="s">
        <v>5</v>
      </c>
      <c r="B8" s="5">
        <f>'Datos pesos'!B8/'Datos USD'!B$3</f>
        <v>-3879.9056122448978</v>
      </c>
      <c r="C8" s="5">
        <f>'Datos pesos'!C8/'Datos USD'!C$3</f>
        <v>-3217.3769161406672</v>
      </c>
      <c r="D8" s="5">
        <f>'Datos pesos'!D8/'Datos USD'!D$3</f>
        <v>-2978.2550000000001</v>
      </c>
      <c r="E8" s="5">
        <f>'Datos pesos'!E8/'Datos USD'!E$3</f>
        <v>-4700.544330384877</v>
      </c>
      <c r="F8" s="5">
        <f>'Datos pesos'!F8/'Datos USD'!F$3</f>
        <v>-5065.1336572967839</v>
      </c>
      <c r="G8" s="5">
        <f>'Datos pesos'!G8/'Datos USD'!G$3</f>
        <v>-1469.8001416993015</v>
      </c>
      <c r="H8" s="5">
        <f>'Datos pesos'!H8/'Datos USD'!H$3</f>
        <v>-3062.5174409974766</v>
      </c>
      <c r="I8" s="5">
        <f>'Datos pesos'!I8/'Datos USD'!I$3</f>
        <v>-3206.1944169960475</v>
      </c>
      <c r="J8" s="5">
        <f>'Datos pesos'!J8/'Datos USD'!J$3</f>
        <v>-6422.0422581065241</v>
      </c>
      <c r="K8" s="5">
        <f>'Datos pesos'!K8/'Datos USD'!K$3</f>
        <v>-3342.6998906124841</v>
      </c>
      <c r="L8" s="5">
        <f>'Datos pesos'!L8/'Datos USD'!L$3</f>
        <v>-5992.9128521206312</v>
      </c>
      <c r="M8" s="5">
        <f>'Datos pesos'!M8/'Datos USD'!M$3</f>
        <v>-5214.1858530321397</v>
      </c>
      <c r="N8" s="5">
        <f>'Datos pesos'!N8/'Datos USD'!N$3</f>
        <v>-2849.8072084295859</v>
      </c>
      <c r="O8" s="5">
        <f>'Datos pesos'!O8/'Datos USD'!O$3</f>
        <v>-2748.6039253646654</v>
      </c>
      <c r="P8" s="5">
        <f>'Datos pesos'!P8/'Datos USD'!P$3</f>
        <v>-3775.3484988653522</v>
      </c>
      <c r="Q8" s="5">
        <f>'Datos pesos'!Q8/'Datos USD'!Q$3</f>
        <v>0</v>
      </c>
    </row>
    <row r="9" spans="1:17" x14ac:dyDescent="0.25">
      <c r="A9" s="8" t="s">
        <v>6</v>
      </c>
      <c r="B9" s="5">
        <f>'Datos pesos'!B9/'Datos USD'!B$3</f>
        <v>-3879.90551394983</v>
      </c>
      <c r="C9" s="5">
        <f>'Datos pesos'!C9/'Datos USD'!C$3</f>
        <v>-3217.3768060031516</v>
      </c>
      <c r="D9" s="5">
        <f>'Datos pesos'!D9/'Datos USD'!D$3</f>
        <v>-2978.2546839699999</v>
      </c>
      <c r="E9" s="5">
        <f>'Datos pesos'!E9/'Datos USD'!E$3</f>
        <v>-4700.5441221612482</v>
      </c>
      <c r="F9" s="5">
        <f>'Datos pesos'!F9/'Datos USD'!F$3</f>
        <v>-5065.1340580762644</v>
      </c>
      <c r="G9" s="5">
        <f>'Datos pesos'!G9/'Datos USD'!G$3</f>
        <v>-1469.7998752260237</v>
      </c>
      <c r="H9" s="5">
        <f>'Datos pesos'!H9/'Datos USD'!H$3</f>
        <v>-3062.5171613292296</v>
      </c>
      <c r="I9" s="5">
        <f>'Datos pesos'!I9/'Datos USD'!I$3</f>
        <v>-3206.1944110749141</v>
      </c>
      <c r="J9" s="5">
        <f>'Datos pesos'!J9/'Datos USD'!J$3</f>
        <v>-6422.0420414503014</v>
      </c>
      <c r="K9" s="5">
        <f>'Datos pesos'!K9/'Datos USD'!K$3</f>
        <v>-3342.7002784860138</v>
      </c>
      <c r="L9" s="5">
        <f>'Datos pesos'!L9/'Datos USD'!L$3</f>
        <v>-5992.9128727124535</v>
      </c>
      <c r="M9" s="5">
        <f>'Datos pesos'!M9/'Datos USD'!M$3</f>
        <v>-5214.1858701732972</v>
      </c>
      <c r="N9" s="5">
        <f>'Datos pesos'!N9/'Datos USD'!N$3</f>
        <v>-2849.8074574697907</v>
      </c>
      <c r="O9" s="5">
        <f>'Datos pesos'!O9/'Datos USD'!O$3</f>
        <v>-2748.6039921226952</v>
      </c>
      <c r="P9" s="5">
        <f>'Datos pesos'!P9/'Datos USD'!P$3</f>
        <v>-3775.3485700273077</v>
      </c>
      <c r="Q9" s="5">
        <f>'Datos pesos'!Q9/'Datos USD'!Q$3</f>
        <v>-3534.8170866327027</v>
      </c>
    </row>
    <row r="10" spans="1:17" x14ac:dyDescent="0.25">
      <c r="A10" s="6" t="s">
        <v>7</v>
      </c>
      <c r="B10" s="5">
        <f>'Datos pesos'!B10/'Datos USD'!B$3</f>
        <v>59286.91684680208</v>
      </c>
      <c r="C10" s="5">
        <f>'Datos pesos'!C10/'Datos USD'!C$3</f>
        <v>33321.685930626336</v>
      </c>
      <c r="D10" s="5">
        <f>'Datos pesos'!D10/'Datos USD'!D$3</f>
        <v>61741.499737752609</v>
      </c>
      <c r="E10" s="5">
        <f>'Datos pesos'!E10/'Datos USD'!E$3</f>
        <v>68435.003325357015</v>
      </c>
      <c r="F10" s="5">
        <f>'Datos pesos'!F10/'Datos USD'!F$3</f>
        <v>87648.598101359123</v>
      </c>
      <c r="G10" s="5">
        <f>'Datos pesos'!G10/'Datos USD'!G$3</f>
        <v>48257.315212327441</v>
      </c>
      <c r="H10" s="5">
        <f>'Datos pesos'!H10/'Datos USD'!H$3</f>
        <v>44605.852464003525</v>
      </c>
      <c r="I10" s="5">
        <f>'Datos pesos'!I10/'Datos USD'!I$3</f>
        <v>39064.962980206714</v>
      </c>
      <c r="J10" s="5">
        <f>'Datos pesos'!J10/'Datos USD'!J$3</f>
        <v>58025.051929043482</v>
      </c>
      <c r="K10" s="5">
        <f>'Datos pesos'!K10/'Datos USD'!K$3</f>
        <v>54741.956263046704</v>
      </c>
      <c r="L10" s="5">
        <f>'Datos pesos'!L10/'Datos USD'!L$3</f>
        <v>76233.210532121942</v>
      </c>
      <c r="M10" s="5">
        <f>'Datos pesos'!M10/'Datos USD'!M$3</f>
        <v>106269.05257600285</v>
      </c>
      <c r="N10" s="5">
        <f>'Datos pesos'!N10/'Datos USD'!N$3</f>
        <v>110168.88435376716</v>
      </c>
      <c r="O10" s="5">
        <f>'Datos pesos'!O10/'Datos USD'!O$3</f>
        <v>78937.034057452503</v>
      </c>
      <c r="P10" s="5">
        <f>'Datos pesos'!P10/'Datos USD'!P$3</f>
        <v>92373.659341940423</v>
      </c>
      <c r="Q10" s="5">
        <f>'Datos pesos'!Q10/'Datos USD'!Q$3</f>
        <v>105300.41061519101</v>
      </c>
    </row>
    <row r="11" spans="1:17" x14ac:dyDescent="0.25">
      <c r="A11" s="8" t="s">
        <v>8</v>
      </c>
      <c r="B11" s="5">
        <f>'Datos pesos'!B11/'Datos USD'!B$3</f>
        <v>0</v>
      </c>
      <c r="C11" s="5">
        <f>'Datos pesos'!C11/'Datos USD'!C$3</f>
        <v>0</v>
      </c>
      <c r="D11" s="5">
        <f>'Datos pesos'!D11/'Datos USD'!D$3</f>
        <v>0</v>
      </c>
      <c r="E11" s="5">
        <f>'Datos pesos'!E11/'Datos USD'!E$3</f>
        <v>0</v>
      </c>
      <c r="F11" s="5">
        <f>'Datos pesos'!F11/'Datos USD'!F$3</f>
        <v>0</v>
      </c>
      <c r="G11" s="5">
        <f>'Datos pesos'!G11/'Datos USD'!G$3</f>
        <v>0</v>
      </c>
      <c r="H11" s="5">
        <f>'Datos pesos'!H11/'Datos USD'!H$3</f>
        <v>0</v>
      </c>
      <c r="I11" s="5">
        <f>'Datos pesos'!I11/'Datos USD'!I$3</f>
        <v>0</v>
      </c>
      <c r="J11" s="5">
        <f>'Datos pesos'!J11/'Datos USD'!J$3</f>
        <v>0</v>
      </c>
      <c r="K11" s="5">
        <f>'Datos pesos'!K11/'Datos USD'!K$3</f>
        <v>0</v>
      </c>
      <c r="L11" s="5">
        <f>'Datos pesos'!L11/'Datos USD'!L$3</f>
        <v>0</v>
      </c>
      <c r="M11" s="5">
        <f>'Datos pesos'!M11/'Datos USD'!M$3</f>
        <v>0</v>
      </c>
      <c r="N11" s="5">
        <f>'Datos pesos'!N11/'Datos USD'!N$3</f>
        <v>0</v>
      </c>
      <c r="O11" s="5">
        <f>'Datos pesos'!O11/'Datos USD'!O$3</f>
        <v>-5355.6527253913682</v>
      </c>
      <c r="P11" s="5">
        <f>'Datos pesos'!P11/'Datos USD'!P$3</f>
        <v>-8270.6707466533826</v>
      </c>
      <c r="Q11" s="5">
        <f>'Datos pesos'!Q11/'Datos USD'!Q$3</f>
        <v>-7024.2972562195027</v>
      </c>
    </row>
    <row r="12" spans="1:17" x14ac:dyDescent="0.25">
      <c r="A12" s="8" t="s">
        <v>9</v>
      </c>
      <c r="B12" s="5">
        <f>'Datos pesos'!B12/'Datos USD'!B$3</f>
        <v>-20006.844952758882</v>
      </c>
      <c r="C12" s="5">
        <f>'Datos pesos'!C12/'Datos USD'!C$3</f>
        <v>-25564.780385732891</v>
      </c>
      <c r="D12" s="5">
        <f>'Datos pesos'!D12/'Datos USD'!D$3</f>
        <v>-39642.167899923283</v>
      </c>
      <c r="E12" s="5">
        <f>'Datos pesos'!E12/'Datos USD'!E$3</f>
        <v>-39537.84105618365</v>
      </c>
      <c r="F12" s="5">
        <f>'Datos pesos'!F12/'Datos USD'!F$3</f>
        <v>-40914.64765676987</v>
      </c>
      <c r="G12" s="5">
        <f>'Datos pesos'!G12/'Datos USD'!G$3</f>
        <v>-39441.331608725137</v>
      </c>
      <c r="H12" s="5">
        <f>'Datos pesos'!H12/'Datos USD'!H$3</f>
        <v>-35417.372762357132</v>
      </c>
      <c r="I12" s="5">
        <f>'Datos pesos'!I12/'Datos USD'!I$3</f>
        <v>-34725.543574351737</v>
      </c>
      <c r="J12" s="5">
        <f>'Datos pesos'!J12/'Datos USD'!J$3</f>
        <v>-57609.422150157436</v>
      </c>
      <c r="K12" s="5">
        <f>'Datos pesos'!K12/'Datos USD'!K$3</f>
        <v>-98210.052419976317</v>
      </c>
      <c r="L12" s="5">
        <f>'Datos pesos'!L12/'Datos USD'!L$3</f>
        <v>-97242.531684553251</v>
      </c>
      <c r="M12" s="5">
        <f>'Datos pesos'!M12/'Datos USD'!M$3</f>
        <v>-111842.02317744595</v>
      </c>
      <c r="N12" s="5">
        <f>'Datos pesos'!N12/'Datos USD'!N$3</f>
        <v>-101647.69326836699</v>
      </c>
      <c r="O12" s="5">
        <f>'Datos pesos'!O12/'Datos USD'!O$3</f>
        <v>-83523.403651657267</v>
      </c>
      <c r="P12" s="5">
        <f>'Datos pesos'!P12/'Datos USD'!P$3</f>
        <v>-92521.25941915538</v>
      </c>
      <c r="Q12" s="5">
        <f>'Datos pesos'!Q12/'Datos USD'!Q$3</f>
        <v>-79922.434205263591</v>
      </c>
    </row>
    <row r="13" spans="1:17" x14ac:dyDescent="0.25">
      <c r="A13" s="8" t="s">
        <v>29</v>
      </c>
      <c r="B13" s="5">
        <f>'Datos pesos'!B13/'Datos USD'!B$3</f>
        <v>-20006.844952758882</v>
      </c>
      <c r="C13" s="5">
        <f>'Datos pesos'!C13/'Datos USD'!C$3</f>
        <v>-25564.780385732891</v>
      </c>
      <c r="D13" s="5">
        <f>'Datos pesos'!D13/'Datos USD'!D$3</f>
        <v>-39642.167899923283</v>
      </c>
      <c r="E13" s="5">
        <f>'Datos pesos'!E13/'Datos USD'!E$3</f>
        <v>-39537.84105618365</v>
      </c>
      <c r="F13" s="5">
        <f>'Datos pesos'!F13/'Datos USD'!F$3</f>
        <v>-40914.64765676987</v>
      </c>
      <c r="G13" s="5">
        <f>'Datos pesos'!G13/'Datos USD'!G$3</f>
        <v>-39441.331608725137</v>
      </c>
      <c r="H13" s="5">
        <f>'Datos pesos'!H13/'Datos USD'!H$3</f>
        <v>-35417.372762357132</v>
      </c>
      <c r="I13" s="5">
        <f>'Datos pesos'!I13/'Datos USD'!I$3</f>
        <v>-34725.543574351737</v>
      </c>
      <c r="J13" s="5">
        <f>'Datos pesos'!J13/'Datos USD'!J$3</f>
        <v>-57609.422150157436</v>
      </c>
      <c r="K13" s="5">
        <f>'Datos pesos'!K13/'Datos USD'!K$3</f>
        <v>-98210.052419976317</v>
      </c>
      <c r="L13" s="5">
        <f>'Datos pesos'!L13/'Datos USD'!L$3</f>
        <v>-97242.531684553251</v>
      </c>
      <c r="M13" s="5">
        <f>'Datos pesos'!M13/'Datos USD'!M$3</f>
        <v>-111842.02317744595</v>
      </c>
      <c r="N13" s="5">
        <f>'Datos pesos'!N13/'Datos USD'!N$3</f>
        <v>-101647.69326836699</v>
      </c>
      <c r="O13" s="5">
        <f>'Datos pesos'!O13/'Datos USD'!O$3</f>
        <v>-88879.05606441597</v>
      </c>
      <c r="P13" s="5">
        <f>'Datos pesos'!P13/'Datos USD'!P$3</f>
        <v>-100791.93005426184</v>
      </c>
      <c r="Q13" s="5">
        <f>'Datos pesos'!Q13/'Datos USD'!Q$3</f>
        <v>-86946.731143049852</v>
      </c>
    </row>
    <row r="14" spans="1:17" x14ac:dyDescent="0.25">
      <c r="A14" s="6" t="s">
        <v>10</v>
      </c>
      <c r="B14" s="5">
        <f>'Datos pesos'!B14/'Datos USD'!B$3</f>
        <v>39280.071894043198</v>
      </c>
      <c r="C14" s="5">
        <f>'Datos pesos'!C14/'Datos USD'!C$3</f>
        <v>7756.9055448934432</v>
      </c>
      <c r="D14" s="5">
        <f>'Datos pesos'!D14/'Datos USD'!D$3</f>
        <v>22099.33183782933</v>
      </c>
      <c r="E14" s="5">
        <f>'Datos pesos'!E14/'Datos USD'!E$3</f>
        <v>28897.162269173357</v>
      </c>
      <c r="F14" s="5">
        <f>'Datos pesos'!F14/'Datos USD'!F$3</f>
        <v>46733.950444589267</v>
      </c>
      <c r="G14" s="5">
        <f>'Datos pesos'!G14/'Datos USD'!G$3</f>
        <v>8815.9836036023044</v>
      </c>
      <c r="H14" s="5">
        <f>'Datos pesos'!H14/'Datos USD'!H$3</f>
        <v>9188.4797016463981</v>
      </c>
      <c r="I14" s="5">
        <f>'Datos pesos'!I14/'Datos USD'!I$3</f>
        <v>4339.4194058549801</v>
      </c>
      <c r="J14" s="5">
        <f>'Datos pesos'!J14/'Datos USD'!J$3</f>
        <v>415.62977888604723</v>
      </c>
      <c r="K14" s="5">
        <f>'Datos pesos'!K14/'Datos USD'!K$3</f>
        <v>-43468.096156929612</v>
      </c>
      <c r="L14" s="5">
        <f>'Datos pesos'!L14/'Datos USD'!L$3</f>
        <v>-21009.321152431294</v>
      </c>
      <c r="M14" s="5">
        <f>'Datos pesos'!M14/'Datos USD'!M$3</f>
        <v>-5572.9706014430913</v>
      </c>
      <c r="N14" s="5">
        <f>'Datos pesos'!N14/'Datos USD'!N$3</f>
        <v>8521.191085400169</v>
      </c>
      <c r="O14" s="5">
        <f>'Datos pesos'!O14/'Datos USD'!O$3</f>
        <v>-9942.0220069634743</v>
      </c>
      <c r="P14" s="5">
        <f>'Datos pesos'!P14/'Datos USD'!P$3</f>
        <v>-8418.2707123214204</v>
      </c>
      <c r="Q14" s="5">
        <f>'Datos pesos'!Q14/'Datos USD'!Q$3</f>
        <v>18353.679472141153</v>
      </c>
    </row>
    <row r="15" spans="1:17" x14ac:dyDescent="0.25">
      <c r="A15" s="8" t="s">
        <v>11</v>
      </c>
      <c r="B15" s="5">
        <f>'Datos pesos'!B15/'Datos USD'!B$3</f>
        <v>-18.982074829931971</v>
      </c>
      <c r="C15" s="5">
        <f>'Datos pesos'!C15/'Datos USD'!C$3</f>
        <v>-20.128872858431016</v>
      </c>
      <c r="D15" s="5">
        <f>'Datos pesos'!D15/'Datos USD'!D$3</f>
        <v>-29.249586666666669</v>
      </c>
      <c r="E15" s="5">
        <f>'Datos pesos'!E15/'Datos USD'!E$3</f>
        <v>-28.843186173482302</v>
      </c>
      <c r="F15" s="5">
        <f>'Datos pesos'!F15/'Datos USD'!F$3</f>
        <v>-26.176234924214629</v>
      </c>
      <c r="G15" s="5">
        <f>'Datos pesos'!G15/'Datos USD'!G$3</f>
        <v>-22.772780238916443</v>
      </c>
      <c r="H15" s="5">
        <f>'Datos pesos'!H15/'Datos USD'!H$3</f>
        <v>-21.708168818959969</v>
      </c>
      <c r="I15" s="5">
        <f>'Datos pesos'!I15/'Datos USD'!I$3</f>
        <v>-22.580276268115945</v>
      </c>
      <c r="J15" s="5">
        <f>'Datos pesos'!J15/'Datos USD'!J$3</f>
        <v>-36.015095281503669</v>
      </c>
      <c r="K15" s="5">
        <f>'Datos pesos'!K15/'Datos USD'!K$3</f>
        <v>-45.290669331013518</v>
      </c>
      <c r="L15" s="5">
        <f>'Datos pesos'!L15/'Datos USD'!L$3</f>
        <v>-58.065075477552547</v>
      </c>
      <c r="M15" s="5">
        <f>'Datos pesos'!M15/'Datos USD'!M$3</f>
        <v>-62.396761377680519</v>
      </c>
      <c r="N15" s="5">
        <f>'Datos pesos'!N15/'Datos USD'!N$3</f>
        <v>-66.05258472380855</v>
      </c>
      <c r="O15" s="5">
        <f>'Datos pesos'!O15/'Datos USD'!O$3</f>
        <v>-64.184596726637523</v>
      </c>
      <c r="P15" s="5">
        <f>'Datos pesos'!P15/'Datos USD'!P$3</f>
        <v>-72.018818543381499</v>
      </c>
      <c r="Q15" s="5">
        <f>'Datos pesos'!Q15/'Datos USD'!Q$3</f>
        <v>-72.860507159427257</v>
      </c>
    </row>
    <row r="16" spans="1:17" x14ac:dyDescent="0.25">
      <c r="A16" s="8" t="s">
        <v>12</v>
      </c>
      <c r="B16" s="5">
        <f>'Datos pesos'!B16/'Datos USD'!B$3</f>
        <v>39261.089819213259</v>
      </c>
      <c r="C16" s="5">
        <f>'Datos pesos'!C16/'Datos USD'!C$3</f>
        <v>7736.7766720350119</v>
      </c>
      <c r="D16" s="5">
        <f>'Datos pesos'!D16/'Datos USD'!D$3</f>
        <v>22070.082251162665</v>
      </c>
      <c r="E16" s="5">
        <f>'Datos pesos'!E16/'Datos USD'!E$3</f>
        <v>28868.319082999878</v>
      </c>
      <c r="F16" s="5">
        <f>'Datos pesos'!F16/'Datos USD'!F$3</f>
        <v>46707.774209665047</v>
      </c>
      <c r="G16" s="5">
        <f>'Datos pesos'!G16/'Datos USD'!G$3</f>
        <v>8793.210823363388</v>
      </c>
      <c r="H16" s="5">
        <f>'Datos pesos'!H16/'Datos USD'!H$3</f>
        <v>9166.7715328274389</v>
      </c>
      <c r="I16" s="5">
        <f>'Datos pesos'!I16/'Datos USD'!I$3</f>
        <v>4316.8391295868641</v>
      </c>
      <c r="J16" s="5">
        <f>'Datos pesos'!J16/'Datos USD'!J$3</f>
        <v>379.61468360454353</v>
      </c>
      <c r="K16" s="5">
        <f>'Datos pesos'!K16/'Datos USD'!K$3</f>
        <v>-43513.386826260627</v>
      </c>
      <c r="L16" s="5">
        <f>'Datos pesos'!L16/'Datos USD'!L$3</f>
        <v>-21067.386227908846</v>
      </c>
      <c r="M16" s="5">
        <f>'Datos pesos'!M16/'Datos USD'!M$3</f>
        <v>-5635.3673628207716</v>
      </c>
      <c r="N16" s="5">
        <f>'Datos pesos'!N16/'Datos USD'!N$3</f>
        <v>8455.1385006763594</v>
      </c>
      <c r="O16" s="5">
        <f>'Datos pesos'!O16/'Datos USD'!O$3</f>
        <v>-10006.206603690112</v>
      </c>
      <c r="P16" s="5">
        <f>'Datos pesos'!P16/'Datos USD'!P$3</f>
        <v>-8490.2895308648003</v>
      </c>
      <c r="Q16" s="5">
        <f>'Datos pesos'!Q16/'Datos USD'!Q$3</f>
        <v>18280.818964981725</v>
      </c>
    </row>
    <row r="17" spans="1:17" x14ac:dyDescent="0.25">
      <c r="A17" s="8" t="s">
        <v>13</v>
      </c>
      <c r="B17" s="5">
        <f>'Datos pesos'!B17/'Datos USD'!B$3</f>
        <v>4952.1870748299316</v>
      </c>
      <c r="C17" s="5">
        <f>'Datos pesos'!C17/'Datos USD'!C$3</f>
        <v>-2563.8863841298466</v>
      </c>
      <c r="D17" s="5">
        <f>'Datos pesos'!D17/'Datos USD'!D$3</f>
        <v>-310.39499999999998</v>
      </c>
      <c r="E17" s="5">
        <f>'Datos pesos'!E17/'Datos USD'!E$3</f>
        <v>1233.7060813142816</v>
      </c>
      <c r="F17" s="5">
        <f>'Datos pesos'!F17/'Datos USD'!F$3</f>
        <v>4832.9807322289935</v>
      </c>
      <c r="G17" s="5">
        <f>'Datos pesos'!G17/'Datos USD'!G$3</f>
        <v>810.33159193715392</v>
      </c>
      <c r="H17" s="5">
        <f>'Datos pesos'!H17/'Datos USD'!H$3</f>
        <v>-706.72183464450052</v>
      </c>
      <c r="I17" s="5">
        <f>'Datos pesos'!I17/'Datos USD'!I$3</f>
        <v>-1949.116847826087</v>
      </c>
      <c r="J17" s="5">
        <f>'Datos pesos'!J17/'Datos USD'!J$3</f>
        <v>-287.28268654772756</v>
      </c>
      <c r="K17" s="5">
        <f>'Datos pesos'!K17/'Datos USD'!K$3</f>
        <v>1469.0958734205562</v>
      </c>
      <c r="L17" s="5">
        <f>'Datos pesos'!L17/'Datos USD'!L$3</f>
        <v>4483.4533804484372</v>
      </c>
      <c r="M17" s="5">
        <f>'Datos pesos'!M17/'Datos USD'!M$3</f>
        <v>-18131.359534101393</v>
      </c>
      <c r="N17" s="5">
        <f>'Datos pesos'!N17/'Datos USD'!N$3</f>
        <v>-121.05507226463541</v>
      </c>
      <c r="O17" s="5">
        <f>'Datos pesos'!O17/'Datos USD'!O$3</f>
        <v>-2097.9246637070664</v>
      </c>
      <c r="P17" s="5">
        <f>'Datos pesos'!P17/'Datos USD'!P$3</f>
        <v>-14440.590332961707</v>
      </c>
      <c r="Q17" s="5">
        <f>'Datos pesos'!Q17/'Datos USD'!Q$3</f>
        <v>19666.88104951604</v>
      </c>
    </row>
    <row r="18" spans="1:17" x14ac:dyDescent="0.25">
      <c r="A18" s="8" t="s">
        <v>14</v>
      </c>
      <c r="B18" s="5">
        <f>'Datos pesos'!B18/'Datos USD'!B$3</f>
        <v>137838.63010204083</v>
      </c>
      <c r="C18" s="5">
        <f>'Datos pesos'!C18/'Datos USD'!C$3</f>
        <v>-58390.140667267806</v>
      </c>
      <c r="D18" s="5">
        <f>'Datos pesos'!D18/'Datos USD'!D$3</f>
        <v>96870.395000000004</v>
      </c>
      <c r="E18" s="5">
        <f>'Datos pesos'!E18/'Datos USD'!E$3</f>
        <v>81056.40722223866</v>
      </c>
      <c r="F18" s="5">
        <f>'Datos pesos'!F18/'Datos USD'!F$3</f>
        <v>99357.050679696797</v>
      </c>
      <c r="G18" s="5">
        <f>'Datos pesos'!G18/'Datos USD'!G$3</f>
        <v>-25011.10548812295</v>
      </c>
      <c r="H18" s="5">
        <f>'Datos pesos'!H18/'Datos USD'!H$3</f>
        <v>-44974.291227549351</v>
      </c>
      <c r="I18" s="5">
        <f>'Datos pesos'!I18/'Datos USD'!I$3</f>
        <v>86643.039772727279</v>
      </c>
      <c r="J18" s="5">
        <f>'Datos pesos'!J18/'Datos USD'!J$3</f>
        <v>-6480.7225875765071</v>
      </c>
      <c r="K18" s="5">
        <f>'Datos pesos'!K18/'Datos USD'!K$3</f>
        <v>23863.120042032369</v>
      </c>
      <c r="L18" s="5">
        <f>'Datos pesos'!L18/'Datos USD'!L$3</f>
        <v>16970.470217169299</v>
      </c>
      <c r="M18" s="5">
        <f>'Datos pesos'!M18/'Datos USD'!M$3</f>
        <v>128703.78813911849</v>
      </c>
      <c r="N18" s="5">
        <f>'Datos pesos'!N18/'Datos USD'!N$3</f>
        <v>165047.55038773004</v>
      </c>
      <c r="O18" s="5">
        <f>'Datos pesos'!O18/'Datos USD'!O$3</f>
        <v>-208455.52338195537</v>
      </c>
      <c r="P18" s="5">
        <f>'Datos pesos'!P18/'Datos USD'!P$3</f>
        <v>-1462.5020755746377</v>
      </c>
      <c r="Q18" s="5">
        <f>'Datos pesos'!Q18/'Datos USD'!Q$3</f>
        <v>-68855.709143268541</v>
      </c>
    </row>
    <row r="19" spans="1:17" x14ac:dyDescent="0.25">
      <c r="A19" s="8" t="s">
        <v>15</v>
      </c>
      <c r="B19" s="5">
        <f>'Datos pesos'!B19/'Datos USD'!B$3</f>
        <v>142790.8165569928</v>
      </c>
      <c r="C19" s="5">
        <f>'Datos pesos'!C19/'Datos USD'!C$3</f>
        <v>-60954.027631825244</v>
      </c>
      <c r="D19" s="5">
        <f>'Datos pesos'!D19/'Datos USD'!D$3</f>
        <v>96560.000585601229</v>
      </c>
      <c r="E19" s="5">
        <f>'Datos pesos'!E19/'Datos USD'!E$3</f>
        <v>82290.112756749717</v>
      </c>
      <c r="F19" s="5">
        <f>'Datos pesos'!F19/'Datos USD'!F$3</f>
        <v>104190.03103852125</v>
      </c>
      <c r="G19" s="5">
        <f>'Datos pesos'!G19/'Datos USD'!G$3</f>
        <v>-24200.773331934051</v>
      </c>
      <c r="H19" s="5">
        <f>'Datos pesos'!H19/'Datos USD'!H$3</f>
        <v>-45681.01312527839</v>
      </c>
      <c r="I19" s="5">
        <f>'Datos pesos'!I19/'Datos USD'!I$3</f>
        <v>84693.922788382741</v>
      </c>
      <c r="J19" s="5">
        <f>'Datos pesos'!J19/'Datos USD'!J$3</f>
        <v>-6768.0057746433622</v>
      </c>
      <c r="K19" s="5">
        <f>'Datos pesos'!K19/'Datos USD'!K$3</f>
        <v>25332.216266922464</v>
      </c>
      <c r="L19" s="5">
        <f>'Datos pesos'!L19/'Datos USD'!L$3</f>
        <v>21453.923554535249</v>
      </c>
      <c r="M19" s="5">
        <f>'Datos pesos'!M19/'Datos USD'!M$3</f>
        <v>110572.42838792638</v>
      </c>
      <c r="N19" s="5">
        <f>'Datos pesos'!N19/'Datos USD'!N$3</f>
        <v>164926.49522100313</v>
      </c>
      <c r="O19" s="5">
        <f>'Datos pesos'!O19/'Datos USD'!O$3</f>
        <v>-210553.44820662591</v>
      </c>
      <c r="P19" s="5">
        <f>'Datos pesos'!P19/'Datos USD'!P$3</f>
        <v>-15903.092165509988</v>
      </c>
      <c r="Q19" s="5">
        <f>'Datos pesos'!Q19/'Datos USD'!Q$3</f>
        <v>-49188.828527587662</v>
      </c>
    </row>
    <row r="20" spans="1:17" x14ac:dyDescent="0.25">
      <c r="A20" s="6" t="s">
        <v>16</v>
      </c>
      <c r="B20" s="5">
        <f>'Datos pesos'!B20/'Datos USD'!B$3</f>
        <v>182051.90637620608</v>
      </c>
      <c r="C20" s="5">
        <f>'Datos pesos'!C20/'Datos USD'!C$3</f>
        <v>-53217.250959790232</v>
      </c>
      <c r="D20" s="5">
        <f>'Datos pesos'!D20/'Datos USD'!D$3</f>
        <v>118630.08283676389</v>
      </c>
      <c r="E20" s="5">
        <f>'Datos pesos'!E20/'Datos USD'!E$3</f>
        <v>111158.43183974958</v>
      </c>
      <c r="F20" s="5">
        <f>'Datos pesos'!F20/'Datos USD'!F$3</f>
        <v>150897.80524818631</v>
      </c>
      <c r="G20" s="5">
        <f>'Datos pesos'!G20/'Datos USD'!G$3</f>
        <v>-15407.562508570665</v>
      </c>
      <c r="H20" s="5">
        <f>'Datos pesos'!H20/'Datos USD'!H$3</f>
        <v>-36514.241592450948</v>
      </c>
      <c r="I20" s="5">
        <f>'Datos pesos'!I20/'Datos USD'!I$3</f>
        <v>89010.761917969605</v>
      </c>
      <c r="J20" s="5">
        <f>'Datos pesos'!J20/'Datos USD'!J$3</f>
        <v>-6388.3910910388186</v>
      </c>
      <c r="K20" s="5">
        <f>'Datos pesos'!K20/'Datos USD'!K$3</f>
        <v>-18181.170559338163</v>
      </c>
      <c r="L20" s="5">
        <f>'Datos pesos'!L20/'Datos USD'!L$3</f>
        <v>386.53732662640107</v>
      </c>
      <c r="M20" s="5">
        <f>'Datos pesos'!M20/'Datos USD'!M$3</f>
        <v>104937.06102510561</v>
      </c>
      <c r="N20" s="5">
        <f>'Datos pesos'!N20/'Datos USD'!N$3</f>
        <v>173381.63372167951</v>
      </c>
      <c r="O20" s="5">
        <f>'Datos pesos'!O20/'Datos USD'!O$3</f>
        <v>-220559.65481031602</v>
      </c>
      <c r="P20" s="5">
        <f>'Datos pesos'!P20/'Datos USD'!P$3</f>
        <v>-24393.381696374789</v>
      </c>
      <c r="Q20" s="5">
        <f>'Datos pesos'!Q20/'Datos USD'!Q$3</f>
        <v>-30908.009562605934</v>
      </c>
    </row>
    <row r="21" spans="1:17" x14ac:dyDescent="0.25">
      <c r="A21" s="8" t="s">
        <v>17</v>
      </c>
      <c r="B21" s="5">
        <f>'Datos pesos'!B21/'Datos USD'!B$3</f>
        <v>0</v>
      </c>
      <c r="C21" s="5">
        <f>'Datos pesos'!C21/'Datos USD'!C$3</f>
        <v>0</v>
      </c>
      <c r="D21" s="5">
        <f>'Datos pesos'!D21/'Datos USD'!D$3</f>
        <v>0</v>
      </c>
      <c r="E21" s="5">
        <f>'Datos pesos'!E21/'Datos USD'!E$3</f>
        <v>0</v>
      </c>
      <c r="F21" s="5">
        <f>'Datos pesos'!F21/'Datos USD'!F$3</f>
        <v>0</v>
      </c>
      <c r="G21" s="5">
        <f>'Datos pesos'!G21/'Datos USD'!G$3</f>
        <v>0</v>
      </c>
      <c r="H21" s="5">
        <f>'Datos pesos'!H21/'Datos USD'!H$3</f>
        <v>0</v>
      </c>
      <c r="I21" s="5">
        <f>'Datos pesos'!I21/'Datos USD'!I$3</f>
        <v>0</v>
      </c>
      <c r="J21" s="5">
        <f>'Datos pesos'!J21/'Datos USD'!J$3</f>
        <v>0</v>
      </c>
      <c r="K21" s="5">
        <f>'Datos pesos'!K21/'Datos USD'!K$3</f>
        <v>0</v>
      </c>
      <c r="L21" s="5">
        <f>'Datos pesos'!L21/'Datos USD'!L$3</f>
        <v>0</v>
      </c>
      <c r="M21" s="5">
        <f>'Datos pesos'!M21/'Datos USD'!M$3</f>
        <v>0</v>
      </c>
      <c r="N21" s="5">
        <f>'Datos pesos'!N21/'Datos USD'!N$3</f>
        <v>-3538.945128255798</v>
      </c>
      <c r="O21" s="5">
        <f>'Datos pesos'!O21/'Datos USD'!O$3</f>
        <v>3094.3125406291269</v>
      </c>
      <c r="P21" s="5">
        <f>'Datos pesos'!P21/'Datos USD'!P$3</f>
        <v>-298.69431739758124</v>
      </c>
      <c r="Q21" s="5">
        <f>'Datos pesos'!Q21/'Datos USD'!Q$3</f>
        <v>632.47479999008408</v>
      </c>
    </row>
    <row r="22" spans="1:17" x14ac:dyDescent="0.25">
      <c r="A22" s="8" t="s">
        <v>18</v>
      </c>
      <c r="B22" s="5">
        <f>'Datos pesos'!B22/'Datos USD'!B$3</f>
        <v>182051.90637620608</v>
      </c>
      <c r="C22" s="5">
        <f>'Datos pesos'!C22/'Datos USD'!C$3</f>
        <v>-53217.250959790232</v>
      </c>
      <c r="D22" s="5">
        <f>'Datos pesos'!D22/'Datos USD'!D$3</f>
        <v>118630.08283676389</v>
      </c>
      <c r="E22" s="5">
        <f>'Datos pesos'!E22/'Datos USD'!E$3</f>
        <v>111158.43183974958</v>
      </c>
      <c r="F22" s="5">
        <f>'Datos pesos'!F22/'Datos USD'!F$3</f>
        <v>150897.80524818631</v>
      </c>
      <c r="G22" s="5">
        <f>'Datos pesos'!G22/'Datos USD'!G$3</f>
        <v>-15407.562508570665</v>
      </c>
      <c r="H22" s="5">
        <f>'Datos pesos'!H22/'Datos USD'!H$3</f>
        <v>-36514.241592450948</v>
      </c>
      <c r="I22" s="5">
        <f>'Datos pesos'!I22/'Datos USD'!I$3</f>
        <v>89010.761917969605</v>
      </c>
      <c r="J22" s="5">
        <f>'Datos pesos'!J22/'Datos USD'!J$3</f>
        <v>-6388.3910910388186</v>
      </c>
      <c r="K22" s="5">
        <f>'Datos pesos'!K22/'Datos USD'!K$3</f>
        <v>-18181.170559338163</v>
      </c>
      <c r="L22" s="5">
        <f>'Datos pesos'!L22/'Datos USD'!L$3</f>
        <v>386.53732662640107</v>
      </c>
      <c r="M22" s="5">
        <f>'Datos pesos'!M22/'Datos USD'!M$3</f>
        <v>104937.06102510561</v>
      </c>
      <c r="N22" s="5">
        <f>'Datos pesos'!N22/'Datos USD'!N$3</f>
        <v>169842.68859342372</v>
      </c>
      <c r="O22" s="5">
        <f>'Datos pesos'!O22/'Datos USD'!O$3</f>
        <v>-217465.34226968689</v>
      </c>
      <c r="P22" s="5">
        <f>'Datos pesos'!P22/'Datos USD'!P$3</f>
        <v>-24692.07601377237</v>
      </c>
      <c r="Q22" s="5">
        <f>'Datos pesos'!Q22/'Datos USD'!Q$3</f>
        <v>-30275.534762615847</v>
      </c>
    </row>
    <row r="23" spans="1:17" x14ac:dyDescent="0.25">
      <c r="B23" s="5">
        <f>'Datos pesos'!B23/'Datos USD'!B$3</f>
        <v>0</v>
      </c>
      <c r="C23" s="5">
        <f>'Datos pesos'!C23/'Datos USD'!C$3</f>
        <v>0</v>
      </c>
      <c r="D23" s="5">
        <f>'Datos pesos'!D23/'Datos USD'!D$3</f>
        <v>0</v>
      </c>
      <c r="E23" s="5">
        <f>'Datos pesos'!E23/'Datos USD'!E$3</f>
        <v>0</v>
      </c>
      <c r="F23" s="5">
        <f>'Datos pesos'!F23/'Datos USD'!F$3</f>
        <v>0</v>
      </c>
      <c r="G23" s="5">
        <f>'Datos pesos'!G23/'Datos USD'!G$3</f>
        <v>0</v>
      </c>
      <c r="H23" s="5">
        <f>'Datos pesos'!H23/'Datos USD'!H$3</f>
        <v>0</v>
      </c>
      <c r="I23" s="5">
        <f>'Datos pesos'!I23/'Datos USD'!I$3</f>
        <v>0</v>
      </c>
      <c r="J23" s="5">
        <f>'Datos pesos'!J23/'Datos USD'!J$3</f>
        <v>0</v>
      </c>
      <c r="K23" s="5">
        <f>'Datos pesos'!K23/'Datos USD'!K$3</f>
        <v>0</v>
      </c>
      <c r="L23" s="5">
        <f>'Datos pesos'!L23/'Datos USD'!L$3</f>
        <v>0</v>
      </c>
      <c r="M23" s="5">
        <f>'Datos pesos'!M23/'Datos USD'!M$3</f>
        <v>0</v>
      </c>
      <c r="N23" s="5">
        <f>'Datos pesos'!N23/'Datos USD'!N$3</f>
        <v>0</v>
      </c>
      <c r="O23" s="5">
        <f>'Datos pesos'!O23/'Datos USD'!O$3</f>
        <v>0</v>
      </c>
      <c r="P23" s="5">
        <f>'Datos pesos'!P23/'Datos USD'!P$3</f>
        <v>0</v>
      </c>
      <c r="Q23" s="5">
        <f>'Datos pesos'!Q23/'Datos USD'!Q$3</f>
        <v>0</v>
      </c>
    </row>
    <row r="24" spans="1:17" x14ac:dyDescent="0.25">
      <c r="A24" s="8"/>
      <c r="B24" s="5">
        <f>'Datos pesos'!B24/'Datos USD'!B$3</f>
        <v>0</v>
      </c>
      <c r="C24" s="5">
        <f>'Datos pesos'!C24/'Datos USD'!C$3</f>
        <v>0</v>
      </c>
      <c r="D24" s="5">
        <f>'Datos pesos'!D24/'Datos USD'!D$3</f>
        <v>0</v>
      </c>
      <c r="E24" s="5">
        <f>'Datos pesos'!E24/'Datos USD'!E$3</f>
        <v>0</v>
      </c>
      <c r="F24" s="5">
        <f>'Datos pesos'!F24/'Datos USD'!F$3</f>
        <v>0</v>
      </c>
      <c r="G24" s="5">
        <f>'Datos pesos'!G24/'Datos USD'!G$3</f>
        <v>0</v>
      </c>
      <c r="H24" s="5">
        <f>'Datos pesos'!H24/'Datos USD'!H$3</f>
        <v>0</v>
      </c>
      <c r="I24" s="5">
        <f>'Datos pesos'!I24/'Datos USD'!I$3</f>
        <v>0</v>
      </c>
      <c r="J24" s="5">
        <f>'Datos pesos'!J24/'Datos USD'!J$3</f>
        <v>0</v>
      </c>
      <c r="K24" s="5">
        <f>'Datos pesos'!K24/'Datos USD'!K$3</f>
        <v>0</v>
      </c>
      <c r="L24" s="5">
        <f>'Datos pesos'!L24/'Datos USD'!L$3</f>
        <v>0</v>
      </c>
      <c r="M24" s="5">
        <f>'Datos pesos'!M24/'Datos USD'!M$3</f>
        <v>0</v>
      </c>
      <c r="N24" s="5">
        <f>'Datos pesos'!N24/'Datos USD'!N$3</f>
        <v>0</v>
      </c>
      <c r="O24" s="5">
        <f>'Datos pesos'!O24/'Datos USD'!O$3</f>
        <v>0</v>
      </c>
      <c r="P24" s="5">
        <f>'Datos pesos'!P24/'Datos USD'!P$3</f>
        <v>0</v>
      </c>
      <c r="Q24" s="5">
        <f>'Datos pesos'!Q24/'Datos USD'!Q$3</f>
        <v>0</v>
      </c>
    </row>
    <row r="25" spans="1:17" x14ac:dyDescent="0.25">
      <c r="A25" s="6" t="s">
        <v>19</v>
      </c>
      <c r="B25" s="5">
        <f>'Datos pesos'!B25/'Datos USD'!B$3</f>
        <v>0</v>
      </c>
      <c r="C25" s="5">
        <f>'Datos pesos'!C25/'Datos USD'!C$3</f>
        <v>0</v>
      </c>
      <c r="D25" s="5">
        <f>'Datos pesos'!D25/'Datos USD'!D$3</f>
        <v>0</v>
      </c>
      <c r="E25" s="5">
        <f>'Datos pesos'!E25/'Datos USD'!E$3</f>
        <v>0</v>
      </c>
      <c r="F25" s="5">
        <f>'Datos pesos'!F25/'Datos USD'!F$3</f>
        <v>0</v>
      </c>
      <c r="G25" s="5">
        <f>'Datos pesos'!G25/'Datos USD'!G$3</f>
        <v>0</v>
      </c>
      <c r="H25" s="5">
        <f>'Datos pesos'!H25/'Datos USD'!H$3</f>
        <v>0</v>
      </c>
      <c r="I25" s="5">
        <f>'Datos pesos'!I25/'Datos USD'!I$3</f>
        <v>0</v>
      </c>
      <c r="J25" s="5">
        <f>'Datos pesos'!J25/'Datos USD'!J$3</f>
        <v>0</v>
      </c>
      <c r="K25" s="5">
        <f>'Datos pesos'!K25/'Datos USD'!K$3</f>
        <v>0</v>
      </c>
      <c r="L25" s="5">
        <f>'Datos pesos'!L25/'Datos USD'!L$3</f>
        <v>0</v>
      </c>
      <c r="M25" s="5">
        <f>'Datos pesos'!M25/'Datos USD'!M$3</f>
        <v>0</v>
      </c>
      <c r="N25" s="5">
        <f>'Datos pesos'!N25/'Datos USD'!N$3</f>
        <v>0</v>
      </c>
      <c r="O25" s="5">
        <f>'Datos pesos'!O25/'Datos USD'!O$3</f>
        <v>0</v>
      </c>
      <c r="P25" s="5">
        <f>'Datos pesos'!P25/'Datos USD'!P$3</f>
        <v>0</v>
      </c>
      <c r="Q25" s="5">
        <f>'Datos pesos'!Q25/'Datos USD'!Q$3</f>
        <v>0</v>
      </c>
    </row>
    <row r="26" spans="1:17" x14ac:dyDescent="0.25">
      <c r="A26" s="2" t="s">
        <v>36</v>
      </c>
      <c r="B26" s="5">
        <f>'Datos pesos'!B26/'Datos USD'!B$3</f>
        <v>592471.38435374154</v>
      </c>
      <c r="C26" s="5">
        <f>'Datos pesos'!C26/'Datos USD'!C$3</f>
        <v>612521.53651938681</v>
      </c>
      <c r="D26" s="5">
        <f>'Datos pesos'!D26/'Datos USD'!D$3</f>
        <v>492899.799</v>
      </c>
      <c r="E26" s="5">
        <f>'Datos pesos'!E26/'Datos USD'!E$3</f>
        <v>670764.79207959841</v>
      </c>
      <c r="F26" s="5">
        <f>'Datos pesos'!F26/'Datos USD'!F$3</f>
        <v>456548.13900000893</v>
      </c>
      <c r="G26" s="5">
        <f>'Datos pesos'!G26/'Datos USD'!G$3</f>
        <v>454780.67984522076</v>
      </c>
      <c r="H26" s="5">
        <f>'Datos pesos'!H26/'Datos USD'!H$3</f>
        <v>407332.83508980257</v>
      </c>
      <c r="I26" s="5">
        <f>'Datos pesos'!I26/'Datos USD'!I$3</f>
        <v>385691.80922677869</v>
      </c>
      <c r="J26" s="5">
        <f>'Datos pesos'!J26/'Datos USD'!J$3</f>
        <v>903621.72402005456</v>
      </c>
      <c r="K26" s="5">
        <f>'Datos pesos'!K26/'Datos USD'!K$3</f>
        <v>367636.05309170461</v>
      </c>
      <c r="L26" s="5">
        <f>'Datos pesos'!L26/'Datos USD'!L$3</f>
        <v>448155.6931252316</v>
      </c>
      <c r="M26" s="5">
        <f>'Datos pesos'!M26/'Datos USD'!M$3</f>
        <v>394573.03629885515</v>
      </c>
      <c r="N26" s="5">
        <f>'Datos pesos'!N26/'Datos USD'!N$3</f>
        <v>306714.66675826767</v>
      </c>
      <c r="O26" s="5">
        <f>'Datos pesos'!O26/'Datos USD'!O$3</f>
        <v>740652.14793551189</v>
      </c>
      <c r="P26" s="5">
        <f>'Datos pesos'!P26/'Datos USD'!P$3</f>
        <v>496174.62738493411</v>
      </c>
      <c r="Q26" s="5">
        <f>'Datos pesos'!Q26/'Datos USD'!Q$3</f>
        <v>358164.57803375734</v>
      </c>
    </row>
    <row r="27" spans="1:17" x14ac:dyDescent="0.25">
      <c r="A27" s="8" t="s">
        <v>20</v>
      </c>
      <c r="B27" s="5">
        <f>'Datos pesos'!B27/'Datos USD'!B$3</f>
        <v>747823.8384353742</v>
      </c>
      <c r="C27" s="5">
        <f>'Datos pesos'!C27/'Datos USD'!C$3</f>
        <v>764449.3570784491</v>
      </c>
      <c r="D27" s="5">
        <f>'Datos pesos'!D27/'Datos USD'!D$3</f>
        <v>965091.03399999999</v>
      </c>
      <c r="E27" s="5">
        <f>'Datos pesos'!E27/'Datos USD'!E$3</f>
        <v>989189.2514471102</v>
      </c>
      <c r="F27" s="5">
        <f>'Datos pesos'!F27/'Datos USD'!F$3</f>
        <v>1178278.5360789683</v>
      </c>
      <c r="G27" s="5">
        <f>'Datos pesos'!G27/'Datos USD'!G$3</f>
        <v>529614.30072951782</v>
      </c>
      <c r="H27" s="5">
        <f>'Datos pesos'!H27/'Datos USD'!H$3</f>
        <v>987664.84340210771</v>
      </c>
      <c r="I27" s="5">
        <f>'Datos pesos'!I27/'Datos USD'!I$3</f>
        <v>1106015.0128149705</v>
      </c>
      <c r="J27" s="5">
        <f>'Datos pesos'!J27/'Datos USD'!J$3</f>
        <v>805151.39341060026</v>
      </c>
      <c r="K27" s="5">
        <f>'Datos pesos'!K27/'Datos USD'!K$3</f>
        <v>1210017.2582492831</v>
      </c>
      <c r="L27" s="5">
        <f>'Datos pesos'!L27/'Datos USD'!L$3</f>
        <v>1269615.4006741918</v>
      </c>
      <c r="M27" s="5">
        <f>'Datos pesos'!M27/'Datos USD'!M$3</f>
        <v>1751104.6734549927</v>
      </c>
      <c r="N27" s="5">
        <f>'Datos pesos'!N27/'Datos USD'!N$3</f>
        <v>816659.33944197791</v>
      </c>
      <c r="O27" s="5">
        <f>'Datos pesos'!O27/'Datos USD'!O$3</f>
        <v>2282901.3301512068</v>
      </c>
      <c r="P27" s="5">
        <f>'Datos pesos'!P27/'Datos USD'!P$3</f>
        <v>2024549.1812352238</v>
      </c>
      <c r="Q27" s="5">
        <f>'Datos pesos'!Q27/'Datos USD'!Q$3</f>
        <v>1620971.8774498042</v>
      </c>
    </row>
    <row r="28" spans="1:17" x14ac:dyDescent="0.25">
      <c r="A28" s="8" t="s">
        <v>21</v>
      </c>
      <c r="B28" s="5">
        <f>'Datos pesos'!B28/'Datos USD'!B$3</f>
        <v>149283.86054421769</v>
      </c>
      <c r="C28" s="5">
        <f>'Datos pesos'!C28/'Datos USD'!C$3</f>
        <v>150567.14427412083</v>
      </c>
      <c r="D28" s="5">
        <f>'Datos pesos'!D28/'Datos USD'!D$3</f>
        <v>163597.78899999999</v>
      </c>
      <c r="E28" s="5">
        <f>'Datos pesos'!E28/'Datos USD'!E$3</f>
        <v>459767.99790945573</v>
      </c>
      <c r="F28" s="5">
        <f>'Datos pesos'!F28/'Datos USD'!F$3</f>
        <v>-228197.92377014703</v>
      </c>
      <c r="G28" s="5">
        <f>'Datos pesos'!G28/'Datos USD'!G$3</f>
        <v>303717.71864124382</v>
      </c>
      <c r="H28" s="5">
        <f>'Datos pesos'!H28/'Datos USD'!H$3</f>
        <v>-119717.44248181682</v>
      </c>
      <c r="I28" s="5">
        <f>'Datos pesos'!I28/'Datos USD'!I$3</f>
        <v>-33812.543231225296</v>
      </c>
      <c r="J28" s="5">
        <f>'Datos pesos'!J28/'Datos USD'!J$3</f>
        <v>7144.6933194426356</v>
      </c>
      <c r="K28" s="5">
        <f>'Datos pesos'!K28/'Datos USD'!K$3</f>
        <v>-348763.62822025648</v>
      </c>
      <c r="L28" s="5">
        <f>'Datos pesos'!L28/'Datos USD'!L$3</f>
        <v>-365941.61824113654</v>
      </c>
      <c r="M28" s="5">
        <f>'Datos pesos'!M28/'Datos USD'!M$3</f>
        <v>-516930.01754354237</v>
      </c>
      <c r="N28" s="5">
        <f>'Datos pesos'!N28/'Datos USD'!N$3</f>
        <v>626633.70202753181</v>
      </c>
      <c r="O28" s="5">
        <f>'Datos pesos'!O28/'Datos USD'!O$3</f>
        <v>-1030788.5793918356</v>
      </c>
      <c r="P28" s="5">
        <f>'Datos pesos'!P28/'Datos USD'!P$3</f>
        <v>-915054.82837962848</v>
      </c>
      <c r="Q28" s="5">
        <f>'Datos pesos'!Q28/'Datos USD'!Q$3</f>
        <v>-740787.95696344296</v>
      </c>
    </row>
    <row r="29" spans="1:17" x14ac:dyDescent="0.25">
      <c r="A29" s="8" t="s">
        <v>22</v>
      </c>
      <c r="B29" s="5">
        <f>'Datos pesos'!B29/'Datos USD'!B$3</f>
        <v>13960.337585034014</v>
      </c>
      <c r="C29" s="5">
        <f>'Datos pesos'!C29/'Datos USD'!C$3</f>
        <v>12733.785392245267</v>
      </c>
      <c r="D29" s="5">
        <f>'Datos pesos'!D29/'Datos USD'!D$3</f>
        <v>13831.814</v>
      </c>
      <c r="E29" s="5">
        <f>'Datos pesos'!E29/'Datos USD'!E$3</f>
        <v>11658.93658353795</v>
      </c>
      <c r="F29" s="5">
        <f>'Datos pesos'!F29/'Datos USD'!F$3</f>
        <v>9053.5014005602243</v>
      </c>
      <c r="G29" s="5">
        <f>'Datos pesos'!G29/'Datos USD'!G$3</f>
        <v>19123.384277606059</v>
      </c>
      <c r="H29" s="5">
        <f>'Datos pesos'!H29/'Datos USD'!H$3</f>
        <v>21141.433872643607</v>
      </c>
      <c r="I29" s="5">
        <f>'Datos pesos'!I29/'Datos USD'!I$3</f>
        <v>25818.719892539528</v>
      </c>
      <c r="J29" s="5">
        <f>'Datos pesos'!J29/'Datos USD'!J$3</f>
        <v>37084.04089074098</v>
      </c>
      <c r="K29" s="5">
        <f>'Datos pesos'!K29/'Datos USD'!K$3</f>
        <v>43606.105029241779</v>
      </c>
      <c r="L29" s="5">
        <f>'Datos pesos'!L29/'Datos USD'!L$3</f>
        <v>45753.878410497869</v>
      </c>
      <c r="M29" s="5">
        <f>'Datos pesos'!M29/'Datos USD'!M$3</f>
        <v>46970.995279521085</v>
      </c>
      <c r="N29" s="5">
        <f>'Datos pesos'!N29/'Datos USD'!N$3</f>
        <v>51146.239920307089</v>
      </c>
      <c r="O29" s="5">
        <f>'Datos pesos'!O29/'Datos USD'!O$3</f>
        <v>65077.746253212732</v>
      </c>
      <c r="P29" s="5">
        <f>'Datos pesos'!P29/'Datos USD'!P$3</f>
        <v>75392.930395110336</v>
      </c>
      <c r="Q29" s="5">
        <f>'Datos pesos'!Q29/'Datos USD'!Q$3</f>
        <v>77603.817294616441</v>
      </c>
    </row>
    <row r="30" spans="1:17" x14ac:dyDescent="0.25">
      <c r="A30" s="2" t="s">
        <v>23</v>
      </c>
      <c r="B30" s="5">
        <f>'Datos pesos'!B30/'Datos USD'!B$3</f>
        <v>1503539.4217687075</v>
      </c>
      <c r="C30" s="5">
        <f>'Datos pesos'!C30/'Datos USD'!C$3</f>
        <v>1540271.8232642019</v>
      </c>
      <c r="D30" s="5">
        <f>'Datos pesos'!D30/'Datos USD'!D$3</f>
        <v>1635420.4369999999</v>
      </c>
      <c r="E30" s="5">
        <f>'Datos pesos'!E30/'Datos USD'!E$3</f>
        <v>2131380.9780197022</v>
      </c>
      <c r="F30" s="5">
        <f>'Datos pesos'!F30/'Datos USD'!F$3</f>
        <v>1415682.2527093904</v>
      </c>
      <c r="G30" s="5">
        <f>'Datos pesos'!G30/'Datos USD'!G$3</f>
        <v>1307236.0834935885</v>
      </c>
      <c r="H30" s="5">
        <f>'Datos pesos'!H30/'Datos USD'!H$3</f>
        <v>1296421.6706249071</v>
      </c>
      <c r="I30" s="5">
        <f>'Datos pesos'!I30/'Datos USD'!I$3</f>
        <v>1483712.9987030635</v>
      </c>
      <c r="J30" s="5">
        <f>'Datos pesos'!J30/'Datos USD'!J$3</f>
        <v>1753001.8508269305</v>
      </c>
      <c r="K30" s="5">
        <f>'Datos pesos'!K30/'Datos USD'!K$3</f>
        <v>1272495.7890112919</v>
      </c>
      <c r="L30" s="5">
        <f>'Datos pesos'!L30/'Datos USD'!L$3</f>
        <v>1397583.3548725271</v>
      </c>
      <c r="M30" s="5">
        <f>'Datos pesos'!M30/'Datos USD'!M$3</f>
        <v>1675718.6865855204</v>
      </c>
      <c r="N30" s="5">
        <f>'Datos pesos'!N30/'Datos USD'!N$3</f>
        <v>1801153.9472893248</v>
      </c>
      <c r="O30" s="5">
        <f>'Datos pesos'!O30/'Datos USD'!O$3</f>
        <v>2057842.644948096</v>
      </c>
      <c r="P30" s="5">
        <f>'Datos pesos'!P30/'Datos USD'!P$3</f>
        <v>1681061.9098449447</v>
      </c>
      <c r="Q30" s="5">
        <f>'Datos pesos'!Q30/'Datos USD'!Q$3</f>
        <v>1315952.3158147349</v>
      </c>
    </row>
    <row r="31" spans="1:17" x14ac:dyDescent="0.25">
      <c r="A31" s="2" t="s">
        <v>24</v>
      </c>
      <c r="B31" s="5">
        <f>'Datos pesos'!B31/'Datos USD'!B$3</f>
        <v>0</v>
      </c>
      <c r="C31" s="5">
        <f>'Datos pesos'!C31/'Datos USD'!C$3</f>
        <v>0</v>
      </c>
      <c r="D31" s="5">
        <f>'Datos pesos'!D31/'Datos USD'!D$3</f>
        <v>0</v>
      </c>
      <c r="E31" s="5">
        <f>'Datos pesos'!E31/'Datos USD'!E$3</f>
        <v>0</v>
      </c>
      <c r="F31" s="5">
        <f>'Datos pesos'!F31/'Datos USD'!F$3</f>
        <v>0</v>
      </c>
      <c r="G31" s="5">
        <f>'Datos pesos'!G31/'Datos USD'!G$3</f>
        <v>0</v>
      </c>
      <c r="H31" s="5">
        <f>'Datos pesos'!H31/'Datos USD'!H$3</f>
        <v>0</v>
      </c>
      <c r="I31" s="5">
        <f>'Datos pesos'!I31/'Datos USD'!I$3</f>
        <v>0</v>
      </c>
      <c r="J31" s="5">
        <f>'Datos pesos'!J31/'Datos USD'!J$3</f>
        <v>0</v>
      </c>
      <c r="K31" s="5">
        <f>'Datos pesos'!K31/'Datos USD'!K$3</f>
        <v>0</v>
      </c>
      <c r="L31" s="5">
        <f>'Datos pesos'!L31/'Datos USD'!L$3</f>
        <v>0</v>
      </c>
      <c r="M31" s="5">
        <f>'Datos pesos'!M31/'Datos USD'!M$3</f>
        <v>0</v>
      </c>
      <c r="N31" s="5">
        <f>'Datos pesos'!N31/'Datos USD'!N$3</f>
        <v>0</v>
      </c>
      <c r="O31" s="5">
        <f>'Datos pesos'!O31/'Datos USD'!O$3</f>
        <v>0</v>
      </c>
      <c r="P31" s="5">
        <f>'Datos pesos'!P31/'Datos USD'!P$3</f>
        <v>0</v>
      </c>
      <c r="Q31" s="5">
        <f>'Datos pesos'!Q31/'Datos USD'!Q$3</f>
        <v>0</v>
      </c>
    </row>
    <row r="32" spans="1:17" x14ac:dyDescent="0.25">
      <c r="A32" s="2" t="s">
        <v>25</v>
      </c>
      <c r="B32" s="5">
        <f>'Datos pesos'!B32/'Datos USD'!B$3</f>
        <v>0</v>
      </c>
      <c r="C32" s="5">
        <f>'Datos pesos'!C32/'Datos USD'!C$3</f>
        <v>0</v>
      </c>
      <c r="D32" s="5">
        <f>'Datos pesos'!D32/'Datos USD'!D$3</f>
        <v>0</v>
      </c>
      <c r="E32" s="5">
        <f>'Datos pesos'!E32/'Datos USD'!E$3</f>
        <v>0</v>
      </c>
      <c r="F32" s="5">
        <f>'Datos pesos'!F32/'Datos USD'!F$3</f>
        <v>0</v>
      </c>
      <c r="G32" s="5">
        <f>'Datos pesos'!G32/'Datos USD'!G$3</f>
        <v>0</v>
      </c>
      <c r="H32" s="5">
        <f>'Datos pesos'!H32/'Datos USD'!H$3</f>
        <v>0</v>
      </c>
      <c r="I32" s="5">
        <f>'Datos pesos'!I32/'Datos USD'!I$3</f>
        <v>0</v>
      </c>
      <c r="J32" s="5">
        <f>'Datos pesos'!J32/'Datos USD'!J$3</f>
        <v>0</v>
      </c>
      <c r="K32" s="5">
        <f>'Datos pesos'!K32/'Datos USD'!K$3</f>
        <v>0</v>
      </c>
      <c r="L32" s="5">
        <f>'Datos pesos'!L32/'Datos USD'!L$3</f>
        <v>0</v>
      </c>
      <c r="M32" s="5">
        <f>'Datos pesos'!M32/'Datos USD'!M$3</f>
        <v>0</v>
      </c>
      <c r="N32" s="5">
        <f>'Datos pesos'!N32/'Datos USD'!N$3</f>
        <v>0</v>
      </c>
      <c r="O32" s="5">
        <f>'Datos pesos'!O32/'Datos USD'!O$3</f>
        <v>0</v>
      </c>
      <c r="P32" s="5">
        <v>0</v>
      </c>
      <c r="Q32" s="5">
        <f>'Datos pesos'!Q32/'Datos USD'!Q$3</f>
        <v>48567.614590832738</v>
      </c>
    </row>
    <row r="33" spans="1:17" x14ac:dyDescent="0.25">
      <c r="A33" s="6" t="s">
        <v>26</v>
      </c>
      <c r="B33" s="5">
        <f>'Datos pesos'!B33/'Datos USD'!B$3</f>
        <v>8084.7321428571431</v>
      </c>
      <c r="C33" s="5">
        <f>'Datos pesos'!C33/'Datos USD'!C$3</f>
        <v>23331.672678088369</v>
      </c>
      <c r="D33" s="5">
        <f>'Datos pesos'!D33/'Datos USD'!D$3</f>
        <v>26676.775000000001</v>
      </c>
      <c r="E33" s="5">
        <f>'Datos pesos'!E33/'Datos USD'!E$3</f>
        <v>26277.279136960231</v>
      </c>
      <c r="F33" s="5">
        <f>'Datos pesos'!F33/'Datos USD'!F$3</f>
        <v>23821.404855872061</v>
      </c>
      <c r="G33" s="5">
        <f>'Datos pesos'!G33/'Datos USD'!G$3</f>
        <v>20701.35392904135</v>
      </c>
      <c r="H33" s="5">
        <f>'Datos pesos'!H33/'Datos USD'!H$3</f>
        <v>19711.872495175892</v>
      </c>
      <c r="I33" s="5">
        <f>'Datos pesos'!I33/'Datos USD'!I$3</f>
        <v>20481.199820899212</v>
      </c>
      <c r="J33" s="5">
        <f>'Datos pesos'!J33/'Datos USD'!J$3</f>
        <v>23022.429678343531</v>
      </c>
      <c r="K33" s="5">
        <f>'Datos pesos'!K33/'Datos USD'!K$3</f>
        <v>25179.537643947941</v>
      </c>
      <c r="L33" s="5">
        <f>'Datos pesos'!L33/'Datos USD'!L$3</f>
        <v>26419.729600274739</v>
      </c>
      <c r="M33" s="5">
        <f>'Datos pesos'!M33/'Datos USD'!M$3</f>
        <v>27644.14190374564</v>
      </c>
      <c r="N33" s="5">
        <f>'Datos pesos'!N33/'Datos USD'!N$3</f>
        <v>26682.049344336909</v>
      </c>
      <c r="O33" s="5">
        <f>'Datos pesos'!O33/'Datos USD'!O$3</f>
        <v>26656.037417804335</v>
      </c>
      <c r="P33" s="5">
        <f>'Datos pesos'!P33/'Datos USD'!P$3</f>
        <v>46806.414909346808</v>
      </c>
      <c r="Q33" s="5" t="e">
        <f>'Datos pesos'!Q33/'Datos USD'!Q$3</f>
        <v>#VALUE!</v>
      </c>
    </row>
    <row r="34" spans="1:17" x14ac:dyDescent="0.25">
      <c r="A34" s="6" t="s">
        <v>27</v>
      </c>
      <c r="B34" s="5">
        <f>'Datos pesos'!B34/'Datos USD'!B$3</f>
        <v>1511624.1539115647</v>
      </c>
      <c r="C34" s="5">
        <f>'Datos pesos'!C34/'Datos USD'!C$3</f>
        <v>1563603.4959422904</v>
      </c>
      <c r="D34" s="5">
        <f>'Datos pesos'!D34/'Datos USD'!D$3</f>
        <v>1662097.213</v>
      </c>
      <c r="E34" s="5">
        <f>'Datos pesos'!E34/'Datos USD'!E$3</f>
        <v>2157658.2571566626</v>
      </c>
      <c r="F34" s="5">
        <f>'Datos pesos'!F34/'Datos USD'!F$3</f>
        <v>1439503.6575652624</v>
      </c>
      <c r="G34" s="5">
        <f>'Datos pesos'!G34/'Datos USD'!G$3</f>
        <v>1327937.4382011974</v>
      </c>
      <c r="H34" s="5">
        <f>'Datos pesos'!H34/'Datos USD'!H$3</f>
        <v>1316133.5431200829</v>
      </c>
      <c r="I34" s="5">
        <f>'Datos pesos'!I34/'Datos USD'!I$3</f>
        <v>1504194.1992959487</v>
      </c>
      <c r="J34" s="5">
        <f>'Datos pesos'!J34/'Datos USD'!J$3</f>
        <v>1776024.280505274</v>
      </c>
      <c r="K34" s="5">
        <f>'Datos pesos'!K34/'Datos USD'!K$3</f>
        <v>1297675.3257939208</v>
      </c>
      <c r="L34" s="5">
        <f>'Datos pesos'!L34/'Datos USD'!L$3</f>
        <v>1424003.0844728018</v>
      </c>
      <c r="M34" s="5">
        <f>'Datos pesos'!M34/'Datos USD'!M$3</f>
        <v>1703362.8284892659</v>
      </c>
      <c r="N34" s="5">
        <f>'Datos pesos'!N34/'Datos USD'!N$3</f>
        <v>1827835.9966336617</v>
      </c>
      <c r="O34" s="5">
        <f>'Datos pesos'!O34/'Datos USD'!O$3</f>
        <v>2084498.683200374</v>
      </c>
      <c r="P34" s="5">
        <f>'Datos pesos'!P34/'Datos USD'!P$3</f>
        <v>1727868.3247542914</v>
      </c>
      <c r="Q34" s="5">
        <f>'Datos pesos'!Q34/'Datos USD'!Q$3</f>
        <v>1364519.9304055676</v>
      </c>
    </row>
    <row r="35" spans="1:17" x14ac:dyDescent="0.25">
      <c r="A35" s="6"/>
      <c r="B35" s="5">
        <f>'Datos pesos'!B35/'Datos USD'!B$3</f>
        <v>0</v>
      </c>
      <c r="C35" s="5">
        <f>'Datos pesos'!C35/'Datos USD'!C$3</f>
        <v>0</v>
      </c>
      <c r="D35" s="5">
        <f>'Datos pesos'!D35/'Datos USD'!D$3</f>
        <v>0</v>
      </c>
      <c r="E35" s="5">
        <f>'Datos pesos'!E35/'Datos USD'!E$3</f>
        <v>0</v>
      </c>
      <c r="F35" s="5">
        <f>'Datos pesos'!F35/'Datos USD'!F$3</f>
        <v>0</v>
      </c>
      <c r="G35" s="5">
        <f>'Datos pesos'!G35/'Datos USD'!G$3</f>
        <v>0</v>
      </c>
      <c r="H35" s="5">
        <f>'Datos pesos'!H35/'Datos USD'!H$3</f>
        <v>0</v>
      </c>
      <c r="I35" s="5">
        <f>'Datos pesos'!I35/'Datos USD'!I$3</f>
        <v>0</v>
      </c>
      <c r="J35" s="5">
        <f>'Datos pesos'!J35/'Datos USD'!J$3</f>
        <v>0</v>
      </c>
      <c r="K35" s="5">
        <f>'Datos pesos'!K35/'Datos USD'!K$3</f>
        <v>0</v>
      </c>
      <c r="L35" s="5">
        <f>'Datos pesos'!L35/'Datos USD'!L$3</f>
        <v>0</v>
      </c>
      <c r="M35" s="5">
        <f>'Datos pesos'!M35/'Datos USD'!M$3</f>
        <v>0</v>
      </c>
      <c r="N35" s="5">
        <f>'Datos pesos'!N35/'Datos USD'!N$3</f>
        <v>0</v>
      </c>
      <c r="O35" s="5">
        <f>'Datos pesos'!O35/'Datos USD'!O$3</f>
        <v>0</v>
      </c>
      <c r="P35" s="5">
        <f>'Datos pesos'!P35/'Datos USD'!P$3</f>
        <v>0</v>
      </c>
      <c r="Q35" s="5">
        <f>'Datos pesos'!Q35/'Datos USD'!Q$3</f>
        <v>0</v>
      </c>
    </row>
    <row r="36" spans="1:17" x14ac:dyDescent="0.25">
      <c r="A36" s="6"/>
      <c r="B36" s="5">
        <f>'Datos pesos'!B36/'Datos USD'!B$3</f>
        <v>0</v>
      </c>
      <c r="C36" s="5">
        <f>'Datos pesos'!C36/'Datos USD'!C$3</f>
        <v>0</v>
      </c>
      <c r="D36" s="5">
        <f>'Datos pesos'!D36/'Datos USD'!D$3</f>
        <v>0</v>
      </c>
      <c r="E36" s="5">
        <f>'Datos pesos'!E36/'Datos USD'!E$3</f>
        <v>0</v>
      </c>
      <c r="F36" s="5">
        <f>'Datos pesos'!F36/'Datos USD'!F$3</f>
        <v>0</v>
      </c>
      <c r="G36" s="5">
        <f>'Datos pesos'!G36/'Datos USD'!G$3</f>
        <v>0</v>
      </c>
      <c r="H36" s="5">
        <f>'Datos pesos'!H36/'Datos USD'!H$3</f>
        <v>0</v>
      </c>
      <c r="I36" s="5">
        <f>'Datos pesos'!I36/'Datos USD'!I$3</f>
        <v>0</v>
      </c>
      <c r="J36" s="5">
        <f>'Datos pesos'!J36/'Datos USD'!J$3</f>
        <v>0</v>
      </c>
      <c r="K36" s="5">
        <f>'Datos pesos'!K36/'Datos USD'!K$3</f>
        <v>0</v>
      </c>
      <c r="L36" s="5">
        <f>'Datos pesos'!L36/'Datos USD'!L$3</f>
        <v>0</v>
      </c>
      <c r="M36" s="5">
        <f>'Datos pesos'!M36/'Datos USD'!M$3</f>
        <v>0</v>
      </c>
      <c r="N36" s="5">
        <f>'Datos pesos'!N36/'Datos USD'!N$3</f>
        <v>0</v>
      </c>
      <c r="O36" s="5">
        <f>'Datos pesos'!O36/'Datos USD'!O$3</f>
        <v>0</v>
      </c>
      <c r="P36" s="5">
        <f>'Datos pesos'!P36/'Datos USD'!P$3</f>
        <v>0</v>
      </c>
      <c r="Q36" s="5">
        <f>'Datos pesos'!Q36/'Datos USD'!Q$3</f>
        <v>0</v>
      </c>
    </row>
    <row r="37" spans="1:17" x14ac:dyDescent="0.25">
      <c r="A37" s="8" t="s">
        <v>33</v>
      </c>
      <c r="B37" s="5">
        <f>'Datos pesos'!B37/'Datos USD'!B$3</f>
        <v>0</v>
      </c>
      <c r="C37" s="5">
        <f>'Datos pesos'!C37/'Datos USD'!C$3</f>
        <v>0</v>
      </c>
      <c r="D37" s="5">
        <f>'Datos pesos'!D37/'Datos USD'!D$3</f>
        <v>0</v>
      </c>
      <c r="E37" s="5">
        <f>'Datos pesos'!E37/'Datos USD'!E$3</f>
        <v>0</v>
      </c>
      <c r="F37" s="5">
        <f>'Datos pesos'!F37/'Datos USD'!F$3</f>
        <v>0</v>
      </c>
      <c r="G37" s="5">
        <f>'Datos pesos'!G37/'Datos USD'!G$3</f>
        <v>0</v>
      </c>
      <c r="H37" s="5">
        <f>'Datos pesos'!H37/'Datos USD'!H$3</f>
        <v>0</v>
      </c>
      <c r="I37" s="5">
        <f>'Datos pesos'!I37/'Datos USD'!I$3</f>
        <v>0</v>
      </c>
      <c r="J37" s="5">
        <f>'Datos pesos'!J37/'Datos USD'!J$3</f>
        <v>0</v>
      </c>
      <c r="K37" s="5">
        <f>'Datos pesos'!K37/'Datos USD'!K$3</f>
        <v>0</v>
      </c>
      <c r="L37" s="5">
        <f>'Datos pesos'!L37/'Datos USD'!L$3</f>
        <v>0</v>
      </c>
      <c r="M37" s="5">
        <f>'Datos pesos'!M37/'Datos USD'!M$3</f>
        <v>0</v>
      </c>
      <c r="N37" s="5">
        <f>'Datos pesos'!N37/'Datos USD'!N$3</f>
        <v>0</v>
      </c>
      <c r="O37" s="5">
        <f>'Datos pesos'!O37/'Datos USD'!O$3</f>
        <v>0</v>
      </c>
      <c r="P37" s="5">
        <f>'Datos pesos'!P37/'Datos USD'!P$3</f>
        <v>0</v>
      </c>
      <c r="Q37" s="5">
        <f>'Datos pesos'!Q37/'Datos USD'!Q$3</f>
        <v>0</v>
      </c>
    </row>
    <row r="38" spans="1:17" x14ac:dyDescent="0.25">
      <c r="A38" s="2" t="s">
        <v>37</v>
      </c>
      <c r="B38" s="5">
        <f>'Datos pesos'!B38/'Datos USD'!B$3</f>
        <v>-925862.75</v>
      </c>
      <c r="C38" s="5">
        <f>'Datos pesos'!C38/'Datos USD'!C$3</f>
        <v>-1023959.1722272318</v>
      </c>
      <c r="D38" s="5">
        <f>'Datos pesos'!D38/'Datos USD'!D$3</f>
        <v>-957627.05099999998</v>
      </c>
      <c r="E38" s="5">
        <f>'Datos pesos'!E38/'Datos USD'!E$3</f>
        <v>-1367227.4936149651</v>
      </c>
      <c r="F38" s="5">
        <f>'Datos pesos'!F38/'Datos USD'!F$3</f>
        <v>-639475.70453101362</v>
      </c>
      <c r="G38" s="5">
        <f>'Datos pesos'!G38/'Datos USD'!G$3</f>
        <v>-680116.57648258726</v>
      </c>
      <c r="H38" s="5">
        <f>'Datos pesos'!H38/'Datos USD'!H$3</f>
        <v>-748658.34124981437</v>
      </c>
      <c r="I38" s="5">
        <f>'Datos pesos'!I38/'Datos USD'!I$3</f>
        <v>-833990.6280879447</v>
      </c>
      <c r="J38" s="5">
        <f>'Datos pesos'!J38/'Datos USD'!J$3</f>
        <v>-1076717.5519273342</v>
      </c>
      <c r="K38" s="5">
        <f>'Datos pesos'!K38/'Datos USD'!K$3</f>
        <v>-549357.74971791799</v>
      </c>
      <c r="L38" s="5">
        <f>'Datos pesos'!L38/'Datos USD'!L$3</f>
        <v>-665136.79496796231</v>
      </c>
      <c r="M38" s="5">
        <f>'Datos pesos'!M38/'Datos USD'!M$3</f>
        <v>-919421.60026044026</v>
      </c>
      <c r="N38" s="5">
        <f>'Datos pesos'!N38/'Datos USD'!N$3</f>
        <v>-1006257.9697201302</v>
      </c>
      <c r="O38" s="5">
        <f>'Datos pesos'!O38/'Datos USD'!O$3</f>
        <v>-1113059.6081311125</v>
      </c>
      <c r="P38" s="5">
        <f>'Datos pesos'!P38/'Datos USD'!P$3</f>
        <v>-985694.56238979683</v>
      </c>
      <c r="Q38" s="5">
        <f>'Datos pesos'!Q38/'Datos USD'!Q$3</f>
        <v>-648013.00615950732</v>
      </c>
    </row>
    <row r="39" spans="1:17" x14ac:dyDescent="0.25">
      <c r="A39" s="8" t="s">
        <v>38</v>
      </c>
      <c r="B39" s="5">
        <f>'Datos pesos'!B39/'Datos USD'!B$3</f>
        <v>-4941.517006802721</v>
      </c>
      <c r="C39" s="5">
        <f>'Datos pesos'!C39/'Datos USD'!C$3</f>
        <v>-4631.7240757439131</v>
      </c>
      <c r="D39" s="5">
        <f>'Datos pesos'!D39/'Datos USD'!D$3</f>
        <v>-4660.3459999999995</v>
      </c>
      <c r="E39" s="5">
        <f>'Datos pesos'!E39/'Datos USD'!E$3</f>
        <v>-5226.2915520318711</v>
      </c>
      <c r="F39" s="5">
        <f>'Datos pesos'!F39/'Datos USD'!F$3</f>
        <v>-6054.8769028378119</v>
      </c>
      <c r="G39" s="5">
        <f>'Datos pesos'!G39/'Datos USD'!G$3</f>
        <v>-4848.2026767153784</v>
      </c>
      <c r="H39" s="5">
        <f>'Datos pesos'!H39/'Datos USD'!H$3</f>
        <v>-4776.4887932314086</v>
      </c>
      <c r="I39" s="5">
        <f>'Datos pesos'!I39/'Datos USD'!I$3</f>
        <v>-5041.408565958498</v>
      </c>
      <c r="J39" s="5">
        <f>'Datos pesos'!J39/'Datos USD'!J$3</f>
        <v>-6649.0436580283886</v>
      </c>
      <c r="K39" s="5">
        <f>'Datos pesos'!K39/'Datos USD'!K$3</f>
        <v>-5481.0010249696388</v>
      </c>
      <c r="L39" s="5">
        <f>'Datos pesos'!L39/'Datos USD'!L$3</f>
        <v>-7266.2461252044714</v>
      </c>
      <c r="M39" s="5">
        <f>'Datos pesos'!M39/'Datos USD'!M$3</f>
        <v>-27308.225570165127</v>
      </c>
      <c r="N39" s="5">
        <f>'Datos pesos'!N39/'Datos USD'!N$3</f>
        <v>-11342.462236038713</v>
      </c>
      <c r="O39" s="5">
        <f>'Datos pesos'!O39/'Datos USD'!O$3</f>
        <v>-12135.002837210855</v>
      </c>
      <c r="P39" s="5">
        <f>'Datos pesos'!P39/'Datos USD'!P$3</f>
        <v>-8027.2212602098507</v>
      </c>
      <c r="Q39" s="5">
        <f>'Datos pesos'!Q39/'Datos USD'!Q$3</f>
        <v>-11960.514358851293</v>
      </c>
    </row>
    <row r="40" spans="1:17" x14ac:dyDescent="0.25">
      <c r="A40" s="8" t="s">
        <v>30</v>
      </c>
      <c r="B40" s="5">
        <f>'Datos pesos'!B40/'Datos USD'!B$3</f>
        <v>-2173.5722789115648</v>
      </c>
      <c r="C40" s="5">
        <f>'Datos pesos'!C40/'Datos USD'!C$3</f>
        <v>-3556.9720468890891</v>
      </c>
      <c r="D40" s="5">
        <f>'Datos pesos'!D40/'Datos USD'!D$3</f>
        <v>-6131.42</v>
      </c>
      <c r="E40" s="5">
        <f>'Datos pesos'!E40/'Datos USD'!E$3</f>
        <v>-7860.928517192754</v>
      </c>
      <c r="F40" s="5">
        <f>'Datos pesos'!F40/'Datos USD'!F$3</f>
        <v>-9078.7481765869288</v>
      </c>
      <c r="G40" s="5">
        <f>'Datos pesos'!G40/'Datos USD'!G$3</f>
        <v>-3924.8207348120923</v>
      </c>
      <c r="H40" s="5">
        <f>'Datos pesos'!H40/'Datos USD'!H$3</f>
        <v>-4683.6240166246098</v>
      </c>
      <c r="I40" s="5">
        <f>'Datos pesos'!I40/'Datos USD'!I$3</f>
        <v>-5782.289865365613</v>
      </c>
      <c r="J40" s="5">
        <f>'Datos pesos'!J40/'Datos USD'!J$3</f>
        <v>-8250.533923687979</v>
      </c>
      <c r="K40" s="5">
        <f>'Datos pesos'!K40/'Datos USD'!K$3</f>
        <v>-7606.0473208671765</v>
      </c>
      <c r="L40" s="5">
        <f>'Datos pesos'!L40/'Datos USD'!L$3</f>
        <v>-11536.279834795891</v>
      </c>
      <c r="M40" s="5">
        <f>'Datos pesos'!M40/'Datos USD'!M$3</f>
        <v>-13717.881752907346</v>
      </c>
      <c r="N40" s="5">
        <f>'Datos pesos'!N40/'Datos USD'!N$3</f>
        <v>-5376.8538476731901</v>
      </c>
      <c r="O40" s="5">
        <f>'Datos pesos'!O40/'Datos USD'!O$3</f>
        <v>-8657.6646416769599</v>
      </c>
      <c r="P40" s="5">
        <f>'Datos pesos'!P40/'Datos USD'!P$3</f>
        <v>-12392.391141052098</v>
      </c>
      <c r="Q40" s="5">
        <f>'Datos pesos'!Q40/'Datos USD'!Q$3</f>
        <v>-29100.647948164147</v>
      </c>
    </row>
    <row r="41" spans="1:17" x14ac:dyDescent="0.25">
      <c r="A41" s="8" t="s">
        <v>31</v>
      </c>
      <c r="B41" s="5">
        <f>'Datos pesos'!B41/'Datos USD'!B$3</f>
        <v>-2460.8180272108843</v>
      </c>
      <c r="C41" s="5">
        <f>'Datos pesos'!C41/'Datos USD'!C$3</f>
        <v>-70497.340847610467</v>
      </c>
      <c r="D41" s="5">
        <f>'Datos pesos'!D41/'Datos USD'!D$3</f>
        <v>-78176.725999999995</v>
      </c>
      <c r="E41" s="5">
        <f>'Datos pesos'!E41/'Datos USD'!E$3</f>
        <v>-77971.371377293923</v>
      </c>
      <c r="F41" s="5">
        <f>'Datos pesos'!F41/'Datos USD'!F$3</f>
        <v>-17189.508774755908</v>
      </c>
      <c r="G41" s="5">
        <f>'Datos pesos'!G41/'Datos USD'!G$3</f>
        <v>-14363.029717924961</v>
      </c>
      <c r="H41" s="5">
        <f>'Datos pesos'!H41/'Datos USD'!H$3</f>
        <v>-13464.751373014695</v>
      </c>
      <c r="I41" s="5">
        <f>'Datos pesos'!I41/'Datos USD'!I$3</f>
        <v>-14209.335628705534</v>
      </c>
      <c r="J41" s="5">
        <f>'Datos pesos'!J41/'Datos USD'!J$3</f>
        <v>-15554.539979163952</v>
      </c>
      <c r="K41" s="5">
        <f>'Datos pesos'!K41/'Datos USD'!K$3</f>
        <v>-16487.216303046487</v>
      </c>
      <c r="L41" s="5">
        <f>'Datos pesos'!L41/'Datos USD'!L$3</f>
        <v>-17299.277006082186</v>
      </c>
      <c r="M41" s="5">
        <f>'Datos pesos'!M41/'Datos USD'!M$3</f>
        <v>-19309.327015246607</v>
      </c>
      <c r="N41" s="5">
        <f>'Datos pesos'!N41/'Datos USD'!N$3</f>
        <v>-18046.460621570328</v>
      </c>
      <c r="O41" s="5">
        <f>'Datos pesos'!O41/'Datos USD'!O$3</f>
        <v>-21056.941987382757</v>
      </c>
      <c r="P41" s="5">
        <f>'Datos pesos'!P41/'Datos USD'!P$3</f>
        <v>-40643.895438479965</v>
      </c>
      <c r="Q41" s="5">
        <f>'Datos pesos'!Q41/'Datos USD'!Q$3</f>
        <v>-41631.517478601716</v>
      </c>
    </row>
    <row r="42" spans="1:17" x14ac:dyDescent="0.25">
      <c r="A42" s="6" t="s">
        <v>32</v>
      </c>
      <c r="B42" s="5">
        <f>'Datos pesos'!B42/'Datos USD'!B$3</f>
        <v>-935438.65816326533</v>
      </c>
      <c r="C42" s="5">
        <f>'Datos pesos'!C42/'Datos USD'!C$3</f>
        <v>-1102645.2100991884</v>
      </c>
      <c r="D42" s="5">
        <f>'Datos pesos'!D42/'Datos USD'!D$3</f>
        <v>-1046595.542</v>
      </c>
      <c r="E42" s="5">
        <f>'Datos pesos'!E42/'Datos USD'!E$3</f>
        <v>-1458286.0860475893</v>
      </c>
      <c r="F42" s="5">
        <f>'Datos pesos'!F42/'Datos USD'!F$3</f>
        <v>-671798.83838519431</v>
      </c>
      <c r="G42" s="5">
        <f>'Datos pesos'!G42/'Datos USD'!G$3</f>
        <v>-703252.62961203977</v>
      </c>
      <c r="H42" s="5">
        <f>'Datos pesos'!H42/'Datos USD'!H$3</f>
        <v>-771583.20469051506</v>
      </c>
      <c r="I42" s="5">
        <f>'Datos pesos'!I42/'Datos USD'!I$3</f>
        <v>-859023.66214797436</v>
      </c>
      <c r="J42" s="5">
        <f>'Datos pesos'!J42/'Datos USD'!J$3</f>
        <v>-1107171.6686743065</v>
      </c>
      <c r="K42" s="5">
        <f>'Datos pesos'!K42/'Datos USD'!K$3</f>
        <v>-578932.01522812038</v>
      </c>
      <c r="L42" s="5">
        <f>'Datos pesos'!L42/'Datos USD'!L$3</f>
        <v>-701238.5979340449</v>
      </c>
      <c r="M42" s="5">
        <f>'Datos pesos'!M42/'Datos USD'!M$3</f>
        <v>-979757.03459875938</v>
      </c>
      <c r="N42" s="5">
        <f>'Datos pesos'!N42/'Datos USD'!N$3</f>
        <v>-1041023.7472841722</v>
      </c>
      <c r="O42" s="5">
        <f>'Datos pesos'!O42/'Datos USD'!O$3</f>
        <v>-1154909.2175973831</v>
      </c>
      <c r="P42" s="5">
        <f>'Datos pesos'!P42/'Datos USD'!P$3</f>
        <v>-1046758.0702295387</v>
      </c>
      <c r="Q42" s="5">
        <f>'Datos pesos'!Q42/'Datos USD'!Q$3</f>
        <v>-730705.68514518847</v>
      </c>
    </row>
    <row r="43" spans="1:17" x14ac:dyDescent="0.25">
      <c r="A43" s="10" t="s">
        <v>34</v>
      </c>
      <c r="B43" s="5">
        <f>'Datos pesos'!B43/'Datos USD'!B$3</f>
        <v>568100.76360544213</v>
      </c>
      <c r="C43" s="5">
        <f>'Datos pesos'!C43/'Datos USD'!C$3</f>
        <v>437626.61406672676</v>
      </c>
      <c r="D43" s="5">
        <f>'Datos pesos'!D43/'Datos USD'!D$3</f>
        <v>588824.89500000002</v>
      </c>
      <c r="E43" s="5">
        <f>'Datos pesos'!E43/'Datos USD'!E$3</f>
        <v>673094.89197211294</v>
      </c>
      <c r="F43" s="5">
        <f>'Datos pesos'!F43/'Datos USD'!F$3</f>
        <v>743883.41432419606</v>
      </c>
      <c r="G43" s="5">
        <f>'Datos pesos'!G43/'Datos USD'!G$3</f>
        <v>603983.45388154872</v>
      </c>
      <c r="H43" s="5">
        <f>'Datos pesos'!H43/'Datos USD'!H$3</f>
        <v>524838.46519222204</v>
      </c>
      <c r="I43" s="5">
        <f>'Datos pesos'!I43/'Datos USD'!I$3</f>
        <v>624689.33655508899</v>
      </c>
      <c r="J43" s="5">
        <f>'Datos pesos'!J43/'Datos USD'!J$3</f>
        <v>645830.18215262401</v>
      </c>
      <c r="K43" s="5">
        <f>'Datos pesos'!K43/'Datos USD'!K$3</f>
        <v>693563.77378317155</v>
      </c>
      <c r="L43" s="5">
        <f>'Datos pesos'!L43/'Datos USD'!L$3</f>
        <v>696344.7560347399</v>
      </c>
      <c r="M43" s="5">
        <f>'Datos pesos'!M43/'Datos USD'!M$3</f>
        <v>695961.65198676102</v>
      </c>
      <c r="N43" s="5">
        <f>'Datos pesos'!N43/'Datos USD'!N$3</f>
        <v>760130.20086391235</v>
      </c>
      <c r="O43" s="5">
        <f>'Datos pesos'!O43/'Datos USD'!O$3</f>
        <v>902933.42735071271</v>
      </c>
      <c r="P43" s="5">
        <f>'Datos pesos'!P43/'Datos USD'!P$3</f>
        <v>634303.83961540589</v>
      </c>
      <c r="Q43" s="5">
        <f>'Datos pesos'!Q43/'Datos USD'!Q$3</f>
        <v>585246.63146948244</v>
      </c>
    </row>
    <row r="44" spans="1:17" x14ac:dyDescent="0.25">
      <c r="A44" s="6" t="s">
        <v>28</v>
      </c>
      <c r="B44" s="5">
        <f>'Datos pesos'!B45/'Datos USD'!B$3</f>
        <v>-576185.49744897964</v>
      </c>
      <c r="C44" s="5">
        <f>'Datos pesos'!C45/'Datos USD'!C$3</f>
        <v>-460958.28764652839</v>
      </c>
      <c r="D44" s="5">
        <f>'Datos pesos'!D45/'Datos USD'!D$3</f>
        <v>-615501.67200000002</v>
      </c>
      <c r="E44" s="5">
        <f>'Datos pesos'!E45/'Datos USD'!E$3</f>
        <v>-699372.17308128462</v>
      </c>
      <c r="F44" s="5">
        <f>'Datos pesos'!F45/'Datos USD'!F$3</f>
        <v>-767704.82007499482</v>
      </c>
      <c r="G44" s="5">
        <f>'Datos pesos'!G45/'Datos USD'!G$3</f>
        <v>-624684.80936772528</v>
      </c>
      <c r="H44" s="5">
        <f>'Datos pesos'!H45/'Datos USD'!H$3</f>
        <v>-544550.33917173813</v>
      </c>
      <c r="I44" s="5">
        <f>'Datos pesos'!I45/'Datos USD'!I$3</f>
        <v>-645170.53714797436</v>
      </c>
      <c r="J44" s="5">
        <f>'Datos pesos'!J45/'Datos USD'!J$3</f>
        <v>-668852.61264487554</v>
      </c>
      <c r="K44" s="5">
        <f>'Datos pesos'!K45/'Datos USD'!K$3</f>
        <v>-718743.31228843855</v>
      </c>
      <c r="L44" s="5">
        <f>'Datos pesos'!L45/'Datos USD'!L$3</f>
        <v>-722764.48744249938</v>
      </c>
      <c r="M44" s="5">
        <f>'Datos pesos'!M45/'Datos USD'!M$3</f>
        <v>-723605.79569911922</v>
      </c>
      <c r="N44" s="5">
        <f>'Datos pesos'!N45/'Datos USD'!N$3</f>
        <v>-786812.25106700906</v>
      </c>
      <c r="O44" s="5">
        <f>'Datos pesos'!O45/'Datos USD'!O$3</f>
        <v>-929589.46560299082</v>
      </c>
      <c r="P44" s="5">
        <f>'Datos pesos'!P45/'Datos USD'!P$3</f>
        <v>-681110.25452475273</v>
      </c>
      <c r="Q44" s="5">
        <f>'Datos pesos'!Q45/'Datos USD'!Q$3</f>
        <v>-633814.24766018719</v>
      </c>
    </row>
    <row r="45" spans="1:17" x14ac:dyDescent="0.25">
      <c r="A45" s="6" t="s">
        <v>35</v>
      </c>
      <c r="B45" s="5">
        <f>'Datos pesos'!B46/'Datos USD'!B$3</f>
        <v>-1511624.155612245</v>
      </c>
      <c r="C45" s="5">
        <f>'Datos pesos'!C46/'Datos USD'!C$3</f>
        <v>-1563603.4977457169</v>
      </c>
      <c r="D45" s="5">
        <f>'Datos pesos'!D46/'Datos USD'!D$3</f>
        <v>-1662097.2139999999</v>
      </c>
      <c r="E45" s="5">
        <f>'Datos pesos'!E46/'Datos USD'!E$3</f>
        <v>-2157658.2591288742</v>
      </c>
      <c r="F45" s="5">
        <f>'Datos pesos'!F46/'Datos USD'!F$3</f>
        <v>-1439503.6584601891</v>
      </c>
      <c r="G45" s="5">
        <f>'Datos pesos'!G46/'Datos USD'!G$3</f>
        <v>-1327937.4389797649</v>
      </c>
      <c r="H45" s="5">
        <f>'Datos pesos'!H46/'Datos USD'!H$3</f>
        <v>-1316133.5438622532</v>
      </c>
      <c r="I45" s="5">
        <f>'Datos pesos'!I46/'Datos USD'!I$3</f>
        <v>-1504194.1992959487</v>
      </c>
      <c r="J45" s="5">
        <f>'Datos pesos'!J46/'Datos USD'!J$3</f>
        <v>-1776024.2821330901</v>
      </c>
      <c r="K45" s="5">
        <f>'Datos pesos'!K46/'Datos USD'!K$3</f>
        <v>-1297675.3266552398</v>
      </c>
      <c r="L45" s="5">
        <f>'Datos pesos'!L46/'Datos USD'!L$3</f>
        <v>-1424003.0853765444</v>
      </c>
      <c r="M45" s="5">
        <f>'Datos pesos'!M46/'Datos USD'!M$3</f>
        <v>-1703362.8302978787</v>
      </c>
      <c r="N45" s="5">
        <f>'Datos pesos'!N46/'Datos USD'!N$3</f>
        <v>-1827835.9974924214</v>
      </c>
      <c r="O45" s="5">
        <f>'Datos pesos'!O46/'Datos USD'!O$3</f>
        <v>-2084498.683200374</v>
      </c>
      <c r="P45" s="5">
        <f>'Datos pesos'!P46/'Datos USD'!P$3</f>
        <v>-1727868.3247542914</v>
      </c>
      <c r="Q45" s="5">
        <f>'Datos pesos'!Q46/'Datos USD'!Q$3</f>
        <v>-700430.151987841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232D-7BF4-4815-AAC5-DE66E74DF37A}">
  <dimension ref="A1:ET51"/>
  <sheetViews>
    <sheetView tabSelected="1" zoomScale="145" zoomScaleNormal="145" workbookViewId="0">
      <pane xSplit="2" ySplit="7" topLeftCell="C8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3.2" x14ac:dyDescent="0.25"/>
  <cols>
    <col min="1" max="1" width="10.6640625" style="1" customWidth="1"/>
    <col min="2" max="2" width="25.6640625" style="1" bestFit="1" customWidth="1"/>
    <col min="3" max="7" width="17.5546875" style="1" bestFit="1" customWidth="1"/>
    <col min="8" max="16384" width="11.5546875" style="1"/>
  </cols>
  <sheetData>
    <row r="1" spans="1:150" x14ac:dyDescent="0.25">
      <c r="A1" s="1" t="s">
        <v>44</v>
      </c>
      <c r="B1" s="24">
        <v>-0.01</v>
      </c>
    </row>
    <row r="2" spans="1:150" x14ac:dyDescent="0.25">
      <c r="A2" s="1" t="s">
        <v>45</v>
      </c>
      <c r="B2" s="24">
        <v>0.15</v>
      </c>
    </row>
    <row r="3" spans="1:150" x14ac:dyDescent="0.25">
      <c r="A3" s="1" t="s">
        <v>47</v>
      </c>
      <c r="B3" s="24">
        <v>0.13</v>
      </c>
    </row>
    <row r="4" spans="1:150" x14ac:dyDescent="0.25">
      <c r="A4" s="1" t="s">
        <v>46</v>
      </c>
      <c r="B4" s="25">
        <f>NPV($B$2,R26:ET26)</f>
        <v>2194737.098933225</v>
      </c>
    </row>
    <row r="7" spans="1:150" x14ac:dyDescent="0.25"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52</v>
      </c>
      <c r="M7" s="1" t="s">
        <v>53</v>
      </c>
      <c r="N7" s="1" t="s">
        <v>54</v>
      </c>
      <c r="Q7" s="1">
        <v>2024</v>
      </c>
      <c r="R7" s="1">
        <v>2025</v>
      </c>
      <c r="S7" s="1">
        <v>2026</v>
      </c>
      <c r="T7" s="1">
        <f>S7+1</f>
        <v>2027</v>
      </c>
      <c r="U7" s="1">
        <f t="shared" ref="U7:CF7" si="0">T7+1</f>
        <v>2028</v>
      </c>
      <c r="V7" s="1">
        <f t="shared" si="0"/>
        <v>2029</v>
      </c>
      <c r="W7" s="1">
        <f t="shared" si="0"/>
        <v>2030</v>
      </c>
      <c r="X7" s="1">
        <f t="shared" si="0"/>
        <v>2031</v>
      </c>
      <c r="Y7" s="1">
        <f t="shared" si="0"/>
        <v>2032</v>
      </c>
      <c r="Z7" s="1">
        <f t="shared" si="0"/>
        <v>2033</v>
      </c>
      <c r="AA7" s="1">
        <f t="shared" si="0"/>
        <v>2034</v>
      </c>
      <c r="AB7" s="1">
        <f t="shared" si="0"/>
        <v>2035</v>
      </c>
      <c r="AC7" s="1">
        <f t="shared" si="0"/>
        <v>2036</v>
      </c>
      <c r="AD7" s="1">
        <f t="shared" si="0"/>
        <v>2037</v>
      </c>
      <c r="AE7" s="1">
        <f t="shared" si="0"/>
        <v>2038</v>
      </c>
      <c r="AF7" s="1">
        <f t="shared" si="0"/>
        <v>2039</v>
      </c>
      <c r="AG7" s="1">
        <f t="shared" si="0"/>
        <v>2040</v>
      </c>
      <c r="AH7" s="1">
        <f t="shared" si="0"/>
        <v>2041</v>
      </c>
      <c r="AI7" s="1">
        <f t="shared" si="0"/>
        <v>2042</v>
      </c>
      <c r="AJ7" s="1">
        <f t="shared" si="0"/>
        <v>2043</v>
      </c>
      <c r="AK7" s="1">
        <f t="shared" si="0"/>
        <v>2044</v>
      </c>
      <c r="AL7" s="1">
        <f t="shared" si="0"/>
        <v>2045</v>
      </c>
      <c r="AM7" s="1">
        <f t="shared" si="0"/>
        <v>2046</v>
      </c>
      <c r="AN7" s="1">
        <f t="shared" si="0"/>
        <v>2047</v>
      </c>
      <c r="AO7" s="1">
        <f t="shared" si="0"/>
        <v>2048</v>
      </c>
      <c r="AP7" s="1">
        <f t="shared" si="0"/>
        <v>2049</v>
      </c>
      <c r="AQ7" s="1">
        <f t="shared" si="0"/>
        <v>2050</v>
      </c>
      <c r="AR7" s="1">
        <f t="shared" si="0"/>
        <v>2051</v>
      </c>
      <c r="AS7" s="1">
        <f t="shared" si="0"/>
        <v>2052</v>
      </c>
      <c r="AT7" s="1">
        <f t="shared" si="0"/>
        <v>2053</v>
      </c>
      <c r="AU7" s="1">
        <f t="shared" si="0"/>
        <v>2054</v>
      </c>
      <c r="AV7" s="1">
        <f t="shared" si="0"/>
        <v>2055</v>
      </c>
      <c r="AW7" s="1">
        <f t="shared" si="0"/>
        <v>2056</v>
      </c>
      <c r="AX7" s="1">
        <f t="shared" si="0"/>
        <v>2057</v>
      </c>
      <c r="AY7" s="1">
        <f t="shared" si="0"/>
        <v>2058</v>
      </c>
      <c r="AZ7" s="1">
        <f t="shared" si="0"/>
        <v>2059</v>
      </c>
      <c r="BA7" s="1">
        <f t="shared" si="0"/>
        <v>2060</v>
      </c>
      <c r="BB7" s="1">
        <f t="shared" si="0"/>
        <v>2061</v>
      </c>
      <c r="BC7" s="1">
        <f t="shared" si="0"/>
        <v>2062</v>
      </c>
      <c r="BD7" s="1">
        <f t="shared" si="0"/>
        <v>2063</v>
      </c>
      <c r="BE7" s="1">
        <f t="shared" si="0"/>
        <v>2064</v>
      </c>
      <c r="BF7" s="1">
        <f t="shared" si="0"/>
        <v>2065</v>
      </c>
      <c r="BG7" s="1">
        <f t="shared" si="0"/>
        <v>2066</v>
      </c>
      <c r="BH7" s="1">
        <f t="shared" si="0"/>
        <v>2067</v>
      </c>
      <c r="BI7" s="1">
        <f t="shared" si="0"/>
        <v>2068</v>
      </c>
      <c r="BJ7" s="1">
        <f t="shared" si="0"/>
        <v>2069</v>
      </c>
      <c r="BK7" s="1">
        <f t="shared" si="0"/>
        <v>2070</v>
      </c>
      <c r="BL7" s="1">
        <f t="shared" si="0"/>
        <v>2071</v>
      </c>
      <c r="BM7" s="1">
        <f t="shared" si="0"/>
        <v>2072</v>
      </c>
      <c r="BN7" s="1">
        <f t="shared" si="0"/>
        <v>2073</v>
      </c>
      <c r="BO7" s="1">
        <f t="shared" si="0"/>
        <v>2074</v>
      </c>
      <c r="BP7" s="1">
        <f t="shared" si="0"/>
        <v>2075</v>
      </c>
      <c r="BQ7" s="1">
        <f t="shared" si="0"/>
        <v>2076</v>
      </c>
      <c r="BR7" s="1">
        <f t="shared" si="0"/>
        <v>2077</v>
      </c>
      <c r="BS7" s="1">
        <f t="shared" si="0"/>
        <v>2078</v>
      </c>
      <c r="BT7" s="1">
        <f t="shared" si="0"/>
        <v>2079</v>
      </c>
      <c r="BU7" s="1">
        <f t="shared" si="0"/>
        <v>2080</v>
      </c>
      <c r="BV7" s="1">
        <f t="shared" si="0"/>
        <v>2081</v>
      </c>
      <c r="BW7" s="1">
        <f t="shared" si="0"/>
        <v>2082</v>
      </c>
      <c r="BX7" s="1">
        <f t="shared" si="0"/>
        <v>2083</v>
      </c>
      <c r="BY7" s="1">
        <f t="shared" si="0"/>
        <v>2084</v>
      </c>
      <c r="BZ7" s="1">
        <f t="shared" si="0"/>
        <v>2085</v>
      </c>
      <c r="CA7" s="1">
        <f t="shared" si="0"/>
        <v>2086</v>
      </c>
      <c r="CB7" s="1">
        <f t="shared" si="0"/>
        <v>2087</v>
      </c>
      <c r="CC7" s="1">
        <f t="shared" si="0"/>
        <v>2088</v>
      </c>
      <c r="CD7" s="1">
        <f t="shared" si="0"/>
        <v>2089</v>
      </c>
      <c r="CE7" s="1">
        <f t="shared" si="0"/>
        <v>2090</v>
      </c>
      <c r="CF7" s="1">
        <f t="shared" si="0"/>
        <v>2091</v>
      </c>
      <c r="CG7" s="1">
        <f t="shared" ref="CG7:ER7" si="1">CF7+1</f>
        <v>2092</v>
      </c>
      <c r="CH7" s="1">
        <f t="shared" si="1"/>
        <v>2093</v>
      </c>
      <c r="CI7" s="1">
        <f t="shared" si="1"/>
        <v>2094</v>
      </c>
      <c r="CJ7" s="1">
        <f t="shared" si="1"/>
        <v>2095</v>
      </c>
      <c r="CK7" s="1">
        <f t="shared" si="1"/>
        <v>2096</v>
      </c>
      <c r="CL7" s="1">
        <f t="shared" si="1"/>
        <v>2097</v>
      </c>
      <c r="CM7" s="1">
        <f t="shared" si="1"/>
        <v>2098</v>
      </c>
      <c r="CN7" s="1">
        <f t="shared" si="1"/>
        <v>2099</v>
      </c>
      <c r="CO7" s="1">
        <f t="shared" si="1"/>
        <v>2100</v>
      </c>
      <c r="CP7" s="1">
        <f t="shared" si="1"/>
        <v>2101</v>
      </c>
      <c r="CQ7" s="1">
        <f t="shared" si="1"/>
        <v>2102</v>
      </c>
      <c r="CR7" s="1">
        <f t="shared" si="1"/>
        <v>2103</v>
      </c>
      <c r="CS7" s="1">
        <f t="shared" si="1"/>
        <v>2104</v>
      </c>
      <c r="CT7" s="1">
        <f t="shared" si="1"/>
        <v>2105</v>
      </c>
      <c r="CU7" s="1">
        <f t="shared" si="1"/>
        <v>2106</v>
      </c>
      <c r="CV7" s="1">
        <f t="shared" si="1"/>
        <v>2107</v>
      </c>
      <c r="CW7" s="1">
        <f t="shared" si="1"/>
        <v>2108</v>
      </c>
      <c r="CX7" s="1">
        <f t="shared" si="1"/>
        <v>2109</v>
      </c>
      <c r="CY7" s="1">
        <f t="shared" si="1"/>
        <v>2110</v>
      </c>
      <c r="CZ7" s="1">
        <f t="shared" si="1"/>
        <v>2111</v>
      </c>
      <c r="DA7" s="1">
        <f t="shared" si="1"/>
        <v>2112</v>
      </c>
      <c r="DB7" s="1">
        <f t="shared" si="1"/>
        <v>2113</v>
      </c>
      <c r="DC7" s="1">
        <f t="shared" si="1"/>
        <v>2114</v>
      </c>
      <c r="DD7" s="1">
        <f t="shared" si="1"/>
        <v>2115</v>
      </c>
      <c r="DE7" s="1">
        <f t="shared" si="1"/>
        <v>2116</v>
      </c>
      <c r="DF7" s="1">
        <f t="shared" si="1"/>
        <v>2117</v>
      </c>
      <c r="DG7" s="1">
        <f t="shared" si="1"/>
        <v>2118</v>
      </c>
      <c r="DH7" s="1">
        <f t="shared" si="1"/>
        <v>2119</v>
      </c>
      <c r="DI7" s="1">
        <f t="shared" si="1"/>
        <v>2120</v>
      </c>
      <c r="DJ7" s="1">
        <f t="shared" si="1"/>
        <v>2121</v>
      </c>
      <c r="DK7" s="1">
        <f t="shared" si="1"/>
        <v>2122</v>
      </c>
      <c r="DL7" s="1">
        <f t="shared" si="1"/>
        <v>2123</v>
      </c>
      <c r="DM7" s="1">
        <f t="shared" si="1"/>
        <v>2124</v>
      </c>
      <c r="DN7" s="1">
        <f t="shared" si="1"/>
        <v>2125</v>
      </c>
      <c r="DO7" s="1">
        <f t="shared" si="1"/>
        <v>2126</v>
      </c>
      <c r="DP7" s="1">
        <f t="shared" si="1"/>
        <v>2127</v>
      </c>
      <c r="DQ7" s="1">
        <f t="shared" si="1"/>
        <v>2128</v>
      </c>
      <c r="DR7" s="1">
        <f t="shared" si="1"/>
        <v>2129</v>
      </c>
      <c r="DS7" s="1">
        <f t="shared" si="1"/>
        <v>2130</v>
      </c>
      <c r="DT7" s="1">
        <f t="shared" si="1"/>
        <v>2131</v>
      </c>
      <c r="DU7" s="1">
        <f t="shared" si="1"/>
        <v>2132</v>
      </c>
      <c r="DV7" s="1">
        <f t="shared" si="1"/>
        <v>2133</v>
      </c>
      <c r="DW7" s="1">
        <f t="shared" si="1"/>
        <v>2134</v>
      </c>
      <c r="DX7" s="1">
        <f t="shared" si="1"/>
        <v>2135</v>
      </c>
      <c r="DY7" s="1">
        <f t="shared" si="1"/>
        <v>2136</v>
      </c>
      <c r="DZ7" s="1">
        <f t="shared" si="1"/>
        <v>2137</v>
      </c>
      <c r="EA7" s="1">
        <f t="shared" si="1"/>
        <v>2138</v>
      </c>
      <c r="EB7" s="1">
        <f t="shared" si="1"/>
        <v>2139</v>
      </c>
      <c r="EC7" s="1">
        <f t="shared" si="1"/>
        <v>2140</v>
      </c>
      <c r="ED7" s="1">
        <f t="shared" si="1"/>
        <v>2141</v>
      </c>
      <c r="EE7" s="1">
        <f t="shared" si="1"/>
        <v>2142</v>
      </c>
      <c r="EF7" s="1">
        <f t="shared" si="1"/>
        <v>2143</v>
      </c>
      <c r="EG7" s="1">
        <f t="shared" si="1"/>
        <v>2144</v>
      </c>
      <c r="EH7" s="1">
        <f t="shared" si="1"/>
        <v>2145</v>
      </c>
      <c r="EI7" s="1">
        <f t="shared" si="1"/>
        <v>2146</v>
      </c>
      <c r="EJ7" s="1">
        <f t="shared" si="1"/>
        <v>2147</v>
      </c>
      <c r="EK7" s="1">
        <f t="shared" si="1"/>
        <v>2148</v>
      </c>
      <c r="EL7" s="1">
        <f t="shared" si="1"/>
        <v>2149</v>
      </c>
      <c r="EM7" s="1">
        <f t="shared" si="1"/>
        <v>2150</v>
      </c>
      <c r="EN7" s="1">
        <f t="shared" si="1"/>
        <v>2151</v>
      </c>
      <c r="EO7" s="1">
        <f t="shared" si="1"/>
        <v>2152</v>
      </c>
      <c r="EP7" s="1">
        <f t="shared" si="1"/>
        <v>2153</v>
      </c>
      <c r="EQ7" s="1">
        <f t="shared" si="1"/>
        <v>2154</v>
      </c>
      <c r="ER7" s="1">
        <f t="shared" si="1"/>
        <v>2155</v>
      </c>
      <c r="ES7" s="1">
        <f t="shared" ref="ES7:ET7" si="2">ER7+1</f>
        <v>2156</v>
      </c>
      <c r="ET7" s="1">
        <f t="shared" si="2"/>
        <v>2157</v>
      </c>
    </row>
    <row r="8" spans="1:150" x14ac:dyDescent="0.25">
      <c r="B8" s="2" t="s">
        <v>0</v>
      </c>
      <c r="C8" s="22">
        <f>SUM('Datos USD'!B4:D4)</f>
        <v>109412.9081064795</v>
      </c>
      <c r="D8" s="22">
        <f>SUM('Datos USD'!E4:G4)</f>
        <v>121515.18840075482</v>
      </c>
      <c r="E8" s="22">
        <f>SUM('Datos USD'!H4:J4)</f>
        <v>84578.217965966513</v>
      </c>
      <c r="F8" s="22">
        <f>SUM('Datos USD'!K4:M4)</f>
        <v>93820.6479329789</v>
      </c>
      <c r="G8" s="22">
        <f>SUM('Datos USD'!N4:P4)</f>
        <v>83402.014609213671</v>
      </c>
      <c r="Q8" s="26">
        <f>SUM(C8:F8)</f>
        <v>409326.96240617975</v>
      </c>
    </row>
    <row r="9" spans="1:150" x14ac:dyDescent="0.25">
      <c r="B9" s="2" t="s">
        <v>1</v>
      </c>
      <c r="C9" s="22">
        <f>SUM('Datos USD'!B5:D5)</f>
        <v>55012.731412624518</v>
      </c>
      <c r="D9" s="22">
        <f>SUM('Datos USD'!E5:G5)</f>
        <v>94061.206379702635</v>
      </c>
      <c r="E9" s="22">
        <f>SUM('Datos USD'!H5:J5)</f>
        <v>69808.402887399978</v>
      </c>
      <c r="F9" s="22">
        <f>SUM('Datos USD'!K5:M5)</f>
        <v>157973.37079027039</v>
      </c>
      <c r="G9" s="22">
        <f>SUM('Datos USD'!N5:P5)</f>
        <v>207451.32231019874</v>
      </c>
      <c r="Q9" s="26">
        <f t="shared" ref="Q9:Q26" si="3">SUM(C9:F9)</f>
        <v>376855.71146999754</v>
      </c>
    </row>
    <row r="10" spans="1:150" s="21" customFormat="1" x14ac:dyDescent="0.25">
      <c r="B10" s="6" t="s">
        <v>2</v>
      </c>
      <c r="C10" s="23">
        <f>SUM('Datos USD'!B6:D6)</f>
        <v>164425.63951910401</v>
      </c>
      <c r="D10" s="23">
        <f>SUM('Datos USD'!E6:G6)</f>
        <v>215576.39469450712</v>
      </c>
      <c r="E10" s="23">
        <f>SUM('Datos USD'!H6:J6)</f>
        <v>154386.62098710815</v>
      </c>
      <c r="F10" s="23">
        <f>SUM('Datos USD'!K6:M6)</f>
        <v>251794.01839254325</v>
      </c>
      <c r="G10" s="23">
        <f>SUM('Datos USD'!N6:P6)</f>
        <v>290853.33777277987</v>
      </c>
      <c r="Q10" s="26">
        <f t="shared" si="3"/>
        <v>786182.67359326268</v>
      </c>
    </row>
    <row r="11" spans="1:150" x14ac:dyDescent="0.25">
      <c r="B11" s="8" t="s">
        <v>3</v>
      </c>
      <c r="C11" s="22">
        <f>SUM('Datos USD'!B7:D7)</f>
        <v>0</v>
      </c>
      <c r="D11" s="22">
        <f>SUM('Datos USD'!E7:G7)</f>
        <v>0</v>
      </c>
      <c r="E11" s="22">
        <f>SUM('Datos USD'!H7:J7)</f>
        <v>0</v>
      </c>
      <c r="F11" s="22">
        <f>SUM('Datos USD'!K7:M7)</f>
        <v>0</v>
      </c>
      <c r="G11" s="22">
        <f>SUM('Datos USD'!N7:P7)</f>
        <v>0</v>
      </c>
      <c r="Q11" s="26">
        <f t="shared" si="3"/>
        <v>0</v>
      </c>
    </row>
    <row r="12" spans="1:150" x14ac:dyDescent="0.25">
      <c r="B12" s="8" t="s">
        <v>5</v>
      </c>
      <c r="C12" s="22">
        <f>SUM('Datos USD'!B8:D8)</f>
        <v>-10075.537528385565</v>
      </c>
      <c r="D12" s="22">
        <f>SUM('Datos USD'!E8:G8)</f>
        <v>-11235.478129380963</v>
      </c>
      <c r="E12" s="22">
        <f>SUM('Datos USD'!H8:J8)</f>
        <v>-12690.754116100048</v>
      </c>
      <c r="F12" s="22">
        <f>SUM('Datos USD'!K8:M8)</f>
        <v>-14549.798595765256</v>
      </c>
      <c r="G12" s="22">
        <f>SUM('Datos USD'!N8:P8)</f>
        <v>-9373.7596326596031</v>
      </c>
      <c r="Q12" s="26">
        <f t="shared" si="3"/>
        <v>-48551.56836963183</v>
      </c>
    </row>
    <row r="13" spans="1:150" x14ac:dyDescent="0.25">
      <c r="B13" s="8" t="s">
        <v>6</v>
      </c>
      <c r="C13" s="22">
        <f>SUM('Datos USD'!B9:D9)</f>
        <v>-10075.537003922982</v>
      </c>
      <c r="D13" s="22">
        <f>SUM('Datos USD'!E9:G9)</f>
        <v>-11235.478055463536</v>
      </c>
      <c r="E13" s="22">
        <f>SUM('Datos USD'!H9:J9)</f>
        <v>-12690.753613854446</v>
      </c>
      <c r="F13" s="22">
        <f>SUM('Datos USD'!K9:M9)</f>
        <v>-14549.799021371764</v>
      </c>
      <c r="G13" s="22">
        <f>SUM('Datos USD'!N9:P9)</f>
        <v>-9373.7600196197927</v>
      </c>
      <c r="Q13" s="26">
        <f t="shared" si="3"/>
        <v>-48551.567694612728</v>
      </c>
    </row>
    <row r="14" spans="1:150" s="21" customFormat="1" x14ac:dyDescent="0.25">
      <c r="B14" s="6" t="s">
        <v>7</v>
      </c>
      <c r="C14" s="23">
        <f>SUM('Datos USD'!B10:D10)</f>
        <v>154350.10251518103</v>
      </c>
      <c r="D14" s="23">
        <f>SUM('Datos USD'!E10:G10)</f>
        <v>204340.91663904357</v>
      </c>
      <c r="E14" s="23">
        <f>SUM('Datos USD'!H10:J10)</f>
        <v>141695.86737325371</v>
      </c>
      <c r="F14" s="23">
        <f>SUM('Datos USD'!K10:M10)</f>
        <v>237244.21937117149</v>
      </c>
      <c r="G14" s="23">
        <f>SUM('Datos USD'!N10:P10)</f>
        <v>281479.57775316009</v>
      </c>
      <c r="Q14" s="26">
        <f t="shared" si="3"/>
        <v>737631.1058986499</v>
      </c>
    </row>
    <row r="15" spans="1:150" x14ac:dyDescent="0.25">
      <c r="B15" s="8" t="s">
        <v>8</v>
      </c>
      <c r="C15" s="22">
        <f>SUM('Datos USD'!B11:D11)</f>
        <v>0</v>
      </c>
      <c r="D15" s="22">
        <f>SUM('Datos USD'!E11:G11)</f>
        <v>0</v>
      </c>
      <c r="E15" s="22">
        <f>SUM('Datos USD'!H11:J11)</f>
        <v>0</v>
      </c>
      <c r="F15" s="22">
        <f>SUM('Datos USD'!K11:M11)</f>
        <v>0</v>
      </c>
      <c r="G15" s="22">
        <f>SUM('Datos USD'!N11:P11)</f>
        <v>-13626.323472044751</v>
      </c>
      <c r="Q15" s="26">
        <f t="shared" si="3"/>
        <v>0</v>
      </c>
    </row>
    <row r="16" spans="1:150" x14ac:dyDescent="0.25">
      <c r="B16" s="8" t="s">
        <v>9</v>
      </c>
      <c r="C16" s="22">
        <f>SUM('Datos USD'!B12:D12)</f>
        <v>-85213.793238415063</v>
      </c>
      <c r="D16" s="22">
        <f>SUM('Datos USD'!E12:G12)</f>
        <v>-119893.82032167865</v>
      </c>
      <c r="E16" s="22">
        <f>SUM('Datos USD'!H12:J12)</f>
        <v>-127752.33848686631</v>
      </c>
      <c r="F16" s="22">
        <f>SUM('Datos USD'!K12:M12)</f>
        <v>-307294.60728197556</v>
      </c>
      <c r="G16" s="22">
        <f>SUM('Datos USD'!N12:P12)</f>
        <v>-277692.35633917962</v>
      </c>
      <c r="Q16" s="26">
        <f t="shared" si="3"/>
        <v>-640154.55932893557</v>
      </c>
    </row>
    <row r="17" spans="2:150" x14ac:dyDescent="0.25">
      <c r="B17" s="8" t="s">
        <v>29</v>
      </c>
      <c r="C17" s="22">
        <f>SUM('Datos USD'!B13:D13)</f>
        <v>-85213.793238415063</v>
      </c>
      <c r="D17" s="22">
        <f>SUM('Datos USD'!E13:G13)</f>
        <v>-119893.82032167865</v>
      </c>
      <c r="E17" s="22">
        <f>SUM('Datos USD'!H13:J13)</f>
        <v>-127752.33848686631</v>
      </c>
      <c r="F17" s="22">
        <f>SUM('Datos USD'!K13:M13)</f>
        <v>-307294.60728197556</v>
      </c>
      <c r="G17" s="22">
        <f>SUM('Datos USD'!N13:P13)</f>
        <v>-291318.6793870448</v>
      </c>
      <c r="Q17" s="26">
        <f t="shared" si="3"/>
        <v>-640154.55932893557</v>
      </c>
    </row>
    <row r="18" spans="2:150" s="21" customFormat="1" x14ac:dyDescent="0.25">
      <c r="B18" s="6" t="s">
        <v>10</v>
      </c>
      <c r="C18" s="23">
        <f>SUM('Datos USD'!B14:D14)</f>
        <v>69136.309276765969</v>
      </c>
      <c r="D18" s="23">
        <f>SUM('Datos USD'!E14:G14)</f>
        <v>84447.096317364922</v>
      </c>
      <c r="E18" s="23">
        <f>SUM('Datos USD'!H14:J14)</f>
        <v>13943.528886387425</v>
      </c>
      <c r="F18" s="23">
        <f>SUM('Datos USD'!K14:M14)</f>
        <v>-70050.387910803998</v>
      </c>
      <c r="G18" s="23">
        <f>SUM('Datos USD'!N14:P14)</f>
        <v>-9839.1016338847257</v>
      </c>
      <c r="Q18" s="26">
        <f t="shared" si="3"/>
        <v>97476.546569714308</v>
      </c>
      <c r="R18" s="21">
        <v>97476.546569714308</v>
      </c>
      <c r="S18" s="21">
        <v>97476.546569714308</v>
      </c>
      <c r="T18" s="21">
        <v>97476.546569714308</v>
      </c>
      <c r="U18" s="21">
        <v>97476.546569714308</v>
      </c>
      <c r="V18" s="21">
        <v>97476.546569714308</v>
      </c>
      <c r="W18" s="21">
        <v>97476.546569714308</v>
      </c>
      <c r="X18" s="21">
        <v>97476.546569714308</v>
      </c>
      <c r="Y18" s="21">
        <v>97476.546569714308</v>
      </c>
      <c r="Z18" s="21">
        <v>97476.546569714308</v>
      </c>
      <c r="AA18" s="21">
        <v>97476.546569714308</v>
      </c>
      <c r="AB18" s="21">
        <v>97476.546569714308</v>
      </c>
      <c r="AC18" s="21">
        <v>96501.781104017165</v>
      </c>
      <c r="AD18" s="21">
        <v>95536.76329297699</v>
      </c>
      <c r="AE18" s="21">
        <v>94581.395660047216</v>
      </c>
      <c r="AF18" s="21">
        <v>93635.581703446747</v>
      </c>
      <c r="AG18" s="21">
        <v>92699.225886412285</v>
      </c>
      <c r="AH18" s="21">
        <v>91772.233627548165</v>
      </c>
      <c r="AI18" s="21">
        <v>90854.511291272676</v>
      </c>
      <c r="AJ18" s="21">
        <v>89945.966178359944</v>
      </c>
      <c r="AK18" s="21">
        <v>89046.506516576337</v>
      </c>
      <c r="AL18" s="21">
        <v>88156.04145141058</v>
      </c>
      <c r="AM18" s="21">
        <v>87274.481036896468</v>
      </c>
      <c r="AN18" s="21">
        <v>86401.736226527501</v>
      </c>
      <c r="AO18" s="21">
        <v>85537.71886426222</v>
      </c>
      <c r="AP18" s="21">
        <v>84682.341675619595</v>
      </c>
      <c r="AQ18" s="21">
        <v>83835.518258863405</v>
      </c>
      <c r="AR18" s="21">
        <v>82997.163076274766</v>
      </c>
      <c r="AS18" s="21">
        <v>82167.191445512013</v>
      </c>
      <c r="AT18" s="21">
        <v>81345.519531056896</v>
      </c>
      <c r="AU18" s="21">
        <v>80532.064335746327</v>
      </c>
      <c r="AV18" s="21">
        <v>79726.74369238886</v>
      </c>
      <c r="AW18" s="21">
        <v>78929.476255464964</v>
      </c>
      <c r="AX18" s="21">
        <v>78140.181492910313</v>
      </c>
      <c r="AY18" s="21">
        <v>77358.779677981205</v>
      </c>
      <c r="AZ18" s="21">
        <v>76585.19188120139</v>
      </c>
      <c r="BA18" s="21">
        <v>75819.339962389378</v>
      </c>
      <c r="BB18" s="21">
        <v>75061.146562765483</v>
      </c>
      <c r="BC18" s="21">
        <v>74310.535097137821</v>
      </c>
      <c r="BD18" s="21">
        <v>73567.429746166439</v>
      </c>
      <c r="BE18" s="21">
        <v>72831.755448704775</v>
      </c>
      <c r="BF18" s="21">
        <v>72103.437894217728</v>
      </c>
      <c r="BG18" s="21">
        <v>71382.403515275553</v>
      </c>
      <c r="BH18" s="21">
        <v>70668.579480122804</v>
      </c>
      <c r="BI18" s="21">
        <v>69961.893685321571</v>
      </c>
      <c r="BJ18" s="21">
        <v>69262.27474846835</v>
      </c>
      <c r="BK18" s="21">
        <v>68569.652000983668</v>
      </c>
      <c r="BL18" s="21">
        <v>67883.955480973833</v>
      </c>
      <c r="BM18" s="21">
        <v>67205.115926164101</v>
      </c>
      <c r="BN18" s="21">
        <v>66533.064766902462</v>
      </c>
      <c r="BO18" s="21">
        <v>65867.734119233442</v>
      </c>
      <c r="BP18" s="21">
        <v>65209.056778041107</v>
      </c>
      <c r="BQ18" s="21">
        <v>64556.966210260696</v>
      </c>
      <c r="BR18" s="21">
        <v>63911.396548158089</v>
      </c>
      <c r="BS18" s="21">
        <v>63272.282582676511</v>
      </c>
      <c r="BT18" s="21">
        <v>62639.559756849747</v>
      </c>
      <c r="BU18" s="21">
        <v>62013.164159281252</v>
      </c>
      <c r="BV18" s="21">
        <v>61393.032517688436</v>
      </c>
      <c r="BW18" s="21">
        <v>60779.102192511549</v>
      </c>
      <c r="BX18" s="21">
        <v>60171.311170586436</v>
      </c>
      <c r="BY18" s="21">
        <v>59569.598058880569</v>
      </c>
      <c r="BZ18" s="21">
        <v>58973.902078291765</v>
      </c>
      <c r="CA18" s="21">
        <v>58384.163057508849</v>
      </c>
      <c r="CB18" s="21">
        <v>57800.321426933762</v>
      </c>
      <c r="CC18" s="21">
        <v>57222.318212664424</v>
      </c>
      <c r="CD18" s="21">
        <v>56650.095030537777</v>
      </c>
      <c r="CE18" s="21">
        <v>56083.594080232397</v>
      </c>
      <c r="CF18" s="21">
        <v>55522.758139430072</v>
      </c>
      <c r="CG18" s="21">
        <v>54967.530558035774</v>
      </c>
      <c r="CH18" s="21">
        <v>54417.855252455418</v>
      </c>
      <c r="CI18" s="21">
        <v>53873.67669993086</v>
      </c>
      <c r="CJ18" s="21">
        <v>53334.939932931549</v>
      </c>
      <c r="CK18" s="21">
        <v>52801.590533602233</v>
      </c>
      <c r="CL18" s="21">
        <v>52273.574628266208</v>
      </c>
      <c r="CM18" s="21">
        <v>51750.838881983545</v>
      </c>
      <c r="CN18" s="21">
        <v>51233.33049316371</v>
      </c>
      <c r="CO18" s="21">
        <v>50720.997188232075</v>
      </c>
      <c r="CP18" s="21">
        <v>50213.787216349752</v>
      </c>
      <c r="CQ18" s="21">
        <v>49711.649344186255</v>
      </c>
      <c r="CR18" s="21">
        <v>49214.532850744392</v>
      </c>
      <c r="CS18" s="21">
        <v>48722.387522236946</v>
      </c>
      <c r="CT18" s="21">
        <v>48235.163647014575</v>
      </c>
      <c r="CU18" s="21">
        <v>47752.812010544432</v>
      </c>
      <c r="CV18" s="21">
        <v>47275.283890438986</v>
      </c>
      <c r="CW18" s="21">
        <v>46802.531051534599</v>
      </c>
      <c r="CX18" s="21">
        <v>46334.505741019253</v>
      </c>
      <c r="CY18" s="21">
        <v>45871.160683609058</v>
      </c>
      <c r="CZ18" s="21">
        <v>45412.449076772966</v>
      </c>
      <c r="DA18" s="21">
        <v>44958.324586005234</v>
      </c>
      <c r="DB18" s="21">
        <v>44508.741340145178</v>
      </c>
      <c r="DC18" s="21">
        <v>44063.653926743726</v>
      </c>
      <c r="DD18" s="21">
        <v>43623.017387476291</v>
      </c>
      <c r="DE18" s="21">
        <v>43186.787213601528</v>
      </c>
      <c r="DF18" s="21">
        <v>42754.919341465509</v>
      </c>
      <c r="DG18" s="21">
        <v>42327.370148050853</v>
      </c>
      <c r="DH18" s="21">
        <v>41904.096446570344</v>
      </c>
      <c r="DI18" s="21">
        <v>41485.055482104639</v>
      </c>
      <c r="DJ18" s="21">
        <v>41070.204927283594</v>
      </c>
      <c r="DK18" s="21">
        <v>40659.50287801076</v>
      </c>
      <c r="DL18" s="21">
        <v>40252.907849230651</v>
      </c>
      <c r="DM18" s="21">
        <v>39850.378770738345</v>
      </c>
      <c r="DN18" s="21">
        <v>39451.874983030961</v>
      </c>
      <c r="DO18" s="21">
        <v>39057.356233200648</v>
      </c>
      <c r="DP18" s="21">
        <v>38666.782670868641</v>
      </c>
      <c r="DQ18" s="21">
        <v>38280.114844159951</v>
      </c>
      <c r="DR18" s="21">
        <v>37897.313695718352</v>
      </c>
      <c r="DS18" s="21">
        <v>37518.340558761171</v>
      </c>
      <c r="DT18" s="21">
        <v>37143.157153173561</v>
      </c>
      <c r="DU18" s="21">
        <v>36771.725581641826</v>
      </c>
      <c r="DV18" s="21">
        <v>36404.008325825409</v>
      </c>
      <c r="DW18" s="21">
        <v>36039.968242567156</v>
      </c>
      <c r="DX18" s="21">
        <v>35679.568560141488</v>
      </c>
      <c r="DY18" s="21">
        <v>35322.772874540075</v>
      </c>
      <c r="DZ18" s="21">
        <v>34969.545145794677</v>
      </c>
      <c r="EA18" s="21">
        <v>34619.849694336728</v>
      </c>
      <c r="EB18" s="21">
        <v>34273.651197393359</v>
      </c>
      <c r="EC18" s="21">
        <v>33930.914685419426</v>
      </c>
      <c r="ED18" s="21">
        <v>33591.605538565229</v>
      </c>
      <c r="EE18" s="21">
        <v>33255.68948317958</v>
      </c>
      <c r="EF18" s="21">
        <v>32923.132588347784</v>
      </c>
      <c r="EG18" s="21">
        <v>32593.901262464307</v>
      </c>
      <c r="EH18" s="21">
        <v>32267.962249839664</v>
      </c>
      <c r="EI18" s="21">
        <v>31945.282627341268</v>
      </c>
      <c r="EJ18" s="21">
        <v>31625.829801067855</v>
      </c>
      <c r="EK18" s="21">
        <v>31309.571503057177</v>
      </c>
      <c r="EL18" s="21">
        <v>30996.475788026604</v>
      </c>
      <c r="EM18" s="21">
        <v>30686.511030146339</v>
      </c>
      <c r="EN18" s="21">
        <v>30379.645919844876</v>
      </c>
      <c r="EO18" s="21">
        <v>30075.849460646426</v>
      </c>
      <c r="EP18" s="21">
        <v>29775.090966039963</v>
      </c>
      <c r="EQ18" s="21">
        <v>29477.340056379562</v>
      </c>
      <c r="ER18" s="21">
        <v>29182.566655815765</v>
      </c>
      <c r="ES18" s="21">
        <v>28890.740989257607</v>
      </c>
      <c r="ET18" s="21">
        <v>28601.833579365029</v>
      </c>
    </row>
    <row r="19" spans="2:150" x14ac:dyDescent="0.25">
      <c r="B19" s="8" t="s">
        <v>11</v>
      </c>
      <c r="C19" s="22">
        <f>SUM('Datos USD'!B15:D15)</f>
        <v>-68.360534355029657</v>
      </c>
      <c r="D19" s="22">
        <f>SUM('Datos USD'!E15:G15)</f>
        <v>-77.792201336613374</v>
      </c>
      <c r="E19" s="22">
        <f>SUM('Datos USD'!H15:J15)</f>
        <v>-80.303540368579576</v>
      </c>
      <c r="F19" s="22">
        <f>SUM('Datos USD'!K15:M15)</f>
        <v>-165.75250618624659</v>
      </c>
      <c r="G19" s="22">
        <f>SUM('Datos USD'!N15:P15)</f>
        <v>-202.25599999382757</v>
      </c>
      <c r="Q19" s="26">
        <f t="shared" si="3"/>
        <v>-392.20878224646924</v>
      </c>
    </row>
    <row r="20" spans="2:150" x14ac:dyDescent="0.25">
      <c r="B20" s="8" t="s">
        <v>12</v>
      </c>
      <c r="C20" s="22">
        <f>SUM('Datos USD'!B16:D16)</f>
        <v>69067.948742410939</v>
      </c>
      <c r="D20" s="22">
        <f>SUM('Datos USD'!E16:G16)</f>
        <v>84369.304116028317</v>
      </c>
      <c r="E20" s="22">
        <f>SUM('Datos USD'!H16:J16)</f>
        <v>13863.225346018846</v>
      </c>
      <c r="F20" s="22">
        <f>SUM('Datos USD'!K16:M16)</f>
        <v>-70216.140416990253</v>
      </c>
      <c r="G20" s="22">
        <f>SUM('Datos USD'!N16:P16)</f>
        <v>-10041.357633878553</v>
      </c>
      <c r="Q20" s="26">
        <f t="shared" si="3"/>
        <v>97084.337787467855</v>
      </c>
    </row>
    <row r="21" spans="2:150" x14ac:dyDescent="0.25">
      <c r="B21" s="8" t="s">
        <v>13</v>
      </c>
      <c r="C21" s="22">
        <f>SUM('Datos USD'!B17:D17)</f>
        <v>2077.905690700085</v>
      </c>
      <c r="D21" s="22">
        <f>SUM('Datos USD'!E17:G17)</f>
        <v>6877.0184054804286</v>
      </c>
      <c r="E21" s="22">
        <f>SUM('Datos USD'!H17:J17)</f>
        <v>-2943.1213690183154</v>
      </c>
      <c r="F21" s="22">
        <f>SUM('Datos USD'!K17:M17)</f>
        <v>-12178.810280232399</v>
      </c>
      <c r="G21" s="22">
        <f>SUM('Datos USD'!N17:P17)</f>
        <v>-16659.570068933408</v>
      </c>
      <c r="Q21" s="26">
        <f t="shared" si="3"/>
        <v>-6167.0075530702015</v>
      </c>
    </row>
    <row r="22" spans="2:150" x14ac:dyDescent="0.25">
      <c r="B22" s="8" t="s">
        <v>14</v>
      </c>
      <c r="C22" s="22">
        <f>SUM('Datos USD'!B18:D18)</f>
        <v>176318.884434773</v>
      </c>
      <c r="D22" s="22">
        <f>SUM('Datos USD'!E18:G18)</f>
        <v>155402.35241381248</v>
      </c>
      <c r="E22" s="22">
        <f>SUM('Datos USD'!H18:J18)</f>
        <v>35188.025957601421</v>
      </c>
      <c r="F22" s="22">
        <f>SUM('Datos USD'!K18:M18)</f>
        <v>169537.37839832017</v>
      </c>
      <c r="G22" s="22">
        <f>SUM('Datos USD'!N18:P18)</f>
        <v>-44870.47506979997</v>
      </c>
      <c r="Q22" s="26">
        <f t="shared" si="3"/>
        <v>536446.64120450709</v>
      </c>
      <c r="R22" s="1">
        <f>Q28*$B$3</f>
        <v>117000</v>
      </c>
      <c r="S22" s="1">
        <f>R28*$B$3</f>
        <v>132210</v>
      </c>
      <c r="T22" s="1">
        <f t="shared" ref="T22:AB22" si="4">S28*$B$3</f>
        <v>149397.30000000002</v>
      </c>
      <c r="U22" s="1">
        <f t="shared" si="4"/>
        <v>168818.94900000002</v>
      </c>
      <c r="V22" s="1">
        <f t="shared" si="4"/>
        <v>190765.41237000001</v>
      </c>
      <c r="W22" s="1">
        <f t="shared" si="4"/>
        <v>215564.91597810003</v>
      </c>
      <c r="X22" s="1">
        <f t="shared" si="4"/>
        <v>243588.35505525302</v>
      </c>
      <c r="Y22" s="1">
        <f t="shared" si="4"/>
        <v>275254.84121243592</v>
      </c>
      <c r="Z22" s="1">
        <f t="shared" si="4"/>
        <v>311037.97057005262</v>
      </c>
      <c r="AA22" s="1">
        <f t="shared" si="4"/>
        <v>351472.90674415941</v>
      </c>
      <c r="AB22" s="1">
        <f t="shared" si="4"/>
        <v>397164.38462090015</v>
      </c>
    </row>
    <row r="23" spans="2:150" s="21" customFormat="1" x14ac:dyDescent="0.25">
      <c r="B23" s="6" t="s">
        <v>15</v>
      </c>
      <c r="C23" s="23">
        <f>SUM('Datos USD'!B19:D19)</f>
        <v>178396.78951076878</v>
      </c>
      <c r="D23" s="23">
        <f>SUM('Datos USD'!E19:G19)</f>
        <v>162279.37046333691</v>
      </c>
      <c r="E23" s="23">
        <f>SUM('Datos USD'!H19:J19)</f>
        <v>32244.903888460987</v>
      </c>
      <c r="F23" s="23">
        <f>SUM('Datos USD'!K19:M19)</f>
        <v>157358.5682093841</v>
      </c>
      <c r="G23" s="23">
        <f>SUM('Datos USD'!N19:P19)</f>
        <v>-61530.045151132763</v>
      </c>
      <c r="Q23" s="26">
        <f t="shared" si="3"/>
        <v>530279.63207195071</v>
      </c>
    </row>
    <row r="24" spans="2:150" s="21" customFormat="1" x14ac:dyDescent="0.25">
      <c r="B24" s="6" t="s">
        <v>16</v>
      </c>
      <c r="C24" s="23">
        <f>SUM('Datos USD'!B20:D20)</f>
        <v>247464.73825317976</v>
      </c>
      <c r="D24" s="23">
        <f>SUM('Datos USD'!E20:G20)</f>
        <v>246648.67457936524</v>
      </c>
      <c r="E24" s="23">
        <f>SUM('Datos USD'!H20:J20)</f>
        <v>46108.129234479842</v>
      </c>
      <c r="F24" s="23">
        <f>SUM('Datos USD'!K20:M20)</f>
        <v>87142.427792393835</v>
      </c>
      <c r="G24" s="23">
        <f>SUM('Datos USD'!N20:P20)</f>
        <v>-71571.402785011305</v>
      </c>
      <c r="Q24" s="26">
        <f t="shared" si="3"/>
        <v>627363.96985941869</v>
      </c>
    </row>
    <row r="25" spans="2:150" x14ac:dyDescent="0.25">
      <c r="B25" s="8" t="s">
        <v>17</v>
      </c>
      <c r="C25" s="22">
        <f>SUM('Datos USD'!B21:D21)</f>
        <v>0</v>
      </c>
      <c r="D25" s="22">
        <f>SUM('Datos USD'!E21:G21)</f>
        <v>0</v>
      </c>
      <c r="E25" s="22">
        <f>SUM('Datos USD'!H21:J21)</f>
        <v>0</v>
      </c>
      <c r="F25" s="22">
        <f>SUM('Datos USD'!K21:M21)</f>
        <v>0</v>
      </c>
      <c r="G25" s="22">
        <f>SUM('Datos USD'!N21:P21)</f>
        <v>-743.32690502425226</v>
      </c>
      <c r="Q25" s="26">
        <f t="shared" si="3"/>
        <v>0</v>
      </c>
    </row>
    <row r="26" spans="2:150" s="21" customFormat="1" x14ac:dyDescent="0.25">
      <c r="B26" s="6" t="s">
        <v>18</v>
      </c>
      <c r="C26" s="23">
        <f>SUM('Datos USD'!B22:D22)</f>
        <v>247464.73825317976</v>
      </c>
      <c r="D26" s="23">
        <f>SUM('Datos USD'!E22:G22)</f>
        <v>246648.67457936524</v>
      </c>
      <c r="E26" s="23">
        <f>SUM('Datos USD'!H22:J22)</f>
        <v>46108.129234479842</v>
      </c>
      <c r="F26" s="23">
        <f>SUM('Datos USD'!K22:M22)</f>
        <v>87142.427792393835</v>
      </c>
      <c r="G26" s="23">
        <f>SUM('Datos USD'!N22:P22)</f>
        <v>-72314.729690035543</v>
      </c>
      <c r="Q26" s="26">
        <f t="shared" si="3"/>
        <v>627363.96985941869</v>
      </c>
      <c r="R26" s="27">
        <f>SUM(R18:R22)</f>
        <v>214476.54656971432</v>
      </c>
      <c r="S26" s="27">
        <f t="shared" ref="S26:AB26" si="5">SUM(S18:S22)</f>
        <v>229686.54656971432</v>
      </c>
      <c r="T26" s="27">
        <f t="shared" si="5"/>
        <v>246873.84656971431</v>
      </c>
      <c r="U26" s="27">
        <f t="shared" si="5"/>
        <v>266295.49556971435</v>
      </c>
      <c r="V26" s="27">
        <f t="shared" si="5"/>
        <v>288241.9589397143</v>
      </c>
      <c r="W26" s="27">
        <f t="shared" si="5"/>
        <v>313041.46254781436</v>
      </c>
      <c r="X26" s="27">
        <f t="shared" si="5"/>
        <v>341064.90162496734</v>
      </c>
      <c r="Y26" s="27">
        <f t="shared" si="5"/>
        <v>372731.38778215024</v>
      </c>
      <c r="Z26" s="27">
        <f t="shared" si="5"/>
        <v>408514.51713976695</v>
      </c>
      <c r="AA26" s="27">
        <f t="shared" si="5"/>
        <v>448949.45331387373</v>
      </c>
      <c r="AB26" s="27">
        <f t="shared" si="5"/>
        <v>494640.93119061447</v>
      </c>
      <c r="AC26" s="21">
        <f>AB26*(1+$B$1)</f>
        <v>489694.52187870833</v>
      </c>
      <c r="AD26" s="21">
        <f t="shared" ref="AD26:CO26" si="6">AC26*(1+$B$1)</f>
        <v>484797.57665992127</v>
      </c>
      <c r="AE26" s="21">
        <f t="shared" si="6"/>
        <v>479949.60089332203</v>
      </c>
      <c r="AF26" s="21">
        <f t="shared" si="6"/>
        <v>475150.1048843888</v>
      </c>
      <c r="AG26" s="21">
        <f t="shared" si="6"/>
        <v>470398.6038355449</v>
      </c>
      <c r="AH26" s="21">
        <f t="shared" si="6"/>
        <v>465694.61779718945</v>
      </c>
      <c r="AI26" s="21">
        <f t="shared" si="6"/>
        <v>461037.67161921755</v>
      </c>
      <c r="AJ26" s="21">
        <f t="shared" si="6"/>
        <v>456427.29490302538</v>
      </c>
      <c r="AK26" s="21">
        <f t="shared" si="6"/>
        <v>451863.02195399511</v>
      </c>
      <c r="AL26" s="21">
        <f t="shared" si="6"/>
        <v>447344.39173445513</v>
      </c>
      <c r="AM26" s="21">
        <f t="shared" si="6"/>
        <v>442870.94781711057</v>
      </c>
      <c r="AN26" s="21">
        <f t="shared" si="6"/>
        <v>438442.23833893944</v>
      </c>
      <c r="AO26" s="21">
        <f t="shared" si="6"/>
        <v>434057.81595555006</v>
      </c>
      <c r="AP26" s="21">
        <f t="shared" si="6"/>
        <v>429717.23779599456</v>
      </c>
      <c r="AQ26" s="21">
        <f t="shared" si="6"/>
        <v>425420.06541803462</v>
      </c>
      <c r="AR26" s="21">
        <f t="shared" si="6"/>
        <v>421165.86476385425</v>
      </c>
      <c r="AS26" s="21">
        <f t="shared" si="6"/>
        <v>416954.20611621568</v>
      </c>
      <c r="AT26" s="21">
        <f t="shared" si="6"/>
        <v>412784.66405505349</v>
      </c>
      <c r="AU26" s="21">
        <f t="shared" si="6"/>
        <v>408656.81741450296</v>
      </c>
      <c r="AV26" s="21">
        <f t="shared" si="6"/>
        <v>404570.24924035795</v>
      </c>
      <c r="AW26" s="21">
        <f t="shared" si="6"/>
        <v>400524.54674795439</v>
      </c>
      <c r="AX26" s="21">
        <f t="shared" si="6"/>
        <v>396519.30128047481</v>
      </c>
      <c r="AY26" s="21">
        <f t="shared" si="6"/>
        <v>392554.10826767009</v>
      </c>
      <c r="AZ26" s="21">
        <f t="shared" si="6"/>
        <v>388628.56718499336</v>
      </c>
      <c r="BA26" s="21">
        <f t="shared" si="6"/>
        <v>384742.28151314345</v>
      </c>
      <c r="BB26" s="21">
        <f t="shared" si="6"/>
        <v>380894.85869801202</v>
      </c>
      <c r="BC26" s="21">
        <f t="shared" si="6"/>
        <v>377085.9101110319</v>
      </c>
      <c r="BD26" s="21">
        <f t="shared" si="6"/>
        <v>373315.05100992159</v>
      </c>
      <c r="BE26" s="21">
        <f t="shared" si="6"/>
        <v>369581.9004998224</v>
      </c>
      <c r="BF26" s="21">
        <f t="shared" si="6"/>
        <v>365886.08149482415</v>
      </c>
      <c r="BG26" s="21">
        <f t="shared" si="6"/>
        <v>362227.22067987593</v>
      </c>
      <c r="BH26" s="21">
        <f t="shared" si="6"/>
        <v>358604.94847307715</v>
      </c>
      <c r="BI26" s="21">
        <f t="shared" si="6"/>
        <v>355018.89898834639</v>
      </c>
      <c r="BJ26" s="21">
        <f t="shared" si="6"/>
        <v>351468.70999846293</v>
      </c>
      <c r="BK26" s="21">
        <f t="shared" si="6"/>
        <v>347954.02289847832</v>
      </c>
      <c r="BL26" s="21">
        <f t="shared" si="6"/>
        <v>344474.48266949353</v>
      </c>
      <c r="BM26" s="21">
        <f t="shared" si="6"/>
        <v>341029.73784279858</v>
      </c>
      <c r="BN26" s="21">
        <f t="shared" si="6"/>
        <v>337619.44046437059</v>
      </c>
      <c r="BO26" s="21">
        <f t="shared" si="6"/>
        <v>334243.24605972687</v>
      </c>
      <c r="BP26" s="21">
        <f t="shared" si="6"/>
        <v>330900.81359912961</v>
      </c>
      <c r="BQ26" s="21">
        <f t="shared" si="6"/>
        <v>327591.80546313833</v>
      </c>
      <c r="BR26" s="21">
        <f t="shared" si="6"/>
        <v>324315.88740850694</v>
      </c>
      <c r="BS26" s="21">
        <f t="shared" si="6"/>
        <v>321072.72853442188</v>
      </c>
      <c r="BT26" s="21">
        <f t="shared" si="6"/>
        <v>317862.00124907767</v>
      </c>
      <c r="BU26" s="21">
        <f t="shared" si="6"/>
        <v>314683.38123658689</v>
      </c>
      <c r="BV26" s="21">
        <f t="shared" si="6"/>
        <v>311536.547424221</v>
      </c>
      <c r="BW26" s="21">
        <f t="shared" si="6"/>
        <v>308421.18194997881</v>
      </c>
      <c r="BX26" s="21">
        <f t="shared" si="6"/>
        <v>305336.97013047902</v>
      </c>
      <c r="BY26" s="21">
        <f t="shared" si="6"/>
        <v>302283.60042917426</v>
      </c>
      <c r="BZ26" s="21">
        <f t="shared" si="6"/>
        <v>299260.76442488254</v>
      </c>
      <c r="CA26" s="21">
        <f t="shared" si="6"/>
        <v>296268.15678063373</v>
      </c>
      <c r="CB26" s="21">
        <f t="shared" si="6"/>
        <v>293305.47521282738</v>
      </c>
      <c r="CC26" s="21">
        <f t="shared" si="6"/>
        <v>290372.42046069913</v>
      </c>
      <c r="CD26" s="21">
        <f t="shared" si="6"/>
        <v>287468.69625609211</v>
      </c>
      <c r="CE26" s="21">
        <f t="shared" si="6"/>
        <v>284594.00929353118</v>
      </c>
      <c r="CF26" s="21">
        <f t="shared" si="6"/>
        <v>281748.06920059584</v>
      </c>
      <c r="CG26" s="21">
        <f t="shared" si="6"/>
        <v>278930.58850858989</v>
      </c>
      <c r="CH26" s="21">
        <f t="shared" si="6"/>
        <v>276141.282623504</v>
      </c>
      <c r="CI26" s="21">
        <f t="shared" si="6"/>
        <v>273379.86979726894</v>
      </c>
      <c r="CJ26" s="21">
        <f t="shared" si="6"/>
        <v>270646.07109929627</v>
      </c>
      <c r="CK26" s="21">
        <f t="shared" si="6"/>
        <v>267939.61038830329</v>
      </c>
      <c r="CL26" s="21">
        <f t="shared" si="6"/>
        <v>265260.21428442025</v>
      </c>
      <c r="CM26" s="21">
        <f t="shared" si="6"/>
        <v>262607.61214157601</v>
      </c>
      <c r="CN26" s="21">
        <f t="shared" si="6"/>
        <v>259981.53602016025</v>
      </c>
      <c r="CO26" s="21">
        <f t="shared" si="6"/>
        <v>257381.72065995864</v>
      </c>
      <c r="CP26" s="21">
        <f t="shared" ref="CP26:ET26" si="7">CO26*(1+$B$1)</f>
        <v>254807.90345335906</v>
      </c>
      <c r="CQ26" s="21">
        <f t="shared" si="7"/>
        <v>252259.82441882548</v>
      </c>
      <c r="CR26" s="21">
        <f t="shared" si="7"/>
        <v>249737.22617463721</v>
      </c>
      <c r="CS26" s="21">
        <f t="shared" si="7"/>
        <v>247239.85391289083</v>
      </c>
      <c r="CT26" s="21">
        <f t="shared" si="7"/>
        <v>244767.45537376191</v>
      </c>
      <c r="CU26" s="21">
        <f t="shared" si="7"/>
        <v>242319.78082002429</v>
      </c>
      <c r="CV26" s="21">
        <f t="shared" si="7"/>
        <v>239896.58301182406</v>
      </c>
      <c r="CW26" s="21">
        <f t="shared" si="7"/>
        <v>237497.61718170581</v>
      </c>
      <c r="CX26" s="21">
        <f t="shared" si="7"/>
        <v>235122.64100988876</v>
      </c>
      <c r="CY26" s="21">
        <f t="shared" si="7"/>
        <v>232771.41459978986</v>
      </c>
      <c r="CZ26" s="21">
        <f t="shared" si="7"/>
        <v>230443.70045379197</v>
      </c>
      <c r="DA26" s="21">
        <f t="shared" si="7"/>
        <v>228139.26344925404</v>
      </c>
      <c r="DB26" s="21">
        <f t="shared" si="7"/>
        <v>225857.8708147615</v>
      </c>
      <c r="DC26" s="21">
        <f t="shared" si="7"/>
        <v>223599.29210661387</v>
      </c>
      <c r="DD26" s="21">
        <f t="shared" si="7"/>
        <v>221363.29918554772</v>
      </c>
      <c r="DE26" s="21">
        <f t="shared" si="7"/>
        <v>219149.66619369225</v>
      </c>
      <c r="DF26" s="21">
        <f t="shared" si="7"/>
        <v>216958.16953175532</v>
      </c>
      <c r="DG26" s="21">
        <f t="shared" si="7"/>
        <v>214788.58783643777</v>
      </c>
      <c r="DH26" s="21">
        <f t="shared" si="7"/>
        <v>212640.70195807339</v>
      </c>
      <c r="DI26" s="21">
        <f t="shared" si="7"/>
        <v>210514.29493849265</v>
      </c>
      <c r="DJ26" s="21">
        <f t="shared" si="7"/>
        <v>208409.15198910772</v>
      </c>
      <c r="DK26" s="21">
        <f t="shared" si="7"/>
        <v>206325.06046921664</v>
      </c>
      <c r="DL26" s="21">
        <f t="shared" si="7"/>
        <v>204261.80986452446</v>
      </c>
      <c r="DM26" s="21">
        <f t="shared" si="7"/>
        <v>202219.19176587922</v>
      </c>
      <c r="DN26" s="21">
        <f t="shared" si="7"/>
        <v>200196.99984822044</v>
      </c>
      <c r="DO26" s="21">
        <f t="shared" si="7"/>
        <v>198195.02984973823</v>
      </c>
      <c r="DP26" s="21">
        <f t="shared" si="7"/>
        <v>196213.07955124084</v>
      </c>
      <c r="DQ26" s="21">
        <f t="shared" si="7"/>
        <v>194250.94875572843</v>
      </c>
      <c r="DR26" s="21">
        <f t="shared" si="7"/>
        <v>192308.43926817115</v>
      </c>
      <c r="DS26" s="21">
        <f t="shared" si="7"/>
        <v>190385.35487548943</v>
      </c>
      <c r="DT26" s="21">
        <f t="shared" si="7"/>
        <v>188481.50132673452</v>
      </c>
      <c r="DU26" s="21">
        <f t="shared" si="7"/>
        <v>186596.68631346719</v>
      </c>
      <c r="DV26" s="21">
        <f t="shared" si="7"/>
        <v>184730.71945033252</v>
      </c>
      <c r="DW26" s="21">
        <f t="shared" si="7"/>
        <v>182883.4122558292</v>
      </c>
      <c r="DX26" s="21">
        <f t="shared" si="7"/>
        <v>181054.5781332709</v>
      </c>
      <c r="DY26" s="21">
        <f t="shared" si="7"/>
        <v>179244.03235193819</v>
      </c>
      <c r="DZ26" s="21">
        <f t="shared" si="7"/>
        <v>177451.59202841882</v>
      </c>
      <c r="EA26" s="21">
        <f t="shared" si="7"/>
        <v>175677.07610813461</v>
      </c>
      <c r="EB26" s="21">
        <f t="shared" si="7"/>
        <v>173920.30534705328</v>
      </c>
      <c r="EC26" s="21">
        <f t="shared" si="7"/>
        <v>172181.10229358275</v>
      </c>
      <c r="ED26" s="21">
        <f t="shared" si="7"/>
        <v>170459.29127064691</v>
      </c>
      <c r="EE26" s="21">
        <f t="shared" si="7"/>
        <v>168754.69835794045</v>
      </c>
      <c r="EF26" s="21">
        <f t="shared" si="7"/>
        <v>167067.15137436104</v>
      </c>
      <c r="EG26" s="21">
        <f t="shared" si="7"/>
        <v>165396.47986061743</v>
      </c>
      <c r="EH26" s="21">
        <f t="shared" si="7"/>
        <v>163742.51506201125</v>
      </c>
      <c r="EI26" s="21">
        <f t="shared" si="7"/>
        <v>162105.08991139114</v>
      </c>
      <c r="EJ26" s="21">
        <f t="shared" si="7"/>
        <v>160484.03901227724</v>
      </c>
      <c r="EK26" s="21">
        <f t="shared" si="7"/>
        <v>158879.19862215445</v>
      </c>
      <c r="EL26" s="21">
        <f t="shared" si="7"/>
        <v>157290.40663593292</v>
      </c>
      <c r="EM26" s="21">
        <f t="shared" si="7"/>
        <v>155717.50256957358</v>
      </c>
      <c r="EN26" s="21">
        <f t="shared" si="7"/>
        <v>154160.32754387785</v>
      </c>
      <c r="EO26" s="21">
        <f t="shared" si="7"/>
        <v>152618.72426843908</v>
      </c>
      <c r="EP26" s="21">
        <f t="shared" si="7"/>
        <v>151092.53702575469</v>
      </c>
      <c r="EQ26" s="21">
        <f t="shared" si="7"/>
        <v>149581.61165549714</v>
      </c>
      <c r="ER26" s="21">
        <f t="shared" si="7"/>
        <v>148085.79553894215</v>
      </c>
      <c r="ES26" s="21">
        <f t="shared" si="7"/>
        <v>146604.93758355273</v>
      </c>
      <c r="ET26" s="21">
        <f t="shared" si="7"/>
        <v>145138.88820771722</v>
      </c>
    </row>
    <row r="27" spans="2:150" x14ac:dyDescent="0.25">
      <c r="B27" s="2"/>
      <c r="C27" s="22"/>
      <c r="D27" s="22"/>
      <c r="E27" s="22"/>
      <c r="F27" s="22"/>
      <c r="G27" s="22"/>
    </row>
    <row r="28" spans="2:150" x14ac:dyDescent="0.25">
      <c r="B28" s="8"/>
      <c r="C28" s="22"/>
      <c r="D28" s="22"/>
      <c r="E28" s="22"/>
      <c r="F28" s="22"/>
      <c r="G28" s="22"/>
      <c r="Q28" s="26">
        <v>900000</v>
      </c>
      <c r="R28" s="26">
        <f>Q28+R22</f>
        <v>1017000</v>
      </c>
      <c r="S28" s="26">
        <f>R28+S22</f>
        <v>1149210</v>
      </c>
      <c r="T28" s="26">
        <f t="shared" ref="T28:AB28" si="8">S28+T22</f>
        <v>1298607.3</v>
      </c>
      <c r="U28" s="26">
        <f t="shared" si="8"/>
        <v>1467426.2490000001</v>
      </c>
      <c r="V28" s="26">
        <f t="shared" si="8"/>
        <v>1658191.6613700001</v>
      </c>
      <c r="W28" s="26">
        <f t="shared" si="8"/>
        <v>1873756.5773481</v>
      </c>
      <c r="X28" s="26">
        <f t="shared" si="8"/>
        <v>2117344.932403353</v>
      </c>
      <c r="Y28" s="26">
        <f t="shared" si="8"/>
        <v>2392599.7736157891</v>
      </c>
      <c r="Z28" s="26">
        <f t="shared" si="8"/>
        <v>2703637.7441858416</v>
      </c>
      <c r="AA28" s="26">
        <f t="shared" si="8"/>
        <v>3055110.6509300009</v>
      </c>
      <c r="AB28" s="26">
        <f t="shared" si="8"/>
        <v>3452275.0355509012</v>
      </c>
    </row>
    <row r="29" spans="2:150" x14ac:dyDescent="0.25">
      <c r="B29" s="6" t="s">
        <v>19</v>
      </c>
      <c r="C29" s="22"/>
      <c r="D29" s="22"/>
      <c r="E29" s="22"/>
      <c r="F29" s="22"/>
      <c r="G29" s="22"/>
    </row>
    <row r="30" spans="2:150" x14ac:dyDescent="0.25">
      <c r="B30" s="2" t="s">
        <v>36</v>
      </c>
      <c r="C30" s="22">
        <f>'Datos USD'!D26</f>
        <v>492899.799</v>
      </c>
      <c r="D30" s="22">
        <f>'Datos USD'!G26</f>
        <v>454780.67984522076</v>
      </c>
      <c r="E30" s="22">
        <f>'Datos USD'!J26</f>
        <v>903621.72402005456</v>
      </c>
      <c r="F30" s="22">
        <f>'Datos USD'!M26</f>
        <v>394573.03629885515</v>
      </c>
      <c r="G30" s="22">
        <f>'Datos USD'!P26</f>
        <v>496174.62738493411</v>
      </c>
      <c r="Q30" s="26">
        <f>G30</f>
        <v>496174.62738493411</v>
      </c>
    </row>
    <row r="31" spans="2:150" x14ac:dyDescent="0.25">
      <c r="B31" s="8" t="s">
        <v>20</v>
      </c>
      <c r="C31" s="22">
        <f>'Datos USD'!D27</f>
        <v>965091.03399999999</v>
      </c>
      <c r="D31" s="22">
        <f>'Datos USD'!G27</f>
        <v>529614.30072951782</v>
      </c>
      <c r="E31" s="22">
        <f>'Datos USD'!J27</f>
        <v>805151.39341060026</v>
      </c>
      <c r="F31" s="22">
        <f>'Datos USD'!M27</f>
        <v>1751104.6734549927</v>
      </c>
      <c r="G31" s="22">
        <f>'Datos USD'!P27</f>
        <v>2024549.1812352238</v>
      </c>
      <c r="Q31" s="26">
        <f t="shared" ref="Q31:Q51" si="9">G31</f>
        <v>2024549.1812352238</v>
      </c>
    </row>
    <row r="32" spans="2:150" x14ac:dyDescent="0.25">
      <c r="B32" s="8" t="s">
        <v>21</v>
      </c>
      <c r="C32" s="22">
        <f>'Datos USD'!D28</f>
        <v>163597.78899999999</v>
      </c>
      <c r="D32" s="22">
        <f>'Datos USD'!G28</f>
        <v>303717.71864124382</v>
      </c>
      <c r="E32" s="22">
        <f>'Datos USD'!J28</f>
        <v>7144.6933194426356</v>
      </c>
      <c r="F32" s="22">
        <f>'Datos USD'!M28</f>
        <v>-516930.01754354237</v>
      </c>
      <c r="G32" s="22">
        <f>'Datos USD'!P28</f>
        <v>-915054.82837962848</v>
      </c>
      <c r="Q32" s="26">
        <f t="shared" si="9"/>
        <v>-915054.82837962848</v>
      </c>
    </row>
    <row r="33" spans="2:17" x14ac:dyDescent="0.25">
      <c r="B33" s="8" t="s">
        <v>22</v>
      </c>
      <c r="C33" s="22">
        <f>'Datos USD'!D29</f>
        <v>13831.814</v>
      </c>
      <c r="D33" s="22">
        <f>'Datos USD'!G29</f>
        <v>19123.384277606059</v>
      </c>
      <c r="E33" s="22">
        <f>'Datos USD'!J29</f>
        <v>37084.04089074098</v>
      </c>
      <c r="F33" s="22">
        <f>'Datos USD'!M29</f>
        <v>46970.995279521085</v>
      </c>
      <c r="G33" s="22">
        <f>'Datos USD'!P29</f>
        <v>75392.930395110336</v>
      </c>
      <c r="Q33" s="26">
        <f t="shared" si="9"/>
        <v>75392.930395110336</v>
      </c>
    </row>
    <row r="34" spans="2:17" x14ac:dyDescent="0.25">
      <c r="B34" s="2" t="s">
        <v>23</v>
      </c>
      <c r="C34" s="22">
        <f>'Datos USD'!D30</f>
        <v>1635420.4369999999</v>
      </c>
      <c r="D34" s="22">
        <f>'Datos USD'!G30</f>
        <v>1307236.0834935885</v>
      </c>
      <c r="E34" s="22">
        <f>'Datos USD'!J30</f>
        <v>1753001.8508269305</v>
      </c>
      <c r="F34" s="22">
        <f>'Datos USD'!M30</f>
        <v>1675718.6865855204</v>
      </c>
      <c r="G34" s="22">
        <f>'Datos USD'!P30</f>
        <v>1681061.9098449447</v>
      </c>
      <c r="Q34" s="26">
        <f t="shared" si="9"/>
        <v>1681061.9098449447</v>
      </c>
    </row>
    <row r="35" spans="2:17" x14ac:dyDescent="0.25">
      <c r="B35" s="2" t="s">
        <v>24</v>
      </c>
      <c r="C35" s="22">
        <f>'Datos USD'!D31</f>
        <v>0</v>
      </c>
      <c r="D35" s="22">
        <f>'Datos USD'!G31</f>
        <v>0</v>
      </c>
      <c r="E35" s="22">
        <f>'Datos USD'!J31</f>
        <v>0</v>
      </c>
      <c r="F35" s="22">
        <f>'Datos USD'!M31</f>
        <v>0</v>
      </c>
      <c r="G35" s="22">
        <f>'Datos USD'!P31</f>
        <v>0</v>
      </c>
      <c r="Q35" s="26">
        <f t="shared" si="9"/>
        <v>0</v>
      </c>
    </row>
    <row r="36" spans="2:17" x14ac:dyDescent="0.25">
      <c r="B36" s="2" t="s">
        <v>25</v>
      </c>
      <c r="C36" s="22">
        <f>'Datos USD'!D32</f>
        <v>0</v>
      </c>
      <c r="D36" s="22">
        <f>'Datos USD'!G32</f>
        <v>0</v>
      </c>
      <c r="E36" s="22">
        <f>'Datos USD'!J32</f>
        <v>0</v>
      </c>
      <c r="F36" s="22">
        <f>'Datos USD'!M32</f>
        <v>0</v>
      </c>
      <c r="G36" s="22">
        <v>0</v>
      </c>
      <c r="Q36" s="26">
        <f t="shared" si="9"/>
        <v>0</v>
      </c>
    </row>
    <row r="37" spans="2:17" x14ac:dyDescent="0.25">
      <c r="B37" s="6" t="s">
        <v>26</v>
      </c>
      <c r="C37" s="22">
        <f>'Datos USD'!D33</f>
        <v>26676.775000000001</v>
      </c>
      <c r="D37" s="22">
        <f>'Datos USD'!G33</f>
        <v>20701.35392904135</v>
      </c>
      <c r="E37" s="22">
        <f>'Datos USD'!J33</f>
        <v>23022.429678343531</v>
      </c>
      <c r="F37" s="22">
        <f>'Datos USD'!M33</f>
        <v>27644.14190374564</v>
      </c>
      <c r="G37" s="22">
        <f>'Datos USD'!P33</f>
        <v>46806.414909346808</v>
      </c>
      <c r="Q37" s="26">
        <f t="shared" si="9"/>
        <v>46806.414909346808</v>
      </c>
    </row>
    <row r="38" spans="2:17" x14ac:dyDescent="0.25">
      <c r="B38" s="6" t="s">
        <v>27</v>
      </c>
      <c r="C38" s="22">
        <f>'Datos USD'!D34</f>
        <v>1662097.213</v>
      </c>
      <c r="D38" s="22">
        <f>'Datos USD'!G34</f>
        <v>1327937.4382011974</v>
      </c>
      <c r="E38" s="22">
        <f>'Datos USD'!J34</f>
        <v>1776024.280505274</v>
      </c>
      <c r="F38" s="22">
        <f>'Datos USD'!M34</f>
        <v>1703362.8284892659</v>
      </c>
      <c r="G38" s="22">
        <f>'Datos USD'!P34</f>
        <v>1727868.3247542914</v>
      </c>
      <c r="Q38" s="26">
        <f t="shared" si="9"/>
        <v>1727868.3247542914</v>
      </c>
    </row>
    <row r="39" spans="2:17" x14ac:dyDescent="0.25">
      <c r="B39" s="6"/>
      <c r="C39" s="22">
        <f>'Datos USD'!D35</f>
        <v>0</v>
      </c>
      <c r="D39" s="22">
        <f>'Datos USD'!G35</f>
        <v>0</v>
      </c>
      <c r="E39" s="22">
        <f>'Datos USD'!J35</f>
        <v>0</v>
      </c>
      <c r="F39" s="22">
        <f>'Datos USD'!M35</f>
        <v>0</v>
      </c>
      <c r="G39" s="22">
        <f>'Datos USD'!P35</f>
        <v>0</v>
      </c>
      <c r="Q39" s="26">
        <f t="shared" si="9"/>
        <v>0</v>
      </c>
    </row>
    <row r="40" spans="2:17" x14ac:dyDescent="0.25">
      <c r="B40" s="6"/>
      <c r="C40" s="22">
        <f>'Datos USD'!D36</f>
        <v>0</v>
      </c>
      <c r="D40" s="22">
        <f>'Datos USD'!G36</f>
        <v>0</v>
      </c>
      <c r="E40" s="22">
        <f>'Datos USD'!J36</f>
        <v>0</v>
      </c>
      <c r="F40" s="22">
        <f>'Datos USD'!M36</f>
        <v>0</v>
      </c>
      <c r="G40" s="22">
        <f>'Datos USD'!P36</f>
        <v>0</v>
      </c>
      <c r="Q40" s="26">
        <f t="shared" si="9"/>
        <v>0</v>
      </c>
    </row>
    <row r="41" spans="2:17" x14ac:dyDescent="0.25">
      <c r="B41" s="8" t="s">
        <v>33</v>
      </c>
      <c r="C41" s="22">
        <f>'Datos USD'!D37</f>
        <v>0</v>
      </c>
      <c r="D41" s="22">
        <f>'Datos USD'!G37</f>
        <v>0</v>
      </c>
      <c r="E41" s="22">
        <f>'Datos USD'!J37</f>
        <v>0</v>
      </c>
      <c r="F41" s="22">
        <f>'Datos USD'!M37</f>
        <v>0</v>
      </c>
      <c r="G41" s="22">
        <f>'Datos USD'!P37</f>
        <v>0</v>
      </c>
      <c r="Q41" s="26">
        <f t="shared" si="9"/>
        <v>0</v>
      </c>
    </row>
    <row r="42" spans="2:17" x14ac:dyDescent="0.25">
      <c r="B42" s="2" t="s">
        <v>37</v>
      </c>
      <c r="C42" s="22">
        <f>'Datos USD'!D38</f>
        <v>-957627.05099999998</v>
      </c>
      <c r="D42" s="22">
        <f>'Datos USD'!G38</f>
        <v>-680116.57648258726</v>
      </c>
      <c r="E42" s="22">
        <f>'Datos USD'!J38</f>
        <v>-1076717.5519273342</v>
      </c>
      <c r="F42" s="22">
        <f>'Datos USD'!M38</f>
        <v>-919421.60026044026</v>
      </c>
      <c r="G42" s="22">
        <f>'Datos USD'!P38</f>
        <v>-985694.56238979683</v>
      </c>
      <c r="Q42" s="26">
        <f t="shared" si="9"/>
        <v>-985694.56238979683</v>
      </c>
    </row>
    <row r="43" spans="2:17" x14ac:dyDescent="0.25">
      <c r="B43" s="8" t="s">
        <v>38</v>
      </c>
      <c r="C43" s="22">
        <f>'Datos USD'!D39</f>
        <v>-4660.3459999999995</v>
      </c>
      <c r="D43" s="22">
        <f>'Datos USD'!G39</f>
        <v>-4848.2026767153784</v>
      </c>
      <c r="E43" s="22">
        <f>'Datos USD'!J39</f>
        <v>-6649.0436580283886</v>
      </c>
      <c r="F43" s="22">
        <f>'Datos USD'!M39</f>
        <v>-27308.225570165127</v>
      </c>
      <c r="G43" s="22">
        <f>'Datos USD'!P39</f>
        <v>-8027.2212602098507</v>
      </c>
      <c r="Q43" s="26">
        <f t="shared" si="9"/>
        <v>-8027.2212602098507</v>
      </c>
    </row>
    <row r="44" spans="2:17" x14ac:dyDescent="0.25">
      <c r="B44" s="8" t="s">
        <v>30</v>
      </c>
      <c r="C44" s="22">
        <f>'Datos USD'!D40</f>
        <v>-6131.42</v>
      </c>
      <c r="D44" s="22">
        <f>'Datos USD'!G40</f>
        <v>-3924.8207348120923</v>
      </c>
      <c r="E44" s="22">
        <f>'Datos USD'!J40</f>
        <v>-8250.533923687979</v>
      </c>
      <c r="F44" s="22">
        <f>'Datos USD'!M40</f>
        <v>-13717.881752907346</v>
      </c>
      <c r="G44" s="22">
        <f>'Datos USD'!P40</f>
        <v>-12392.391141052098</v>
      </c>
      <c r="Q44" s="26">
        <f t="shared" si="9"/>
        <v>-12392.391141052098</v>
      </c>
    </row>
    <row r="45" spans="2:17" x14ac:dyDescent="0.25">
      <c r="B45" s="8" t="s">
        <v>31</v>
      </c>
      <c r="C45" s="22">
        <f>'Datos USD'!D41</f>
        <v>-78176.725999999995</v>
      </c>
      <c r="D45" s="22">
        <f>'Datos USD'!G41</f>
        <v>-14363.029717924961</v>
      </c>
      <c r="E45" s="22">
        <f>'Datos USD'!J41</f>
        <v>-15554.539979163952</v>
      </c>
      <c r="F45" s="22">
        <f>'Datos USD'!M41</f>
        <v>-19309.327015246607</v>
      </c>
      <c r="G45" s="22">
        <f>'Datos USD'!P41</f>
        <v>-40643.895438479965</v>
      </c>
      <c r="Q45" s="26">
        <f t="shared" si="9"/>
        <v>-40643.895438479965</v>
      </c>
    </row>
    <row r="46" spans="2:17" x14ac:dyDescent="0.25">
      <c r="B46" s="6" t="s">
        <v>32</v>
      </c>
      <c r="C46" s="22">
        <f>'Datos USD'!D42</f>
        <v>-1046595.542</v>
      </c>
      <c r="D46" s="22">
        <f>'Datos USD'!G42</f>
        <v>-703252.62961203977</v>
      </c>
      <c r="E46" s="22">
        <f>'Datos USD'!J42</f>
        <v>-1107171.6686743065</v>
      </c>
      <c r="F46" s="22">
        <f>'Datos USD'!M42</f>
        <v>-979757.03459875938</v>
      </c>
      <c r="G46" s="22">
        <f>'Datos USD'!P42</f>
        <v>-1046758.0702295387</v>
      </c>
      <c r="Q46" s="26">
        <f t="shared" si="9"/>
        <v>-1046758.0702295387</v>
      </c>
    </row>
    <row r="47" spans="2:17" x14ac:dyDescent="0.25">
      <c r="B47" s="10" t="s">
        <v>34</v>
      </c>
      <c r="C47" s="22">
        <f>'Datos USD'!D43</f>
        <v>588824.89500000002</v>
      </c>
      <c r="D47" s="22">
        <f>'Datos USD'!G43</f>
        <v>603983.45388154872</v>
      </c>
      <c r="E47" s="22">
        <f>'Datos USD'!J43</f>
        <v>645830.18215262401</v>
      </c>
      <c r="F47" s="22">
        <f>'Datos USD'!M43</f>
        <v>695961.65198676102</v>
      </c>
      <c r="G47" s="22">
        <f>'Datos USD'!P43</f>
        <v>634303.83961540589</v>
      </c>
      <c r="Q47" s="26">
        <f t="shared" si="9"/>
        <v>634303.83961540589</v>
      </c>
    </row>
    <row r="48" spans="2:17" x14ac:dyDescent="0.25">
      <c r="B48" s="6" t="s">
        <v>28</v>
      </c>
      <c r="C48" s="22">
        <f>'Datos USD'!D44</f>
        <v>-615501.67200000002</v>
      </c>
      <c r="D48" s="22">
        <f>'Datos USD'!G44</f>
        <v>-624684.80936772528</v>
      </c>
      <c r="E48" s="22">
        <f>'Datos USD'!J44</f>
        <v>-668852.61264487554</v>
      </c>
      <c r="F48" s="22">
        <f>'Datos USD'!M44</f>
        <v>-723605.79569911922</v>
      </c>
      <c r="G48" s="22">
        <f>'Datos USD'!P44</f>
        <v>-681110.25452475273</v>
      </c>
      <c r="Q48" s="26">
        <f t="shared" si="9"/>
        <v>-681110.25452475273</v>
      </c>
    </row>
    <row r="49" spans="2:17" x14ac:dyDescent="0.25">
      <c r="B49" s="6" t="s">
        <v>35</v>
      </c>
      <c r="C49" s="22">
        <f>'Datos USD'!D45</f>
        <v>-1662097.2139999999</v>
      </c>
      <c r="D49" s="22">
        <f>'Datos USD'!G45</f>
        <v>-1327937.4389797649</v>
      </c>
      <c r="E49" s="22">
        <f>'Datos USD'!J45</f>
        <v>-1776024.2821330901</v>
      </c>
      <c r="F49" s="22">
        <f>'Datos USD'!M45</f>
        <v>-1703362.8302978787</v>
      </c>
      <c r="G49" s="22">
        <f>'Datos USD'!P45</f>
        <v>-1727868.3247542914</v>
      </c>
      <c r="Q49" s="26">
        <f t="shared" si="9"/>
        <v>-1727868.3247542914</v>
      </c>
    </row>
    <row r="50" spans="2:17" x14ac:dyDescent="0.25">
      <c r="Q50" s="26"/>
    </row>
    <row r="51" spans="2:17" x14ac:dyDescent="0.25">
      <c r="Q5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pesos</vt:lpstr>
      <vt:lpstr>Datos USD</vt:lpstr>
      <vt:lpstr>Model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Sailing</dc:creator>
  <cp:lastModifiedBy>Theo Sailing</cp:lastModifiedBy>
  <dcterms:created xsi:type="dcterms:W3CDTF">2025-06-06T12:14:48Z</dcterms:created>
  <dcterms:modified xsi:type="dcterms:W3CDTF">2025-06-06T17:08:41Z</dcterms:modified>
</cp:coreProperties>
</file>